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10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8.xml" ContentType="application/vnd.openxmlformats-officedocument.drawing+xml"/>
  <Override PartName="/xl/tables/table9.xml" ContentType="application/vnd.openxmlformats-officedocument.spreadsheetml.table+xml"/>
  <Override PartName="/xl/charts/chart1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2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3.xml" ContentType="application/vnd.openxmlformats-officedocument.drawing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harts/chart2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4.xml" ContentType="application/vnd.openxmlformats-officedocument.drawing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harts/chart2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5.xml" ContentType="application/vnd.openxmlformats-officedocument.drawing+xml"/>
  <Override PartName="/xl/tables/table16.xml" ContentType="application/vnd.openxmlformats-officedocument.spreadsheetml.table+xml"/>
  <Override PartName="/xl/charts/chart24.xml" ContentType="application/vnd.openxmlformats-officedocument.drawingml.chart+xml"/>
  <Override PartName="/xl/drawings/drawing16.xml" ContentType="application/vnd.openxmlformats-officedocument.drawing+xml"/>
  <Override PartName="/xl/charts/chart2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7.xml" ContentType="application/vnd.openxmlformats-officedocument.drawing+xml"/>
  <Override PartName="/xl/charts/chart26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LAURA\Trabajo\EAFIT\Proyectos\Provincias\git\Proyecto-Provincias\03_Outputs\Gráficos\"/>
    </mc:Choice>
  </mc:AlternateContent>
  <xr:revisionPtr revIDLastSave="0" documentId="13_ncr:1_{0B706A51-E399-45F7-9001-31C36A0A5336}" xr6:coauthVersionLast="47" xr6:coauthVersionMax="47" xr10:uidLastSave="{00000000-0000-0000-0000-000000000000}"/>
  <bookViews>
    <workbookView xWindow="-108" yWindow="-108" windowWidth="23256" windowHeight="12456" tabRatio="500" firstSheet="7" activeTab="9" xr2:uid="{00000000-000D-0000-FFFF-FFFF00000000}"/>
  </bookViews>
  <sheets>
    <sheet name="Gráfico_IPM" sheetId="23" r:id="rId1"/>
    <sheet name="Gráfico_Pobreza (2)" sheetId="22" r:id="rId2"/>
    <sheet name="Gráfico_IDE" sheetId="20" r:id="rId3"/>
    <sheet name="T20 Gini" sheetId="8" r:id="rId4"/>
    <sheet name="T21 Ocupación Informalidad" sheetId="9" r:id="rId5"/>
    <sheet name="T22 Desocupación NINIs" sheetId="10" r:id="rId6"/>
    <sheet name="T23 Valor Agregado" sheetId="11" r:id="rId7"/>
    <sheet name="T24 Distribución VA" sheetId="12" r:id="rId8"/>
    <sheet name="T25 Capacidad Instalada SIN" sheetId="13" r:id="rId9"/>
    <sheet name="T26 Centrales Generación" sheetId="14" r:id="rId10"/>
    <sheet name="T28 Licencias Mineras" sheetId="16" r:id="rId11"/>
    <sheet name="T29 Visitantes Extranjeros" sheetId="17" r:id="rId12"/>
    <sheet name="T30 Valor Agregado Terciarias" sheetId="24" r:id="rId13"/>
    <sheet name="T31 Valor gregado Por sectores" sheetId="25" r:id="rId14"/>
    <sheet name="Top3 Sectores VA Municipal" sheetId="27" r:id="rId15"/>
    <sheet name="VA per cápira 2024" sheetId="28" r:id="rId16"/>
    <sheet name="Densidad empresarial" sheetId="29" r:id="rId17"/>
  </sheets>
  <definedNames>
    <definedName name="_xlnm._FilterDatabase" localSheetId="16" hidden="1">'Densidad empresarial'!$A$20:$B$33</definedName>
    <definedName name="_xlnm._FilterDatabase" localSheetId="15" hidden="1">'VA per cápira 2024'!$A$1:$B$14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5" i="11" l="1"/>
  <c r="F4" i="11"/>
  <c r="C3" i="28"/>
  <c r="C4" i="28"/>
  <c r="C5" i="28"/>
  <c r="C6" i="28"/>
  <c r="C7" i="28"/>
  <c r="C8" i="28"/>
  <c r="C9" i="28"/>
  <c r="C10" i="28"/>
  <c r="C11" i="28"/>
  <c r="C12" i="28"/>
  <c r="C13" i="28"/>
  <c r="C14" i="28"/>
  <c r="C2" i="28"/>
  <c r="B16" i="25"/>
  <c r="C16" i="25" s="1"/>
  <c r="N2" i="24"/>
  <c r="N3" i="24"/>
  <c r="N4" i="24"/>
  <c r="N5" i="24"/>
  <c r="N6" i="24"/>
  <c r="N7" i="24"/>
  <c r="N8" i="24"/>
  <c r="N9" i="24"/>
  <c r="N10" i="24"/>
  <c r="M10" i="24"/>
  <c r="B42" i="16"/>
  <c r="B43" i="16"/>
  <c r="B44" i="16"/>
  <c r="B45" i="16"/>
  <c r="B46" i="16"/>
  <c r="B47" i="16"/>
  <c r="B41" i="16"/>
  <c r="C12" i="25" l="1"/>
  <c r="C11" i="25"/>
  <c r="C7" i="25"/>
  <c r="C10" i="25"/>
  <c r="C9" i="25"/>
  <c r="C6" i="25"/>
  <c r="C8" i="25"/>
  <c r="C15" i="25"/>
  <c r="C14" i="25"/>
  <c r="C13" i="25"/>
  <c r="C5" i="25"/>
  <c r="C4" i="25"/>
  <c r="C26" i="17"/>
  <c r="D26" i="17"/>
  <c r="E26" i="17"/>
  <c r="F26" i="17"/>
  <c r="G26" i="17"/>
  <c r="H26" i="17"/>
  <c r="B26" i="17"/>
  <c r="B27" i="14"/>
  <c r="B21" i="14"/>
  <c r="B22" i="14"/>
  <c r="B23" i="14"/>
  <c r="B24" i="14"/>
  <c r="B25" i="14"/>
  <c r="B26" i="14"/>
  <c r="B20" i="14"/>
  <c r="B19" i="14"/>
  <c r="B18" i="14"/>
  <c r="F6" i="11"/>
  <c r="F8" i="11"/>
  <c r="F7" i="11"/>
  <c r="F9" i="11"/>
  <c r="F10" i="11"/>
  <c r="F11" i="11"/>
  <c r="F12" i="11"/>
  <c r="F13" i="11"/>
  <c r="F14" i="11"/>
  <c r="F15" i="11"/>
  <c r="F16" i="11"/>
  <c r="F17" i="11"/>
  <c r="G10" i="9"/>
  <c r="F10" i="9"/>
  <c r="E10" i="9"/>
  <c r="D10" i="9"/>
  <c r="C10" i="9"/>
  <c r="B10" i="9"/>
  <c r="G6" i="9"/>
  <c r="F6" i="9"/>
  <c r="E6" i="9"/>
  <c r="D6" i="9"/>
  <c r="C6" i="9"/>
  <c r="B6" i="9"/>
</calcChain>
</file>

<file path=xl/sharedStrings.xml><?xml version="1.0" encoding="utf-8"?>
<sst xmlns="http://schemas.openxmlformats.org/spreadsheetml/2006/main" count="695" uniqueCount="264">
  <si>
    <t>Municipio</t>
  </si>
  <si>
    <t>Ituango</t>
  </si>
  <si>
    <t>Anorí</t>
  </si>
  <si>
    <t>Yarumal</t>
  </si>
  <si>
    <t>Valdivia</t>
  </si>
  <si>
    <t>Briceño</t>
  </si>
  <si>
    <t>Angostura</t>
  </si>
  <si>
    <t>Gómez Plata</t>
  </si>
  <si>
    <t>San Andrés de Cuerquia</t>
  </si>
  <si>
    <t>Campamento</t>
  </si>
  <si>
    <t>Carolina del Príncipe</t>
  </si>
  <si>
    <t>San José de la Montaña</t>
  </si>
  <si>
    <t>Toledo</t>
  </si>
  <si>
    <t>Guadalupe</t>
  </si>
  <si>
    <t>Total Provincia</t>
  </si>
  <si>
    <t>Provincia</t>
  </si>
  <si>
    <t>Total, Provincia</t>
  </si>
  <si>
    <t>Total, Subregión</t>
  </si>
  <si>
    <t>Total, Departamento</t>
  </si>
  <si>
    <t>Tabla 20. Medición del GINI para hogares y personas ocupadas — PAP Bio-energética del Norte de Antioquia - 2023</t>
  </si>
  <si>
    <t>Gráfico 20. Gini de ingresos del hogar (total) vs. Gini laboral (total) por municipio — 2023</t>
  </si>
  <si>
    <t>Gini hogares total</t>
  </si>
  <si>
    <t>Gini hogares urbano</t>
  </si>
  <si>
    <t>Gini hogares rural</t>
  </si>
  <si>
    <t>Gini laboral total</t>
  </si>
  <si>
    <t>Gini laboral urbano</t>
  </si>
  <si>
    <t>Gini laboral rural</t>
  </si>
  <si>
    <t>Subregión</t>
  </si>
  <si>
    <t>Tabla 21. Ocupación e Informalidad en los municipios de la PAP Bio-energética del Norte de Antioquia - 2023</t>
  </si>
  <si>
    <t>Gráfico 21. Tasa de ocupación vs. tasa de informalidad laboral (total) — 2023</t>
  </si>
  <si>
    <t>Tasa ocupación total</t>
  </si>
  <si>
    <t>Tasa ocupación urbano</t>
  </si>
  <si>
    <t>Tasa ocupación rural</t>
  </si>
  <si>
    <t>Tasa informalidad total</t>
  </si>
  <si>
    <t>Tasa informalidad urbano</t>
  </si>
  <si>
    <t>Tasa informalidad rural</t>
  </si>
  <si>
    <t>Tabla 22. Desocupación general, juvenil y jóvenes NINIs — PAP Bio-energética del Norte de Antioquia - 2023</t>
  </si>
  <si>
    <t>Gráfico 22. Tasa de desocupación y jóvenes NINIs por municipio — 2023</t>
  </si>
  <si>
    <t>Tasa desocupados total</t>
  </si>
  <si>
    <t>Tasa desocupados jóvenes 15-28 años</t>
  </si>
  <si>
    <t>Jóvenes 15-28 años que no estudian ni trabajan (NINIs)</t>
  </si>
  <si>
    <t>Tabla 23. Valor agregado (PIB) total y por sectores — PAP Bio-energética del Norte de Antioquia - 2023</t>
  </si>
  <si>
    <t>Valor agregado total (*)</t>
  </si>
  <si>
    <t>Act. primarias</t>
  </si>
  <si>
    <t>Act. secundarias</t>
  </si>
  <si>
    <t>Act. terciarias</t>
  </si>
  <si>
    <t>Peso en VA departamental (%)</t>
  </si>
  <si>
    <t>(*) Valor agregado bruto a precios corrientes base 2015 (millones de pesos). Fuente: DANE, Cuentas Nacionales Departamentales (2025).</t>
  </si>
  <si>
    <t>Tabla 24. Distribución porcentual del valor agregado por sectores — PAP Bio-energética del Norte de Antioquia - 2023</t>
  </si>
  <si>
    <t>Gráfico 24. Estructura sectorial del VA por municipio (barras 100% apiladas) — 2023</t>
  </si>
  <si>
    <t>(*) VA bruto a precios corrientes base 2015. Fuente: Cálculos propios con DANE, Cuentas Nacionales Departamentales (2025).</t>
  </si>
  <si>
    <t>Tabla 25. Capacidad instalada de generación eléctrica por tecnología — Sistema Interconectado Nacional</t>
  </si>
  <si>
    <t>Gráfico 25. Participación por tecnología en el SIN (%) — 2026</t>
  </si>
  <si>
    <t>Tecnología</t>
  </si>
  <si>
    <t>Cap. Instalada (MW)</t>
  </si>
  <si>
    <t>Participación (%)</t>
  </si>
  <si>
    <t>Hidráulica</t>
  </si>
  <si>
    <t>Térmica</t>
  </si>
  <si>
    <t>Solar</t>
  </si>
  <si>
    <t>Eólica</t>
  </si>
  <si>
    <t>Total SIN</t>
  </si>
  <si>
    <t>Fuente: XM S.A. E.S.P. (2026a).</t>
  </si>
  <si>
    <t>Tabla 26. Centrales de generación de energía eléctrica en la PAP Bio-energética del Norte de Antioquia — capacidad instalada y participación</t>
  </si>
  <si>
    <t>Gráfico 26. Capacidad instalada (MW) por central — 2026</t>
  </si>
  <si>
    <t>Central / Planta</t>
  </si>
  <si>
    <t>% del SIN</t>
  </si>
  <si>
    <t>% de Antioquia</t>
  </si>
  <si>
    <t>Ituango y Briceño</t>
  </si>
  <si>
    <t>Ituango (Hidroituango)</t>
  </si>
  <si>
    <t>Porce III</t>
  </si>
  <si>
    <t>Guadalupe III</t>
  </si>
  <si>
    <t>Guadalupe IV</t>
  </si>
  <si>
    <t>Pajarito</t>
  </si>
  <si>
    <t>Providencia</t>
  </si>
  <si>
    <t>Porce III Menor</t>
  </si>
  <si>
    <t>San José de la Montaña II</t>
  </si>
  <si>
    <t>Fuente: XM S.A. E.S.P. (2026b).</t>
  </si>
  <si>
    <t>Tabla 28. Número de licencias mineras vigentes por tipo de mineral — PAP Bio-energética del Norte de Antioquia - 2024</t>
  </si>
  <si>
    <t>Gráfico 28. Licencias mineras vigentes por mineral (ordenadas de mayor a menor) — 2024</t>
  </si>
  <si>
    <t>Mineral</t>
  </si>
  <si>
    <t>Número de licencias</t>
  </si>
  <si>
    <t>Mineral de oro</t>
  </si>
  <si>
    <t>Mineral de plata</t>
  </si>
  <si>
    <t>Minerales de oro y sus concentrados</t>
  </si>
  <si>
    <t>Arenas</t>
  </si>
  <si>
    <t>Gravas</t>
  </si>
  <si>
    <t>Mineral de cobre</t>
  </si>
  <si>
    <t>Arenas silíceas</t>
  </si>
  <si>
    <t>Mineral de plomo</t>
  </si>
  <si>
    <t>Mineral de platino</t>
  </si>
  <si>
    <t>Recebo</t>
  </si>
  <si>
    <t>Demás concesibles</t>
  </si>
  <si>
    <t>Arenas arcillosas</t>
  </si>
  <si>
    <t>Arenas feldespáticas</t>
  </si>
  <si>
    <t>Arenas industriales</t>
  </si>
  <si>
    <t>Gravas (de río)</t>
  </si>
  <si>
    <t>Níquel</t>
  </si>
  <si>
    <t>Talco</t>
  </si>
  <si>
    <t>Otras rocas metamórficas</t>
  </si>
  <si>
    <t>Mineral de zinc</t>
  </si>
  <si>
    <t>Minerales de cobre y sus concentrados</t>
  </si>
  <si>
    <t>Minerales de plata y sus concentrados</t>
  </si>
  <si>
    <t>Minerales de plomo y sus concentrados</t>
  </si>
  <si>
    <t>Mármol y travertino</t>
  </si>
  <si>
    <t>Arenas (de río)</t>
  </si>
  <si>
    <t>Total</t>
  </si>
  <si>
    <t>Fuente: UPME (2024). Cálculos propios.</t>
  </si>
  <si>
    <t>Tabla 29. Visitantes extranjeros en los municipios de la PAP Bio-energética del Norte de Antioquia, 2019–2025</t>
  </si>
  <si>
    <t>Gráfico 29. Evolución de visitantes extranjeros por municipio — 2019-2025</t>
  </si>
  <si>
    <t>2019</t>
  </si>
  <si>
    <t>2020</t>
  </si>
  <si>
    <t>2021</t>
  </si>
  <si>
    <t>2022</t>
  </si>
  <si>
    <t>2023</t>
  </si>
  <si>
    <t>2024</t>
  </si>
  <si>
    <t>2025</t>
  </si>
  <si>
    <t>Fuente: Observatorio de Turismo Sostenible de Antioquia (2026).</t>
  </si>
  <si>
    <t>tabla auxiliar</t>
  </si>
  <si>
    <t>San Andrés de C.</t>
  </si>
  <si>
    <t>San José de la M.</t>
  </si>
  <si>
    <t xml:space="preserve">Carolina </t>
  </si>
  <si>
    <t xml:space="preserve">Gini hogares </t>
  </si>
  <si>
    <t xml:space="preserve">Gini laboral </t>
  </si>
  <si>
    <t>Carolina</t>
  </si>
  <si>
    <t>Ordernado por tasa de informalidad</t>
  </si>
  <si>
    <t>Ordenado por gini hogares</t>
  </si>
  <si>
    <t>Ordenados por tasa de desocupacion juvenil</t>
  </si>
  <si>
    <t>Gráfico X. Jóvenes NiNi por municipio</t>
  </si>
  <si>
    <t>Peso en VA dentro de la provincia (total)</t>
  </si>
  <si>
    <t>Gráfico 23. Valor agregado en los municipios (miles de millones COP, base 2015) — 2023</t>
  </si>
  <si>
    <t>Gráfico X. Peso relativo del Valor Agregado por municipio</t>
  </si>
  <si>
    <t>Cap. Instalada (GW)</t>
  </si>
  <si>
    <t>Peso relativo de la provincia</t>
  </si>
  <si>
    <t>Departamento</t>
  </si>
  <si>
    <t>Gráfico X. Visitantes extranjeros: PAP Bioenergética vs. Antioquia (2019–2025)</t>
  </si>
  <si>
    <t>Promedio Provincia</t>
  </si>
  <si>
    <t>San Andrés de Cuerquía</t>
  </si>
  <si>
    <t>San José de La Montaña</t>
  </si>
  <si>
    <t>Índice de Dependencia Económica — PAP Bio-energética del Norte de Antioquia</t>
  </si>
  <si>
    <t>Línea negra: departamento 66.38</t>
  </si>
  <si>
    <t>Ref. Departamental LP (%)</t>
  </si>
  <si>
    <t>Bajo LP Total (%)</t>
  </si>
  <si>
    <t>NBI Rural (%)</t>
  </si>
  <si>
    <t>NBI Total (%)</t>
  </si>
  <si>
    <t>Pobreza por NBI y Línea de Pobreza — PAP Bio-energética del Norte de Antioquia</t>
  </si>
  <si>
    <t>Ref. Depto Personas IPM (%)</t>
  </si>
  <si>
    <t>Hogares IPM Rural (%)</t>
  </si>
  <si>
    <t>Índice de Pobreza Multidimensional (IPM) — PAP Bio-energética del Norte de Antioquia</t>
  </si>
  <si>
    <t xml:space="preserve">Hogares IPM </t>
  </si>
  <si>
    <t>Personas IPM</t>
  </si>
  <si>
    <t>Línea punteada ref. departamental</t>
  </si>
  <si>
    <t>Otros minerales</t>
  </si>
  <si>
    <t>Oro</t>
  </si>
  <si>
    <t>Plata</t>
  </si>
  <si>
    <t>Oro y sus concentrados</t>
  </si>
  <si>
    <t>Primario</t>
  </si>
  <si>
    <t>Secundario</t>
  </si>
  <si>
    <t xml:space="preserve">Terciario </t>
  </si>
  <si>
    <t xml:space="preserve">Capacidad instalada en GW. </t>
  </si>
  <si>
    <t>Otros minerales*</t>
  </si>
  <si>
    <t>Municipios y distritos</t>
  </si>
  <si>
    <t xml:space="preserve">Agricultura, ganadería, caza, silvicultura y pesca  </t>
  </si>
  <si>
    <t xml:space="preserve">Explotación de minas y canteras </t>
  </si>
  <si>
    <t xml:space="preserve">Industrias manufactureras </t>
  </si>
  <si>
    <t>Construcción</t>
  </si>
  <si>
    <t>Suministro de electricidad, gas, vapor y aire acondicionado; distribución de agua; evacuación y tratamiento de aguas residuales, gestión de desechos y actividades de saneamiento ambiental</t>
  </si>
  <si>
    <t>Comercio al por mayor y al por menor; reparación de vehículos automotores y motocicletas; transporte y almacenamiento; alojamiento y servicios de comida</t>
  </si>
  <si>
    <t xml:space="preserve">Información y comunicaciones </t>
  </si>
  <si>
    <t>Actividades financieras y de seguros</t>
  </si>
  <si>
    <t>Actividades inmobiliarias</t>
  </si>
  <si>
    <t>Actividades profesionales, científicas y técnicas; actividades de servicios administrativos y de apoyo</t>
  </si>
  <si>
    <t>Administración pública y defensa; planes de seguridad social de afiliación obligatoria; educación; actividades de atención de la salud humana y de servicios sociales</t>
  </si>
  <si>
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</si>
  <si>
    <t>Total Provincia Bioenergética Norte</t>
  </si>
  <si>
    <t>Electricidad, gas y agua</t>
  </si>
  <si>
    <t>Comercio y Transporte</t>
  </si>
  <si>
    <t>Actividades profesionales</t>
  </si>
  <si>
    <t>Administración pública</t>
  </si>
  <si>
    <t>Actividades artísticas y otros</t>
  </si>
  <si>
    <t>Terciarias ***</t>
  </si>
  <si>
    <t>Comercio; reparación de vehículos automotores; Transporte; Alojamiento y servicios de comida</t>
  </si>
  <si>
    <t>Información y comunicaciones</t>
  </si>
  <si>
    <t>Actividades profesionales, científicas y técnicas; Actividades de servicios administrativos y de apoyo</t>
  </si>
  <si>
    <t xml:space="preserve">Administración pública ; Educación;  Salud </t>
  </si>
  <si>
    <t>Actividades artísticas, de entretenimiento y recreación; Actividades de los hogares individuales</t>
  </si>
  <si>
    <t>Terciarias</t>
  </si>
  <si>
    <t>Participación</t>
  </si>
  <si>
    <t>Distribución del sector terciario en la PAP</t>
  </si>
  <si>
    <t>Ramas económicas</t>
  </si>
  <si>
    <t>TOTAL</t>
  </si>
  <si>
    <t>Distribución del Valor Agregado por Actividades Económicas en la PAP Bio-energética del Norte de Antioquia -2024</t>
  </si>
  <si>
    <t>Primarias *</t>
  </si>
  <si>
    <t>Agricultura, ganadería, silvicultura y pesca</t>
  </si>
  <si>
    <t>Explotación de minas y canteras</t>
  </si>
  <si>
    <t>Secundarias **</t>
  </si>
  <si>
    <t>Industrias manufactureras</t>
  </si>
  <si>
    <t>Actividades artísticas</t>
  </si>
  <si>
    <t>Actividades financieras</t>
  </si>
  <si>
    <t>Agropecuario</t>
  </si>
  <si>
    <t>Comercio, transporte y alojamiento</t>
  </si>
  <si>
    <t>N° municipios donde es 1er sector</t>
  </si>
  <si>
    <t>Sector</t>
  </si>
  <si>
    <t>RESUMEN — Frecuencia como sector dominante (1er lugar) en la Provincia</t>
  </si>
  <si>
    <t>Resto (%)</t>
  </si>
  <si>
    <t>3er sector (%)</t>
  </si>
  <si>
    <t>2do sector (%)</t>
  </si>
  <si>
    <t>1er sector (%)</t>
  </si>
  <si>
    <t>[Bloque auxiliar — datos para gráfico]</t>
  </si>
  <si>
    <t>Nota: VA total corresponde a la suma de las 12 ramas de actividad reportadas. % Participación = VA de la rama / VA total municipal.</t>
  </si>
  <si>
    <t>Fuente: Cálculos propios con base en valor agregado por rama económica (DANE, Cuentas Nacionales Departamentales).</t>
  </si>
  <si>
    <t>Minería</t>
  </si>
  <si>
    <t>Servicios profesionales y administrativos</t>
  </si>
  <si>
    <t>Manufactura</t>
  </si>
  <si>
    <t>% Acumulado top 3</t>
  </si>
  <si>
    <t>% Participación</t>
  </si>
  <si>
    <t>🥉 3er sector</t>
  </si>
  <si>
    <t>🥈 2do sector</t>
  </si>
  <si>
    <t>🥇 1er sector</t>
  </si>
  <si>
    <t>Gráfico. Participación (%) del top 3 de sectores en el valor agregado municipal — 2023</t>
  </si>
  <si>
    <t>Top 3 ramas de actividad económica por municipio según participación en el valor agregado — PAP Bio-energética del Norte de Antioquia</t>
  </si>
  <si>
    <t>% Participación2</t>
  </si>
  <si>
    <t>% Participación3</t>
  </si>
  <si>
    <t>Comercio</t>
  </si>
  <si>
    <t>Administración Pública</t>
  </si>
  <si>
    <t>Comercio y trasnporte</t>
  </si>
  <si>
    <t>Valor Agregado Per cápita (Miles de pesos)</t>
  </si>
  <si>
    <t>Ref departamental</t>
  </si>
  <si>
    <t>Código DANE</t>
  </si>
  <si>
    <t>Tipo de fila</t>
  </si>
  <si>
    <t>Creación de empresas</t>
  </si>
  <si>
    <t>Densidad empresarial</t>
  </si>
  <si>
    <t>Corresponsales bancarios per cápita</t>
  </si>
  <si>
    <t>Microcréditos per cápita</t>
  </si>
  <si>
    <t>Tasa neta de creación empresarial</t>
  </si>
  <si>
    <t>Valor agregado per cápita</t>
  </si>
  <si>
    <t>Participación actividades primarias</t>
  </si>
  <si>
    <t>05040</t>
  </si>
  <si>
    <t>NORDESTE</t>
  </si>
  <si>
    <t>PROVINCIA BIOENERGETICA DEL NORTE DE ANTIOQUIA</t>
  </si>
  <si>
    <t>05038</t>
  </si>
  <si>
    <t>NORTE</t>
  </si>
  <si>
    <t>05107</t>
  </si>
  <si>
    <t>05134</t>
  </si>
  <si>
    <t>05150</t>
  </si>
  <si>
    <t>05310</t>
  </si>
  <si>
    <t>05315</t>
  </si>
  <si>
    <t>05361</t>
  </si>
  <si>
    <t>05647</t>
  </si>
  <si>
    <t>05658</t>
  </si>
  <si>
    <t>05819</t>
  </si>
  <si>
    <t>05854</t>
  </si>
  <si>
    <t>05887</t>
  </si>
  <si>
    <t>SR05</t>
  </si>
  <si>
    <t>TOTAL NORTE</t>
  </si>
  <si>
    <t>SIN PROVINCIA</t>
  </si>
  <si>
    <t>Total subregión</t>
  </si>
  <si>
    <t>05</t>
  </si>
  <si>
    <t>TOTAL DEPARTAMENTAL</t>
  </si>
  <si>
    <t>TOTAL DEPARTAMENTO</t>
  </si>
  <si>
    <t>Total departamento</t>
  </si>
  <si>
    <t/>
  </si>
  <si>
    <t>PROMEDIO PROVINCIA BIOENERGETICA DEL NORTE DE ANTIOQUIA</t>
  </si>
  <si>
    <t>TOTAL PROVINCIA</t>
  </si>
  <si>
    <t>Promedio provincia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</si>
</sst>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%"/>
    <numFmt numFmtId="165" formatCode="00%"/>
    <numFmt numFmtId="166" formatCode="000%"/>
    <numFmt numFmtId="167" formatCode="#.##000"/>
    <numFmt numFmtId="168" formatCode="#.##0"/>
    <numFmt numFmtId="169" formatCode="0.00000"/>
    <numFmt numFmtId="170" formatCode="00.00%"/>
    <numFmt numFmtId="171" formatCode="#"/>
    <numFmt numFmtId="172" formatCode="0.0000%"/>
    <numFmt numFmtId="185" formatCode="00.0%"/>
  </numFmts>
  <fonts count="30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9"/>
      <color rgb="FFFFFFFF"/>
      <name val="Arial"/>
      <family val="2"/>
      <charset val="1"/>
    </font>
    <font>
      <sz val="9"/>
      <name val="Arial"/>
      <family val="2"/>
      <charset val="1"/>
    </font>
    <font>
      <sz val="10"/>
      <name val="Arial"/>
      <family val="2"/>
      <charset val="1"/>
    </font>
    <font>
      <b/>
      <sz val="11"/>
      <name val="Arial"/>
      <family val="2"/>
    </font>
    <font>
      <b/>
      <sz val="10"/>
      <color rgb="FF1B3A6B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9"/>
      <color rgb="FF1B3A6B"/>
      <name val="Arial"/>
      <family val="2"/>
    </font>
    <font>
      <i/>
      <sz val="8"/>
      <name val="Arial"/>
      <family val="2"/>
    </font>
    <font>
      <sz val="11"/>
      <color theme="1"/>
      <name val="Calibri"/>
      <family val="2"/>
      <charset val="1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10"/>
      <color rgb="FFFFFFFF"/>
      <name val="Arial"/>
      <family val="2"/>
    </font>
    <font>
      <b/>
      <sz val="10"/>
      <color rgb="FF1B3A6B"/>
      <name val="Arial"/>
      <family val="2"/>
    </font>
    <font>
      <sz val="10"/>
      <name val="Arial"/>
      <family val="2"/>
    </font>
    <font>
      <b/>
      <sz val="9"/>
      <color rgb="FF1B3A6B"/>
      <name val="Arial"/>
      <family val="2"/>
    </font>
    <font>
      <sz val="11"/>
      <name val="Calibri"/>
      <family val="2"/>
    </font>
    <font>
      <b/>
      <sz val="11"/>
      <color rgb="FFFFFFFF"/>
      <name val="Arial"/>
      <family val="2"/>
    </font>
    <font>
      <b/>
      <sz val="11"/>
      <color theme="0"/>
      <name val="Calibri"/>
      <family val="2"/>
      <charset val="1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4"/>
      <color rgb="FF44546A"/>
      <name val="Times New Roman"/>
      <family val="1"/>
    </font>
    <font>
      <b/>
      <sz val="9"/>
      <name val="Arial"/>
      <family val="2"/>
    </font>
    <font>
      <i/>
      <sz val="8"/>
      <color rgb="FFAAAAAA"/>
      <name val="Arial"/>
      <family val="2"/>
    </font>
    <font>
      <i/>
      <sz val="8"/>
      <color rgb="FF595959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1B3A6B"/>
        <bgColor rgb="FF1F3864"/>
      </patternFill>
    </fill>
    <fill>
      <patternFill patternType="solid">
        <fgColor rgb="FFF4F6F9"/>
        <bgColor rgb="FFF2F2F2"/>
      </patternFill>
    </fill>
    <fill>
      <patternFill patternType="solid">
        <fgColor rgb="FFFFFFFF"/>
        <bgColor rgb="FFF4F6F9"/>
      </patternFill>
    </fill>
    <fill>
      <patternFill patternType="solid">
        <fgColor rgb="FF1F3864"/>
        <bgColor rgb="FF1B3A6B"/>
      </patternFill>
    </fill>
    <fill>
      <patternFill patternType="solid">
        <fgColor rgb="FFA9B4C2"/>
        <bgColor rgb="FFB3B3B3"/>
      </patternFill>
    </fill>
    <fill>
      <patternFill patternType="solid">
        <fgColor rgb="FF1B3A6B"/>
        <bgColor rgb="FF333399"/>
      </patternFill>
    </fill>
    <fill>
      <patternFill patternType="solid">
        <fgColor rgb="FF1F3864"/>
        <bgColor rgb="FF333333"/>
      </patternFill>
    </fill>
    <fill>
      <patternFill patternType="solid">
        <fgColor rgb="FFFFFFFF"/>
        <bgColor rgb="FFFFFFCC"/>
      </patternFill>
    </fill>
    <fill>
      <patternFill patternType="solid">
        <fgColor rgb="FFDEEAF1"/>
        <bgColor rgb="FFD9D9D9"/>
      </patternFill>
    </fill>
    <fill>
      <patternFill patternType="solid">
        <fgColor rgb="FF2E75B6"/>
        <bgColor rgb="FF0066CC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4F6F9"/>
        <bgColor rgb="FFFFFFFF"/>
      </patternFill>
    </fill>
  </fills>
  <borders count="3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theme="4" tint="0.39997558519241921"/>
      </top>
      <bottom style="thin">
        <color rgb="FFCCCCCC"/>
      </bottom>
      <diagonal/>
    </border>
    <border>
      <left/>
      <right style="thin">
        <color rgb="FFCCCCCC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5">
    <xf numFmtId="0" fontId="0" fillId="0" borderId="0"/>
    <xf numFmtId="9" fontId="4" fillId="0" borderId="0"/>
    <xf numFmtId="0" fontId="11" fillId="0" borderId="0"/>
    <xf numFmtId="0" fontId="18" fillId="0" borderId="0"/>
    <xf numFmtId="0" fontId="1" fillId="0" borderId="0"/>
  </cellStyleXfs>
  <cellXfs count="161">
    <xf numFmtId="0" fontId="0" fillId="0" borderId="0" xfId="0"/>
    <xf numFmtId="164" fontId="0" fillId="0" borderId="0" xfId="0" applyNumberFormat="1"/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right" vertical="center"/>
    </xf>
    <xf numFmtId="165" fontId="8" fillId="3" borderId="1" xfId="0" applyNumberFormat="1" applyFont="1" applyFill="1" applyBorder="1" applyAlignment="1">
      <alignment horizontal="right" vertical="center"/>
    </xf>
    <xf numFmtId="0" fontId="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right" vertical="center"/>
    </xf>
    <xf numFmtId="165" fontId="8" fillId="4" borderId="1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left" vertical="center" wrapText="1"/>
    </xf>
    <xf numFmtId="165" fontId="7" fillId="5" borderId="1" xfId="0" applyNumberFormat="1" applyFont="1" applyFill="1" applyBorder="1" applyAlignment="1">
      <alignment horizontal="right" vertical="center"/>
    </xf>
    <xf numFmtId="0" fontId="9" fillId="6" borderId="1" xfId="0" applyFont="1" applyFill="1" applyBorder="1" applyAlignment="1">
      <alignment horizontal="left" vertical="center" wrapText="1"/>
    </xf>
    <xf numFmtId="165" fontId="9" fillId="6" borderId="1" xfId="0" applyNumberFormat="1" applyFont="1" applyFill="1" applyBorder="1" applyAlignment="1">
      <alignment horizontal="right" vertical="center"/>
    </xf>
    <xf numFmtId="0" fontId="10" fillId="0" borderId="0" xfId="0" applyFont="1"/>
    <xf numFmtId="166" fontId="8" fillId="3" borderId="1" xfId="0" applyNumberFormat="1" applyFont="1" applyFill="1" applyBorder="1" applyAlignment="1">
      <alignment horizontal="right" vertical="center"/>
    </xf>
    <xf numFmtId="166" fontId="8" fillId="4" borderId="1" xfId="0" applyNumberFormat="1" applyFont="1" applyFill="1" applyBorder="1" applyAlignment="1">
      <alignment horizontal="right" vertical="center"/>
    </xf>
    <xf numFmtId="166" fontId="7" fillId="5" borderId="1" xfId="0" applyNumberFormat="1" applyFont="1" applyFill="1" applyBorder="1" applyAlignment="1">
      <alignment horizontal="right" vertical="center"/>
    </xf>
    <xf numFmtId="166" fontId="9" fillId="6" borderId="1" xfId="0" applyNumberFormat="1" applyFont="1" applyFill="1" applyBorder="1" applyAlignment="1">
      <alignment horizontal="right" vertical="center"/>
    </xf>
    <xf numFmtId="167" fontId="8" fillId="3" borderId="1" xfId="0" applyNumberFormat="1" applyFont="1" applyFill="1" applyBorder="1" applyAlignment="1">
      <alignment horizontal="right" vertical="center"/>
    </xf>
    <xf numFmtId="167" fontId="8" fillId="4" borderId="1" xfId="0" applyNumberFormat="1" applyFont="1" applyFill="1" applyBorder="1" applyAlignment="1">
      <alignment horizontal="right" vertical="center"/>
    </xf>
    <xf numFmtId="167" fontId="7" fillId="5" borderId="1" xfId="0" applyNumberFormat="1" applyFont="1" applyFill="1" applyBorder="1" applyAlignment="1">
      <alignment horizontal="right" vertical="center"/>
    </xf>
    <xf numFmtId="167" fontId="9" fillId="6" borderId="1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right" vertical="center"/>
    </xf>
    <xf numFmtId="168" fontId="7" fillId="5" borderId="1" xfId="0" applyNumberFormat="1" applyFont="1" applyFill="1" applyBorder="1" applyAlignment="1">
      <alignment horizontal="right" vertical="center"/>
    </xf>
    <xf numFmtId="168" fontId="9" fillId="6" borderId="1" xfId="0" applyNumberFormat="1" applyFont="1" applyFill="1" applyBorder="1" applyAlignment="1">
      <alignment horizontal="right" vertical="center"/>
    </xf>
    <xf numFmtId="2" fontId="8" fillId="3" borderId="1" xfId="0" applyNumberFormat="1" applyFont="1" applyFill="1" applyBorder="1" applyAlignment="1">
      <alignment horizontal="right" vertical="center"/>
    </xf>
    <xf numFmtId="2" fontId="8" fillId="4" borderId="1" xfId="0" applyNumberFormat="1" applyFont="1" applyFill="1" applyBorder="1" applyAlignment="1">
      <alignment horizontal="right" vertical="center"/>
    </xf>
    <xf numFmtId="2" fontId="9" fillId="6" borderId="1" xfId="0" applyNumberFormat="1" applyFont="1" applyFill="1" applyBorder="1" applyAlignment="1">
      <alignment horizontal="right" vertical="center"/>
    </xf>
    <xf numFmtId="0" fontId="7" fillId="2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left" vertical="center" wrapText="1"/>
    </xf>
    <xf numFmtId="0" fontId="9" fillId="6" borderId="3" xfId="0" applyFont="1" applyFill="1" applyBorder="1" applyAlignment="1">
      <alignment horizontal="left" vertical="center" wrapText="1"/>
    </xf>
    <xf numFmtId="2" fontId="8" fillId="3" borderId="4" xfId="0" applyNumberFormat="1" applyFont="1" applyFill="1" applyBorder="1" applyAlignment="1">
      <alignment horizontal="right" vertical="center"/>
    </xf>
    <xf numFmtId="2" fontId="8" fillId="4" borderId="4" xfId="0" applyNumberFormat="1" applyFont="1" applyFill="1" applyBorder="1" applyAlignment="1">
      <alignment horizontal="right" vertical="center"/>
    </xf>
    <xf numFmtId="2" fontId="9" fillId="6" borderId="4" xfId="0" applyNumberFormat="1" applyFont="1" applyFill="1" applyBorder="1" applyAlignment="1">
      <alignment horizontal="right" vertical="center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left" vertical="center" wrapText="1"/>
    </xf>
    <xf numFmtId="2" fontId="8" fillId="3" borderId="2" xfId="0" applyNumberFormat="1" applyFont="1" applyFill="1" applyBorder="1" applyAlignment="1">
      <alignment horizontal="right" vertical="center"/>
    </xf>
    <xf numFmtId="2" fontId="8" fillId="3" borderId="9" xfId="0" applyNumberFormat="1" applyFont="1" applyFill="1" applyBorder="1" applyAlignment="1">
      <alignment horizontal="right" vertical="center"/>
    </xf>
    <xf numFmtId="9" fontId="4" fillId="0" borderId="0" xfId="1"/>
    <xf numFmtId="0" fontId="7" fillId="5" borderId="3" xfId="0" applyFont="1" applyFill="1" applyBorder="1" applyAlignment="1">
      <alignment horizontal="left" vertical="center" wrapText="1"/>
    </xf>
    <xf numFmtId="0" fontId="7" fillId="5" borderId="8" xfId="0" applyFont="1" applyFill="1" applyBorder="1" applyAlignment="1">
      <alignment horizontal="left" vertical="center" wrapText="1"/>
    </xf>
    <xf numFmtId="9" fontId="3" fillId="0" borderId="1" xfId="1" applyFont="1" applyBorder="1"/>
    <xf numFmtId="165" fontId="8" fillId="3" borderId="0" xfId="0" applyNumberFormat="1" applyFont="1" applyFill="1" applyAlignment="1">
      <alignment horizontal="right" vertical="center"/>
    </xf>
    <xf numFmtId="0" fontId="2" fillId="5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8" fillId="4" borderId="8" xfId="0" applyFont="1" applyFill="1" applyBorder="1" applyAlignment="1">
      <alignment horizontal="left" vertical="center" wrapText="1"/>
    </xf>
    <xf numFmtId="165" fontId="8" fillId="4" borderId="2" xfId="0" applyNumberFormat="1" applyFont="1" applyFill="1" applyBorder="1" applyAlignment="1">
      <alignment horizontal="right" vertical="center"/>
    </xf>
    <xf numFmtId="165" fontId="8" fillId="4" borderId="0" xfId="0" applyNumberFormat="1" applyFont="1" applyFill="1" applyAlignment="1">
      <alignment horizontal="right" vertical="center"/>
    </xf>
    <xf numFmtId="0" fontId="15" fillId="0" borderId="0" xfId="0" applyFont="1"/>
    <xf numFmtId="170" fontId="8" fillId="3" borderId="1" xfId="0" applyNumberFormat="1" applyFont="1" applyFill="1" applyBorder="1" applyAlignment="1">
      <alignment horizontal="right" vertical="center"/>
    </xf>
    <xf numFmtId="170" fontId="8" fillId="4" borderId="1" xfId="0" applyNumberFormat="1" applyFont="1" applyFill="1" applyBorder="1" applyAlignment="1">
      <alignment horizontal="right" vertical="center"/>
    </xf>
    <xf numFmtId="0" fontId="8" fillId="3" borderId="3" xfId="0" applyFont="1" applyFill="1" applyBorder="1" applyAlignment="1">
      <alignment horizontal="right" vertical="center"/>
    </xf>
    <xf numFmtId="0" fontId="8" fillId="4" borderId="3" xfId="0" applyFont="1" applyFill="1" applyBorder="1" applyAlignment="1">
      <alignment horizontal="right" vertical="center"/>
    </xf>
    <xf numFmtId="169" fontId="8" fillId="3" borderId="4" xfId="0" applyNumberFormat="1" applyFont="1" applyFill="1" applyBorder="1" applyAlignment="1">
      <alignment horizontal="right" vertical="center"/>
    </xf>
    <xf numFmtId="169" fontId="8" fillId="4" borderId="4" xfId="0" applyNumberFormat="1" applyFont="1" applyFill="1" applyBorder="1" applyAlignment="1">
      <alignment horizontal="right" vertical="center"/>
    </xf>
    <xf numFmtId="169" fontId="7" fillId="5" borderId="9" xfId="0" applyNumberFormat="1" applyFont="1" applyFill="1" applyBorder="1" applyAlignment="1">
      <alignment horizontal="right" vertical="center"/>
    </xf>
    <xf numFmtId="0" fontId="2" fillId="2" borderId="7" xfId="0" applyFont="1" applyFill="1" applyBorder="1" applyAlignment="1">
      <alignment horizontal="center" vertical="center" wrapText="1"/>
    </xf>
    <xf numFmtId="171" fontId="7" fillId="5" borderId="1" xfId="0" applyNumberFormat="1" applyFont="1" applyFill="1" applyBorder="1" applyAlignment="1">
      <alignment horizontal="right" vertical="center"/>
    </xf>
    <xf numFmtId="0" fontId="12" fillId="5" borderId="1" xfId="0" applyFont="1" applyFill="1" applyBorder="1" applyAlignment="1">
      <alignment horizontal="left" vertical="center" wrapText="1"/>
    </xf>
    <xf numFmtId="0" fontId="17" fillId="6" borderId="1" xfId="0" applyFont="1" applyFill="1" applyBorder="1" applyAlignment="1">
      <alignment horizontal="left" vertical="center" wrapText="1"/>
    </xf>
    <xf numFmtId="3" fontId="9" fillId="6" borderId="1" xfId="0" applyNumberFormat="1" applyFont="1" applyFill="1" applyBorder="1" applyAlignment="1">
      <alignment horizontal="right" vertical="center"/>
    </xf>
    <xf numFmtId="172" fontId="4" fillId="0" borderId="0" xfId="1" applyNumberFormat="1"/>
    <xf numFmtId="0" fontId="18" fillId="0" borderId="0" xfId="3"/>
    <xf numFmtId="2" fontId="14" fillId="8" borderId="12" xfId="3" applyNumberFormat="1" applyFont="1" applyFill="1" applyBorder="1" applyAlignment="1">
      <alignment horizontal="center"/>
    </xf>
    <xf numFmtId="0" fontId="14" fillId="8" borderId="12" xfId="3" applyFont="1" applyFill="1" applyBorder="1"/>
    <xf numFmtId="2" fontId="16" fillId="9" borderId="12" xfId="3" applyNumberFormat="1" applyFont="1" applyFill="1" applyBorder="1" applyAlignment="1">
      <alignment horizontal="center"/>
    </xf>
    <xf numFmtId="0" fontId="16" fillId="9" borderId="12" xfId="3" applyFont="1" applyFill="1" applyBorder="1"/>
    <xf numFmtId="2" fontId="16" fillId="10" borderId="12" xfId="3" applyNumberFormat="1" applyFont="1" applyFill="1" applyBorder="1" applyAlignment="1">
      <alignment horizontal="center"/>
    </xf>
    <xf numFmtId="0" fontId="16" fillId="10" borderId="12" xfId="3" applyFont="1" applyFill="1" applyBorder="1"/>
    <xf numFmtId="0" fontId="14" fillId="11" borderId="12" xfId="3" applyFont="1" applyFill="1" applyBorder="1" applyAlignment="1">
      <alignment horizontal="center"/>
    </xf>
    <xf numFmtId="0" fontId="16" fillId="9" borderId="13" xfId="3" applyFont="1" applyFill="1" applyBorder="1"/>
    <xf numFmtId="0" fontId="16" fillId="10" borderId="13" xfId="3" applyFont="1" applyFill="1" applyBorder="1"/>
    <xf numFmtId="0" fontId="14" fillId="8" borderId="13" xfId="3" applyFont="1" applyFill="1" applyBorder="1"/>
    <xf numFmtId="0" fontId="14" fillId="11" borderId="14" xfId="3" applyFont="1" applyFill="1" applyBorder="1" applyAlignment="1">
      <alignment horizontal="center" wrapText="1"/>
    </xf>
    <xf numFmtId="0" fontId="14" fillId="11" borderId="15" xfId="3" applyFont="1" applyFill="1" applyBorder="1" applyAlignment="1">
      <alignment horizontal="center" wrapText="1"/>
    </xf>
    <xf numFmtId="0" fontId="14" fillId="11" borderId="16" xfId="3" applyFont="1" applyFill="1" applyBorder="1" applyAlignment="1">
      <alignment horizontal="center" wrapText="1"/>
    </xf>
    <xf numFmtId="0" fontId="16" fillId="10" borderId="17" xfId="3" applyFont="1" applyFill="1" applyBorder="1"/>
    <xf numFmtId="0" fontId="8" fillId="3" borderId="6" xfId="0" applyFont="1" applyFill="1" applyBorder="1" applyAlignment="1">
      <alignment horizontal="left" vertical="center" wrapText="1"/>
    </xf>
    <xf numFmtId="0" fontId="8" fillId="3" borderId="6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13" fillId="3" borderId="10" xfId="0" applyFont="1" applyFill="1" applyBorder="1" applyAlignment="1">
      <alignment horizontal="left" vertical="center" wrapText="1"/>
    </xf>
    <xf numFmtId="10" fontId="4" fillId="0" borderId="0" xfId="1" applyNumberFormat="1"/>
    <xf numFmtId="0" fontId="13" fillId="3" borderId="3" xfId="0" applyFont="1" applyFill="1" applyBorder="1" applyAlignment="1">
      <alignment horizontal="left" vertical="center" wrapText="1"/>
    </xf>
    <xf numFmtId="0" fontId="3" fillId="3" borderId="11" xfId="0" applyFont="1" applyFill="1" applyBorder="1" applyAlignment="1">
      <alignment horizontal="left" vertical="center" wrapText="1"/>
    </xf>
    <xf numFmtId="0" fontId="0" fillId="0" borderId="1" xfId="0" applyBorder="1"/>
    <xf numFmtId="0" fontId="8" fillId="3" borderId="0" xfId="0" applyFont="1" applyFill="1" applyAlignment="1">
      <alignment horizontal="right" vertical="center"/>
    </xf>
    <xf numFmtId="166" fontId="8" fillId="3" borderId="4" xfId="0" applyNumberFormat="1" applyFont="1" applyFill="1" applyBorder="1" applyAlignment="1">
      <alignment horizontal="right" vertical="center"/>
    </xf>
    <xf numFmtId="166" fontId="8" fillId="4" borderId="4" xfId="0" applyNumberFormat="1" applyFont="1" applyFill="1" applyBorder="1" applyAlignment="1">
      <alignment horizontal="right" vertical="center"/>
    </xf>
    <xf numFmtId="0" fontId="12" fillId="2" borderId="6" xfId="0" applyFont="1" applyFill="1" applyBorder="1" applyAlignment="1">
      <alignment horizontal="center" vertical="center" wrapText="1"/>
    </xf>
    <xf numFmtId="0" fontId="14" fillId="7" borderId="0" xfId="0" applyFont="1" applyFill="1" applyAlignment="1">
      <alignment horizontal="center" vertical="center" wrapText="1"/>
    </xf>
    <xf numFmtId="0" fontId="19" fillId="8" borderId="0" xfId="3" applyFont="1" applyFill="1" applyAlignment="1">
      <alignment horizontal="center" vertical="center"/>
    </xf>
    <xf numFmtId="0" fontId="21" fillId="14" borderId="19" xfId="0" applyFont="1" applyFill="1" applyBorder="1" applyAlignment="1">
      <alignment horizontal="center" vertical="center" wrapText="1"/>
    </xf>
    <xf numFmtId="0" fontId="22" fillId="0" borderId="20" xfId="0" applyFont="1" applyBorder="1" applyAlignment="1">
      <alignment horizontal="left" vertical="center" wrapText="1" indent="1"/>
    </xf>
    <xf numFmtId="4" fontId="0" fillId="0" borderId="0" xfId="0" applyNumberFormat="1"/>
    <xf numFmtId="0" fontId="22" fillId="0" borderId="21" xfId="0" applyFont="1" applyBorder="1" applyAlignment="1">
      <alignment horizontal="left" vertical="center" wrapText="1" indent="1"/>
    </xf>
    <xf numFmtId="0" fontId="22" fillId="0" borderId="22" xfId="0" applyFont="1" applyBorder="1" applyAlignment="1">
      <alignment horizontal="left" vertical="center" wrapText="1" indent="1"/>
    </xf>
    <xf numFmtId="0" fontId="21" fillId="14" borderId="23" xfId="0" applyFont="1" applyFill="1" applyBorder="1" applyAlignment="1">
      <alignment horizontal="center" vertical="center" wrapText="1"/>
    </xf>
    <xf numFmtId="0" fontId="18" fillId="0" borderId="0" xfId="0" applyFont="1"/>
    <xf numFmtId="0" fontId="22" fillId="0" borderId="24" xfId="0" applyFont="1" applyBorder="1" applyAlignment="1">
      <alignment horizontal="left" vertical="center" wrapText="1" indent="1"/>
    </xf>
    <xf numFmtId="0" fontId="22" fillId="0" borderId="25" xfId="0" applyFont="1" applyBorder="1" applyAlignment="1">
      <alignment horizontal="left" vertical="center" wrapText="1" indent="1"/>
    </xf>
    <xf numFmtId="0" fontId="22" fillId="0" borderId="26" xfId="0" applyFont="1" applyBorder="1" applyAlignment="1">
      <alignment horizontal="left" vertical="center" wrapText="1" indent="1"/>
    </xf>
    <xf numFmtId="0" fontId="22" fillId="0" borderId="27" xfId="0" applyFont="1" applyBorder="1" applyAlignment="1">
      <alignment horizontal="left" vertical="center" wrapText="1" indent="1"/>
    </xf>
    <xf numFmtId="0" fontId="20" fillId="13" borderId="18" xfId="0" applyFont="1" applyFill="1" applyBorder="1"/>
    <xf numFmtId="0" fontId="24" fillId="15" borderId="32" xfId="4" applyFont="1" applyFill="1" applyBorder="1" applyAlignment="1">
      <alignment horizontal="center"/>
    </xf>
    <xf numFmtId="0" fontId="24" fillId="15" borderId="33" xfId="4" applyFont="1" applyFill="1" applyBorder="1" applyAlignment="1">
      <alignment horizontal="center"/>
    </xf>
    <xf numFmtId="0" fontId="24" fillId="15" borderId="26" xfId="4" applyFont="1" applyFill="1" applyBorder="1" applyAlignment="1">
      <alignment horizontal="center"/>
    </xf>
    <xf numFmtId="0" fontId="25" fillId="15" borderId="28" xfId="4" applyFont="1" applyFill="1" applyBorder="1" applyAlignment="1">
      <alignment horizontal="left"/>
    </xf>
    <xf numFmtId="0" fontId="25" fillId="15" borderId="0" xfId="4" applyFont="1" applyFill="1" applyAlignment="1">
      <alignment horizontal="left"/>
    </xf>
    <xf numFmtId="0" fontId="25" fillId="15" borderId="27" xfId="4" applyFont="1" applyFill="1" applyBorder="1" applyAlignment="1">
      <alignment horizontal="left"/>
    </xf>
    <xf numFmtId="0" fontId="25" fillId="15" borderId="34" xfId="4" applyFont="1" applyFill="1" applyBorder="1" applyAlignment="1">
      <alignment horizontal="left"/>
    </xf>
    <xf numFmtId="0" fontId="25" fillId="15" borderId="35" xfId="4" applyFont="1" applyFill="1" applyBorder="1" applyAlignment="1">
      <alignment horizontal="left"/>
    </xf>
    <xf numFmtId="0" fontId="25" fillId="15" borderId="25" xfId="4" applyFont="1" applyFill="1" applyBorder="1" applyAlignment="1">
      <alignment horizontal="left"/>
    </xf>
    <xf numFmtId="0" fontId="23" fillId="13" borderId="18" xfId="0" applyFont="1" applyFill="1" applyBorder="1"/>
    <xf numFmtId="0" fontId="22" fillId="0" borderId="31" xfId="0" applyFont="1" applyBorder="1" applyAlignment="1">
      <alignment horizontal="left" vertical="center" wrapText="1" indent="1"/>
    </xf>
    <xf numFmtId="4" fontId="0" fillId="0" borderId="18" xfId="0" applyNumberFormat="1" applyFont="1" applyBorder="1"/>
    <xf numFmtId="0" fontId="23" fillId="13" borderId="36" xfId="0" applyFont="1" applyFill="1" applyBorder="1"/>
    <xf numFmtId="4" fontId="0" fillId="0" borderId="36" xfId="0" applyNumberFormat="1" applyFont="1" applyBorder="1"/>
    <xf numFmtId="0" fontId="0" fillId="0" borderId="0" xfId="0" applyBorder="1"/>
    <xf numFmtId="4" fontId="0" fillId="0" borderId="38" xfId="0" applyNumberFormat="1" applyFont="1" applyBorder="1"/>
    <xf numFmtId="164" fontId="4" fillId="0" borderId="0" xfId="1" applyNumberFormat="1"/>
    <xf numFmtId="0" fontId="0" fillId="0" borderId="37" xfId="0" applyFont="1" applyBorder="1"/>
    <xf numFmtId="0" fontId="26" fillId="0" borderId="0" xfId="0" applyFont="1"/>
    <xf numFmtId="0" fontId="27" fillId="4" borderId="1" xfId="0" applyFont="1" applyFill="1" applyBorder="1" applyAlignment="1">
      <alignment horizontal="right" vertical="center"/>
    </xf>
    <xf numFmtId="0" fontId="27" fillId="16" borderId="1" xfId="0" applyFont="1" applyFill="1" applyBorder="1" applyAlignment="1">
      <alignment horizontal="right" vertical="center"/>
    </xf>
    <xf numFmtId="0" fontId="8" fillId="16" borderId="1" xfId="0" applyFont="1" applyFill="1" applyBorder="1" applyAlignment="1">
      <alignment horizontal="left" vertical="center" wrapText="1"/>
    </xf>
    <xf numFmtId="165" fontId="8" fillId="16" borderId="1" xfId="0" applyNumberFormat="1" applyFont="1" applyFill="1" applyBorder="1" applyAlignment="1">
      <alignment horizontal="right" vertical="center"/>
    </xf>
    <xf numFmtId="0" fontId="28" fillId="0" borderId="0" xfId="0" applyFont="1"/>
    <xf numFmtId="0" fontId="29" fillId="0" borderId="0" xfId="0" applyFont="1"/>
    <xf numFmtId="0" fontId="8" fillId="0" borderId="3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165" fontId="8" fillId="0" borderId="1" xfId="0" applyNumberFormat="1" applyFont="1" applyFill="1" applyBorder="1" applyAlignment="1">
      <alignment horizontal="right" vertical="center"/>
    </xf>
    <xf numFmtId="0" fontId="8" fillId="0" borderId="8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165" fontId="8" fillId="0" borderId="2" xfId="0" applyNumberFormat="1" applyFont="1" applyFill="1" applyBorder="1" applyAlignment="1">
      <alignment horizontal="right" vertical="center"/>
    </xf>
    <xf numFmtId="185" fontId="8" fillId="0" borderId="1" xfId="0" applyNumberFormat="1" applyFont="1" applyFill="1" applyBorder="1" applyAlignment="1">
      <alignment horizontal="right" vertical="center"/>
    </xf>
    <xf numFmtId="185" fontId="8" fillId="0" borderId="2" xfId="0" applyNumberFormat="1" applyFont="1" applyFill="1" applyBorder="1" applyAlignment="1">
      <alignment horizontal="right" vertical="center"/>
    </xf>
    <xf numFmtId="185" fontId="8" fillId="0" borderId="4" xfId="0" applyNumberFormat="1" applyFont="1" applyFill="1" applyBorder="1" applyAlignment="1">
      <alignment horizontal="right" vertical="center"/>
    </xf>
    <xf numFmtId="185" fontId="8" fillId="0" borderId="9" xfId="0" applyNumberFormat="1" applyFont="1" applyFill="1" applyBorder="1" applyAlignment="1">
      <alignment horizontal="right" vertical="center"/>
    </xf>
    <xf numFmtId="10" fontId="4" fillId="0" borderId="0" xfId="1" applyNumberFormat="1" applyFill="1"/>
    <xf numFmtId="0" fontId="0" fillId="14" borderId="37" xfId="0" applyFont="1" applyFill="1" applyBorder="1" applyAlignment="1">
      <alignment horizontal="center" vertical="center" wrapText="1"/>
    </xf>
    <xf numFmtId="1" fontId="0" fillId="0" borderId="0" xfId="0" applyNumberFormat="1"/>
    <xf numFmtId="3" fontId="0" fillId="0" borderId="0" xfId="0" applyNumberFormat="1"/>
    <xf numFmtId="3" fontId="0" fillId="0" borderId="0" xfId="0" applyNumberFormat="1" applyFill="1" applyBorder="1"/>
    <xf numFmtId="2" fontId="0" fillId="0" borderId="0" xfId="0" applyNumberFormat="1"/>
    <xf numFmtId="0" fontId="22" fillId="12" borderId="20" xfId="0" applyFont="1" applyFill="1" applyBorder="1" applyAlignment="1">
      <alignment horizontal="left" vertical="center" wrapText="1" indent="1"/>
    </xf>
    <xf numFmtId="0" fontId="22" fillId="0" borderId="29" xfId="0" applyFont="1" applyBorder="1" applyAlignment="1">
      <alignment horizontal="left" vertical="center" wrapText="1" indent="1"/>
    </xf>
    <xf numFmtId="0" fontId="22" fillId="12" borderId="30" xfId="0" applyFont="1" applyFill="1" applyBorder="1" applyAlignment="1">
      <alignment horizontal="left" vertical="center" wrapText="1" indent="1"/>
    </xf>
    <xf numFmtId="164" fontId="4" fillId="0" borderId="1" xfId="1" applyNumberFormat="1" applyBorder="1" applyAlignment="1">
      <alignment horizontal="right" vertical="center"/>
    </xf>
    <xf numFmtId="164" fontId="4" fillId="0" borderId="4" xfId="1" applyNumberFormat="1" applyBorder="1" applyAlignment="1">
      <alignment horizontal="right" vertical="center"/>
    </xf>
    <xf numFmtId="164" fontId="4" fillId="0" borderId="2" xfId="1" applyNumberFormat="1" applyBorder="1" applyAlignment="1">
      <alignment horizontal="right" vertical="center"/>
    </xf>
    <xf numFmtId="164" fontId="4" fillId="0" borderId="9" xfId="1" applyNumberFormat="1" applyBorder="1" applyAlignment="1">
      <alignment horizontal="right" vertical="center"/>
    </xf>
    <xf numFmtId="167" fontId="8" fillId="3" borderId="2" xfId="0" applyNumberFormat="1" applyFont="1" applyFill="1" applyBorder="1" applyAlignment="1">
      <alignment horizontal="right" vertical="center"/>
    </xf>
  </cellXfs>
  <cellStyles count="5">
    <cellStyle name="Normal" xfId="0" builtinId="0"/>
    <cellStyle name="Normal 2" xfId="2" xr:uid="{140F2FF7-CCE2-4EDB-BE8E-86569B8290C5}"/>
    <cellStyle name="Normal 2 2" xfId="3" xr:uid="{16AB7780-5AC8-434F-ACBA-35DDEDB3B532}"/>
    <cellStyle name="Normal 5" xfId="4" xr:uid="{3BF2B31C-931B-4242-891C-1B1E6B963188}"/>
    <cellStyle name="Porcentaje" xfId="1" builtinId="5"/>
  </cellStyles>
  <dxfs count="88">
    <dxf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numFmt numFmtId="166" formatCode="000%"/>
      <fill>
        <patternFill patternType="solid">
          <fgColor rgb="FFF2F2F2"/>
          <bgColor rgb="FFF4F6F9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#.##000"/>
      <fill>
        <patternFill patternType="solid">
          <fgColor rgb="FFF2F2F2"/>
          <bgColor rgb="FFF4F6F9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CCCCCC"/>
        </left>
        <right/>
        <top style="thin">
          <color rgb="FFCCCCCC"/>
        </top>
        <bottom style="thin">
          <color rgb="FFCCCCCC"/>
        </bottom>
      </border>
    </dxf>
    <dxf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#.##000"/>
      <fill>
        <patternFill patternType="solid">
          <fgColor rgb="FFF2F2F2"/>
          <bgColor rgb="FFF4F6F9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#.##000"/>
      <fill>
        <patternFill patternType="solid">
          <fgColor rgb="FFF2F2F2"/>
          <bgColor rgb="FFF4F6F9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#.##000"/>
      <fill>
        <patternFill patternType="solid">
          <fgColor rgb="FFF2F2F2"/>
          <bgColor rgb="FFF4F6F9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numFmt numFmtId="164" formatCode="0.0%"/>
      <alignment horizontal="right" vertical="center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numFmt numFmtId="164" formatCode="0.0%"/>
      <alignment horizontal="righ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numFmt numFmtId="164" formatCode="0.0%"/>
      <alignment horizontal="righ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85" formatCode="00.0%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 style="thin">
          <color rgb="FFCCCCCC"/>
        </top>
        <bottom style="thin">
          <color rgb="FFCCCCCC"/>
        </bottom>
      </border>
    </dxf>
    <dxf>
      <numFmt numFmtId="164" formatCode="0.0%"/>
      <border outline="0">
        <right style="thin">
          <color rgb="FFCCCCCC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85" formatCode="00.0%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CCCCCC"/>
        </left>
        <right/>
        <top style="thin">
          <color rgb="FFCCCCCC"/>
        </top>
        <bottom style="thin">
          <color rgb="FFCCCCCC"/>
        </bottom>
      </border>
    </dxf>
    <dxf>
      <font>
        <b val="0"/>
        <strike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00%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scheme val="none"/>
      </font>
      <fill>
        <patternFill patternType="solid">
          <fgColor rgb="FF1F3864"/>
          <bgColor rgb="FF1B3A6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border outline="0">
        <right style="thin">
          <color theme="4" tint="0.39997558519241921"/>
        </right>
        <bottom style="thin">
          <color theme="4" tint="0.39997558519241921"/>
        </bottom>
      </border>
    </dxf>
    <dxf>
      <numFmt numFmtId="4" formatCode="#,##0.0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4" formatCode="#,##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center" textRotation="0" wrapText="1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border outline="0">
        <left style="thin">
          <color rgb="FFCCCCCC"/>
        </left>
        <top style="thin">
          <color rgb="FFCCCCCC"/>
        </top>
        <bottom style="thin">
          <color rgb="FFCCCCCC"/>
        </bottom>
      </border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charset val="1"/>
        <scheme val="none"/>
      </font>
      <fill>
        <patternFill patternType="solid">
          <fgColor rgb="FF1F3864"/>
          <bgColor rgb="FF1B3A6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numFmt numFmtId="169" formatCode="0.00000"/>
    </dxf>
    <dxf>
      <border outline="0">
        <right style="thin">
          <color rgb="FFCCCCCC"/>
        </right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charset val="1"/>
        <scheme val="none"/>
      </font>
      <fill>
        <patternFill patternType="solid">
          <fgColor rgb="FF1F3864"/>
          <bgColor rgb="FF1B3A6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numFmt numFmtId="167" formatCode="#.##000"/>
      <fill>
        <patternFill patternType="solid">
          <fgColor rgb="FFF2F2F2"/>
          <bgColor rgb="FFF4F6F9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charset val="1"/>
        <scheme val="none"/>
      </font>
      <fill>
        <patternFill patternType="solid">
          <fgColor rgb="FF1F3864"/>
          <bgColor rgb="FF1B3A6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F2F2F2"/>
          <bgColor rgb="FFF4F6F9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F2F2F2"/>
          <bgColor rgb="FFF4F6F9"/>
        </patternFill>
      </fill>
      <alignment horizontal="right" vertical="center" textRotation="0" wrapText="0" indent="0" justifyLastLine="0" shrinkToFit="0" readingOrder="0"/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charset val="1"/>
        <scheme val="none"/>
      </font>
      <fill>
        <patternFill patternType="solid">
          <fgColor rgb="FF1F3864"/>
          <bgColor rgb="FF1B3A6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border outline="0">
        <left style="thin">
          <color rgb="FFCCCCCC"/>
        </left>
      </border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charset val="1"/>
        <scheme val="none"/>
      </font>
      <fill>
        <patternFill patternType="solid">
          <fgColor rgb="FF1F3864"/>
          <bgColor rgb="FF1B3A6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border outline="0">
        <left style="thin">
          <color rgb="FFCCCCCC"/>
        </left>
        <top style="thin">
          <color rgb="FFCCCCCC"/>
        </top>
      </border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charset val="1"/>
        <scheme val="none"/>
      </font>
      <fill>
        <patternFill patternType="solid">
          <fgColor rgb="FF1F3864"/>
          <bgColor rgb="FF1B3A6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border outline="0">
        <left style="thin">
          <color rgb="FFCCCCCC"/>
        </left>
        <top style="thin">
          <color rgb="FFCCCCCC"/>
        </top>
        <bottom style="thin">
          <color rgb="FFCCCCCC"/>
        </bottom>
      </border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charset val="1"/>
        <scheme val="none"/>
      </font>
      <fill>
        <patternFill patternType="solid">
          <fgColor rgb="FF1F3864"/>
          <bgColor rgb="FF1B3A6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charset val="1"/>
        <scheme val="none"/>
      </font>
      <fill>
        <patternFill patternType="solid">
          <fgColor rgb="FF1F3864"/>
          <bgColor rgb="FF1B3A6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0066CC"/>
          <bgColor rgb="FF2E75B6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14" formatCode="0.00%"/>
    </dxf>
    <dxf>
      <numFmt numFmtId="13" formatCode="0%"/>
    </dxf>
    <dxf>
      <numFmt numFmtId="13" formatCode="0%"/>
    </dxf>
    <dxf>
      <numFmt numFmtId="13" formatCode="0%"/>
    </dxf>
    <dxf>
      <border outline="0">
        <left style="thin">
          <color rgb="FFBFBFBF"/>
        </left>
        <top style="thin">
          <color rgb="FFBFBFBF"/>
        </top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0066CC"/>
          <bgColor rgb="FF2E75B6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A9B4C2"/>
      <rgbColor rgb="FF993366"/>
      <rgbColor rgb="FFF4F6F9"/>
      <rgbColor rgb="FFF2F2F2"/>
      <rgbColor rgb="FF660066"/>
      <rgbColor rgb="FFE8714A"/>
      <rgbColor rgb="FF0066CC"/>
      <rgbColor rgb="FFD0D7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B9CDE5"/>
      <rgbColor rgb="FFFF99CC"/>
      <rgbColor rgb="FFB3B3B3"/>
      <rgbColor rgb="FFFFD966"/>
      <rgbColor rgb="FF3366FF"/>
      <rgbColor rgb="FF33CCCC"/>
      <rgbColor rgb="FF99CC00"/>
      <rgbColor rgb="FFFFCC00"/>
      <rgbColor rgb="FFFF9900"/>
      <rgbColor rgb="FFFF6600"/>
      <rgbColor rgb="FF6D7A8A"/>
      <rgbColor rgb="FFAAAAAA"/>
      <rgbColor rgb="FF1B3A6B"/>
      <rgbColor rgb="FF70AD47"/>
      <rgbColor rgb="FF003300"/>
      <rgbColor rgb="FF333300"/>
      <rgbColor rgb="FF993300"/>
      <rgbColor rgb="FF993366"/>
      <rgbColor rgb="FF595959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F3864"/>
      <color rgb="FF1B3A6B"/>
      <color rgb="FFFFCC66"/>
      <color rgb="FF3770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Gráfico_IPM!$B$2</c:f>
              <c:strCache>
                <c:ptCount val="1"/>
                <c:pt idx="0">
                  <c:v>Hogares IPM </c:v>
                </c:pt>
              </c:strCache>
            </c:strRef>
          </c:tx>
          <c:spPr>
            <a:solidFill>
              <a:srgbClr val="1B3A6B"/>
            </a:solidFill>
            <a:ln w="12600">
              <a:solidFill>
                <a:srgbClr val="FFFFFF"/>
              </a:solidFill>
              <a:round/>
            </a:ln>
          </c:spPr>
          <c:invertIfNegative val="0"/>
          <c:dPt>
            <c:idx val="13"/>
            <c:invertIfNegative val="0"/>
            <c:bubble3D val="0"/>
            <c:spPr>
              <a:solidFill>
                <a:srgbClr val="3770CD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9C11-4F30-80EF-3F2BFD2C8E16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Gráfico_IPM!$A$3:$A$16</c:f>
              <c:strCache>
                <c:ptCount val="14"/>
                <c:pt idx="0">
                  <c:v>Angostura</c:v>
                </c:pt>
                <c:pt idx="1">
                  <c:v>Anorí</c:v>
                </c:pt>
                <c:pt idx="2">
                  <c:v>Briceño</c:v>
                </c:pt>
                <c:pt idx="3">
                  <c:v>Campamento</c:v>
                </c:pt>
                <c:pt idx="4">
                  <c:v>Carolina</c:v>
                </c:pt>
                <c:pt idx="5">
                  <c:v>Guadalupe</c:v>
                </c:pt>
                <c:pt idx="6">
                  <c:v>Gómez Plata</c:v>
                </c:pt>
                <c:pt idx="7">
                  <c:v>Ituango</c:v>
                </c:pt>
                <c:pt idx="8">
                  <c:v>San Andrés de C.</c:v>
                </c:pt>
                <c:pt idx="9">
                  <c:v>San José de la M.</c:v>
                </c:pt>
                <c:pt idx="10">
                  <c:v>Toledo</c:v>
                </c:pt>
                <c:pt idx="11">
                  <c:v>Valdivia</c:v>
                </c:pt>
                <c:pt idx="12">
                  <c:v>Yarumal</c:v>
                </c:pt>
                <c:pt idx="13">
                  <c:v>Promedio Provincia</c:v>
                </c:pt>
              </c:strCache>
            </c:strRef>
          </c:cat>
          <c:val>
            <c:numRef>
              <c:f>Gráfico_IPM!$B$3:$B$16</c:f>
              <c:numCache>
                <c:formatCode>0%</c:formatCode>
                <c:ptCount val="14"/>
                <c:pt idx="0">
                  <c:v>0.251</c:v>
                </c:pt>
                <c:pt idx="1">
                  <c:v>0.17699999999999999</c:v>
                </c:pt>
                <c:pt idx="2">
                  <c:v>0.3085</c:v>
                </c:pt>
                <c:pt idx="3">
                  <c:v>0.32</c:v>
                </c:pt>
                <c:pt idx="4">
                  <c:v>7.8399999999999997E-2</c:v>
                </c:pt>
                <c:pt idx="5">
                  <c:v>0.21890000000000001</c:v>
                </c:pt>
                <c:pt idx="6">
                  <c:v>0.13089999999999999</c:v>
                </c:pt>
                <c:pt idx="7">
                  <c:v>0.2298</c:v>
                </c:pt>
                <c:pt idx="8">
                  <c:v>0.2046</c:v>
                </c:pt>
                <c:pt idx="9">
                  <c:v>0.151</c:v>
                </c:pt>
                <c:pt idx="10">
                  <c:v>0.13519999999999999</c:v>
                </c:pt>
                <c:pt idx="11">
                  <c:v>0.1734</c:v>
                </c:pt>
                <c:pt idx="12">
                  <c:v>9.3599999999999989E-2</c:v>
                </c:pt>
                <c:pt idx="13">
                  <c:v>0.19020000000000001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11-4F30-80EF-3F2BFD2C8E16}"/>
            </c:ext>
          </c:extLst>
        </c:ser>
        <c:ser>
          <c:idx val="2"/>
          <c:order val="2"/>
          <c:tx>
            <c:strRef>
              <c:f>Gráfico_IPM!$D$2</c:f>
              <c:strCache>
                <c:ptCount val="1"/>
                <c:pt idx="0">
                  <c:v>Personas IPM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 w="12600">
              <a:solidFill>
                <a:srgbClr val="FFFFFF"/>
              </a:solidFill>
              <a:round/>
            </a:ln>
          </c:spPr>
          <c:invertIfNegative val="0"/>
          <c:dPt>
            <c:idx val="13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4-9C11-4F30-80EF-3F2BFD2C8E16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Gráfico_IPM!$A$3:$A$16</c:f>
              <c:strCache>
                <c:ptCount val="14"/>
                <c:pt idx="0">
                  <c:v>Angostura</c:v>
                </c:pt>
                <c:pt idx="1">
                  <c:v>Anorí</c:v>
                </c:pt>
                <c:pt idx="2">
                  <c:v>Briceño</c:v>
                </c:pt>
                <c:pt idx="3">
                  <c:v>Campamento</c:v>
                </c:pt>
                <c:pt idx="4">
                  <c:v>Carolina</c:v>
                </c:pt>
                <c:pt idx="5">
                  <c:v>Guadalupe</c:v>
                </c:pt>
                <c:pt idx="6">
                  <c:v>Gómez Plata</c:v>
                </c:pt>
                <c:pt idx="7">
                  <c:v>Ituango</c:v>
                </c:pt>
                <c:pt idx="8">
                  <c:v>San Andrés de C.</c:v>
                </c:pt>
                <c:pt idx="9">
                  <c:v>San José de la M.</c:v>
                </c:pt>
                <c:pt idx="10">
                  <c:v>Toledo</c:v>
                </c:pt>
                <c:pt idx="11">
                  <c:v>Valdivia</c:v>
                </c:pt>
                <c:pt idx="12">
                  <c:v>Yarumal</c:v>
                </c:pt>
                <c:pt idx="13">
                  <c:v>Promedio Provincia</c:v>
                </c:pt>
              </c:strCache>
            </c:strRef>
          </c:cat>
          <c:val>
            <c:numRef>
              <c:f>Gráfico_IPM!$D$3:$D$16</c:f>
              <c:numCache>
                <c:formatCode>0%</c:formatCode>
                <c:ptCount val="14"/>
                <c:pt idx="0">
                  <c:v>0.28420000000000001</c:v>
                </c:pt>
                <c:pt idx="1">
                  <c:v>0.19140000000000001</c:v>
                </c:pt>
                <c:pt idx="2">
                  <c:v>0.31190000000000001</c:v>
                </c:pt>
                <c:pt idx="3">
                  <c:v>0.38539999999999996</c:v>
                </c:pt>
                <c:pt idx="4">
                  <c:v>7.3800000000000004E-2</c:v>
                </c:pt>
                <c:pt idx="5">
                  <c:v>0.23850000000000002</c:v>
                </c:pt>
                <c:pt idx="6">
                  <c:v>0.14150000000000001</c:v>
                </c:pt>
                <c:pt idx="7">
                  <c:v>0.26989999999999997</c:v>
                </c:pt>
                <c:pt idx="8">
                  <c:v>0.23219999999999999</c:v>
                </c:pt>
                <c:pt idx="9">
                  <c:v>0.19120000000000001</c:v>
                </c:pt>
                <c:pt idx="10">
                  <c:v>0.1547</c:v>
                </c:pt>
                <c:pt idx="11">
                  <c:v>0.20250000000000001</c:v>
                </c:pt>
                <c:pt idx="12">
                  <c:v>0.1148</c:v>
                </c:pt>
                <c:pt idx="13">
                  <c:v>0.21479999999999999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11-4F30-80EF-3F2BFD2C8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505599"/>
        <c:axId val="5177533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Gráfico_IPM!$C$2</c15:sqref>
                        </c15:formulaRef>
                      </c:ext>
                    </c:extLst>
                    <c:strCache>
                      <c:ptCount val="1"/>
                      <c:pt idx="0">
                        <c:v>Hogares IPM Rural (%)</c:v>
                      </c:pt>
                    </c:strCache>
                  </c:strRef>
                </c:tx>
                <c:spPr>
                  <a:solidFill>
                    <a:srgbClr val="2E75B6"/>
                  </a:solidFill>
                  <a:ln w="12600">
                    <a:solidFill>
                      <a:srgbClr val="FFFFFF"/>
                    </a:solidFill>
                    <a:round/>
                  </a:ln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wrap="none"/>
                    <a:lstStyle/>
                    <a:p>
                      <a:pPr>
                        <a:defRPr sz="1000" b="0" strike="noStrike" spc="-1">
                          <a:latin typeface="Arial"/>
                        </a:defRPr>
                      </a:pPr>
                      <a:endParaRPr lang="es-CO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1"/>
                  <c:separator> </c:separator>
                  <c:showLeaderLines val="0"/>
                  <c:extLst>
                    <c:ext uri="{CE6537A1-D6FC-4f65-9D91-7224C49458BB}">
                      <c15:showLeaderLines val="1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Gráfico_IPM!$A$3:$A$16</c15:sqref>
                        </c15:formulaRef>
                      </c:ext>
                    </c:extLst>
                    <c:strCache>
                      <c:ptCount val="14"/>
                      <c:pt idx="0">
                        <c:v>Angostura</c:v>
                      </c:pt>
                      <c:pt idx="1">
                        <c:v>Anorí</c:v>
                      </c:pt>
                      <c:pt idx="2">
                        <c:v>Briceño</c:v>
                      </c:pt>
                      <c:pt idx="3">
                        <c:v>Campamento</c:v>
                      </c:pt>
                      <c:pt idx="4">
                        <c:v>Carolina</c:v>
                      </c:pt>
                      <c:pt idx="5">
                        <c:v>Guadalupe</c:v>
                      </c:pt>
                      <c:pt idx="6">
                        <c:v>Gómez Plata</c:v>
                      </c:pt>
                      <c:pt idx="7">
                        <c:v>Ituango</c:v>
                      </c:pt>
                      <c:pt idx="8">
                        <c:v>San Andrés de C.</c:v>
                      </c:pt>
                      <c:pt idx="9">
                        <c:v>San José de la M.</c:v>
                      </c:pt>
                      <c:pt idx="10">
                        <c:v>Toledo</c:v>
                      </c:pt>
                      <c:pt idx="11">
                        <c:v>Valdivia</c:v>
                      </c:pt>
                      <c:pt idx="12">
                        <c:v>Yarumal</c:v>
                      </c:pt>
                      <c:pt idx="13">
                        <c:v>Promedio Provincia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Gráfico_IPM!$C$3:$C$16</c15:sqref>
                        </c15:formulaRef>
                      </c:ext>
                    </c:extLst>
                    <c:numCache>
                      <c:formatCode>0%</c:formatCode>
                      <c:ptCount val="14"/>
                      <c:pt idx="0">
                        <c:v>0.32689999999999997</c:v>
                      </c:pt>
                      <c:pt idx="1">
                        <c:v>0.26190000000000002</c:v>
                      </c:pt>
                      <c:pt idx="2">
                        <c:v>0.3553</c:v>
                      </c:pt>
                      <c:pt idx="3">
                        <c:v>0.45880000000000004</c:v>
                      </c:pt>
                      <c:pt idx="4">
                        <c:v>0.12119999999999999</c:v>
                      </c:pt>
                      <c:pt idx="5">
                        <c:v>0.32219999999999999</c:v>
                      </c:pt>
                      <c:pt idx="6">
                        <c:v>0.2198</c:v>
                      </c:pt>
                      <c:pt idx="7">
                        <c:v>0.30510000000000004</c:v>
                      </c:pt>
                      <c:pt idx="8">
                        <c:v>0.28420000000000001</c:v>
                      </c:pt>
                      <c:pt idx="9">
                        <c:v>0.2576</c:v>
                      </c:pt>
                      <c:pt idx="10">
                        <c:v>0.18679999999999999</c:v>
                      </c:pt>
                      <c:pt idx="11">
                        <c:v>0.1618</c:v>
                      </c:pt>
                      <c:pt idx="12">
                        <c:v>0.20469999999999999</c:v>
                      </c:pt>
                      <c:pt idx="13">
                        <c:v>0.2666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C11-4F30-80EF-3F2BFD2C8E1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Gráfico_IPM!$E$2</c15:sqref>
                        </c15:formulaRef>
                      </c:ext>
                    </c:extLst>
                    <c:strCache>
                      <c:ptCount val="1"/>
                      <c:pt idx="0">
                        <c:v>Ref. Depto Personas IPM (%)</c:v>
                      </c:pt>
                    </c:strCache>
                  </c:strRef>
                </c:tx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Gráfico_IPM!$A$3:$A$16</c15:sqref>
                        </c15:formulaRef>
                      </c:ext>
                    </c:extLst>
                    <c:strCache>
                      <c:ptCount val="14"/>
                      <c:pt idx="0">
                        <c:v>Angostura</c:v>
                      </c:pt>
                      <c:pt idx="1">
                        <c:v>Anorí</c:v>
                      </c:pt>
                      <c:pt idx="2">
                        <c:v>Briceño</c:v>
                      </c:pt>
                      <c:pt idx="3">
                        <c:v>Campamento</c:v>
                      </c:pt>
                      <c:pt idx="4">
                        <c:v>Carolina</c:v>
                      </c:pt>
                      <c:pt idx="5">
                        <c:v>Guadalupe</c:v>
                      </c:pt>
                      <c:pt idx="6">
                        <c:v>Gómez Plata</c:v>
                      </c:pt>
                      <c:pt idx="7">
                        <c:v>Ituango</c:v>
                      </c:pt>
                      <c:pt idx="8">
                        <c:v>San Andrés de C.</c:v>
                      </c:pt>
                      <c:pt idx="9">
                        <c:v>San José de la M.</c:v>
                      </c:pt>
                      <c:pt idx="10">
                        <c:v>Toledo</c:v>
                      </c:pt>
                      <c:pt idx="11">
                        <c:v>Valdivia</c:v>
                      </c:pt>
                      <c:pt idx="12">
                        <c:v>Yarumal</c:v>
                      </c:pt>
                      <c:pt idx="13">
                        <c:v>Promedio Provincia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Gráfico_IPM!$E$3:$E$16</c15:sqref>
                        </c15:formulaRef>
                      </c:ext>
                    </c:extLst>
                    <c:numCache>
                      <c:formatCode>0.00%</c:formatCode>
                      <c:ptCount val="14"/>
                      <c:pt idx="0">
                        <c:v>0.1012</c:v>
                      </c:pt>
                      <c:pt idx="1">
                        <c:v>0.1012</c:v>
                      </c:pt>
                      <c:pt idx="2">
                        <c:v>0.1012</c:v>
                      </c:pt>
                      <c:pt idx="3">
                        <c:v>0.1012</c:v>
                      </c:pt>
                      <c:pt idx="4">
                        <c:v>0.1012</c:v>
                      </c:pt>
                      <c:pt idx="5">
                        <c:v>0.1012</c:v>
                      </c:pt>
                      <c:pt idx="6">
                        <c:v>0.1012</c:v>
                      </c:pt>
                      <c:pt idx="7">
                        <c:v>0.1012</c:v>
                      </c:pt>
                      <c:pt idx="8">
                        <c:v>0.1012</c:v>
                      </c:pt>
                      <c:pt idx="9">
                        <c:v>0.1012</c:v>
                      </c:pt>
                      <c:pt idx="10">
                        <c:v>0.1012</c:v>
                      </c:pt>
                      <c:pt idx="11">
                        <c:v>0.1012</c:v>
                      </c:pt>
                      <c:pt idx="12">
                        <c:v>0.1012</c:v>
                      </c:pt>
                      <c:pt idx="13">
                        <c:v>0.1012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C11-4F30-80EF-3F2BFD2C8E16}"/>
                  </c:ext>
                </c:extLst>
              </c15:ser>
            </c15:filteredBarSeries>
          </c:ext>
        </c:extLst>
      </c:barChart>
      <c:catAx>
        <c:axId val="73505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 rot="-5400000" vert="horz"/>
          <a:lstStyle/>
          <a:p>
            <a:pPr>
              <a:defRPr/>
            </a:pPr>
            <a:endParaRPr lang="es-CO"/>
          </a:p>
        </c:txPr>
        <c:crossAx val="51775336"/>
        <c:crosses val="autoZero"/>
        <c:auto val="1"/>
        <c:lblAlgn val="ctr"/>
        <c:lblOffset val="100"/>
        <c:noMultiLvlLbl val="0"/>
      </c:catAx>
      <c:valAx>
        <c:axId val="51775336"/>
        <c:scaling>
          <c:orientation val="minMax"/>
          <c:max val="0.45"/>
          <c:min val="0"/>
        </c:scaling>
        <c:delete val="0"/>
        <c:axPos val="l"/>
        <c:numFmt formatCode="0%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crossAx val="73505599"/>
        <c:crosses val="autoZero"/>
        <c:crossBetween val="between"/>
        <c:majorUnit val="0.1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'Gráfico_Pobreza (2)'!$B$2</c:f>
              <c:strCache>
                <c:ptCount val="1"/>
                <c:pt idx="0">
                  <c:v>NBI Total (%)</c:v>
                </c:pt>
              </c:strCache>
            </c:strRef>
          </c:tx>
          <c:spPr>
            <a:solidFill>
              <a:srgbClr val="1F3864"/>
            </a:solidFill>
            <a:ln w="12600">
              <a:solidFill>
                <a:srgbClr val="FFFFFF"/>
              </a:solidFill>
              <a:round/>
            </a:ln>
          </c:spPr>
          <c:invertIfNegative val="0"/>
          <c:dPt>
            <c:idx val="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C625-4784-96AC-D34A9665996E}"/>
              </c:ext>
            </c:extLst>
          </c:dPt>
          <c:cat>
            <c:strRef>
              <c:f>'Gráfico_Pobreza (2)'!$A$3:$A$16</c:f>
              <c:strCache>
                <c:ptCount val="14"/>
                <c:pt idx="0">
                  <c:v>Gómez Plata</c:v>
                </c:pt>
                <c:pt idx="1">
                  <c:v>Yarumal</c:v>
                </c:pt>
                <c:pt idx="2">
                  <c:v>Carolina</c:v>
                </c:pt>
                <c:pt idx="3">
                  <c:v>Toledo</c:v>
                </c:pt>
                <c:pt idx="4">
                  <c:v>Valdivia</c:v>
                </c:pt>
                <c:pt idx="5">
                  <c:v>San José de la M.</c:v>
                </c:pt>
                <c:pt idx="6">
                  <c:v>Ituango</c:v>
                </c:pt>
                <c:pt idx="7">
                  <c:v>Promedio Provincia</c:v>
                </c:pt>
                <c:pt idx="8">
                  <c:v>Angostura</c:v>
                </c:pt>
                <c:pt idx="9">
                  <c:v>Guadalupe</c:v>
                </c:pt>
                <c:pt idx="10">
                  <c:v>San Andrés de C.</c:v>
                </c:pt>
                <c:pt idx="11">
                  <c:v>Briceño</c:v>
                </c:pt>
                <c:pt idx="12">
                  <c:v>Campamento</c:v>
                </c:pt>
                <c:pt idx="13">
                  <c:v>Anorí</c:v>
                </c:pt>
              </c:strCache>
            </c:strRef>
          </c:cat>
          <c:val>
            <c:numRef>
              <c:f>'Gráfico_Pobreza (2)'!$B$3:$B$16</c:f>
              <c:numCache>
                <c:formatCode>0.00%</c:formatCode>
                <c:ptCount val="14"/>
                <c:pt idx="0">
                  <c:v>9.4299999999999995E-2</c:v>
                </c:pt>
                <c:pt idx="1">
                  <c:v>0.12189999999999999</c:v>
                </c:pt>
                <c:pt idx="2">
                  <c:v>0.14730000000000001</c:v>
                </c:pt>
                <c:pt idx="3">
                  <c:v>0.15560000000000002</c:v>
                </c:pt>
                <c:pt idx="4">
                  <c:v>0.18659999999999999</c:v>
                </c:pt>
                <c:pt idx="5">
                  <c:v>0.20860000000000001</c:v>
                </c:pt>
                <c:pt idx="6">
                  <c:v>0.20910000000000001</c:v>
                </c:pt>
                <c:pt idx="7">
                  <c:v>0.20920000000000002</c:v>
                </c:pt>
                <c:pt idx="8">
                  <c:v>0.21640000000000001</c:v>
                </c:pt>
                <c:pt idx="9">
                  <c:v>0.2409</c:v>
                </c:pt>
                <c:pt idx="10">
                  <c:v>0.2606</c:v>
                </c:pt>
                <c:pt idx="11">
                  <c:v>0.2797</c:v>
                </c:pt>
                <c:pt idx="12">
                  <c:v>0.2888</c:v>
                </c:pt>
                <c:pt idx="13">
                  <c:v>0.30980000000000002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25-4784-96AC-D34A96659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87749192"/>
        <c:axId val="37812288"/>
      </c:barChart>
      <c:lineChart>
        <c:grouping val="standard"/>
        <c:varyColors val="0"/>
        <c:ser>
          <c:idx val="1"/>
          <c:order val="1"/>
          <c:tx>
            <c:strRef>
              <c:f>'Gráfico_Pobreza (2)'!$C$2</c:f>
              <c:strCache>
                <c:ptCount val="1"/>
                <c:pt idx="0">
                  <c:v>NBI Rural (%)</c:v>
                </c:pt>
              </c:strCache>
            </c:strRef>
          </c:tx>
          <c:spPr>
            <a:ln w="12600">
              <a:noFill/>
              <a:round/>
            </a:ln>
          </c:spPr>
          <c:marker>
            <c:symbol val="diamond"/>
            <c:size val="16"/>
            <c:spPr>
              <a:ln>
                <a:solidFill>
                  <a:schemeClr val="bg1">
                    <a:lumMod val="95000"/>
                  </a:schemeClr>
                </a:solidFill>
              </a:ln>
            </c:spPr>
          </c:marker>
          <c:cat>
            <c:strRef>
              <c:f>'Gráfico_Pobreza (2)'!$A$3:$A$16</c:f>
              <c:strCache>
                <c:ptCount val="14"/>
                <c:pt idx="0">
                  <c:v>Gómez Plata</c:v>
                </c:pt>
                <c:pt idx="1">
                  <c:v>Yarumal</c:v>
                </c:pt>
                <c:pt idx="2">
                  <c:v>Carolina</c:v>
                </c:pt>
                <c:pt idx="3">
                  <c:v>Toledo</c:v>
                </c:pt>
                <c:pt idx="4">
                  <c:v>Valdivia</c:v>
                </c:pt>
                <c:pt idx="5">
                  <c:v>San José de la M.</c:v>
                </c:pt>
                <c:pt idx="6">
                  <c:v>Ituango</c:v>
                </c:pt>
                <c:pt idx="7">
                  <c:v>Promedio Provincia</c:v>
                </c:pt>
                <c:pt idx="8">
                  <c:v>Angostura</c:v>
                </c:pt>
                <c:pt idx="9">
                  <c:v>Guadalupe</c:v>
                </c:pt>
                <c:pt idx="10">
                  <c:v>San Andrés de C.</c:v>
                </c:pt>
                <c:pt idx="11">
                  <c:v>Briceño</c:v>
                </c:pt>
                <c:pt idx="12">
                  <c:v>Campamento</c:v>
                </c:pt>
                <c:pt idx="13">
                  <c:v>Anorí</c:v>
                </c:pt>
              </c:strCache>
            </c:strRef>
          </c:cat>
          <c:val>
            <c:numRef>
              <c:f>'Gráfico_Pobreza (2)'!$C$3:$C$16</c:f>
              <c:numCache>
                <c:formatCode>0.00%</c:formatCode>
                <c:ptCount val="14"/>
                <c:pt idx="0">
                  <c:v>0.1026</c:v>
                </c:pt>
                <c:pt idx="1">
                  <c:v>0.23699999999999999</c:v>
                </c:pt>
                <c:pt idx="2">
                  <c:v>7.8399999999999997E-2</c:v>
                </c:pt>
                <c:pt idx="3">
                  <c:v>0.18969999999999998</c:v>
                </c:pt>
                <c:pt idx="4">
                  <c:v>0.13600000000000001</c:v>
                </c:pt>
                <c:pt idx="5">
                  <c:v>0.25719999999999998</c:v>
                </c:pt>
                <c:pt idx="6">
                  <c:v>0.21260000000000001</c:v>
                </c:pt>
                <c:pt idx="7">
                  <c:v>0.23829999999999998</c:v>
                </c:pt>
                <c:pt idx="8">
                  <c:v>0.21989999999999998</c:v>
                </c:pt>
                <c:pt idx="9">
                  <c:v>0.31109999999999999</c:v>
                </c:pt>
                <c:pt idx="10">
                  <c:v>0.28809999999999997</c:v>
                </c:pt>
                <c:pt idx="11">
                  <c:v>0.35670000000000002</c:v>
                </c:pt>
                <c:pt idx="12">
                  <c:v>0.33110000000000001</c:v>
                </c:pt>
                <c:pt idx="13">
                  <c:v>0.37790000000000001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25-4784-96AC-D34A96659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749192"/>
        <c:axId val="37812288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'Gráfico_Pobreza (2)'!$D$2</c15:sqref>
                        </c15:formulaRef>
                      </c:ext>
                    </c:extLst>
                    <c:strCache>
                      <c:ptCount val="1"/>
                      <c:pt idx="0">
                        <c:v>Bajo LP Total (%)</c:v>
                      </c:pt>
                    </c:strCache>
                  </c:strRef>
                </c:tx>
                <c:spPr>
                  <a:ln w="12600">
                    <a:solidFill>
                      <a:srgbClr val="FFFFFF"/>
                    </a:solidFill>
                    <a:round/>
                  </a:ln>
                </c:spPr>
                <c:marker>
                  <c:symbol val="diamond"/>
                  <c:size val="13"/>
                </c:marker>
                <c:cat>
                  <c:strRef>
                    <c:extLst>
                      <c:ext uri="{02D57815-91ED-43cb-92C2-25804820EDAC}">
                        <c15:formulaRef>
                          <c15:sqref>'Gráfico_Pobreza (2)'!$A$3:$A$16</c15:sqref>
                        </c15:formulaRef>
                      </c:ext>
                    </c:extLst>
                    <c:strCache>
                      <c:ptCount val="14"/>
                      <c:pt idx="0">
                        <c:v>Gómez Plata</c:v>
                      </c:pt>
                      <c:pt idx="1">
                        <c:v>Yarumal</c:v>
                      </c:pt>
                      <c:pt idx="2">
                        <c:v>Carolina</c:v>
                      </c:pt>
                      <c:pt idx="3">
                        <c:v>Toledo</c:v>
                      </c:pt>
                      <c:pt idx="4">
                        <c:v>Valdivia</c:v>
                      </c:pt>
                      <c:pt idx="5">
                        <c:v>San José de la M.</c:v>
                      </c:pt>
                      <c:pt idx="6">
                        <c:v>Ituango</c:v>
                      </c:pt>
                      <c:pt idx="7">
                        <c:v>Promedio Provincia</c:v>
                      </c:pt>
                      <c:pt idx="8">
                        <c:v>Angostura</c:v>
                      </c:pt>
                      <c:pt idx="9">
                        <c:v>Guadalupe</c:v>
                      </c:pt>
                      <c:pt idx="10">
                        <c:v>San Andrés de C.</c:v>
                      </c:pt>
                      <c:pt idx="11">
                        <c:v>Briceño</c:v>
                      </c:pt>
                      <c:pt idx="12">
                        <c:v>Campamento</c:v>
                      </c:pt>
                      <c:pt idx="13">
                        <c:v>Anorí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'Gráfico_Pobreza (2)'!$D$3:$D$16</c15:sqref>
                        </c15:formulaRef>
                      </c:ext>
                    </c:extLst>
                    <c:numCache>
                      <c:formatCode>0.00%</c:formatCode>
                      <c:ptCount val="14"/>
                      <c:pt idx="0">
                        <c:v>0.20550000000000002</c:v>
                      </c:pt>
                      <c:pt idx="1">
                        <c:v>0.33090000000000003</c:v>
                      </c:pt>
                      <c:pt idx="2">
                        <c:v>0.25730000000000003</c:v>
                      </c:pt>
                      <c:pt idx="3">
                        <c:v>0.35799999999999998</c:v>
                      </c:pt>
                      <c:pt idx="4">
                        <c:v>0.30469999999999997</c:v>
                      </c:pt>
                      <c:pt idx="5">
                        <c:v>0.36659999999999998</c:v>
                      </c:pt>
                      <c:pt idx="6">
                        <c:v>0.48930000000000001</c:v>
                      </c:pt>
                      <c:pt idx="7">
                        <c:v>0.32469999999999999</c:v>
                      </c:pt>
                      <c:pt idx="8">
                        <c:v>0.37659999999999999</c:v>
                      </c:pt>
                      <c:pt idx="9">
                        <c:v>0.25650000000000001</c:v>
                      </c:pt>
                      <c:pt idx="10">
                        <c:v>0.36060000000000003</c:v>
                      </c:pt>
                      <c:pt idx="11">
                        <c:v>0.37380000000000002</c:v>
                      </c:pt>
                      <c:pt idx="12">
                        <c:v>0.34710000000000002</c:v>
                      </c:pt>
                      <c:pt idx="13">
                        <c:v>0.1938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C625-4784-96AC-D34A9665996E}"/>
                  </c:ext>
                </c:extLst>
              </c15:ser>
            </c15:filteredLineSeries>
          </c:ext>
        </c:extLst>
      </c:lineChart>
      <c:catAx>
        <c:axId val="87749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 rot="-5400000" vert="horz"/>
          <a:lstStyle/>
          <a:p>
            <a:pPr>
              <a:defRPr/>
            </a:pPr>
            <a:endParaRPr lang="es-CO"/>
          </a:p>
        </c:txPr>
        <c:crossAx val="37812288"/>
        <c:crosses val="autoZero"/>
        <c:auto val="1"/>
        <c:lblAlgn val="ctr"/>
        <c:lblOffset val="100"/>
        <c:noMultiLvlLbl val="0"/>
      </c:catAx>
      <c:valAx>
        <c:axId val="37812288"/>
        <c:scaling>
          <c:orientation val="minMax"/>
          <c:max val="0.4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crossAx val="87749192"/>
        <c:crosses val="autoZero"/>
        <c:crossBetween val="between"/>
        <c:majorUnit val="0.1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Gráfico_IDE!$B$2</c:f>
              <c:strCache>
                <c:ptCount val="1"/>
                <c:pt idx="0">
                  <c:v>Municipio</c:v>
                </c:pt>
              </c:strCache>
            </c:strRef>
          </c:tx>
          <c:spPr>
            <a:solidFill>
              <a:srgbClr val="1F3864"/>
            </a:solidFill>
            <a:ln w="12600">
              <a:solidFill>
                <a:srgbClr val="FFFFFF"/>
              </a:solidFill>
              <a:round/>
            </a:ln>
          </c:spPr>
          <c:invertIfNegative val="0"/>
          <c:dPt>
            <c:idx val="13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6-8771-48B0-B43B-1E5328480FB4}"/>
              </c:ext>
            </c:extLst>
          </c:dPt>
          <c:dLbls>
            <c:spPr>
              <a:noFill/>
              <a:ln>
                <a:solidFill>
                  <a:sysClr val="windowText" lastClr="000000"/>
                </a:solidFill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Gráfico_IDE!$A$3:$A$16</c:f>
              <c:strCache>
                <c:ptCount val="14"/>
                <c:pt idx="0">
                  <c:v>Ituango</c:v>
                </c:pt>
                <c:pt idx="1">
                  <c:v>Yarumal</c:v>
                </c:pt>
                <c:pt idx="2">
                  <c:v>Guadalupe</c:v>
                </c:pt>
                <c:pt idx="3">
                  <c:v>San José de La Montaña</c:v>
                </c:pt>
                <c:pt idx="4">
                  <c:v>Valdivia</c:v>
                </c:pt>
                <c:pt idx="5">
                  <c:v>Anorí</c:v>
                </c:pt>
                <c:pt idx="6">
                  <c:v>Carolina</c:v>
                </c:pt>
                <c:pt idx="7">
                  <c:v>Angostura</c:v>
                </c:pt>
                <c:pt idx="8">
                  <c:v>Toledo</c:v>
                </c:pt>
                <c:pt idx="9">
                  <c:v>Briceño</c:v>
                </c:pt>
                <c:pt idx="10">
                  <c:v>Gómez Plata</c:v>
                </c:pt>
                <c:pt idx="11">
                  <c:v>Campamento</c:v>
                </c:pt>
                <c:pt idx="12">
                  <c:v>San Andrés de Cuerquía</c:v>
                </c:pt>
                <c:pt idx="13">
                  <c:v>Promedio Provincia</c:v>
                </c:pt>
              </c:strCache>
            </c:strRef>
          </c:cat>
          <c:val>
            <c:numRef>
              <c:f>Gráfico_IDE!$B$3:$B$16</c:f>
              <c:numCache>
                <c:formatCode>0.00</c:formatCode>
                <c:ptCount val="14"/>
                <c:pt idx="0">
                  <c:v>51.19</c:v>
                </c:pt>
                <c:pt idx="1">
                  <c:v>61.99</c:v>
                </c:pt>
                <c:pt idx="2">
                  <c:v>63.84</c:v>
                </c:pt>
                <c:pt idx="3">
                  <c:v>64.56</c:v>
                </c:pt>
                <c:pt idx="4">
                  <c:v>64.59</c:v>
                </c:pt>
                <c:pt idx="5">
                  <c:v>65.34</c:v>
                </c:pt>
                <c:pt idx="6">
                  <c:v>66.05</c:v>
                </c:pt>
                <c:pt idx="7">
                  <c:v>66.92</c:v>
                </c:pt>
                <c:pt idx="8">
                  <c:v>69.03</c:v>
                </c:pt>
                <c:pt idx="9">
                  <c:v>69.37</c:v>
                </c:pt>
                <c:pt idx="10">
                  <c:v>70.099999999999994</c:v>
                </c:pt>
                <c:pt idx="11">
                  <c:v>72.2</c:v>
                </c:pt>
                <c:pt idx="12">
                  <c:v>72.5</c:v>
                </c:pt>
                <c:pt idx="13">
                  <c:v>65.98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71-48B0-B43B-1E5328480F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axId val="98704098"/>
        <c:axId val="2906049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Gráfico_IDE!$C$2</c15:sqref>
                        </c15:formulaRef>
                      </c:ext>
                    </c:extLst>
                    <c:strCache>
                      <c:ptCount val="1"/>
                      <c:pt idx="0">
                        <c:v>Departamento</c:v>
                      </c:pt>
                    </c:strCache>
                  </c:strRef>
                </c:tx>
                <c:spPr>
                  <a:solidFill>
                    <a:srgbClr val="ED7D31"/>
                  </a:solidFill>
                  <a:ln w="12600">
                    <a:solidFill>
                      <a:srgbClr val="FFFFFF"/>
                    </a:solidFill>
                    <a:round/>
                  </a:ln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Gráfico_IDE!$A$3:$A$16</c15:sqref>
                        </c15:formulaRef>
                      </c:ext>
                    </c:extLst>
                    <c:strCache>
                      <c:ptCount val="14"/>
                      <c:pt idx="0">
                        <c:v>Ituango</c:v>
                      </c:pt>
                      <c:pt idx="1">
                        <c:v>Yarumal</c:v>
                      </c:pt>
                      <c:pt idx="2">
                        <c:v>Guadalupe</c:v>
                      </c:pt>
                      <c:pt idx="3">
                        <c:v>San José de La Montaña</c:v>
                      </c:pt>
                      <c:pt idx="4">
                        <c:v>Valdivia</c:v>
                      </c:pt>
                      <c:pt idx="5">
                        <c:v>Anorí</c:v>
                      </c:pt>
                      <c:pt idx="6">
                        <c:v>Carolina</c:v>
                      </c:pt>
                      <c:pt idx="7">
                        <c:v>Angostura</c:v>
                      </c:pt>
                      <c:pt idx="8">
                        <c:v>Toledo</c:v>
                      </c:pt>
                      <c:pt idx="9">
                        <c:v>Briceño</c:v>
                      </c:pt>
                      <c:pt idx="10">
                        <c:v>Gómez Plata</c:v>
                      </c:pt>
                      <c:pt idx="11">
                        <c:v>Campamento</c:v>
                      </c:pt>
                      <c:pt idx="12">
                        <c:v>San Andrés de Cuerquía</c:v>
                      </c:pt>
                      <c:pt idx="13">
                        <c:v>Promedio Provincia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Gráfico_IDE!$C$3:$C$16</c15:sqref>
                        </c15:formulaRef>
                      </c:ext>
                    </c:extLst>
                    <c:numCache>
                      <c:formatCode>0.00</c:formatCode>
                      <c:ptCount val="14"/>
                      <c:pt idx="0">
                        <c:v>66.38</c:v>
                      </c:pt>
                      <c:pt idx="1">
                        <c:v>66.38</c:v>
                      </c:pt>
                      <c:pt idx="2">
                        <c:v>66.38</c:v>
                      </c:pt>
                      <c:pt idx="3">
                        <c:v>66.38</c:v>
                      </c:pt>
                      <c:pt idx="4">
                        <c:v>66.38</c:v>
                      </c:pt>
                      <c:pt idx="5">
                        <c:v>66.38</c:v>
                      </c:pt>
                      <c:pt idx="6">
                        <c:v>66.38</c:v>
                      </c:pt>
                      <c:pt idx="7">
                        <c:v>66.38</c:v>
                      </c:pt>
                      <c:pt idx="8">
                        <c:v>66.38</c:v>
                      </c:pt>
                      <c:pt idx="9">
                        <c:v>66.38</c:v>
                      </c:pt>
                      <c:pt idx="10">
                        <c:v>66.38</c:v>
                      </c:pt>
                      <c:pt idx="11">
                        <c:v>66.38</c:v>
                      </c:pt>
                      <c:pt idx="12">
                        <c:v>66.38</c:v>
                      </c:pt>
                      <c:pt idx="13">
                        <c:v>66.38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8771-48B0-B43B-1E5328480FB4}"/>
                  </c:ext>
                </c:extLst>
              </c15:ser>
            </c15:filteredBarSeries>
          </c:ext>
        </c:extLst>
      </c:barChart>
      <c:catAx>
        <c:axId val="9870409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crossAx val="29060496"/>
        <c:crosses val="autoZero"/>
        <c:auto val="1"/>
        <c:lblAlgn val="ctr"/>
        <c:lblOffset val="100"/>
        <c:noMultiLvlLbl val="0"/>
      </c:catAx>
      <c:valAx>
        <c:axId val="29060496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987040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 sz="1050">
          <a:latin typeface="Times New Roman" panose="02020603050405020304" pitchFamily="18" charset="0"/>
          <a:cs typeface="Times New Roman" panose="02020603050405020304" pitchFamily="18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Gráfico_IDE!$B$2</c:f>
              <c:strCache>
                <c:ptCount val="1"/>
                <c:pt idx="0">
                  <c:v>Municipio</c:v>
                </c:pt>
              </c:strCache>
            </c:strRef>
          </c:tx>
          <c:spPr>
            <a:solidFill>
              <a:srgbClr val="1F3864"/>
            </a:solidFill>
            <a:ln w="12600">
              <a:solidFill>
                <a:srgbClr val="FFFFFF"/>
              </a:solidFill>
              <a:round/>
            </a:ln>
          </c:spPr>
          <c:invertIfNegative val="0"/>
          <c:dPt>
            <c:idx val="13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F721-4B33-B3C0-C5EDB6D23126}"/>
              </c:ext>
            </c:extLst>
          </c:dPt>
          <c:dLbls>
            <c:spPr>
              <a:noFill/>
              <a:ln>
                <a:solidFill>
                  <a:sysClr val="windowText" lastClr="000000"/>
                </a:solidFill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Gráfico_IDE!$A$3:$A$16</c:f>
              <c:strCache>
                <c:ptCount val="14"/>
                <c:pt idx="0">
                  <c:v>Ituango</c:v>
                </c:pt>
                <c:pt idx="1">
                  <c:v>Yarumal</c:v>
                </c:pt>
                <c:pt idx="2">
                  <c:v>Guadalupe</c:v>
                </c:pt>
                <c:pt idx="3">
                  <c:v>San José de La Montaña</c:v>
                </c:pt>
                <c:pt idx="4">
                  <c:v>Valdivia</c:v>
                </c:pt>
                <c:pt idx="5">
                  <c:v>Anorí</c:v>
                </c:pt>
                <c:pt idx="6">
                  <c:v>Carolina</c:v>
                </c:pt>
                <c:pt idx="7">
                  <c:v>Angostura</c:v>
                </c:pt>
                <c:pt idx="8">
                  <c:v>Toledo</c:v>
                </c:pt>
                <c:pt idx="9">
                  <c:v>Briceño</c:v>
                </c:pt>
                <c:pt idx="10">
                  <c:v>Gómez Plata</c:v>
                </c:pt>
                <c:pt idx="11">
                  <c:v>Campamento</c:v>
                </c:pt>
                <c:pt idx="12">
                  <c:v>San Andrés de Cuerquía</c:v>
                </c:pt>
                <c:pt idx="13">
                  <c:v>Promedio Provincia</c:v>
                </c:pt>
              </c:strCache>
            </c:strRef>
          </c:cat>
          <c:val>
            <c:numRef>
              <c:f>Gráfico_IDE!$B$3:$B$16</c:f>
              <c:numCache>
                <c:formatCode>0.00</c:formatCode>
                <c:ptCount val="14"/>
                <c:pt idx="0">
                  <c:v>51.19</c:v>
                </c:pt>
                <c:pt idx="1">
                  <c:v>61.99</c:v>
                </c:pt>
                <c:pt idx="2">
                  <c:v>63.84</c:v>
                </c:pt>
                <c:pt idx="3">
                  <c:v>64.56</c:v>
                </c:pt>
                <c:pt idx="4">
                  <c:v>64.59</c:v>
                </c:pt>
                <c:pt idx="5">
                  <c:v>65.34</c:v>
                </c:pt>
                <c:pt idx="6">
                  <c:v>66.05</c:v>
                </c:pt>
                <c:pt idx="7">
                  <c:v>66.92</c:v>
                </c:pt>
                <c:pt idx="8">
                  <c:v>69.03</c:v>
                </c:pt>
                <c:pt idx="9">
                  <c:v>69.37</c:v>
                </c:pt>
                <c:pt idx="10">
                  <c:v>70.099999999999994</c:v>
                </c:pt>
                <c:pt idx="11">
                  <c:v>72.2</c:v>
                </c:pt>
                <c:pt idx="12">
                  <c:v>72.5</c:v>
                </c:pt>
                <c:pt idx="13">
                  <c:v>65.98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21-4B33-B3C0-C5EDB6D231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axId val="98704098"/>
        <c:axId val="29060496"/>
        <c:extLst/>
      </c:barChart>
      <c:scatterChart>
        <c:scatterStyle val="lineMarker"/>
        <c:varyColors val="0"/>
        <c:ser>
          <c:idx val="1"/>
          <c:order val="1"/>
          <c:tx>
            <c:strRef>
              <c:f>Gráfico_IDE!$C$2</c:f>
              <c:strCache>
                <c:ptCount val="1"/>
                <c:pt idx="0">
                  <c:v>Departamento</c:v>
                </c:pt>
              </c:strCache>
              <c:extLst xmlns:c15="http://schemas.microsoft.com/office/drawing/2012/chart"/>
            </c:strRef>
          </c:tx>
          <c:spPr>
            <a:ln w="25400">
              <a:noFill/>
            </a:ln>
          </c:spP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Gráfico_IDE!$A$3:$A$16</c:f>
              <c:strCache>
                <c:ptCount val="14"/>
                <c:pt idx="0">
                  <c:v>Ituango</c:v>
                </c:pt>
                <c:pt idx="1">
                  <c:v>Yarumal</c:v>
                </c:pt>
                <c:pt idx="2">
                  <c:v>Guadalupe</c:v>
                </c:pt>
                <c:pt idx="3">
                  <c:v>San José de La Montaña</c:v>
                </c:pt>
                <c:pt idx="4">
                  <c:v>Valdivia</c:v>
                </c:pt>
                <c:pt idx="5">
                  <c:v>Anorí</c:v>
                </c:pt>
                <c:pt idx="6">
                  <c:v>Carolina</c:v>
                </c:pt>
                <c:pt idx="7">
                  <c:v>Angostura</c:v>
                </c:pt>
                <c:pt idx="8">
                  <c:v>Toledo</c:v>
                </c:pt>
                <c:pt idx="9">
                  <c:v>Briceño</c:v>
                </c:pt>
                <c:pt idx="10">
                  <c:v>Gómez Plata</c:v>
                </c:pt>
                <c:pt idx="11">
                  <c:v>Campamento</c:v>
                </c:pt>
                <c:pt idx="12">
                  <c:v>San Andrés de Cuerquía</c:v>
                </c:pt>
                <c:pt idx="13">
                  <c:v>Promedio Provincia</c:v>
                </c:pt>
              </c:strCache>
              <c:extLst xmlns:c15="http://schemas.microsoft.com/office/drawing/2012/chart"/>
            </c:strRef>
          </c:xVal>
          <c:yVal>
            <c:numRef>
              <c:f>Gráfico_IDE!$C$3:$C$16</c:f>
              <c:numCache>
                <c:formatCode>0.00</c:formatCode>
                <c:ptCount val="14"/>
                <c:pt idx="0">
                  <c:v>66.38</c:v>
                </c:pt>
                <c:pt idx="1">
                  <c:v>66.38</c:v>
                </c:pt>
                <c:pt idx="2">
                  <c:v>66.38</c:v>
                </c:pt>
                <c:pt idx="3">
                  <c:v>66.38</c:v>
                </c:pt>
                <c:pt idx="4">
                  <c:v>66.38</c:v>
                </c:pt>
                <c:pt idx="5">
                  <c:v>66.38</c:v>
                </c:pt>
                <c:pt idx="6">
                  <c:v>66.38</c:v>
                </c:pt>
                <c:pt idx="7">
                  <c:v>66.38</c:v>
                </c:pt>
                <c:pt idx="8">
                  <c:v>66.38</c:v>
                </c:pt>
                <c:pt idx="9">
                  <c:v>66.38</c:v>
                </c:pt>
                <c:pt idx="10">
                  <c:v>66.38</c:v>
                </c:pt>
                <c:pt idx="11">
                  <c:v>66.38</c:v>
                </c:pt>
                <c:pt idx="12">
                  <c:v>66.38</c:v>
                </c:pt>
                <c:pt idx="13">
                  <c:v>66.38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F721-4B33-B3C0-C5EDB6D23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307632"/>
        <c:axId val="165303792"/>
      </c:scatterChart>
      <c:catAx>
        <c:axId val="9870409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crossAx val="29060496"/>
        <c:crosses val="autoZero"/>
        <c:auto val="1"/>
        <c:lblAlgn val="ctr"/>
        <c:lblOffset val="100"/>
        <c:noMultiLvlLbl val="0"/>
      </c:catAx>
      <c:valAx>
        <c:axId val="29060496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98704098"/>
        <c:crosses val="autoZero"/>
        <c:crossBetween val="between"/>
      </c:valAx>
      <c:valAx>
        <c:axId val="165303792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crossAx val="165307632"/>
        <c:crosses val="max"/>
        <c:crossBetween val="midCat"/>
      </c:valAx>
      <c:valAx>
        <c:axId val="165307632"/>
        <c:scaling>
          <c:orientation val="minMax"/>
        </c:scaling>
        <c:delete val="1"/>
        <c:axPos val="b"/>
        <c:majorTickMark val="out"/>
        <c:minorTickMark val="none"/>
        <c:tickLblPos val="nextTo"/>
        <c:crossAx val="16530379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Aptos Narrow" panose="020B0004020202020204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'T20 Gini'!$B$20</c:f>
              <c:strCache>
                <c:ptCount val="1"/>
                <c:pt idx="0">
                  <c:v>Gini hogares </c:v>
                </c:pt>
              </c:strCache>
            </c:strRef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1F386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BDD-4BA9-9315-23647572250E}"/>
              </c:ext>
            </c:extLst>
          </c:dPt>
          <c:cat>
            <c:strRef>
              <c:f>'T20 Gini'!$A$21:$A$34</c:f>
              <c:strCache>
                <c:ptCount val="14"/>
                <c:pt idx="0">
                  <c:v>Gómez Plata</c:v>
                </c:pt>
                <c:pt idx="1">
                  <c:v>Guadalupe</c:v>
                </c:pt>
                <c:pt idx="2">
                  <c:v>Ituango</c:v>
                </c:pt>
                <c:pt idx="3">
                  <c:v>Toledo</c:v>
                </c:pt>
                <c:pt idx="4">
                  <c:v>Anorí</c:v>
                </c:pt>
                <c:pt idx="5">
                  <c:v>Subregión</c:v>
                </c:pt>
                <c:pt idx="6">
                  <c:v>San Andrés de C.</c:v>
                </c:pt>
                <c:pt idx="7">
                  <c:v>Briceño</c:v>
                </c:pt>
                <c:pt idx="8">
                  <c:v>Campamento</c:v>
                </c:pt>
                <c:pt idx="9">
                  <c:v>Yarumal</c:v>
                </c:pt>
                <c:pt idx="10">
                  <c:v>Carolina </c:v>
                </c:pt>
                <c:pt idx="11">
                  <c:v>San José de la M.</c:v>
                </c:pt>
                <c:pt idx="12">
                  <c:v>Valdivia</c:v>
                </c:pt>
                <c:pt idx="13">
                  <c:v>Angostura</c:v>
                </c:pt>
              </c:strCache>
            </c:strRef>
          </c:cat>
          <c:val>
            <c:numRef>
              <c:f>'T20 Gini'!$B$21:$B$34</c:f>
              <c:numCache>
                <c:formatCode>0.00</c:formatCode>
                <c:ptCount val="14"/>
                <c:pt idx="0">
                  <c:v>0.35</c:v>
                </c:pt>
                <c:pt idx="1">
                  <c:v>0.39</c:v>
                </c:pt>
                <c:pt idx="2">
                  <c:v>0.42</c:v>
                </c:pt>
                <c:pt idx="3">
                  <c:v>0.45</c:v>
                </c:pt>
                <c:pt idx="4">
                  <c:v>0.47</c:v>
                </c:pt>
                <c:pt idx="5">
                  <c:v>0.47</c:v>
                </c:pt>
                <c:pt idx="6">
                  <c:v>0.49</c:v>
                </c:pt>
                <c:pt idx="7">
                  <c:v>0.5</c:v>
                </c:pt>
                <c:pt idx="8">
                  <c:v>0.51</c:v>
                </c:pt>
                <c:pt idx="9">
                  <c:v>0.51</c:v>
                </c:pt>
                <c:pt idx="10">
                  <c:v>0.52</c:v>
                </c:pt>
                <c:pt idx="11">
                  <c:v>0.54</c:v>
                </c:pt>
                <c:pt idx="12">
                  <c:v>0.62</c:v>
                </c:pt>
                <c:pt idx="13">
                  <c:v>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DD-4BA9-9315-236475722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27"/>
        <c:axId val="1544234607"/>
        <c:axId val="1544238927"/>
      </c:barChart>
      <c:lineChart>
        <c:grouping val="standard"/>
        <c:varyColors val="0"/>
        <c:ser>
          <c:idx val="1"/>
          <c:order val="1"/>
          <c:tx>
            <c:strRef>
              <c:f>'T20 Gini'!$C$20</c:f>
              <c:strCache>
                <c:ptCount val="1"/>
                <c:pt idx="0">
                  <c:v>Gini laboral </c:v>
                </c:pt>
              </c:strCache>
            </c:strRef>
          </c:tx>
          <c:spPr>
            <a:ln w="41275" cap="rnd">
              <a:noFill/>
              <a:round/>
            </a:ln>
            <a:effectLst/>
          </c:spPr>
          <c:marker>
            <c:symbol val="diamond"/>
            <c:size val="12"/>
            <c:spPr>
              <a:solidFill>
                <a:schemeClr val="bg1">
                  <a:lumMod val="95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'T20 Gini'!$A$21:$A$34</c:f>
              <c:strCache>
                <c:ptCount val="14"/>
                <c:pt idx="0">
                  <c:v>Gómez Plata</c:v>
                </c:pt>
                <c:pt idx="1">
                  <c:v>Guadalupe</c:v>
                </c:pt>
                <c:pt idx="2">
                  <c:v>Ituango</c:v>
                </c:pt>
                <c:pt idx="3">
                  <c:v>Toledo</c:v>
                </c:pt>
                <c:pt idx="4">
                  <c:v>Anorí</c:v>
                </c:pt>
                <c:pt idx="5">
                  <c:v>Subregión</c:v>
                </c:pt>
                <c:pt idx="6">
                  <c:v>San Andrés de C.</c:v>
                </c:pt>
                <c:pt idx="7">
                  <c:v>Briceño</c:v>
                </c:pt>
                <c:pt idx="8">
                  <c:v>Campamento</c:v>
                </c:pt>
                <c:pt idx="9">
                  <c:v>Yarumal</c:v>
                </c:pt>
                <c:pt idx="10">
                  <c:v>Carolina </c:v>
                </c:pt>
                <c:pt idx="11">
                  <c:v>San José de la M.</c:v>
                </c:pt>
                <c:pt idx="12">
                  <c:v>Valdivia</c:v>
                </c:pt>
                <c:pt idx="13">
                  <c:v>Angostura</c:v>
                </c:pt>
              </c:strCache>
            </c:strRef>
          </c:cat>
          <c:val>
            <c:numRef>
              <c:f>'T20 Gini'!$C$21:$C$34</c:f>
              <c:numCache>
                <c:formatCode>0.00</c:formatCode>
                <c:ptCount val="14"/>
                <c:pt idx="0">
                  <c:v>0.31</c:v>
                </c:pt>
                <c:pt idx="1">
                  <c:v>0.25</c:v>
                </c:pt>
                <c:pt idx="2">
                  <c:v>0.28000000000000003</c:v>
                </c:pt>
                <c:pt idx="3">
                  <c:v>0.34</c:v>
                </c:pt>
                <c:pt idx="4">
                  <c:v>0.35</c:v>
                </c:pt>
                <c:pt idx="5">
                  <c:v>0.36</c:v>
                </c:pt>
                <c:pt idx="6">
                  <c:v>0.41</c:v>
                </c:pt>
                <c:pt idx="7">
                  <c:v>0.41</c:v>
                </c:pt>
                <c:pt idx="8">
                  <c:v>0.4</c:v>
                </c:pt>
                <c:pt idx="9">
                  <c:v>0.38</c:v>
                </c:pt>
                <c:pt idx="10">
                  <c:v>0.44</c:v>
                </c:pt>
                <c:pt idx="11">
                  <c:v>0.4</c:v>
                </c:pt>
                <c:pt idx="12">
                  <c:v>0.55000000000000004</c:v>
                </c:pt>
                <c:pt idx="13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DD-4BA9-9315-236475722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4234607"/>
        <c:axId val="1544238927"/>
      </c:lineChart>
      <c:catAx>
        <c:axId val="1544234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CO"/>
          </a:p>
        </c:txPr>
        <c:crossAx val="1544238927"/>
        <c:crosses val="autoZero"/>
        <c:auto val="1"/>
        <c:lblAlgn val="ctr"/>
        <c:lblOffset val="100"/>
        <c:noMultiLvlLbl val="0"/>
      </c:catAx>
      <c:valAx>
        <c:axId val="1544238927"/>
        <c:scaling>
          <c:orientation val="minMax"/>
          <c:max val="0.70000000000000007"/>
          <c:min val="0.1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CO"/>
          </a:p>
        </c:txPr>
        <c:crossAx val="1544234607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Tasa de ocupación total</c:v>
          </c:tx>
          <c:spPr>
            <a:solidFill>
              <a:srgbClr val="1B3A6B"/>
            </a:solidFill>
            <a:ln w="0">
              <a:solidFill>
                <a:srgbClr val="1B3A6B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'T21 Ocupación Informalidad'!$A$4:$A$16</c:f>
              <c:strCache>
                <c:ptCount val="13"/>
                <c:pt idx="0">
                  <c:v>Guadalupe</c:v>
                </c:pt>
                <c:pt idx="1">
                  <c:v>Anorí</c:v>
                </c:pt>
                <c:pt idx="2">
                  <c:v>Carolina</c:v>
                </c:pt>
                <c:pt idx="3">
                  <c:v>Yarumal</c:v>
                </c:pt>
                <c:pt idx="4">
                  <c:v>Toledo</c:v>
                </c:pt>
                <c:pt idx="5">
                  <c:v>Gómez Plata</c:v>
                </c:pt>
                <c:pt idx="6">
                  <c:v>San Andrés de C.</c:v>
                </c:pt>
                <c:pt idx="7">
                  <c:v>Provincia</c:v>
                </c:pt>
                <c:pt idx="8">
                  <c:v>Campamento</c:v>
                </c:pt>
                <c:pt idx="9">
                  <c:v>Angostura</c:v>
                </c:pt>
                <c:pt idx="10">
                  <c:v>Briceño</c:v>
                </c:pt>
                <c:pt idx="11">
                  <c:v>San José de la M.</c:v>
                </c:pt>
                <c:pt idx="12">
                  <c:v>Valdivia</c:v>
                </c:pt>
              </c:strCache>
            </c:strRef>
          </c:cat>
          <c:val>
            <c:numRef>
              <c:f>'T21 Ocupación Informalidad'!$B$4:$B$16</c:f>
              <c:numCache>
                <c:formatCode>00%</c:formatCode>
                <c:ptCount val="13"/>
                <c:pt idx="0">
                  <c:v>0.43</c:v>
                </c:pt>
                <c:pt idx="1">
                  <c:v>0.52</c:v>
                </c:pt>
                <c:pt idx="2" formatCode="0%">
                  <c:v>0.41877334267040101</c:v>
                </c:pt>
                <c:pt idx="3">
                  <c:v>0.49299999999999999</c:v>
                </c:pt>
                <c:pt idx="4">
                  <c:v>0.52700000000000002</c:v>
                </c:pt>
                <c:pt idx="5">
                  <c:v>0.45300000000000001</c:v>
                </c:pt>
                <c:pt idx="6" formatCode="0%">
                  <c:v>0.47966385204570799</c:v>
                </c:pt>
                <c:pt idx="7">
                  <c:v>0.48499999999999999</c:v>
                </c:pt>
                <c:pt idx="8">
                  <c:v>0.496</c:v>
                </c:pt>
                <c:pt idx="9">
                  <c:v>0.47299999999999998</c:v>
                </c:pt>
                <c:pt idx="10">
                  <c:v>0.47199999999999998</c:v>
                </c:pt>
                <c:pt idx="11">
                  <c:v>0.47399999999999998</c:v>
                </c:pt>
                <c:pt idx="12">
                  <c:v>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AE-4897-B32A-7CB300013CBF}"/>
            </c:ext>
          </c:extLst>
        </c:ser>
        <c:ser>
          <c:idx val="1"/>
          <c:order val="1"/>
          <c:tx>
            <c:v>Tasa de informalidad total</c:v>
          </c:tx>
          <c:spPr>
            <a:solidFill>
              <a:srgbClr val="E8714A"/>
            </a:solidFill>
            <a:ln w="0">
              <a:solidFill>
                <a:srgbClr val="E8714A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'T21 Ocupación Informalidad'!$A$4:$A$16</c:f>
              <c:strCache>
                <c:ptCount val="13"/>
                <c:pt idx="0">
                  <c:v>Guadalupe</c:v>
                </c:pt>
                <c:pt idx="1">
                  <c:v>Anorí</c:v>
                </c:pt>
                <c:pt idx="2">
                  <c:v>Carolina</c:v>
                </c:pt>
                <c:pt idx="3">
                  <c:v>Yarumal</c:v>
                </c:pt>
                <c:pt idx="4">
                  <c:v>Toledo</c:v>
                </c:pt>
                <c:pt idx="5">
                  <c:v>Gómez Plata</c:v>
                </c:pt>
                <c:pt idx="6">
                  <c:v>San Andrés de C.</c:v>
                </c:pt>
                <c:pt idx="7">
                  <c:v>Provincia</c:v>
                </c:pt>
                <c:pt idx="8">
                  <c:v>Campamento</c:v>
                </c:pt>
                <c:pt idx="9">
                  <c:v>Angostura</c:v>
                </c:pt>
                <c:pt idx="10">
                  <c:v>Briceño</c:v>
                </c:pt>
                <c:pt idx="11">
                  <c:v>San José de la M.</c:v>
                </c:pt>
                <c:pt idx="12">
                  <c:v>Valdivia</c:v>
                </c:pt>
              </c:strCache>
            </c:strRef>
          </c:cat>
          <c:val>
            <c:numRef>
              <c:f>'T21 Ocupación Informalidad'!$E$4:$E$16</c:f>
              <c:numCache>
                <c:formatCode>00%</c:formatCode>
                <c:ptCount val="13"/>
                <c:pt idx="0">
                  <c:v>0.56000000000000005</c:v>
                </c:pt>
                <c:pt idx="1">
                  <c:v>0.63700000000000001</c:v>
                </c:pt>
                <c:pt idx="2" formatCode="0%">
                  <c:v>0.64139128568653203</c:v>
                </c:pt>
                <c:pt idx="3">
                  <c:v>0.66</c:v>
                </c:pt>
                <c:pt idx="4">
                  <c:v>0.66400000000000003</c:v>
                </c:pt>
                <c:pt idx="5">
                  <c:v>0.66700000000000004</c:v>
                </c:pt>
                <c:pt idx="6" formatCode="0%">
                  <c:v>0.71061734257169806</c:v>
                </c:pt>
                <c:pt idx="7">
                  <c:v>0.72199999999999998</c:v>
                </c:pt>
                <c:pt idx="8">
                  <c:v>0.73799999999999999</c:v>
                </c:pt>
                <c:pt idx="9">
                  <c:v>0.74199999999999999</c:v>
                </c:pt>
                <c:pt idx="10">
                  <c:v>0.76600000000000001</c:v>
                </c:pt>
                <c:pt idx="11">
                  <c:v>0.77200000000000002</c:v>
                </c:pt>
                <c:pt idx="12">
                  <c:v>0.80200000000000005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AE-4897-B32A-7CB300013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22298"/>
        <c:axId val="33692951"/>
      </c:barChart>
      <c:catAx>
        <c:axId val="1052229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33692951"/>
        <c:crosses val="autoZero"/>
        <c:auto val="1"/>
        <c:lblAlgn val="ctr"/>
        <c:lblOffset val="100"/>
        <c:noMultiLvlLbl val="0"/>
      </c:catAx>
      <c:valAx>
        <c:axId val="33692951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0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1052229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Tasa de ocupación total</c:v>
          </c:tx>
          <c:spPr>
            <a:solidFill>
              <a:srgbClr val="1F3864"/>
            </a:solidFill>
            <a:ln w="0">
              <a:solidFill>
                <a:srgbClr val="1B3A6B"/>
              </a:solidFill>
            </a:ln>
          </c:spPr>
          <c:invertIfNegative val="0"/>
          <c:dPt>
            <c:idx val="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 w="0">
                <a:solidFill>
                  <a:srgbClr val="1B3A6B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6674-4AAA-B424-73C73157CFBC}"/>
              </c:ext>
            </c:extLst>
          </c:dPt>
          <c:cat>
            <c:strRef>
              <c:f>'T21 Ocupación Informalidad'!$A$4:$A$17</c:f>
              <c:strCache>
                <c:ptCount val="14"/>
                <c:pt idx="0">
                  <c:v>Guadalupe</c:v>
                </c:pt>
                <c:pt idx="1">
                  <c:v>Anorí</c:v>
                </c:pt>
                <c:pt idx="2">
                  <c:v>Carolina</c:v>
                </c:pt>
                <c:pt idx="3">
                  <c:v>Yarumal</c:v>
                </c:pt>
                <c:pt idx="4">
                  <c:v>Toledo</c:v>
                </c:pt>
                <c:pt idx="5">
                  <c:v>Gómez Plata</c:v>
                </c:pt>
                <c:pt idx="6">
                  <c:v>San Andrés de C.</c:v>
                </c:pt>
                <c:pt idx="7">
                  <c:v>Provincia</c:v>
                </c:pt>
                <c:pt idx="8">
                  <c:v>Campamento</c:v>
                </c:pt>
                <c:pt idx="9">
                  <c:v>Angostura</c:v>
                </c:pt>
                <c:pt idx="10">
                  <c:v>Briceño</c:v>
                </c:pt>
                <c:pt idx="11">
                  <c:v>San José de la M.</c:v>
                </c:pt>
                <c:pt idx="12">
                  <c:v>Valdivia</c:v>
                </c:pt>
                <c:pt idx="13">
                  <c:v>Ituango</c:v>
                </c:pt>
              </c:strCache>
            </c:strRef>
          </c:cat>
          <c:val>
            <c:numRef>
              <c:f>'T21 Ocupación Informalidad'!$B$4:$B$17</c:f>
              <c:numCache>
                <c:formatCode>00%</c:formatCode>
                <c:ptCount val="14"/>
                <c:pt idx="0">
                  <c:v>0.43</c:v>
                </c:pt>
                <c:pt idx="1">
                  <c:v>0.52</c:v>
                </c:pt>
                <c:pt idx="2" formatCode="0%">
                  <c:v>0.41877334267040101</c:v>
                </c:pt>
                <c:pt idx="3">
                  <c:v>0.49299999999999999</c:v>
                </c:pt>
                <c:pt idx="4">
                  <c:v>0.52700000000000002</c:v>
                </c:pt>
                <c:pt idx="5">
                  <c:v>0.45300000000000001</c:v>
                </c:pt>
                <c:pt idx="6" formatCode="0%">
                  <c:v>0.47966385204570799</c:v>
                </c:pt>
                <c:pt idx="7">
                  <c:v>0.48499999999999999</c:v>
                </c:pt>
                <c:pt idx="8">
                  <c:v>0.496</c:v>
                </c:pt>
                <c:pt idx="9">
                  <c:v>0.47299999999999998</c:v>
                </c:pt>
                <c:pt idx="10">
                  <c:v>0.47199999999999998</c:v>
                </c:pt>
                <c:pt idx="11">
                  <c:v>0.47399999999999998</c:v>
                </c:pt>
                <c:pt idx="12">
                  <c:v>0.45</c:v>
                </c:pt>
                <c:pt idx="13">
                  <c:v>0.49099999999999999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74-4AAA-B424-73C73157C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92144689"/>
        <c:axId val="73549912"/>
      </c:barChart>
      <c:lineChart>
        <c:grouping val="standard"/>
        <c:varyColors val="0"/>
        <c:ser>
          <c:idx val="1"/>
          <c:order val="1"/>
          <c:tx>
            <c:v>Tasa de informalidad total</c:v>
          </c:tx>
          <c:spPr>
            <a:ln w="0">
              <a:noFill/>
            </a:ln>
          </c:spPr>
          <c:marker>
            <c:symbol val="diamond"/>
            <c:size val="12"/>
          </c:marker>
          <c:cat>
            <c:strRef>
              <c:f>'T21 Ocupación Informalidad'!$A$4:$A$17</c:f>
              <c:strCache>
                <c:ptCount val="14"/>
                <c:pt idx="0">
                  <c:v>Guadalupe</c:v>
                </c:pt>
                <c:pt idx="1">
                  <c:v>Anorí</c:v>
                </c:pt>
                <c:pt idx="2">
                  <c:v>Carolina</c:v>
                </c:pt>
                <c:pt idx="3">
                  <c:v>Yarumal</c:v>
                </c:pt>
                <c:pt idx="4">
                  <c:v>Toledo</c:v>
                </c:pt>
                <c:pt idx="5">
                  <c:v>Gómez Plata</c:v>
                </c:pt>
                <c:pt idx="6">
                  <c:v>San Andrés de C.</c:v>
                </c:pt>
                <c:pt idx="7">
                  <c:v>Provincia</c:v>
                </c:pt>
                <c:pt idx="8">
                  <c:v>Campamento</c:v>
                </c:pt>
                <c:pt idx="9">
                  <c:v>Angostura</c:v>
                </c:pt>
                <c:pt idx="10">
                  <c:v>Briceño</c:v>
                </c:pt>
                <c:pt idx="11">
                  <c:v>San José de la M.</c:v>
                </c:pt>
                <c:pt idx="12">
                  <c:v>Valdivia</c:v>
                </c:pt>
                <c:pt idx="13">
                  <c:v>Ituango</c:v>
                </c:pt>
              </c:strCache>
            </c:strRef>
          </c:cat>
          <c:val>
            <c:numRef>
              <c:f>'T21 Ocupación Informalidad'!$E$4:$E$17</c:f>
              <c:numCache>
                <c:formatCode>00%</c:formatCode>
                <c:ptCount val="14"/>
                <c:pt idx="0">
                  <c:v>0.56000000000000005</c:v>
                </c:pt>
                <c:pt idx="1">
                  <c:v>0.63700000000000001</c:v>
                </c:pt>
                <c:pt idx="2" formatCode="0%">
                  <c:v>0.64139128568653203</c:v>
                </c:pt>
                <c:pt idx="3">
                  <c:v>0.66</c:v>
                </c:pt>
                <c:pt idx="4">
                  <c:v>0.66400000000000003</c:v>
                </c:pt>
                <c:pt idx="5">
                  <c:v>0.66700000000000004</c:v>
                </c:pt>
                <c:pt idx="6" formatCode="0%">
                  <c:v>0.71061734257169806</c:v>
                </c:pt>
                <c:pt idx="7">
                  <c:v>0.72199999999999998</c:v>
                </c:pt>
                <c:pt idx="8">
                  <c:v>0.73799999999999999</c:v>
                </c:pt>
                <c:pt idx="9">
                  <c:v>0.74199999999999999</c:v>
                </c:pt>
                <c:pt idx="10">
                  <c:v>0.76600000000000001</c:v>
                </c:pt>
                <c:pt idx="11">
                  <c:v>0.77200000000000002</c:v>
                </c:pt>
                <c:pt idx="12">
                  <c:v>0.80200000000000005</c:v>
                </c:pt>
                <c:pt idx="13">
                  <c:v>0.872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74-4AAA-B424-73C73157C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144689"/>
        <c:axId val="73549912"/>
      </c:lineChart>
      <c:catAx>
        <c:axId val="921446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 rot="-5400000" vert="horz"/>
          <a:lstStyle/>
          <a:p>
            <a:pPr>
              <a:defRPr/>
            </a:pPr>
            <a:endParaRPr lang="es-CO"/>
          </a:p>
        </c:txPr>
        <c:crossAx val="73549912"/>
        <c:crosses val="autoZero"/>
        <c:auto val="1"/>
        <c:lblAlgn val="ctr"/>
        <c:lblOffset val="100"/>
        <c:noMultiLvlLbl val="0"/>
      </c:catAx>
      <c:valAx>
        <c:axId val="73549912"/>
        <c:scaling>
          <c:orientation val="minMax"/>
          <c:max val="0.9"/>
          <c:min val="0.1"/>
        </c:scaling>
        <c:delete val="0"/>
        <c:axPos val="l"/>
        <c:numFmt formatCode="0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92144689"/>
        <c:crosses val="autoZero"/>
        <c:crossBetween val="between"/>
        <c:majorUnit val="0.2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'T22 Desocupación NINIs'!$B$23</c:f>
              <c:strCache>
                <c:ptCount val="1"/>
                <c:pt idx="0">
                  <c:v>Tasa desocupados total</c:v>
                </c:pt>
              </c:strCache>
            </c:strRef>
          </c:tx>
          <c:spPr>
            <a:solidFill>
              <a:srgbClr val="1B3A6B"/>
            </a:solidFill>
            <a:ln w="0">
              <a:solidFill>
                <a:srgbClr val="1B3A6B"/>
              </a:solidFill>
            </a:ln>
          </c:spPr>
          <c:invertIfNegative val="0"/>
          <c:dPt>
            <c:idx val="5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 w="0">
                <a:solidFill>
                  <a:srgbClr val="1B3A6B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213E-475C-8BCD-0C31560979DE}"/>
              </c:ext>
            </c:extLst>
          </c:dPt>
          <c:cat>
            <c:strRef>
              <c:f>'T22 Desocupación NINIs'!$A$24:$A$37</c:f>
              <c:strCache>
                <c:ptCount val="14"/>
                <c:pt idx="0">
                  <c:v>Campamento</c:v>
                </c:pt>
                <c:pt idx="1">
                  <c:v>Angostura</c:v>
                </c:pt>
                <c:pt idx="2">
                  <c:v>Ituango</c:v>
                </c:pt>
                <c:pt idx="3">
                  <c:v>Toledo</c:v>
                </c:pt>
                <c:pt idx="4">
                  <c:v>Briceño</c:v>
                </c:pt>
                <c:pt idx="5">
                  <c:v>Provincia</c:v>
                </c:pt>
                <c:pt idx="6">
                  <c:v>San José de la M.</c:v>
                </c:pt>
                <c:pt idx="7">
                  <c:v>Valdivia</c:v>
                </c:pt>
                <c:pt idx="8">
                  <c:v>Carolina</c:v>
                </c:pt>
                <c:pt idx="9">
                  <c:v>Yarumal</c:v>
                </c:pt>
                <c:pt idx="10">
                  <c:v>Anorí</c:v>
                </c:pt>
                <c:pt idx="11">
                  <c:v>Guadalupe</c:v>
                </c:pt>
                <c:pt idx="12">
                  <c:v>Gómez Plata</c:v>
                </c:pt>
                <c:pt idx="13">
                  <c:v>San Andrés de C.</c:v>
                </c:pt>
              </c:strCache>
            </c:strRef>
          </c:cat>
          <c:val>
            <c:numRef>
              <c:f>'T22 Desocupación NINIs'!$B$24:$B$37</c:f>
              <c:numCache>
                <c:formatCode>0%</c:formatCode>
                <c:ptCount val="14"/>
                <c:pt idx="0">
                  <c:v>6.1999999999999998E-3</c:v>
                </c:pt>
                <c:pt idx="1">
                  <c:v>2.4299999999999999E-2</c:v>
                </c:pt>
                <c:pt idx="2">
                  <c:v>1.12E-2</c:v>
                </c:pt>
                <c:pt idx="3">
                  <c:v>4.9200000000000001E-2</c:v>
                </c:pt>
                <c:pt idx="4">
                  <c:v>3.4700000000000002E-2</c:v>
                </c:pt>
                <c:pt idx="5">
                  <c:v>5.8700000000000002E-2</c:v>
                </c:pt>
                <c:pt idx="6">
                  <c:v>5.6800000000000003E-2</c:v>
                </c:pt>
                <c:pt idx="7">
                  <c:v>3.49E-2</c:v>
                </c:pt>
                <c:pt idx="8">
                  <c:v>7.9200000000000007E-2</c:v>
                </c:pt>
                <c:pt idx="9">
                  <c:v>8.4400000000000003E-2</c:v>
                </c:pt>
                <c:pt idx="10">
                  <c:v>9.2200000000000004E-2</c:v>
                </c:pt>
                <c:pt idx="11">
                  <c:v>0.1157</c:v>
                </c:pt>
                <c:pt idx="12">
                  <c:v>9.9500000000000005E-2</c:v>
                </c:pt>
                <c:pt idx="13">
                  <c:v>5.5300000000000002E-2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3E-475C-8BCD-0C3156097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49845791"/>
        <c:axId val="35924866"/>
      </c:barChart>
      <c:lineChart>
        <c:grouping val="standard"/>
        <c:varyColors val="0"/>
        <c:ser>
          <c:idx val="1"/>
          <c:order val="1"/>
          <c:tx>
            <c:strRef>
              <c:f>'T22 Desocupación NINIs'!$C$23</c:f>
              <c:strCache>
                <c:ptCount val="1"/>
                <c:pt idx="0">
                  <c:v>Tasa desocupados jóvenes 15-28 años</c:v>
                </c:pt>
              </c:strCache>
            </c:strRef>
          </c:tx>
          <c:spPr>
            <a:ln w="0">
              <a:noFill/>
            </a:ln>
          </c:spPr>
          <c:marker>
            <c:symbol val="diamond"/>
            <c:size val="13"/>
            <c:spPr>
              <a:ln>
                <a:solidFill>
                  <a:schemeClr val="bg1"/>
                </a:solidFill>
              </a:ln>
            </c:spPr>
          </c:marker>
          <c:cat>
            <c:strRef>
              <c:f>'T22 Desocupación NINIs'!$A$24:$A$37</c:f>
              <c:strCache>
                <c:ptCount val="14"/>
                <c:pt idx="0">
                  <c:v>Campamento</c:v>
                </c:pt>
                <c:pt idx="1">
                  <c:v>Angostura</c:v>
                </c:pt>
                <c:pt idx="2">
                  <c:v>Ituango</c:v>
                </c:pt>
                <c:pt idx="3">
                  <c:v>Toledo</c:v>
                </c:pt>
                <c:pt idx="4">
                  <c:v>Briceño</c:v>
                </c:pt>
                <c:pt idx="5">
                  <c:v>Provincia</c:v>
                </c:pt>
                <c:pt idx="6">
                  <c:v>San José de la M.</c:v>
                </c:pt>
                <c:pt idx="7">
                  <c:v>Valdivia</c:v>
                </c:pt>
                <c:pt idx="8">
                  <c:v>Carolina</c:v>
                </c:pt>
                <c:pt idx="9">
                  <c:v>Yarumal</c:v>
                </c:pt>
                <c:pt idx="10">
                  <c:v>Anorí</c:v>
                </c:pt>
                <c:pt idx="11">
                  <c:v>Guadalupe</c:v>
                </c:pt>
                <c:pt idx="12">
                  <c:v>Gómez Plata</c:v>
                </c:pt>
                <c:pt idx="13">
                  <c:v>San Andrés de C.</c:v>
                </c:pt>
              </c:strCache>
            </c:strRef>
          </c:cat>
          <c:val>
            <c:numRef>
              <c:f>'T22 Desocupación NINIs'!$C$24:$C$37</c:f>
              <c:numCache>
                <c:formatCode>0%</c:formatCode>
                <c:ptCount val="14"/>
                <c:pt idx="0">
                  <c:v>0</c:v>
                </c:pt>
                <c:pt idx="1">
                  <c:v>1.9E-2</c:v>
                </c:pt>
                <c:pt idx="2">
                  <c:v>2.2599999999999999E-2</c:v>
                </c:pt>
                <c:pt idx="3">
                  <c:v>3.3599999999999998E-2</c:v>
                </c:pt>
                <c:pt idx="4">
                  <c:v>7.2099999999999997E-2</c:v>
                </c:pt>
                <c:pt idx="5">
                  <c:v>8.1000000000000003E-2</c:v>
                </c:pt>
                <c:pt idx="6">
                  <c:v>8.48E-2</c:v>
                </c:pt>
                <c:pt idx="7">
                  <c:v>8.8099999999999998E-2</c:v>
                </c:pt>
                <c:pt idx="8">
                  <c:v>0.1008</c:v>
                </c:pt>
                <c:pt idx="9">
                  <c:v>0.10580000000000001</c:v>
                </c:pt>
                <c:pt idx="10">
                  <c:v>0.1061</c:v>
                </c:pt>
                <c:pt idx="11">
                  <c:v>0.113</c:v>
                </c:pt>
                <c:pt idx="12">
                  <c:v>0.12839999999999999</c:v>
                </c:pt>
                <c:pt idx="13">
                  <c:v>0.15060000000000001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3E-475C-8BCD-0C3156097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45791"/>
        <c:axId val="35924866"/>
      </c:lineChart>
      <c:catAx>
        <c:axId val="49845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 rot="-5400000" vert="horz"/>
          <a:lstStyle/>
          <a:p>
            <a:pPr>
              <a:defRPr/>
            </a:pPr>
            <a:endParaRPr lang="es-CO"/>
          </a:p>
        </c:txPr>
        <c:crossAx val="35924866"/>
        <c:crosses val="autoZero"/>
        <c:auto val="1"/>
        <c:lblAlgn val="ctr"/>
        <c:lblOffset val="100"/>
        <c:noMultiLvlLbl val="0"/>
      </c:catAx>
      <c:valAx>
        <c:axId val="35924866"/>
        <c:scaling>
          <c:orientation val="minMax"/>
          <c:max val="0.16000000000000003"/>
          <c:min val="0"/>
        </c:scaling>
        <c:delete val="0"/>
        <c:axPos val="l"/>
        <c:numFmt formatCode="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49845791"/>
        <c:crosses val="autoZero"/>
        <c:crossBetween val="between"/>
        <c:majorUnit val="4.0000000000000008E-2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 sz="1050">
          <a:latin typeface="Times New Roman" panose="02020603050405020304" pitchFamily="18" charset="0"/>
          <a:cs typeface="Times New Roman" panose="02020603050405020304" pitchFamily="18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'T22 Desocupación NINIs'!$D$3</c:f>
              <c:strCache>
                <c:ptCount val="1"/>
                <c:pt idx="0">
                  <c:v>Jóvenes 15-28 años que no estudian ni trabajan (NINIs)</c:v>
                </c:pt>
              </c:strCache>
            </c:strRef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dPt>
            <c:idx val="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C1D-47F3-80C2-7FF2DB3A6F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'T22 Desocupación NINIs'!$A$4:$A$17</c:f>
              <c:strCache>
                <c:ptCount val="14"/>
                <c:pt idx="0">
                  <c:v>Briceño</c:v>
                </c:pt>
                <c:pt idx="1">
                  <c:v>Toledo</c:v>
                </c:pt>
                <c:pt idx="2">
                  <c:v>Ituango</c:v>
                </c:pt>
                <c:pt idx="3">
                  <c:v>Valdivia</c:v>
                </c:pt>
                <c:pt idx="4">
                  <c:v>Anorí</c:v>
                </c:pt>
                <c:pt idx="5">
                  <c:v>Campamento</c:v>
                </c:pt>
                <c:pt idx="6">
                  <c:v>Carolina del Príncipe</c:v>
                </c:pt>
                <c:pt idx="7">
                  <c:v>Guadalupe</c:v>
                </c:pt>
                <c:pt idx="8">
                  <c:v>Provincia</c:v>
                </c:pt>
                <c:pt idx="9">
                  <c:v>Angostura</c:v>
                </c:pt>
                <c:pt idx="10">
                  <c:v>Yarumal</c:v>
                </c:pt>
                <c:pt idx="11">
                  <c:v>San Andrés de Cuerquia</c:v>
                </c:pt>
                <c:pt idx="12">
                  <c:v>Gómez Plata</c:v>
                </c:pt>
                <c:pt idx="13">
                  <c:v>San José de la Montaña</c:v>
                </c:pt>
              </c:strCache>
            </c:strRef>
          </c:cat>
          <c:val>
            <c:numRef>
              <c:f>'T22 Desocupación NINIs'!$D$4:$D$17</c:f>
              <c:numCache>
                <c:formatCode>0%</c:formatCode>
                <c:ptCount val="14"/>
                <c:pt idx="0">
                  <c:v>0.21010000000000001</c:v>
                </c:pt>
                <c:pt idx="1">
                  <c:v>0.21809999999999999</c:v>
                </c:pt>
                <c:pt idx="2">
                  <c:v>0.24490000000000001</c:v>
                </c:pt>
                <c:pt idx="3">
                  <c:v>0.25080000000000002</c:v>
                </c:pt>
                <c:pt idx="4">
                  <c:v>0.25219999999999998</c:v>
                </c:pt>
                <c:pt idx="5">
                  <c:v>0.25290000000000001</c:v>
                </c:pt>
                <c:pt idx="6">
                  <c:v>0.25540000000000002</c:v>
                </c:pt>
                <c:pt idx="7">
                  <c:v>0.27300000000000002</c:v>
                </c:pt>
                <c:pt idx="8">
                  <c:v>0.2732</c:v>
                </c:pt>
                <c:pt idx="9">
                  <c:v>0.2863</c:v>
                </c:pt>
                <c:pt idx="10">
                  <c:v>0.30740000000000001</c:v>
                </c:pt>
                <c:pt idx="11">
                  <c:v>0.31640000000000001</c:v>
                </c:pt>
                <c:pt idx="12">
                  <c:v>0.3261</c:v>
                </c:pt>
                <c:pt idx="13">
                  <c:v>0.34520000000000001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1D-47F3-80C2-7FF2DB3A6F0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axId val="1544266287"/>
        <c:axId val="1544261487"/>
      </c:barChart>
      <c:catAx>
        <c:axId val="1544266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CO"/>
          </a:p>
        </c:txPr>
        <c:crossAx val="1544261487"/>
        <c:crosses val="autoZero"/>
        <c:auto val="1"/>
        <c:lblAlgn val="ctr"/>
        <c:lblOffset val="100"/>
        <c:noMultiLvlLbl val="0"/>
      </c:catAx>
      <c:valAx>
        <c:axId val="1544261487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544266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'T23 Valor Agregado'!$B$23</c:f>
              <c:strCache>
                <c:ptCount val="1"/>
                <c:pt idx="0">
                  <c:v>Peso en VA dentro de la provincia (total)</c:v>
                </c:pt>
              </c:strCache>
            </c:strRef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'T23 Valor Agregado'!$A$24:$A$37</c:f>
              <c:strCache>
                <c:ptCount val="14"/>
                <c:pt idx="0">
                  <c:v>San José de la Montaña</c:v>
                </c:pt>
                <c:pt idx="1">
                  <c:v>Carolina del Príncipe</c:v>
                </c:pt>
                <c:pt idx="2">
                  <c:v>Guadalupe</c:v>
                </c:pt>
                <c:pt idx="3">
                  <c:v>San Andrés de Cuerquia</c:v>
                </c:pt>
                <c:pt idx="4">
                  <c:v>Campamento</c:v>
                </c:pt>
                <c:pt idx="5">
                  <c:v>Toledo</c:v>
                </c:pt>
                <c:pt idx="6">
                  <c:v>Briceño</c:v>
                </c:pt>
                <c:pt idx="7">
                  <c:v>Angostura</c:v>
                </c:pt>
                <c:pt idx="8">
                  <c:v>Valdivia</c:v>
                </c:pt>
                <c:pt idx="9">
                  <c:v>Ituango</c:v>
                </c:pt>
                <c:pt idx="10">
                  <c:v>Anorí</c:v>
                </c:pt>
                <c:pt idx="11">
                  <c:v>Gómez Plata</c:v>
                </c:pt>
                <c:pt idx="12">
                  <c:v>Yarumal</c:v>
                </c:pt>
                <c:pt idx="13">
                  <c:v>Total, Provincia</c:v>
                </c:pt>
              </c:strCache>
            </c:strRef>
          </c:cat>
          <c:val>
            <c:numRef>
              <c:f>'T23 Valor Agregado'!$B$24:$B$36</c:f>
              <c:numCache>
                <c:formatCode>0.0%</c:formatCode>
                <c:ptCount val="13"/>
                <c:pt idx="0">
                  <c:v>1.6757904795755754E-2</c:v>
                </c:pt>
                <c:pt idx="1">
                  <c:v>2.6229384018808942E-2</c:v>
                </c:pt>
                <c:pt idx="2">
                  <c:v>2.8353256166949753E-2</c:v>
                </c:pt>
                <c:pt idx="3">
                  <c:v>3.2542732365888692E-2</c:v>
                </c:pt>
                <c:pt idx="4">
                  <c:v>3.4701565372435114E-2</c:v>
                </c:pt>
                <c:pt idx="5">
                  <c:v>3.5432829994085792E-2</c:v>
                </c:pt>
                <c:pt idx="6">
                  <c:v>4.2078306496018798E-2</c:v>
                </c:pt>
                <c:pt idx="7">
                  <c:v>5.2231522457981419E-2</c:v>
                </c:pt>
                <c:pt idx="8">
                  <c:v>6.0694963597006192E-2</c:v>
                </c:pt>
                <c:pt idx="9">
                  <c:v>0.11108521417895882</c:v>
                </c:pt>
                <c:pt idx="10">
                  <c:v>0.12596688624028016</c:v>
                </c:pt>
                <c:pt idx="11">
                  <c:v>0.15716653896242</c:v>
                </c:pt>
                <c:pt idx="12">
                  <c:v>0.27675889535341058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BF-4DA2-A8A1-32D299DFEC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axId val="1544295567"/>
        <c:axId val="1544309967"/>
      </c:barChart>
      <c:catAx>
        <c:axId val="1544295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CO"/>
          </a:p>
        </c:txPr>
        <c:crossAx val="1544309967"/>
        <c:crosses val="autoZero"/>
        <c:auto val="1"/>
        <c:lblAlgn val="ctr"/>
        <c:lblOffset val="100"/>
        <c:noMultiLvlLbl val="0"/>
      </c:catAx>
      <c:valAx>
        <c:axId val="1544309967"/>
        <c:scaling>
          <c:orientation val="minMax"/>
        </c:scaling>
        <c:delete val="1"/>
        <c:axPos val="b"/>
        <c:numFmt formatCode="0.0%" sourceLinked="1"/>
        <c:majorTickMark val="none"/>
        <c:minorTickMark val="none"/>
        <c:tickLblPos val="nextTo"/>
        <c:crossAx val="1544295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'T24 Distribución VA'!$B$3</c:f>
              <c:strCache>
                <c:ptCount val="1"/>
                <c:pt idx="0">
                  <c:v>Primario</c:v>
                </c:pt>
              </c:strCache>
            </c:strRef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'T24 Distribución VA'!$A$3:$A$19</c15:sqref>
                  </c15:fullRef>
                </c:ext>
              </c:extLst>
              <c:f>'T24 Distribución VA'!$A$4:$A$16</c:f>
              <c:strCache>
                <c:ptCount val="13"/>
                <c:pt idx="0">
                  <c:v>San José de la Montaña</c:v>
                </c:pt>
                <c:pt idx="1">
                  <c:v>Carolina del Príncipe</c:v>
                </c:pt>
                <c:pt idx="2">
                  <c:v>Guadalupe</c:v>
                </c:pt>
                <c:pt idx="3">
                  <c:v>San Andrés de Cuerquia</c:v>
                </c:pt>
                <c:pt idx="4">
                  <c:v>Campamento</c:v>
                </c:pt>
                <c:pt idx="5">
                  <c:v>Toledo</c:v>
                </c:pt>
                <c:pt idx="6">
                  <c:v>Briceño</c:v>
                </c:pt>
                <c:pt idx="7">
                  <c:v>Angostura</c:v>
                </c:pt>
                <c:pt idx="8">
                  <c:v>Valdivia</c:v>
                </c:pt>
                <c:pt idx="9">
                  <c:v>Ituango</c:v>
                </c:pt>
                <c:pt idx="10">
                  <c:v>Anorí</c:v>
                </c:pt>
                <c:pt idx="11">
                  <c:v>Gómez Plata</c:v>
                </c:pt>
                <c:pt idx="12">
                  <c:v>Yarumal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'T24 Distribución VA'!$B$3:$B$19</c15:sqref>
                  </c15:fullRef>
                </c:ext>
              </c:extLst>
              <c:f>'T24 Distribución VA'!$B$4:$B$16</c:f>
              <c:numCache>
                <c:formatCode>0.0%</c:formatCode>
                <c:ptCount val="13"/>
                <c:pt idx="0">
                  <c:v>0.15049318291104599</c:v>
                </c:pt>
                <c:pt idx="1">
                  <c:v>0.32254955964120402</c:v>
                </c:pt>
                <c:pt idx="2">
                  <c:v>0.163402628960329</c:v>
                </c:pt>
                <c:pt idx="3">
                  <c:v>0.24132744908572301</c:v>
                </c:pt>
                <c:pt idx="4">
                  <c:v>0.17773198962756601</c:v>
                </c:pt>
                <c:pt idx="5">
                  <c:v>0.194461064620955</c:v>
                </c:pt>
                <c:pt idx="6">
                  <c:v>0.30390954248023599</c:v>
                </c:pt>
                <c:pt idx="7">
                  <c:v>0.24855229568294501</c:v>
                </c:pt>
                <c:pt idx="8">
                  <c:v>0.13989936124551</c:v>
                </c:pt>
                <c:pt idx="9">
                  <c:v>0.212399552096356</c:v>
                </c:pt>
                <c:pt idx="10">
                  <c:v>0.48553517613687602</c:v>
                </c:pt>
                <c:pt idx="11">
                  <c:v>0.11910092174541401</c:v>
                </c:pt>
                <c:pt idx="12">
                  <c:v>0.147600651615896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A0-45A8-8D4E-D22BCF56D3F8}"/>
            </c:ext>
          </c:extLst>
        </c:ser>
        <c:ser>
          <c:idx val="1"/>
          <c:order val="1"/>
          <c:tx>
            <c:strRef>
              <c:f>'T24 Distribución VA'!$C$3</c:f>
              <c:strCache>
                <c:ptCount val="1"/>
                <c:pt idx="0">
                  <c:v>Secundario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'T24 Distribución VA'!$A$3:$A$19</c15:sqref>
                  </c15:fullRef>
                </c:ext>
              </c:extLst>
              <c:f>'T24 Distribución VA'!$A$4:$A$16</c:f>
              <c:strCache>
                <c:ptCount val="13"/>
                <c:pt idx="0">
                  <c:v>San José de la Montaña</c:v>
                </c:pt>
                <c:pt idx="1">
                  <c:v>Carolina del Príncipe</c:v>
                </c:pt>
                <c:pt idx="2">
                  <c:v>Guadalupe</c:v>
                </c:pt>
                <c:pt idx="3">
                  <c:v>San Andrés de Cuerquia</c:v>
                </c:pt>
                <c:pt idx="4">
                  <c:v>Campamento</c:v>
                </c:pt>
                <c:pt idx="5">
                  <c:v>Toledo</c:v>
                </c:pt>
                <c:pt idx="6">
                  <c:v>Briceño</c:v>
                </c:pt>
                <c:pt idx="7">
                  <c:v>Angostura</c:v>
                </c:pt>
                <c:pt idx="8">
                  <c:v>Valdivia</c:v>
                </c:pt>
                <c:pt idx="9">
                  <c:v>Ituango</c:v>
                </c:pt>
                <c:pt idx="10">
                  <c:v>Anorí</c:v>
                </c:pt>
                <c:pt idx="11">
                  <c:v>Gómez Plata</c:v>
                </c:pt>
                <c:pt idx="12">
                  <c:v>Yarumal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'T24 Distribución VA'!$C$3:$C$19</c15:sqref>
                  </c15:fullRef>
                </c:ext>
              </c:extLst>
              <c:f>'T24 Distribución VA'!$C$4:$C$16</c:f>
              <c:numCache>
                <c:formatCode>0.0%</c:formatCode>
                <c:ptCount val="13"/>
                <c:pt idx="0">
                  <c:v>4.7540203303770602E-2</c:v>
                </c:pt>
                <c:pt idx="1">
                  <c:v>4.5896379769090202E-2</c:v>
                </c:pt>
                <c:pt idx="2">
                  <c:v>4.8352255073343002E-2</c:v>
                </c:pt>
                <c:pt idx="3">
                  <c:v>4.7449992097328801E-2</c:v>
                </c:pt>
                <c:pt idx="4">
                  <c:v>4.8956519358633703E-2</c:v>
                </c:pt>
                <c:pt idx="5">
                  <c:v>4.4685244554590303E-2</c:v>
                </c:pt>
                <c:pt idx="6">
                  <c:v>4.0093909836932E-2</c:v>
                </c:pt>
                <c:pt idx="7">
                  <c:v>4.7636871005252601E-2</c:v>
                </c:pt>
                <c:pt idx="8">
                  <c:v>4.7517188612888298E-2</c:v>
                </c:pt>
                <c:pt idx="9">
                  <c:v>4.8918519403886397E-2</c:v>
                </c:pt>
                <c:pt idx="10">
                  <c:v>2.8405204592820699E-2</c:v>
                </c:pt>
                <c:pt idx="11">
                  <c:v>4.1892882163318802E-2</c:v>
                </c:pt>
                <c:pt idx="12">
                  <c:v>0.22773986589968701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A0-45A8-8D4E-D22BCF56D3F8}"/>
            </c:ext>
          </c:extLst>
        </c:ser>
        <c:ser>
          <c:idx val="2"/>
          <c:order val="2"/>
          <c:tx>
            <c:strRef>
              <c:f>'T24 Distribución VA'!$D$3</c:f>
              <c:strCache>
                <c:ptCount val="1"/>
                <c:pt idx="0">
                  <c:v>Terciario 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'T24 Distribución VA'!$A$3:$A$19</c15:sqref>
                  </c15:fullRef>
                </c:ext>
              </c:extLst>
              <c:f>'T24 Distribución VA'!$A$4:$A$16</c:f>
              <c:strCache>
                <c:ptCount val="13"/>
                <c:pt idx="0">
                  <c:v>San José de la Montaña</c:v>
                </c:pt>
                <c:pt idx="1">
                  <c:v>Carolina del Príncipe</c:v>
                </c:pt>
                <c:pt idx="2">
                  <c:v>Guadalupe</c:v>
                </c:pt>
                <c:pt idx="3">
                  <c:v>San Andrés de Cuerquia</c:v>
                </c:pt>
                <c:pt idx="4">
                  <c:v>Campamento</c:v>
                </c:pt>
                <c:pt idx="5">
                  <c:v>Toledo</c:v>
                </c:pt>
                <c:pt idx="6">
                  <c:v>Briceño</c:v>
                </c:pt>
                <c:pt idx="7">
                  <c:v>Angostura</c:v>
                </c:pt>
                <c:pt idx="8">
                  <c:v>Valdivia</c:v>
                </c:pt>
                <c:pt idx="9">
                  <c:v>Ituango</c:v>
                </c:pt>
                <c:pt idx="10">
                  <c:v>Anorí</c:v>
                </c:pt>
                <c:pt idx="11">
                  <c:v>Gómez Plata</c:v>
                </c:pt>
                <c:pt idx="12">
                  <c:v>Yarumal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'T24 Distribución VA'!$D$3:$D$19</c15:sqref>
                  </c15:fullRef>
                </c:ext>
              </c:extLst>
              <c:f>'T24 Distribución VA'!$D$4:$D$16</c:f>
              <c:numCache>
                <c:formatCode>0.0%</c:formatCode>
                <c:ptCount val="13"/>
                <c:pt idx="0">
                  <c:v>0.80196661378518297</c:v>
                </c:pt>
                <c:pt idx="1">
                  <c:v>0.63155406058970598</c:v>
                </c:pt>
                <c:pt idx="2">
                  <c:v>0.78824511596632796</c:v>
                </c:pt>
                <c:pt idx="3">
                  <c:v>0.71122255881694796</c:v>
                </c:pt>
                <c:pt idx="4">
                  <c:v>0.77331149101380003</c:v>
                </c:pt>
                <c:pt idx="5">
                  <c:v>0.76085369082445398</c:v>
                </c:pt>
                <c:pt idx="6">
                  <c:v>0.655996547682832</c:v>
                </c:pt>
                <c:pt idx="7">
                  <c:v>0.70381083331180305</c:v>
                </c:pt>
                <c:pt idx="8">
                  <c:v>0.81258345014160105</c:v>
                </c:pt>
                <c:pt idx="9">
                  <c:v>0.738681928499758</c:v>
                </c:pt>
                <c:pt idx="10">
                  <c:v>0.486059619270304</c:v>
                </c:pt>
                <c:pt idx="11">
                  <c:v>0.83900619609126803</c:v>
                </c:pt>
                <c:pt idx="12">
                  <c:v>0.62465948248441705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A0-45A8-8D4E-D22BCF56D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51637383"/>
        <c:axId val="24911847"/>
      </c:barChart>
      <c:catAx>
        <c:axId val="51637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0" cap="flat" cmpd="sng" algn="ctr">
            <a:solidFill>
              <a:srgbClr val="B3B3B3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CO"/>
          </a:p>
        </c:txPr>
        <c:crossAx val="24911847"/>
        <c:crosses val="autoZero"/>
        <c:auto val="1"/>
        <c:lblAlgn val="ctr"/>
        <c:lblOffset val="100"/>
        <c:noMultiLvlLbl val="0"/>
      </c:catAx>
      <c:valAx>
        <c:axId val="24911847"/>
        <c:scaling>
          <c:orientation val="minMax"/>
        </c:scaling>
        <c:delete val="0"/>
        <c:axPos val="b"/>
        <c:majorGridlines>
          <c:spPr>
            <a:ln w="0" cap="flat" cmpd="sng" algn="ctr">
              <a:solidFill>
                <a:srgbClr val="B3B3B3"/>
              </a:solidFill>
              <a:prstDash val="solid"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0" cap="flat" cmpd="sng" algn="ctr">
            <a:solidFill>
              <a:srgbClr val="B3B3B3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CO"/>
          </a:p>
        </c:txPr>
        <c:crossAx val="51637383"/>
        <c:crosses val="autoZero"/>
        <c:crossBetween val="between"/>
      </c:valAx>
      <c:spPr>
        <a:noFill/>
        <a:ln w="0">
          <a:noFill/>
        </a:ln>
        <a:effectLst/>
      </c:spPr>
    </c:plotArea>
    <c:legend>
      <c:legendPos val="b"/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Participación (%)</c:v>
          </c:tx>
          <c:spPr>
            <a:solidFill>
              <a:srgbClr val="1B3A6B"/>
            </a:solidFill>
            <a:ln w="0">
              <a:solidFill>
                <a:srgbClr val="1B3A6B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'T25 Capacidad Instalada SIN'!$A$4:$A$7</c:f>
              <c:strCache>
                <c:ptCount val="4"/>
                <c:pt idx="0">
                  <c:v>Hidráulica</c:v>
                </c:pt>
                <c:pt idx="1">
                  <c:v>Térmica</c:v>
                </c:pt>
                <c:pt idx="2">
                  <c:v>Solar</c:v>
                </c:pt>
                <c:pt idx="3">
                  <c:v>Eólica</c:v>
                </c:pt>
              </c:strCache>
            </c:strRef>
          </c:cat>
          <c:val>
            <c:numRef>
              <c:f>'T25 Capacidad Instalada SIN'!$C$4:$C$7</c:f>
              <c:numCache>
                <c:formatCode>00.00%</c:formatCode>
                <c:ptCount val="4"/>
                <c:pt idx="0">
                  <c:v>0.57699999999999996</c:v>
                </c:pt>
                <c:pt idx="1">
                  <c:v>0.27500000000000002</c:v>
                </c:pt>
                <c:pt idx="2">
                  <c:v>0.14599999999999999</c:v>
                </c:pt>
                <c:pt idx="3">
                  <c:v>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F3-4263-A660-27E518EE7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956458"/>
        <c:axId val="62573186"/>
      </c:barChart>
      <c:catAx>
        <c:axId val="8595645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62573186"/>
        <c:crosses val="autoZero"/>
        <c:auto val="1"/>
        <c:lblAlgn val="ctr"/>
        <c:lblOffset val="100"/>
        <c:noMultiLvlLbl val="0"/>
      </c:catAx>
      <c:valAx>
        <c:axId val="62573186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00.0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8595645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Participación (%)</c:v>
          </c:tx>
          <c:spPr>
            <a:solidFill>
              <a:srgbClr val="1F3864"/>
            </a:solidFill>
            <a:ln w="0">
              <a:solidFill>
                <a:srgbClr val="1B3A6B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'T25 Capacidad Instalada SIN'!$A$4:$A$7</c:f>
              <c:strCache>
                <c:ptCount val="4"/>
                <c:pt idx="0">
                  <c:v>Hidráulica</c:v>
                </c:pt>
                <c:pt idx="1">
                  <c:v>Térmica</c:v>
                </c:pt>
                <c:pt idx="2">
                  <c:v>Solar</c:v>
                </c:pt>
                <c:pt idx="3">
                  <c:v>Eólica</c:v>
                </c:pt>
              </c:strCache>
            </c:strRef>
          </c:cat>
          <c:val>
            <c:numRef>
              <c:f>'T25 Capacidad Instalada SIN'!$C$4:$C$7</c:f>
              <c:numCache>
                <c:formatCode>00.00%</c:formatCode>
                <c:ptCount val="4"/>
                <c:pt idx="0">
                  <c:v>0.57699999999999996</c:v>
                </c:pt>
                <c:pt idx="1">
                  <c:v>0.27500000000000002</c:v>
                </c:pt>
                <c:pt idx="2">
                  <c:v>0.14599999999999999</c:v>
                </c:pt>
                <c:pt idx="3">
                  <c:v>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04-4705-969B-C41D52EA96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0"/>
        <c:axId val="15598424"/>
        <c:axId val="97506797"/>
      </c:barChart>
      <c:catAx>
        <c:axId val="15598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97506797"/>
        <c:crosses val="autoZero"/>
        <c:auto val="1"/>
        <c:lblAlgn val="ctr"/>
        <c:lblOffset val="100"/>
        <c:noMultiLvlLbl val="0"/>
      </c:catAx>
      <c:valAx>
        <c:axId val="97506797"/>
        <c:scaling>
          <c:orientation val="minMax"/>
        </c:scaling>
        <c:delete val="1"/>
        <c:axPos val="b"/>
        <c:numFmt formatCode="00.00%" sourceLinked="1"/>
        <c:majorTickMark val="none"/>
        <c:minorTickMark val="none"/>
        <c:tickLblPos val="nextTo"/>
        <c:crossAx val="155984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Capacidad instalada (MW)</c:v>
          </c:tx>
          <c:spPr>
            <a:solidFill>
              <a:srgbClr val="1B3A6B"/>
            </a:solidFill>
            <a:ln w="0">
              <a:solidFill>
                <a:srgbClr val="1B3A6B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'T26 Centrales Generación'!$B$4:$B$12</c:f>
              <c:strCache>
                <c:ptCount val="9"/>
                <c:pt idx="0">
                  <c:v>Ituango (Hidroituango)</c:v>
                </c:pt>
                <c:pt idx="1">
                  <c:v>Porce III</c:v>
                </c:pt>
                <c:pt idx="2">
                  <c:v>Guadalupe III</c:v>
                </c:pt>
                <c:pt idx="3">
                  <c:v>Guadalupe IV</c:v>
                </c:pt>
                <c:pt idx="4">
                  <c:v>Pajarito</c:v>
                </c:pt>
                <c:pt idx="5">
                  <c:v>Providencia</c:v>
                </c:pt>
                <c:pt idx="6">
                  <c:v>Porce III Menor</c:v>
                </c:pt>
                <c:pt idx="7">
                  <c:v>San José de la Montaña II</c:v>
                </c:pt>
                <c:pt idx="8">
                  <c:v>San José de la Montaña</c:v>
                </c:pt>
              </c:strCache>
            </c:strRef>
          </c:cat>
          <c:val>
            <c:numRef>
              <c:f>'T26 Centrales Generación'!$C$4:$C$12</c:f>
              <c:numCache>
                <c:formatCode>#.##000</c:formatCode>
                <c:ptCount val="9"/>
                <c:pt idx="0">
                  <c:v>1200</c:v>
                </c:pt>
                <c:pt idx="1">
                  <c:v>700</c:v>
                </c:pt>
                <c:pt idx="2">
                  <c:v>270</c:v>
                </c:pt>
                <c:pt idx="3">
                  <c:v>202</c:v>
                </c:pt>
                <c:pt idx="4">
                  <c:v>13.2</c:v>
                </c:pt>
                <c:pt idx="5">
                  <c:v>4.9000000000000004</c:v>
                </c:pt>
                <c:pt idx="6">
                  <c:v>1.8</c:v>
                </c:pt>
                <c:pt idx="7">
                  <c:v>1.1000000000000001</c:v>
                </c:pt>
                <c:pt idx="8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77-4484-9838-D7C85218C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06013"/>
        <c:axId val="47347350"/>
      </c:barChart>
      <c:catAx>
        <c:axId val="1540601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47347350"/>
        <c:crosses val="autoZero"/>
        <c:auto val="1"/>
        <c:lblAlgn val="ctr"/>
        <c:lblOffset val="100"/>
        <c:noMultiLvlLbl val="0"/>
      </c:catAx>
      <c:valAx>
        <c:axId val="47347350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#.##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1540601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'T26 Centrales Generación'!$B$17</c:f>
              <c:strCache>
                <c:ptCount val="1"/>
                <c:pt idx="0">
                  <c:v>Cap. Instalada (GW)</c:v>
                </c:pt>
              </c:strCache>
            </c:strRef>
          </c:tx>
          <c:spPr>
            <a:solidFill>
              <a:srgbClr val="1B3A6B"/>
            </a:solidFill>
            <a:ln w="0">
              <a:solidFill>
                <a:srgbClr val="1B3A6B"/>
              </a:solidFill>
            </a:ln>
          </c:spPr>
          <c:invertIfNegative val="0"/>
          <c:dPt>
            <c:idx val="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 w="0">
                <a:solidFill>
                  <a:srgbClr val="1B3A6B"/>
                </a:solidFill>
              </a:ln>
            </c:spPr>
            <c:extLst>
              <c:ext xmlns:c16="http://schemas.microsoft.com/office/drawing/2014/chart" uri="{C3380CC4-5D6E-409C-BE32-E72D297353CC}">
                <c16:uniqueId val="{00000000-4E7F-42EB-A8F7-3A634F60FCBE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'T26 Centrales Generación'!$A$18:$A$27</c:f>
              <c:strCache>
                <c:ptCount val="10"/>
                <c:pt idx="0">
                  <c:v>San José de la Montaña</c:v>
                </c:pt>
                <c:pt idx="1">
                  <c:v>San José de la Montaña II</c:v>
                </c:pt>
                <c:pt idx="2">
                  <c:v>Porce III Menor</c:v>
                </c:pt>
                <c:pt idx="3">
                  <c:v>Providencia</c:v>
                </c:pt>
                <c:pt idx="4">
                  <c:v>Pajarito</c:v>
                </c:pt>
                <c:pt idx="5">
                  <c:v>Guadalupe IV</c:v>
                </c:pt>
                <c:pt idx="6">
                  <c:v>Guadalupe III</c:v>
                </c:pt>
                <c:pt idx="7">
                  <c:v>Porce III</c:v>
                </c:pt>
                <c:pt idx="8">
                  <c:v>Ituango (Hidroituango)</c:v>
                </c:pt>
                <c:pt idx="9">
                  <c:v>Total Provincia</c:v>
                </c:pt>
              </c:strCache>
            </c:strRef>
          </c:cat>
          <c:val>
            <c:numRef>
              <c:f>'T26 Centrales Generación'!$B$18:$B$27</c:f>
              <c:numCache>
                <c:formatCode>0.00000</c:formatCode>
                <c:ptCount val="10"/>
                <c:pt idx="0">
                  <c:v>4.0000000000000002E-4</c:v>
                </c:pt>
                <c:pt idx="1">
                  <c:v>1.1000000000000001E-3</c:v>
                </c:pt>
                <c:pt idx="2">
                  <c:v>1.8E-3</c:v>
                </c:pt>
                <c:pt idx="3">
                  <c:v>4.9000000000000007E-3</c:v>
                </c:pt>
                <c:pt idx="4">
                  <c:v>1.32E-2</c:v>
                </c:pt>
                <c:pt idx="5">
                  <c:v>0.20200000000000001</c:v>
                </c:pt>
                <c:pt idx="6">
                  <c:v>0.27</c:v>
                </c:pt>
                <c:pt idx="7">
                  <c:v>0.7</c:v>
                </c:pt>
                <c:pt idx="8">
                  <c:v>1.2</c:v>
                </c:pt>
                <c:pt idx="9">
                  <c:v>2.3934000000000002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C9-4125-A53A-D6006D485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88467753"/>
        <c:axId val="67839677"/>
      </c:barChart>
      <c:catAx>
        <c:axId val="8846775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67839677"/>
        <c:crosses val="autoZero"/>
        <c:auto val="1"/>
        <c:lblAlgn val="ctr"/>
        <c:lblOffset val="100"/>
        <c:noMultiLvlLbl val="0"/>
      </c:catAx>
      <c:valAx>
        <c:axId val="67839677"/>
        <c:scaling>
          <c:orientation val="minMax"/>
        </c:scaling>
        <c:delete val="1"/>
        <c:axPos val="b"/>
        <c:numFmt formatCode="0.00000" sourceLinked="1"/>
        <c:majorTickMark val="none"/>
        <c:minorTickMark val="none"/>
        <c:tickLblPos val="nextTo"/>
        <c:crossAx val="884677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Licencias vigentes</c:v>
          </c:tx>
          <c:spPr>
            <a:solidFill>
              <a:srgbClr val="1B3A6B"/>
            </a:solidFill>
            <a:ln w="0">
              <a:solidFill>
                <a:srgbClr val="1B3A6B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'T28 Licencias Mineras'!$A$4:$A$27</c:f>
              <c:strCache>
                <c:ptCount val="24"/>
                <c:pt idx="0">
                  <c:v>Mineral de oro</c:v>
                </c:pt>
                <c:pt idx="1">
                  <c:v>Mineral de plata</c:v>
                </c:pt>
                <c:pt idx="2">
                  <c:v>Minerales de oro y sus concentrados</c:v>
                </c:pt>
                <c:pt idx="3">
                  <c:v>Arenas</c:v>
                </c:pt>
                <c:pt idx="4">
                  <c:v>Gravas</c:v>
                </c:pt>
                <c:pt idx="5">
                  <c:v>Mineral de cobre</c:v>
                </c:pt>
                <c:pt idx="6">
                  <c:v>Arenas silíceas</c:v>
                </c:pt>
                <c:pt idx="7">
                  <c:v>Mineral de plomo</c:v>
                </c:pt>
                <c:pt idx="8">
                  <c:v>Mineral de platino</c:v>
                </c:pt>
                <c:pt idx="9">
                  <c:v>Recebo</c:v>
                </c:pt>
                <c:pt idx="10">
                  <c:v>Demás concesibles</c:v>
                </c:pt>
                <c:pt idx="11">
                  <c:v>Arenas arcillosas</c:v>
                </c:pt>
                <c:pt idx="12">
                  <c:v>Arenas feldespáticas</c:v>
                </c:pt>
                <c:pt idx="13">
                  <c:v>Arenas industriales</c:v>
                </c:pt>
                <c:pt idx="14">
                  <c:v>Gravas (de río)</c:v>
                </c:pt>
                <c:pt idx="15">
                  <c:v>Níquel</c:v>
                </c:pt>
                <c:pt idx="16">
                  <c:v>Talco</c:v>
                </c:pt>
                <c:pt idx="17">
                  <c:v>Otras rocas metamórficas</c:v>
                </c:pt>
                <c:pt idx="18">
                  <c:v>Mineral de zinc</c:v>
                </c:pt>
                <c:pt idx="19">
                  <c:v>Minerales de cobre y sus concentrados</c:v>
                </c:pt>
                <c:pt idx="20">
                  <c:v>Minerales de plata y sus concentrados</c:v>
                </c:pt>
                <c:pt idx="21">
                  <c:v>Minerales de plomo y sus concentrados</c:v>
                </c:pt>
                <c:pt idx="22">
                  <c:v>Mármol y travertino</c:v>
                </c:pt>
                <c:pt idx="23">
                  <c:v>Arenas (de río)</c:v>
                </c:pt>
              </c:strCache>
            </c:strRef>
          </c:cat>
          <c:val>
            <c:numRef>
              <c:f>'T28 Licencias Mineras'!$B$4:$B$27</c:f>
              <c:numCache>
                <c:formatCode>General</c:formatCode>
                <c:ptCount val="24"/>
                <c:pt idx="0">
                  <c:v>49</c:v>
                </c:pt>
                <c:pt idx="1">
                  <c:v>11</c:v>
                </c:pt>
                <c:pt idx="2">
                  <c:v>10</c:v>
                </c:pt>
                <c:pt idx="3">
                  <c:v>10</c:v>
                </c:pt>
                <c:pt idx="4">
                  <c:v>8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36-4521-A570-E600E6C77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789093"/>
        <c:axId val="14939301"/>
      </c:barChart>
      <c:catAx>
        <c:axId val="3078909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14939301"/>
        <c:crosses val="autoZero"/>
        <c:auto val="1"/>
        <c:lblAlgn val="ctr"/>
        <c:lblOffset val="100"/>
        <c:noMultiLvlLbl val="0"/>
      </c:catAx>
      <c:valAx>
        <c:axId val="14939301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3078909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Licencias vigentes</c:v>
          </c:tx>
          <c:spPr>
            <a:solidFill>
              <a:srgbClr val="1B3A6B"/>
            </a:solidFill>
            <a:ln w="0">
              <a:solidFill>
                <a:srgbClr val="1B3A6B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'T28 Licencias Mineras'!$A$4:$A$27</c:f>
              <c:strCache>
                <c:ptCount val="24"/>
                <c:pt idx="0">
                  <c:v>Mineral de oro</c:v>
                </c:pt>
                <c:pt idx="1">
                  <c:v>Mineral de plata</c:v>
                </c:pt>
                <c:pt idx="2">
                  <c:v>Minerales de oro y sus concentrados</c:v>
                </c:pt>
                <c:pt idx="3">
                  <c:v>Arenas</c:v>
                </c:pt>
                <c:pt idx="4">
                  <c:v>Gravas</c:v>
                </c:pt>
                <c:pt idx="5">
                  <c:v>Mineral de cobre</c:v>
                </c:pt>
                <c:pt idx="6">
                  <c:v>Arenas silíceas</c:v>
                </c:pt>
                <c:pt idx="7">
                  <c:v>Mineral de plomo</c:v>
                </c:pt>
                <c:pt idx="8">
                  <c:v>Mineral de platino</c:v>
                </c:pt>
                <c:pt idx="9">
                  <c:v>Recebo</c:v>
                </c:pt>
                <c:pt idx="10">
                  <c:v>Demás concesibles</c:v>
                </c:pt>
                <c:pt idx="11">
                  <c:v>Arenas arcillosas</c:v>
                </c:pt>
                <c:pt idx="12">
                  <c:v>Arenas feldespáticas</c:v>
                </c:pt>
                <c:pt idx="13">
                  <c:v>Arenas industriales</c:v>
                </c:pt>
                <c:pt idx="14">
                  <c:v>Gravas (de río)</c:v>
                </c:pt>
                <c:pt idx="15">
                  <c:v>Níquel</c:v>
                </c:pt>
                <c:pt idx="16">
                  <c:v>Talco</c:v>
                </c:pt>
                <c:pt idx="17">
                  <c:v>Otras rocas metamórficas</c:v>
                </c:pt>
                <c:pt idx="18">
                  <c:v>Mineral de zinc</c:v>
                </c:pt>
                <c:pt idx="19">
                  <c:v>Minerales de cobre y sus concentrados</c:v>
                </c:pt>
                <c:pt idx="20">
                  <c:v>Minerales de plata y sus concentrados</c:v>
                </c:pt>
                <c:pt idx="21">
                  <c:v>Minerales de plomo y sus concentrados</c:v>
                </c:pt>
                <c:pt idx="22">
                  <c:v>Mármol y travertino</c:v>
                </c:pt>
                <c:pt idx="23">
                  <c:v>Arenas (de río)</c:v>
                </c:pt>
              </c:strCache>
            </c:strRef>
          </c:cat>
          <c:val>
            <c:numRef>
              <c:f>'T28 Licencias Mineras'!$B$4:$B$27</c:f>
              <c:numCache>
                <c:formatCode>General</c:formatCode>
                <c:ptCount val="24"/>
                <c:pt idx="0">
                  <c:v>49</c:v>
                </c:pt>
                <c:pt idx="1">
                  <c:v>11</c:v>
                </c:pt>
                <c:pt idx="2">
                  <c:v>10</c:v>
                </c:pt>
                <c:pt idx="3">
                  <c:v>10</c:v>
                </c:pt>
                <c:pt idx="4">
                  <c:v>8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A0-467A-B3F3-A513A2738D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axId val="30640947"/>
        <c:axId val="33628400"/>
      </c:barChart>
      <c:catAx>
        <c:axId val="306409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33628400"/>
        <c:crosses val="autoZero"/>
        <c:auto val="1"/>
        <c:lblAlgn val="ctr"/>
        <c:lblOffset val="100"/>
        <c:noMultiLvlLbl val="0"/>
      </c:catAx>
      <c:valAx>
        <c:axId val="336284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06409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'T28 Licencias Mineras'!$B$31</c:f>
              <c:strCache>
                <c:ptCount val="1"/>
                <c:pt idx="0">
                  <c:v>Número de licencias</c:v>
                </c:pt>
              </c:strCache>
            </c:strRef>
          </c:tx>
          <c:dPt>
            <c:idx val="0"/>
            <c:bubble3D val="0"/>
            <c:spPr>
              <a:solidFill>
                <a:schemeClr val="tx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1ED-4055-A57A-C68190DB7E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C44-45E5-A301-146E546EFE1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C44-45E5-A301-146E546EFE1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C44-45E5-A301-146E546EFE1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C44-45E5-A301-146E546EFE1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C44-45E5-A301-146E546EFE15}"/>
              </c:ext>
            </c:extLst>
          </c:dPt>
          <c:dPt>
            <c:idx val="6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ED-4055-A57A-C68190DB7E9A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1" i="0" u="none" strike="noStrike" kern="1200" baseline="0">
                      <a:solidFill>
                        <a:schemeClr val="bg1"/>
                      </a:solidFill>
                      <a:latin typeface="Aptos Narrow" panose="020B0004020202020204" pitchFamily="34" charset="0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C1ED-4055-A57A-C68190DB7E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'T28 Licencias Mineras'!$A$41:$A$47</c:f>
              <c:strCache>
                <c:ptCount val="7"/>
                <c:pt idx="0">
                  <c:v>Oro</c:v>
                </c:pt>
                <c:pt idx="1">
                  <c:v>Plata</c:v>
                </c:pt>
                <c:pt idx="2">
                  <c:v>Oro y sus concentrados</c:v>
                </c:pt>
                <c:pt idx="3">
                  <c:v>Arenas</c:v>
                </c:pt>
                <c:pt idx="4">
                  <c:v>Gravas</c:v>
                </c:pt>
                <c:pt idx="5">
                  <c:v>Mineral de cobre</c:v>
                </c:pt>
                <c:pt idx="6">
                  <c:v>Otros minerales</c:v>
                </c:pt>
              </c:strCache>
            </c:strRef>
          </c:cat>
          <c:val>
            <c:numRef>
              <c:f>'T28 Licencias Mineras'!$B$41:$B$47</c:f>
              <c:numCache>
                <c:formatCode>0%</c:formatCode>
                <c:ptCount val="7"/>
                <c:pt idx="0">
                  <c:v>3.8167938931297711E-2</c:v>
                </c:pt>
                <c:pt idx="1">
                  <c:v>6.1068702290076333E-2</c:v>
                </c:pt>
                <c:pt idx="2">
                  <c:v>7.6335877862595422E-2</c:v>
                </c:pt>
                <c:pt idx="3">
                  <c:v>7.6335877862595422E-2</c:v>
                </c:pt>
                <c:pt idx="4">
                  <c:v>8.3969465648854963E-2</c:v>
                </c:pt>
                <c:pt idx="5">
                  <c:v>0.29007633587786258</c:v>
                </c:pt>
                <c:pt idx="6">
                  <c:v>0.37404580152671757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ED-4055-A57A-C68190DB7E9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793438320209975"/>
          <c:y val="6.4118547681539809E-2"/>
          <c:w val="0.33206561679790025"/>
          <c:h val="0.935881452318460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1">
          <a:latin typeface="Aptos Narrow" panose="020B0004020202020204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'T28 Licencias Mineras'!$B$31</c:f>
              <c:strCache>
                <c:ptCount val="1"/>
                <c:pt idx="0">
                  <c:v>Número de licencias</c:v>
                </c:pt>
              </c:strCache>
            </c:strRef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'T28 Licencias Mineras'!$A$32:$A$38</c:f>
              <c:strCache>
                <c:ptCount val="7"/>
                <c:pt idx="0">
                  <c:v>Mineral de cobre</c:v>
                </c:pt>
                <c:pt idx="1">
                  <c:v>Gravas</c:v>
                </c:pt>
                <c:pt idx="2">
                  <c:v>Oro y sus concentrados</c:v>
                </c:pt>
                <c:pt idx="3">
                  <c:v>Arenas</c:v>
                </c:pt>
                <c:pt idx="4">
                  <c:v>Plata</c:v>
                </c:pt>
                <c:pt idx="5">
                  <c:v>Otros minerales*</c:v>
                </c:pt>
                <c:pt idx="6">
                  <c:v>Oro</c:v>
                </c:pt>
              </c:strCache>
            </c:strRef>
          </c:cat>
          <c:val>
            <c:numRef>
              <c:f>'T28 Licencias Mineras'!$B$32:$B$38</c:f>
              <c:numCache>
                <c:formatCode>General</c:formatCode>
                <c:ptCount val="7"/>
                <c:pt idx="0">
                  <c:v>5</c:v>
                </c:pt>
                <c:pt idx="1">
                  <c:v>8</c:v>
                </c:pt>
                <c:pt idx="2">
                  <c:v>10</c:v>
                </c:pt>
                <c:pt idx="3">
                  <c:v>10</c:v>
                </c:pt>
                <c:pt idx="4">
                  <c:v>11</c:v>
                </c:pt>
                <c:pt idx="5">
                  <c:v>38</c:v>
                </c:pt>
                <c:pt idx="6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9C-4C74-A62B-0A7EDD663F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axId val="743170479"/>
        <c:axId val="743170959"/>
      </c:barChart>
      <c:catAx>
        <c:axId val="743170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CO"/>
          </a:p>
        </c:txPr>
        <c:crossAx val="743170959"/>
        <c:crosses val="autoZero"/>
        <c:auto val="1"/>
        <c:lblAlgn val="ctr"/>
        <c:lblOffset val="100"/>
        <c:noMultiLvlLbl val="0"/>
      </c:catAx>
      <c:valAx>
        <c:axId val="7431709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43170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4"/>
          <c:order val="4"/>
          <c:tx>
            <c:v>Total Provincia</c:v>
          </c:tx>
          <c:spPr>
            <a:ln w="34925">
              <a:solidFill>
                <a:srgbClr val="1F3864"/>
              </a:solidFill>
              <a:round/>
            </a:ln>
          </c:spPr>
          <c:marker>
            <c:symbol val="square"/>
            <c:size val="7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'T29 Visitantes Extranjeros'!$B$3:$H$3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'T29 Visitantes Extranjeros'!$B$18:$H$18</c:f>
              <c:numCache>
                <c:formatCode>#</c:formatCode>
                <c:ptCount val="7"/>
                <c:pt idx="0">
                  <c:v>78</c:v>
                </c:pt>
                <c:pt idx="1">
                  <c:v>41</c:v>
                </c:pt>
                <c:pt idx="2">
                  <c:v>126</c:v>
                </c:pt>
                <c:pt idx="3">
                  <c:v>300</c:v>
                </c:pt>
                <c:pt idx="4">
                  <c:v>161</c:v>
                </c:pt>
                <c:pt idx="5">
                  <c:v>167</c:v>
                </c:pt>
                <c:pt idx="6">
                  <c:v>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DFE-4DF7-A0C4-D8D31208275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4621904"/>
        <c:axId val="6360123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Angostura</c:v>
                </c:tx>
                <c:spPr>
                  <a:ln w="25560">
                    <a:solidFill>
                      <a:srgbClr val="0070C0"/>
                    </a:solidFill>
                    <a:round/>
                  </a:ln>
                </c:spPr>
                <c:marker>
                  <c:symbol val="none"/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ormulaRef>
                          <c15:sqref>'T29 Visitantes Extranjeros'!$B$3:$H$3</c15:sqref>
                        </c15:formulaRef>
                      </c:ext>
                    </c:extLst>
                    <c:strCache>
                      <c:ptCount val="7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  <c:pt idx="5">
                        <c:v>2024</c:v>
                      </c:pt>
                      <c:pt idx="6">
                        <c:v>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'T29 Visitantes Extranjeros'!$B$4:$H$4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2</c:v>
                      </c:pt>
                      <c:pt idx="2">
                        <c:v>10</c:v>
                      </c:pt>
                      <c:pt idx="3">
                        <c:v>30</c:v>
                      </c:pt>
                      <c:pt idx="4">
                        <c:v>20</c:v>
                      </c:pt>
                      <c:pt idx="5">
                        <c:v>8</c:v>
                      </c:pt>
                      <c:pt idx="6">
                        <c:v>11</c:v>
                      </c:pt>
                    </c:numCache>
                  </c:numRef>
                </c:val>
                <c:smooth val="1"/>
                <c:extLst>
                  <c:ext xmlns:c16="http://schemas.microsoft.com/office/drawing/2014/chart" uri="{C3380CC4-5D6E-409C-BE32-E72D297353CC}">
                    <c16:uniqueId val="{00000000-DDFE-4DF7-A0C4-D8D31208275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v>Guadalupe</c:v>
                </c:tx>
                <c:spPr>
                  <a:ln w="25560">
                    <a:solidFill>
                      <a:srgbClr val="E8714A"/>
                    </a:solidFill>
                    <a:round/>
                  </a:ln>
                </c:spPr>
                <c:marker>
                  <c:symbol val="none"/>
                </c:marker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'T29 Visitantes Extranjeros'!$B$3:$H$3</c15:sqref>
                        </c15:formulaRef>
                      </c:ext>
                    </c:extLst>
                    <c:strCache>
                      <c:ptCount val="7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  <c:pt idx="5">
                        <c:v>2024</c:v>
                      </c:pt>
                      <c:pt idx="6">
                        <c:v>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'T29 Visitantes Extranjeros'!$B$10:$H$10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</c:v>
                      </c:pt>
                      <c:pt idx="1">
                        <c:v>9</c:v>
                      </c:pt>
                      <c:pt idx="2">
                        <c:v>18</c:v>
                      </c:pt>
                      <c:pt idx="3">
                        <c:v>52</c:v>
                      </c:pt>
                      <c:pt idx="4">
                        <c:v>22</c:v>
                      </c:pt>
                      <c:pt idx="5">
                        <c:v>47</c:v>
                      </c:pt>
                      <c:pt idx="6">
                        <c:v>40</c:v>
                      </c:pt>
                    </c:numCache>
                  </c:numRef>
                </c: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DFE-4DF7-A0C4-D8D31208275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Ituango</c:v>
                </c:tx>
                <c:spPr>
                  <a:ln w="25560">
                    <a:solidFill>
                      <a:srgbClr val="70AD47"/>
                    </a:solidFill>
                    <a:round/>
                  </a:ln>
                </c:spPr>
                <c:marker>
                  <c:symbol val="none"/>
                </c:marker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'T29 Visitantes Extranjeros'!$B$3:$H$3</c15:sqref>
                        </c15:formulaRef>
                      </c:ext>
                    </c:extLst>
                    <c:strCache>
                      <c:ptCount val="7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  <c:pt idx="5">
                        <c:v>2024</c:v>
                      </c:pt>
                      <c:pt idx="6">
                        <c:v>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'T29 Visitantes Extranjeros'!$B$11:$H$11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29</c:v>
                      </c:pt>
                      <c:pt idx="1">
                        <c:v>6</c:v>
                      </c:pt>
                      <c:pt idx="2">
                        <c:v>10</c:v>
                      </c:pt>
                      <c:pt idx="3">
                        <c:v>44</c:v>
                      </c:pt>
                      <c:pt idx="4">
                        <c:v>32</c:v>
                      </c:pt>
                      <c:pt idx="5">
                        <c:v>17</c:v>
                      </c:pt>
                      <c:pt idx="6">
                        <c:v>28</c:v>
                      </c:pt>
                    </c:numCache>
                  </c:numRef>
                </c: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DFE-4DF7-A0C4-D8D31208275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Yarumal</c:v>
                </c:tx>
                <c:spPr>
                  <a:ln w="25560">
                    <a:solidFill>
                      <a:srgbClr val="A9B4C2"/>
                    </a:solidFill>
                    <a:round/>
                  </a:ln>
                </c:spPr>
                <c:marker>
                  <c:symbol val="none"/>
                </c:marker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'T29 Visitantes Extranjeros'!$B$3:$H$3</c15:sqref>
                        </c15:formulaRef>
                      </c:ext>
                    </c:extLst>
                    <c:strCache>
                      <c:ptCount val="7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  <c:pt idx="5">
                        <c:v>2024</c:v>
                      </c:pt>
                      <c:pt idx="6">
                        <c:v>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'T29 Visitantes Extranjeros'!$B$16:$H$16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25</c:v>
                      </c:pt>
                      <c:pt idx="1">
                        <c:v>4</c:v>
                      </c:pt>
                      <c:pt idx="2">
                        <c:v>32</c:v>
                      </c:pt>
                      <c:pt idx="3">
                        <c:v>41</c:v>
                      </c:pt>
                      <c:pt idx="4">
                        <c:v>30</c:v>
                      </c:pt>
                      <c:pt idx="5">
                        <c:v>24</c:v>
                      </c:pt>
                      <c:pt idx="6">
                        <c:v>51</c:v>
                      </c:pt>
                    </c:numCache>
                  </c:numRef>
                </c: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DFE-4DF7-A0C4-D8D312082759}"/>
                  </c:ext>
                </c:extLst>
              </c15:ser>
            </c15:filteredLineSeries>
          </c:ext>
        </c:extLst>
      </c:lineChart>
      <c:catAx>
        <c:axId val="54621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63601234"/>
        <c:crosses val="autoZero"/>
        <c:auto val="1"/>
        <c:lblAlgn val="ctr"/>
        <c:lblOffset val="100"/>
        <c:noMultiLvlLbl val="0"/>
      </c:catAx>
      <c:valAx>
        <c:axId val="63601234"/>
        <c:scaling>
          <c:orientation val="minMax"/>
        </c:scaling>
        <c:delete val="0"/>
        <c:axPos val="l"/>
        <c:numFmt formatCode="#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5462190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'T29 Visitantes Extranjeros'!$A$25</c:f>
              <c:strCache>
                <c:ptCount val="1"/>
                <c:pt idx="0">
                  <c:v>Departamento</c:v>
                </c:pt>
              </c:strCache>
            </c:strRef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'T29 Visitantes Extranjeros'!$B$23:$H$23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'T29 Visitantes Extranjeros'!$B$25:$H$25</c:f>
              <c:numCache>
                <c:formatCode>#,##0</c:formatCode>
                <c:ptCount val="7"/>
                <c:pt idx="0">
                  <c:v>438530</c:v>
                </c:pt>
                <c:pt idx="1">
                  <c:v>145209</c:v>
                </c:pt>
                <c:pt idx="2">
                  <c:v>303516</c:v>
                </c:pt>
                <c:pt idx="3">
                  <c:v>710194</c:v>
                </c:pt>
                <c:pt idx="4">
                  <c:v>532516</c:v>
                </c:pt>
                <c:pt idx="5">
                  <c:v>905451</c:v>
                </c:pt>
                <c:pt idx="6">
                  <c:v>1038940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2B-44F6-BF23-EC95383EB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544275887"/>
        <c:axId val="1544268687"/>
      </c:barChart>
      <c:lineChart>
        <c:grouping val="standard"/>
        <c:varyColors val="0"/>
        <c:ser>
          <c:idx val="0"/>
          <c:order val="0"/>
          <c:tx>
            <c:strRef>
              <c:f>'T29 Visitantes Extranjeros'!$A$24</c:f>
              <c:strCache>
                <c:ptCount val="1"/>
                <c:pt idx="0">
                  <c:v>Provincia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11"/>
            <c:spPr>
              <a:solidFill>
                <a:schemeClr val="accent2"/>
              </a:solidFill>
              <a:ln w="9525">
                <a:solidFill>
                  <a:schemeClr val="bg1">
                    <a:lumMod val="9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'T29 Visitantes Extranjeros'!$B$23:$H$23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'T29 Visitantes Extranjeros'!$B$24:$H$24</c:f>
              <c:numCache>
                <c:formatCode>#</c:formatCode>
                <c:ptCount val="7"/>
                <c:pt idx="0">
                  <c:v>78</c:v>
                </c:pt>
                <c:pt idx="1">
                  <c:v>41</c:v>
                </c:pt>
                <c:pt idx="2">
                  <c:v>126</c:v>
                </c:pt>
                <c:pt idx="3">
                  <c:v>300</c:v>
                </c:pt>
                <c:pt idx="4">
                  <c:v>161</c:v>
                </c:pt>
                <c:pt idx="5">
                  <c:v>167</c:v>
                </c:pt>
                <c:pt idx="6">
                  <c:v>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2B-44F6-BF23-EC95383EB69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44275887"/>
        <c:axId val="1544268687"/>
      </c:lineChart>
      <c:catAx>
        <c:axId val="1544275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CO"/>
          </a:p>
        </c:txPr>
        <c:crossAx val="1544268687"/>
        <c:crosses val="autoZero"/>
        <c:auto val="1"/>
        <c:lblAlgn val="ctr"/>
        <c:lblOffset val="100"/>
        <c:noMultiLvlLbl val="0"/>
      </c:catAx>
      <c:valAx>
        <c:axId val="1544268687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44275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3040650143959658"/>
          <c:y val="3.5256428051901906E-2"/>
          <c:w val="0.50957584770009134"/>
          <c:h val="0.9294871438961962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'T30 Valor Agregado Terciarias'!$N$1</c:f>
              <c:strCache>
                <c:ptCount val="1"/>
                <c:pt idx="0">
                  <c:v>Participación</c:v>
                </c:pt>
              </c:strCache>
            </c:strRef>
          </c:tx>
          <c:spPr>
            <a:solidFill>
              <a:srgbClr val="1B3A6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'T30 Valor Agregado Terciarias'!$L$2:$L$9</c:f>
              <c:strCache>
                <c:ptCount val="8"/>
                <c:pt idx="0">
                  <c:v>Información y comunicaciones </c:v>
                </c:pt>
                <c:pt idx="1">
                  <c:v>Actividades financieras y de seguros</c:v>
                </c:pt>
                <c:pt idx="2">
                  <c:v>Actividades artísticas y otros</c:v>
                </c:pt>
                <c:pt idx="3">
                  <c:v>Actividades inmobiliarias</c:v>
                </c:pt>
                <c:pt idx="4">
                  <c:v>Actividades profesionales</c:v>
                </c:pt>
                <c:pt idx="5">
                  <c:v>Electricidad, gas y agua</c:v>
                </c:pt>
                <c:pt idx="6">
                  <c:v>Administración pública</c:v>
                </c:pt>
                <c:pt idx="7">
                  <c:v>Comercio y Transporte</c:v>
                </c:pt>
              </c:strCache>
            </c:strRef>
          </c:cat>
          <c:val>
            <c:numRef>
              <c:f>'T30 Valor Agregado Terciarias'!$N$2:$N$9</c:f>
              <c:numCache>
                <c:formatCode>0.0%</c:formatCode>
                <c:ptCount val="8"/>
                <c:pt idx="0">
                  <c:v>3.1117880780890471E-2</c:v>
                </c:pt>
                <c:pt idx="1">
                  <c:v>3.45225450395866E-2</c:v>
                </c:pt>
                <c:pt idx="2">
                  <c:v>5.715443873373996E-2</c:v>
                </c:pt>
                <c:pt idx="3">
                  <c:v>8.7588193084879543E-2</c:v>
                </c:pt>
                <c:pt idx="4">
                  <c:v>0.14251774371213466</c:v>
                </c:pt>
                <c:pt idx="5">
                  <c:v>0.15060237597871787</c:v>
                </c:pt>
                <c:pt idx="6">
                  <c:v>0.22226956459917557</c:v>
                </c:pt>
                <c:pt idx="7">
                  <c:v>0.27422725807087539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01-4094-B5EA-206C360FA6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axId val="846641712"/>
        <c:axId val="722426640"/>
      </c:barChart>
      <c:catAx>
        <c:axId val="846641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CO"/>
          </a:p>
        </c:txPr>
        <c:crossAx val="722426640"/>
        <c:crosses val="autoZero"/>
        <c:auto val="1"/>
        <c:lblAlgn val="ctr"/>
        <c:lblOffset val="100"/>
        <c:noMultiLvlLbl val="0"/>
      </c:catAx>
      <c:valAx>
        <c:axId val="722426640"/>
        <c:scaling>
          <c:orientation val="minMax"/>
        </c:scaling>
        <c:delete val="1"/>
        <c:axPos val="b"/>
        <c:numFmt formatCode="0.0%" sourceLinked="1"/>
        <c:majorTickMark val="none"/>
        <c:minorTickMark val="none"/>
        <c:tickLblPos val="nextTo"/>
        <c:crossAx val="846641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6563387770590283"/>
          <c:y val="3.5659805961645669E-2"/>
          <c:w val="0.56165827562535631"/>
          <c:h val="0.92868038807670861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'T31 Valor gregado Por sectores'!$C$3</c:f>
              <c:strCache>
                <c:ptCount val="1"/>
                <c:pt idx="0">
                  <c:v>Participación</c:v>
                </c:pt>
              </c:strCache>
            </c:strRef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981-43A1-B78B-F51CB3E520A5}"/>
              </c:ext>
            </c:extLst>
          </c:dPt>
          <c:dPt>
            <c:idx val="2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981-43A1-B78B-F51CB3E520A5}"/>
              </c:ext>
            </c:extLst>
          </c:dPt>
          <c:dPt>
            <c:idx val="5"/>
            <c:invertIfNegative val="0"/>
            <c:bubble3D val="0"/>
            <c:spPr>
              <a:solidFill>
                <a:srgbClr val="3770C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981-43A1-B78B-F51CB3E520A5}"/>
              </c:ext>
            </c:extLst>
          </c:dPt>
          <c:dPt>
            <c:idx val="6"/>
            <c:invertIfNegative val="0"/>
            <c:bubble3D val="0"/>
            <c:spPr>
              <a:solidFill>
                <a:srgbClr val="3770C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981-43A1-B78B-F51CB3E520A5}"/>
              </c:ext>
            </c:extLst>
          </c:dPt>
          <c:dPt>
            <c:idx val="9"/>
            <c:invertIfNegative val="0"/>
            <c:bubble3D val="0"/>
            <c:spPr>
              <a:solidFill>
                <a:srgbClr val="FFCC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D981-43A1-B78B-F51CB3E520A5}"/>
              </c:ext>
            </c:extLst>
          </c:dPt>
          <c:dPt>
            <c:idx val="10"/>
            <c:invertIfNegative val="0"/>
            <c:bubble3D val="0"/>
            <c:spPr>
              <a:solidFill>
                <a:srgbClr val="FFCC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981-43A1-B78B-F51CB3E520A5}"/>
              </c:ext>
            </c:extLst>
          </c:dPt>
          <c:dPt>
            <c:idx val="11"/>
            <c:invertIfNegative val="0"/>
            <c:bubble3D val="0"/>
            <c:spPr>
              <a:solidFill>
                <a:srgbClr val="FFCC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D981-43A1-B78B-F51CB3E520A5}"/>
              </c:ext>
            </c:extLst>
          </c:dPt>
          <c:dPt>
            <c:idx val="12"/>
            <c:invertIfNegative val="0"/>
            <c:bubble3D val="0"/>
            <c:spPr>
              <a:solidFill>
                <a:srgbClr val="FFCC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981-43A1-B78B-F51CB3E520A5}"/>
              </c:ext>
            </c:extLst>
          </c:dPt>
          <c:dPt>
            <c:idx val="13"/>
            <c:invertIfNegative val="0"/>
            <c:bubble3D val="0"/>
            <c:spPr>
              <a:solidFill>
                <a:srgbClr val="FFCC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D981-43A1-B78B-F51CB3E520A5}"/>
              </c:ext>
            </c:extLst>
          </c:dPt>
          <c:dPt>
            <c:idx val="14"/>
            <c:invertIfNegative val="0"/>
            <c:bubble3D val="0"/>
            <c:spPr>
              <a:solidFill>
                <a:srgbClr val="FFCC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981-43A1-B78B-F51CB3E520A5}"/>
              </c:ext>
            </c:extLst>
          </c:dPt>
          <c:dPt>
            <c:idx val="15"/>
            <c:invertIfNegative val="0"/>
            <c:bubble3D val="0"/>
            <c:spPr>
              <a:solidFill>
                <a:srgbClr val="FFCC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D981-43A1-B78B-F51CB3E520A5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'T31 Valor gregado Por sectores'!$A$19:$A$35</c15:sqref>
                  </c15:fullRef>
                </c:ext>
              </c:extLst>
              <c:f>('T31 Valor gregado Por sectores'!$A$19:$A$30,'T31 Valor gregado Por sectores'!$A$32:$A$35)</c:f>
              <c:strCache>
                <c:ptCount val="16"/>
                <c:pt idx="1">
                  <c:v>Agropecuario</c:v>
                </c:pt>
                <c:pt idx="2">
                  <c:v>Explotación de minas y canteras</c:v>
                </c:pt>
                <c:pt idx="5">
                  <c:v>Industrias manufactureras </c:v>
                </c:pt>
                <c:pt idx="6">
                  <c:v>Construcción</c:v>
                </c:pt>
                <c:pt idx="9">
                  <c:v>Electricidad, gas y agua</c:v>
                </c:pt>
                <c:pt idx="10">
                  <c:v>Comercio y trasnporte</c:v>
                </c:pt>
                <c:pt idx="11">
                  <c:v>Información y comunicaciones </c:v>
                </c:pt>
                <c:pt idx="12">
                  <c:v>Actividades inmobiliarias</c:v>
                </c:pt>
                <c:pt idx="13">
                  <c:v>Actividades profesionales</c:v>
                </c:pt>
                <c:pt idx="14">
                  <c:v>Administración pública</c:v>
                </c:pt>
                <c:pt idx="15">
                  <c:v>Actividades artísticas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'T31 Valor gregado Por sectores'!$B$19:$B$35</c15:sqref>
                  </c15:fullRef>
                </c:ext>
              </c:extLst>
              <c:f>('T31 Valor gregado Por sectores'!$B$19:$B$30,'T31 Valor gregado Por sectores'!$B$32:$B$35)</c:f>
              <c:numCache>
                <c:formatCode>0.00%</c:formatCode>
                <c:ptCount val="16"/>
                <c:pt idx="1">
                  <c:v>0.23649427661006314</c:v>
                </c:pt>
                <c:pt idx="2">
                  <c:v>0.10788929496166219</c:v>
                </c:pt>
                <c:pt idx="5">
                  <c:v>0.13660549895520788</c:v>
                </c:pt>
                <c:pt idx="6">
                  <c:v>2.6526625632827056E-2</c:v>
                </c:pt>
                <c:pt idx="9">
                  <c:v>7.4169306290564882E-2</c:v>
                </c:pt>
                <c:pt idx="10">
                  <c:v>0.13505262028505277</c:v>
                </c:pt>
                <c:pt idx="11">
                  <c:v>1.5325067853360413E-2</c:v>
                </c:pt>
                <c:pt idx="12">
                  <c:v>4.3135810296031384E-2</c:v>
                </c:pt>
                <c:pt idx="13">
                  <c:v>7.0187751796952316E-2</c:v>
                </c:pt>
                <c:pt idx="14">
                  <c:v>0.10946427178649815</c:v>
                </c:pt>
                <c:pt idx="15">
                  <c:v>2.8147663971165547E-2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81-43A1-B78B-F51CB3E520A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axId val="846667696"/>
        <c:axId val="722415600"/>
      </c:barChart>
      <c:catAx>
        <c:axId val="84666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CO"/>
          </a:p>
        </c:txPr>
        <c:crossAx val="722415600"/>
        <c:crosses val="autoZero"/>
        <c:auto val="1"/>
        <c:lblAlgn val="ctr"/>
        <c:lblOffset val="100"/>
        <c:noMultiLvlLbl val="0"/>
      </c:catAx>
      <c:valAx>
        <c:axId val="722415600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84666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v>1er sector</c:v>
          </c:tx>
          <c:spPr>
            <a:solidFill>
              <a:srgbClr val="C9A227"/>
            </a:solidFill>
            <a:ln w="0">
              <a:solidFill>
                <a:srgbClr val="C9A227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'Top3 Sectores VA Municipal'!$A$24:$A$36</c:f>
              <c:strCache>
                <c:ptCount val="13"/>
                <c:pt idx="0">
                  <c:v>Briceño</c:v>
                </c:pt>
                <c:pt idx="1">
                  <c:v>Guadalupe</c:v>
                </c:pt>
                <c:pt idx="2">
                  <c:v>Carolina del Príncipe</c:v>
                </c:pt>
                <c:pt idx="3">
                  <c:v>Anorí</c:v>
                </c:pt>
                <c:pt idx="4">
                  <c:v>San Andrés de Cuerquia</c:v>
                </c:pt>
                <c:pt idx="5">
                  <c:v>Valdivia</c:v>
                </c:pt>
                <c:pt idx="6">
                  <c:v>Campamento</c:v>
                </c:pt>
                <c:pt idx="7">
                  <c:v>Angostura</c:v>
                </c:pt>
                <c:pt idx="8">
                  <c:v>Toledo</c:v>
                </c:pt>
                <c:pt idx="9">
                  <c:v>Gómez Plata</c:v>
                </c:pt>
                <c:pt idx="10">
                  <c:v>Ituango</c:v>
                </c:pt>
                <c:pt idx="11">
                  <c:v>San José de la Montaña</c:v>
                </c:pt>
                <c:pt idx="12">
                  <c:v>Yarumal</c:v>
                </c:pt>
              </c:strCache>
            </c:strRef>
          </c:cat>
          <c:val>
            <c:numRef>
              <c:f>'Top3 Sectores VA Municipal'!$B$24:$B$36</c:f>
              <c:numCache>
                <c:formatCode>00%</c:formatCode>
                <c:ptCount val="13"/>
                <c:pt idx="0">
                  <c:v>0.609965566642791</c:v>
                </c:pt>
                <c:pt idx="1">
                  <c:v>0.57230083559791001</c:v>
                </c:pt>
                <c:pt idx="2">
                  <c:v>0.505544586116499</c:v>
                </c:pt>
                <c:pt idx="3">
                  <c:v>0.414770239306468</c:v>
                </c:pt>
                <c:pt idx="4">
                  <c:v>0.301325911999759</c:v>
                </c:pt>
                <c:pt idx="5">
                  <c:v>0.25745246507084801</c:v>
                </c:pt>
                <c:pt idx="6">
                  <c:v>0.25462552666164201</c:v>
                </c:pt>
                <c:pt idx="7">
                  <c:v>0.24855229568294501</c:v>
                </c:pt>
                <c:pt idx="8">
                  <c:v>0.24179220242293001</c:v>
                </c:pt>
                <c:pt idx="9">
                  <c:v>0.23604445573574201</c:v>
                </c:pt>
                <c:pt idx="10">
                  <c:v>0.22865572968207301</c:v>
                </c:pt>
                <c:pt idx="11">
                  <c:v>0.20652463694031201</c:v>
                </c:pt>
                <c:pt idx="12">
                  <c:v>0.205816146150611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68-4BE9-AE50-963C64672652}"/>
            </c:ext>
          </c:extLst>
        </c:ser>
        <c:ser>
          <c:idx val="1"/>
          <c:order val="1"/>
          <c:tx>
            <c:v>2do sector</c:v>
          </c:tx>
          <c:spPr>
            <a:solidFill>
              <a:srgbClr val="B0B0B0"/>
            </a:solidFill>
            <a:ln w="0">
              <a:solidFill>
                <a:srgbClr val="B0B0B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'Top3 Sectores VA Municipal'!$A$24:$A$36</c:f>
              <c:strCache>
                <c:ptCount val="13"/>
                <c:pt idx="0">
                  <c:v>Briceño</c:v>
                </c:pt>
                <c:pt idx="1">
                  <c:v>Guadalupe</c:v>
                </c:pt>
                <c:pt idx="2">
                  <c:v>Carolina del Príncipe</c:v>
                </c:pt>
                <c:pt idx="3">
                  <c:v>Anorí</c:v>
                </c:pt>
                <c:pt idx="4">
                  <c:v>San Andrés de Cuerquia</c:v>
                </c:pt>
                <c:pt idx="5">
                  <c:v>Valdivia</c:v>
                </c:pt>
                <c:pt idx="6">
                  <c:v>Campamento</c:v>
                </c:pt>
                <c:pt idx="7">
                  <c:v>Angostura</c:v>
                </c:pt>
                <c:pt idx="8">
                  <c:v>Toledo</c:v>
                </c:pt>
                <c:pt idx="9">
                  <c:v>Gómez Plata</c:v>
                </c:pt>
                <c:pt idx="10">
                  <c:v>Ituango</c:v>
                </c:pt>
                <c:pt idx="11">
                  <c:v>San José de la Montaña</c:v>
                </c:pt>
                <c:pt idx="12">
                  <c:v>Yarumal</c:v>
                </c:pt>
              </c:strCache>
            </c:strRef>
          </c:cat>
          <c:val>
            <c:numRef>
              <c:f>'Top3 Sectores VA Municipal'!$C$24:$C$36</c:f>
              <c:numCache>
                <c:formatCode>00%</c:formatCode>
                <c:ptCount val="13"/>
                <c:pt idx="0">
                  <c:v>0.303236437730182</c:v>
                </c:pt>
                <c:pt idx="1">
                  <c:v>0.163402628960329</c:v>
                </c:pt>
                <c:pt idx="2">
                  <c:v>0.32149417686797499</c:v>
                </c:pt>
                <c:pt idx="3">
                  <c:v>0.40230789131779998</c:v>
                </c:pt>
                <c:pt idx="4">
                  <c:v>0.24132744908572301</c:v>
                </c:pt>
                <c:pt idx="5">
                  <c:v>0.22712199616357601</c:v>
                </c:pt>
                <c:pt idx="6">
                  <c:v>0.17773198962756601</c:v>
                </c:pt>
                <c:pt idx="7">
                  <c:v>0.21929692170821199</c:v>
                </c:pt>
                <c:pt idx="8">
                  <c:v>0.23521726949114799</c:v>
                </c:pt>
                <c:pt idx="9">
                  <c:v>0.19467176254824201</c:v>
                </c:pt>
                <c:pt idx="10">
                  <c:v>0.212399552096356</c:v>
                </c:pt>
                <c:pt idx="11">
                  <c:v>0.18752744134010699</c:v>
                </c:pt>
                <c:pt idx="12">
                  <c:v>0.20343125092467601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68-4BE9-AE50-963C64672652}"/>
            </c:ext>
          </c:extLst>
        </c:ser>
        <c:ser>
          <c:idx val="2"/>
          <c:order val="2"/>
          <c:tx>
            <c:v>3er sector</c:v>
          </c:tx>
          <c:spPr>
            <a:solidFill>
              <a:srgbClr val="B08D57"/>
            </a:solidFill>
            <a:ln w="0">
              <a:solidFill>
                <a:srgbClr val="B08D57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'Top3 Sectores VA Municipal'!$A$24:$A$36</c:f>
              <c:strCache>
                <c:ptCount val="13"/>
                <c:pt idx="0">
                  <c:v>Briceño</c:v>
                </c:pt>
                <c:pt idx="1">
                  <c:v>Guadalupe</c:v>
                </c:pt>
                <c:pt idx="2">
                  <c:v>Carolina del Príncipe</c:v>
                </c:pt>
                <c:pt idx="3">
                  <c:v>Anorí</c:v>
                </c:pt>
                <c:pt idx="4">
                  <c:v>San Andrés de Cuerquia</c:v>
                </c:pt>
                <c:pt idx="5">
                  <c:v>Valdivia</c:v>
                </c:pt>
                <c:pt idx="6">
                  <c:v>Campamento</c:v>
                </c:pt>
                <c:pt idx="7">
                  <c:v>Angostura</c:v>
                </c:pt>
                <c:pt idx="8">
                  <c:v>Toledo</c:v>
                </c:pt>
                <c:pt idx="9">
                  <c:v>Gómez Plata</c:v>
                </c:pt>
                <c:pt idx="10">
                  <c:v>Ituango</c:v>
                </c:pt>
                <c:pt idx="11">
                  <c:v>San José de la Montaña</c:v>
                </c:pt>
                <c:pt idx="12">
                  <c:v>Yarumal</c:v>
                </c:pt>
              </c:strCache>
            </c:strRef>
          </c:cat>
          <c:val>
            <c:numRef>
              <c:f>'Top3 Sectores VA Municipal'!$D$24:$D$36</c:f>
              <c:numCache>
                <c:formatCode>00%</c:formatCode>
                <c:ptCount val="13"/>
                <c:pt idx="0">
                  <c:v>2.9586724626585501E-2</c:v>
                </c:pt>
                <c:pt idx="1">
                  <c:v>6.7323003519920502E-2</c:v>
                </c:pt>
                <c:pt idx="2">
                  <c:v>3.5810672539125399E-2</c:v>
                </c:pt>
                <c:pt idx="3">
                  <c:v>7.0764936830407493E-2</c:v>
                </c:pt>
                <c:pt idx="4">
                  <c:v>0.12608283451396499</c:v>
                </c:pt>
                <c:pt idx="5">
                  <c:v>0.13815779713943399</c:v>
                </c:pt>
                <c:pt idx="6">
                  <c:v>0.16733441033876001</c:v>
                </c:pt>
                <c:pt idx="7">
                  <c:v>0.187469943986659</c:v>
                </c:pt>
                <c:pt idx="8">
                  <c:v>0.16952527026304501</c:v>
                </c:pt>
                <c:pt idx="9">
                  <c:v>0.120329721076975</c:v>
                </c:pt>
                <c:pt idx="10">
                  <c:v>0.18765267418364501</c:v>
                </c:pt>
                <c:pt idx="11">
                  <c:v>0.15049318291104599</c:v>
                </c:pt>
                <c:pt idx="12">
                  <c:v>0.16514569013409799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68-4BE9-AE50-963C64672652}"/>
            </c:ext>
          </c:extLst>
        </c:ser>
        <c:ser>
          <c:idx val="3"/>
          <c:order val="3"/>
          <c:tx>
            <c:v>Resto de sectores</c:v>
          </c:tx>
          <c:spPr>
            <a:solidFill>
              <a:srgbClr val="A9B4C2"/>
            </a:solidFill>
            <a:ln w="0">
              <a:solidFill>
                <a:srgbClr val="A9B4C2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'Top3 Sectores VA Municipal'!$A$24:$A$36</c:f>
              <c:strCache>
                <c:ptCount val="13"/>
                <c:pt idx="0">
                  <c:v>Briceño</c:v>
                </c:pt>
                <c:pt idx="1">
                  <c:v>Guadalupe</c:v>
                </c:pt>
                <c:pt idx="2">
                  <c:v>Carolina del Príncipe</c:v>
                </c:pt>
                <c:pt idx="3">
                  <c:v>Anorí</c:v>
                </c:pt>
                <c:pt idx="4">
                  <c:v>San Andrés de Cuerquia</c:v>
                </c:pt>
                <c:pt idx="5">
                  <c:v>Valdivia</c:v>
                </c:pt>
                <c:pt idx="6">
                  <c:v>Campamento</c:v>
                </c:pt>
                <c:pt idx="7">
                  <c:v>Angostura</c:v>
                </c:pt>
                <c:pt idx="8">
                  <c:v>Toledo</c:v>
                </c:pt>
                <c:pt idx="9">
                  <c:v>Gómez Plata</c:v>
                </c:pt>
                <c:pt idx="10">
                  <c:v>Ituango</c:v>
                </c:pt>
                <c:pt idx="11">
                  <c:v>San José de la Montaña</c:v>
                </c:pt>
                <c:pt idx="12">
                  <c:v>Yarumal</c:v>
                </c:pt>
              </c:strCache>
            </c:strRef>
          </c:cat>
          <c:val>
            <c:numRef>
              <c:f>'Top3 Sectores VA Municipal'!$E$24:$E$36</c:f>
              <c:numCache>
                <c:formatCode>00%</c:formatCode>
                <c:ptCount val="13"/>
                <c:pt idx="0">
                  <c:v>5.7211271000442002E-2</c:v>
                </c:pt>
                <c:pt idx="1">
                  <c:v>0.196973531921841</c:v>
                </c:pt>
                <c:pt idx="2">
                  <c:v>0.13715056447640001</c:v>
                </c:pt>
                <c:pt idx="3">
                  <c:v>0.11215693254532499</c:v>
                </c:pt>
                <c:pt idx="4">
                  <c:v>0.33126380440055297</c:v>
                </c:pt>
                <c:pt idx="5">
                  <c:v>0.37726774162614302</c:v>
                </c:pt>
                <c:pt idx="6">
                  <c:v>0.400308073372033</c:v>
                </c:pt>
                <c:pt idx="7">
                  <c:v>0.34468083862218502</c:v>
                </c:pt>
                <c:pt idx="8">
                  <c:v>0.35346525782287702</c:v>
                </c:pt>
                <c:pt idx="9">
                  <c:v>0.44895406063904097</c:v>
                </c:pt>
                <c:pt idx="10">
                  <c:v>0.37129204403792698</c:v>
                </c:pt>
                <c:pt idx="11">
                  <c:v>0.45545473880853599</c:v>
                </c:pt>
                <c:pt idx="12">
                  <c:v>0.42560691279061502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68-4BE9-AE50-963C64672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742784"/>
        <c:axId val="92535029"/>
      </c:barChart>
      <c:catAx>
        <c:axId val="31742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92535029"/>
        <c:crosses val="autoZero"/>
        <c:auto val="1"/>
        <c:lblAlgn val="ctr"/>
        <c:lblOffset val="100"/>
        <c:noMultiLvlLbl val="0"/>
      </c:catAx>
      <c:valAx>
        <c:axId val="9253502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3174278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'VA per cápira 2024'!$B$1</c:f>
              <c:strCache>
                <c:ptCount val="1"/>
                <c:pt idx="0">
                  <c:v>Valor Agregado Per cápita (Miles de pesos)</c:v>
                </c:pt>
              </c:strCache>
            </c:strRef>
          </c:tx>
          <c:spPr>
            <a:solidFill>
              <a:srgbClr val="1B3A6B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'VA per cápira 2024'!$A$2:$A$14</c:f>
              <c:strCache>
                <c:ptCount val="13"/>
                <c:pt idx="0">
                  <c:v>Campamento</c:v>
                </c:pt>
                <c:pt idx="1">
                  <c:v>Ituango</c:v>
                </c:pt>
                <c:pt idx="2">
                  <c:v>Guadalupe</c:v>
                </c:pt>
                <c:pt idx="3">
                  <c:v>Valdivia</c:v>
                </c:pt>
                <c:pt idx="4">
                  <c:v>Angostura</c:v>
                </c:pt>
                <c:pt idx="5">
                  <c:v>San José de la Montaña</c:v>
                </c:pt>
                <c:pt idx="6">
                  <c:v>San Andrés de Cuerquia</c:v>
                </c:pt>
                <c:pt idx="7">
                  <c:v>Briceño</c:v>
                </c:pt>
                <c:pt idx="8">
                  <c:v>Anorí</c:v>
                </c:pt>
                <c:pt idx="9">
                  <c:v>Yarumal</c:v>
                </c:pt>
                <c:pt idx="10">
                  <c:v>Carolina del Príncipe</c:v>
                </c:pt>
                <c:pt idx="11">
                  <c:v>Toledo</c:v>
                </c:pt>
                <c:pt idx="12">
                  <c:v>Gómez Plata</c:v>
                </c:pt>
              </c:strCache>
            </c:strRef>
          </c:cat>
          <c:val>
            <c:numRef>
              <c:f>'VA per cápira 2024'!$B$2:$B$14</c:f>
              <c:numCache>
                <c:formatCode>#,##0</c:formatCode>
                <c:ptCount val="13"/>
                <c:pt idx="0">
                  <c:v>13273.570199861168</c:v>
                </c:pt>
                <c:pt idx="1">
                  <c:v>14397.042175288665</c:v>
                </c:pt>
                <c:pt idx="2">
                  <c:v>15453.831320980646</c:v>
                </c:pt>
                <c:pt idx="3">
                  <c:v>15456.408602689758</c:v>
                </c:pt>
                <c:pt idx="4">
                  <c:v>16005.822577429308</c:v>
                </c:pt>
                <c:pt idx="5">
                  <c:v>16075.219831773908</c:v>
                </c:pt>
                <c:pt idx="6">
                  <c:v>16713.600320305155</c:v>
                </c:pt>
                <c:pt idx="7">
                  <c:v>19965.039496850306</c:v>
                </c:pt>
                <c:pt idx="8">
                  <c:v>23217.444763224576</c:v>
                </c:pt>
                <c:pt idx="9">
                  <c:v>24915.088049598678</c:v>
                </c:pt>
                <c:pt idx="10">
                  <c:v>25291.161425188751</c:v>
                </c:pt>
                <c:pt idx="11">
                  <c:v>27687.496187972061</c:v>
                </c:pt>
                <c:pt idx="12">
                  <c:v>58007.040966705172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D5-4B46-A92D-BD8BEB18352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axId val="1236779728"/>
        <c:axId val="12312663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'VA per cápira 2024'!$D$1</c15:sqref>
                        </c15:formulaRef>
                      </c:ext>
                    </c:extLst>
                    <c:strCache>
                      <c:ptCount val="1"/>
                      <c:pt idx="0">
                        <c:v>Ref departamental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100" b="0" i="0" u="none" strike="noStrike" kern="1200" baseline="0">
                          <a:solidFill>
                            <a:sysClr val="windowText" lastClr="00000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s-CO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'VA per cápira 2024'!$D$2:$D$14</c15:sqref>
                        </c15:formulaRef>
                      </c:ext>
                    </c:extLst>
                    <c:numCache>
                      <c:formatCode>#,##0</c:formatCode>
                      <c:ptCount val="13"/>
                      <c:pt idx="0">
                        <c:v>33502.500935997596</c:v>
                      </c:pt>
                      <c:pt idx="1">
                        <c:v>33502.500935997596</c:v>
                      </c:pt>
                      <c:pt idx="2">
                        <c:v>33502.500935997596</c:v>
                      </c:pt>
                      <c:pt idx="3">
                        <c:v>33502.500935997596</c:v>
                      </c:pt>
                      <c:pt idx="4">
                        <c:v>33502.500935997596</c:v>
                      </c:pt>
                      <c:pt idx="5">
                        <c:v>33502.500935997596</c:v>
                      </c:pt>
                      <c:pt idx="6">
                        <c:v>33502.500935997596</c:v>
                      </c:pt>
                      <c:pt idx="7">
                        <c:v>33502.500935997596</c:v>
                      </c:pt>
                      <c:pt idx="8">
                        <c:v>33502.500935997596</c:v>
                      </c:pt>
                      <c:pt idx="9">
                        <c:v>33502.500935997596</c:v>
                      </c:pt>
                      <c:pt idx="10">
                        <c:v>33502.500935997596</c:v>
                      </c:pt>
                      <c:pt idx="11">
                        <c:v>33502.500935997596</c:v>
                      </c:pt>
                      <c:pt idx="12">
                        <c:v>33502.500935997596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12D5-4B46-A92D-BD8BEB183522}"/>
                  </c:ext>
                </c:extLst>
              </c15:ser>
            </c15:filteredBarSeries>
          </c:ext>
        </c:extLst>
      </c:barChart>
      <c:catAx>
        <c:axId val="1236779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CO"/>
          </a:p>
        </c:txPr>
        <c:crossAx val="1231266384"/>
        <c:crosses val="autoZero"/>
        <c:auto val="1"/>
        <c:lblAlgn val="ctr"/>
        <c:lblOffset val="100"/>
        <c:noMultiLvlLbl val="0"/>
      </c:catAx>
      <c:valAx>
        <c:axId val="1231266384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1236779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'Densidad empresarial'!$B$20</c:f>
              <c:strCache>
                <c:ptCount val="1"/>
                <c:pt idx="0">
                  <c:v>Densidad empresarial</c:v>
                </c:pt>
              </c:strCache>
            </c:strRef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'Densidad empresarial'!$A$21:$A$33</c:f>
              <c:strCache>
                <c:ptCount val="13"/>
                <c:pt idx="0">
                  <c:v>Campamento</c:v>
                </c:pt>
                <c:pt idx="1">
                  <c:v>Ituango</c:v>
                </c:pt>
                <c:pt idx="2">
                  <c:v>Guadalupe</c:v>
                </c:pt>
                <c:pt idx="3">
                  <c:v>Valdivia</c:v>
                </c:pt>
                <c:pt idx="4">
                  <c:v>Briceño</c:v>
                </c:pt>
                <c:pt idx="5">
                  <c:v>Angostura</c:v>
                </c:pt>
                <c:pt idx="6">
                  <c:v>San Andrés de Cuerquia</c:v>
                </c:pt>
                <c:pt idx="7">
                  <c:v>San José de la Montaña</c:v>
                </c:pt>
                <c:pt idx="8">
                  <c:v>Gómez Plata</c:v>
                </c:pt>
                <c:pt idx="9">
                  <c:v>Carolina del Príncipe</c:v>
                </c:pt>
                <c:pt idx="10">
                  <c:v>Anorí</c:v>
                </c:pt>
                <c:pt idx="11">
                  <c:v>Yarumal</c:v>
                </c:pt>
                <c:pt idx="12">
                  <c:v>Toledo</c:v>
                </c:pt>
              </c:strCache>
            </c:strRef>
          </c:cat>
          <c:val>
            <c:numRef>
              <c:f>'Densidad empresarial'!$B$21:$B$33</c:f>
              <c:numCache>
                <c:formatCode>0.00</c:formatCode>
                <c:ptCount val="13"/>
                <c:pt idx="0">
                  <c:v>8.0653495788574219</c:v>
                </c:pt>
                <c:pt idx="1">
                  <c:v>9.0451908111572266</c:v>
                </c:pt>
                <c:pt idx="2">
                  <c:v>10.395610809326172</c:v>
                </c:pt>
                <c:pt idx="3">
                  <c:v>10.61934757232666</c:v>
                </c:pt>
                <c:pt idx="4">
                  <c:v>11.56615161895752</c:v>
                </c:pt>
                <c:pt idx="5">
                  <c:v>13.244481086730957</c:v>
                </c:pt>
                <c:pt idx="6">
                  <c:v>17.636220932006836</c:v>
                </c:pt>
                <c:pt idx="7">
                  <c:v>23.532453536987305</c:v>
                </c:pt>
                <c:pt idx="8">
                  <c:v>23.689319610595703</c:v>
                </c:pt>
                <c:pt idx="9">
                  <c:v>25.395303726196289</c:v>
                </c:pt>
                <c:pt idx="10">
                  <c:v>26.476161956787109</c:v>
                </c:pt>
                <c:pt idx="11">
                  <c:v>26.484060287475586</c:v>
                </c:pt>
                <c:pt idx="12">
                  <c:v>29.85645866394043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10-4E1B-B0F8-169DC7849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243095776"/>
        <c:axId val="123126494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'Densidad empresarial'!$C$20</c15:sqref>
                        </c15:formulaRef>
                      </c:ext>
                    </c:extLst>
                    <c:strCache>
                      <c:ptCount val="1"/>
                      <c:pt idx="0">
                        <c:v>Promedio Provincia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'Densidad empresarial'!$C$21:$C$33</c15:sqref>
                        </c15:formulaRef>
                      </c:ext>
                    </c:extLst>
                    <c:numCache>
                      <c:formatCode>0.00</c:formatCode>
                      <c:ptCount val="13"/>
                      <c:pt idx="0">
                        <c:v>18.154316168565018</c:v>
                      </c:pt>
                      <c:pt idx="1">
                        <c:v>18.154316168565018</c:v>
                      </c:pt>
                      <c:pt idx="2">
                        <c:v>18.154316168565018</c:v>
                      </c:pt>
                      <c:pt idx="3">
                        <c:v>18.154316168565018</c:v>
                      </c:pt>
                      <c:pt idx="4">
                        <c:v>18.154316168565018</c:v>
                      </c:pt>
                      <c:pt idx="5">
                        <c:v>18.154316168565018</c:v>
                      </c:pt>
                      <c:pt idx="6">
                        <c:v>18.154316168565018</c:v>
                      </c:pt>
                      <c:pt idx="7">
                        <c:v>18.154316168565018</c:v>
                      </c:pt>
                      <c:pt idx="8">
                        <c:v>18.154316168565018</c:v>
                      </c:pt>
                      <c:pt idx="9">
                        <c:v>18.154316168565018</c:v>
                      </c:pt>
                      <c:pt idx="10">
                        <c:v>18.154316168565018</c:v>
                      </c:pt>
                      <c:pt idx="11">
                        <c:v>18.154316168565018</c:v>
                      </c:pt>
                      <c:pt idx="12">
                        <c:v>18.154316168565018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B910-4E1B-B0F8-169DC7849D56}"/>
                  </c:ext>
                </c:extLst>
              </c15:ser>
            </c15:filteredBarSeries>
          </c:ext>
        </c:extLst>
      </c:barChart>
      <c:catAx>
        <c:axId val="1243095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CO"/>
          </a:p>
        </c:txPr>
        <c:crossAx val="1231264944"/>
        <c:crosses val="autoZero"/>
        <c:auto val="1"/>
        <c:lblAlgn val="ctr"/>
        <c:lblOffset val="100"/>
        <c:noMultiLvlLbl val="0"/>
      </c:catAx>
      <c:valAx>
        <c:axId val="1231264944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1243095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4" Type="http://schemas.openxmlformats.org/officeDocument/2006/relationships/chart" Target="../charts/chart19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8965</xdr:colOff>
      <xdr:row>0</xdr:row>
      <xdr:rowOff>116541</xdr:rowOff>
    </xdr:from>
    <xdr:to>
      <xdr:col>19</xdr:col>
      <xdr:colOff>259976</xdr:colOff>
      <xdr:row>27</xdr:row>
      <xdr:rowOff>62753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BC17537B-951A-ABCA-7B73-4B2649E279EE}"/>
            </a:ext>
          </a:extLst>
        </xdr:cNvPr>
        <xdr:cNvGrpSpPr/>
      </xdr:nvGrpSpPr>
      <xdr:grpSpPr>
        <a:xfrm>
          <a:off x="8677836" y="116541"/>
          <a:ext cx="7942728" cy="5091953"/>
          <a:chOff x="8749296" y="352111"/>
          <a:chExt cx="7714080" cy="4856520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8E5C0F89-D8FB-4968-98D5-8FD3C9F42E47}"/>
              </a:ext>
            </a:extLst>
          </xdr:cNvPr>
          <xdr:cNvGraphicFramePr>
            <a:graphicFrameLocks/>
          </xdr:cNvGraphicFramePr>
        </xdr:nvGraphicFramePr>
        <xdr:xfrm>
          <a:off x="8749296" y="352111"/>
          <a:ext cx="7714080" cy="48565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4" name="Conector recto 3">
            <a:extLst>
              <a:ext uri="{FF2B5EF4-FFF2-40B4-BE49-F238E27FC236}">
                <a16:creationId xmlns:a16="http://schemas.microsoft.com/office/drawing/2014/main" id="{201C1B49-9ABD-6D7B-DFBA-17EC361DA7A8}"/>
              </a:ext>
            </a:extLst>
          </xdr:cNvPr>
          <xdr:cNvCxnSpPr/>
        </xdr:nvCxnSpPr>
        <xdr:spPr>
          <a:xfrm flipV="1">
            <a:off x="9190371" y="3268387"/>
            <a:ext cx="7046260" cy="8965"/>
          </a:xfrm>
          <a:prstGeom prst="line">
            <a:avLst/>
          </a:prstGeom>
          <a:ln w="38100">
            <a:solidFill>
              <a:schemeClr val="tx1"/>
            </a:solidFill>
            <a:prstDash val="dashDot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7713720" cy="48565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C54370-DDC7-4038-BD86-77390AFCCE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44824</xdr:colOff>
      <xdr:row>0</xdr:row>
      <xdr:rowOff>107577</xdr:rowOff>
    </xdr:from>
    <xdr:to>
      <xdr:col>15</xdr:col>
      <xdr:colOff>547447</xdr:colOff>
      <xdr:row>27</xdr:row>
      <xdr:rowOff>9304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BCD0C4F4-0B7C-F1A8-7B70-21A01D6F4220}"/>
            </a:ext>
          </a:extLst>
        </xdr:cNvPr>
        <xdr:cNvGrpSpPr/>
      </xdr:nvGrpSpPr>
      <xdr:grpSpPr>
        <a:xfrm>
          <a:off x="4338918" y="107577"/>
          <a:ext cx="7011000" cy="4841280"/>
          <a:chOff x="4338918" y="107577"/>
          <a:chExt cx="7011000" cy="4841280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9FB74C00-5CC8-4CE7-9CE4-FA1DF85C7228}"/>
              </a:ext>
            </a:extLst>
          </xdr:cNvPr>
          <xdr:cNvGraphicFramePr>
            <a:graphicFrameLocks/>
          </xdr:cNvGraphicFramePr>
        </xdr:nvGraphicFramePr>
        <xdr:xfrm>
          <a:off x="4338918" y="107577"/>
          <a:ext cx="7011000" cy="48412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18" name="Conector recto 17">
            <a:extLst>
              <a:ext uri="{FF2B5EF4-FFF2-40B4-BE49-F238E27FC236}">
                <a16:creationId xmlns:a16="http://schemas.microsoft.com/office/drawing/2014/main" id="{F695E8A4-76F9-4021-4925-96ABB9AAFC38}"/>
              </a:ext>
            </a:extLst>
          </xdr:cNvPr>
          <xdr:cNvCxnSpPr/>
        </xdr:nvCxnSpPr>
        <xdr:spPr>
          <a:xfrm flipH="1">
            <a:off x="10282518" y="268943"/>
            <a:ext cx="1" cy="4563033"/>
          </a:xfrm>
          <a:prstGeom prst="line">
            <a:avLst/>
          </a:prstGeom>
          <a:ln w="38100">
            <a:solidFill>
              <a:schemeClr val="tx1"/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26894</xdr:colOff>
      <xdr:row>30</xdr:row>
      <xdr:rowOff>0</xdr:rowOff>
    </xdr:from>
    <xdr:to>
      <xdr:col>17</xdr:col>
      <xdr:colOff>529517</xdr:colOff>
      <xdr:row>57</xdr:row>
      <xdr:rowOff>339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40F43631-0DDF-0475-78FF-E39ABD4C1B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12</xdr:row>
      <xdr:rowOff>0</xdr:rowOff>
    </xdr:from>
    <xdr:to>
      <xdr:col>17</xdr:col>
      <xdr:colOff>1</xdr:colOff>
      <xdr:row>37</xdr:row>
      <xdr:rowOff>80680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465A5DF7-29AE-4F15-98FF-2BAA87960FBE}"/>
            </a:ext>
          </a:extLst>
        </xdr:cNvPr>
        <xdr:cNvCxnSpPr/>
      </xdr:nvCxnSpPr>
      <xdr:spPr>
        <a:xfrm flipH="1">
          <a:off x="11985812" y="2250141"/>
          <a:ext cx="1" cy="4563033"/>
        </a:xfrm>
        <a:prstGeom prst="line">
          <a:avLst/>
        </a:prstGeom>
        <a:ln w="38100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300316</xdr:colOff>
      <xdr:row>2</xdr:row>
      <xdr:rowOff>80681</xdr:rowOff>
    </xdr:from>
    <xdr:to>
      <xdr:col>17</xdr:col>
      <xdr:colOff>71717</xdr:colOff>
      <xdr:row>21</xdr:row>
      <xdr:rowOff>152398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ED5FB95-28C3-D299-1F52-05F6C01FE4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16</xdr:col>
      <xdr:colOff>507600</xdr:colOff>
      <xdr:row>17</xdr:row>
      <xdr:rowOff>155880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</xdr:row>
      <xdr:rowOff>0</xdr:rowOff>
    </xdr:from>
    <xdr:to>
      <xdr:col>16</xdr:col>
      <xdr:colOff>507600</xdr:colOff>
      <xdr:row>17</xdr:row>
      <xdr:rowOff>155880</xdr:rowOff>
    </xdr:to>
    <xdr:graphicFrame macro="">
      <xdr:nvGraphicFramePr>
        <xdr:cNvPr id="12" name="Chart 2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1429422</xdr:colOff>
      <xdr:row>23</xdr:row>
      <xdr:rowOff>116989</xdr:rowOff>
    </xdr:from>
    <xdr:to>
      <xdr:col>10</xdr:col>
      <xdr:colOff>452269</xdr:colOff>
      <xdr:row>42</xdr:row>
      <xdr:rowOff>77543</xdr:rowOff>
    </xdr:to>
    <xdr:graphicFrame macro="">
      <xdr:nvGraphicFramePr>
        <xdr:cNvPr id="14" name="Chart 2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286294</xdr:colOff>
      <xdr:row>2</xdr:row>
      <xdr:rowOff>66403</xdr:rowOff>
    </xdr:from>
    <xdr:to>
      <xdr:col>17</xdr:col>
      <xdr:colOff>297180</xdr:colOff>
      <xdr:row>20</xdr:row>
      <xdr:rowOff>77288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5FEE650-965C-1D37-D6EF-9D0A9770B3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40341</xdr:colOff>
      <xdr:row>2</xdr:row>
      <xdr:rowOff>179293</xdr:rowOff>
    </xdr:from>
    <xdr:to>
      <xdr:col>16</xdr:col>
      <xdr:colOff>555812</xdr:colOff>
      <xdr:row>26</xdr:row>
      <xdr:rowOff>170330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82D09B9-F94B-7BB4-F081-5F5935CDA9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114300</xdr:colOff>
      <xdr:row>3</xdr:row>
      <xdr:rowOff>15240</xdr:rowOff>
    </xdr:from>
    <xdr:to>
      <xdr:col>17</xdr:col>
      <xdr:colOff>236220</xdr:colOff>
      <xdr:row>27</xdr:row>
      <xdr:rowOff>76200</xdr:rowOff>
    </xdr:to>
    <xdr:graphicFrame macro="">
      <xdr:nvGraphicFramePr>
        <xdr:cNvPr id="18" name="Chart 2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11</xdr:col>
      <xdr:colOff>39240</xdr:colOff>
      <xdr:row>13</xdr:row>
      <xdr:rowOff>64080</xdr:rowOff>
    </xdr:to>
    <xdr:graphicFrame macro="">
      <xdr:nvGraphicFramePr>
        <xdr:cNvPr id="19" name="Chart 1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30480</xdr:colOff>
      <xdr:row>2</xdr:row>
      <xdr:rowOff>53340</xdr:rowOff>
    </xdr:from>
    <xdr:to>
      <xdr:col>11</xdr:col>
      <xdr:colOff>69720</xdr:colOff>
      <xdr:row>13</xdr:row>
      <xdr:rowOff>117420</xdr:rowOff>
    </xdr:to>
    <xdr:graphicFrame macro="">
      <xdr:nvGraphicFramePr>
        <xdr:cNvPr id="20" name="Chart 2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396240</xdr:colOff>
      <xdr:row>2</xdr:row>
      <xdr:rowOff>152400</xdr:rowOff>
    </xdr:from>
    <xdr:to>
      <xdr:col>10</xdr:col>
      <xdr:colOff>510540</xdr:colOff>
      <xdr:row>6</xdr:row>
      <xdr:rowOff>91440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C3173F06-A866-E273-A0FA-67B317F74F8E}"/>
            </a:ext>
          </a:extLst>
        </xdr:cNvPr>
        <xdr:cNvSpPr txBox="1"/>
      </xdr:nvSpPr>
      <xdr:spPr>
        <a:xfrm>
          <a:off x="7208520" y="518160"/>
          <a:ext cx="1303020" cy="6705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100">
              <a:latin typeface="Aptos Narrow" panose="020B0004020202020204" pitchFamily="34" charset="0"/>
            </a:rPr>
            <a:t>Capacidad instalada total: </a:t>
          </a:r>
        </a:p>
        <a:p>
          <a:pPr algn="ctr"/>
          <a:r>
            <a:rPr lang="es-CO" sz="1100" b="1">
              <a:latin typeface="Aptos Narrow" panose="020B0004020202020204" pitchFamily="34" charset="0"/>
            </a:rPr>
            <a:t>22,924 MW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14</xdr:col>
      <xdr:colOff>507600</xdr:colOff>
      <xdr:row>19</xdr:row>
      <xdr:rowOff>1080</xdr:rowOff>
    </xdr:to>
    <xdr:graphicFrame macro="">
      <xdr:nvGraphicFramePr>
        <xdr:cNvPr id="21" name="Chart 1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</xdr:row>
      <xdr:rowOff>0</xdr:rowOff>
    </xdr:from>
    <xdr:to>
      <xdr:col>14</xdr:col>
      <xdr:colOff>507600</xdr:colOff>
      <xdr:row>19</xdr:row>
      <xdr:rowOff>1080</xdr:rowOff>
    </xdr:to>
    <xdr:graphicFrame macro="">
      <xdr:nvGraphicFramePr>
        <xdr:cNvPr id="22" name="Chart 2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11</xdr:col>
      <xdr:colOff>507600</xdr:colOff>
      <xdr:row>24</xdr:row>
      <xdr:rowOff>128520</xdr:rowOff>
    </xdr:to>
    <xdr:graphicFrame macro="">
      <xdr:nvGraphicFramePr>
        <xdr:cNvPr id="23" name="Chart 1">
          <a:extLst>
            <a:ext uri="{FF2B5EF4-FFF2-40B4-BE49-F238E27FC236}">
              <a16:creationId xmlns:a16="http://schemas.microsoft.com/office/drawing/2014/main" id="{00000000-0008-0000-0F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2</xdr:row>
      <xdr:rowOff>0</xdr:rowOff>
    </xdr:from>
    <xdr:to>
      <xdr:col>11</xdr:col>
      <xdr:colOff>507600</xdr:colOff>
      <xdr:row>24</xdr:row>
      <xdr:rowOff>128520</xdr:rowOff>
    </xdr:to>
    <xdr:graphicFrame macro="">
      <xdr:nvGraphicFramePr>
        <xdr:cNvPr id="24" name="Chart 2">
          <a:extLst>
            <a:ext uri="{FF2B5EF4-FFF2-40B4-BE49-F238E27FC236}">
              <a16:creationId xmlns:a16="http://schemas.microsoft.com/office/drawing/2014/main" id="{00000000-0008-0000-0F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219636</xdr:colOff>
      <xdr:row>25</xdr:row>
      <xdr:rowOff>98611</xdr:rowOff>
    </xdr:from>
    <xdr:to>
      <xdr:col>11</xdr:col>
      <xdr:colOff>58271</xdr:colOff>
      <xdr:row>40</xdr:row>
      <xdr:rowOff>152399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524DC37-271B-4C7F-5011-FDD37B55F5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210670</xdr:colOff>
      <xdr:row>25</xdr:row>
      <xdr:rowOff>125505</xdr:rowOff>
    </xdr:from>
    <xdr:to>
      <xdr:col>19</xdr:col>
      <xdr:colOff>340658</xdr:colOff>
      <xdr:row>41</xdr:row>
      <xdr:rowOff>35858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88097E4-0DFB-A148-FC29-4BBBB91ED2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11</xdr:col>
      <xdr:colOff>277906</xdr:colOff>
      <xdr:row>41</xdr:row>
      <xdr:rowOff>134470</xdr:rowOff>
    </xdr:from>
    <xdr:ext cx="5576047" cy="609013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D75D6E1E-016D-C65A-1E00-391BD7418068}"/>
            </a:ext>
          </a:extLst>
        </xdr:cNvPr>
        <xdr:cNvSpPr txBox="1"/>
      </xdr:nvSpPr>
      <xdr:spPr>
        <a:xfrm>
          <a:off x="9574306" y="7485529"/>
          <a:ext cx="5576047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CO"/>
            <a:t>Otros minerales agrupa minerales de plomo, platino, zinc, níquel, mármol y travertino, recebo, arenas silíceas, arcillosas, feldespáticas e industriales, gravas (de río), entre otros minerales con cinco o menos licencias.</a:t>
          </a:r>
          <a:endParaRPr lang="es-CO" sz="1100"/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480060</xdr:colOff>
      <xdr:row>3</xdr:row>
      <xdr:rowOff>38100</xdr:rowOff>
    </xdr:from>
    <xdr:to>
      <xdr:col>19</xdr:col>
      <xdr:colOff>484740</xdr:colOff>
      <xdr:row>20</xdr:row>
      <xdr:rowOff>39180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4F7054-6F9A-475A-9F95-F6D303851D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480060</xdr:colOff>
      <xdr:row>24</xdr:row>
      <xdr:rowOff>95250</xdr:rowOff>
    </xdr:from>
    <xdr:to>
      <xdr:col>19</xdr:col>
      <xdr:colOff>114300</xdr:colOff>
      <xdr:row>40</xdr:row>
      <xdr:rowOff>91440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7E841D7-BA41-56BF-8A44-F39670FCB3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49304</xdr:colOff>
      <xdr:row>12</xdr:row>
      <xdr:rowOff>116542</xdr:rowOff>
    </xdr:from>
    <xdr:to>
      <xdr:col>15</xdr:col>
      <xdr:colOff>206187</xdr:colOff>
      <xdr:row>32</xdr:row>
      <xdr:rowOff>62752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F1D074F-80DD-3817-4BE2-A52126B6E3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775448</xdr:colOff>
      <xdr:row>0</xdr:row>
      <xdr:rowOff>80683</xdr:rowOff>
    </xdr:from>
    <xdr:to>
      <xdr:col>15</xdr:col>
      <xdr:colOff>1</xdr:colOff>
      <xdr:row>29</xdr:row>
      <xdr:rowOff>80683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556849F-6866-6E32-4AFE-2932D4B54B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</xdr:row>
      <xdr:rowOff>0</xdr:rowOff>
    </xdr:from>
    <xdr:ext cx="6308280" cy="35996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EFB12F-D5CA-4FA1-A0C8-493A86DDF4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571500</xdr:colOff>
      <xdr:row>0</xdr:row>
      <xdr:rowOff>270510</xdr:rowOff>
    </xdr:from>
    <xdr:to>
      <xdr:col>13</xdr:col>
      <xdr:colOff>708660</xdr:colOff>
      <xdr:row>19</xdr:row>
      <xdr:rowOff>99060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B7886106-411C-366A-1DF5-EACA284F279B}"/>
            </a:ext>
          </a:extLst>
        </xdr:cNvPr>
        <xdr:cNvGrpSpPr/>
      </xdr:nvGrpSpPr>
      <xdr:grpSpPr>
        <a:xfrm>
          <a:off x="6240780" y="270510"/>
          <a:ext cx="5684520" cy="4316730"/>
          <a:chOff x="6240780" y="270510"/>
          <a:chExt cx="5090160" cy="3813810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769A7FB2-A270-FA6A-525F-9AF45F3F8F36}"/>
              </a:ext>
            </a:extLst>
          </xdr:cNvPr>
          <xdr:cNvGraphicFramePr/>
        </xdr:nvGraphicFramePr>
        <xdr:xfrm>
          <a:off x="6240780" y="270510"/>
          <a:ext cx="5090160" cy="381381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3" name="Conector recto 2">
            <a:extLst>
              <a:ext uri="{FF2B5EF4-FFF2-40B4-BE49-F238E27FC236}">
                <a16:creationId xmlns:a16="http://schemas.microsoft.com/office/drawing/2014/main" id="{8263048D-3A91-4B00-BAFB-5C0C5399058E}"/>
              </a:ext>
            </a:extLst>
          </xdr:cNvPr>
          <xdr:cNvCxnSpPr/>
        </xdr:nvCxnSpPr>
        <xdr:spPr>
          <a:xfrm flipH="1">
            <a:off x="9433560" y="304800"/>
            <a:ext cx="1" cy="3764280"/>
          </a:xfrm>
          <a:prstGeom prst="line">
            <a:avLst/>
          </a:prstGeom>
          <a:ln w="38100">
            <a:solidFill>
              <a:schemeClr val="tx1"/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678180</xdr:colOff>
      <xdr:row>17</xdr:row>
      <xdr:rowOff>140970</xdr:rowOff>
    </xdr:from>
    <xdr:to>
      <xdr:col>10</xdr:col>
      <xdr:colOff>594360</xdr:colOff>
      <xdr:row>36</xdr:row>
      <xdr:rowOff>68580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B15E4A6F-35B6-0AB3-FC07-A3748262FD50}"/>
            </a:ext>
          </a:extLst>
        </xdr:cNvPr>
        <xdr:cNvGrpSpPr/>
      </xdr:nvGrpSpPr>
      <xdr:grpSpPr>
        <a:xfrm>
          <a:off x="3817620" y="4088130"/>
          <a:ext cx="5463540" cy="4240530"/>
          <a:chOff x="3215640" y="4331970"/>
          <a:chExt cx="4899660" cy="3562350"/>
        </a:xfrm>
      </xdr:grpSpPr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09A33A27-148F-7075-04C7-B678CDBE3E43}"/>
              </a:ext>
            </a:extLst>
          </xdr:cNvPr>
          <xdr:cNvGraphicFramePr/>
        </xdr:nvGraphicFramePr>
        <xdr:xfrm>
          <a:off x="3215640" y="4331970"/>
          <a:ext cx="4899660" cy="35623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4" name="Conector recto 3">
            <a:extLst>
              <a:ext uri="{FF2B5EF4-FFF2-40B4-BE49-F238E27FC236}">
                <a16:creationId xmlns:a16="http://schemas.microsoft.com/office/drawing/2014/main" id="{FBB6C30B-5D44-4378-832F-A537B490AB1B}"/>
              </a:ext>
            </a:extLst>
          </xdr:cNvPr>
          <xdr:cNvCxnSpPr/>
        </xdr:nvCxnSpPr>
        <xdr:spPr>
          <a:xfrm>
            <a:off x="6431280" y="4457700"/>
            <a:ext cx="0" cy="3406140"/>
          </a:xfrm>
          <a:prstGeom prst="line">
            <a:avLst/>
          </a:prstGeom>
          <a:ln w="38100">
            <a:solidFill>
              <a:schemeClr val="tx1"/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6F8D59-4A11-4EF0-947B-5E8A5F251F50}" name="Tabla1" displayName="Tabla1" ref="A2:E16" totalsRowShown="0" headerRowDxfId="87" headerRowBorderDxfId="86" tableBorderDxfId="85" headerRowCellStyle="Normal 2 2" dataCellStyle="Porcentaje">
  <autoFilter ref="A2:E16" xr:uid="{FE6F8D59-4A11-4EF0-947B-5E8A5F251F50}"/>
  <tableColumns count="5">
    <tableColumn id="1" xr3:uid="{76DD08ED-C2F0-4921-9C76-73DA6405FE4E}" name="Municipio"/>
    <tableColumn id="2" xr3:uid="{A5CEE46C-2DC1-4791-A805-BAA1A31D0FCB}" name="Hogares IPM " dataDxfId="84" dataCellStyle="Porcentaje"/>
    <tableColumn id="3" xr3:uid="{1C02EFC0-E8CA-4D20-9467-A2F10B7BFC05}" name="Hogares IPM Rural (%)" dataDxfId="83" dataCellStyle="Porcentaje"/>
    <tableColumn id="4" xr3:uid="{E7672514-FDEB-4FF7-8FBC-6973D5D5E2EB}" name="Personas IPM" dataDxfId="82" dataCellStyle="Porcentaje"/>
    <tableColumn id="5" xr3:uid="{3695163F-D6F2-4265-A4E1-F2AA4271EA6D}" name="Ref. Depto Personas IPM (%)" dataDxfId="81" dataCellStyle="Porcentaj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BDC7245-497F-4C45-B5C3-FAB861FB7AB8}" name="Tabla10" displayName="Tabla10" ref="A2:E16" totalsRowShown="0" headerRowDxfId="80" headerRowBorderDxfId="79" tableBorderDxfId="78" totalsRowBorderDxfId="77" headerRowCellStyle="Normal 2 2">
  <autoFilter ref="A2:E16" xr:uid="{0BDC7245-497F-4C45-B5C3-FAB861FB7AB8}"/>
  <sortState xmlns:xlrd2="http://schemas.microsoft.com/office/spreadsheetml/2017/richdata2" ref="A3:E16">
    <sortCondition ref="B2:B16"/>
  </sortState>
  <tableColumns count="5">
    <tableColumn id="1" xr3:uid="{FB1A0B9B-3B47-4240-B3D5-0CAFBAD6192D}" name="Municipio"/>
    <tableColumn id="2" xr3:uid="{9737E8A6-7C51-4BF9-9C3B-A2CE6D922D59}" name="NBI Total (%)" dataDxfId="76" dataCellStyle="Porcentaje"/>
    <tableColumn id="3" xr3:uid="{8A3642C8-ED32-4A35-A9E8-B8C5E21284F7}" name="NBI Rural (%)" dataDxfId="75" dataCellStyle="Porcentaje"/>
    <tableColumn id="4" xr3:uid="{3B343DB6-CBF5-4629-85A3-52649B3166BE}" name="Bajo LP Total (%)" dataDxfId="74" dataCellStyle="Porcentaje"/>
    <tableColumn id="5" xr3:uid="{ADE9773A-62D4-4BEB-95A5-985D88F9CD1E}" name="Ref. Departamental LP (%)" dataDxfId="73" dataCellStyle="Porcentaj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EBC8BC-13A4-4D89-A253-9EAE0FC6FDD0}" name="Tabla2" displayName="Tabla2" ref="A3:G17" totalsRowShown="0" headerRowDxfId="72" headerRowBorderDxfId="71" tableBorderDxfId="70" totalsRowBorderDxfId="69">
  <autoFilter ref="A3:G17" xr:uid="{92EBC8BC-13A4-4D89-A253-9EAE0FC6FDD0}"/>
  <sortState xmlns:xlrd2="http://schemas.microsoft.com/office/spreadsheetml/2017/richdata2" ref="A4:G17">
    <sortCondition ref="B3:B17"/>
  </sortState>
  <tableColumns count="7">
    <tableColumn id="1" xr3:uid="{3189400D-0D3F-4B9B-84E0-930A3BE8D3CE}" name="Municipio"/>
    <tableColumn id="2" xr3:uid="{4594851F-5D36-4FF8-BB83-21C206C5F7A6}" name="Gini hogares total"/>
    <tableColumn id="3" xr3:uid="{AC72DDF8-DF13-4568-BDE0-C64BE619E2EF}" name="Gini hogares urbano"/>
    <tableColumn id="4" xr3:uid="{A97B3BF1-CDAF-4B00-8973-2BBDA0154254}" name="Gini hogares rural"/>
    <tableColumn id="5" xr3:uid="{D79A2AB3-7C70-4EBC-B3FE-1D6EED6D6C82}" name="Gini laboral total"/>
    <tableColumn id="6" xr3:uid="{E9117BD5-EF60-4967-B1CE-FCBCAAD15134}" name="Gini laboral urbano"/>
    <tableColumn id="7" xr3:uid="{DC683544-3810-4EA5-A90D-7D2B9345ABC2}" name="Gini laboral rura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5B6112-8F89-4801-82D1-9AF18AB4AFEA}" name="Tabla3" displayName="Tabla3" ref="A3:G17" totalsRowShown="0" headerRowDxfId="68" headerRowBorderDxfId="67" tableBorderDxfId="66">
  <autoFilter ref="A3:G17" xr:uid="{315B6112-8F89-4801-82D1-9AF18AB4AFEA}"/>
  <sortState xmlns:xlrd2="http://schemas.microsoft.com/office/spreadsheetml/2017/richdata2" ref="A4:G17">
    <sortCondition ref="E3:E17"/>
  </sortState>
  <tableColumns count="7">
    <tableColumn id="1" xr3:uid="{AF59F7C3-3113-4839-8204-04CA795DB890}" name="Municipio"/>
    <tableColumn id="2" xr3:uid="{65B61758-A51A-40E8-BB9E-5693AFBCA713}" name="Tasa ocupación total"/>
    <tableColumn id="3" xr3:uid="{7798C4B4-B0CB-45D1-A58B-2D1AA7FB7AEC}" name="Tasa ocupación urbano"/>
    <tableColumn id="4" xr3:uid="{FDE2A6BA-D22C-40F3-8DBC-9CBAE9074A68}" name="Tasa ocupación rural"/>
    <tableColumn id="5" xr3:uid="{4631F8F2-5EE8-4417-A420-E9237FF67A77}" name="Tasa informalidad total"/>
    <tableColumn id="6" xr3:uid="{B37B8035-667F-49E5-8346-431995CAC3C1}" name="Tasa informalidad urbano"/>
    <tableColumn id="7" xr3:uid="{87E810DB-7158-4478-8C8A-FE21C608D3A8}" name="Tasa informalidad rura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F3DF1DC-2CB9-4FC2-8930-8958B0F5C85B}" name="Tabla4" displayName="Tabla4" ref="A3:D17" totalsRowShown="0" headerRowDxfId="65" headerRowBorderDxfId="64" tableBorderDxfId="63" dataCellStyle="Porcentaje">
  <autoFilter ref="A3:D17" xr:uid="{BF3DF1DC-2CB9-4FC2-8930-8958B0F5C85B}"/>
  <sortState xmlns:xlrd2="http://schemas.microsoft.com/office/spreadsheetml/2017/richdata2" ref="A4:D17">
    <sortCondition ref="D3:D17"/>
  </sortState>
  <tableColumns count="4">
    <tableColumn id="1" xr3:uid="{EFEDDEE7-3743-440B-BA03-2FD16528242B}" name="Municipio"/>
    <tableColumn id="2" xr3:uid="{4F4782A6-CBF9-43D8-A7AB-7B539C0C62C6}" name="Tasa desocupados total" dataCellStyle="Porcentaje"/>
    <tableColumn id="3" xr3:uid="{7A3D60EC-86F3-45EB-B2E5-B8F8B54559F5}" name="Tasa desocupados jóvenes 15-28 años" dataCellStyle="Porcentaje"/>
    <tableColumn id="4" xr3:uid="{20CC06EF-8C81-4AF9-B923-179CF1590B3B}" name="Jóvenes 15-28 años que no estudian ni trabajan (NINIs)" dataCellStyle="Porcentaj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A26975B-7E16-4BBA-A43C-58F0D5B48B5A}" name="Tabla7" displayName="Tabla7" ref="A23:C37" totalsRowShown="0" headerRowDxfId="62" headerRowBorderDxfId="61">
  <autoFilter ref="A23:C37" xr:uid="{EA26975B-7E16-4BBA-A43C-58F0D5B48B5A}"/>
  <sortState xmlns:xlrd2="http://schemas.microsoft.com/office/spreadsheetml/2017/richdata2" ref="A24:C37">
    <sortCondition ref="C23:C37"/>
  </sortState>
  <tableColumns count="3">
    <tableColumn id="1" xr3:uid="{8C46D8BF-26F6-41D2-9CB0-382328572E3C}" name="Municipio"/>
    <tableColumn id="2" xr3:uid="{600F32E8-8149-4EC0-AB69-6092A25B00EC}" name="Tasa desocupados total" dataCellStyle="Porcentaje"/>
    <tableColumn id="3" xr3:uid="{61A0B39F-2C1F-4E1B-B5C7-7946D736CD2D}" name="Tasa desocupados jóvenes 15-28 años" dataCellStyle="Porcentaj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36853E9-8F2A-4B52-8329-FD1CDB8A290D}" name="Tabla8" displayName="Tabla8" ref="A23:B37" totalsRowShown="0" tableBorderDxfId="60">
  <autoFilter ref="A23:B37" xr:uid="{736853E9-8F2A-4B52-8329-FD1CDB8A290D}"/>
  <sortState xmlns:xlrd2="http://schemas.microsoft.com/office/spreadsheetml/2017/richdata2" ref="A24:B37">
    <sortCondition ref="B23:B37"/>
  </sortState>
  <tableColumns count="2">
    <tableColumn id="1" xr3:uid="{943D1EA2-B2A7-4E60-90E8-760DAAB1EC34}" name="Municipio"/>
    <tableColumn id="2" xr3:uid="{33C3490C-01D6-44EF-911B-75CAD2253F04}" name="Peso en VA dentro de la provincia (total)" dataDxfId="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04879B-CA7D-4AAC-9AFA-5A48F5358F31}" name="Tabla5" displayName="Tabla5" ref="A3:G16" totalsRowShown="0" headerRowDxfId="59" dataDxfId="57" headerRowBorderDxfId="58" tableBorderDxfId="56">
  <autoFilter ref="A3:G16" xr:uid="{DF04879B-CA7D-4AAC-9AFA-5A48F5358F31}"/>
  <sortState xmlns:xlrd2="http://schemas.microsoft.com/office/spreadsheetml/2017/richdata2" ref="A4:G16">
    <sortCondition ref="A3:A16"/>
  </sortState>
  <tableColumns count="7">
    <tableColumn id="1" xr3:uid="{ED206E6E-C058-4783-856A-9A48D677E0EF}" name="Municipio" dataDxfId="55"/>
    <tableColumn id="2" xr3:uid="{36F06BEA-569C-4F2F-A039-F336890D30E4}" name="Valor agregado total (*)" dataDxfId="6"/>
    <tableColumn id="3" xr3:uid="{D0459AF6-85ED-47D8-B2F2-A1011C9B0B28}" name="Act. primarias" dataDxfId="5"/>
    <tableColumn id="4" xr3:uid="{49CAB6F7-09A0-414C-8520-89B6EEA5F569}" name="Act. secundarias" dataDxfId="4"/>
    <tableColumn id="5" xr3:uid="{4DA94E18-A7E2-40EF-A416-0376D49EE9EB}" name="Act. terciarias" dataDxfId="2"/>
    <tableColumn id="6" xr3:uid="{0228D136-5193-4D07-BACA-40FBF92C3786}" name="Peso en VA dentro de la provincia (total)" dataDxfId="0" dataCellStyle="Porcentaje">
      <calculatedColumnFormula>B4/$B$17</calculatedColumnFormula>
    </tableColumn>
    <tableColumn id="7" xr3:uid="{F50B01FB-1E08-4733-B338-C35751B6873C}" name="Peso en VA departamental (%)" dataDxfId="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8B7C055-D77E-42B5-AA89-FF84E84F0CC9}" name="Tabla6" displayName="Tabla6" ref="A3:E16" totalsRowShown="0" headerRowDxfId="54" headerRowBorderDxfId="53" tableBorderDxfId="52" totalsRowBorderDxfId="51">
  <autoFilter ref="A3:E16" xr:uid="{18B7C055-D77E-42B5-AA89-FF84E84F0CC9}"/>
  <sortState xmlns:xlrd2="http://schemas.microsoft.com/office/spreadsheetml/2017/richdata2" ref="A4:E16">
    <sortCondition ref="E3:E16"/>
  </sortState>
  <tableColumns count="5">
    <tableColumn id="1" xr3:uid="{03FAED2A-8A59-4174-BE20-6D95A545C640}" name="Municipio"/>
    <tableColumn id="2" xr3:uid="{D8BC8711-F69F-4E3E-BF5B-51C257EF9A87}" name="Primario" dataDxfId="9" dataCellStyle="Porcentaje"/>
    <tableColumn id="3" xr3:uid="{40B92ACD-E841-4090-B9E2-C17EE4357FE9}" name="Secundario" dataDxfId="8" dataCellStyle="Porcentaje"/>
    <tableColumn id="4" xr3:uid="{C766197C-A4CF-4AD2-8849-522B6B4C893B}" name="Terciario " dataDxfId="7" dataCellStyle="Porcentaje"/>
    <tableColumn id="5" xr3:uid="{84A41F74-D0B4-46A4-B749-264D784F5D0B}" name="Valor agregado total (*)" dataDxfId="5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684465A-5C76-457E-8C99-8388ABE73452}" name="Tabla9" displayName="Tabla9" ref="A17:B27" totalsRowShown="0" headerRowDxfId="49" headerRowBorderDxfId="48" tableBorderDxfId="47" totalsRowBorderDxfId="46">
  <autoFilter ref="A17:B27" xr:uid="{F684465A-5C76-457E-8C99-8388ABE73452}"/>
  <sortState xmlns:xlrd2="http://schemas.microsoft.com/office/spreadsheetml/2017/richdata2" ref="A18:B27">
    <sortCondition ref="B17:B27"/>
  </sortState>
  <tableColumns count="2">
    <tableColumn id="1" xr3:uid="{B3BB6DF8-D9DB-409F-A8DE-4BE4571F2232}" name="Central / Planta" dataDxfId="45"/>
    <tableColumn id="2" xr3:uid="{8E87580B-2E4C-4E95-BDAD-9A74C5BF1DC1}" name="Cap. Instalada (GW)" dataDxfId="4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7B79D0A-7995-4D3E-8989-6C777E0C2F7C}" name="Tabla11" displayName="Tabla11" ref="A31:B38" totalsRowShown="0" headerRowDxfId="43" headerRowBorderDxfId="42" tableBorderDxfId="41">
  <autoFilter ref="A31:B38" xr:uid="{F7B79D0A-7995-4D3E-8989-6C777E0C2F7C}"/>
  <sortState xmlns:xlrd2="http://schemas.microsoft.com/office/spreadsheetml/2017/richdata2" ref="A32:B38">
    <sortCondition ref="B31:B38"/>
  </sortState>
  <tableColumns count="2">
    <tableColumn id="1" xr3:uid="{2A2CB6DF-0D52-4D15-8DA5-B6386A236607}" name="Mineral"/>
    <tableColumn id="2" xr3:uid="{3F46E1C9-5311-430E-B593-7B731D410FED}" name="Número de licencia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8CA0D35-DBA7-43D7-80EC-F2AC24894710}" name="Tabla113" displayName="Tabla113" ref="A1:I15" totalsRowShown="0" headerRowDxfId="40" tableBorderDxfId="39">
  <autoFilter ref="A1:I15" xr:uid="{F8CA0D35-DBA7-43D7-80EC-F2AC24894710}"/>
  <tableColumns count="9">
    <tableColumn id="1" xr3:uid="{A27D2DF5-4231-4D2B-9DCF-76254AFDFE6D}" name="Municipios y distritos" dataDxfId="38"/>
    <tableColumn id="2" xr3:uid="{7CCF26AD-1E84-406A-89C4-29791E375A8F}" name="Electricidad, gas y agua" dataDxfId="37"/>
    <tableColumn id="3" xr3:uid="{79F0AC44-BB2C-4E1B-96A0-94A097D9BC18}" name="Comercio y Transporte" dataDxfId="36"/>
    <tableColumn id="4" xr3:uid="{0AB292BE-1595-4B7F-83FC-B89E1469CD81}" name="Información y comunicaciones " dataDxfId="35"/>
    <tableColumn id="5" xr3:uid="{324E00CF-F831-4488-B3C0-ECB282AE2259}" name="Actividades financieras y de seguros" dataDxfId="34"/>
    <tableColumn id="6" xr3:uid="{72192686-466F-4939-992E-49C391170920}" name="Actividades inmobiliarias" dataDxfId="33"/>
    <tableColumn id="7" xr3:uid="{033C05FE-DCDB-43B4-97D0-5D0E739F5736}" name="Actividades profesionales" dataDxfId="32"/>
    <tableColumn id="8" xr3:uid="{AC3F70E5-E445-45D4-8B3E-48992C066EB7}" name="Administración pública" dataDxfId="31"/>
    <tableColumn id="9" xr3:uid="{483730EB-6DD4-4885-AB5B-B22156653884}" name="Actividades artísticas y otros" dataDxfId="30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3940307-F329-452F-B96F-689AB62B76BA}" name="Tabla13" displayName="Tabla13" ref="L1:N10" totalsRowShown="0" tableBorderDxfId="29">
  <autoFilter ref="L1:N10" xr:uid="{D3940307-F329-452F-B96F-689AB62B76BA}"/>
  <sortState xmlns:xlrd2="http://schemas.microsoft.com/office/spreadsheetml/2017/richdata2" ref="L2:M9">
    <sortCondition ref="M1:M9"/>
  </sortState>
  <tableColumns count="3">
    <tableColumn id="1" xr3:uid="{B0D01858-718E-4424-88AD-E74CD7C496D2}" name="Terciarias"/>
    <tableColumn id="2" xr3:uid="{2BB06C73-D6DA-4168-9209-755CEFC9538D}" name="Total Provincia Bioenergética Norte" dataDxfId="28"/>
    <tableColumn id="3" xr3:uid="{B2FFBEF3-5CE3-486B-91EF-8CD827A62BD9}" name="Participación" dataDxfId="27">
      <calculatedColumnFormula>Tabla13[[#This Row],[Total Provincia Bioenergética Norte]]/$M$10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BCF1F59-148B-4118-9506-C74108FB2806}" name="Tabla16" displayName="Tabla16" ref="A3:C16" totalsRowShown="0">
  <autoFilter ref="A3:C16" xr:uid="{4BCF1F59-148B-4118-9506-C74108FB2806}"/>
  <tableColumns count="3">
    <tableColumn id="1" xr3:uid="{7A373AE6-0B80-4151-A42A-0CF8B71F46A0}" name="Ramas económicas"/>
    <tableColumn id="2" xr3:uid="{7609C8C0-6179-4541-87F6-D32D7AED8919}" name="Total Provincia Bioenergética Norte" dataDxfId="26"/>
    <tableColumn id="3" xr3:uid="{9BBF2BC8-265E-4FE7-BBAE-04400423E418}" name="Participación">
      <calculatedColumnFormula>B4/$B$16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9AB8BBF-961A-4DBA-BF7D-7AB74EC555B1}" name="Tabla17" displayName="Tabla17" ref="A18:B35" totalsRowShown="0" tableBorderDxfId="25">
  <autoFilter ref="A18:B35" xr:uid="{79AB8BBF-961A-4DBA-BF7D-7AB74EC555B1}"/>
  <sortState xmlns:xlrd2="http://schemas.microsoft.com/office/spreadsheetml/2017/richdata2" ref="A19:B35">
    <sortCondition ref="B18:B35"/>
  </sortState>
  <tableColumns count="2">
    <tableColumn id="1" xr3:uid="{03B24F22-6562-4F2F-8805-FE7EEAF4A808}" name="Ramas económicas" dataDxfId="11"/>
    <tableColumn id="2" xr3:uid="{F636DB30-0B5E-4751-BAA7-A2629E38666C}" name="Participación" dataDxfId="10" dataCellStyle="Porcentaj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0232B54-455B-4ED2-99EB-2D5C8AC14B1C}" name="Tabla18" displayName="Tabla18" ref="A4:H17" totalsRowShown="0" headerRowDxfId="21" dataDxfId="18" headerRowBorderDxfId="23" tableBorderDxfId="24" totalsRowBorderDxfId="22">
  <autoFilter ref="A4:H17" xr:uid="{80232B54-455B-4ED2-99EB-2D5C8AC14B1C}"/>
  <tableColumns count="8">
    <tableColumn id="1" xr3:uid="{A9E1E7DC-D9D7-4FAF-B9D0-555A0D10BC1A}" name="Municipio" dataDxfId="20"/>
    <tableColumn id="3" xr3:uid="{DC313E74-32A9-4D04-A164-F3F95E7BB4FB}" name="🥇 1er sector" dataDxfId="16"/>
    <tableColumn id="4" xr3:uid="{DCB19366-F4E6-49F9-815C-0826C50D84FB}" name="% Participación" dataDxfId="14"/>
    <tableColumn id="5" xr3:uid="{0B130BE9-883A-4369-860F-DCC2401998B2}" name="🥈 2do sector" dataDxfId="15"/>
    <tableColumn id="6" xr3:uid="{E331BCFE-5E18-483B-86D7-4A6798CE8BC5}" name="% Participación2" dataDxfId="19"/>
    <tableColumn id="7" xr3:uid="{C1E935F8-CC54-4A51-B4D8-5D7E7E9C9359}" name="🥉 3er sector" dataDxfId="17"/>
    <tableColumn id="8" xr3:uid="{899EBA0D-2E39-457D-B7CA-C9978045AD45}" name="% Participación3" dataDxfId="13" dataCellStyle="Porcentaje"/>
    <tableColumn id="9" xr3:uid="{042FD4AB-C2CE-4C44-9BB1-AEE082D311BC}" name="% Acumulado top 3" dataDxfId="1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56490-6BD7-4E12-BFA3-F4569BC990A8}">
  <dimension ref="A1:J28"/>
  <sheetViews>
    <sheetView zoomScale="85" zoomScaleNormal="85" workbookViewId="0">
      <selection activeCell="R13" sqref="R13"/>
    </sheetView>
  </sheetViews>
  <sheetFormatPr baseColWidth="10" defaultColWidth="8.6640625" defaultRowHeight="14.4" x14ac:dyDescent="0.3"/>
  <cols>
    <col min="1" max="1" width="26" style="68" customWidth="1"/>
    <col min="2" max="2" width="20" style="68" customWidth="1"/>
    <col min="3" max="3" width="23" style="68" customWidth="1"/>
    <col min="4" max="4" width="20" style="68" customWidth="1"/>
    <col min="5" max="5" width="28.77734375" style="68" customWidth="1"/>
    <col min="6" max="16384" width="8.6640625" style="68"/>
  </cols>
  <sheetData>
    <row r="1" spans="1:5" ht="21.75" customHeight="1" x14ac:dyDescent="0.3">
      <c r="A1" s="99" t="s">
        <v>147</v>
      </c>
      <c r="B1" s="99"/>
      <c r="C1" s="99"/>
      <c r="D1" s="99"/>
      <c r="E1" s="99"/>
    </row>
    <row r="2" spans="1:5" ht="30" customHeight="1" x14ac:dyDescent="0.3">
      <c r="A2" s="79" t="s">
        <v>0</v>
      </c>
      <c r="B2" s="80" t="s">
        <v>148</v>
      </c>
      <c r="C2" s="80" t="s">
        <v>146</v>
      </c>
      <c r="D2" s="80" t="s">
        <v>149</v>
      </c>
      <c r="E2" s="80" t="s">
        <v>145</v>
      </c>
    </row>
    <row r="3" spans="1:5" x14ac:dyDescent="0.3">
      <c r="A3" s="76" t="s">
        <v>6</v>
      </c>
      <c r="B3" s="43">
        <v>0.251</v>
      </c>
      <c r="C3" s="43">
        <v>0.32689999999999997</v>
      </c>
      <c r="D3" s="43">
        <v>0.28420000000000001</v>
      </c>
      <c r="E3" s="90">
        <v>0.1012</v>
      </c>
    </row>
    <row r="4" spans="1:5" x14ac:dyDescent="0.3">
      <c r="A4" s="77" t="s">
        <v>2</v>
      </c>
      <c r="B4" s="43">
        <v>0.17699999999999999</v>
      </c>
      <c r="C4" s="43">
        <v>0.26190000000000002</v>
      </c>
      <c r="D4" s="43">
        <v>0.19140000000000001</v>
      </c>
      <c r="E4" s="90">
        <v>0.1012</v>
      </c>
    </row>
    <row r="5" spans="1:5" x14ac:dyDescent="0.3">
      <c r="A5" s="76" t="s">
        <v>5</v>
      </c>
      <c r="B5" s="43">
        <v>0.3085</v>
      </c>
      <c r="C5" s="43">
        <v>0.3553</v>
      </c>
      <c r="D5" s="43">
        <v>0.31190000000000001</v>
      </c>
      <c r="E5" s="90">
        <v>0.1012</v>
      </c>
    </row>
    <row r="6" spans="1:5" x14ac:dyDescent="0.3">
      <c r="A6" s="77" t="s">
        <v>9</v>
      </c>
      <c r="B6" s="43">
        <v>0.32</v>
      </c>
      <c r="C6" s="43">
        <v>0.45880000000000004</v>
      </c>
      <c r="D6" s="43">
        <v>0.38539999999999996</v>
      </c>
      <c r="E6" s="90">
        <v>0.1012</v>
      </c>
    </row>
    <row r="7" spans="1:5" x14ac:dyDescent="0.3">
      <c r="A7" s="76" t="s">
        <v>123</v>
      </c>
      <c r="B7" s="43">
        <v>7.8399999999999997E-2</v>
      </c>
      <c r="C7" s="43">
        <v>0.12119999999999999</v>
      </c>
      <c r="D7" s="43">
        <v>7.3800000000000004E-2</v>
      </c>
      <c r="E7" s="90">
        <v>0.1012</v>
      </c>
    </row>
    <row r="8" spans="1:5" x14ac:dyDescent="0.3">
      <c r="A8" s="77" t="s">
        <v>13</v>
      </c>
      <c r="B8" s="43">
        <v>0.21890000000000001</v>
      </c>
      <c r="C8" s="43">
        <v>0.32219999999999999</v>
      </c>
      <c r="D8" s="43">
        <v>0.23850000000000002</v>
      </c>
      <c r="E8" s="90">
        <v>0.1012</v>
      </c>
    </row>
    <row r="9" spans="1:5" x14ac:dyDescent="0.3">
      <c r="A9" s="76" t="s">
        <v>7</v>
      </c>
      <c r="B9" s="43">
        <v>0.13089999999999999</v>
      </c>
      <c r="C9" s="43">
        <v>0.2198</v>
      </c>
      <c r="D9" s="43">
        <v>0.14150000000000001</v>
      </c>
      <c r="E9" s="90">
        <v>0.1012</v>
      </c>
    </row>
    <row r="10" spans="1:5" x14ac:dyDescent="0.3">
      <c r="A10" s="77" t="s">
        <v>1</v>
      </c>
      <c r="B10" s="43">
        <v>0.2298</v>
      </c>
      <c r="C10" s="43">
        <v>0.30510000000000004</v>
      </c>
      <c r="D10" s="43">
        <v>0.26989999999999997</v>
      </c>
      <c r="E10" s="90">
        <v>0.1012</v>
      </c>
    </row>
    <row r="11" spans="1:5" x14ac:dyDescent="0.3">
      <c r="A11" s="76" t="s">
        <v>118</v>
      </c>
      <c r="B11" s="43">
        <v>0.2046</v>
      </c>
      <c r="C11" s="43">
        <v>0.28420000000000001</v>
      </c>
      <c r="D11" s="43">
        <v>0.23219999999999999</v>
      </c>
      <c r="E11" s="90">
        <v>0.1012</v>
      </c>
    </row>
    <row r="12" spans="1:5" x14ac:dyDescent="0.3">
      <c r="A12" s="77" t="s">
        <v>119</v>
      </c>
      <c r="B12" s="43">
        <v>0.151</v>
      </c>
      <c r="C12" s="43">
        <v>0.2576</v>
      </c>
      <c r="D12" s="43">
        <v>0.19120000000000001</v>
      </c>
      <c r="E12" s="90">
        <v>0.1012</v>
      </c>
    </row>
    <row r="13" spans="1:5" x14ac:dyDescent="0.3">
      <c r="A13" s="76" t="s">
        <v>12</v>
      </c>
      <c r="B13" s="43">
        <v>0.13519999999999999</v>
      </c>
      <c r="C13" s="43">
        <v>0.18679999999999999</v>
      </c>
      <c r="D13" s="43">
        <v>0.1547</v>
      </c>
      <c r="E13" s="90">
        <v>0.1012</v>
      </c>
    </row>
    <row r="14" spans="1:5" x14ac:dyDescent="0.3">
      <c r="A14" s="77" t="s">
        <v>4</v>
      </c>
      <c r="B14" s="43">
        <v>0.1734</v>
      </c>
      <c r="C14" s="43">
        <v>0.1618</v>
      </c>
      <c r="D14" s="43">
        <v>0.20250000000000001</v>
      </c>
      <c r="E14" s="90">
        <v>0.1012</v>
      </c>
    </row>
    <row r="15" spans="1:5" x14ac:dyDescent="0.3">
      <c r="A15" s="76" t="s">
        <v>3</v>
      </c>
      <c r="B15" s="43">
        <v>9.3599999999999989E-2</v>
      </c>
      <c r="C15" s="43">
        <v>0.20469999999999999</v>
      </c>
      <c r="D15" s="43">
        <v>0.1148</v>
      </c>
      <c r="E15" s="90">
        <v>0.1012</v>
      </c>
    </row>
    <row r="16" spans="1:5" x14ac:dyDescent="0.3">
      <c r="A16" s="78" t="s">
        <v>135</v>
      </c>
      <c r="B16" s="43">
        <v>0.19020000000000001</v>
      </c>
      <c r="C16" s="43">
        <v>0.2666</v>
      </c>
      <c r="D16" s="43">
        <v>0.21479999999999999</v>
      </c>
      <c r="E16" s="90">
        <v>0.1012</v>
      </c>
    </row>
    <row r="18" spans="2:10" x14ac:dyDescent="0.3">
      <c r="B18" s="68">
        <v>100</v>
      </c>
    </row>
    <row r="28" spans="2:10" x14ac:dyDescent="0.3">
      <c r="J28" s="68" t="s">
        <v>150</v>
      </c>
    </row>
  </sheetData>
  <mergeCells count="1">
    <mergeCell ref="A1:E1"/>
  </mergeCells>
  <pageMargins left="0.75" right="0.75" top="1" bottom="1" header="0.51181102362205" footer="0.51181102362205"/>
  <pageSetup paperSize="9" orientation="portrait" horizontalDpi="300" verticalDpi="3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EDEF-6865-440E-81F2-110B6BA0EAFC}">
  <dimension ref="A1:E18"/>
  <sheetViews>
    <sheetView zoomScale="85" zoomScaleNormal="85" workbookViewId="0">
      <selection activeCell="U15" sqref="U15"/>
    </sheetView>
  </sheetViews>
  <sheetFormatPr baseColWidth="10" defaultColWidth="8.6640625" defaultRowHeight="14.4" x14ac:dyDescent="0.3"/>
  <cols>
    <col min="1" max="1" width="26" style="68" customWidth="1"/>
    <col min="2" max="2" width="14.109375" style="68" customWidth="1"/>
    <col min="3" max="3" width="14.5546875" style="68" customWidth="1"/>
    <col min="4" max="4" width="18" style="68" customWidth="1"/>
    <col min="5" max="5" width="26.21875" style="68" customWidth="1"/>
    <col min="6" max="16384" width="8.6640625" style="68"/>
  </cols>
  <sheetData>
    <row r="1" spans="1:5" ht="21.75" customHeight="1" x14ac:dyDescent="0.3">
      <c r="A1" s="99" t="s">
        <v>144</v>
      </c>
      <c r="B1" s="99"/>
      <c r="C1" s="99"/>
      <c r="D1" s="99"/>
      <c r="E1" s="99"/>
    </row>
    <row r="2" spans="1:5" ht="30" customHeight="1" x14ac:dyDescent="0.3">
      <c r="A2" s="79" t="s">
        <v>0</v>
      </c>
      <c r="B2" s="80" t="s">
        <v>143</v>
      </c>
      <c r="C2" s="80" t="s">
        <v>142</v>
      </c>
      <c r="D2" s="80" t="s">
        <v>141</v>
      </c>
      <c r="E2" s="81" t="s">
        <v>140</v>
      </c>
    </row>
    <row r="3" spans="1:5" x14ac:dyDescent="0.3">
      <c r="A3" s="76" t="s">
        <v>7</v>
      </c>
      <c r="B3" s="90">
        <v>9.4299999999999995E-2</v>
      </c>
      <c r="C3" s="90">
        <v>0.1026</v>
      </c>
      <c r="D3" s="90">
        <v>0.20550000000000002</v>
      </c>
      <c r="E3" s="90">
        <v>0.251</v>
      </c>
    </row>
    <row r="4" spans="1:5" x14ac:dyDescent="0.3">
      <c r="A4" s="76" t="s">
        <v>3</v>
      </c>
      <c r="B4" s="90">
        <v>0.12189999999999999</v>
      </c>
      <c r="C4" s="90">
        <v>0.23699999999999999</v>
      </c>
      <c r="D4" s="90">
        <v>0.33090000000000003</v>
      </c>
      <c r="E4" s="90">
        <v>0.251</v>
      </c>
    </row>
    <row r="5" spans="1:5" x14ac:dyDescent="0.3">
      <c r="A5" s="76" t="s">
        <v>123</v>
      </c>
      <c r="B5" s="90">
        <v>0.14730000000000001</v>
      </c>
      <c r="C5" s="90">
        <v>7.8399999999999997E-2</v>
      </c>
      <c r="D5" s="90">
        <v>0.25730000000000003</v>
      </c>
      <c r="E5" s="90">
        <v>0.251</v>
      </c>
    </row>
    <row r="6" spans="1:5" x14ac:dyDescent="0.3">
      <c r="A6" s="76" t="s">
        <v>12</v>
      </c>
      <c r="B6" s="90">
        <v>0.15560000000000002</v>
      </c>
      <c r="C6" s="90">
        <v>0.18969999999999998</v>
      </c>
      <c r="D6" s="90">
        <v>0.35799999999999998</v>
      </c>
      <c r="E6" s="90">
        <v>0.251</v>
      </c>
    </row>
    <row r="7" spans="1:5" x14ac:dyDescent="0.3">
      <c r="A7" s="77" t="s">
        <v>4</v>
      </c>
      <c r="B7" s="90">
        <v>0.18659999999999999</v>
      </c>
      <c r="C7" s="90">
        <v>0.13600000000000001</v>
      </c>
      <c r="D7" s="90">
        <v>0.30469999999999997</v>
      </c>
      <c r="E7" s="90">
        <v>0.251</v>
      </c>
    </row>
    <row r="8" spans="1:5" x14ac:dyDescent="0.3">
      <c r="A8" s="77" t="s">
        <v>119</v>
      </c>
      <c r="B8" s="90">
        <v>0.20860000000000001</v>
      </c>
      <c r="C8" s="90">
        <v>0.25719999999999998</v>
      </c>
      <c r="D8" s="90">
        <v>0.36659999999999998</v>
      </c>
      <c r="E8" s="90">
        <v>0.251</v>
      </c>
    </row>
    <row r="9" spans="1:5" x14ac:dyDescent="0.3">
      <c r="A9" s="77" t="s">
        <v>1</v>
      </c>
      <c r="B9" s="90">
        <v>0.20910000000000001</v>
      </c>
      <c r="C9" s="90">
        <v>0.21260000000000001</v>
      </c>
      <c r="D9" s="90">
        <v>0.48930000000000001</v>
      </c>
      <c r="E9" s="90">
        <v>0.251</v>
      </c>
    </row>
    <row r="10" spans="1:5" x14ac:dyDescent="0.3">
      <c r="A10" s="78" t="s">
        <v>135</v>
      </c>
      <c r="B10" s="90">
        <v>0.20920000000000002</v>
      </c>
      <c r="C10" s="90">
        <v>0.23829999999999998</v>
      </c>
      <c r="D10" s="90">
        <v>0.32469999999999999</v>
      </c>
      <c r="E10" s="90">
        <v>0.251</v>
      </c>
    </row>
    <row r="11" spans="1:5" x14ac:dyDescent="0.3">
      <c r="A11" s="76" t="s">
        <v>6</v>
      </c>
      <c r="B11" s="90">
        <v>0.21640000000000001</v>
      </c>
      <c r="C11" s="90">
        <v>0.21989999999999998</v>
      </c>
      <c r="D11" s="90">
        <v>0.37659999999999999</v>
      </c>
      <c r="E11" s="90">
        <v>0.251</v>
      </c>
    </row>
    <row r="12" spans="1:5" x14ac:dyDescent="0.3">
      <c r="A12" s="77" t="s">
        <v>13</v>
      </c>
      <c r="B12" s="90">
        <v>0.2409</v>
      </c>
      <c r="C12" s="90">
        <v>0.31109999999999999</v>
      </c>
      <c r="D12" s="90">
        <v>0.25650000000000001</v>
      </c>
      <c r="E12" s="90">
        <v>0.251</v>
      </c>
    </row>
    <row r="13" spans="1:5" x14ac:dyDescent="0.3">
      <c r="A13" s="76" t="s">
        <v>118</v>
      </c>
      <c r="B13" s="90">
        <v>0.2606</v>
      </c>
      <c r="C13" s="90">
        <v>0.28809999999999997</v>
      </c>
      <c r="D13" s="90">
        <v>0.36060000000000003</v>
      </c>
      <c r="E13" s="90">
        <v>0.251</v>
      </c>
    </row>
    <row r="14" spans="1:5" x14ac:dyDescent="0.3">
      <c r="A14" s="76" t="s">
        <v>5</v>
      </c>
      <c r="B14" s="90">
        <v>0.2797</v>
      </c>
      <c r="C14" s="90">
        <v>0.35670000000000002</v>
      </c>
      <c r="D14" s="90">
        <v>0.37380000000000002</v>
      </c>
      <c r="E14" s="90">
        <v>0.251</v>
      </c>
    </row>
    <row r="15" spans="1:5" x14ac:dyDescent="0.3">
      <c r="A15" s="77" t="s">
        <v>9</v>
      </c>
      <c r="B15" s="90">
        <v>0.2888</v>
      </c>
      <c r="C15" s="90">
        <v>0.33110000000000001</v>
      </c>
      <c r="D15" s="90">
        <v>0.34710000000000002</v>
      </c>
      <c r="E15" s="90">
        <v>0.251</v>
      </c>
    </row>
    <row r="16" spans="1:5" x14ac:dyDescent="0.3">
      <c r="A16" s="82" t="s">
        <v>2</v>
      </c>
      <c r="B16" s="90">
        <v>0.30980000000000002</v>
      </c>
      <c r="C16" s="90">
        <v>0.37790000000000001</v>
      </c>
      <c r="D16" s="90">
        <v>0.1938</v>
      </c>
      <c r="E16" s="90">
        <v>0.251</v>
      </c>
    </row>
    <row r="18" spans="2:2" x14ac:dyDescent="0.3">
      <c r="B18" s="68">
        <v>100</v>
      </c>
    </row>
  </sheetData>
  <mergeCells count="1">
    <mergeCell ref="A1:E1"/>
  </mergeCells>
  <pageMargins left="0.75" right="0.75" top="1" bottom="1" header="0.51181102362205" footer="0.51181102362205"/>
  <pageSetup paperSize="9" orientation="portrait" horizontalDpi="300" verticalDpi="300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24E9D-0F3C-43B7-A49D-27BB0CB61294}">
  <dimension ref="A1:H40"/>
  <sheetViews>
    <sheetView zoomScale="85" zoomScaleNormal="85" workbookViewId="0">
      <selection activeCell="R13" sqref="R13"/>
    </sheetView>
  </sheetViews>
  <sheetFormatPr baseColWidth="10" defaultColWidth="8.6640625" defaultRowHeight="14.4" x14ac:dyDescent="0.3"/>
  <cols>
    <col min="1" max="1" width="26" style="68" customWidth="1"/>
    <col min="2" max="2" width="12" style="68" customWidth="1"/>
    <col min="3" max="3" width="16" style="68" customWidth="1"/>
    <col min="4" max="16384" width="8.6640625" style="68"/>
  </cols>
  <sheetData>
    <row r="1" spans="1:3" ht="21.75" customHeight="1" x14ac:dyDescent="0.3">
      <c r="A1" s="99" t="s">
        <v>138</v>
      </c>
      <c r="B1" s="99"/>
      <c r="C1" s="99"/>
    </row>
    <row r="2" spans="1:3" x14ac:dyDescent="0.3">
      <c r="A2" s="75" t="s">
        <v>0</v>
      </c>
      <c r="B2" s="75" t="s">
        <v>0</v>
      </c>
      <c r="C2" s="75" t="s">
        <v>133</v>
      </c>
    </row>
    <row r="3" spans="1:3" x14ac:dyDescent="0.3">
      <c r="A3" s="72" t="s">
        <v>1</v>
      </c>
      <c r="B3" s="71">
        <v>51.19</v>
      </c>
      <c r="C3" s="71">
        <v>66.38</v>
      </c>
    </row>
    <row r="4" spans="1:3" x14ac:dyDescent="0.3">
      <c r="A4" s="74" t="s">
        <v>3</v>
      </c>
      <c r="B4" s="73">
        <v>61.99</v>
      </c>
      <c r="C4" s="73">
        <v>66.38</v>
      </c>
    </row>
    <row r="5" spans="1:3" x14ac:dyDescent="0.3">
      <c r="A5" s="72" t="s">
        <v>13</v>
      </c>
      <c r="B5" s="71">
        <v>63.84</v>
      </c>
      <c r="C5" s="71">
        <v>66.38</v>
      </c>
    </row>
    <row r="6" spans="1:3" x14ac:dyDescent="0.3">
      <c r="A6" s="74" t="s">
        <v>137</v>
      </c>
      <c r="B6" s="73">
        <v>64.56</v>
      </c>
      <c r="C6" s="73">
        <v>66.38</v>
      </c>
    </row>
    <row r="7" spans="1:3" x14ac:dyDescent="0.3">
      <c r="A7" s="72" t="s">
        <v>4</v>
      </c>
      <c r="B7" s="71">
        <v>64.59</v>
      </c>
      <c r="C7" s="71">
        <v>66.38</v>
      </c>
    </row>
    <row r="8" spans="1:3" x14ac:dyDescent="0.3">
      <c r="A8" s="74" t="s">
        <v>2</v>
      </c>
      <c r="B8" s="73">
        <v>65.34</v>
      </c>
      <c r="C8" s="73">
        <v>66.38</v>
      </c>
    </row>
    <row r="9" spans="1:3" x14ac:dyDescent="0.3">
      <c r="A9" s="72" t="s">
        <v>123</v>
      </c>
      <c r="B9" s="71">
        <v>66.05</v>
      </c>
      <c r="C9" s="71">
        <v>66.38</v>
      </c>
    </row>
    <row r="10" spans="1:3" x14ac:dyDescent="0.3">
      <c r="A10" s="74" t="s">
        <v>6</v>
      </c>
      <c r="B10" s="73">
        <v>66.92</v>
      </c>
      <c r="C10" s="73">
        <v>66.38</v>
      </c>
    </row>
    <row r="11" spans="1:3" x14ac:dyDescent="0.3">
      <c r="A11" s="72" t="s">
        <v>12</v>
      </c>
      <c r="B11" s="71">
        <v>69.03</v>
      </c>
      <c r="C11" s="71">
        <v>66.38</v>
      </c>
    </row>
    <row r="12" spans="1:3" x14ac:dyDescent="0.3">
      <c r="A12" s="74" t="s">
        <v>5</v>
      </c>
      <c r="B12" s="73">
        <v>69.37</v>
      </c>
      <c r="C12" s="73">
        <v>66.38</v>
      </c>
    </row>
    <row r="13" spans="1:3" x14ac:dyDescent="0.3">
      <c r="A13" s="72" t="s">
        <v>7</v>
      </c>
      <c r="B13" s="71">
        <v>70.099999999999994</v>
      </c>
      <c r="C13" s="71">
        <v>66.38</v>
      </c>
    </row>
    <row r="14" spans="1:3" x14ac:dyDescent="0.3">
      <c r="A14" s="74" t="s">
        <v>9</v>
      </c>
      <c r="B14" s="73">
        <v>72.2</v>
      </c>
      <c r="C14" s="73">
        <v>66.38</v>
      </c>
    </row>
    <row r="15" spans="1:3" x14ac:dyDescent="0.3">
      <c r="A15" s="72" t="s">
        <v>136</v>
      </c>
      <c r="B15" s="71">
        <v>72.5</v>
      </c>
      <c r="C15" s="71">
        <v>66.38</v>
      </c>
    </row>
    <row r="16" spans="1:3" x14ac:dyDescent="0.3">
      <c r="A16" s="70" t="s">
        <v>135</v>
      </c>
      <c r="B16" s="69">
        <v>65.98</v>
      </c>
      <c r="C16" s="69">
        <v>66.38</v>
      </c>
    </row>
    <row r="26" spans="1:8" x14ac:dyDescent="0.3">
      <c r="A26" s="75" t="s">
        <v>0</v>
      </c>
      <c r="B26" s="75" t="s">
        <v>133</v>
      </c>
    </row>
    <row r="27" spans="1:8" x14ac:dyDescent="0.3">
      <c r="A27" s="72" t="s">
        <v>1</v>
      </c>
      <c r="B27" s="71">
        <v>66.38</v>
      </c>
    </row>
    <row r="28" spans="1:8" x14ac:dyDescent="0.3">
      <c r="A28" s="74" t="s">
        <v>3</v>
      </c>
      <c r="B28" s="73">
        <v>66.38</v>
      </c>
    </row>
    <row r="29" spans="1:8" x14ac:dyDescent="0.3">
      <c r="A29" s="72" t="s">
        <v>13</v>
      </c>
      <c r="B29" s="71">
        <v>66.38</v>
      </c>
      <c r="H29" s="68" t="s">
        <v>139</v>
      </c>
    </row>
    <row r="30" spans="1:8" x14ac:dyDescent="0.3">
      <c r="A30" s="74" t="s">
        <v>137</v>
      </c>
      <c r="B30" s="73">
        <v>66.38</v>
      </c>
    </row>
    <row r="31" spans="1:8" x14ac:dyDescent="0.3">
      <c r="A31" s="72" t="s">
        <v>4</v>
      </c>
      <c r="B31" s="71">
        <v>66.38</v>
      </c>
    </row>
    <row r="32" spans="1:8" x14ac:dyDescent="0.3">
      <c r="A32" s="74" t="s">
        <v>2</v>
      </c>
      <c r="B32" s="73">
        <v>66.38</v>
      </c>
    </row>
    <row r="33" spans="1:2" x14ac:dyDescent="0.3">
      <c r="A33" s="72" t="s">
        <v>123</v>
      </c>
      <c r="B33" s="71">
        <v>66.38</v>
      </c>
    </row>
    <row r="34" spans="1:2" x14ac:dyDescent="0.3">
      <c r="A34" s="74" t="s">
        <v>6</v>
      </c>
      <c r="B34" s="73">
        <v>66.38</v>
      </c>
    </row>
    <row r="35" spans="1:2" x14ac:dyDescent="0.3">
      <c r="A35" s="72" t="s">
        <v>12</v>
      </c>
      <c r="B35" s="71">
        <v>66.38</v>
      </c>
    </row>
    <row r="36" spans="1:2" x14ac:dyDescent="0.3">
      <c r="A36" s="74" t="s">
        <v>5</v>
      </c>
      <c r="B36" s="73">
        <v>66.38</v>
      </c>
    </row>
    <row r="37" spans="1:2" x14ac:dyDescent="0.3">
      <c r="A37" s="72" t="s">
        <v>7</v>
      </c>
      <c r="B37" s="71">
        <v>66.38</v>
      </c>
    </row>
    <row r="38" spans="1:2" x14ac:dyDescent="0.3">
      <c r="A38" s="74" t="s">
        <v>9</v>
      </c>
      <c r="B38" s="73">
        <v>66.38</v>
      </c>
    </row>
    <row r="39" spans="1:2" x14ac:dyDescent="0.3">
      <c r="A39" s="72" t="s">
        <v>136</v>
      </c>
      <c r="B39" s="71">
        <v>66.38</v>
      </c>
    </row>
    <row r="40" spans="1:2" x14ac:dyDescent="0.3">
      <c r="A40" s="70" t="s">
        <v>135</v>
      </c>
      <c r="B40" s="69">
        <v>66.38</v>
      </c>
    </row>
  </sheetData>
  <mergeCells count="1">
    <mergeCell ref="A1:C1"/>
  </mergeCells>
  <pageMargins left="0.75" right="0.75" top="1" bottom="1" header="0.51181102362205" footer="0.51181102362205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4"/>
  <sheetViews>
    <sheetView zoomScale="85" zoomScaleNormal="85" workbookViewId="0">
      <selection activeCell="A2" sqref="A2"/>
    </sheetView>
  </sheetViews>
  <sheetFormatPr baseColWidth="10" defaultColWidth="8.6640625" defaultRowHeight="14.4" x14ac:dyDescent="0.3"/>
  <cols>
    <col min="1" max="1" width="28" customWidth="1"/>
    <col min="2" max="2" width="16.88671875" customWidth="1"/>
    <col min="3" max="3" width="19" customWidth="1"/>
    <col min="4" max="4" width="17.109375" customWidth="1"/>
    <col min="5" max="5" width="15.77734375" customWidth="1"/>
    <col min="6" max="6" width="17.88671875" customWidth="1"/>
    <col min="7" max="7" width="16" customWidth="1"/>
  </cols>
  <sheetData>
    <row r="1" spans="1:7" x14ac:dyDescent="0.3">
      <c r="A1" s="2" t="s">
        <v>19</v>
      </c>
    </row>
    <row r="2" spans="1:7" x14ac:dyDescent="0.3">
      <c r="A2" s="3" t="s">
        <v>20</v>
      </c>
    </row>
    <row r="3" spans="1:7" x14ac:dyDescent="0.3">
      <c r="A3" s="37" t="s">
        <v>0</v>
      </c>
      <c r="B3" s="38" t="s">
        <v>21</v>
      </c>
      <c r="C3" s="38" t="s">
        <v>22</v>
      </c>
      <c r="D3" s="38" t="s">
        <v>23</v>
      </c>
      <c r="E3" s="38" t="s">
        <v>24</v>
      </c>
      <c r="F3" s="38" t="s">
        <v>25</v>
      </c>
      <c r="G3" s="39" t="s">
        <v>26</v>
      </c>
    </row>
    <row r="4" spans="1:7" x14ac:dyDescent="0.3">
      <c r="A4" s="32" t="s">
        <v>7</v>
      </c>
      <c r="B4" s="28">
        <v>0.35</v>
      </c>
      <c r="C4" s="28">
        <v>0.36</v>
      </c>
      <c r="D4" s="28">
        <v>0.34</v>
      </c>
      <c r="E4" s="28">
        <v>0.31</v>
      </c>
      <c r="F4" s="28">
        <v>0.26</v>
      </c>
      <c r="G4" s="35">
        <v>0.37</v>
      </c>
    </row>
    <row r="5" spans="1:7" x14ac:dyDescent="0.3">
      <c r="A5" s="31" t="s">
        <v>13</v>
      </c>
      <c r="B5" s="27">
        <v>0.39</v>
      </c>
      <c r="C5" s="27">
        <v>0.39</v>
      </c>
      <c r="D5" s="27">
        <v>0.4</v>
      </c>
      <c r="E5" s="27">
        <v>0.25</v>
      </c>
      <c r="F5" s="27">
        <v>0.27</v>
      </c>
      <c r="G5" s="34">
        <v>0.24</v>
      </c>
    </row>
    <row r="6" spans="1:7" x14ac:dyDescent="0.3">
      <c r="A6" s="32" t="s">
        <v>1</v>
      </c>
      <c r="B6" s="28">
        <v>0.42</v>
      </c>
      <c r="C6" s="28">
        <v>0.44</v>
      </c>
      <c r="D6" s="28">
        <v>0.38</v>
      </c>
      <c r="E6" s="28">
        <v>0.28000000000000003</v>
      </c>
      <c r="F6" s="28">
        <v>0.34</v>
      </c>
      <c r="G6" s="35">
        <v>0.25</v>
      </c>
    </row>
    <row r="7" spans="1:7" x14ac:dyDescent="0.3">
      <c r="A7" s="31" t="s">
        <v>12</v>
      </c>
      <c r="B7" s="27">
        <v>0.45</v>
      </c>
      <c r="C7" s="27">
        <v>0.43</v>
      </c>
      <c r="D7" s="27">
        <v>0.46</v>
      </c>
      <c r="E7" s="27">
        <v>0.34</v>
      </c>
      <c r="F7" s="27">
        <v>0.39</v>
      </c>
      <c r="G7" s="34">
        <v>0.3</v>
      </c>
    </row>
    <row r="8" spans="1:7" x14ac:dyDescent="0.3">
      <c r="A8" s="32" t="s">
        <v>2</v>
      </c>
      <c r="B8" s="28">
        <v>0.47</v>
      </c>
      <c r="C8" s="28">
        <v>0.46</v>
      </c>
      <c r="D8" s="28">
        <v>0.44</v>
      </c>
      <c r="E8" s="28">
        <v>0.35</v>
      </c>
      <c r="F8" s="28">
        <v>0.31</v>
      </c>
      <c r="G8" s="35">
        <v>0.38</v>
      </c>
    </row>
    <row r="9" spans="1:7" x14ac:dyDescent="0.3">
      <c r="A9" s="33" t="s">
        <v>27</v>
      </c>
      <c r="B9" s="29">
        <v>0.47</v>
      </c>
      <c r="C9" s="29">
        <v>0.44</v>
      </c>
      <c r="D9" s="29">
        <v>0.48</v>
      </c>
      <c r="E9" s="29">
        <v>0.36</v>
      </c>
      <c r="F9" s="29">
        <v>0.34</v>
      </c>
      <c r="G9" s="36">
        <v>0.37</v>
      </c>
    </row>
    <row r="10" spans="1:7" x14ac:dyDescent="0.3">
      <c r="A10" s="31" t="s">
        <v>8</v>
      </c>
      <c r="B10" s="27">
        <v>0.49</v>
      </c>
      <c r="C10" s="27">
        <v>0.55000000000000004</v>
      </c>
      <c r="D10" s="27">
        <v>0.4</v>
      </c>
      <c r="E10" s="27">
        <v>0.41</v>
      </c>
      <c r="F10" s="27">
        <v>0.45</v>
      </c>
      <c r="G10" s="34">
        <v>0.36</v>
      </c>
    </row>
    <row r="11" spans="1:7" x14ac:dyDescent="0.3">
      <c r="A11" s="31" t="s">
        <v>5</v>
      </c>
      <c r="B11" s="27">
        <v>0.5</v>
      </c>
      <c r="C11" s="27">
        <v>0.56000000000000005</v>
      </c>
      <c r="D11" s="27">
        <v>0.44</v>
      </c>
      <c r="E11" s="27">
        <v>0.41</v>
      </c>
      <c r="F11" s="27">
        <v>0.49</v>
      </c>
      <c r="G11" s="34">
        <v>0.31</v>
      </c>
    </row>
    <row r="12" spans="1:7" x14ac:dyDescent="0.3">
      <c r="A12" s="32" t="s">
        <v>9</v>
      </c>
      <c r="B12" s="28">
        <v>0.51</v>
      </c>
      <c r="C12" s="28">
        <v>0.53</v>
      </c>
      <c r="D12" s="28">
        <v>0.5</v>
      </c>
      <c r="E12" s="28">
        <v>0.4</v>
      </c>
      <c r="F12" s="28">
        <v>0.36</v>
      </c>
      <c r="G12" s="35">
        <v>0.42</v>
      </c>
    </row>
    <row r="13" spans="1:7" x14ac:dyDescent="0.3">
      <c r="A13" s="31" t="s">
        <v>3</v>
      </c>
      <c r="B13" s="27">
        <v>0.51</v>
      </c>
      <c r="C13" s="27">
        <v>0.48</v>
      </c>
      <c r="D13" s="27">
        <v>0.61</v>
      </c>
      <c r="E13" s="27">
        <v>0.38</v>
      </c>
      <c r="F13" s="27">
        <v>0.36</v>
      </c>
      <c r="G13" s="34">
        <v>0.43</v>
      </c>
    </row>
    <row r="14" spans="1:7" x14ac:dyDescent="0.3">
      <c r="A14" s="31" t="s">
        <v>10</v>
      </c>
      <c r="B14" s="27">
        <v>0.52</v>
      </c>
      <c r="C14" s="27">
        <v>0.53</v>
      </c>
      <c r="D14" s="27">
        <v>0.52</v>
      </c>
      <c r="E14" s="27">
        <v>0.44</v>
      </c>
      <c r="F14" s="27">
        <v>0.47</v>
      </c>
      <c r="G14" s="34">
        <v>0.33</v>
      </c>
    </row>
    <row r="15" spans="1:7" x14ac:dyDescent="0.3">
      <c r="A15" s="32" t="s">
        <v>11</v>
      </c>
      <c r="B15" s="28">
        <v>0.54</v>
      </c>
      <c r="C15" s="28">
        <v>0.43</v>
      </c>
      <c r="D15" s="28">
        <v>0.61</v>
      </c>
      <c r="E15" s="28">
        <v>0.4</v>
      </c>
      <c r="F15" s="28">
        <v>0.28999999999999998</v>
      </c>
      <c r="G15" s="35">
        <v>0.47</v>
      </c>
    </row>
    <row r="16" spans="1:7" x14ac:dyDescent="0.3">
      <c r="A16" s="32" t="s">
        <v>4</v>
      </c>
      <c r="B16" s="28">
        <v>0.62</v>
      </c>
      <c r="C16" s="28">
        <v>0.49</v>
      </c>
      <c r="D16" s="28">
        <v>0.65</v>
      </c>
      <c r="E16" s="28">
        <v>0.55000000000000004</v>
      </c>
      <c r="F16" s="28">
        <v>0.38</v>
      </c>
      <c r="G16" s="35">
        <v>0.57999999999999996</v>
      </c>
    </row>
    <row r="17" spans="1:9" x14ac:dyDescent="0.3">
      <c r="A17" s="40" t="s">
        <v>6</v>
      </c>
      <c r="B17" s="41">
        <v>0.65</v>
      </c>
      <c r="C17" s="41">
        <v>0.38</v>
      </c>
      <c r="D17" s="41">
        <v>0.71</v>
      </c>
      <c r="E17" s="41">
        <v>0.56000000000000005</v>
      </c>
      <c r="F17" s="41">
        <v>0.33</v>
      </c>
      <c r="G17" s="42">
        <v>0.61</v>
      </c>
    </row>
    <row r="18" spans="1:9" x14ac:dyDescent="0.3">
      <c r="A18" s="15"/>
    </row>
    <row r="19" spans="1:9" x14ac:dyDescent="0.3">
      <c r="A19" t="s">
        <v>117</v>
      </c>
    </row>
    <row r="20" spans="1:9" x14ac:dyDescent="0.3">
      <c r="A20" s="4" t="s">
        <v>0</v>
      </c>
      <c r="B20" s="4" t="s">
        <v>121</v>
      </c>
      <c r="C20" s="4" t="s">
        <v>122</v>
      </c>
    </row>
    <row r="21" spans="1:9" x14ac:dyDescent="0.3">
      <c r="A21" s="8" t="s">
        <v>7</v>
      </c>
      <c r="B21" s="28">
        <v>0.35</v>
      </c>
      <c r="C21" s="28">
        <v>0.31</v>
      </c>
    </row>
    <row r="22" spans="1:9" x14ac:dyDescent="0.3">
      <c r="A22" s="5" t="s">
        <v>13</v>
      </c>
      <c r="B22" s="27">
        <v>0.39</v>
      </c>
      <c r="C22" s="27">
        <v>0.25</v>
      </c>
    </row>
    <row r="23" spans="1:9" x14ac:dyDescent="0.3">
      <c r="A23" s="8" t="s">
        <v>1</v>
      </c>
      <c r="B23" s="28">
        <v>0.42</v>
      </c>
      <c r="C23" s="28">
        <v>0.28000000000000003</v>
      </c>
    </row>
    <row r="24" spans="1:9" x14ac:dyDescent="0.3">
      <c r="A24" s="5" t="s">
        <v>12</v>
      </c>
      <c r="B24" s="27">
        <v>0.45</v>
      </c>
      <c r="C24" s="27">
        <v>0.34</v>
      </c>
      <c r="I24" t="s">
        <v>125</v>
      </c>
    </row>
    <row r="25" spans="1:9" x14ac:dyDescent="0.3">
      <c r="A25" s="8" t="s">
        <v>2</v>
      </c>
      <c r="B25" s="28">
        <v>0.47</v>
      </c>
      <c r="C25" s="28">
        <v>0.35</v>
      </c>
    </row>
    <row r="26" spans="1:9" x14ac:dyDescent="0.3">
      <c r="A26" s="13" t="s">
        <v>27</v>
      </c>
      <c r="B26" s="29">
        <v>0.47</v>
      </c>
      <c r="C26" s="29">
        <v>0.36</v>
      </c>
    </row>
    <row r="27" spans="1:9" x14ac:dyDescent="0.3">
      <c r="A27" s="5" t="s">
        <v>118</v>
      </c>
      <c r="B27" s="27">
        <v>0.49</v>
      </c>
      <c r="C27" s="27">
        <v>0.41</v>
      </c>
    </row>
    <row r="28" spans="1:9" x14ac:dyDescent="0.3">
      <c r="A28" s="5" t="s">
        <v>5</v>
      </c>
      <c r="B28" s="27">
        <v>0.5</v>
      </c>
      <c r="C28" s="27">
        <v>0.41</v>
      </c>
    </row>
    <row r="29" spans="1:9" x14ac:dyDescent="0.3">
      <c r="A29" s="8" t="s">
        <v>9</v>
      </c>
      <c r="B29" s="28">
        <v>0.51</v>
      </c>
      <c r="C29" s="28">
        <v>0.4</v>
      </c>
    </row>
    <row r="30" spans="1:9" x14ac:dyDescent="0.3">
      <c r="A30" s="5" t="s">
        <v>3</v>
      </c>
      <c r="B30" s="27">
        <v>0.51</v>
      </c>
      <c r="C30" s="27">
        <v>0.38</v>
      </c>
    </row>
    <row r="31" spans="1:9" x14ac:dyDescent="0.3">
      <c r="A31" s="5" t="s">
        <v>120</v>
      </c>
      <c r="B31" s="27">
        <v>0.52</v>
      </c>
      <c r="C31" s="27">
        <v>0.44</v>
      </c>
    </row>
    <row r="32" spans="1:9" x14ac:dyDescent="0.3">
      <c r="A32" s="8" t="s">
        <v>119</v>
      </c>
      <c r="B32" s="28">
        <v>0.54</v>
      </c>
      <c r="C32" s="28">
        <v>0.4</v>
      </c>
    </row>
    <row r="33" spans="1:3" x14ac:dyDescent="0.3">
      <c r="A33" s="8" t="s">
        <v>4</v>
      </c>
      <c r="B33" s="28">
        <v>0.62</v>
      </c>
      <c r="C33" s="28">
        <v>0.55000000000000004</v>
      </c>
    </row>
    <row r="34" spans="1:3" x14ac:dyDescent="0.3">
      <c r="A34" s="5" t="s">
        <v>6</v>
      </c>
      <c r="B34" s="27">
        <v>0.65</v>
      </c>
      <c r="C34" s="27">
        <v>0.56000000000000005</v>
      </c>
    </row>
  </sheetData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0"/>
  <sheetViews>
    <sheetView topLeftCell="C1" zoomScaleNormal="100" workbookViewId="0">
      <selection activeCell="I22" sqref="I22"/>
    </sheetView>
  </sheetViews>
  <sheetFormatPr baseColWidth="10" defaultColWidth="8.6640625" defaultRowHeight="14.4" x14ac:dyDescent="0.3"/>
  <cols>
    <col min="1" max="1" width="28" customWidth="1"/>
    <col min="2" max="2" width="19.109375" customWidth="1"/>
    <col min="3" max="3" width="21.21875" customWidth="1"/>
    <col min="4" max="4" width="19.33203125" customWidth="1"/>
    <col min="5" max="5" width="20.6640625" customWidth="1"/>
    <col min="6" max="6" width="22.77734375" customWidth="1"/>
    <col min="7" max="7" width="20.88671875" customWidth="1"/>
  </cols>
  <sheetData>
    <row r="1" spans="1:7" x14ac:dyDescent="0.3">
      <c r="A1" s="2" t="s">
        <v>28</v>
      </c>
    </row>
    <row r="2" spans="1:7" x14ac:dyDescent="0.3">
      <c r="A2" s="3" t="s">
        <v>29</v>
      </c>
    </row>
    <row r="3" spans="1:7" x14ac:dyDescent="0.3">
      <c r="A3" s="37" t="s">
        <v>0</v>
      </c>
      <c r="B3" s="38" t="s">
        <v>30</v>
      </c>
      <c r="C3" s="38" t="s">
        <v>31</v>
      </c>
      <c r="D3" s="38" t="s">
        <v>32</v>
      </c>
      <c r="E3" s="38" t="s">
        <v>33</v>
      </c>
      <c r="F3" s="38" t="s">
        <v>34</v>
      </c>
      <c r="G3" s="38" t="s">
        <v>35</v>
      </c>
    </row>
    <row r="4" spans="1:7" x14ac:dyDescent="0.3">
      <c r="A4" s="31" t="s">
        <v>13</v>
      </c>
      <c r="B4" s="7">
        <v>0.43</v>
      </c>
      <c r="C4" s="7">
        <v>0.4</v>
      </c>
      <c r="D4" s="7">
        <v>0.45</v>
      </c>
      <c r="E4" s="7">
        <v>0.56000000000000005</v>
      </c>
      <c r="F4" s="7">
        <v>0.67400000000000004</v>
      </c>
      <c r="G4" s="7">
        <v>0.49399999999999999</v>
      </c>
    </row>
    <row r="5" spans="1:7" x14ac:dyDescent="0.3">
      <c r="A5" s="32" t="s">
        <v>2</v>
      </c>
      <c r="B5" s="10">
        <v>0.52</v>
      </c>
      <c r="C5" s="10">
        <v>0.55000000000000004</v>
      </c>
      <c r="D5" s="10">
        <v>0.49399999999999999</v>
      </c>
      <c r="E5" s="10">
        <v>0.63700000000000001</v>
      </c>
      <c r="F5" s="10">
        <v>0.57699999999999996</v>
      </c>
      <c r="G5" s="10">
        <v>0.69599999999999995</v>
      </c>
    </row>
    <row r="6" spans="1:7" x14ac:dyDescent="0.3">
      <c r="A6" s="49" t="s">
        <v>123</v>
      </c>
      <c r="B6" s="46">
        <f>41.8773342670401/100</f>
        <v>0.41877334267040101</v>
      </c>
      <c r="C6" s="46">
        <f>39.8695999786097/100</f>
        <v>0.39869599978609699</v>
      </c>
      <c r="D6" s="46">
        <f>48.8435638435638/100</f>
        <v>0.48843563843563798</v>
      </c>
      <c r="E6" s="46">
        <f>64.1391285686532/100</f>
        <v>0.64139128568653203</v>
      </c>
      <c r="F6" s="46">
        <f>60.1026287064169/100</f>
        <v>0.60102628706416905</v>
      </c>
      <c r="G6" s="46">
        <f>75.5713603945171/100</f>
        <v>0.75571360394517095</v>
      </c>
    </row>
    <row r="7" spans="1:7" x14ac:dyDescent="0.3">
      <c r="A7" s="31" t="s">
        <v>3</v>
      </c>
      <c r="B7" s="7">
        <v>0.49299999999999999</v>
      </c>
      <c r="C7" s="7">
        <v>0.496</v>
      </c>
      <c r="D7" s="7">
        <v>0.48299999999999998</v>
      </c>
      <c r="E7" s="7">
        <v>0.66</v>
      </c>
      <c r="F7" s="7">
        <v>0.61599999999999999</v>
      </c>
      <c r="G7" s="7">
        <v>0.79600000000000004</v>
      </c>
    </row>
    <row r="8" spans="1:7" x14ac:dyDescent="0.3">
      <c r="A8" s="31" t="s">
        <v>12</v>
      </c>
      <c r="B8" s="47">
        <v>0.52700000000000002</v>
      </c>
      <c r="C8" s="47">
        <v>0.49199999999999999</v>
      </c>
      <c r="D8" s="47">
        <v>0.55000000000000004</v>
      </c>
      <c r="E8" s="47">
        <v>0.66400000000000003</v>
      </c>
      <c r="F8" s="47">
        <v>0.67800000000000005</v>
      </c>
      <c r="G8" s="47">
        <v>0.65500000000000003</v>
      </c>
    </row>
    <row r="9" spans="1:7" x14ac:dyDescent="0.3">
      <c r="A9" s="32" t="s">
        <v>7</v>
      </c>
      <c r="B9" s="10">
        <v>0.45300000000000001</v>
      </c>
      <c r="C9" s="10">
        <v>0.46300000000000002</v>
      </c>
      <c r="D9" s="10">
        <v>0.44</v>
      </c>
      <c r="E9" s="10">
        <v>0.66700000000000004</v>
      </c>
      <c r="F9" s="10">
        <v>0.621</v>
      </c>
      <c r="G9" s="10">
        <v>0.73</v>
      </c>
    </row>
    <row r="10" spans="1:7" x14ac:dyDescent="0.3">
      <c r="A10" s="49" t="s">
        <v>118</v>
      </c>
      <c r="B10" s="46">
        <f>47.9663852045708/100</f>
        <v>0.47966385204570799</v>
      </c>
      <c r="C10" s="46">
        <f>46.7872904179773/100</f>
        <v>0.46787290417977301</v>
      </c>
      <c r="D10" s="46">
        <f>49.0196990607293/100</f>
        <v>0.49019699060729299</v>
      </c>
      <c r="E10" s="46">
        <f>71.0617342571698/100</f>
        <v>0.71061734257169806</v>
      </c>
      <c r="F10" s="46">
        <f>58.7327855245497/100</f>
        <v>0.58732785524549702</v>
      </c>
      <c r="G10" s="46">
        <f>81.5739043359811/100</f>
        <v>0.81573904335981096</v>
      </c>
    </row>
    <row r="11" spans="1:7" x14ac:dyDescent="0.3">
      <c r="A11" s="48" t="s">
        <v>15</v>
      </c>
      <c r="B11" s="12">
        <v>0.48499999999999999</v>
      </c>
      <c r="C11" s="12">
        <v>0.48599999999999999</v>
      </c>
      <c r="D11" s="12">
        <v>0.48399999999999999</v>
      </c>
      <c r="E11" s="12">
        <v>0.72199999999999998</v>
      </c>
      <c r="F11" s="12">
        <v>0.65800000000000003</v>
      </c>
      <c r="G11" s="12">
        <v>0.78300000000000003</v>
      </c>
    </row>
    <row r="12" spans="1:7" x14ac:dyDescent="0.3">
      <c r="A12" s="32" t="s">
        <v>9</v>
      </c>
      <c r="B12" s="53">
        <v>0.496</v>
      </c>
      <c r="C12" s="53">
        <v>0.51600000000000001</v>
      </c>
      <c r="D12" s="53">
        <v>0.48499999999999999</v>
      </c>
      <c r="E12" s="53">
        <v>0.73799999999999999</v>
      </c>
      <c r="F12" s="53">
        <v>0.68600000000000005</v>
      </c>
      <c r="G12" s="53">
        <v>0.76700000000000002</v>
      </c>
    </row>
    <row r="13" spans="1:7" x14ac:dyDescent="0.3">
      <c r="A13" s="31" t="s">
        <v>6</v>
      </c>
      <c r="B13" s="7">
        <v>0.47299999999999998</v>
      </c>
      <c r="C13" s="7">
        <v>0.46800000000000003</v>
      </c>
      <c r="D13" s="7">
        <v>0.47499999999999998</v>
      </c>
      <c r="E13" s="7">
        <v>0.74199999999999999</v>
      </c>
      <c r="F13" s="7">
        <v>0.70299999999999996</v>
      </c>
      <c r="G13" s="7">
        <v>0.75800000000000001</v>
      </c>
    </row>
    <row r="14" spans="1:7" x14ac:dyDescent="0.3">
      <c r="A14" s="31" t="s">
        <v>5</v>
      </c>
      <c r="B14" s="7">
        <v>0.47199999999999998</v>
      </c>
      <c r="C14" s="7">
        <v>0.47699999999999998</v>
      </c>
      <c r="D14" s="7">
        <v>0.46800000000000003</v>
      </c>
      <c r="E14" s="7">
        <v>0.76600000000000001</v>
      </c>
      <c r="F14" s="7">
        <v>0.76100000000000001</v>
      </c>
      <c r="G14" s="7">
        <v>0.76900000000000002</v>
      </c>
    </row>
    <row r="15" spans="1:7" x14ac:dyDescent="0.3">
      <c r="A15" s="50" t="s">
        <v>119</v>
      </c>
      <c r="B15" s="10">
        <v>0.47399999999999998</v>
      </c>
      <c r="C15" s="10">
        <v>0.45200000000000001</v>
      </c>
      <c r="D15" s="10">
        <v>0.52200000000000002</v>
      </c>
      <c r="E15" s="10">
        <v>0.77200000000000002</v>
      </c>
      <c r="F15" s="10">
        <v>0.70099999999999996</v>
      </c>
      <c r="G15" s="10">
        <v>0.90200000000000002</v>
      </c>
    </row>
    <row r="16" spans="1:7" x14ac:dyDescent="0.3">
      <c r="A16" s="32" t="s">
        <v>4</v>
      </c>
      <c r="B16" s="10">
        <v>0.45</v>
      </c>
      <c r="C16" s="10">
        <v>0.39500000000000002</v>
      </c>
      <c r="D16" s="10">
        <v>0.47899999999999998</v>
      </c>
      <c r="E16" s="10">
        <v>0.80200000000000005</v>
      </c>
      <c r="F16" s="10">
        <v>0.78900000000000003</v>
      </c>
      <c r="G16" s="10">
        <v>0.80700000000000005</v>
      </c>
    </row>
    <row r="17" spans="1:10" x14ac:dyDescent="0.3">
      <c r="A17" s="51" t="s">
        <v>1</v>
      </c>
      <c r="B17" s="52">
        <v>0.49099999999999999</v>
      </c>
      <c r="C17" s="52">
        <v>0.48299999999999998</v>
      </c>
      <c r="D17" s="52">
        <v>0.495</v>
      </c>
      <c r="E17" s="52">
        <v>0.872</v>
      </c>
      <c r="F17" s="52">
        <v>0.79700000000000004</v>
      </c>
      <c r="G17" s="52">
        <v>0.90400000000000003</v>
      </c>
    </row>
    <row r="18" spans="1:10" x14ac:dyDescent="0.3">
      <c r="A18" s="13" t="s">
        <v>17</v>
      </c>
      <c r="B18" s="14">
        <v>0.499</v>
      </c>
      <c r="C18" s="14">
        <v>0.497</v>
      </c>
      <c r="D18" s="14">
        <v>0.502</v>
      </c>
      <c r="E18" s="14">
        <v>0.628</v>
      </c>
      <c r="F18" s="14">
        <v>0.55900000000000005</v>
      </c>
      <c r="G18" s="14">
        <v>0.70699999999999996</v>
      </c>
    </row>
    <row r="19" spans="1:10" x14ac:dyDescent="0.3">
      <c r="A19" s="13" t="s">
        <v>18</v>
      </c>
      <c r="B19" s="14">
        <v>0.51</v>
      </c>
      <c r="C19" s="14">
        <v>0.51600000000000001</v>
      </c>
      <c r="D19" s="14">
        <v>0.49199999999999999</v>
      </c>
      <c r="E19" s="14">
        <v>0.47399999999999998</v>
      </c>
      <c r="F19" s="14">
        <v>0.44500000000000001</v>
      </c>
      <c r="G19" s="14">
        <v>0.57599999999999996</v>
      </c>
      <c r="J19" t="s">
        <v>124</v>
      </c>
    </row>
    <row r="20" spans="1:10" x14ac:dyDescent="0.3">
      <c r="A20" s="15"/>
    </row>
  </sheetData>
  <pageMargins left="0.75" right="0.75" top="1" bottom="1" header="0.511811023622047" footer="0.511811023622047"/>
  <pageSetup paperSize="9" orientation="portrait" horizontalDpi="300" verticalDpi="300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43"/>
  <sheetViews>
    <sheetView topLeftCell="C1" zoomScaleNormal="100" workbookViewId="0">
      <selection activeCell="S23" sqref="S23"/>
    </sheetView>
  </sheetViews>
  <sheetFormatPr baseColWidth="10" defaultColWidth="8.6640625" defaultRowHeight="14.4" x14ac:dyDescent="0.3"/>
  <cols>
    <col min="1" max="1" width="28" customWidth="1"/>
    <col min="2" max="2" width="22.33203125" customWidth="1"/>
    <col min="3" max="3" width="34.21875" customWidth="1"/>
    <col min="4" max="4" width="46" customWidth="1"/>
  </cols>
  <sheetData>
    <row r="1" spans="1:20" x14ac:dyDescent="0.3">
      <c r="A1" s="2" t="s">
        <v>36</v>
      </c>
    </row>
    <row r="2" spans="1:20" x14ac:dyDescent="0.3">
      <c r="A2" s="3" t="s">
        <v>37</v>
      </c>
      <c r="H2" s="98" t="s">
        <v>127</v>
      </c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</row>
    <row r="3" spans="1:20" x14ac:dyDescent="0.3">
      <c r="A3" s="37" t="s">
        <v>0</v>
      </c>
      <c r="B3" s="38" t="s">
        <v>38</v>
      </c>
      <c r="C3" s="38" t="s">
        <v>39</v>
      </c>
      <c r="D3" s="38" t="s">
        <v>40</v>
      </c>
    </row>
    <row r="4" spans="1:20" x14ac:dyDescent="0.3">
      <c r="A4" s="31" t="s">
        <v>5</v>
      </c>
      <c r="B4" s="43">
        <v>3.4700000000000002E-2</v>
      </c>
      <c r="C4" s="43">
        <v>7.2099999999999997E-2</v>
      </c>
      <c r="D4" s="43">
        <v>0.21010000000000001</v>
      </c>
    </row>
    <row r="5" spans="1:20" x14ac:dyDescent="0.3">
      <c r="A5" s="31" t="s">
        <v>12</v>
      </c>
      <c r="B5" s="43">
        <v>4.9200000000000001E-2</v>
      </c>
      <c r="C5" s="43">
        <v>3.3599999999999998E-2</v>
      </c>
      <c r="D5" s="43">
        <v>0.21809999999999999</v>
      </c>
    </row>
    <row r="6" spans="1:20" x14ac:dyDescent="0.3">
      <c r="A6" s="32" t="s">
        <v>1</v>
      </c>
      <c r="B6" s="43">
        <v>1.12E-2</v>
      </c>
      <c r="C6" s="43">
        <v>2.2599999999999999E-2</v>
      </c>
      <c r="D6" s="43">
        <v>0.24490000000000001</v>
      </c>
    </row>
    <row r="7" spans="1:20" x14ac:dyDescent="0.3">
      <c r="A7" s="32" t="s">
        <v>4</v>
      </c>
      <c r="B7" s="43">
        <v>3.49E-2</v>
      </c>
      <c r="C7" s="43">
        <v>8.8099999999999998E-2</v>
      </c>
      <c r="D7" s="43">
        <v>0.25080000000000002</v>
      </c>
    </row>
    <row r="8" spans="1:20" x14ac:dyDescent="0.3">
      <c r="A8" s="32" t="s">
        <v>2</v>
      </c>
      <c r="B8" s="43">
        <v>9.2200000000000004E-2</v>
      </c>
      <c r="C8" s="43">
        <v>0.1061</v>
      </c>
      <c r="D8" s="43">
        <v>0.25219999999999998</v>
      </c>
    </row>
    <row r="9" spans="1:20" x14ac:dyDescent="0.3">
      <c r="A9" s="31" t="s">
        <v>9</v>
      </c>
      <c r="B9" s="43">
        <v>6.1999999999999998E-3</v>
      </c>
      <c r="C9" s="43">
        <v>0</v>
      </c>
      <c r="D9" s="43">
        <v>0.25290000000000001</v>
      </c>
    </row>
    <row r="10" spans="1:20" x14ac:dyDescent="0.3">
      <c r="A10" s="32" t="s">
        <v>10</v>
      </c>
      <c r="B10" s="43">
        <v>7.9200000000000007E-2</v>
      </c>
      <c r="C10" s="43">
        <v>0.1008</v>
      </c>
      <c r="D10" s="43">
        <v>0.25540000000000002</v>
      </c>
    </row>
    <row r="11" spans="1:20" x14ac:dyDescent="0.3">
      <c r="A11" s="31" t="s">
        <v>13</v>
      </c>
      <c r="B11" s="43">
        <v>0.1157</v>
      </c>
      <c r="C11" s="43">
        <v>0.113</v>
      </c>
      <c r="D11" s="43">
        <v>0.27300000000000002</v>
      </c>
    </row>
    <row r="12" spans="1:20" x14ac:dyDescent="0.3">
      <c r="A12" s="48" t="s">
        <v>15</v>
      </c>
      <c r="B12" s="43">
        <v>5.8700000000000002E-2</v>
      </c>
      <c r="C12" s="43">
        <v>8.1000000000000003E-2</v>
      </c>
      <c r="D12" s="43">
        <v>0.2732</v>
      </c>
    </row>
    <row r="13" spans="1:20" x14ac:dyDescent="0.3">
      <c r="A13" s="31" t="s">
        <v>6</v>
      </c>
      <c r="B13" s="43">
        <v>2.4299999999999999E-2</v>
      </c>
      <c r="C13" s="43">
        <v>1.9E-2</v>
      </c>
      <c r="D13" s="43">
        <v>0.2863</v>
      </c>
    </row>
    <row r="14" spans="1:20" x14ac:dyDescent="0.3">
      <c r="A14" s="31" t="s">
        <v>3</v>
      </c>
      <c r="B14" s="43">
        <v>8.4400000000000003E-2</v>
      </c>
      <c r="C14" s="43">
        <v>0.10580000000000001</v>
      </c>
      <c r="D14" s="43">
        <v>0.30740000000000001</v>
      </c>
    </row>
    <row r="15" spans="1:20" x14ac:dyDescent="0.3">
      <c r="A15" s="31" t="s">
        <v>8</v>
      </c>
      <c r="B15" s="43">
        <v>5.5300000000000002E-2</v>
      </c>
      <c r="C15" s="43">
        <v>0.15060000000000001</v>
      </c>
      <c r="D15" s="43">
        <v>0.31640000000000001</v>
      </c>
    </row>
    <row r="16" spans="1:20" x14ac:dyDescent="0.3">
      <c r="A16" s="32" t="s">
        <v>7</v>
      </c>
      <c r="B16" s="43">
        <v>9.9500000000000005E-2</v>
      </c>
      <c r="C16" s="43">
        <v>0.12839999999999999</v>
      </c>
      <c r="D16" s="43">
        <v>0.3261</v>
      </c>
    </row>
    <row r="17" spans="1:4" x14ac:dyDescent="0.3">
      <c r="A17" s="32" t="s">
        <v>11</v>
      </c>
      <c r="B17" s="43">
        <v>5.6800000000000003E-2</v>
      </c>
      <c r="C17" s="43">
        <v>8.48E-2</v>
      </c>
      <c r="D17" s="43">
        <v>0.34520000000000001</v>
      </c>
    </row>
    <row r="18" spans="1:4" x14ac:dyDescent="0.3">
      <c r="A18" s="13" t="s">
        <v>17</v>
      </c>
      <c r="B18" s="43">
        <v>6.6400000000000001E-2</v>
      </c>
      <c r="C18" s="43">
        <v>0.1032</v>
      </c>
      <c r="D18" s="43">
        <v>0.25480000000000003</v>
      </c>
    </row>
    <row r="19" spans="1:4" x14ac:dyDescent="0.3">
      <c r="A19" s="13" t="s">
        <v>18</v>
      </c>
      <c r="B19" s="43">
        <v>7.4099999999999999E-2</v>
      </c>
      <c r="C19" s="43">
        <v>0.1053</v>
      </c>
      <c r="D19" s="43">
        <v>0.24560000000000001</v>
      </c>
    </row>
    <row r="20" spans="1:4" x14ac:dyDescent="0.3">
      <c r="A20" s="15"/>
    </row>
    <row r="23" spans="1:4" x14ac:dyDescent="0.3">
      <c r="A23" s="37" t="s">
        <v>0</v>
      </c>
      <c r="B23" s="38" t="s">
        <v>38</v>
      </c>
      <c r="C23" s="38" t="s">
        <v>39</v>
      </c>
    </row>
    <row r="24" spans="1:4" x14ac:dyDescent="0.3">
      <c r="A24" s="31" t="s">
        <v>9</v>
      </c>
      <c r="B24" s="43">
        <v>6.1999999999999998E-3</v>
      </c>
      <c r="C24" s="43">
        <v>0</v>
      </c>
    </row>
    <row r="25" spans="1:4" x14ac:dyDescent="0.3">
      <c r="A25" s="31" t="s">
        <v>6</v>
      </c>
      <c r="B25" s="43">
        <v>2.4299999999999999E-2</v>
      </c>
      <c r="C25" s="43">
        <v>1.9E-2</v>
      </c>
    </row>
    <row r="26" spans="1:4" x14ac:dyDescent="0.3">
      <c r="A26" s="32" t="s">
        <v>1</v>
      </c>
      <c r="B26" s="43">
        <v>1.12E-2</v>
      </c>
      <c r="C26" s="43">
        <v>2.2599999999999999E-2</v>
      </c>
    </row>
    <row r="27" spans="1:4" x14ac:dyDescent="0.3">
      <c r="A27" s="31" t="s">
        <v>12</v>
      </c>
      <c r="B27" s="43">
        <v>4.9200000000000001E-2</v>
      </c>
      <c r="C27" s="43">
        <v>3.3599999999999998E-2</v>
      </c>
    </row>
    <row r="28" spans="1:4" x14ac:dyDescent="0.3">
      <c r="A28" s="31" t="s">
        <v>5</v>
      </c>
      <c r="B28" s="43">
        <v>3.4700000000000002E-2</v>
      </c>
      <c r="C28" s="43">
        <v>7.2099999999999997E-2</v>
      </c>
    </row>
    <row r="29" spans="1:4" x14ac:dyDescent="0.3">
      <c r="A29" s="48" t="s">
        <v>15</v>
      </c>
      <c r="B29" s="43">
        <v>5.8700000000000002E-2</v>
      </c>
      <c r="C29" s="43">
        <v>8.1000000000000003E-2</v>
      </c>
    </row>
    <row r="30" spans="1:4" x14ac:dyDescent="0.3">
      <c r="A30" s="50" t="s">
        <v>119</v>
      </c>
      <c r="B30" s="43">
        <v>5.6800000000000003E-2</v>
      </c>
      <c r="C30" s="43">
        <v>8.48E-2</v>
      </c>
    </row>
    <row r="31" spans="1:4" x14ac:dyDescent="0.3">
      <c r="A31" s="32" t="s">
        <v>4</v>
      </c>
      <c r="B31" s="43">
        <v>3.49E-2</v>
      </c>
      <c r="C31" s="43">
        <v>8.8099999999999998E-2</v>
      </c>
    </row>
    <row r="32" spans="1:4" x14ac:dyDescent="0.3">
      <c r="A32" s="50" t="s">
        <v>123</v>
      </c>
      <c r="B32" s="43">
        <v>7.9200000000000007E-2</v>
      </c>
      <c r="C32" s="43">
        <v>0.1008</v>
      </c>
    </row>
    <row r="33" spans="1:4" x14ac:dyDescent="0.3">
      <c r="A33" s="31" t="s">
        <v>3</v>
      </c>
      <c r="B33" s="43">
        <v>8.4400000000000003E-2</v>
      </c>
      <c r="C33" s="43">
        <v>0.10580000000000001</v>
      </c>
    </row>
    <row r="34" spans="1:4" x14ac:dyDescent="0.3">
      <c r="A34" s="32" t="s">
        <v>2</v>
      </c>
      <c r="B34" s="43">
        <v>9.2200000000000004E-2</v>
      </c>
      <c r="C34" s="43">
        <v>0.1061</v>
      </c>
    </row>
    <row r="35" spans="1:4" x14ac:dyDescent="0.3">
      <c r="A35" s="31" t="s">
        <v>13</v>
      </c>
      <c r="B35" s="43">
        <v>0.1157</v>
      </c>
      <c r="C35" s="43">
        <v>0.113</v>
      </c>
    </row>
    <row r="36" spans="1:4" x14ac:dyDescent="0.3">
      <c r="A36" s="32" t="s">
        <v>7</v>
      </c>
      <c r="B36" s="43">
        <v>9.9500000000000005E-2</v>
      </c>
      <c r="C36" s="43">
        <v>0.12839999999999999</v>
      </c>
    </row>
    <row r="37" spans="1:4" x14ac:dyDescent="0.3">
      <c r="A37" s="49" t="s">
        <v>118</v>
      </c>
      <c r="B37" s="43">
        <v>5.5300000000000002E-2</v>
      </c>
      <c r="C37" s="43">
        <v>0.15060000000000001</v>
      </c>
    </row>
    <row r="38" spans="1:4" x14ac:dyDescent="0.3">
      <c r="A38" s="13" t="s">
        <v>17</v>
      </c>
      <c r="B38" s="43">
        <v>6.6400000000000001E-2</v>
      </c>
      <c r="C38" s="43">
        <v>0.1032</v>
      </c>
    </row>
    <row r="39" spans="1:4" x14ac:dyDescent="0.3">
      <c r="A39" s="13" t="s">
        <v>18</v>
      </c>
      <c r="B39" s="43">
        <v>7.4099999999999999E-2</v>
      </c>
      <c r="C39" s="43">
        <v>0.1053</v>
      </c>
    </row>
    <row r="43" spans="1:4" x14ac:dyDescent="0.3">
      <c r="D43" t="s">
        <v>126</v>
      </c>
    </row>
  </sheetData>
  <mergeCells count="1">
    <mergeCell ref="H2:T2"/>
  </mergeCells>
  <pageMargins left="0.75" right="0.75" top="1" bottom="1" header="0.511811023622047" footer="0.511811023622047"/>
  <pageSetup paperSize="9" orientation="portrait" horizontalDpi="300" verticalDpi="300"/>
  <drawing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37"/>
  <sheetViews>
    <sheetView zoomScale="85" zoomScaleNormal="85" workbookViewId="0">
      <selection activeCell="G25" sqref="G25"/>
    </sheetView>
  </sheetViews>
  <sheetFormatPr baseColWidth="10" defaultColWidth="8.6640625" defaultRowHeight="14.4" x14ac:dyDescent="0.3"/>
  <cols>
    <col min="1" max="1" width="28" customWidth="1"/>
    <col min="2" max="2" width="39.33203125" customWidth="1"/>
    <col min="3" max="5" width="18" customWidth="1"/>
    <col min="6" max="6" width="36.44140625" customWidth="1"/>
    <col min="7" max="7" width="28" customWidth="1"/>
  </cols>
  <sheetData>
    <row r="1" spans="1:21" x14ac:dyDescent="0.3">
      <c r="A1" s="2" t="s">
        <v>41</v>
      </c>
    </row>
    <row r="2" spans="1:21" x14ac:dyDescent="0.3">
      <c r="A2" s="54" t="s">
        <v>129</v>
      </c>
      <c r="I2" s="98" t="s">
        <v>130</v>
      </c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</row>
    <row r="3" spans="1:21" x14ac:dyDescent="0.3">
      <c r="A3" s="37" t="s">
        <v>0</v>
      </c>
      <c r="B3" s="38" t="s">
        <v>42</v>
      </c>
      <c r="C3" s="38" t="s">
        <v>43</v>
      </c>
      <c r="D3" s="38" t="s">
        <v>44</v>
      </c>
      <c r="E3" s="38" t="s">
        <v>45</v>
      </c>
      <c r="F3" s="38" t="s">
        <v>128</v>
      </c>
      <c r="G3" s="39" t="s">
        <v>46</v>
      </c>
    </row>
    <row r="4" spans="1:21" x14ac:dyDescent="0.3">
      <c r="A4" s="31" t="s">
        <v>6</v>
      </c>
      <c r="B4" s="21">
        <v>198.68027565362999</v>
      </c>
      <c r="C4" s="21">
        <v>49.382438620629998</v>
      </c>
      <c r="D4" s="21">
        <v>9.4645066625999998</v>
      </c>
      <c r="E4" s="21">
        <v>139.83333037040001</v>
      </c>
      <c r="F4" s="128">
        <f>B4/$B$17</f>
        <v>5.2357858369125328E-2</v>
      </c>
      <c r="G4" s="95">
        <v>8.9999999999999998E-4</v>
      </c>
    </row>
    <row r="5" spans="1:21" x14ac:dyDescent="0.3">
      <c r="A5" s="32" t="s">
        <v>2</v>
      </c>
      <c r="B5" s="20">
        <v>480.32249726159</v>
      </c>
      <c r="C5" s="20">
        <v>233.21346831041001</v>
      </c>
      <c r="D5" s="20">
        <v>13.64365880525</v>
      </c>
      <c r="E5" s="20">
        <v>233.46537014593</v>
      </c>
      <c r="F5" s="128">
        <f>B5/$B$17</f>
        <v>0.12657853025616858</v>
      </c>
      <c r="G5" s="96">
        <v>2.0999999999999999E-3</v>
      </c>
    </row>
    <row r="6" spans="1:21" x14ac:dyDescent="0.3">
      <c r="A6" s="31" t="s">
        <v>5</v>
      </c>
      <c r="B6" s="20">
        <v>160.17951188322999</v>
      </c>
      <c r="C6" s="20">
        <v>48.68008217114</v>
      </c>
      <c r="D6" s="20">
        <v>6.4222229071700001</v>
      </c>
      <c r="E6" s="20">
        <v>105.07720680492</v>
      </c>
      <c r="F6" s="128">
        <f t="shared" ref="F4:F16" si="0">B6/$B$17</f>
        <v>4.2211820822307962E-2</v>
      </c>
      <c r="G6" s="95">
        <v>6.9999999999999999E-4</v>
      </c>
    </row>
    <row r="7" spans="1:21" x14ac:dyDescent="0.3">
      <c r="A7" s="31" t="s">
        <v>9</v>
      </c>
      <c r="B7" s="20">
        <v>131.93928778662001</v>
      </c>
      <c r="C7" s="20">
        <v>23.449832128360001</v>
      </c>
      <c r="D7" s="20">
        <v>6.4592882966899996</v>
      </c>
      <c r="E7" s="20">
        <v>102.03016736156999</v>
      </c>
      <c r="F7" s="128">
        <f t="shared" si="0"/>
        <v>3.4769724979133346E-2</v>
      </c>
      <c r="G7" s="95">
        <v>5.9999999999999995E-4</v>
      </c>
    </row>
    <row r="8" spans="1:21" x14ac:dyDescent="0.3">
      <c r="A8" s="32" t="s">
        <v>10</v>
      </c>
      <c r="B8" s="21">
        <v>99.824214145219997</v>
      </c>
      <c r="C8" s="21">
        <v>32.198256314070001</v>
      </c>
      <c r="D8" s="21">
        <v>4.5815700425600001</v>
      </c>
      <c r="E8" s="21">
        <v>63.044387788590001</v>
      </c>
      <c r="F8" s="128">
        <f t="shared" si="0"/>
        <v>2.6306496952603627E-2</v>
      </c>
      <c r="G8" s="96">
        <v>4.0000000000000002E-4</v>
      </c>
    </row>
    <row r="9" spans="1:21" x14ac:dyDescent="0.3">
      <c r="A9" s="32" t="s">
        <v>7</v>
      </c>
      <c r="B9" s="21">
        <v>597.53052899803004</v>
      </c>
      <c r="C9" s="21">
        <v>71.166436774689998</v>
      </c>
      <c r="D9" s="21">
        <v>25.032276040300001</v>
      </c>
      <c r="E9" s="21">
        <v>501.33181618304002</v>
      </c>
      <c r="F9" s="128">
        <f t="shared" si="0"/>
        <v>0.15746615362588356</v>
      </c>
      <c r="G9" s="96">
        <v>2.5999999999999999E-3</v>
      </c>
    </row>
    <row r="10" spans="1:21" x14ac:dyDescent="0.3">
      <c r="A10" s="31" t="s">
        <v>13</v>
      </c>
      <c r="B10" s="20">
        <v>107.79047346384</v>
      </c>
      <c r="C10" s="20">
        <v>17.61324674087</v>
      </c>
      <c r="D10" s="20">
        <v>5.2119124674000004</v>
      </c>
      <c r="E10" s="20">
        <v>84.965314255569993</v>
      </c>
      <c r="F10" s="128">
        <f t="shared" si="0"/>
        <v>2.8405831049880488E-2</v>
      </c>
      <c r="G10" s="95">
        <v>5.0000000000000001E-4</v>
      </c>
    </row>
    <row r="11" spans="1:21" x14ac:dyDescent="0.3">
      <c r="A11" s="32" t="s">
        <v>1</v>
      </c>
      <c r="B11" s="21">
        <v>422.43801150732003</v>
      </c>
      <c r="C11" s="21">
        <v>89.725644432630006</v>
      </c>
      <c r="D11" s="21">
        <v>20.66504206286</v>
      </c>
      <c r="E11" s="21">
        <v>312.04732501183003</v>
      </c>
      <c r="F11" s="128">
        <f t="shared" si="0"/>
        <v>0.11132433505777196</v>
      </c>
      <c r="G11" s="96">
        <v>1.8E-3</v>
      </c>
    </row>
    <row r="12" spans="1:21" x14ac:dyDescent="0.3">
      <c r="A12" s="31" t="s">
        <v>8</v>
      </c>
      <c r="B12" s="21">
        <v>123.78092397218001</v>
      </c>
      <c r="C12" s="21">
        <v>29.871734627679999</v>
      </c>
      <c r="D12" s="21">
        <v>5.8734038642800002</v>
      </c>
      <c r="E12" s="21">
        <v>88.035785480219999</v>
      </c>
      <c r="F12" s="128">
        <f t="shared" si="0"/>
        <v>3.2619765927008174E-2</v>
      </c>
      <c r="G12" s="95">
        <v>5.0000000000000001E-4</v>
      </c>
    </row>
    <row r="13" spans="1:21" x14ac:dyDescent="0.3">
      <c r="A13" s="32" t="s">
        <v>11</v>
      </c>
      <c r="B13" s="20">
        <v>63.706096193320001</v>
      </c>
      <c r="C13" s="20">
        <v>9.5873331869699996</v>
      </c>
      <c r="D13" s="20">
        <v>3.0286007647200002</v>
      </c>
      <c r="E13" s="20">
        <v>51.090162241629997</v>
      </c>
      <c r="F13" s="128">
        <f t="shared" si="0"/>
        <v>1.6788353804957998E-2</v>
      </c>
      <c r="G13" s="96">
        <v>2.9999999999999997E-4</v>
      </c>
    </row>
    <row r="14" spans="1:21" x14ac:dyDescent="0.3">
      <c r="A14" s="31" t="s">
        <v>12</v>
      </c>
      <c r="B14" s="21">
        <v>134.75504394686001</v>
      </c>
      <c r="C14" s="21">
        <v>26.204609308950001</v>
      </c>
      <c r="D14" s="21">
        <v>6.0215620937300001</v>
      </c>
      <c r="E14" s="21">
        <v>102.52887254418</v>
      </c>
      <c r="F14" s="128">
        <f t="shared" si="0"/>
        <v>3.5511756173497382E-2</v>
      </c>
      <c r="G14" s="95">
        <v>5.9999999999999995E-4</v>
      </c>
    </row>
    <row r="15" spans="1:21" x14ac:dyDescent="0.3">
      <c r="A15" s="32" t="s">
        <v>4</v>
      </c>
      <c r="B15" s="20">
        <v>230.71781121235</v>
      </c>
      <c r="C15" s="20">
        <v>32.277274416570002</v>
      </c>
      <c r="D15" s="20">
        <v>10.963061751730001</v>
      </c>
      <c r="E15" s="20">
        <v>187.47747504405001</v>
      </c>
      <c r="F15" s="128">
        <f t="shared" si="0"/>
        <v>6.0800652923143413E-2</v>
      </c>
      <c r="G15" s="96">
        <v>1E-3</v>
      </c>
    </row>
    <row r="16" spans="1:21" x14ac:dyDescent="0.3">
      <c r="A16" s="31" t="s">
        <v>3</v>
      </c>
      <c r="B16" s="160">
        <v>1042.9954159322999</v>
      </c>
      <c r="C16" s="160">
        <v>153.94680302399999</v>
      </c>
      <c r="D16" s="160">
        <v>237.53163615841001</v>
      </c>
      <c r="E16" s="160">
        <v>651.51697674988998</v>
      </c>
      <c r="F16" s="128">
        <f t="shared" si="0"/>
        <v>0.27485872005851825</v>
      </c>
      <c r="G16" s="95">
        <v>4.4999999999999997E-3</v>
      </c>
    </row>
    <row r="17" spans="1:7" x14ac:dyDescent="0.3">
      <c r="A17" s="11" t="s">
        <v>16</v>
      </c>
      <c r="B17" s="22">
        <v>3794.6600919564899</v>
      </c>
      <c r="C17" s="22">
        <v>817.31716005697001</v>
      </c>
      <c r="D17" s="22">
        <v>354.89874191770002</v>
      </c>
      <c r="E17" s="22">
        <v>2622.4441899818198</v>
      </c>
      <c r="F17" s="128">
        <f t="shared" ref="F17" si="1">B17/$B$17</f>
        <v>1</v>
      </c>
      <c r="G17" s="18">
        <v>1.6400000000000001E-2</v>
      </c>
    </row>
    <row r="18" spans="1:7" x14ac:dyDescent="0.3">
      <c r="A18" s="13" t="s">
        <v>17</v>
      </c>
      <c r="B18" s="23">
        <v>8021.9157098702599</v>
      </c>
      <c r="C18" s="23">
        <v>2001.5164744572301</v>
      </c>
      <c r="D18" s="23">
        <v>1743.0229206700999</v>
      </c>
      <c r="E18" s="23">
        <v>4277.3763147429299</v>
      </c>
      <c r="F18" s="23"/>
      <c r="G18" s="19">
        <v>3.4799999999999998E-2</v>
      </c>
    </row>
    <row r="19" spans="1:7" x14ac:dyDescent="0.3">
      <c r="A19" s="13" t="s">
        <v>18</v>
      </c>
      <c r="B19" s="23">
        <v>230523.974937911</v>
      </c>
      <c r="C19" s="23">
        <v>29595.386052382801</v>
      </c>
      <c r="D19" s="23">
        <v>41850.427952053797</v>
      </c>
      <c r="E19" s="23">
        <v>159078.16093347501</v>
      </c>
      <c r="F19" s="23"/>
      <c r="G19" s="19">
        <v>1</v>
      </c>
    </row>
    <row r="20" spans="1:7" x14ac:dyDescent="0.3">
      <c r="A20" s="15" t="s">
        <v>47</v>
      </c>
    </row>
    <row r="23" spans="1:7" x14ac:dyDescent="0.3">
      <c r="A23" s="30" t="s">
        <v>0</v>
      </c>
      <c r="B23" t="s">
        <v>128</v>
      </c>
    </row>
    <row r="24" spans="1:7" x14ac:dyDescent="0.3">
      <c r="A24" s="32" t="s">
        <v>11</v>
      </c>
      <c r="B24" s="1">
        <v>1.6757904795755754E-2</v>
      </c>
    </row>
    <row r="25" spans="1:7" x14ac:dyDescent="0.3">
      <c r="A25" s="32" t="s">
        <v>10</v>
      </c>
      <c r="B25" s="1">
        <v>2.6229384018808942E-2</v>
      </c>
    </row>
    <row r="26" spans="1:7" x14ac:dyDescent="0.3">
      <c r="A26" s="31" t="s">
        <v>13</v>
      </c>
      <c r="B26" s="1">
        <v>2.8353256166949753E-2</v>
      </c>
    </row>
    <row r="27" spans="1:7" x14ac:dyDescent="0.3">
      <c r="A27" s="31" t="s">
        <v>8</v>
      </c>
      <c r="B27" s="1">
        <v>3.2542732365888692E-2</v>
      </c>
    </row>
    <row r="28" spans="1:7" x14ac:dyDescent="0.3">
      <c r="A28" s="31" t="s">
        <v>9</v>
      </c>
      <c r="B28" s="1">
        <v>3.4701565372435114E-2</v>
      </c>
    </row>
    <row r="29" spans="1:7" x14ac:dyDescent="0.3">
      <c r="A29" s="31" t="s">
        <v>12</v>
      </c>
      <c r="B29" s="1">
        <v>3.5432829994085792E-2</v>
      </c>
    </row>
    <row r="30" spans="1:7" x14ac:dyDescent="0.3">
      <c r="A30" s="31" t="s">
        <v>5</v>
      </c>
      <c r="B30" s="1">
        <v>4.2078306496018798E-2</v>
      </c>
    </row>
    <row r="31" spans="1:7" x14ac:dyDescent="0.3">
      <c r="A31" s="31" t="s">
        <v>6</v>
      </c>
      <c r="B31" s="1">
        <v>5.2231522457981419E-2</v>
      </c>
    </row>
    <row r="32" spans="1:7" x14ac:dyDescent="0.3">
      <c r="A32" s="32" t="s">
        <v>4</v>
      </c>
      <c r="B32" s="1">
        <v>6.0694963597006192E-2</v>
      </c>
    </row>
    <row r="33" spans="1:2" x14ac:dyDescent="0.3">
      <c r="A33" s="32" t="s">
        <v>1</v>
      </c>
      <c r="B33" s="1">
        <v>0.11108521417895882</v>
      </c>
    </row>
    <row r="34" spans="1:2" x14ac:dyDescent="0.3">
      <c r="A34" s="32" t="s">
        <v>2</v>
      </c>
      <c r="B34" s="1">
        <v>0.12596688624028016</v>
      </c>
    </row>
    <row r="35" spans="1:2" x14ac:dyDescent="0.3">
      <c r="A35" s="32" t="s">
        <v>7</v>
      </c>
      <c r="B35" s="1">
        <v>0.15716653896242</v>
      </c>
    </row>
    <row r="36" spans="1:2" x14ac:dyDescent="0.3">
      <c r="A36" s="31" t="s">
        <v>3</v>
      </c>
      <c r="B36" s="1">
        <v>0.27675889535341058</v>
      </c>
    </row>
    <row r="37" spans="1:2" x14ac:dyDescent="0.3">
      <c r="A37" s="44" t="s">
        <v>16</v>
      </c>
      <c r="B37" s="1">
        <v>1</v>
      </c>
    </row>
  </sheetData>
  <mergeCells count="1">
    <mergeCell ref="I2:U2"/>
  </mergeCells>
  <pageMargins left="0.75" right="0.75" top="1" bottom="1" header="0.511811023622047" footer="0.511811023622047"/>
  <pageSetup paperSize="9" orientation="portrait" horizontalDpi="300" verticalDpi="300" r:id="rId1"/>
  <drawing r:id="rId2"/>
  <tableParts count="2"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0"/>
  <sheetViews>
    <sheetView zoomScale="85" zoomScaleNormal="85" workbookViewId="0">
      <selection activeCell="G10" sqref="G10"/>
    </sheetView>
  </sheetViews>
  <sheetFormatPr baseColWidth="10" defaultColWidth="8.6640625" defaultRowHeight="14.4" x14ac:dyDescent="0.3"/>
  <cols>
    <col min="1" max="1" width="28" customWidth="1"/>
    <col min="2" max="4" width="16" customWidth="1"/>
  </cols>
  <sheetData>
    <row r="1" spans="1:5" x14ac:dyDescent="0.3">
      <c r="A1" s="2" t="s">
        <v>48</v>
      </c>
    </row>
    <row r="2" spans="1:5" x14ac:dyDescent="0.3">
      <c r="A2" s="3" t="s">
        <v>49</v>
      </c>
    </row>
    <row r="3" spans="1:5" ht="36" x14ac:dyDescent="0.3">
      <c r="A3" s="37" t="s">
        <v>0</v>
      </c>
      <c r="B3" s="38" t="s">
        <v>155</v>
      </c>
      <c r="C3" s="38" t="s">
        <v>156</v>
      </c>
      <c r="D3" s="39" t="s">
        <v>157</v>
      </c>
      <c r="E3" s="97" t="s">
        <v>42</v>
      </c>
    </row>
    <row r="4" spans="1:5" x14ac:dyDescent="0.3">
      <c r="A4" s="32" t="s">
        <v>11</v>
      </c>
      <c r="B4" s="156">
        <v>0.15049318291104599</v>
      </c>
      <c r="C4" s="156">
        <v>4.7540203303770602E-2</v>
      </c>
      <c r="D4" s="157">
        <v>0.80196661378518297</v>
      </c>
      <c r="E4" s="21">
        <v>57.52</v>
      </c>
    </row>
    <row r="5" spans="1:5" x14ac:dyDescent="0.3">
      <c r="A5" s="32" t="s">
        <v>10</v>
      </c>
      <c r="B5" s="156">
        <v>0.32254955964120402</v>
      </c>
      <c r="C5" s="156">
        <v>4.5896379769090202E-2</v>
      </c>
      <c r="D5" s="157">
        <v>0.63155406058970598</v>
      </c>
      <c r="E5" s="21">
        <v>90.03</v>
      </c>
    </row>
    <row r="6" spans="1:5" x14ac:dyDescent="0.3">
      <c r="A6" s="31" t="s">
        <v>13</v>
      </c>
      <c r="B6" s="156">
        <v>0.163402628960329</v>
      </c>
      <c r="C6" s="156">
        <v>4.8352255073343002E-2</v>
      </c>
      <c r="D6" s="157">
        <v>0.78824511596632796</v>
      </c>
      <c r="E6" s="20">
        <v>97.32</v>
      </c>
    </row>
    <row r="7" spans="1:5" x14ac:dyDescent="0.3">
      <c r="A7" s="31" t="s">
        <v>8</v>
      </c>
      <c r="B7" s="156">
        <v>0.24132744908572301</v>
      </c>
      <c r="C7" s="156">
        <v>4.7449992097328801E-2</v>
      </c>
      <c r="D7" s="157">
        <v>0.71122255881694796</v>
      </c>
      <c r="E7" s="20">
        <v>111.7</v>
      </c>
    </row>
    <row r="8" spans="1:5" x14ac:dyDescent="0.3">
      <c r="A8" s="31" t="s">
        <v>9</v>
      </c>
      <c r="B8" s="156">
        <v>0.17773198962756601</v>
      </c>
      <c r="C8" s="156">
        <v>4.8956519358633703E-2</v>
      </c>
      <c r="D8" s="157">
        <v>0.77331149101380003</v>
      </c>
      <c r="E8" s="20">
        <v>119.11</v>
      </c>
    </row>
    <row r="9" spans="1:5" x14ac:dyDescent="0.3">
      <c r="A9" s="31" t="s">
        <v>12</v>
      </c>
      <c r="B9" s="156">
        <v>0.194461064620955</v>
      </c>
      <c r="C9" s="156">
        <v>4.4685244554590303E-2</v>
      </c>
      <c r="D9" s="157">
        <v>0.76085369082445398</v>
      </c>
      <c r="E9" s="20">
        <v>121.62</v>
      </c>
    </row>
    <row r="10" spans="1:5" x14ac:dyDescent="0.3">
      <c r="A10" s="31" t="s">
        <v>5</v>
      </c>
      <c r="B10" s="156">
        <v>0.30390954248023599</v>
      </c>
      <c r="C10" s="156">
        <v>4.0093909836932E-2</v>
      </c>
      <c r="D10" s="157">
        <v>0.655996547682832</v>
      </c>
      <c r="E10" s="20">
        <v>144.43</v>
      </c>
    </row>
    <row r="11" spans="1:5" x14ac:dyDescent="0.3">
      <c r="A11" s="31" t="s">
        <v>6</v>
      </c>
      <c r="B11" s="156">
        <v>0.24855229568294501</v>
      </c>
      <c r="C11" s="156">
        <v>4.7636871005252601E-2</v>
      </c>
      <c r="D11" s="157">
        <v>0.70381083331180305</v>
      </c>
      <c r="E11" s="20">
        <v>179.28</v>
      </c>
    </row>
    <row r="12" spans="1:5" x14ac:dyDescent="0.3">
      <c r="A12" s="32" t="s">
        <v>4</v>
      </c>
      <c r="B12" s="156">
        <v>0.13989936124551</v>
      </c>
      <c r="C12" s="156">
        <v>4.7517188612888298E-2</v>
      </c>
      <c r="D12" s="157">
        <v>0.81258345014160105</v>
      </c>
      <c r="E12" s="21">
        <v>208.33</v>
      </c>
    </row>
    <row r="13" spans="1:5" x14ac:dyDescent="0.3">
      <c r="A13" s="32" t="s">
        <v>1</v>
      </c>
      <c r="B13" s="156">
        <v>0.212399552096356</v>
      </c>
      <c r="C13" s="156">
        <v>4.8918519403886397E-2</v>
      </c>
      <c r="D13" s="157">
        <v>0.738681928499758</v>
      </c>
      <c r="E13" s="21">
        <v>381.29</v>
      </c>
    </row>
    <row r="14" spans="1:5" x14ac:dyDescent="0.3">
      <c r="A14" s="32" t="s">
        <v>2</v>
      </c>
      <c r="B14" s="156">
        <v>0.48553517613687602</v>
      </c>
      <c r="C14" s="156">
        <v>2.8405204592820699E-2</v>
      </c>
      <c r="D14" s="157">
        <v>0.486059619270304</v>
      </c>
      <c r="E14" s="21">
        <v>432.37</v>
      </c>
    </row>
    <row r="15" spans="1:5" x14ac:dyDescent="0.3">
      <c r="A15" s="32" t="s">
        <v>7</v>
      </c>
      <c r="B15" s="156">
        <v>0.11910092174541401</v>
      </c>
      <c r="C15" s="156">
        <v>4.1892882163318802E-2</v>
      </c>
      <c r="D15" s="157">
        <v>0.83900619609126803</v>
      </c>
      <c r="E15" s="21">
        <v>539.46</v>
      </c>
    </row>
    <row r="16" spans="1:5" x14ac:dyDescent="0.3">
      <c r="A16" s="40" t="s">
        <v>3</v>
      </c>
      <c r="B16" s="158">
        <v>0.147600651615896</v>
      </c>
      <c r="C16" s="158">
        <v>0.22773986589968701</v>
      </c>
      <c r="D16" s="159">
        <v>0.62465948248441705</v>
      </c>
      <c r="E16" s="20">
        <v>949.95</v>
      </c>
    </row>
    <row r="17" spans="1:4" x14ac:dyDescent="0.3">
      <c r="A17" s="44" t="s">
        <v>16</v>
      </c>
      <c r="B17" s="156">
        <v>0.21538613215698299</v>
      </c>
      <c r="C17" s="156">
        <v>9.3525831910472298E-2</v>
      </c>
      <c r="D17" s="156">
        <v>0.69108803593254498</v>
      </c>
    </row>
    <row r="18" spans="1:4" x14ac:dyDescent="0.3">
      <c r="A18" s="13" t="s">
        <v>17</v>
      </c>
      <c r="B18" s="156">
        <v>0.24950604654129499</v>
      </c>
      <c r="C18" s="156">
        <v>0.21728262720654901</v>
      </c>
      <c r="D18" s="156">
        <v>0.53321132625215695</v>
      </c>
    </row>
    <row r="19" spans="1:4" x14ac:dyDescent="0.3">
      <c r="A19" s="13" t="s">
        <v>18</v>
      </c>
      <c r="B19" s="156">
        <v>0.128383115293556</v>
      </c>
      <c r="C19" s="156">
        <v>0.181544795778078</v>
      </c>
      <c r="D19" s="156">
        <v>0.69007208892836602</v>
      </c>
    </row>
    <row r="20" spans="1:4" x14ac:dyDescent="0.3">
      <c r="A20" s="15" t="s">
        <v>50</v>
      </c>
    </row>
  </sheetData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9"/>
  <sheetViews>
    <sheetView zoomScaleNormal="100" workbookViewId="0">
      <selection activeCell="A2" sqref="A2"/>
    </sheetView>
  </sheetViews>
  <sheetFormatPr baseColWidth="10" defaultColWidth="8.6640625" defaultRowHeight="14.4" x14ac:dyDescent="0.3"/>
  <cols>
    <col min="1" max="1" width="18" customWidth="1"/>
    <col min="2" max="2" width="20" customWidth="1"/>
    <col min="3" max="3" width="18" customWidth="1"/>
  </cols>
  <sheetData>
    <row r="1" spans="1:3" x14ac:dyDescent="0.3">
      <c r="A1" s="2" t="s">
        <v>51</v>
      </c>
    </row>
    <row r="2" spans="1:3" x14ac:dyDescent="0.3">
      <c r="A2" s="54" t="s">
        <v>52</v>
      </c>
    </row>
    <row r="3" spans="1:3" x14ac:dyDescent="0.3">
      <c r="A3" s="4" t="s">
        <v>53</v>
      </c>
      <c r="B3" s="4" t="s">
        <v>54</v>
      </c>
      <c r="C3" s="4" t="s">
        <v>55</v>
      </c>
    </row>
    <row r="4" spans="1:3" x14ac:dyDescent="0.3">
      <c r="A4" s="5" t="s">
        <v>56</v>
      </c>
      <c r="B4" s="20">
        <v>13233.17</v>
      </c>
      <c r="C4" s="55">
        <v>0.57699999999999996</v>
      </c>
    </row>
    <row r="5" spans="1:3" x14ac:dyDescent="0.3">
      <c r="A5" s="8" t="s">
        <v>57</v>
      </c>
      <c r="B5" s="21">
        <v>6301.52</v>
      </c>
      <c r="C5" s="56">
        <v>0.27500000000000002</v>
      </c>
    </row>
    <row r="6" spans="1:3" x14ac:dyDescent="0.3">
      <c r="A6" s="5" t="s">
        <v>58</v>
      </c>
      <c r="B6" s="20">
        <v>3348.92</v>
      </c>
      <c r="C6" s="55">
        <v>0.14599999999999999</v>
      </c>
    </row>
    <row r="7" spans="1:3" x14ac:dyDescent="0.3">
      <c r="A7" s="8" t="s">
        <v>59</v>
      </c>
      <c r="B7" s="21">
        <v>41</v>
      </c>
      <c r="C7" s="56">
        <v>2E-3</v>
      </c>
    </row>
    <row r="8" spans="1:3" x14ac:dyDescent="0.3">
      <c r="A8" s="11" t="s">
        <v>60</v>
      </c>
      <c r="B8" s="22">
        <v>22924.61</v>
      </c>
      <c r="C8" s="12">
        <v>1</v>
      </c>
    </row>
    <row r="9" spans="1:3" x14ac:dyDescent="0.3">
      <c r="A9" s="15" t="s">
        <v>61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tabSelected="1" zoomScaleNormal="100" workbookViewId="0">
      <selection activeCell="E4" activeCellId="1" sqref="A4:A13 E4:E13"/>
    </sheetView>
  </sheetViews>
  <sheetFormatPr baseColWidth="10" defaultColWidth="8.6640625" defaultRowHeight="14.4" x14ac:dyDescent="0.3"/>
  <cols>
    <col min="1" max="1" width="24" customWidth="1"/>
    <col min="2" max="2" width="26" customWidth="1"/>
    <col min="3" max="3" width="18" customWidth="1"/>
    <col min="4" max="4" width="12" customWidth="1"/>
    <col min="5" max="5" width="14" customWidth="1"/>
  </cols>
  <sheetData>
    <row r="1" spans="1:5" x14ac:dyDescent="0.3">
      <c r="A1" s="2" t="s">
        <v>62</v>
      </c>
    </row>
    <row r="2" spans="1:5" x14ac:dyDescent="0.3">
      <c r="A2" s="54" t="s">
        <v>63</v>
      </c>
    </row>
    <row r="3" spans="1:5" x14ac:dyDescent="0.3">
      <c r="A3" s="4" t="s">
        <v>0</v>
      </c>
      <c r="B3" s="4" t="s">
        <v>64</v>
      </c>
      <c r="C3" s="4" t="s">
        <v>54</v>
      </c>
      <c r="D3" s="4" t="s">
        <v>65</v>
      </c>
      <c r="E3" s="4" t="s">
        <v>66</v>
      </c>
    </row>
    <row r="4" spans="1:5" x14ac:dyDescent="0.3">
      <c r="A4" s="5" t="s">
        <v>67</v>
      </c>
      <c r="B4" s="6" t="s">
        <v>68</v>
      </c>
      <c r="C4" s="20">
        <v>1200</v>
      </c>
      <c r="D4" s="16">
        <v>5.2400000000000002E-2</v>
      </c>
      <c r="E4" s="16">
        <v>0.189</v>
      </c>
    </row>
    <row r="5" spans="1:5" x14ac:dyDescent="0.3">
      <c r="A5" s="8" t="s">
        <v>2</v>
      </c>
      <c r="B5" s="9" t="s">
        <v>69</v>
      </c>
      <c r="C5" s="21">
        <v>700</v>
      </c>
      <c r="D5" s="17">
        <v>3.0499999999999999E-2</v>
      </c>
      <c r="E5" s="17">
        <v>0.11020000000000001</v>
      </c>
    </row>
    <row r="6" spans="1:5" x14ac:dyDescent="0.3">
      <c r="A6" s="5" t="s">
        <v>7</v>
      </c>
      <c r="B6" s="6" t="s">
        <v>70</v>
      </c>
      <c r="C6" s="20">
        <v>270</v>
      </c>
      <c r="D6" s="16">
        <v>1.18E-2</v>
      </c>
      <c r="E6" s="16">
        <v>4.2500000000000003E-2</v>
      </c>
    </row>
    <row r="7" spans="1:5" x14ac:dyDescent="0.3">
      <c r="A7" s="8" t="s">
        <v>7</v>
      </c>
      <c r="B7" s="9" t="s">
        <v>71</v>
      </c>
      <c r="C7" s="21">
        <v>202</v>
      </c>
      <c r="D7" s="17">
        <v>8.8000000000000005E-3</v>
      </c>
      <c r="E7" s="17">
        <v>3.1800000000000002E-2</v>
      </c>
    </row>
    <row r="8" spans="1:5" x14ac:dyDescent="0.3">
      <c r="A8" s="5" t="s">
        <v>3</v>
      </c>
      <c r="B8" s="6" t="s">
        <v>72</v>
      </c>
      <c r="C8" s="20">
        <v>13.2</v>
      </c>
      <c r="D8" s="16">
        <v>5.9999999999999995E-4</v>
      </c>
      <c r="E8" s="16">
        <v>2.0999999999999999E-3</v>
      </c>
    </row>
    <row r="9" spans="1:5" x14ac:dyDescent="0.3">
      <c r="A9" s="8" t="s">
        <v>2</v>
      </c>
      <c r="B9" s="9" t="s">
        <v>73</v>
      </c>
      <c r="C9" s="21">
        <v>4.9000000000000004</v>
      </c>
      <c r="D9" s="17">
        <v>2.0000000000000001E-4</v>
      </c>
      <c r="E9" s="17">
        <v>8.0000000000000004E-4</v>
      </c>
    </row>
    <row r="10" spans="1:5" x14ac:dyDescent="0.3">
      <c r="A10" s="5" t="s">
        <v>2</v>
      </c>
      <c r="B10" s="6" t="s">
        <v>74</v>
      </c>
      <c r="C10" s="20">
        <v>1.8</v>
      </c>
      <c r="D10" s="16">
        <v>1E-4</v>
      </c>
      <c r="E10" s="16">
        <v>2.9999999999999997E-4</v>
      </c>
    </row>
    <row r="11" spans="1:5" x14ac:dyDescent="0.3">
      <c r="A11" s="8" t="s">
        <v>11</v>
      </c>
      <c r="B11" s="9" t="s">
        <v>75</v>
      </c>
      <c r="C11" s="21">
        <v>1.1000000000000001</v>
      </c>
      <c r="D11" s="17">
        <v>0</v>
      </c>
      <c r="E11" s="17">
        <v>2.0000000000000001E-4</v>
      </c>
    </row>
    <row r="12" spans="1:5" x14ac:dyDescent="0.3">
      <c r="A12" s="5" t="s">
        <v>11</v>
      </c>
      <c r="B12" s="6" t="s">
        <v>11</v>
      </c>
      <c r="C12" s="20">
        <v>0.4</v>
      </c>
      <c r="D12" s="16">
        <v>0</v>
      </c>
      <c r="E12" s="16">
        <v>1E-4</v>
      </c>
    </row>
    <row r="13" spans="1:5" x14ac:dyDescent="0.3">
      <c r="A13" s="11" t="s">
        <v>14</v>
      </c>
      <c r="B13" s="24"/>
      <c r="C13" s="22">
        <v>2393.4</v>
      </c>
      <c r="D13" s="18">
        <v>0.10440000000000001</v>
      </c>
      <c r="E13" s="18">
        <v>0.37690000000000001</v>
      </c>
    </row>
    <row r="14" spans="1:5" x14ac:dyDescent="0.3">
      <c r="A14" s="15" t="s">
        <v>76</v>
      </c>
    </row>
    <row r="17" spans="1:9" x14ac:dyDescent="0.3">
      <c r="A17" s="37" t="s">
        <v>64</v>
      </c>
      <c r="B17" s="62" t="s">
        <v>131</v>
      </c>
    </row>
    <row r="18" spans="1:9" x14ac:dyDescent="0.3">
      <c r="A18" s="57" t="s">
        <v>11</v>
      </c>
      <c r="B18" s="59">
        <f>0.4/$D$18</f>
        <v>4.0000000000000002E-4</v>
      </c>
      <c r="D18">
        <v>1000</v>
      </c>
    </row>
    <row r="19" spans="1:9" x14ac:dyDescent="0.3">
      <c r="A19" s="58" t="s">
        <v>75</v>
      </c>
      <c r="B19" s="60">
        <f>1.1/$D$18</f>
        <v>1.1000000000000001E-3</v>
      </c>
    </row>
    <row r="20" spans="1:9" x14ac:dyDescent="0.3">
      <c r="A20" s="57" t="s">
        <v>74</v>
      </c>
      <c r="B20" s="59">
        <f>1.8/D18</f>
        <v>1.8E-3</v>
      </c>
    </row>
    <row r="21" spans="1:9" x14ac:dyDescent="0.3">
      <c r="A21" s="58" t="s">
        <v>73</v>
      </c>
      <c r="B21" s="60">
        <f>4.9/D18</f>
        <v>4.9000000000000007E-3</v>
      </c>
      <c r="I21" t="s">
        <v>158</v>
      </c>
    </row>
    <row r="22" spans="1:9" x14ac:dyDescent="0.3">
      <c r="A22" s="57" t="s">
        <v>72</v>
      </c>
      <c r="B22" s="59">
        <f>13.2/D18</f>
        <v>1.32E-2</v>
      </c>
    </row>
    <row r="23" spans="1:9" x14ac:dyDescent="0.3">
      <c r="A23" s="58" t="s">
        <v>71</v>
      </c>
      <c r="B23" s="60">
        <f>202/D18</f>
        <v>0.20200000000000001</v>
      </c>
    </row>
    <row r="24" spans="1:9" x14ac:dyDescent="0.3">
      <c r="A24" s="57" t="s">
        <v>70</v>
      </c>
      <c r="B24" s="59">
        <f>270/D18</f>
        <v>0.27</v>
      </c>
    </row>
    <row r="25" spans="1:9" x14ac:dyDescent="0.3">
      <c r="A25" s="58" t="s">
        <v>69</v>
      </c>
      <c r="B25" s="60">
        <f>700/D18</f>
        <v>0.7</v>
      </c>
    </row>
    <row r="26" spans="1:9" x14ac:dyDescent="0.3">
      <c r="A26" s="57" t="s">
        <v>68</v>
      </c>
      <c r="B26" s="59">
        <f>1200/1000</f>
        <v>1.2</v>
      </c>
    </row>
    <row r="27" spans="1:9" x14ac:dyDescent="0.3">
      <c r="A27" s="45" t="s">
        <v>14</v>
      </c>
      <c r="B27" s="61">
        <f>2393.4/D18</f>
        <v>2.3934000000000002</v>
      </c>
    </row>
  </sheetData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56"/>
  <sheetViews>
    <sheetView topLeftCell="A19" zoomScale="85" zoomScaleNormal="85" workbookViewId="0">
      <selection activeCell="W39" sqref="W39"/>
    </sheetView>
  </sheetViews>
  <sheetFormatPr baseColWidth="10" defaultColWidth="8.6640625" defaultRowHeight="14.4" x14ac:dyDescent="0.3"/>
  <cols>
    <col min="1" max="1" width="38" customWidth="1"/>
    <col min="2" max="2" width="19.88671875" customWidth="1"/>
  </cols>
  <sheetData>
    <row r="1" spans="1:2" x14ac:dyDescent="0.3">
      <c r="A1" s="2" t="s">
        <v>77</v>
      </c>
    </row>
    <row r="2" spans="1:2" x14ac:dyDescent="0.3">
      <c r="A2" s="3" t="s">
        <v>78</v>
      </c>
    </row>
    <row r="3" spans="1:2" x14ac:dyDescent="0.3">
      <c r="A3" s="4" t="s">
        <v>79</v>
      </c>
      <c r="B3" s="4" t="s">
        <v>80</v>
      </c>
    </row>
    <row r="4" spans="1:2" x14ac:dyDescent="0.3">
      <c r="A4" s="5" t="s">
        <v>81</v>
      </c>
      <c r="B4" s="6">
        <v>49</v>
      </c>
    </row>
    <row r="5" spans="1:2" x14ac:dyDescent="0.3">
      <c r="A5" s="8" t="s">
        <v>82</v>
      </c>
      <c r="B5" s="9">
        <v>11</v>
      </c>
    </row>
    <row r="6" spans="1:2" x14ac:dyDescent="0.3">
      <c r="A6" s="5" t="s">
        <v>83</v>
      </c>
      <c r="B6" s="6">
        <v>10</v>
      </c>
    </row>
    <row r="7" spans="1:2" x14ac:dyDescent="0.3">
      <c r="A7" s="8" t="s">
        <v>84</v>
      </c>
      <c r="B7" s="9">
        <v>10</v>
      </c>
    </row>
    <row r="8" spans="1:2" x14ac:dyDescent="0.3">
      <c r="A8" s="5" t="s">
        <v>85</v>
      </c>
      <c r="B8" s="6">
        <v>8</v>
      </c>
    </row>
    <row r="9" spans="1:2" x14ac:dyDescent="0.3">
      <c r="A9" s="8" t="s">
        <v>86</v>
      </c>
      <c r="B9" s="9">
        <v>5</v>
      </c>
    </row>
    <row r="10" spans="1:2" x14ac:dyDescent="0.3">
      <c r="A10" s="5" t="s">
        <v>87</v>
      </c>
      <c r="B10" s="6">
        <v>5</v>
      </c>
    </row>
    <row r="11" spans="1:2" x14ac:dyDescent="0.3">
      <c r="A11" s="8" t="s">
        <v>88</v>
      </c>
      <c r="B11" s="9">
        <v>4</v>
      </c>
    </row>
    <row r="12" spans="1:2" x14ac:dyDescent="0.3">
      <c r="A12" s="5" t="s">
        <v>89</v>
      </c>
      <c r="B12" s="6">
        <v>3</v>
      </c>
    </row>
    <row r="13" spans="1:2" x14ac:dyDescent="0.3">
      <c r="A13" s="8" t="s">
        <v>90</v>
      </c>
      <c r="B13" s="9">
        <v>3</v>
      </c>
    </row>
    <row r="14" spans="1:2" x14ac:dyDescent="0.3">
      <c r="A14" s="5" t="s">
        <v>91</v>
      </c>
      <c r="B14" s="6">
        <v>3</v>
      </c>
    </row>
    <row r="15" spans="1:2" x14ac:dyDescent="0.3">
      <c r="A15" s="8" t="s">
        <v>92</v>
      </c>
      <c r="B15" s="9">
        <v>2</v>
      </c>
    </row>
    <row r="16" spans="1:2" x14ac:dyDescent="0.3">
      <c r="A16" s="5" t="s">
        <v>93</v>
      </c>
      <c r="B16" s="6">
        <v>2</v>
      </c>
    </row>
    <row r="17" spans="1:2" x14ac:dyDescent="0.3">
      <c r="A17" s="8" t="s">
        <v>94</v>
      </c>
      <c r="B17" s="9">
        <v>2</v>
      </c>
    </row>
    <row r="18" spans="1:2" x14ac:dyDescent="0.3">
      <c r="A18" s="5" t="s">
        <v>95</v>
      </c>
      <c r="B18" s="6">
        <v>2</v>
      </c>
    </row>
    <row r="19" spans="1:2" x14ac:dyDescent="0.3">
      <c r="A19" s="8" t="s">
        <v>96</v>
      </c>
      <c r="B19" s="9">
        <v>2</v>
      </c>
    </row>
    <row r="20" spans="1:2" x14ac:dyDescent="0.3">
      <c r="A20" s="5" t="s">
        <v>97</v>
      </c>
      <c r="B20" s="6">
        <v>2</v>
      </c>
    </row>
    <row r="21" spans="1:2" x14ac:dyDescent="0.3">
      <c r="A21" s="8" t="s">
        <v>98</v>
      </c>
      <c r="B21" s="9">
        <v>2</v>
      </c>
    </row>
    <row r="22" spans="1:2" x14ac:dyDescent="0.3">
      <c r="A22" s="5" t="s">
        <v>99</v>
      </c>
      <c r="B22" s="6">
        <v>1</v>
      </c>
    </row>
    <row r="23" spans="1:2" x14ac:dyDescent="0.3">
      <c r="A23" s="8" t="s">
        <v>100</v>
      </c>
      <c r="B23" s="9">
        <v>1</v>
      </c>
    </row>
    <row r="24" spans="1:2" x14ac:dyDescent="0.3">
      <c r="A24" s="5" t="s">
        <v>101</v>
      </c>
      <c r="B24" s="6">
        <v>1</v>
      </c>
    </row>
    <row r="25" spans="1:2" x14ac:dyDescent="0.3">
      <c r="A25" s="8" t="s">
        <v>102</v>
      </c>
      <c r="B25" s="9">
        <v>1</v>
      </c>
    </row>
    <row r="26" spans="1:2" x14ac:dyDescent="0.3">
      <c r="A26" s="5" t="s">
        <v>103</v>
      </c>
      <c r="B26" s="6">
        <v>1</v>
      </c>
    </row>
    <row r="27" spans="1:2" x14ac:dyDescent="0.3">
      <c r="A27" s="8" t="s">
        <v>104</v>
      </c>
      <c r="B27" s="9">
        <v>1</v>
      </c>
    </row>
    <row r="28" spans="1:2" x14ac:dyDescent="0.3">
      <c r="A28" s="11" t="s">
        <v>105</v>
      </c>
      <c r="B28" s="25">
        <v>131</v>
      </c>
    </row>
    <row r="29" spans="1:2" x14ac:dyDescent="0.3">
      <c r="A29" s="15" t="s">
        <v>106</v>
      </c>
    </row>
    <row r="31" spans="1:2" x14ac:dyDescent="0.3">
      <c r="A31" s="37" t="s">
        <v>79</v>
      </c>
      <c r="B31" s="38" t="s">
        <v>80</v>
      </c>
    </row>
    <row r="32" spans="1:2" x14ac:dyDescent="0.3">
      <c r="A32" s="32" t="s">
        <v>86</v>
      </c>
      <c r="B32" s="9">
        <v>5</v>
      </c>
    </row>
    <row r="33" spans="1:2" x14ac:dyDescent="0.3">
      <c r="A33" s="31" t="s">
        <v>85</v>
      </c>
      <c r="B33" s="6">
        <v>8</v>
      </c>
    </row>
    <row r="34" spans="1:2" x14ac:dyDescent="0.3">
      <c r="A34" s="49" t="s">
        <v>154</v>
      </c>
      <c r="B34" s="6">
        <v>10</v>
      </c>
    </row>
    <row r="35" spans="1:2" x14ac:dyDescent="0.3">
      <c r="A35" s="32" t="s">
        <v>84</v>
      </c>
      <c r="B35" s="9">
        <v>10</v>
      </c>
    </row>
    <row r="36" spans="1:2" x14ac:dyDescent="0.3">
      <c r="A36" s="50" t="s">
        <v>153</v>
      </c>
      <c r="B36" s="9">
        <v>11</v>
      </c>
    </row>
    <row r="37" spans="1:2" x14ac:dyDescent="0.3">
      <c r="A37" s="91" t="s">
        <v>159</v>
      </c>
      <c r="B37" s="93">
        <v>38</v>
      </c>
    </row>
    <row r="38" spans="1:2" x14ac:dyDescent="0.3">
      <c r="A38" s="92" t="s">
        <v>152</v>
      </c>
      <c r="B38" s="94">
        <v>49</v>
      </c>
    </row>
    <row r="39" spans="1:2" x14ac:dyDescent="0.3">
      <c r="A39" s="83"/>
      <c r="B39" s="84"/>
    </row>
    <row r="40" spans="1:2" x14ac:dyDescent="0.3">
      <c r="A40" s="8"/>
      <c r="B40" s="9"/>
    </row>
    <row r="41" spans="1:2" x14ac:dyDescent="0.3">
      <c r="A41" s="85" t="s">
        <v>152</v>
      </c>
      <c r="B41" s="43">
        <f>B32/$B$28</f>
        <v>3.8167938931297711E-2</v>
      </c>
    </row>
    <row r="42" spans="1:2" x14ac:dyDescent="0.3">
      <c r="A42" s="86" t="s">
        <v>153</v>
      </c>
      <c r="B42" s="43">
        <f>B33/$B$28</f>
        <v>6.1068702290076333E-2</v>
      </c>
    </row>
    <row r="43" spans="1:2" x14ac:dyDescent="0.3">
      <c r="A43" s="85" t="s">
        <v>154</v>
      </c>
      <c r="B43" s="43">
        <f t="shared" ref="B43:B47" si="0">B34/$B$28</f>
        <v>7.6335877862595422E-2</v>
      </c>
    </row>
    <row r="44" spans="1:2" x14ac:dyDescent="0.3">
      <c r="A44" s="87" t="s">
        <v>84</v>
      </c>
      <c r="B44" s="43">
        <f t="shared" si="0"/>
        <v>7.6335877862595422E-2</v>
      </c>
    </row>
    <row r="45" spans="1:2" x14ac:dyDescent="0.3">
      <c r="A45" s="88" t="s">
        <v>85</v>
      </c>
      <c r="B45" s="43">
        <f t="shared" si="0"/>
        <v>8.3969465648854963E-2</v>
      </c>
    </row>
    <row r="46" spans="1:2" x14ac:dyDescent="0.3">
      <c r="A46" s="87" t="s">
        <v>86</v>
      </c>
      <c r="B46" s="43">
        <f t="shared" si="0"/>
        <v>0.29007633587786258</v>
      </c>
    </row>
    <row r="47" spans="1:2" x14ac:dyDescent="0.3">
      <c r="A47" s="89" t="s">
        <v>151</v>
      </c>
      <c r="B47" s="43">
        <f t="shared" si="0"/>
        <v>0.37404580152671757</v>
      </c>
    </row>
    <row r="48" spans="1:2" x14ac:dyDescent="0.3">
      <c r="A48" s="8"/>
      <c r="B48" s="9"/>
    </row>
    <row r="49" spans="1:2" x14ac:dyDescent="0.3">
      <c r="A49" s="5"/>
      <c r="B49" s="6"/>
    </row>
    <row r="50" spans="1:2" x14ac:dyDescent="0.3">
      <c r="A50" s="8"/>
      <c r="B50" s="9"/>
    </row>
    <row r="51" spans="1:2" x14ac:dyDescent="0.3">
      <c r="A51" s="5"/>
      <c r="B51" s="6"/>
    </row>
    <row r="52" spans="1:2" x14ac:dyDescent="0.3">
      <c r="A52" s="8"/>
      <c r="B52" s="9"/>
    </row>
    <row r="53" spans="1:2" x14ac:dyDescent="0.3">
      <c r="A53" s="5"/>
      <c r="B53" s="6"/>
    </row>
    <row r="54" spans="1:2" x14ac:dyDescent="0.3">
      <c r="A54" s="8"/>
      <c r="B54" s="9"/>
    </row>
    <row r="55" spans="1:2" x14ac:dyDescent="0.3">
      <c r="A55" s="5"/>
      <c r="B55" s="6"/>
    </row>
    <row r="56" spans="1:2" x14ac:dyDescent="0.3">
      <c r="A56" s="8"/>
      <c r="B56" s="9"/>
    </row>
  </sheetData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V26"/>
  <sheetViews>
    <sheetView topLeftCell="A19" zoomScaleNormal="100" workbookViewId="0">
      <selection activeCell="D36" sqref="D36"/>
    </sheetView>
  </sheetViews>
  <sheetFormatPr baseColWidth="10" defaultColWidth="8.6640625" defaultRowHeight="14.4" x14ac:dyDescent="0.3"/>
  <cols>
    <col min="1" max="1" width="28" customWidth="1"/>
    <col min="2" max="8" width="10" customWidth="1"/>
  </cols>
  <sheetData>
    <row r="1" spans="1:8" x14ac:dyDescent="0.3">
      <c r="A1" s="2" t="s">
        <v>107</v>
      </c>
    </row>
    <row r="2" spans="1:8" x14ac:dyDescent="0.3">
      <c r="A2" s="3" t="s">
        <v>108</v>
      </c>
    </row>
    <row r="3" spans="1:8" x14ac:dyDescent="0.3">
      <c r="A3" s="4" t="s">
        <v>0</v>
      </c>
      <c r="B3" s="4" t="s">
        <v>109</v>
      </c>
      <c r="C3" s="4" t="s">
        <v>110</v>
      </c>
      <c r="D3" s="4" t="s">
        <v>111</v>
      </c>
      <c r="E3" s="4" t="s">
        <v>112</v>
      </c>
      <c r="F3" s="4" t="s">
        <v>113</v>
      </c>
      <c r="G3" s="4" t="s">
        <v>114</v>
      </c>
      <c r="H3" s="4" t="s">
        <v>115</v>
      </c>
    </row>
    <row r="4" spans="1:8" x14ac:dyDescent="0.3">
      <c r="A4" s="5" t="s">
        <v>6</v>
      </c>
      <c r="B4" s="6">
        <v>0</v>
      </c>
      <c r="C4" s="6">
        <v>2</v>
      </c>
      <c r="D4" s="6">
        <v>10</v>
      </c>
      <c r="E4" s="6">
        <v>30</v>
      </c>
      <c r="F4" s="6">
        <v>20</v>
      </c>
      <c r="G4" s="6">
        <v>8</v>
      </c>
      <c r="H4" s="6">
        <v>11</v>
      </c>
    </row>
    <row r="5" spans="1:8" x14ac:dyDescent="0.3">
      <c r="A5" s="8" t="s">
        <v>2</v>
      </c>
      <c r="B5" s="9">
        <v>1</v>
      </c>
      <c r="C5" s="9">
        <v>3</v>
      </c>
      <c r="D5" s="9">
        <v>7</v>
      </c>
      <c r="E5" s="9">
        <v>13</v>
      </c>
      <c r="F5" s="9">
        <v>11</v>
      </c>
      <c r="G5" s="9">
        <v>21</v>
      </c>
      <c r="H5" s="9">
        <v>8</v>
      </c>
    </row>
    <row r="6" spans="1:8" x14ac:dyDescent="0.3">
      <c r="A6" s="5" t="s">
        <v>5</v>
      </c>
      <c r="B6" s="6">
        <v>2</v>
      </c>
      <c r="C6" s="6">
        <v>1</v>
      </c>
      <c r="D6" s="6">
        <v>6</v>
      </c>
      <c r="E6" s="6">
        <v>7</v>
      </c>
      <c r="F6" s="6">
        <v>4</v>
      </c>
      <c r="G6" s="6">
        <v>4</v>
      </c>
      <c r="H6" s="6">
        <v>2</v>
      </c>
    </row>
    <row r="7" spans="1:8" x14ac:dyDescent="0.3">
      <c r="A7" s="8" t="s">
        <v>9</v>
      </c>
      <c r="B7" s="9">
        <v>1</v>
      </c>
      <c r="C7" s="9">
        <v>1</v>
      </c>
      <c r="D7" s="9">
        <v>5</v>
      </c>
      <c r="E7" s="9">
        <v>13</v>
      </c>
      <c r="F7" s="9">
        <v>14</v>
      </c>
      <c r="G7" s="9">
        <v>11</v>
      </c>
      <c r="H7" s="9">
        <v>4</v>
      </c>
    </row>
    <row r="8" spans="1:8" x14ac:dyDescent="0.3">
      <c r="A8" s="5" t="s">
        <v>10</v>
      </c>
      <c r="B8" s="6">
        <v>2</v>
      </c>
      <c r="C8" s="6">
        <v>7</v>
      </c>
      <c r="D8" s="6">
        <v>13</v>
      </c>
      <c r="E8" s="6">
        <v>27</v>
      </c>
      <c r="F8" s="6">
        <v>13</v>
      </c>
      <c r="G8" s="6">
        <v>13</v>
      </c>
      <c r="H8" s="6">
        <v>12</v>
      </c>
    </row>
    <row r="9" spans="1:8" x14ac:dyDescent="0.3">
      <c r="A9" s="8" t="s">
        <v>7</v>
      </c>
      <c r="B9" s="9">
        <v>4</v>
      </c>
      <c r="C9" s="9">
        <v>4</v>
      </c>
      <c r="D9" s="9">
        <v>2</v>
      </c>
      <c r="E9" s="9">
        <v>27</v>
      </c>
      <c r="F9" s="9">
        <v>7</v>
      </c>
      <c r="G9" s="9">
        <v>8</v>
      </c>
      <c r="H9" s="9">
        <v>12</v>
      </c>
    </row>
    <row r="10" spans="1:8" x14ac:dyDescent="0.3">
      <c r="A10" s="5" t="s">
        <v>13</v>
      </c>
      <c r="B10" s="6">
        <v>10</v>
      </c>
      <c r="C10" s="6">
        <v>9</v>
      </c>
      <c r="D10" s="6">
        <v>18</v>
      </c>
      <c r="E10" s="6">
        <v>52</v>
      </c>
      <c r="F10" s="6">
        <v>22</v>
      </c>
      <c r="G10" s="6">
        <v>47</v>
      </c>
      <c r="H10" s="6">
        <v>40</v>
      </c>
    </row>
    <row r="11" spans="1:8" x14ac:dyDescent="0.3">
      <c r="A11" s="8" t="s">
        <v>1</v>
      </c>
      <c r="B11" s="9">
        <v>29</v>
      </c>
      <c r="C11" s="9">
        <v>6</v>
      </c>
      <c r="D11" s="9">
        <v>10</v>
      </c>
      <c r="E11" s="9">
        <v>44</v>
      </c>
      <c r="F11" s="9">
        <v>32</v>
      </c>
      <c r="G11" s="9">
        <v>17</v>
      </c>
      <c r="H11" s="9">
        <v>28</v>
      </c>
    </row>
    <row r="12" spans="1:8" x14ac:dyDescent="0.3">
      <c r="A12" s="5" t="s">
        <v>8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</row>
    <row r="13" spans="1:8" x14ac:dyDescent="0.3">
      <c r="A13" s="8" t="s">
        <v>11</v>
      </c>
      <c r="B13" s="9">
        <v>2</v>
      </c>
      <c r="C13" s="9">
        <v>0</v>
      </c>
      <c r="D13" s="9">
        <v>4</v>
      </c>
      <c r="E13" s="9">
        <v>30</v>
      </c>
      <c r="F13" s="9">
        <v>3</v>
      </c>
      <c r="G13" s="9">
        <v>6</v>
      </c>
      <c r="H13" s="9">
        <v>13</v>
      </c>
    </row>
    <row r="14" spans="1:8" x14ac:dyDescent="0.3">
      <c r="A14" s="5" t="s">
        <v>12</v>
      </c>
      <c r="B14" s="6">
        <v>0</v>
      </c>
      <c r="C14" s="6">
        <v>4</v>
      </c>
      <c r="D14" s="6">
        <v>15</v>
      </c>
      <c r="E14" s="6">
        <v>13</v>
      </c>
      <c r="F14" s="6">
        <v>3</v>
      </c>
      <c r="G14" s="6">
        <v>6</v>
      </c>
      <c r="H14" s="6">
        <v>5</v>
      </c>
    </row>
    <row r="15" spans="1:8" x14ac:dyDescent="0.3">
      <c r="A15" s="8" t="s">
        <v>4</v>
      </c>
      <c r="B15" s="9">
        <v>2</v>
      </c>
      <c r="C15" s="9">
        <v>0</v>
      </c>
      <c r="D15" s="9">
        <v>4</v>
      </c>
      <c r="E15" s="9">
        <v>3</v>
      </c>
      <c r="F15" s="9">
        <v>2</v>
      </c>
      <c r="G15" s="9">
        <v>2</v>
      </c>
      <c r="H15" s="9">
        <v>2</v>
      </c>
    </row>
    <row r="16" spans="1:8" x14ac:dyDescent="0.3">
      <c r="A16" s="5" t="s">
        <v>3</v>
      </c>
      <c r="B16" s="6">
        <v>25</v>
      </c>
      <c r="C16" s="6">
        <v>4</v>
      </c>
      <c r="D16" s="6">
        <v>32</v>
      </c>
      <c r="E16" s="6">
        <v>41</v>
      </c>
      <c r="F16" s="6">
        <v>30</v>
      </c>
      <c r="G16" s="6">
        <v>24</v>
      </c>
      <c r="H16" s="6">
        <v>51</v>
      </c>
    </row>
    <row r="17" spans="1:22" x14ac:dyDescent="0.3">
      <c r="A17" s="13" t="s">
        <v>17</v>
      </c>
      <c r="B17" s="26">
        <v>274</v>
      </c>
      <c r="C17" s="26">
        <v>149</v>
      </c>
      <c r="D17" s="26">
        <v>501</v>
      </c>
      <c r="E17" s="26">
        <v>737</v>
      </c>
      <c r="F17" s="26">
        <v>472</v>
      </c>
      <c r="G17" s="26">
        <v>540</v>
      </c>
      <c r="H17" s="26">
        <v>613</v>
      </c>
    </row>
    <row r="18" spans="1:22" x14ac:dyDescent="0.3">
      <c r="A18" s="11" t="s">
        <v>16</v>
      </c>
      <c r="B18" s="63">
        <v>78</v>
      </c>
      <c r="C18" s="63">
        <v>41</v>
      </c>
      <c r="D18" s="63">
        <v>126</v>
      </c>
      <c r="E18" s="63">
        <v>300</v>
      </c>
      <c r="F18" s="63">
        <v>161</v>
      </c>
      <c r="G18" s="63">
        <v>167</v>
      </c>
      <c r="H18" s="63">
        <v>188</v>
      </c>
    </row>
    <row r="19" spans="1:22" x14ac:dyDescent="0.3">
      <c r="A19" s="13" t="s">
        <v>18</v>
      </c>
      <c r="B19" s="26">
        <v>438530</v>
      </c>
      <c r="C19" s="26">
        <v>145209</v>
      </c>
      <c r="D19" s="26">
        <v>303516</v>
      </c>
      <c r="E19" s="26">
        <v>710194</v>
      </c>
      <c r="F19" s="26">
        <v>532516</v>
      </c>
      <c r="G19" s="26">
        <v>905451</v>
      </c>
      <c r="H19" s="26">
        <v>1038940</v>
      </c>
    </row>
    <row r="20" spans="1:22" x14ac:dyDescent="0.3">
      <c r="A20" s="15" t="s">
        <v>116</v>
      </c>
    </row>
    <row r="23" spans="1:22" x14ac:dyDescent="0.3">
      <c r="A23" s="4" t="s">
        <v>0</v>
      </c>
      <c r="B23" s="4" t="s">
        <v>109</v>
      </c>
      <c r="C23" s="4" t="s">
        <v>110</v>
      </c>
      <c r="D23" s="4" t="s">
        <v>111</v>
      </c>
      <c r="E23" s="4" t="s">
        <v>112</v>
      </c>
      <c r="F23" s="4" t="s">
        <v>113</v>
      </c>
      <c r="G23" s="4" t="s">
        <v>114</v>
      </c>
      <c r="H23" s="4" t="s">
        <v>115</v>
      </c>
    </row>
    <row r="24" spans="1:22" x14ac:dyDescent="0.3">
      <c r="A24" s="64" t="s">
        <v>15</v>
      </c>
      <c r="B24" s="63">
        <v>78</v>
      </c>
      <c r="C24" s="63">
        <v>41</v>
      </c>
      <c r="D24" s="63">
        <v>126</v>
      </c>
      <c r="E24" s="63">
        <v>300</v>
      </c>
      <c r="F24" s="63">
        <v>161</v>
      </c>
      <c r="G24" s="63">
        <v>167</v>
      </c>
      <c r="H24" s="63">
        <v>188</v>
      </c>
      <c r="J24" s="98" t="s">
        <v>134</v>
      </c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</row>
    <row r="25" spans="1:22" x14ac:dyDescent="0.3">
      <c r="A25" s="65" t="s">
        <v>133</v>
      </c>
      <c r="B25" s="66">
        <v>438530</v>
      </c>
      <c r="C25" s="66">
        <v>145209</v>
      </c>
      <c r="D25" s="66">
        <v>303516</v>
      </c>
      <c r="E25" s="66">
        <v>710194</v>
      </c>
      <c r="F25" s="66">
        <v>532516</v>
      </c>
      <c r="G25" s="66">
        <v>905451</v>
      </c>
      <c r="H25" s="66">
        <v>1038940</v>
      </c>
    </row>
    <row r="26" spans="1:22" x14ac:dyDescent="0.3">
      <c r="A26" t="s">
        <v>132</v>
      </c>
      <c r="B26" s="67">
        <f>B24/B25</f>
        <v>1.7786696463183819E-4</v>
      </c>
      <c r="C26" s="67">
        <f t="shared" ref="C26:H26" si="0">C24/C25</f>
        <v>2.8235164487049703E-4</v>
      </c>
      <c r="D26" s="67">
        <f t="shared" si="0"/>
        <v>4.1513462222749376E-4</v>
      </c>
      <c r="E26" s="67">
        <f t="shared" si="0"/>
        <v>4.2241978952229953E-4</v>
      </c>
      <c r="F26" s="67">
        <f t="shared" si="0"/>
        <v>3.0233833349608272E-4</v>
      </c>
      <c r="G26" s="67">
        <f t="shared" si="0"/>
        <v>1.8443847320285693E-4</v>
      </c>
      <c r="H26" s="67">
        <f t="shared" si="0"/>
        <v>1.809536643117023E-4</v>
      </c>
    </row>
  </sheetData>
  <mergeCells count="1">
    <mergeCell ref="J24:V2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08105-054B-4827-B0DB-603EC1361DDC}">
  <dimension ref="A1:N26"/>
  <sheetViews>
    <sheetView zoomScale="85" zoomScaleNormal="85" workbookViewId="0">
      <selection activeCell="A2" sqref="A2:A14"/>
    </sheetView>
  </sheetViews>
  <sheetFormatPr baseColWidth="10" defaultRowHeight="14.4" x14ac:dyDescent="0.3"/>
  <cols>
    <col min="12" max="12" width="21.109375" customWidth="1"/>
    <col min="13" max="13" width="31.33203125" customWidth="1"/>
  </cols>
  <sheetData>
    <row r="1" spans="1:14" ht="42" thickBot="1" x14ac:dyDescent="0.35">
      <c r="A1" s="105" t="s">
        <v>160</v>
      </c>
      <c r="B1" s="106" t="s">
        <v>174</v>
      </c>
      <c r="C1" s="106" t="s">
        <v>175</v>
      </c>
      <c r="D1" t="s">
        <v>167</v>
      </c>
      <c r="E1" t="s">
        <v>168</v>
      </c>
      <c r="F1" t="s">
        <v>169</v>
      </c>
      <c r="G1" s="106" t="s">
        <v>176</v>
      </c>
      <c r="H1" s="106" t="s">
        <v>177</v>
      </c>
      <c r="I1" s="106" t="s">
        <v>178</v>
      </c>
      <c r="L1" s="100" t="s">
        <v>185</v>
      </c>
      <c r="M1" s="122" t="s">
        <v>173</v>
      </c>
      <c r="N1" t="s">
        <v>186</v>
      </c>
    </row>
    <row r="2" spans="1:14" x14ac:dyDescent="0.3">
      <c r="A2" s="107" t="s">
        <v>2</v>
      </c>
      <c r="B2" s="102">
        <v>193.23753102581</v>
      </c>
      <c r="C2" s="102">
        <v>11.412191565060001</v>
      </c>
      <c r="D2" s="102">
        <v>1.6103217651999999</v>
      </c>
      <c r="E2" s="102">
        <v>1.3193683567500001</v>
      </c>
      <c r="F2" s="102">
        <v>3.7870935537800001</v>
      </c>
      <c r="G2" s="102">
        <v>9.6299412640900002</v>
      </c>
      <c r="H2" s="102">
        <v>9.7930701844599994</v>
      </c>
      <c r="I2" s="102">
        <v>2.67585243078</v>
      </c>
      <c r="J2" s="102"/>
      <c r="K2" s="102"/>
      <c r="L2" s="111" t="s">
        <v>167</v>
      </c>
      <c r="M2" s="123">
        <v>342.08122543714995</v>
      </c>
      <c r="N2" s="128">
        <f>Tabla13[[#This Row],[Total Provincia Bioenergética Norte]]/$M$10</f>
        <v>3.1117880780890471E-2</v>
      </c>
    </row>
    <row r="3" spans="1:14" x14ac:dyDescent="0.3">
      <c r="A3" s="108" t="s">
        <v>6</v>
      </c>
      <c r="B3" s="102">
        <v>3.78431187819</v>
      </c>
      <c r="C3" s="102">
        <v>37.246580148040003</v>
      </c>
      <c r="D3" s="102">
        <v>4.9451880286499996</v>
      </c>
      <c r="E3" s="102">
        <v>5.4113599163200004</v>
      </c>
      <c r="F3" s="102">
        <v>12.32493395186</v>
      </c>
      <c r="G3" s="102">
        <v>18.53394851438</v>
      </c>
      <c r="H3" s="102">
        <v>43.569972854980001</v>
      </c>
      <c r="I3" s="102">
        <v>14.017035077979999</v>
      </c>
      <c r="J3" s="102"/>
      <c r="L3" s="111" t="s">
        <v>168</v>
      </c>
      <c r="M3" s="123">
        <v>379.50895806513995</v>
      </c>
      <c r="N3" s="128">
        <f>Tabla13[[#This Row],[Total Provincia Bioenergética Norte]]/$M$10</f>
        <v>3.45225450395866E-2</v>
      </c>
    </row>
    <row r="4" spans="1:14" x14ac:dyDescent="0.3">
      <c r="A4" s="107" t="s">
        <v>5</v>
      </c>
      <c r="B4" s="102">
        <v>97.703986730419999</v>
      </c>
      <c r="C4" s="102">
        <v>0.82368459236000002</v>
      </c>
      <c r="D4" s="102">
        <v>0.22324045497</v>
      </c>
      <c r="E4" s="102">
        <v>0.18626441779</v>
      </c>
      <c r="F4" s="102">
        <v>0.40296225139000003</v>
      </c>
      <c r="G4" s="102">
        <v>3.2984118603499999</v>
      </c>
      <c r="H4" s="102">
        <v>2.0698035318299999</v>
      </c>
      <c r="I4" s="102">
        <v>0.36885296580999999</v>
      </c>
      <c r="J4" s="102"/>
      <c r="L4" s="121" t="s">
        <v>178</v>
      </c>
      <c r="M4" s="123">
        <v>628.30308332619006</v>
      </c>
      <c r="N4" s="128">
        <f>Tabla13[[#This Row],[Total Provincia Bioenergética Norte]]/$M$10</f>
        <v>5.715443873373996E-2</v>
      </c>
    </row>
    <row r="5" spans="1:14" ht="27.6" x14ac:dyDescent="0.3">
      <c r="A5" s="107" t="s">
        <v>9</v>
      </c>
      <c r="B5" s="102">
        <v>3.2363050704999998</v>
      </c>
      <c r="C5" s="102">
        <v>22.077982922290001</v>
      </c>
      <c r="D5" s="102">
        <v>4.6089347800500002</v>
      </c>
      <c r="E5" s="102">
        <v>4.7446256582300004</v>
      </c>
      <c r="F5" s="102">
        <v>8.9545931087799993</v>
      </c>
      <c r="G5" s="102">
        <v>17.099469916219999</v>
      </c>
      <c r="H5" s="102">
        <v>33.595110640030001</v>
      </c>
      <c r="I5" s="102">
        <v>7.7131452654699997</v>
      </c>
      <c r="J5" s="102"/>
      <c r="L5" s="111" t="s">
        <v>169</v>
      </c>
      <c r="M5" s="123">
        <v>962.86365499225019</v>
      </c>
      <c r="N5" s="128">
        <f>Tabla13[[#This Row],[Total Provincia Bioenergética Norte]]/$M$10</f>
        <v>8.7588193084879543E-2</v>
      </c>
    </row>
    <row r="6" spans="1:14" ht="27.6" x14ac:dyDescent="0.3">
      <c r="A6" s="107" t="s">
        <v>10</v>
      </c>
      <c r="B6" s="102">
        <v>50.465591024449999</v>
      </c>
      <c r="C6" s="102">
        <v>2.8991874609899999</v>
      </c>
      <c r="D6" s="102">
        <v>0.49348067267000001</v>
      </c>
      <c r="E6" s="102">
        <v>0.35372092685000001</v>
      </c>
      <c r="F6" s="102">
        <v>1.7993616337</v>
      </c>
      <c r="G6" s="102">
        <v>2.8514264041500001</v>
      </c>
      <c r="H6" s="102">
        <v>3.0089890756100002</v>
      </c>
      <c r="I6" s="102">
        <v>1.17263059017</v>
      </c>
      <c r="J6" s="102"/>
      <c r="L6" s="121" t="s">
        <v>176</v>
      </c>
      <c r="M6" s="123">
        <v>1566.7083744829999</v>
      </c>
      <c r="N6" s="128">
        <f>Tabla13[[#This Row],[Total Provincia Bioenergética Norte]]/$M$10</f>
        <v>0.14251774371213466</v>
      </c>
    </row>
    <row r="7" spans="1:14" ht="27.6" x14ac:dyDescent="0.3">
      <c r="A7" s="107" t="s">
        <v>7</v>
      </c>
      <c r="B7" s="102">
        <v>37.145135817220002</v>
      </c>
      <c r="C7" s="102">
        <v>141.04376850283001</v>
      </c>
      <c r="D7" s="102">
        <v>18.0007738139</v>
      </c>
      <c r="E7" s="102">
        <v>13.60341168331</v>
      </c>
      <c r="F7" s="102">
        <v>70.243433150049995</v>
      </c>
      <c r="G7" s="102">
        <v>71.900681889309993</v>
      </c>
      <c r="H7" s="102">
        <v>116.32232125643</v>
      </c>
      <c r="I7" s="102">
        <v>33.072290069989997</v>
      </c>
      <c r="J7" s="102"/>
      <c r="L7" s="121" t="s">
        <v>174</v>
      </c>
      <c r="M7" s="123">
        <v>1655.5833506561803</v>
      </c>
      <c r="N7" s="128">
        <f>Tabla13[[#This Row],[Total Provincia Bioenergética Norte]]/$M$10</f>
        <v>0.15060237597871787</v>
      </c>
    </row>
    <row r="8" spans="1:14" x14ac:dyDescent="0.3">
      <c r="A8" s="107" t="s">
        <v>13</v>
      </c>
      <c r="B8" s="102">
        <v>61.688578032850003</v>
      </c>
      <c r="C8" s="102">
        <v>6.2384346721600004</v>
      </c>
      <c r="D8" s="102">
        <v>0.74757402477000001</v>
      </c>
      <c r="E8" s="102">
        <v>0.72725450919000001</v>
      </c>
      <c r="F8" s="102">
        <v>1.9214506355800001</v>
      </c>
      <c r="G8" s="102">
        <v>4.7444001400999998</v>
      </c>
      <c r="H8" s="102">
        <v>7.2567784244200002</v>
      </c>
      <c r="I8" s="102">
        <v>1.6408438165000001</v>
      </c>
      <c r="J8" s="102"/>
      <c r="L8" s="121" t="s">
        <v>177</v>
      </c>
      <c r="M8" s="123">
        <v>2443.4261950820401</v>
      </c>
      <c r="N8" s="128">
        <f>Tabla13[[#This Row],[Total Provincia Bioenergética Norte]]/$M$10</f>
        <v>0.22226956459917557</v>
      </c>
    </row>
    <row r="9" spans="1:14" x14ac:dyDescent="0.3">
      <c r="A9" s="107" t="s">
        <v>1</v>
      </c>
      <c r="B9" s="102">
        <v>23.367665299630001</v>
      </c>
      <c r="C9" s="102">
        <v>96.592871766650006</v>
      </c>
      <c r="D9" s="102">
        <v>14.560058547280001</v>
      </c>
      <c r="E9" s="102">
        <v>14.14693875211</v>
      </c>
      <c r="F9" s="102">
        <v>30.08706879575</v>
      </c>
      <c r="G9" s="102">
        <v>36.45293711587</v>
      </c>
      <c r="H9" s="102">
        <v>79.27162253617</v>
      </c>
      <c r="I9" s="102">
        <v>17.56816219837</v>
      </c>
      <c r="J9" s="102"/>
      <c r="L9" s="124" t="s">
        <v>175</v>
      </c>
      <c r="M9" s="125">
        <v>3014.6010632819903</v>
      </c>
      <c r="N9" s="128">
        <f>Tabla13[[#This Row],[Total Provincia Bioenergética Norte]]/$M$10</f>
        <v>0.27422725807087539</v>
      </c>
    </row>
    <row r="10" spans="1:14" ht="27.6" x14ac:dyDescent="0.3">
      <c r="A10" s="107" t="s">
        <v>8</v>
      </c>
      <c r="B10" s="102">
        <v>37.298399804090003</v>
      </c>
      <c r="C10" s="102">
        <v>13.160945836210001</v>
      </c>
      <c r="D10" s="102">
        <v>1.9396337369100001</v>
      </c>
      <c r="E10" s="102">
        <v>1.94205184512</v>
      </c>
      <c r="F10" s="102">
        <v>6.1782525716499999</v>
      </c>
      <c r="G10" s="102">
        <v>7.8980437091200004</v>
      </c>
      <c r="H10" s="102">
        <v>15.60664975317</v>
      </c>
      <c r="I10" s="102">
        <v>4.0118082239500001</v>
      </c>
      <c r="J10" s="102"/>
      <c r="L10" s="126" t="s">
        <v>105</v>
      </c>
      <c r="M10" s="127">
        <f>SUM(M2:M9)</f>
        <v>10993.07590532394</v>
      </c>
      <c r="N10">
        <f>Tabla13[[#This Row],[Total Provincia Bioenergética Norte]]/$M$10</f>
        <v>1</v>
      </c>
    </row>
    <row r="11" spans="1:14" ht="27.6" x14ac:dyDescent="0.3">
      <c r="A11" s="107" t="s">
        <v>11</v>
      </c>
      <c r="B11" s="102">
        <v>4.9252696120000001</v>
      </c>
      <c r="C11" s="102">
        <v>13.15687838721</v>
      </c>
      <c r="D11" s="102">
        <v>1.57252925892</v>
      </c>
      <c r="E11" s="102">
        <v>1.7792626469899999</v>
      </c>
      <c r="F11" s="102">
        <v>6.77596231403</v>
      </c>
      <c r="G11" s="102">
        <v>6.8386132012500003</v>
      </c>
      <c r="H11" s="102">
        <v>11.9466412169</v>
      </c>
      <c r="I11" s="102">
        <v>4.0950056043299998</v>
      </c>
      <c r="J11" s="102"/>
    </row>
    <row r="12" spans="1:14" x14ac:dyDescent="0.3">
      <c r="A12" s="107" t="s">
        <v>12</v>
      </c>
      <c r="B12" s="102">
        <v>5.9637414350900002</v>
      </c>
      <c r="C12" s="102">
        <v>32.582718863510003</v>
      </c>
      <c r="D12" s="102">
        <v>2.4170032076100001</v>
      </c>
      <c r="E12" s="102">
        <v>2.9038331513500002</v>
      </c>
      <c r="F12" s="102">
        <v>7.6588670024400001</v>
      </c>
      <c r="G12" s="102">
        <v>13.69642602157</v>
      </c>
      <c r="H12" s="102">
        <v>31.696713487339998</v>
      </c>
      <c r="I12" s="102">
        <v>5.6095693752700004</v>
      </c>
      <c r="J12" s="102"/>
      <c r="K12" s="102"/>
      <c r="L12" s="102" t="s">
        <v>187</v>
      </c>
      <c r="M12" s="102"/>
    </row>
    <row r="13" spans="1:14" x14ac:dyDescent="0.3">
      <c r="A13" s="107" t="s">
        <v>4</v>
      </c>
      <c r="B13" s="102">
        <v>5.0133185620700003</v>
      </c>
      <c r="C13" s="102">
        <v>52.401089833039997</v>
      </c>
      <c r="D13" s="102">
        <v>6.3356165210400004</v>
      </c>
      <c r="E13" s="102">
        <v>5.9578235207199999</v>
      </c>
      <c r="F13" s="102">
        <v>14.691531869549999</v>
      </c>
      <c r="G13" s="102">
        <v>22.47426175331</v>
      </c>
      <c r="H13" s="102">
        <v>59.398869232369996</v>
      </c>
      <c r="I13" s="102">
        <v>21.20496375195</v>
      </c>
      <c r="J13" s="102"/>
      <c r="K13" s="102"/>
      <c r="L13" s="102"/>
      <c r="M13" s="102"/>
    </row>
    <row r="14" spans="1:14" x14ac:dyDescent="0.3">
      <c r="A14" s="109" t="s">
        <v>3</v>
      </c>
      <c r="B14" s="102">
        <v>53.473212090179999</v>
      </c>
      <c r="C14" s="102">
        <v>214.66529695994001</v>
      </c>
      <c r="D14" s="102">
        <v>17.141522359340001</v>
      </c>
      <c r="E14" s="102">
        <v>25.942628031200002</v>
      </c>
      <c r="F14" s="102">
        <v>45.07600734767</v>
      </c>
      <c r="G14" s="102">
        <v>88.625688155800006</v>
      </c>
      <c r="H14" s="102">
        <v>172.24619777084001</v>
      </c>
      <c r="I14" s="102">
        <v>34.346424034919998</v>
      </c>
      <c r="J14" s="102"/>
      <c r="K14" s="102"/>
      <c r="L14" s="102"/>
      <c r="M14" s="102"/>
    </row>
    <row r="15" spans="1:14" ht="55.2" x14ac:dyDescent="0.3">
      <c r="A15" s="110" t="s">
        <v>173</v>
      </c>
      <c r="B15" s="102">
        <v>1655.5833506561803</v>
      </c>
      <c r="C15" s="102">
        <v>3014.6010632819903</v>
      </c>
      <c r="D15" s="102">
        <v>342.08122543714995</v>
      </c>
      <c r="E15" s="102">
        <v>379.50895806513995</v>
      </c>
      <c r="F15" s="102">
        <v>962.86365499225019</v>
      </c>
      <c r="G15" s="102">
        <v>1566.7083744829999</v>
      </c>
      <c r="H15" s="102">
        <v>2443.4261950820401</v>
      </c>
      <c r="I15" s="102">
        <v>628.30308332619006</v>
      </c>
      <c r="J15" s="102"/>
      <c r="K15" s="102"/>
      <c r="L15" s="102"/>
      <c r="M15" s="102"/>
    </row>
    <row r="18" spans="1:6" x14ac:dyDescent="0.3">
      <c r="A18" s="112" t="s">
        <v>179</v>
      </c>
      <c r="B18" s="113"/>
      <c r="C18" s="113"/>
      <c r="D18" s="113"/>
      <c r="E18" s="113"/>
      <c r="F18" s="114"/>
    </row>
    <row r="19" spans="1:6" x14ac:dyDescent="0.3">
      <c r="A19" s="115" t="s">
        <v>174</v>
      </c>
      <c r="B19" s="116"/>
      <c r="C19" s="116"/>
      <c r="D19" s="116"/>
      <c r="E19" s="116"/>
      <c r="F19" s="117"/>
    </row>
    <row r="20" spans="1:6" x14ac:dyDescent="0.3">
      <c r="A20" s="115" t="s">
        <v>180</v>
      </c>
      <c r="B20" s="116"/>
      <c r="C20" s="116"/>
      <c r="D20" s="116"/>
      <c r="E20" s="116"/>
      <c r="F20" s="117"/>
    </row>
    <row r="21" spans="1:6" x14ac:dyDescent="0.3">
      <c r="A21" s="115" t="s">
        <v>181</v>
      </c>
      <c r="B21" s="116"/>
      <c r="C21" s="116"/>
      <c r="D21" s="116"/>
      <c r="E21" s="116"/>
      <c r="F21" s="117"/>
    </row>
    <row r="22" spans="1:6" x14ac:dyDescent="0.3">
      <c r="A22" s="115" t="s">
        <v>168</v>
      </c>
      <c r="B22" s="116"/>
      <c r="C22" s="116"/>
      <c r="D22" s="116"/>
      <c r="E22" s="116"/>
      <c r="F22" s="117"/>
    </row>
    <row r="23" spans="1:6" x14ac:dyDescent="0.3">
      <c r="A23" s="115" t="s">
        <v>169</v>
      </c>
      <c r="B23" s="116"/>
      <c r="C23" s="116"/>
      <c r="D23" s="116"/>
      <c r="E23" s="116"/>
      <c r="F23" s="117"/>
    </row>
    <row r="24" spans="1:6" x14ac:dyDescent="0.3">
      <c r="A24" s="115" t="s">
        <v>182</v>
      </c>
      <c r="B24" s="116"/>
      <c r="C24" s="116"/>
      <c r="D24" s="116"/>
      <c r="E24" s="116"/>
      <c r="F24" s="117"/>
    </row>
    <row r="25" spans="1:6" x14ac:dyDescent="0.3">
      <c r="A25" s="115" t="s">
        <v>183</v>
      </c>
      <c r="B25" s="116"/>
      <c r="C25" s="116"/>
      <c r="D25" s="116"/>
      <c r="E25" s="116"/>
      <c r="F25" s="117"/>
    </row>
    <row r="26" spans="1:6" x14ac:dyDescent="0.3">
      <c r="A26" s="118" t="s">
        <v>184</v>
      </c>
      <c r="B26" s="119"/>
      <c r="C26" s="119"/>
      <c r="D26" s="119"/>
      <c r="E26" s="119"/>
      <c r="F26" s="120"/>
    </row>
  </sheetData>
  <mergeCells count="9">
    <mergeCell ref="A24:F24"/>
    <mergeCell ref="A25:F25"/>
    <mergeCell ref="A26:F26"/>
    <mergeCell ref="A18:F18"/>
    <mergeCell ref="A19:F19"/>
    <mergeCell ref="A20:F20"/>
    <mergeCell ref="A21:F21"/>
    <mergeCell ref="A22:F22"/>
    <mergeCell ref="A23:F23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9B966-7E75-4ABB-A7BA-7E0D67897538}">
  <dimension ref="A1:I46"/>
  <sheetViews>
    <sheetView zoomScale="85" zoomScaleNormal="85" workbookViewId="0">
      <selection activeCell="A3" sqref="A3:A16"/>
    </sheetView>
  </sheetViews>
  <sheetFormatPr baseColWidth="10" defaultRowHeight="14.4" x14ac:dyDescent="0.3"/>
  <cols>
    <col min="1" max="1" width="25.44140625" customWidth="1"/>
    <col min="2" max="2" width="34.88671875" customWidth="1"/>
    <col min="3" max="3" width="14.6640625" customWidth="1"/>
  </cols>
  <sheetData>
    <row r="1" spans="1:3" ht="18" x14ac:dyDescent="0.35">
      <c r="A1" s="130" t="s">
        <v>190</v>
      </c>
    </row>
    <row r="2" spans="1:3" ht="15" thickBot="1" x14ac:dyDescent="0.35"/>
    <row r="3" spans="1:3" ht="15" thickBot="1" x14ac:dyDescent="0.35">
      <c r="A3" s="100" t="s">
        <v>188</v>
      </c>
      <c r="B3" t="s">
        <v>173</v>
      </c>
      <c r="C3" t="s">
        <v>186</v>
      </c>
    </row>
    <row r="4" spans="1:3" x14ac:dyDescent="0.3">
      <c r="A4" t="s">
        <v>161</v>
      </c>
      <c r="B4" s="102">
        <v>5278.9490216777904</v>
      </c>
      <c r="C4">
        <f>B4/$B$16</f>
        <v>0.23649427661006314</v>
      </c>
    </row>
    <row r="5" spans="1:3" x14ac:dyDescent="0.3">
      <c r="A5" t="s">
        <v>162</v>
      </c>
      <c r="B5" s="102">
        <v>2408.2700700044697</v>
      </c>
      <c r="C5">
        <f>B5/$B$16</f>
        <v>0.10788929496166219</v>
      </c>
    </row>
    <row r="6" spans="1:3" x14ac:dyDescent="0.3">
      <c r="A6" t="s">
        <v>163</v>
      </c>
      <c r="B6" s="102">
        <v>3049.2639204728894</v>
      </c>
      <c r="C6">
        <f>B6/$B$16</f>
        <v>0.13660549895520788</v>
      </c>
    </row>
    <row r="7" spans="1:3" x14ac:dyDescent="0.3">
      <c r="A7" t="s">
        <v>164</v>
      </c>
      <c r="B7" s="102">
        <v>592.1187879895898</v>
      </c>
      <c r="C7">
        <f>B7/$B$16</f>
        <v>2.6526625632827056E-2</v>
      </c>
    </row>
    <row r="8" spans="1:3" x14ac:dyDescent="0.3">
      <c r="A8" s="106" t="s">
        <v>165</v>
      </c>
      <c r="B8" s="102">
        <v>1655.5833506561803</v>
      </c>
      <c r="C8">
        <f>B8/$B$16</f>
        <v>7.4169306290564882E-2</v>
      </c>
    </row>
    <row r="9" spans="1:3" x14ac:dyDescent="0.3">
      <c r="A9" t="s">
        <v>166</v>
      </c>
      <c r="B9" s="102">
        <v>3014.6010632819903</v>
      </c>
      <c r="C9">
        <f>B9/$B$16</f>
        <v>0.13505262028505277</v>
      </c>
    </row>
    <row r="10" spans="1:3" x14ac:dyDescent="0.3">
      <c r="A10" t="s">
        <v>167</v>
      </c>
      <c r="B10" s="102">
        <v>342.08122543714995</v>
      </c>
      <c r="C10">
        <f>B10/$B$16</f>
        <v>1.5325067853360413E-2</v>
      </c>
    </row>
    <row r="11" spans="1:3" x14ac:dyDescent="0.3">
      <c r="A11" t="s">
        <v>168</v>
      </c>
      <c r="B11" s="102">
        <v>379.50895806513995</v>
      </c>
      <c r="C11">
        <f>B11/$B$16</f>
        <v>1.7001811560614123E-2</v>
      </c>
    </row>
    <row r="12" spans="1:3" x14ac:dyDescent="0.3">
      <c r="A12" t="s">
        <v>169</v>
      </c>
      <c r="B12" s="102">
        <v>962.86365499225019</v>
      </c>
      <c r="C12">
        <f>B12/$B$16</f>
        <v>4.3135810296031384E-2</v>
      </c>
    </row>
    <row r="13" spans="1:3" x14ac:dyDescent="0.3">
      <c r="A13" t="s">
        <v>170</v>
      </c>
      <c r="B13" s="102">
        <v>1566.7083744829999</v>
      </c>
      <c r="C13">
        <f>B13/$B$16</f>
        <v>7.0187751796952316E-2</v>
      </c>
    </row>
    <row r="14" spans="1:3" x14ac:dyDescent="0.3">
      <c r="A14" t="s">
        <v>171</v>
      </c>
      <c r="B14" s="102">
        <v>2443.4261950820401</v>
      </c>
      <c r="C14">
        <f>B14/$B$16</f>
        <v>0.10946427178649815</v>
      </c>
    </row>
    <row r="15" spans="1:3" x14ac:dyDescent="0.3">
      <c r="A15" t="s">
        <v>172</v>
      </c>
      <c r="B15" s="102">
        <v>628.30308332619006</v>
      </c>
      <c r="C15">
        <f>B15/$B$16</f>
        <v>2.8147663971165547E-2</v>
      </c>
    </row>
    <row r="16" spans="1:3" x14ac:dyDescent="0.3">
      <c r="A16" t="s">
        <v>189</v>
      </c>
      <c r="B16" s="102">
        <f>SUM(B4:B15)</f>
        <v>22321.677705468683</v>
      </c>
      <c r="C16">
        <f>B16/$B$16</f>
        <v>1</v>
      </c>
    </row>
    <row r="17" spans="1:9" ht="15" thickBot="1" x14ac:dyDescent="0.35"/>
    <row r="18" spans="1:9" ht="15" thickBot="1" x14ac:dyDescent="0.35">
      <c r="A18" s="100" t="s">
        <v>188</v>
      </c>
      <c r="B18" s="111" t="s">
        <v>186</v>
      </c>
    </row>
    <row r="19" spans="1:9" x14ac:dyDescent="0.3">
      <c r="A19" s="148"/>
      <c r="B19" s="147"/>
    </row>
    <row r="20" spans="1:9" x14ac:dyDescent="0.3">
      <c r="A20" t="s">
        <v>198</v>
      </c>
      <c r="B20" s="90">
        <v>0.23649427661006314</v>
      </c>
    </row>
    <row r="21" spans="1:9" x14ac:dyDescent="0.3">
      <c r="A21" t="s">
        <v>193</v>
      </c>
      <c r="B21" s="90">
        <v>0.10788929496166219</v>
      </c>
    </row>
    <row r="22" spans="1:9" x14ac:dyDescent="0.3">
      <c r="A22" s="129"/>
      <c r="B22" s="147"/>
    </row>
    <row r="23" spans="1:9" x14ac:dyDescent="0.3">
      <c r="A23" s="129"/>
      <c r="B23" s="147"/>
    </row>
    <row r="24" spans="1:9" x14ac:dyDescent="0.3">
      <c r="A24" t="s">
        <v>163</v>
      </c>
      <c r="B24" s="90">
        <v>0.13660549895520788</v>
      </c>
    </row>
    <row r="25" spans="1:9" x14ac:dyDescent="0.3">
      <c r="A25" t="s">
        <v>164</v>
      </c>
      <c r="B25" s="90">
        <v>2.6526625632827056E-2</v>
      </c>
    </row>
    <row r="26" spans="1:9" x14ac:dyDescent="0.3">
      <c r="A26" s="129"/>
      <c r="B26" s="147"/>
    </row>
    <row r="27" spans="1:9" x14ac:dyDescent="0.3">
      <c r="A27" s="129"/>
      <c r="B27" s="147"/>
    </row>
    <row r="28" spans="1:9" x14ac:dyDescent="0.3">
      <c r="A28" s="106" t="s">
        <v>174</v>
      </c>
      <c r="B28" s="90">
        <v>7.4169306290564882E-2</v>
      </c>
    </row>
    <row r="29" spans="1:9" x14ac:dyDescent="0.3">
      <c r="A29" t="s">
        <v>224</v>
      </c>
      <c r="B29" s="90">
        <v>0.13505262028505277</v>
      </c>
    </row>
    <row r="30" spans="1:9" x14ac:dyDescent="0.3">
      <c r="A30" t="s">
        <v>167</v>
      </c>
      <c r="B30" s="90">
        <v>1.5325067853360413E-2</v>
      </c>
    </row>
    <row r="31" spans="1:9" x14ac:dyDescent="0.3">
      <c r="A31" t="s">
        <v>197</v>
      </c>
      <c r="B31" s="90">
        <v>1.7001811560614123E-2</v>
      </c>
    </row>
    <row r="32" spans="1:9" x14ac:dyDescent="0.3">
      <c r="A32" t="s">
        <v>169</v>
      </c>
      <c r="B32" s="90">
        <v>4.3135810296031384E-2</v>
      </c>
      <c r="D32" s="112" t="s">
        <v>191</v>
      </c>
      <c r="E32" s="113"/>
      <c r="F32" s="113"/>
      <c r="G32" s="113"/>
      <c r="H32" s="113"/>
      <c r="I32" s="114"/>
    </row>
    <row r="33" spans="1:9" x14ac:dyDescent="0.3">
      <c r="A33" t="s">
        <v>176</v>
      </c>
      <c r="B33" s="90">
        <v>7.0187751796952316E-2</v>
      </c>
      <c r="D33" s="115" t="s">
        <v>192</v>
      </c>
      <c r="E33" s="116"/>
      <c r="F33" s="116"/>
      <c r="G33" s="116"/>
      <c r="H33" s="116"/>
      <c r="I33" s="117"/>
    </row>
    <row r="34" spans="1:9" x14ac:dyDescent="0.3">
      <c r="A34" t="s">
        <v>177</v>
      </c>
      <c r="B34" s="90">
        <v>0.10946427178649815</v>
      </c>
      <c r="D34" s="118" t="s">
        <v>193</v>
      </c>
      <c r="E34" s="119"/>
      <c r="F34" s="119"/>
      <c r="G34" s="119"/>
      <c r="H34" s="119"/>
      <c r="I34" s="120"/>
    </row>
    <row r="35" spans="1:9" x14ac:dyDescent="0.3">
      <c r="A35" t="s">
        <v>196</v>
      </c>
      <c r="B35" s="90">
        <v>2.8147663971165547E-2</v>
      </c>
      <c r="D35" s="112" t="s">
        <v>194</v>
      </c>
      <c r="E35" s="113"/>
      <c r="F35" s="113"/>
      <c r="G35" s="113"/>
      <c r="H35" s="113"/>
      <c r="I35" s="114"/>
    </row>
    <row r="36" spans="1:9" x14ac:dyDescent="0.3">
      <c r="D36" s="115" t="s">
        <v>195</v>
      </c>
      <c r="E36" s="116"/>
      <c r="F36" s="116"/>
      <c r="G36" s="116"/>
      <c r="H36" s="116"/>
      <c r="I36" s="117"/>
    </row>
    <row r="37" spans="1:9" x14ac:dyDescent="0.3">
      <c r="D37" s="118" t="s">
        <v>164</v>
      </c>
      <c r="E37" s="119"/>
      <c r="F37" s="119"/>
      <c r="G37" s="119"/>
      <c r="H37" s="119"/>
      <c r="I37" s="120"/>
    </row>
    <row r="38" spans="1:9" x14ac:dyDescent="0.3">
      <c r="D38" s="112" t="s">
        <v>179</v>
      </c>
      <c r="E38" s="113"/>
      <c r="F38" s="113"/>
      <c r="G38" s="113"/>
      <c r="H38" s="113"/>
      <c r="I38" s="114"/>
    </row>
    <row r="39" spans="1:9" x14ac:dyDescent="0.3">
      <c r="D39" s="115" t="s">
        <v>174</v>
      </c>
      <c r="E39" s="116"/>
      <c r="F39" s="116"/>
      <c r="G39" s="116"/>
      <c r="H39" s="116"/>
      <c r="I39" s="117"/>
    </row>
    <row r="40" spans="1:9" x14ac:dyDescent="0.3">
      <c r="D40" s="115" t="s">
        <v>180</v>
      </c>
      <c r="E40" s="116"/>
      <c r="F40" s="116"/>
      <c r="G40" s="116"/>
      <c r="H40" s="116"/>
      <c r="I40" s="117"/>
    </row>
    <row r="41" spans="1:9" x14ac:dyDescent="0.3">
      <c r="D41" s="115" t="s">
        <v>181</v>
      </c>
      <c r="E41" s="116"/>
      <c r="F41" s="116"/>
      <c r="G41" s="116"/>
      <c r="H41" s="116"/>
      <c r="I41" s="117"/>
    </row>
    <row r="42" spans="1:9" x14ac:dyDescent="0.3">
      <c r="D42" s="115" t="s">
        <v>168</v>
      </c>
      <c r="E42" s="116"/>
      <c r="F42" s="116"/>
      <c r="G42" s="116"/>
      <c r="H42" s="116"/>
      <c r="I42" s="117"/>
    </row>
    <row r="43" spans="1:9" x14ac:dyDescent="0.3">
      <c r="D43" s="115" t="s">
        <v>169</v>
      </c>
      <c r="E43" s="116"/>
      <c r="F43" s="116"/>
      <c r="G43" s="116"/>
      <c r="H43" s="116"/>
      <c r="I43" s="117"/>
    </row>
    <row r="44" spans="1:9" x14ac:dyDescent="0.3">
      <c r="D44" s="115" t="s">
        <v>182</v>
      </c>
      <c r="E44" s="116"/>
      <c r="F44" s="116"/>
      <c r="G44" s="116"/>
      <c r="H44" s="116"/>
      <c r="I44" s="117"/>
    </row>
    <row r="45" spans="1:9" x14ac:dyDescent="0.3">
      <c r="D45" s="115" t="s">
        <v>183</v>
      </c>
      <c r="E45" s="116"/>
      <c r="F45" s="116"/>
      <c r="G45" s="116"/>
      <c r="H45" s="116"/>
      <c r="I45" s="117"/>
    </row>
    <row r="46" spans="1:9" x14ac:dyDescent="0.3">
      <c r="D46" s="118" t="s">
        <v>184</v>
      </c>
      <c r="E46" s="119"/>
      <c r="F46" s="119"/>
      <c r="G46" s="119"/>
      <c r="H46" s="119"/>
      <c r="I46" s="120"/>
    </row>
  </sheetData>
  <mergeCells count="15">
    <mergeCell ref="D41:I41"/>
    <mergeCell ref="D42:I42"/>
    <mergeCell ref="D43:I43"/>
    <mergeCell ref="D44:I44"/>
    <mergeCell ref="D45:I45"/>
    <mergeCell ref="D46:I46"/>
    <mergeCell ref="D35:I35"/>
    <mergeCell ref="D36:I36"/>
    <mergeCell ref="D37:I37"/>
    <mergeCell ref="D38:I38"/>
    <mergeCell ref="D39:I39"/>
    <mergeCell ref="D40:I40"/>
    <mergeCell ref="D32:I32"/>
    <mergeCell ref="D33:I33"/>
    <mergeCell ref="D34:I34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9B11B-AC72-47B4-BA32-70B23F0426B9}">
  <dimension ref="A1:H44"/>
  <sheetViews>
    <sheetView zoomScale="85" zoomScaleNormal="85" workbookViewId="0">
      <pane ySplit="4" topLeftCell="A5" activePane="bottomLeft" state="frozen"/>
      <selection pane="bottomLeft" activeCell="F20" sqref="F20"/>
    </sheetView>
  </sheetViews>
  <sheetFormatPr baseColWidth="10" defaultColWidth="8.6640625" defaultRowHeight="14.4" x14ac:dyDescent="0.3"/>
  <cols>
    <col min="1" max="1" width="24" customWidth="1"/>
    <col min="2" max="2" width="21.5546875" customWidth="1"/>
    <col min="3" max="3" width="21.6640625" customWidth="1"/>
    <col min="4" max="4" width="19.5546875" customWidth="1"/>
    <col min="5" max="5" width="16" customWidth="1"/>
    <col min="6" max="6" width="19.5546875" customWidth="1"/>
    <col min="7" max="7" width="30" customWidth="1"/>
    <col min="8" max="8" width="16.5546875" customWidth="1"/>
    <col min="9" max="9" width="18.6640625" customWidth="1"/>
  </cols>
  <sheetData>
    <row r="1" spans="1:8" x14ac:dyDescent="0.3">
      <c r="A1" s="2" t="s">
        <v>219</v>
      </c>
    </row>
    <row r="2" spans="1:8" x14ac:dyDescent="0.3">
      <c r="A2" s="3" t="s">
        <v>218</v>
      </c>
    </row>
    <row r="4" spans="1:8" ht="30" customHeight="1" x14ac:dyDescent="0.3">
      <c r="A4" s="37" t="s">
        <v>0</v>
      </c>
      <c r="B4" s="38" t="s">
        <v>217</v>
      </c>
      <c r="C4" s="38" t="s">
        <v>214</v>
      </c>
      <c r="D4" s="38" t="s">
        <v>216</v>
      </c>
      <c r="E4" s="38" t="s">
        <v>220</v>
      </c>
      <c r="F4" s="38" t="s">
        <v>215</v>
      </c>
      <c r="G4" s="38" t="s">
        <v>221</v>
      </c>
      <c r="H4" s="39" t="s">
        <v>213</v>
      </c>
    </row>
    <row r="5" spans="1:8" ht="24" customHeight="1" x14ac:dyDescent="0.3">
      <c r="A5" s="137" t="s">
        <v>3</v>
      </c>
      <c r="B5" s="138" t="s">
        <v>222</v>
      </c>
      <c r="C5" s="143">
        <v>0.205816146150611</v>
      </c>
      <c r="D5" s="138" t="s">
        <v>212</v>
      </c>
      <c r="E5" s="139">
        <v>0.20343125092467601</v>
      </c>
      <c r="F5" s="138" t="s">
        <v>223</v>
      </c>
      <c r="G5" s="128">
        <v>0.16514569013409799</v>
      </c>
      <c r="H5" s="145">
        <v>0.57439308720938498</v>
      </c>
    </row>
    <row r="6" spans="1:8" ht="24" customHeight="1" x14ac:dyDescent="0.3">
      <c r="A6" s="137" t="s">
        <v>7</v>
      </c>
      <c r="B6" s="138" t="s">
        <v>222</v>
      </c>
      <c r="C6" s="143">
        <v>0.23604445573574201</v>
      </c>
      <c r="D6" s="138" t="s">
        <v>223</v>
      </c>
      <c r="E6" s="139">
        <v>0.19467176254824201</v>
      </c>
      <c r="F6" s="138" t="s">
        <v>211</v>
      </c>
      <c r="G6" s="128">
        <v>0.120329721076975</v>
      </c>
      <c r="H6" s="145">
        <v>0.55104593936095903</v>
      </c>
    </row>
    <row r="7" spans="1:8" ht="24" customHeight="1" x14ac:dyDescent="0.3">
      <c r="A7" s="137" t="s">
        <v>2</v>
      </c>
      <c r="B7" s="138" t="s">
        <v>198</v>
      </c>
      <c r="C7" s="143">
        <v>0.414770239306468</v>
      </c>
      <c r="D7" s="138" t="s">
        <v>174</v>
      </c>
      <c r="E7" s="139">
        <v>0.40230789131779998</v>
      </c>
      <c r="F7" s="138" t="s">
        <v>210</v>
      </c>
      <c r="G7" s="128">
        <v>7.0764936830407493E-2</v>
      </c>
      <c r="H7" s="145">
        <v>0.88784306745467501</v>
      </c>
    </row>
    <row r="8" spans="1:8" ht="24" customHeight="1" x14ac:dyDescent="0.3">
      <c r="A8" s="137" t="s">
        <v>1</v>
      </c>
      <c r="B8" s="138" t="s">
        <v>222</v>
      </c>
      <c r="C8" s="143">
        <v>0.22865572968207301</v>
      </c>
      <c r="D8" s="138" t="s">
        <v>198</v>
      </c>
      <c r="E8" s="139">
        <v>0.212399552096356</v>
      </c>
      <c r="F8" s="138" t="s">
        <v>223</v>
      </c>
      <c r="G8" s="128">
        <v>0.18765267418364501</v>
      </c>
      <c r="H8" s="145">
        <v>0.62870795596207296</v>
      </c>
    </row>
    <row r="9" spans="1:8" ht="24" customHeight="1" x14ac:dyDescent="0.3">
      <c r="A9" s="137" t="s">
        <v>4</v>
      </c>
      <c r="B9" s="138" t="s">
        <v>223</v>
      </c>
      <c r="C9" s="143">
        <v>0.25745246507084801</v>
      </c>
      <c r="D9" s="138" t="s">
        <v>222</v>
      </c>
      <c r="E9" s="139">
        <v>0.22712199616357601</v>
      </c>
      <c r="F9" s="138" t="s">
        <v>198</v>
      </c>
      <c r="G9" s="128">
        <v>0.13815779713943399</v>
      </c>
      <c r="H9" s="145">
        <v>0.62273225837385704</v>
      </c>
    </row>
    <row r="10" spans="1:8" ht="24" customHeight="1" x14ac:dyDescent="0.3">
      <c r="A10" s="137" t="s">
        <v>6</v>
      </c>
      <c r="B10" s="138" t="s">
        <v>198</v>
      </c>
      <c r="C10" s="143">
        <v>0.24855229568294501</v>
      </c>
      <c r="D10" s="138" t="s">
        <v>223</v>
      </c>
      <c r="E10" s="139">
        <v>0.21929692170821199</v>
      </c>
      <c r="F10" s="138" t="s">
        <v>222</v>
      </c>
      <c r="G10" s="128">
        <v>0.187469943986659</v>
      </c>
      <c r="H10" s="145">
        <v>0.65531916137781498</v>
      </c>
    </row>
    <row r="11" spans="1:8" ht="24" customHeight="1" x14ac:dyDescent="0.3">
      <c r="A11" s="137" t="s">
        <v>5</v>
      </c>
      <c r="B11" s="138" t="s">
        <v>174</v>
      </c>
      <c r="C11" s="143">
        <v>0.609965566642791</v>
      </c>
      <c r="D11" s="138" t="s">
        <v>198</v>
      </c>
      <c r="E11" s="139">
        <v>0.303236437730182</v>
      </c>
      <c r="F11" s="138" t="s">
        <v>164</v>
      </c>
      <c r="G11" s="128">
        <v>2.9586724626585501E-2</v>
      </c>
      <c r="H11" s="145">
        <v>0.94278872899955801</v>
      </c>
    </row>
    <row r="12" spans="1:8" ht="24" customHeight="1" x14ac:dyDescent="0.3">
      <c r="A12" s="137" t="s">
        <v>12</v>
      </c>
      <c r="B12" s="138" t="s">
        <v>222</v>
      </c>
      <c r="C12" s="143">
        <v>0.24179220242293001</v>
      </c>
      <c r="D12" s="138" t="s">
        <v>223</v>
      </c>
      <c r="E12" s="139">
        <v>0.23521726949114799</v>
      </c>
      <c r="F12" s="138" t="s">
        <v>198</v>
      </c>
      <c r="G12" s="128">
        <v>0.16952527026304501</v>
      </c>
      <c r="H12" s="145">
        <v>0.64653474217712303</v>
      </c>
    </row>
    <row r="13" spans="1:8" ht="24" customHeight="1" x14ac:dyDescent="0.3">
      <c r="A13" s="137" t="s">
        <v>9</v>
      </c>
      <c r="B13" s="138" t="s">
        <v>223</v>
      </c>
      <c r="C13" s="143">
        <v>0.25462552666164201</v>
      </c>
      <c r="D13" s="138" t="s">
        <v>198</v>
      </c>
      <c r="E13" s="139">
        <v>0.17773198962756601</v>
      </c>
      <c r="F13" s="138" t="s">
        <v>222</v>
      </c>
      <c r="G13" s="128">
        <v>0.16733441033876001</v>
      </c>
      <c r="H13" s="145">
        <v>0.599691926627967</v>
      </c>
    </row>
    <row r="14" spans="1:8" ht="24" customHeight="1" x14ac:dyDescent="0.3">
      <c r="A14" s="137" t="s">
        <v>8</v>
      </c>
      <c r="B14" s="138" t="s">
        <v>174</v>
      </c>
      <c r="C14" s="143">
        <v>0.301325911999759</v>
      </c>
      <c r="D14" s="138" t="s">
        <v>198</v>
      </c>
      <c r="E14" s="139">
        <v>0.24132744908572301</v>
      </c>
      <c r="F14" s="138" t="s">
        <v>223</v>
      </c>
      <c r="G14" s="128">
        <v>0.12608283451396499</v>
      </c>
      <c r="H14" s="145">
        <v>0.66873619559944697</v>
      </c>
    </row>
    <row r="15" spans="1:8" ht="24" customHeight="1" x14ac:dyDescent="0.3">
      <c r="A15" s="137" t="s">
        <v>13</v>
      </c>
      <c r="B15" s="138" t="s">
        <v>174</v>
      </c>
      <c r="C15" s="143">
        <v>0.57230083559791001</v>
      </c>
      <c r="D15" s="138" t="s">
        <v>198</v>
      </c>
      <c r="E15" s="139">
        <v>0.163402628960329</v>
      </c>
      <c r="F15" s="138" t="s">
        <v>223</v>
      </c>
      <c r="G15" s="128">
        <v>6.7323003519920502E-2</v>
      </c>
      <c r="H15" s="145">
        <v>0.80302646807816003</v>
      </c>
    </row>
    <row r="16" spans="1:8" ht="24" customHeight="1" x14ac:dyDescent="0.3">
      <c r="A16" s="137" t="s">
        <v>10</v>
      </c>
      <c r="B16" s="138" t="s">
        <v>174</v>
      </c>
      <c r="C16" s="143">
        <v>0.505544586116499</v>
      </c>
      <c r="D16" s="138" t="s">
        <v>198</v>
      </c>
      <c r="E16" s="139">
        <v>0.32149417686797499</v>
      </c>
      <c r="F16" s="138" t="s">
        <v>164</v>
      </c>
      <c r="G16" s="128">
        <v>3.5810672539125399E-2</v>
      </c>
      <c r="H16" s="145">
        <v>0.86284943552360005</v>
      </c>
    </row>
    <row r="17" spans="1:8" ht="24" customHeight="1" x14ac:dyDescent="0.3">
      <c r="A17" s="140" t="s">
        <v>11</v>
      </c>
      <c r="B17" s="141" t="s">
        <v>222</v>
      </c>
      <c r="C17" s="144">
        <v>0.20652463694031201</v>
      </c>
      <c r="D17" s="141" t="s">
        <v>223</v>
      </c>
      <c r="E17" s="142">
        <v>0.18752744134010699</v>
      </c>
      <c r="F17" s="141" t="s">
        <v>198</v>
      </c>
      <c r="G17" s="128">
        <v>0.15049318291104599</v>
      </c>
      <c r="H17" s="146">
        <v>0.54454526119146496</v>
      </c>
    </row>
    <row r="19" spans="1:8" x14ac:dyDescent="0.3">
      <c r="A19" s="136" t="s">
        <v>209</v>
      </c>
    </row>
    <row r="20" spans="1:8" x14ac:dyDescent="0.3">
      <c r="A20" s="136" t="s">
        <v>208</v>
      </c>
    </row>
    <row r="22" spans="1:8" x14ac:dyDescent="0.3">
      <c r="A22" s="135" t="s">
        <v>207</v>
      </c>
    </row>
    <row r="23" spans="1:8" x14ac:dyDescent="0.3">
      <c r="A23" s="4" t="s">
        <v>0</v>
      </c>
      <c r="B23" s="4" t="s">
        <v>206</v>
      </c>
      <c r="C23" s="4" t="s">
        <v>205</v>
      </c>
      <c r="D23" s="4" t="s">
        <v>204</v>
      </c>
      <c r="E23" s="4" t="s">
        <v>203</v>
      </c>
    </row>
    <row r="24" spans="1:8" x14ac:dyDescent="0.3">
      <c r="A24" s="133" t="s">
        <v>5</v>
      </c>
      <c r="B24" s="134">
        <v>0.609965566642791</v>
      </c>
      <c r="C24" s="134">
        <v>0.303236437730182</v>
      </c>
      <c r="D24" s="134">
        <v>2.9586724626585501E-2</v>
      </c>
      <c r="E24" s="134">
        <v>5.7211271000442002E-2</v>
      </c>
    </row>
    <row r="25" spans="1:8" x14ac:dyDescent="0.3">
      <c r="A25" s="8" t="s">
        <v>13</v>
      </c>
      <c r="B25" s="10">
        <v>0.57230083559791001</v>
      </c>
      <c r="C25" s="10">
        <v>0.163402628960329</v>
      </c>
      <c r="D25" s="10">
        <v>6.7323003519920502E-2</v>
      </c>
      <c r="E25" s="10">
        <v>0.196973531921841</v>
      </c>
    </row>
    <row r="26" spans="1:8" x14ac:dyDescent="0.3">
      <c r="A26" s="133" t="s">
        <v>10</v>
      </c>
      <c r="B26" s="134">
        <v>0.505544586116499</v>
      </c>
      <c r="C26" s="134">
        <v>0.32149417686797499</v>
      </c>
      <c r="D26" s="134">
        <v>3.5810672539125399E-2</v>
      </c>
      <c r="E26" s="134">
        <v>0.13715056447640001</v>
      </c>
    </row>
    <row r="27" spans="1:8" x14ac:dyDescent="0.3">
      <c r="A27" s="8" t="s">
        <v>2</v>
      </c>
      <c r="B27" s="10">
        <v>0.414770239306468</v>
      </c>
      <c r="C27" s="10">
        <v>0.40230789131779998</v>
      </c>
      <c r="D27" s="10">
        <v>7.0764936830407493E-2</v>
      </c>
      <c r="E27" s="10">
        <v>0.11215693254532499</v>
      </c>
    </row>
    <row r="28" spans="1:8" x14ac:dyDescent="0.3">
      <c r="A28" s="133" t="s">
        <v>8</v>
      </c>
      <c r="B28" s="134">
        <v>0.301325911999759</v>
      </c>
      <c r="C28" s="134">
        <v>0.24132744908572301</v>
      </c>
      <c r="D28" s="134">
        <v>0.12608283451396499</v>
      </c>
      <c r="E28" s="134">
        <v>0.33126380440055297</v>
      </c>
    </row>
    <row r="29" spans="1:8" x14ac:dyDescent="0.3">
      <c r="A29" s="8" t="s">
        <v>4</v>
      </c>
      <c r="B29" s="10">
        <v>0.25745246507084801</v>
      </c>
      <c r="C29" s="10">
        <v>0.22712199616357601</v>
      </c>
      <c r="D29" s="10">
        <v>0.13815779713943399</v>
      </c>
      <c r="E29" s="10">
        <v>0.37726774162614302</v>
      </c>
    </row>
    <row r="30" spans="1:8" x14ac:dyDescent="0.3">
      <c r="A30" s="133" t="s">
        <v>9</v>
      </c>
      <c r="B30" s="134">
        <v>0.25462552666164201</v>
      </c>
      <c r="C30" s="134">
        <v>0.17773198962756601</v>
      </c>
      <c r="D30" s="134">
        <v>0.16733441033876001</v>
      </c>
      <c r="E30" s="134">
        <v>0.400308073372033</v>
      </c>
    </row>
    <row r="31" spans="1:8" x14ac:dyDescent="0.3">
      <c r="A31" s="8" t="s">
        <v>6</v>
      </c>
      <c r="B31" s="10">
        <v>0.24855229568294501</v>
      </c>
      <c r="C31" s="10">
        <v>0.21929692170821199</v>
      </c>
      <c r="D31" s="10">
        <v>0.187469943986659</v>
      </c>
      <c r="E31" s="10">
        <v>0.34468083862218502</v>
      </c>
    </row>
    <row r="32" spans="1:8" x14ac:dyDescent="0.3">
      <c r="A32" s="133" t="s">
        <v>12</v>
      </c>
      <c r="B32" s="134">
        <v>0.24179220242293001</v>
      </c>
      <c r="C32" s="134">
        <v>0.23521726949114799</v>
      </c>
      <c r="D32" s="134">
        <v>0.16952527026304501</v>
      </c>
      <c r="E32" s="134">
        <v>0.35346525782287702</v>
      </c>
    </row>
    <row r="33" spans="1:5" x14ac:dyDescent="0.3">
      <c r="A33" s="8" t="s">
        <v>7</v>
      </c>
      <c r="B33" s="10">
        <v>0.23604445573574201</v>
      </c>
      <c r="C33" s="10">
        <v>0.19467176254824201</v>
      </c>
      <c r="D33" s="10">
        <v>0.120329721076975</v>
      </c>
      <c r="E33" s="10">
        <v>0.44895406063904097</v>
      </c>
    </row>
    <row r="34" spans="1:5" x14ac:dyDescent="0.3">
      <c r="A34" s="133" t="s">
        <v>1</v>
      </c>
      <c r="B34" s="134">
        <v>0.22865572968207301</v>
      </c>
      <c r="C34" s="134">
        <v>0.212399552096356</v>
      </c>
      <c r="D34" s="134">
        <v>0.18765267418364501</v>
      </c>
      <c r="E34" s="134">
        <v>0.37129204403792698</v>
      </c>
    </row>
    <row r="35" spans="1:5" x14ac:dyDescent="0.3">
      <c r="A35" s="8" t="s">
        <v>11</v>
      </c>
      <c r="B35" s="10">
        <v>0.20652463694031201</v>
      </c>
      <c r="C35" s="10">
        <v>0.18752744134010699</v>
      </c>
      <c r="D35" s="10">
        <v>0.15049318291104599</v>
      </c>
      <c r="E35" s="10">
        <v>0.45545473880853599</v>
      </c>
    </row>
    <row r="36" spans="1:5" x14ac:dyDescent="0.3">
      <c r="A36" s="133" t="s">
        <v>3</v>
      </c>
      <c r="B36" s="134">
        <v>0.205816146150611</v>
      </c>
      <c r="C36" s="134">
        <v>0.20343125092467601</v>
      </c>
      <c r="D36" s="134">
        <v>0.16514569013409799</v>
      </c>
      <c r="E36" s="134">
        <v>0.42560691279061502</v>
      </c>
    </row>
    <row r="39" spans="1:5" x14ac:dyDescent="0.3">
      <c r="A39" s="3" t="s">
        <v>202</v>
      </c>
    </row>
    <row r="40" spans="1:5" ht="36" x14ac:dyDescent="0.3">
      <c r="A40" s="4" t="s">
        <v>201</v>
      </c>
      <c r="B40" s="4" t="s">
        <v>200</v>
      </c>
    </row>
    <row r="41" spans="1:5" ht="22.8" x14ac:dyDescent="0.3">
      <c r="A41" s="133" t="s">
        <v>199</v>
      </c>
      <c r="B41" s="132">
        <v>5</v>
      </c>
    </row>
    <row r="42" spans="1:5" x14ac:dyDescent="0.3">
      <c r="A42" s="8" t="s">
        <v>174</v>
      </c>
      <c r="B42" s="131">
        <v>4</v>
      </c>
    </row>
    <row r="43" spans="1:5" x14ac:dyDescent="0.3">
      <c r="A43" s="133" t="s">
        <v>198</v>
      </c>
      <c r="B43" s="132">
        <v>2</v>
      </c>
    </row>
    <row r="44" spans="1:5" ht="22.8" x14ac:dyDescent="0.3">
      <c r="A44" s="8" t="s">
        <v>223</v>
      </c>
      <c r="B44" s="131">
        <v>2</v>
      </c>
    </row>
  </sheetData>
  <pageMargins left="0.75" right="0.75" top="1" bottom="1" header="0.511811023622047" footer="0.511811023622047"/>
  <pageSetup paperSize="9" orientation="portrait" horizontalDpi="300" verticalDpi="300" r:id="rId1"/>
  <drawing r:id="rId2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06687-87DE-4910-BDAB-F303E5164D70}">
  <dimension ref="A1:D16"/>
  <sheetViews>
    <sheetView workbookViewId="0">
      <selection activeCell="P10" sqref="P10"/>
    </sheetView>
  </sheetViews>
  <sheetFormatPr baseColWidth="10" defaultRowHeight="14.4" x14ac:dyDescent="0.3"/>
  <cols>
    <col min="1" max="1" width="18.33203125" customWidth="1"/>
    <col min="2" max="2" width="18.109375" customWidth="1"/>
  </cols>
  <sheetData>
    <row r="1" spans="1:4" ht="28.2" thickBot="1" x14ac:dyDescent="0.35">
      <c r="A1" s="100" t="s">
        <v>160</v>
      </c>
      <c r="B1" s="149" t="s">
        <v>225</v>
      </c>
      <c r="D1" t="s">
        <v>226</v>
      </c>
    </row>
    <row r="2" spans="1:4" x14ac:dyDescent="0.3">
      <c r="A2" s="101" t="s">
        <v>9</v>
      </c>
      <c r="B2" s="150">
        <v>13273.570199861168</v>
      </c>
      <c r="C2">
        <f>B2/$B$16</f>
        <v>13.273570199861167</v>
      </c>
      <c r="D2" s="150">
        <v>33502.500935997596</v>
      </c>
    </row>
    <row r="3" spans="1:4" x14ac:dyDescent="0.3">
      <c r="A3" s="103" t="s">
        <v>1</v>
      </c>
      <c r="B3" s="150">
        <v>14397.042175288665</v>
      </c>
      <c r="C3">
        <f t="shared" ref="C3:C14" si="0">B3/$B$16</f>
        <v>14.397042175288664</v>
      </c>
      <c r="D3" s="150">
        <v>33502.500935997596</v>
      </c>
    </row>
    <row r="4" spans="1:4" x14ac:dyDescent="0.3">
      <c r="A4" s="101" t="s">
        <v>13</v>
      </c>
      <c r="B4" s="150">
        <v>15453.831320980646</v>
      </c>
      <c r="C4">
        <f t="shared" si="0"/>
        <v>15.453831320980646</v>
      </c>
      <c r="D4" s="150">
        <v>33502.500935997596</v>
      </c>
    </row>
    <row r="5" spans="1:4" ht="27.6" x14ac:dyDescent="0.3">
      <c r="A5" s="101" t="s">
        <v>4</v>
      </c>
      <c r="B5" s="150">
        <v>15456.408602689758</v>
      </c>
      <c r="C5">
        <f t="shared" si="0"/>
        <v>15.456408602689759</v>
      </c>
      <c r="D5" s="150">
        <v>33502.500935997596</v>
      </c>
    </row>
    <row r="6" spans="1:4" ht="27.6" x14ac:dyDescent="0.3">
      <c r="A6" s="101" t="s">
        <v>6</v>
      </c>
      <c r="B6" s="150">
        <v>16005.822577429308</v>
      </c>
      <c r="C6">
        <f t="shared" si="0"/>
        <v>16.005822577429306</v>
      </c>
      <c r="D6" s="150">
        <v>33502.500935997596</v>
      </c>
    </row>
    <row r="7" spans="1:4" ht="27.6" x14ac:dyDescent="0.3">
      <c r="A7" s="101" t="s">
        <v>11</v>
      </c>
      <c r="B7" s="150">
        <v>16075.219831773908</v>
      </c>
      <c r="C7">
        <f t="shared" si="0"/>
        <v>16.075219831773907</v>
      </c>
      <c r="D7" s="150">
        <v>33502.500935997596</v>
      </c>
    </row>
    <row r="8" spans="1:4" x14ac:dyDescent="0.3">
      <c r="A8" s="101" t="s">
        <v>8</v>
      </c>
      <c r="B8" s="150">
        <v>16713.600320305155</v>
      </c>
      <c r="C8">
        <f t="shared" si="0"/>
        <v>16.713600320305154</v>
      </c>
      <c r="D8" s="150">
        <v>33502.500935997596</v>
      </c>
    </row>
    <row r="9" spans="1:4" x14ac:dyDescent="0.3">
      <c r="A9" s="101" t="s">
        <v>5</v>
      </c>
      <c r="B9" s="150">
        <v>19965.039496850306</v>
      </c>
      <c r="C9">
        <f t="shared" si="0"/>
        <v>19.965039496850306</v>
      </c>
      <c r="D9" s="150">
        <v>33502.500935997596</v>
      </c>
    </row>
    <row r="10" spans="1:4" ht="27.6" x14ac:dyDescent="0.3">
      <c r="A10" s="101" t="s">
        <v>2</v>
      </c>
      <c r="B10" s="150">
        <v>23217.444763224576</v>
      </c>
      <c r="C10">
        <f t="shared" si="0"/>
        <v>23.217444763224577</v>
      </c>
      <c r="D10" s="150">
        <v>33502.500935997596</v>
      </c>
    </row>
    <row r="11" spans="1:4" ht="27.6" x14ac:dyDescent="0.3">
      <c r="A11" s="101" t="s">
        <v>3</v>
      </c>
      <c r="B11" s="150">
        <v>24915.088049598678</v>
      </c>
      <c r="C11">
        <f t="shared" si="0"/>
        <v>24.91508804959868</v>
      </c>
      <c r="D11" s="150">
        <v>33502.500935997596</v>
      </c>
    </row>
    <row r="12" spans="1:4" x14ac:dyDescent="0.3">
      <c r="A12" s="101" t="s">
        <v>10</v>
      </c>
      <c r="B12" s="150">
        <v>25291.161425188751</v>
      </c>
      <c r="C12">
        <f t="shared" si="0"/>
        <v>25.291161425188751</v>
      </c>
      <c r="D12" s="150">
        <v>33502.500935997596</v>
      </c>
    </row>
    <row r="13" spans="1:4" x14ac:dyDescent="0.3">
      <c r="A13" s="101" t="s">
        <v>12</v>
      </c>
      <c r="B13" s="150">
        <v>27687.496187972061</v>
      </c>
      <c r="C13">
        <f t="shared" si="0"/>
        <v>27.687496187972062</v>
      </c>
      <c r="D13" s="150">
        <v>33502.500935997596</v>
      </c>
    </row>
    <row r="14" spans="1:4" x14ac:dyDescent="0.3">
      <c r="A14" s="104" t="s">
        <v>7</v>
      </c>
      <c r="B14" s="150">
        <v>58007.040966705172</v>
      </c>
      <c r="C14">
        <f t="shared" si="0"/>
        <v>58.007040966705169</v>
      </c>
      <c r="D14" s="150">
        <v>33502.500935997596</v>
      </c>
    </row>
    <row r="16" spans="1:4" x14ac:dyDescent="0.3">
      <c r="B16" s="151">
        <v>1000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80561-3890-4971-9A35-D1378C1F7A1B}">
  <dimension ref="A1:L33"/>
  <sheetViews>
    <sheetView topLeftCell="A17" workbookViewId="0">
      <selection activeCell="O24" sqref="O24"/>
    </sheetView>
  </sheetViews>
  <sheetFormatPr baseColWidth="10" defaultRowHeight="14.4" x14ac:dyDescent="0.3"/>
  <cols>
    <col min="2" max="2" width="22.6640625" customWidth="1"/>
  </cols>
  <sheetData>
    <row r="1" spans="1:12" x14ac:dyDescent="0.3">
      <c r="A1" t="s">
        <v>227</v>
      </c>
      <c r="B1" t="s">
        <v>0</v>
      </c>
      <c r="C1" t="s">
        <v>27</v>
      </c>
      <c r="D1" t="s">
        <v>15</v>
      </c>
      <c r="E1" t="s">
        <v>228</v>
      </c>
      <c r="F1" t="s">
        <v>229</v>
      </c>
      <c r="G1" t="s">
        <v>230</v>
      </c>
      <c r="H1" s="106" t="s">
        <v>231</v>
      </c>
      <c r="I1" t="s">
        <v>232</v>
      </c>
      <c r="J1" t="s">
        <v>233</v>
      </c>
      <c r="K1" t="s">
        <v>234</v>
      </c>
      <c r="L1" t="s">
        <v>235</v>
      </c>
    </row>
    <row r="2" spans="1:12" x14ac:dyDescent="0.3">
      <c r="A2" t="s">
        <v>236</v>
      </c>
      <c r="B2" s="153" t="s">
        <v>2</v>
      </c>
      <c r="C2" t="s">
        <v>237</v>
      </c>
      <c r="D2" t="s">
        <v>238</v>
      </c>
      <c r="E2" t="s">
        <v>0</v>
      </c>
      <c r="F2" s="149">
        <v>30</v>
      </c>
      <c r="G2" s="152">
        <v>26.476161956787109</v>
      </c>
      <c r="H2" s="152">
        <v>4.9674811363220215</v>
      </c>
      <c r="I2" s="152">
        <v>3.1750907897949219</v>
      </c>
      <c r="J2" s="152">
        <v>10.638298034667969</v>
      </c>
      <c r="K2" s="152">
        <v>9441.3447419886834</v>
      </c>
      <c r="L2" s="152">
        <v>40.474203960969909</v>
      </c>
    </row>
    <row r="3" spans="1:12" x14ac:dyDescent="0.3">
      <c r="A3" t="s">
        <v>239</v>
      </c>
      <c r="B3" s="154" t="s">
        <v>6</v>
      </c>
      <c r="C3" t="s">
        <v>240</v>
      </c>
      <c r="D3" t="s">
        <v>238</v>
      </c>
      <c r="E3" t="s">
        <v>0</v>
      </c>
      <c r="F3" s="149">
        <v>2</v>
      </c>
      <c r="G3" s="152">
        <v>13.244481086730957</v>
      </c>
      <c r="H3" s="152">
        <v>6.7471885681152344</v>
      </c>
      <c r="I3" s="152">
        <v>12.494793891906738</v>
      </c>
      <c r="J3" s="152">
        <v>14.465409278869629</v>
      </c>
      <c r="K3" s="152">
        <v>10334.087395240167</v>
      </c>
      <c r="L3" s="152">
        <v>15.583317968388286</v>
      </c>
    </row>
    <row r="4" spans="1:12" x14ac:dyDescent="0.3">
      <c r="A4" t="s">
        <v>241</v>
      </c>
      <c r="B4" s="153" t="s">
        <v>5</v>
      </c>
      <c r="C4" t="s">
        <v>240</v>
      </c>
      <c r="D4" t="s">
        <v>238</v>
      </c>
      <c r="E4" t="s">
        <v>0</v>
      </c>
      <c r="F4" s="149">
        <v>9</v>
      </c>
      <c r="G4" s="152">
        <v>11.56615161895752</v>
      </c>
      <c r="H4" s="152">
        <v>6.8452730178833008</v>
      </c>
      <c r="I4" s="152">
        <v>1.4162634611129761</v>
      </c>
      <c r="J4" s="152">
        <v>12.244897842407227</v>
      </c>
      <c r="K4" s="152">
        <v>9755.0959578044112</v>
      </c>
      <c r="L4" s="152">
        <v>23.837426534606969</v>
      </c>
    </row>
    <row r="5" spans="1:12" ht="27.6" x14ac:dyDescent="0.3">
      <c r="A5" t="s">
        <v>242</v>
      </c>
      <c r="B5" s="101" t="s">
        <v>9</v>
      </c>
      <c r="C5" t="s">
        <v>240</v>
      </c>
      <c r="D5" t="s">
        <v>238</v>
      </c>
      <c r="E5" t="s">
        <v>0</v>
      </c>
      <c r="F5" s="149">
        <v>2</v>
      </c>
      <c r="G5" s="152">
        <v>8.0653495788574219</v>
      </c>
      <c r="H5" s="152">
        <v>8.2721538543701172</v>
      </c>
      <c r="I5" s="152">
        <v>15.510288238525391</v>
      </c>
      <c r="J5" s="152">
        <v>12.820512771606445</v>
      </c>
      <c r="K5" s="152">
        <v>8137.4099980918127</v>
      </c>
      <c r="L5" s="152">
        <v>13.323284401518936</v>
      </c>
    </row>
    <row r="6" spans="1:12" ht="27.6" x14ac:dyDescent="0.3">
      <c r="A6" t="s">
        <v>243</v>
      </c>
      <c r="B6" s="153" t="s">
        <v>10</v>
      </c>
      <c r="C6" t="s">
        <v>240</v>
      </c>
      <c r="D6" t="s">
        <v>238</v>
      </c>
      <c r="E6" t="s">
        <v>0</v>
      </c>
      <c r="F6" s="149">
        <v>13</v>
      </c>
      <c r="G6" s="152">
        <v>25.395303726196289</v>
      </c>
      <c r="H6" s="152">
        <v>8.8643989562988281</v>
      </c>
      <c r="I6" s="152">
        <v>3.3540968894958496</v>
      </c>
      <c r="J6" s="152">
        <v>20.754716873168945</v>
      </c>
      <c r="K6" s="152">
        <v>10150.379258060782</v>
      </c>
      <c r="L6" s="152">
        <v>23.309491548577395</v>
      </c>
    </row>
    <row r="7" spans="1:12" ht="27.6" x14ac:dyDescent="0.3">
      <c r="A7" t="s">
        <v>244</v>
      </c>
      <c r="B7" s="101" t="s">
        <v>7</v>
      </c>
      <c r="C7" t="s">
        <v>240</v>
      </c>
      <c r="D7" t="s">
        <v>238</v>
      </c>
      <c r="E7" t="s">
        <v>0</v>
      </c>
      <c r="F7" s="149">
        <v>17</v>
      </c>
      <c r="G7" s="152">
        <v>23.689319610595703</v>
      </c>
      <c r="H7" s="152">
        <v>7.2815532684326172</v>
      </c>
      <c r="I7" s="152">
        <v>4.7572817802429199</v>
      </c>
      <c r="J7" s="152">
        <v>13.934426307678223</v>
      </c>
      <c r="K7" s="152">
        <v>30129.635799388459</v>
      </c>
      <c r="L7" s="152">
        <v>8.6940541978186801</v>
      </c>
    </row>
    <row r="8" spans="1:12" x14ac:dyDescent="0.3">
      <c r="A8" t="s">
        <v>245</v>
      </c>
      <c r="B8" s="153" t="s">
        <v>13</v>
      </c>
      <c r="C8" t="s">
        <v>240</v>
      </c>
      <c r="D8" t="s">
        <v>238</v>
      </c>
      <c r="E8" t="s">
        <v>0</v>
      </c>
      <c r="F8" s="149">
        <v>5</v>
      </c>
      <c r="G8" s="152">
        <v>10.395610809326172</v>
      </c>
      <c r="H8" s="152">
        <v>7.3635578155517578</v>
      </c>
      <c r="I8" s="152">
        <v>5.630955696105957</v>
      </c>
      <c r="J8" s="152">
        <v>9.7222223281860352</v>
      </c>
      <c r="K8" s="152">
        <v>7791.0122064608695</v>
      </c>
      <c r="L8" s="152">
        <v>16.198436793573819</v>
      </c>
    </row>
    <row r="9" spans="1:12" x14ac:dyDescent="0.3">
      <c r="A9" t="s">
        <v>246</v>
      </c>
      <c r="B9" s="101" t="s">
        <v>1</v>
      </c>
      <c r="C9" t="s">
        <v>240</v>
      </c>
      <c r="D9" t="s">
        <v>238</v>
      </c>
      <c r="E9" t="s">
        <v>0</v>
      </c>
      <c r="F9" s="149">
        <v>23</v>
      </c>
      <c r="G9" s="152">
        <v>9.0451908111572266</v>
      </c>
      <c r="H9" s="152">
        <v>3.492351770401001</v>
      </c>
      <c r="I9" s="152">
        <v>2.5494167804718018</v>
      </c>
      <c r="J9" s="152">
        <v>15.057914733886719</v>
      </c>
      <c r="K9" s="152">
        <v>8266.5030197001615</v>
      </c>
      <c r="L9" s="152">
        <v>17.017016251401923</v>
      </c>
    </row>
    <row r="10" spans="1:12" ht="27.6" x14ac:dyDescent="0.3">
      <c r="A10" t="s">
        <v>247</v>
      </c>
      <c r="B10" s="153" t="s">
        <v>8</v>
      </c>
      <c r="C10" t="s">
        <v>240</v>
      </c>
      <c r="D10" t="s">
        <v>238</v>
      </c>
      <c r="E10" t="s">
        <v>0</v>
      </c>
      <c r="F10" s="149">
        <v>15</v>
      </c>
      <c r="G10" s="152">
        <v>17.636220932006836</v>
      </c>
      <c r="H10" s="152">
        <v>3.290339469909668</v>
      </c>
      <c r="I10" s="152">
        <v>3.9484074115753174</v>
      </c>
      <c r="J10" s="152">
        <v>20.895523071289063</v>
      </c>
      <c r="K10" s="152">
        <v>8708.7613263771636</v>
      </c>
      <c r="L10" s="152">
        <v>21.171582361240009</v>
      </c>
    </row>
    <row r="11" spans="1:12" ht="27.6" x14ac:dyDescent="0.3">
      <c r="A11" t="s">
        <v>248</v>
      </c>
      <c r="B11" s="101" t="s">
        <v>11</v>
      </c>
      <c r="C11" t="s">
        <v>240</v>
      </c>
      <c r="D11" t="s">
        <v>238</v>
      </c>
      <c r="E11" t="s">
        <v>0</v>
      </c>
      <c r="F11" s="149">
        <v>1</v>
      </c>
      <c r="G11" s="152">
        <v>23.532453536987305</v>
      </c>
      <c r="H11" s="152">
        <v>13.447116851806641</v>
      </c>
      <c r="I11" s="152">
        <v>9.8267393112182617</v>
      </c>
      <c r="J11" s="152">
        <v>15.384614944458008</v>
      </c>
      <c r="K11" s="152">
        <v>9956.826629603298</v>
      </c>
      <c r="L11" s="152">
        <v>8.6325780484199424</v>
      </c>
    </row>
    <row r="12" spans="1:12" x14ac:dyDescent="0.3">
      <c r="A12" t="s">
        <v>249</v>
      </c>
      <c r="B12" s="153" t="s">
        <v>12</v>
      </c>
      <c r="C12" t="s">
        <v>240</v>
      </c>
      <c r="D12" t="s">
        <v>238</v>
      </c>
      <c r="E12" t="s">
        <v>0</v>
      </c>
      <c r="F12" s="149">
        <v>9</v>
      </c>
      <c r="G12" s="152">
        <v>29.85645866394043</v>
      </c>
      <c r="H12" s="152">
        <v>11.291866302490234</v>
      </c>
      <c r="I12" s="152">
        <v>4.4019136428833008</v>
      </c>
      <c r="J12" s="152">
        <v>16.025640487670898</v>
      </c>
      <c r="K12" s="152">
        <v>14253.933755188727</v>
      </c>
      <c r="L12" s="152">
        <v>18.490865895373641</v>
      </c>
    </row>
    <row r="13" spans="1:12" x14ac:dyDescent="0.3">
      <c r="A13" t="s">
        <v>250</v>
      </c>
      <c r="B13" s="101" t="s">
        <v>4</v>
      </c>
      <c r="C13" t="s">
        <v>240</v>
      </c>
      <c r="D13" t="s">
        <v>238</v>
      </c>
      <c r="E13" t="s">
        <v>0</v>
      </c>
      <c r="F13" s="149">
        <v>10</v>
      </c>
      <c r="G13" s="152">
        <v>10.61934757232666</v>
      </c>
      <c r="H13" s="152">
        <v>7.741847038269043</v>
      </c>
      <c r="I13" s="152">
        <v>3.768155574798584</v>
      </c>
      <c r="J13" s="152">
        <v>15.483870506286621</v>
      </c>
      <c r="K13" s="152">
        <v>8968.9030383903209</v>
      </c>
      <c r="L13" s="152">
        <v>10.160001675255105</v>
      </c>
    </row>
    <row r="14" spans="1:12" x14ac:dyDescent="0.3">
      <c r="A14" t="s">
        <v>251</v>
      </c>
      <c r="B14" s="155" t="s">
        <v>3</v>
      </c>
      <c r="C14" t="s">
        <v>240</v>
      </c>
      <c r="D14" t="s">
        <v>238</v>
      </c>
      <c r="E14" t="s">
        <v>0</v>
      </c>
      <c r="F14" s="149">
        <v>69</v>
      </c>
      <c r="G14" s="152">
        <v>26.484060287475586</v>
      </c>
      <c r="H14" s="152">
        <v>8.0041723251342773</v>
      </c>
      <c r="I14" s="152">
        <v>13.718198776245117</v>
      </c>
      <c r="J14" s="152">
        <v>15.496575355529785</v>
      </c>
      <c r="K14" s="152">
        <v>13726.950748425705</v>
      </c>
      <c r="L14" s="152">
        <v>7.2596498880159626</v>
      </c>
    </row>
    <row r="15" spans="1:12" x14ac:dyDescent="0.3">
      <c r="A15" t="s">
        <v>252</v>
      </c>
      <c r="B15" t="s">
        <v>253</v>
      </c>
      <c r="C15" t="s">
        <v>240</v>
      </c>
      <c r="D15" t="s">
        <v>254</v>
      </c>
      <c r="E15" t="s">
        <v>255</v>
      </c>
      <c r="F15" s="149">
        <v>373</v>
      </c>
      <c r="G15" s="152">
        <v>23.42896</v>
      </c>
      <c r="H15" s="152"/>
      <c r="I15" s="152"/>
      <c r="J15" s="152"/>
      <c r="K15" s="152"/>
      <c r="L15" s="152"/>
    </row>
    <row r="16" spans="1:12" x14ac:dyDescent="0.3">
      <c r="A16" t="s">
        <v>256</v>
      </c>
      <c r="B16" t="s">
        <v>257</v>
      </c>
      <c r="C16" t="s">
        <v>258</v>
      </c>
      <c r="D16" t="s">
        <v>258</v>
      </c>
      <c r="E16" t="s">
        <v>259</v>
      </c>
      <c r="F16" s="149">
        <v>23537</v>
      </c>
      <c r="G16" s="152">
        <v>33.409309999999998</v>
      </c>
      <c r="H16" s="152"/>
      <c r="I16" s="152"/>
      <c r="J16" s="152"/>
      <c r="K16" s="152"/>
      <c r="L16" s="152"/>
    </row>
    <row r="17" spans="1:12" x14ac:dyDescent="0.3">
      <c r="A17" t="s">
        <v>260</v>
      </c>
      <c r="B17" t="s">
        <v>261</v>
      </c>
      <c r="C17" t="s">
        <v>262</v>
      </c>
      <c r="D17" t="s">
        <v>238</v>
      </c>
      <c r="E17" t="s">
        <v>263</v>
      </c>
      <c r="F17" s="152">
        <v>15.769230842590332</v>
      </c>
      <c r="G17" s="152">
        <v>18.154316168565018</v>
      </c>
      <c r="H17" s="152">
        <v>7.5084077211526727</v>
      </c>
      <c r="I17" s="152">
        <v>6.5039694034136257</v>
      </c>
      <c r="J17" s="152">
        <v>14.840355579669659</v>
      </c>
      <c r="K17" s="152">
        <v>11509.29568267081</v>
      </c>
      <c r="L17" s="152">
        <v>17.242454578858506</v>
      </c>
    </row>
    <row r="20" spans="1:12" x14ac:dyDescent="0.3">
      <c r="A20" t="s">
        <v>0</v>
      </c>
      <c r="B20" t="s">
        <v>230</v>
      </c>
      <c r="C20" t="s">
        <v>135</v>
      </c>
    </row>
    <row r="21" spans="1:12" x14ac:dyDescent="0.3">
      <c r="A21" s="101" t="s">
        <v>9</v>
      </c>
      <c r="B21" s="152">
        <v>8.0653495788574219</v>
      </c>
      <c r="C21" s="152">
        <v>18.154316168565018</v>
      </c>
    </row>
    <row r="22" spans="1:12" x14ac:dyDescent="0.3">
      <c r="A22" s="154" t="s">
        <v>1</v>
      </c>
      <c r="B22" s="152">
        <v>9.0451908111572266</v>
      </c>
      <c r="C22" s="152">
        <v>18.154316168565018</v>
      </c>
    </row>
    <row r="23" spans="1:12" x14ac:dyDescent="0.3">
      <c r="A23" s="153" t="s">
        <v>13</v>
      </c>
      <c r="B23" s="152">
        <v>10.395610809326172</v>
      </c>
      <c r="C23" s="152">
        <v>18.154316168565018</v>
      </c>
    </row>
    <row r="24" spans="1:12" ht="27.6" x14ac:dyDescent="0.3">
      <c r="A24" s="101" t="s">
        <v>4</v>
      </c>
      <c r="B24" s="152">
        <v>10.61934757232666</v>
      </c>
      <c r="C24" s="152">
        <v>18.154316168565018</v>
      </c>
    </row>
    <row r="25" spans="1:12" ht="27.6" x14ac:dyDescent="0.3">
      <c r="A25" s="153" t="s">
        <v>5</v>
      </c>
      <c r="B25" s="152">
        <v>11.56615161895752</v>
      </c>
      <c r="C25" s="152">
        <v>18.154316168565018</v>
      </c>
    </row>
    <row r="26" spans="1:12" ht="27.6" x14ac:dyDescent="0.3">
      <c r="A26" s="101" t="s">
        <v>6</v>
      </c>
      <c r="B26" s="152">
        <v>13.244481086730957</v>
      </c>
      <c r="C26" s="152">
        <v>18.154316168565018</v>
      </c>
    </row>
    <row r="27" spans="1:12" x14ac:dyDescent="0.3">
      <c r="A27" s="153" t="s">
        <v>8</v>
      </c>
      <c r="B27" s="152">
        <v>17.636220932006836</v>
      </c>
      <c r="C27" s="152">
        <v>18.154316168565018</v>
      </c>
    </row>
    <row r="28" spans="1:12" x14ac:dyDescent="0.3">
      <c r="A28" s="101" t="s">
        <v>11</v>
      </c>
      <c r="B28" s="152">
        <v>23.532453536987305</v>
      </c>
      <c r="C28" s="152">
        <v>18.154316168565018</v>
      </c>
    </row>
    <row r="29" spans="1:12" ht="27.6" x14ac:dyDescent="0.3">
      <c r="A29" s="101" t="s">
        <v>7</v>
      </c>
      <c r="B29" s="152">
        <v>23.689319610595703</v>
      </c>
      <c r="C29" s="152">
        <v>18.154316168565018</v>
      </c>
    </row>
    <row r="30" spans="1:12" ht="27.6" x14ac:dyDescent="0.3">
      <c r="A30" s="153" t="s">
        <v>10</v>
      </c>
      <c r="B30" s="152">
        <v>25.395303726196289</v>
      </c>
      <c r="C30" s="152">
        <v>18.154316168565018</v>
      </c>
    </row>
    <row r="31" spans="1:12" x14ac:dyDescent="0.3">
      <c r="A31" s="153" t="s">
        <v>2</v>
      </c>
      <c r="B31" s="152">
        <v>26.476161956787109</v>
      </c>
      <c r="C31" s="152">
        <v>18.154316168565018</v>
      </c>
    </row>
    <row r="32" spans="1:12" x14ac:dyDescent="0.3">
      <c r="A32" s="153" t="s">
        <v>3</v>
      </c>
      <c r="B32" s="152">
        <v>26.484060287475586</v>
      </c>
      <c r="C32" s="152">
        <v>18.154316168565018</v>
      </c>
    </row>
    <row r="33" spans="1:3" x14ac:dyDescent="0.3">
      <c r="A33" s="155" t="s">
        <v>12</v>
      </c>
      <c r="B33" s="152">
        <v>29.85645866394043</v>
      </c>
      <c r="C33" s="152">
        <v>18.154316168565018</v>
      </c>
    </row>
  </sheetData>
  <autoFilter ref="A20:B33" xr:uid="{E4880561-3890-4971-9A35-D1378C1F7A1B}">
    <sortState xmlns:xlrd2="http://schemas.microsoft.com/office/spreadsheetml/2017/richdata2" ref="A21:B33">
      <sortCondition ref="B20:B33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Gráfico_IPM</vt:lpstr>
      <vt:lpstr>Gráfico_Pobreza (2)</vt:lpstr>
      <vt:lpstr>Gráfico_IDE</vt:lpstr>
      <vt:lpstr>T20 Gini</vt:lpstr>
      <vt:lpstr>T21 Ocupación Informalidad</vt:lpstr>
      <vt:lpstr>T22 Desocupación NINIs</vt:lpstr>
      <vt:lpstr>T23 Valor Agregado</vt:lpstr>
      <vt:lpstr>T24 Distribución VA</vt:lpstr>
      <vt:lpstr>T25 Capacidad Instalada SIN</vt:lpstr>
      <vt:lpstr>T26 Centrales Generación</vt:lpstr>
      <vt:lpstr>T28 Licencias Mineras</vt:lpstr>
      <vt:lpstr>T29 Visitantes Extranjeros</vt:lpstr>
      <vt:lpstr>T30 Valor Agregado Terciarias</vt:lpstr>
      <vt:lpstr>T31 Valor gregado Por sectores</vt:lpstr>
      <vt:lpstr>Top3 Sectores VA Municipal</vt:lpstr>
      <vt:lpstr>VA per cápira 2024</vt:lpstr>
      <vt:lpstr>Densidad empresarial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Laura Peña Agualimpia</cp:lastModifiedBy>
  <cp:revision>3</cp:revision>
  <dcterms:created xsi:type="dcterms:W3CDTF">2026-06-24T22:14:15Z</dcterms:created>
  <dcterms:modified xsi:type="dcterms:W3CDTF">2026-07-02T17:07:38Z</dcterms:modified>
  <dc:language>en-US</dc:language>
</cp:coreProperties>
</file>
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LAURA\Trabajo\EAFIT\Proyectos\Provincias\git\Proyecto-Provincias\03_Outputs\Gráficos\"/>
    </mc:Choice>
  </mc:AlternateContent>
  <xr:revisionPtr revIDLastSave="0" documentId="13_ncr:1_{A7CFA6D6-BA73-410D-937F-89328A4EF7AD}" xr6:coauthVersionLast="47" xr6:coauthVersionMax="47" xr10:uidLastSave="{00000000-0000-0000-0000-000000000000}"/>
  <bookViews>
    <workbookView xWindow="-108" yWindow="-108" windowWidth="23256" windowHeight="12456" tabRatio="500" firstSheet="3" activeTab="5" xr2:uid="{00000000-000D-0000-FFFF-FFFF00000000}"/>
  </bookViews>
  <sheets>
    <sheet name="Gráfica_pirámide" sheetId="9" r:id="rId1"/>
    <sheet name="T1 Extensión territorial" sheetId="1" r:id="rId2"/>
    <sheet name="T2 Población 2025" sheetId="2" r:id="rId3"/>
    <sheet name="T3 Densidad poblacional" sheetId="6" r:id="rId4"/>
    <sheet name="T4 Natalidad Mortalidad IE" sheetId="7" r:id="rId5"/>
    <sheet name="T5 Migración" sheetId="8" r:id="rId6"/>
  </sheets>
  <definedNames>
    <definedName name="_xlchart.v1.0" hidden="1">'T1 Extensión territorial'!$C$3</definedName>
    <definedName name="_xlchart.v1.1" hidden="1">('T1 Extensión territorial'!$A$21:$A$27,'T1 Extensión territorial'!$A$35)</definedName>
    <definedName name="_xlchart.v1.2" hidden="1">('T1 Extensión territorial'!$C$21:$C$27,'T1 Extensión territorial'!$C$35)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5" i="1" l="1"/>
  <c r="B35" i="1"/>
  <c r="C33" i="1"/>
  <c r="C32" i="1"/>
  <c r="C31" i="1"/>
  <c r="C30" i="1"/>
  <c r="C29" i="1"/>
  <c r="C28" i="1"/>
  <c r="C27" i="1"/>
  <c r="C26" i="1"/>
  <c r="C25" i="1"/>
  <c r="C24" i="1"/>
  <c r="C23" i="1"/>
  <c r="C22" i="1"/>
  <c r="C21" i="1"/>
  <c r="D4" i="6"/>
  <c r="D5" i="6"/>
  <c r="D6" i="6"/>
  <c r="D7" i="6"/>
  <c r="D8" i="6"/>
  <c r="D9" i="6"/>
  <c r="D10" i="6"/>
  <c r="D11" i="6"/>
  <c r="D12" i="6"/>
  <c r="D13" i="6"/>
  <c r="D14" i="6"/>
  <c r="D15" i="6"/>
  <c r="D16" i="6"/>
  <c r="D17" i="6"/>
  <c r="D18" i="6"/>
  <c r="D19" i="6"/>
  <c r="D22" i="6"/>
  <c r="F19" i="2"/>
  <c r="D19" i="2"/>
  <c r="F18" i="2"/>
  <c r="D18" i="2"/>
  <c r="E17" i="2"/>
  <c r="F17" i="2" s="1"/>
  <c r="C17" i="2"/>
  <c r="D17" i="2" s="1"/>
  <c r="B17" i="2"/>
  <c r="F16" i="2"/>
  <c r="D16" i="2"/>
  <c r="F15" i="2"/>
  <c r="D15" i="2"/>
  <c r="F14" i="2"/>
  <c r="D14" i="2"/>
  <c r="F13" i="2"/>
  <c r="D13" i="2"/>
  <c r="F12" i="2"/>
  <c r="D12" i="2"/>
  <c r="F11" i="2"/>
  <c r="D11" i="2"/>
  <c r="F10" i="2"/>
  <c r="D10" i="2"/>
  <c r="F9" i="2"/>
  <c r="D9" i="2"/>
  <c r="F8" i="2"/>
  <c r="D8" i="2"/>
  <c r="F7" i="2"/>
  <c r="D7" i="2"/>
  <c r="F6" i="2"/>
  <c r="D6" i="2"/>
  <c r="F5" i="2"/>
  <c r="D5" i="2"/>
  <c r="F4" i="2"/>
  <c r="D4" i="2"/>
  <c r="C16" i="1"/>
  <c r="C15" i="1"/>
  <c r="C14" i="1"/>
  <c r="C13" i="1"/>
  <c r="C12" i="1"/>
  <c r="C11" i="1"/>
  <c r="C10" i="1"/>
  <c r="C9" i="1"/>
  <c r="C8" i="1"/>
  <c r="C7" i="1"/>
  <c r="C6" i="1"/>
  <c r="C5" i="1"/>
  <c r="C4" i="1"/>
</calcChain>
</file>

<file path=xl/sharedStrings.xml><?xml version="1.0" encoding="utf-8"?>
<sst xmlns="http://schemas.openxmlformats.org/spreadsheetml/2006/main" count="172" uniqueCount="73">
  <si>
    <t>T1. Extensión territorial — PAP Bio-energética del Norte de Antioquia</t>
  </si>
  <si>
    <t>Municipio</t>
  </si>
  <si>
    <t>km²</t>
  </si>
  <si>
    <t>% PAP</t>
  </si>
  <si>
    <t>Ituango</t>
  </si>
  <si>
    <t>Anorí</t>
  </si>
  <si>
    <t>Yarumal</t>
  </si>
  <si>
    <t>Valdivia</t>
  </si>
  <si>
    <t>Briceño</t>
  </si>
  <si>
    <t>Angostura</t>
  </si>
  <si>
    <t>Gómez Plata</t>
  </si>
  <si>
    <t>San Andrés de Cuerquia</t>
  </si>
  <si>
    <t>Campamento</t>
  </si>
  <si>
    <t>Carolina del Príncipe</t>
  </si>
  <si>
    <t>San José de la Montaña</t>
  </si>
  <si>
    <t>Toledo</t>
  </si>
  <si>
    <t>Guadalupe</t>
  </si>
  <si>
    <t>Total Provincia</t>
  </si>
  <si>
    <t>100%</t>
  </si>
  <si>
    <t>T2. Proyecciones de población 2025 — PAP Bio-energética del Norte de Antioquia</t>
  </si>
  <si>
    <t>Pob. total</t>
  </si>
  <si>
    <t>Pob. urbana</t>
  </si>
  <si>
    <t>% urbana</t>
  </si>
  <si>
    <t>Pob. rural</t>
  </si>
  <si>
    <t>% rural</t>
  </si>
  <si>
    <t>Subregión Norte</t>
  </si>
  <si>
    <t>Departamento de Antioquia</t>
  </si>
  <si>
    <t>% Urbana</t>
  </si>
  <si>
    <t>% Rural</t>
  </si>
  <si>
    <t>Área (km²)</t>
  </si>
  <si>
    <t>Densidad (hab/km²)</t>
  </si>
  <si>
    <t>Tasa natalidad</t>
  </si>
  <si>
    <t>Tasa mortalidad</t>
  </si>
  <si>
    <t>Índice de envejecimiento</t>
  </si>
  <si>
    <t>Fuente: DSSA (s.f.); DANE (2025). Cálculos propios.</t>
  </si>
  <si>
    <t>Tasa cabecera</t>
  </si>
  <si>
    <t>Tasa total</t>
  </si>
  <si>
    <t>Fuente: Gobernación de Antioquia (s.f.-b).</t>
  </si>
  <si>
    <t>Población 2025</t>
  </si>
  <si>
    <t>Gráfico 3. Densidad poblacional por municipio — 2025 (hab/km²)</t>
  </si>
  <si>
    <t>Tabla 3. Densidad poblacional 2025 — PAP Bio-energética del Norte de Antioquia</t>
  </si>
  <si>
    <t>Departamento Antioquia</t>
  </si>
  <si>
    <t>Provincia</t>
  </si>
  <si>
    <t>Gráfico 4. Índice de envejecimiento por municipio (ordenado de mayor a menor)</t>
  </si>
  <si>
    <t>Tabla 4. Tasa de natalidad, mortalidad e índice de envejecimiento — PAP 2024</t>
  </si>
  <si>
    <t>Tasa centros pob. / rural disperso</t>
  </si>
  <si>
    <t>Gráfico 5. Tasa neta de migración por municipio</t>
  </si>
  <si>
    <t>Tabla 5. Tasa neta de migración — PAP Bio-energética del Norte de Antioquia</t>
  </si>
  <si>
    <t>Composición urbana-rural por municipio como % de población (2025)</t>
  </si>
  <si>
    <t>gráfico auxiliar</t>
  </si>
  <si>
    <t>Distribución territorial de la PAP por municipio % de la superficie provincial (línea naranja es curva acumulada)</t>
  </si>
  <si>
    <t xml:space="preserve">Promedio Provincia </t>
  </si>
  <si>
    <t>gráifco auxiliar</t>
  </si>
  <si>
    <t>Resto</t>
  </si>
  <si>
    <t>Fuente: DANE, Proyecciones de población municipal 2018-2042. Cálculos propios.</t>
  </si>
  <si>
    <t>80+</t>
  </si>
  <si>
    <t>80 y más</t>
  </si>
  <si>
    <t>70-79</t>
  </si>
  <si>
    <t>60-69</t>
  </si>
  <si>
    <t>50-59</t>
  </si>
  <si>
    <t>40-49</t>
  </si>
  <si>
    <t>30-39</t>
  </si>
  <si>
    <t>20-29</t>
  </si>
  <si>
    <t>10-19</t>
  </si>
  <si>
    <t>0-9</t>
  </si>
  <si>
    <t>Mujeres</t>
  </si>
  <si>
    <t>Hombres</t>
  </si>
  <si>
    <t>hombres</t>
  </si>
  <si>
    <t>grupo_edad</t>
  </si>
  <si>
    <t>edad</t>
  </si>
  <si>
    <t>San Andrés de C.</t>
  </si>
  <si>
    <t>Carolina</t>
  </si>
  <si>
    <t>San José de la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</si>
</sst>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charset val="1"/>
    </font>
    <font>
      <sz val="10"/>
      <name val="Arial"/>
      <family val="2"/>
    </font>
    <font>
      <b/>
      <sz val="11"/>
      <color rgb="FF1B3A6B"/>
      <name val="Arial"/>
      <family val="2"/>
    </font>
    <font>
      <b/>
      <sz val="10"/>
      <color rgb="FFFFFFFF"/>
      <name val="Arial"/>
      <family val="2"/>
    </font>
    <font>
      <b/>
      <sz val="9"/>
      <color rgb="FFFFFFFF"/>
      <name val="Arial"/>
      <family val="2"/>
    </font>
    <font>
      <sz val="9"/>
      <color rgb="FF1B3A6B"/>
      <name val="Arial"/>
      <family val="2"/>
    </font>
    <font>
      <sz val="9"/>
      <name val="Arial"/>
      <family val="2"/>
    </font>
    <font>
      <i/>
      <sz val="8"/>
      <color rgb="FF6D7A8A"/>
      <name val="Arial"/>
      <family val="2"/>
    </font>
    <font>
      <b/>
      <sz val="9"/>
      <color rgb="FF1B3A6B"/>
      <name val="Arial"/>
      <family val="2"/>
    </font>
    <font>
      <i/>
      <sz val="8"/>
      <color rgb="FF595959"/>
      <name val="Arial"/>
      <family val="2"/>
    </font>
    <font>
      <sz val="9"/>
      <color rgb="FF000000"/>
      <name val="Arial"/>
      <family val="2"/>
    </font>
    <font>
      <b/>
      <sz val="12"/>
      <color rgb="FF1B3A6B"/>
      <name val="Arial"/>
      <family val="2"/>
    </font>
    <font>
      <sz val="7"/>
      <name val="Arial"/>
      <family val="2"/>
    </font>
    <font>
      <i/>
      <sz val="8"/>
      <name val="Aptos Black"/>
      <family val="2"/>
    </font>
    <font>
      <sz val="11"/>
      <name val="Calibri"/>
      <family val="2"/>
    </font>
    <font>
      <i/>
      <sz val="9"/>
      <color rgb="FF595959"/>
      <name val="Arial"/>
      <family val="2"/>
    </font>
    <font>
      <b/>
      <sz val="11"/>
      <color theme="1"/>
      <name val="Calibri"/>
      <family val="2"/>
      <charset val="1"/>
    </font>
  </fonts>
  <fills count="7">
    <fill>
      <patternFill patternType="none"/>
    </fill>
    <fill>
      <patternFill patternType="gray125"/>
    </fill>
    <fill>
      <patternFill patternType="solid">
        <fgColor rgb="FF1B3A6B"/>
        <bgColor rgb="FF333399"/>
      </patternFill>
    </fill>
    <fill>
      <patternFill patternType="solid">
        <fgColor rgb="FFF4F6F9"/>
        <bgColor rgb="FFFFFFFF"/>
      </patternFill>
    </fill>
    <fill>
      <patternFill patternType="solid">
        <fgColor rgb="FFFFFFFF"/>
        <bgColor rgb="FFF4F6F9"/>
      </patternFill>
    </fill>
    <fill>
      <patternFill patternType="solid">
        <fgColor rgb="FFF2F2F2"/>
        <bgColor rgb="FFFFFFFF"/>
      </patternFill>
    </fill>
    <fill>
      <patternFill patternType="solid">
        <fgColor rgb="FFFFFFFF"/>
        <bgColor rgb="FFF2F2F2"/>
      </patternFill>
    </fill>
  </fills>
  <borders count="6">
    <border>
      <left/>
      <right/>
      <top/>
      <bottom/>
      <diagonal/>
    </border>
    <border>
      <left/>
      <right/>
      <top/>
      <bottom style="medium">
        <color rgb="FF1B3A6B"/>
      </bottom>
      <diagonal/>
    </border>
    <border>
      <left style="thin">
        <color rgb="FFD0D7E3"/>
      </left>
      <right style="thin">
        <color rgb="FFD0D7E3"/>
      </right>
      <top style="thin">
        <color rgb="FFD0D7E3"/>
      </top>
      <bottom style="thin">
        <color rgb="FFD0D7E3"/>
      </bottom>
      <diagonal/>
    </border>
    <border>
      <left style="thin">
        <color rgb="FFD9D9D9"/>
      </left>
      <right style="thin">
        <color rgb="FFD9D9D9"/>
      </right>
      <top style="thin">
        <color rgb="FFD9D9D9"/>
      </top>
      <bottom style="thin">
        <color rgb="FFD9D9D9"/>
      </bottom>
      <diagonal/>
    </border>
    <border>
      <left/>
      <right/>
      <top/>
      <bottom style="thick">
        <color rgb="FFE8714A"/>
      </bottom>
      <diagonal/>
    </border>
    <border>
      <left/>
      <right/>
      <top/>
      <bottom style="thin">
        <color indexed="64"/>
      </bottom>
      <diagonal/>
    </border>
  </borders>
  <cellStyleXfs count="3">
    <xf numFmtId="0" fontId="0" fillId="0" borderId="0"/>
    <xf numFmtId="9" fontId="1" fillId="0" borderId="0" applyBorder="0" applyAlignment="0" applyProtection="0"/>
    <xf numFmtId="0" fontId="14" fillId="0" borderId="0"/>
  </cellStyleXfs>
  <cellXfs count="51">
    <xf numFmtId="0" fontId="0" fillId="0" borderId="0" xfId="0"/>
    <xf numFmtId="0" fontId="4" fillId="2" borderId="2" xfId="0" applyFont="1" applyFill="1" applyBorder="1" applyAlignment="1">
      <alignment horizontal="center" vertical="center" wrapText="1"/>
    </xf>
    <xf numFmtId="0" fontId="5" fillId="3" borderId="2" xfId="0" applyFont="1" applyFill="1" applyBorder="1" applyAlignment="1">
      <alignment horizontal="left" vertical="center" wrapText="1"/>
    </xf>
    <xf numFmtId="3" fontId="5" fillId="3" borderId="2" xfId="0" applyNumberFormat="1" applyFont="1" applyFill="1" applyBorder="1" applyAlignment="1">
      <alignment horizontal="center" vertical="center" wrapText="1"/>
    </xf>
    <xf numFmtId="164" fontId="6" fillId="3" borderId="2" xfId="0" applyNumberFormat="1" applyFont="1" applyFill="1" applyBorder="1" applyAlignment="1">
      <alignment horizontal="center" vertical="center"/>
    </xf>
    <xf numFmtId="0" fontId="5" fillId="4" borderId="2" xfId="0" applyFont="1" applyFill="1" applyBorder="1" applyAlignment="1">
      <alignment horizontal="left" vertical="center" wrapText="1"/>
    </xf>
    <xf numFmtId="3" fontId="5" fillId="4" borderId="2" xfId="0" applyNumberFormat="1" applyFont="1" applyFill="1" applyBorder="1" applyAlignment="1">
      <alignment horizontal="center" vertical="center" wrapText="1"/>
    </xf>
    <xf numFmtId="164" fontId="6" fillId="4" borderId="2" xfId="0" applyNumberFormat="1" applyFont="1" applyFill="1" applyBorder="1" applyAlignment="1">
      <alignment horizontal="center" vertical="center"/>
    </xf>
    <xf numFmtId="0" fontId="4" fillId="2" borderId="2" xfId="0" applyFont="1" applyFill="1" applyBorder="1" applyAlignment="1">
      <alignment horizontal="left" vertical="center"/>
    </xf>
    <xf numFmtId="3" fontId="4" fillId="2" borderId="2" xfId="0" applyNumberFormat="1" applyFont="1" applyFill="1" applyBorder="1" applyAlignment="1">
      <alignment horizontal="center" vertical="center"/>
    </xf>
    <xf numFmtId="0" fontId="4" fillId="2" borderId="2" xfId="0" applyFont="1" applyFill="1" applyBorder="1" applyAlignment="1">
      <alignment horizontal="center" vertical="center"/>
    </xf>
    <xf numFmtId="164" fontId="4" fillId="2" borderId="2" xfId="0" applyNumberFormat="1" applyFont="1" applyFill="1" applyBorder="1" applyAlignment="1">
      <alignment horizontal="center" vertical="center"/>
    </xf>
    <xf numFmtId="0" fontId="8" fillId="3" borderId="2" xfId="0" applyFont="1" applyFill="1" applyBorder="1" applyAlignment="1">
      <alignment horizontal="left" vertical="center" wrapText="1"/>
    </xf>
    <xf numFmtId="164" fontId="5" fillId="3" borderId="2" xfId="0" applyNumberFormat="1" applyFont="1" applyFill="1" applyBorder="1" applyAlignment="1">
      <alignment horizontal="center" vertical="center"/>
    </xf>
    <xf numFmtId="164" fontId="0" fillId="0" borderId="0" xfId="0" applyNumberFormat="1"/>
    <xf numFmtId="2" fontId="0" fillId="0" borderId="0" xfId="0" applyNumberFormat="1"/>
    <xf numFmtId="2" fontId="10" fillId="5" borderId="3" xfId="0" applyNumberFormat="1" applyFont="1" applyFill="1" applyBorder="1" applyAlignment="1">
      <alignment horizontal="center" vertical="center"/>
    </xf>
    <xf numFmtId="3" fontId="10" fillId="5" borderId="3" xfId="0" applyNumberFormat="1" applyFont="1" applyFill="1" applyBorder="1" applyAlignment="1">
      <alignment horizontal="center" vertical="center"/>
    </xf>
    <xf numFmtId="0" fontId="10" fillId="5" borderId="3" xfId="0" applyFont="1" applyFill="1" applyBorder="1" applyAlignment="1">
      <alignment horizontal="left" vertical="center"/>
    </xf>
    <xf numFmtId="2" fontId="4" fillId="2" borderId="3" xfId="0" applyNumberFormat="1" applyFont="1" applyFill="1" applyBorder="1" applyAlignment="1">
      <alignment horizontal="center" vertical="center"/>
    </xf>
    <xf numFmtId="3" fontId="4" fillId="2" borderId="3" xfId="0" applyNumberFormat="1" applyFont="1" applyFill="1" applyBorder="1" applyAlignment="1">
      <alignment horizontal="center" vertical="center"/>
    </xf>
    <xf numFmtId="0" fontId="4" fillId="2" borderId="3" xfId="0" applyFont="1" applyFill="1" applyBorder="1" applyAlignment="1">
      <alignment horizontal="left" vertical="center"/>
    </xf>
    <xf numFmtId="2" fontId="6" fillId="5" borderId="3" xfId="0" applyNumberFormat="1" applyFont="1" applyFill="1" applyBorder="1" applyAlignment="1">
      <alignment horizontal="center" vertical="center"/>
    </xf>
    <xf numFmtId="3" fontId="10" fillId="5" borderId="3" xfId="0" applyNumberFormat="1" applyFont="1" applyFill="1" applyBorder="1" applyAlignment="1">
      <alignment horizontal="center" vertical="center" wrapText="1"/>
    </xf>
    <xf numFmtId="0" fontId="10" fillId="5" borderId="3" xfId="0" applyFont="1" applyFill="1" applyBorder="1" applyAlignment="1">
      <alignment horizontal="left" vertical="center" wrapText="1"/>
    </xf>
    <xf numFmtId="2" fontId="6" fillId="6" borderId="3" xfId="0" applyNumberFormat="1" applyFont="1" applyFill="1" applyBorder="1" applyAlignment="1">
      <alignment horizontal="center" vertical="center"/>
    </xf>
    <xf numFmtId="3" fontId="10" fillId="6" borderId="3" xfId="0" applyNumberFormat="1" applyFont="1" applyFill="1" applyBorder="1" applyAlignment="1">
      <alignment horizontal="center" vertical="center" wrapText="1"/>
    </xf>
    <xf numFmtId="0" fontId="10" fillId="6" borderId="3" xfId="0" applyFont="1" applyFill="1" applyBorder="1" applyAlignment="1">
      <alignment horizontal="left" vertical="center" wrapText="1"/>
    </xf>
    <xf numFmtId="0" fontId="4" fillId="2" borderId="3" xfId="0" applyFont="1" applyFill="1" applyBorder="1" applyAlignment="1">
      <alignment horizontal="center" vertical="center" wrapText="1"/>
    </xf>
    <xf numFmtId="2" fontId="10" fillId="5" borderId="3" xfId="0" applyNumberFormat="1" applyFont="1" applyFill="1" applyBorder="1" applyAlignment="1">
      <alignment horizontal="center" vertical="center" wrapText="1"/>
    </xf>
    <xf numFmtId="2" fontId="10" fillId="6" borderId="3" xfId="0" applyNumberFormat="1" applyFont="1" applyFill="1" applyBorder="1" applyAlignment="1">
      <alignment horizontal="center" vertical="center" wrapText="1"/>
    </xf>
    <xf numFmtId="0" fontId="12" fillId="0" borderId="0" xfId="0" applyFont="1"/>
    <xf numFmtId="0" fontId="4" fillId="0" borderId="2" xfId="0" applyFont="1" applyBorder="1" applyAlignment="1">
      <alignment horizontal="center" vertical="center" wrapText="1"/>
    </xf>
    <xf numFmtId="164" fontId="6" fillId="0" borderId="2" xfId="0" applyNumberFormat="1" applyFont="1" applyBorder="1" applyAlignment="1">
      <alignment horizontal="center" vertical="center"/>
    </xf>
    <xf numFmtId="0" fontId="4" fillId="0" borderId="2" xfId="0" applyFont="1" applyBorder="1" applyAlignment="1">
      <alignment horizontal="center" vertical="center"/>
    </xf>
    <xf numFmtId="0" fontId="13" fillId="0" borderId="0" xfId="0" applyFont="1"/>
    <xf numFmtId="3" fontId="0" fillId="0" borderId="0" xfId="0" applyNumberFormat="1"/>
    <xf numFmtId="164" fontId="1" fillId="0" borderId="0" xfId="1" applyNumberFormat="1"/>
    <xf numFmtId="0" fontId="14" fillId="0" borderId="0" xfId="2"/>
    <xf numFmtId="1" fontId="14" fillId="0" borderId="0" xfId="2" applyNumberFormat="1"/>
    <xf numFmtId="0" fontId="0" fillId="0" borderId="0" xfId="0" applyAlignment="1">
      <alignment wrapText="1"/>
    </xf>
    <xf numFmtId="0" fontId="16" fillId="0" borderId="0" xfId="0" applyFont="1" applyAlignment="1">
      <alignment wrapText="1"/>
    </xf>
    <xf numFmtId="0" fontId="11" fillId="0" borderId="4" xfId="0" applyFont="1" applyBorder="1" applyAlignment="1">
      <alignment horizontal="left" vertical="center"/>
    </xf>
    <xf numFmtId="0" fontId="3" fillId="2" borderId="0" xfId="0" applyFont="1" applyFill="1" applyAlignment="1">
      <alignment horizontal="center" vertical="center" wrapText="1"/>
    </xf>
    <xf numFmtId="0" fontId="9" fillId="0" borderId="0" xfId="0" applyFont="1" applyAlignment="1">
      <alignment horizontal="left"/>
    </xf>
    <xf numFmtId="0" fontId="15" fillId="0" borderId="0" xfId="2" applyFont="1"/>
    <xf numFmtId="0" fontId="2" fillId="0" borderId="5" xfId="0" applyFont="1" applyBorder="1" applyAlignment="1">
      <alignment horizontal="left" vertical="center"/>
    </xf>
    <xf numFmtId="0" fontId="7" fillId="0" borderId="0" xfId="0" applyFont="1" applyAlignment="1">
      <alignment horizontal="left" vertical="center"/>
    </xf>
    <xf numFmtId="0" fontId="7" fillId="0" borderId="0" xfId="0" applyFont="1" applyAlignment="1">
      <alignment horizontal="left" vertical="center" wrapText="1"/>
    </xf>
    <xf numFmtId="0" fontId="2" fillId="0" borderId="1" xfId="0" applyFont="1" applyBorder="1" applyAlignment="1">
      <alignment horizontal="left" vertical="center"/>
    </xf>
    <xf numFmtId="0" fontId="11" fillId="0" borderId="0" xfId="0" applyFont="1" applyAlignment="1">
      <alignment horizontal="left" vertical="center"/>
    </xf>
  </cellXfs>
  <cellStyles count="3">
    <cellStyle name="Normal" xfId="0" builtinId="0"/>
    <cellStyle name="Normal 2" xfId="2" xr:uid="{14026CF1-29BD-4829-9CD1-BCB37A0A428C}"/>
    <cellStyle name="Porcentaje"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78787"/>
      <rgbColor rgb="FF9999FF"/>
      <rgbColor rgb="FF993366"/>
      <rgbColor rgb="FFF4F6F9"/>
      <rgbColor rgb="FFCCFFFF"/>
      <rgbColor rgb="FF660066"/>
      <rgbColor rgb="FFE8714A"/>
      <rgbColor rgb="FF0066CC"/>
      <rgbColor rgb="FFD0D7E3"/>
      <rgbColor rgb="FF000080"/>
      <rgbColor rgb="FFFF00FF"/>
      <rgbColor rgb="FFFFFF00"/>
      <rgbColor rgb="FF00FFFF"/>
      <rgbColor rgb="FF800080"/>
      <rgbColor rgb="FF800000"/>
      <rgbColor rgb="FF008080"/>
      <rgbColor rgb="FF0000FF"/>
      <rgbColor rgb="FF00CCFF"/>
      <rgbColor rgb="FFCCFFFF"/>
      <rgbColor rgb="FFD9D9D9"/>
      <rgbColor rgb="FFFFFF99"/>
      <rgbColor rgb="FFA9B4C2"/>
      <rgbColor rgb="FFFF99CC"/>
      <rgbColor rgb="FFCC99FF"/>
      <rgbColor rgb="FFFFCC99"/>
      <rgbColor rgb="FF3366FF"/>
      <rgbColor rgb="FF33CCCC"/>
      <rgbColor rgb="FF99CC00"/>
      <rgbColor rgb="FFFFCC00"/>
      <rgbColor rgb="FFFF9900"/>
      <rgbColor rgb="FFED7D31"/>
      <rgbColor rgb="FF6D7A8A"/>
      <rgbColor rgb="FF70AD47"/>
      <rgbColor rgb="FF1B3A6B"/>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4472C4"/>
      <color rgb="FF1F3864"/>
      <color rgb="FFF0F0F0"/>
      <color rgb="FFE0E0E0"/>
      <color rgb="FFD0D0D0"/>
      <color rgb="FFBFBFBF"/>
      <color rgb="FF9DC3E6"/>
      <color rgb="FF5B9BD5"/>
      <color rgb="FF1F4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Gráfica_pirámide!$D$1</c:f>
              <c:strCache>
                <c:ptCount val="1"/>
                <c:pt idx="0">
                  <c:v>Hombres</c:v>
                </c:pt>
              </c:strCache>
            </c:strRef>
          </c:tx>
          <c:spPr>
            <a:solidFill>
              <a:srgbClr val="1F3864"/>
            </a:solidFill>
            <a:ln w="0">
              <a:solidFill>
                <a:srgbClr val="2E5F8A"/>
              </a:solidFill>
            </a:ln>
          </c:spPr>
          <c:invertIfNegative val="0"/>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Gráfica_pirámide!$B$2:$B$10</c:f>
              <c:strCache>
                <c:ptCount val="9"/>
                <c:pt idx="0">
                  <c:v>0-9</c:v>
                </c:pt>
                <c:pt idx="1">
                  <c:v>10-19</c:v>
                </c:pt>
                <c:pt idx="2">
                  <c:v>20-29</c:v>
                </c:pt>
                <c:pt idx="3">
                  <c:v>30-39</c:v>
                </c:pt>
                <c:pt idx="4">
                  <c:v>40-49</c:v>
                </c:pt>
                <c:pt idx="5">
                  <c:v>50-59</c:v>
                </c:pt>
                <c:pt idx="6">
                  <c:v>60-69</c:v>
                </c:pt>
                <c:pt idx="7">
                  <c:v>70-79</c:v>
                </c:pt>
                <c:pt idx="8">
                  <c:v>80+</c:v>
                </c:pt>
              </c:strCache>
            </c:strRef>
          </c:cat>
          <c:val>
            <c:numRef>
              <c:f>Gráfica_pirámide!$D$2:$D$10</c:f>
              <c:numCache>
                <c:formatCode>0</c:formatCode>
                <c:ptCount val="9"/>
                <c:pt idx="0">
                  <c:v>-452096</c:v>
                </c:pt>
                <c:pt idx="1">
                  <c:v>-522983</c:v>
                </c:pt>
                <c:pt idx="2">
                  <c:v>-572106</c:v>
                </c:pt>
                <c:pt idx="3">
                  <c:v>-554835</c:v>
                </c:pt>
                <c:pt idx="4">
                  <c:v>-429868</c:v>
                </c:pt>
                <c:pt idx="5">
                  <c:v>-343362</c:v>
                </c:pt>
                <c:pt idx="6">
                  <c:v>-280868</c:v>
                </c:pt>
                <c:pt idx="7">
                  <c:v>-148902</c:v>
                </c:pt>
                <c:pt idx="8">
                  <c:v>-61368</c:v>
                </c:pt>
              </c:numCache>
            </c:numRef>
          </c:val>
          <c:extLst>
            <c:ext xmlns:c16="http://schemas.microsoft.com/office/drawing/2014/chart" uri="{C3380CC4-5D6E-409C-BE32-E72D297353CC}">
              <c16:uniqueId val="{00000000-1679-4AA2-BBA9-E3453EF6E8B3}"/>
            </c:ext>
          </c:extLst>
        </c:ser>
        <c:ser>
          <c:idx val="1"/>
          <c:order val="1"/>
          <c:tx>
            <c:strRef>
              <c:f>Gráfica_pirámide!$E$1</c:f>
              <c:strCache>
                <c:ptCount val="1"/>
                <c:pt idx="0">
                  <c:v>Mujeres</c:v>
                </c:pt>
              </c:strCache>
            </c:strRef>
          </c:tx>
          <c:spPr>
            <a:solidFill>
              <a:srgbClr val="8DC5E3"/>
            </a:solidFill>
            <a:ln w="0">
              <a:solidFill>
                <a:srgbClr val="8DC5E3"/>
              </a:solidFill>
            </a:ln>
          </c:spPr>
          <c:invertIfNegative val="0"/>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Gráfica_pirámide!$B$2:$B$10</c:f>
              <c:strCache>
                <c:ptCount val="9"/>
                <c:pt idx="0">
                  <c:v>0-9</c:v>
                </c:pt>
                <c:pt idx="1">
                  <c:v>10-19</c:v>
                </c:pt>
                <c:pt idx="2">
                  <c:v>20-29</c:v>
                </c:pt>
                <c:pt idx="3">
                  <c:v>30-39</c:v>
                </c:pt>
                <c:pt idx="4">
                  <c:v>40-49</c:v>
                </c:pt>
                <c:pt idx="5">
                  <c:v>50-59</c:v>
                </c:pt>
                <c:pt idx="6">
                  <c:v>60-69</c:v>
                </c:pt>
                <c:pt idx="7">
                  <c:v>70-79</c:v>
                </c:pt>
                <c:pt idx="8">
                  <c:v>80+</c:v>
                </c:pt>
              </c:strCache>
            </c:strRef>
          </c:cat>
          <c:val>
            <c:numRef>
              <c:f>Gráfica_pirámide!$E$2:$E$10</c:f>
              <c:numCache>
                <c:formatCode>0</c:formatCode>
                <c:ptCount val="9"/>
                <c:pt idx="0">
                  <c:v>429732</c:v>
                </c:pt>
                <c:pt idx="1">
                  <c:v>498551</c:v>
                </c:pt>
                <c:pt idx="2">
                  <c:v>562572</c:v>
                </c:pt>
                <c:pt idx="3">
                  <c:v>553998</c:v>
                </c:pt>
                <c:pt idx="4">
                  <c:v>463799</c:v>
                </c:pt>
                <c:pt idx="5">
                  <c:v>402573</c:v>
                </c:pt>
                <c:pt idx="6">
                  <c:v>352360</c:v>
                </c:pt>
                <c:pt idx="7">
                  <c:v>202865</c:v>
                </c:pt>
                <c:pt idx="8">
                  <c:v>95534</c:v>
                </c:pt>
              </c:numCache>
            </c:numRef>
          </c:val>
          <c:extLst>
            <c:ext xmlns:c16="http://schemas.microsoft.com/office/drawing/2014/chart" uri="{C3380CC4-5D6E-409C-BE32-E72D297353CC}">
              <c16:uniqueId val="{00000001-1679-4AA2-BBA9-E3453EF6E8B3}"/>
            </c:ext>
          </c:extLst>
        </c:ser>
        <c:dLbls>
          <c:showLegendKey val="0"/>
          <c:showVal val="0"/>
          <c:showCatName val="0"/>
          <c:showSerName val="0"/>
          <c:showPercent val="0"/>
          <c:showBubbleSize val="0"/>
        </c:dLbls>
        <c:gapWidth val="50"/>
        <c:overlap val="100"/>
        <c:axId val="32396426"/>
        <c:axId val="2349978"/>
      </c:barChart>
      <c:catAx>
        <c:axId val="32396426"/>
        <c:scaling>
          <c:orientation val="minMax"/>
        </c:scaling>
        <c:delete val="0"/>
        <c:axPos val="l"/>
        <c:title>
          <c:tx>
            <c:rich>
              <a:bodyPr rot="-5400000"/>
              <a:lstStyle/>
              <a:p>
                <a:pPr>
                  <a:defRPr/>
                </a:pPr>
                <a:r>
                  <a:rPr lang="es-CO"/>
                  <a:t>Personas</a:t>
                </a:r>
              </a:p>
            </c:rich>
          </c:tx>
          <c:overlay val="0"/>
          <c:spPr>
            <a:noFill/>
            <a:ln w="0">
              <a:noFill/>
            </a:ln>
          </c:spPr>
        </c:title>
        <c:numFmt formatCode="#,##0;#,##0" sourceLinked="0"/>
        <c:majorTickMark val="none"/>
        <c:minorTickMark val="none"/>
        <c:tickLblPos val="nextTo"/>
        <c:spPr>
          <a:ln w="12600">
            <a:solidFill>
              <a:sysClr val="windowText" lastClr="000000"/>
            </a:solidFill>
            <a:round/>
          </a:ln>
        </c:spPr>
        <c:txPr>
          <a:bodyPr/>
          <a:lstStyle/>
          <a:p>
            <a:pPr>
              <a:defRPr sz="1600">
                <a:ln w="3175">
                  <a:noFill/>
                </a:ln>
                <a:solidFill>
                  <a:schemeClr val="bg1"/>
                </a:solidFill>
              </a:defRPr>
            </a:pPr>
            <a:endParaRPr lang="es-CO"/>
          </a:p>
        </c:txPr>
        <c:crossAx val="2349978"/>
        <c:crosses val="autoZero"/>
        <c:auto val="1"/>
        <c:lblAlgn val="ctr"/>
        <c:lblOffset val="100"/>
        <c:noMultiLvlLbl val="0"/>
      </c:catAx>
      <c:valAx>
        <c:axId val="2349978"/>
        <c:scaling>
          <c:orientation val="minMax"/>
        </c:scaling>
        <c:delete val="0"/>
        <c:axPos val="b"/>
        <c:numFmt formatCode="#,##0;#,##0" sourceLinked="0"/>
        <c:majorTickMark val="none"/>
        <c:minorTickMark val="none"/>
        <c:tickLblPos val="nextTo"/>
        <c:spPr>
          <a:ln w="12600">
            <a:solidFill>
              <a:srgbClr val="8B8B8B"/>
            </a:solidFill>
            <a:round/>
          </a:ln>
        </c:spPr>
        <c:txPr>
          <a:bodyPr/>
          <a:lstStyle/>
          <a:p>
            <a:pPr>
              <a:defRPr b="0"/>
            </a:pPr>
            <a:endParaRPr lang="es-CO"/>
          </a:p>
        </c:txPr>
        <c:crossAx val="32396426"/>
        <c:crosses val="autoZero"/>
        <c:crossBetween val="between"/>
      </c:valAx>
      <c:spPr>
        <a:noFill/>
        <a:ln w="0">
          <a:noFill/>
        </a:ln>
      </c:spPr>
    </c:plotArea>
    <c:legend>
      <c:legendPos val="b"/>
      <c:overlay val="0"/>
      <c:spPr>
        <a:noFill/>
        <a:ln w="0">
          <a:noFill/>
        </a:ln>
      </c:spPr>
    </c:legend>
    <c:plotVisOnly val="1"/>
    <c:dispBlanksAs val="gap"/>
    <c:showDLblsOverMax val="1"/>
  </c:chart>
  <c:spPr>
    <a:solidFill>
      <a:srgbClr val="FFFFFF"/>
    </a:solidFill>
    <a:ln w="9360">
      <a:solidFill>
        <a:srgbClr val="D9D9D9"/>
      </a:solidFill>
      <a:round/>
    </a:ln>
  </c:spPr>
  <c:txPr>
    <a:bodyPr/>
    <a:lstStyle/>
    <a:p>
      <a:pPr>
        <a:defRPr sz="1100" b="1">
          <a:latin typeface="Times New Roman" panose="02020603050405020304" pitchFamily="18" charset="0"/>
          <a:cs typeface="Times New Roman" panose="02020603050405020304" pitchFamily="18" charset="0"/>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autoTitleDeleted val="1"/>
    <c:plotArea>
      <c:layout/>
      <c:barChart>
        <c:barDir val="col"/>
        <c:grouping val="clustered"/>
        <c:varyColors val="0"/>
        <c:ser>
          <c:idx val="0"/>
          <c:order val="0"/>
          <c:tx>
            <c:strRef>
              <c:f>'T1 Extensión territorial'!$C$3</c:f>
              <c:strCache>
                <c:ptCount val="1"/>
                <c:pt idx="0">
                  <c:v>% PAP</c:v>
                </c:pt>
              </c:strCache>
            </c:strRef>
          </c:tx>
          <c:spPr>
            <a:solidFill>
              <a:srgbClr val="1F3864"/>
            </a:solidFill>
            <a:ln w="9360">
              <a:solidFill>
                <a:srgbClr val="1B3A6B"/>
              </a:solidFill>
              <a:round/>
            </a:ln>
          </c:spPr>
          <c:invertIfNegative val="0"/>
          <c:dLbls>
            <c:spPr>
              <a:noFill/>
              <a:ln>
                <a:noFill/>
              </a:ln>
              <a:effectLst/>
            </c:sp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'T1 Extensión territorial'!$A$4:$A$16</c:f>
              <c:strCache>
                <c:ptCount val="13"/>
                <c:pt idx="0">
                  <c:v>Ituango</c:v>
                </c:pt>
                <c:pt idx="1">
                  <c:v>Anorí</c:v>
                </c:pt>
                <c:pt idx="2">
                  <c:v>Yarumal</c:v>
                </c:pt>
                <c:pt idx="3">
                  <c:v>Valdivia</c:v>
                </c:pt>
                <c:pt idx="4">
                  <c:v>Briceño</c:v>
                </c:pt>
                <c:pt idx="5">
                  <c:v>Angostura</c:v>
                </c:pt>
                <c:pt idx="6">
                  <c:v>Gómez Plata</c:v>
                </c:pt>
                <c:pt idx="7">
                  <c:v>San Andrés de C.</c:v>
                </c:pt>
                <c:pt idx="8">
                  <c:v>Campamento</c:v>
                </c:pt>
                <c:pt idx="9">
                  <c:v>Carolina</c:v>
                </c:pt>
                <c:pt idx="10">
                  <c:v>San José de la M.</c:v>
                </c:pt>
                <c:pt idx="11">
                  <c:v>Toledo</c:v>
                </c:pt>
                <c:pt idx="12">
                  <c:v>Guadalupe</c:v>
                </c:pt>
              </c:strCache>
            </c:strRef>
          </c:cat>
          <c:val>
            <c:numRef>
              <c:f>'T1 Extensión territorial'!$C$4:$C$16</c:f>
              <c:numCache>
                <c:formatCode>0.0%</c:formatCode>
                <c:ptCount val="13"/>
                <c:pt idx="0">
                  <c:v>0.37634123724996688</c:v>
                </c:pt>
                <c:pt idx="1">
                  <c:v>0.18730957742747384</c:v>
                </c:pt>
                <c:pt idx="2">
                  <c:v>9.7761292886475032E-2</c:v>
                </c:pt>
                <c:pt idx="3">
                  <c:v>7.5241753874685388E-2</c:v>
                </c:pt>
                <c:pt idx="4">
                  <c:v>4.9807921579017089E-2</c:v>
                </c:pt>
                <c:pt idx="5">
                  <c:v>4.4906610147039346E-2</c:v>
                </c:pt>
                <c:pt idx="6">
                  <c:v>4.3979335011259772E-2</c:v>
                </c:pt>
                <c:pt idx="7">
                  <c:v>2.9010464962246654E-2</c:v>
                </c:pt>
                <c:pt idx="8">
                  <c:v>2.7288382567227449E-2</c:v>
                </c:pt>
                <c:pt idx="9">
                  <c:v>1.9870181480990859E-2</c:v>
                </c:pt>
                <c:pt idx="10">
                  <c:v>1.6690952444032323E-2</c:v>
                </c:pt>
                <c:pt idx="11">
                  <c:v>1.6161080937872566E-2</c:v>
                </c:pt>
                <c:pt idx="12">
                  <c:v>1.5631209431712808E-2</c:v>
                </c:pt>
              </c:numCache>
            </c:numRef>
          </c:val>
          <c:extLst>
            <c:ext xmlns:c16="http://schemas.microsoft.com/office/drawing/2014/chart" uri="{C3380CC4-5D6E-409C-BE32-E72D297353CC}">
              <c16:uniqueId val="{00000000-2EA8-444A-A2FB-781354860FE9}"/>
            </c:ext>
          </c:extLst>
        </c:ser>
        <c:dLbls>
          <c:showLegendKey val="0"/>
          <c:showVal val="0"/>
          <c:showCatName val="0"/>
          <c:showSerName val="0"/>
          <c:showPercent val="0"/>
          <c:showBubbleSize val="0"/>
        </c:dLbls>
        <c:gapWidth val="20"/>
        <c:axId val="36489094"/>
        <c:axId val="90214666"/>
      </c:barChart>
      <c:catAx>
        <c:axId val="36489094"/>
        <c:scaling>
          <c:orientation val="minMax"/>
        </c:scaling>
        <c:delete val="0"/>
        <c:axPos val="b"/>
        <c:numFmt formatCode="General" sourceLinked="0"/>
        <c:majorTickMark val="none"/>
        <c:minorTickMark val="none"/>
        <c:tickLblPos val="nextTo"/>
        <c:spPr>
          <a:ln w="9360">
            <a:solidFill>
              <a:srgbClr val="878787"/>
            </a:solidFill>
            <a:round/>
          </a:ln>
        </c:spPr>
        <c:txPr>
          <a:bodyPr rot="-5400000" vert="horz"/>
          <a:lstStyle/>
          <a:p>
            <a:pPr>
              <a:defRPr/>
            </a:pPr>
            <a:endParaRPr lang="es-CO"/>
          </a:p>
        </c:txPr>
        <c:crossAx val="90214666"/>
        <c:crosses val="autoZero"/>
        <c:auto val="1"/>
        <c:lblAlgn val="ctr"/>
        <c:lblOffset val="100"/>
        <c:noMultiLvlLbl val="0"/>
      </c:catAx>
      <c:valAx>
        <c:axId val="90214666"/>
        <c:scaling>
          <c:orientation val="minMax"/>
        </c:scaling>
        <c:delete val="1"/>
        <c:axPos val="l"/>
        <c:numFmt formatCode="0%" sourceLinked="0"/>
        <c:majorTickMark val="none"/>
        <c:minorTickMark val="none"/>
        <c:tickLblPos val="nextTo"/>
        <c:crossAx val="3648909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txPr>
    <a:bodyPr/>
    <a:lstStyle/>
    <a:p>
      <a:pPr>
        <a:defRPr sz="1100">
          <a:latin typeface="Times New Roman" panose="02020603050405020304" pitchFamily="18" charset="0"/>
          <a:cs typeface="Times New Roman" panose="02020603050405020304" pitchFamily="18" charset="0"/>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autoTitleDeleted val="1"/>
    <c:plotArea>
      <c:layout/>
      <c:barChart>
        <c:barDir val="bar"/>
        <c:grouping val="percentStacked"/>
        <c:varyColors val="0"/>
        <c:ser>
          <c:idx val="0"/>
          <c:order val="0"/>
          <c:tx>
            <c:strRef>
              <c:f>'T2 Población 2025'!$B$23</c:f>
              <c:strCache>
                <c:ptCount val="1"/>
                <c:pt idx="0">
                  <c:v>% Urbana</c:v>
                </c:pt>
              </c:strCache>
            </c:strRef>
          </c:tx>
          <c:spPr>
            <a:solidFill>
              <a:srgbClr val="1F3864"/>
            </a:solidFill>
            <a:ln w="9360">
              <a:solidFill>
                <a:srgbClr val="1F3864"/>
              </a:solidFill>
              <a:round/>
            </a:ln>
          </c:spPr>
          <c:invertIfNegative val="0"/>
          <c:dLbls>
            <c:spPr>
              <a:noFill/>
              <a:ln>
                <a:noFill/>
              </a:ln>
              <a:effectLst/>
            </c:spPr>
            <c:txPr>
              <a:bodyPr/>
              <a:lstStyle/>
              <a:p>
                <a:pPr>
                  <a:defRPr>
                    <a:solidFill>
                      <a:schemeClr val="bg1"/>
                    </a:solidFill>
                  </a:defRPr>
                </a:pPr>
                <a:endParaRPr lang="es-CO"/>
              </a:p>
            </c:txPr>
            <c:dLblPos val="ctr"/>
            <c:showLegendKey val="1"/>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'T2 Población 2025'!$A$24:$A$36</c:f>
              <c:strCache>
                <c:ptCount val="13"/>
                <c:pt idx="0">
                  <c:v>Angostura</c:v>
                </c:pt>
                <c:pt idx="1">
                  <c:v>Ituango</c:v>
                </c:pt>
                <c:pt idx="2">
                  <c:v>Valdivia</c:v>
                </c:pt>
                <c:pt idx="3">
                  <c:v>Campamento</c:v>
                </c:pt>
                <c:pt idx="4">
                  <c:v>Briceño</c:v>
                </c:pt>
                <c:pt idx="5">
                  <c:v>Toledo</c:v>
                </c:pt>
                <c:pt idx="6">
                  <c:v>Guadalupe</c:v>
                </c:pt>
                <c:pt idx="7">
                  <c:v>San Andrés de Cuerquia</c:v>
                </c:pt>
                <c:pt idx="8">
                  <c:v>Anorí</c:v>
                </c:pt>
                <c:pt idx="9">
                  <c:v>Gómez Plata</c:v>
                </c:pt>
                <c:pt idx="10">
                  <c:v>San José de la Montaña</c:v>
                </c:pt>
                <c:pt idx="11">
                  <c:v>Yarumal</c:v>
                </c:pt>
                <c:pt idx="12">
                  <c:v>Carolina del Príncipe</c:v>
                </c:pt>
              </c:strCache>
            </c:strRef>
          </c:cat>
          <c:val>
            <c:numRef>
              <c:f>'T2 Población 2025'!$B$24:$B$36</c:f>
              <c:numCache>
                <c:formatCode>0.0%</c:formatCode>
                <c:ptCount val="13"/>
                <c:pt idx="0">
                  <c:v>0.25129885700583499</c:v>
                </c:pt>
                <c:pt idx="1">
                  <c:v>0.28660003388107702</c:v>
                </c:pt>
                <c:pt idx="2">
                  <c:v>0.29399227387771398</c:v>
                </c:pt>
                <c:pt idx="3">
                  <c:v>0.30274862568715599</c:v>
                </c:pt>
                <c:pt idx="4">
                  <c:v>0.35289682040970199</c:v>
                </c:pt>
                <c:pt idx="5">
                  <c:v>0.364427860696517</c:v>
                </c:pt>
                <c:pt idx="6">
                  <c:v>0.365530032814952</c:v>
                </c:pt>
                <c:pt idx="7">
                  <c:v>0.42407457443934099</c:v>
                </c:pt>
                <c:pt idx="8">
                  <c:v>0.44245305443308802</c:v>
                </c:pt>
                <c:pt idx="9">
                  <c:v>0.53774221536681799</c:v>
                </c:pt>
                <c:pt idx="10">
                  <c:v>0.64700024894199704</c:v>
                </c:pt>
                <c:pt idx="11">
                  <c:v>0.71781587240951195</c:v>
                </c:pt>
                <c:pt idx="12">
                  <c:v>0.75799086757990897</c:v>
                </c:pt>
              </c:numCache>
            </c:numRef>
          </c:val>
          <c:extLst>
            <c:ext xmlns:c16="http://schemas.microsoft.com/office/drawing/2014/chart" uri="{C3380CC4-5D6E-409C-BE32-E72D297353CC}">
              <c16:uniqueId val="{00000000-CADB-40C2-BE86-C07682947747}"/>
            </c:ext>
          </c:extLst>
        </c:ser>
        <c:ser>
          <c:idx val="1"/>
          <c:order val="1"/>
          <c:tx>
            <c:strRef>
              <c:f>'T2 Población 2025'!$C$23</c:f>
              <c:strCache>
                <c:ptCount val="1"/>
                <c:pt idx="0">
                  <c:v>% Rural</c:v>
                </c:pt>
              </c:strCache>
            </c:strRef>
          </c:tx>
          <c:spPr>
            <a:solidFill>
              <a:srgbClr val="4472C4"/>
            </a:solidFill>
            <a:ln w="9360">
              <a:solidFill>
                <a:schemeClr val="accent1">
                  <a:lumMod val="40000"/>
                  <a:lumOff val="60000"/>
                </a:schemeClr>
              </a:solidFill>
              <a:round/>
            </a:ln>
          </c:spPr>
          <c:invertIfNegative val="0"/>
          <c:dLbls>
            <c:spPr>
              <a:noFill/>
              <a:ln>
                <a:noFill/>
              </a:ln>
              <a:effectLst/>
            </c:sp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'T2 Población 2025'!$A$24:$A$36</c:f>
              <c:strCache>
                <c:ptCount val="13"/>
                <c:pt idx="0">
                  <c:v>Angostura</c:v>
                </c:pt>
                <c:pt idx="1">
                  <c:v>Ituango</c:v>
                </c:pt>
                <c:pt idx="2">
                  <c:v>Valdivia</c:v>
                </c:pt>
                <c:pt idx="3">
                  <c:v>Campamento</c:v>
                </c:pt>
                <c:pt idx="4">
                  <c:v>Briceño</c:v>
                </c:pt>
                <c:pt idx="5">
                  <c:v>Toledo</c:v>
                </c:pt>
                <c:pt idx="6">
                  <c:v>Guadalupe</c:v>
                </c:pt>
                <c:pt idx="7">
                  <c:v>San Andrés de Cuerquia</c:v>
                </c:pt>
                <c:pt idx="8">
                  <c:v>Anorí</c:v>
                </c:pt>
                <c:pt idx="9">
                  <c:v>Gómez Plata</c:v>
                </c:pt>
                <c:pt idx="10">
                  <c:v>San José de la Montaña</c:v>
                </c:pt>
                <c:pt idx="11">
                  <c:v>Yarumal</c:v>
                </c:pt>
                <c:pt idx="12">
                  <c:v>Carolina del Príncipe</c:v>
                </c:pt>
              </c:strCache>
            </c:strRef>
          </c:cat>
          <c:val>
            <c:numRef>
              <c:f>'T2 Población 2025'!$C$24:$C$36</c:f>
              <c:numCache>
                <c:formatCode>0.0%</c:formatCode>
                <c:ptCount val="13"/>
                <c:pt idx="0">
                  <c:v>0.74870114299416501</c:v>
                </c:pt>
                <c:pt idx="1">
                  <c:v>0.71339996611892298</c:v>
                </c:pt>
                <c:pt idx="2">
                  <c:v>0.70600772612228602</c:v>
                </c:pt>
                <c:pt idx="3">
                  <c:v>0.69725137431284401</c:v>
                </c:pt>
                <c:pt idx="4">
                  <c:v>0.64710317959029795</c:v>
                </c:pt>
                <c:pt idx="5">
                  <c:v>0.635572139303483</c:v>
                </c:pt>
                <c:pt idx="6">
                  <c:v>0.634469967185048</c:v>
                </c:pt>
                <c:pt idx="7">
                  <c:v>0.57592542556065895</c:v>
                </c:pt>
                <c:pt idx="8">
                  <c:v>0.55754694556691198</c:v>
                </c:pt>
                <c:pt idx="9">
                  <c:v>0.46225778463318201</c:v>
                </c:pt>
                <c:pt idx="10">
                  <c:v>0.35299975105800402</c:v>
                </c:pt>
                <c:pt idx="11">
                  <c:v>0.282184127590488</c:v>
                </c:pt>
                <c:pt idx="12">
                  <c:v>0.24200913242009101</c:v>
                </c:pt>
              </c:numCache>
            </c:numRef>
          </c:val>
          <c:extLst>
            <c:ext xmlns:c16="http://schemas.microsoft.com/office/drawing/2014/chart" uri="{C3380CC4-5D6E-409C-BE32-E72D297353CC}">
              <c16:uniqueId val="{00000001-CADB-40C2-BE86-C07682947747}"/>
            </c:ext>
          </c:extLst>
        </c:ser>
        <c:dLbls>
          <c:showLegendKey val="0"/>
          <c:showVal val="0"/>
          <c:showCatName val="0"/>
          <c:showSerName val="0"/>
          <c:showPercent val="0"/>
          <c:showBubbleSize val="0"/>
        </c:dLbls>
        <c:gapWidth val="30"/>
        <c:overlap val="100"/>
        <c:axId val="20641544"/>
        <c:axId val="11923176"/>
      </c:barChart>
      <c:catAx>
        <c:axId val="20641544"/>
        <c:scaling>
          <c:orientation val="minMax"/>
        </c:scaling>
        <c:delete val="0"/>
        <c:axPos val="l"/>
        <c:numFmt formatCode="General" sourceLinked="0"/>
        <c:majorTickMark val="none"/>
        <c:minorTickMark val="none"/>
        <c:tickLblPos val="nextTo"/>
        <c:spPr>
          <a:ln w="9360">
            <a:solidFill>
              <a:srgbClr val="878787"/>
            </a:solidFill>
            <a:round/>
          </a:ln>
        </c:spPr>
        <c:crossAx val="11923176"/>
        <c:crosses val="autoZero"/>
        <c:auto val="1"/>
        <c:lblAlgn val="ctr"/>
        <c:lblOffset val="100"/>
        <c:noMultiLvlLbl val="0"/>
      </c:catAx>
      <c:valAx>
        <c:axId val="11923176"/>
        <c:scaling>
          <c:orientation val="minMax"/>
        </c:scaling>
        <c:delete val="0"/>
        <c:axPos val="b"/>
        <c:numFmt formatCode="0%" sourceLinked="0"/>
        <c:majorTickMark val="none"/>
        <c:minorTickMark val="none"/>
        <c:tickLblPos val="nextTo"/>
        <c:spPr>
          <a:ln w="9360">
            <a:solidFill>
              <a:srgbClr val="878787"/>
            </a:solidFill>
            <a:round/>
          </a:ln>
        </c:spPr>
        <c:crossAx val="20641544"/>
        <c:crosses val="autoZero"/>
        <c:crossBetween val="between"/>
      </c:valAx>
      <c:spPr>
        <a:noFill/>
        <a:ln w="0">
          <a:noFill/>
        </a:ln>
      </c:spPr>
    </c:plotArea>
    <c:legend>
      <c:legendPos val="b"/>
      <c:overlay val="0"/>
    </c:legend>
    <c:plotVisOnly val="1"/>
    <c:dispBlanksAs val="gap"/>
    <c:showDLblsOverMax val="1"/>
  </c:chart>
  <c:spPr>
    <a:solidFill>
      <a:srgbClr val="FFFFFF"/>
    </a:solidFill>
    <a:ln w="9360">
      <a:solidFill>
        <a:srgbClr val="D9D9D9"/>
      </a:solidFill>
      <a:round/>
    </a:ln>
  </c:spPr>
  <c:txPr>
    <a:bodyPr/>
    <a:lstStyle/>
    <a:p>
      <a:pPr>
        <a:defRPr sz="1100">
          <a:latin typeface="Times New Roman" panose="02020603050405020304" pitchFamily="18" charset="0"/>
          <a:cs typeface="Times New Roman" panose="02020603050405020304" pitchFamily="18" charset="0"/>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Densidad (hab/km²)</c:v>
          </c:tx>
          <c:spPr>
            <a:solidFill>
              <a:srgbClr val="1F3864"/>
            </a:solidFill>
            <a:ln w="9360">
              <a:solidFill>
                <a:srgbClr val="1B3A6B"/>
              </a:solidFill>
              <a:round/>
            </a:ln>
          </c:spPr>
          <c:invertIfNegative val="0"/>
          <c:dLbls>
            <c:spPr>
              <a:noFill/>
              <a:ln>
                <a:noFill/>
              </a:ln>
              <a:effectLst/>
            </c:sp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'T3 Densidad poblacional'!$A$4:$A$16</c:f>
              <c:strCache>
                <c:ptCount val="13"/>
                <c:pt idx="0">
                  <c:v>Ituango</c:v>
                </c:pt>
                <c:pt idx="1">
                  <c:v>Anorí</c:v>
                </c:pt>
                <c:pt idx="2">
                  <c:v>Briceño</c:v>
                </c:pt>
                <c:pt idx="3">
                  <c:v>Carolina del Príncipe</c:v>
                </c:pt>
                <c:pt idx="4">
                  <c:v>Valdivia</c:v>
                </c:pt>
                <c:pt idx="5">
                  <c:v>Gómez Plata</c:v>
                </c:pt>
                <c:pt idx="6">
                  <c:v>San José de la Montaña</c:v>
                </c:pt>
                <c:pt idx="7">
                  <c:v>San Andrés de Cuerquia</c:v>
                </c:pt>
                <c:pt idx="8">
                  <c:v>Angostura</c:v>
                </c:pt>
                <c:pt idx="9">
                  <c:v>Toledo</c:v>
                </c:pt>
                <c:pt idx="10">
                  <c:v>Campamento</c:v>
                </c:pt>
                <c:pt idx="11">
                  <c:v>Yarumal</c:v>
                </c:pt>
                <c:pt idx="12">
                  <c:v>Guadalupe</c:v>
                </c:pt>
              </c:strCache>
            </c:strRef>
          </c:cat>
          <c:val>
            <c:numRef>
              <c:f>'T3 Densidad poblacional'!$D$4:$D$16</c:f>
              <c:numCache>
                <c:formatCode>0.00</c:formatCode>
                <c:ptCount val="13"/>
                <c:pt idx="0">
                  <c:v>10.388947553678282</c:v>
                </c:pt>
                <c:pt idx="1">
                  <c:v>14.876237623762377</c:v>
                </c:pt>
                <c:pt idx="2">
                  <c:v>21.162234042553191</c:v>
                </c:pt>
                <c:pt idx="3">
                  <c:v>26.28</c:v>
                </c:pt>
                <c:pt idx="4">
                  <c:v>26.433098591549296</c:v>
                </c:pt>
                <c:pt idx="5">
                  <c:v>31.243975903614459</c:v>
                </c:pt>
                <c:pt idx="6">
                  <c:v>31.88095238095238</c:v>
                </c:pt>
                <c:pt idx="7">
                  <c:v>33.799086757990871</c:v>
                </c:pt>
                <c:pt idx="8">
                  <c:v>36.905604719764014</c:v>
                </c:pt>
                <c:pt idx="9">
                  <c:v>39.540983606557376</c:v>
                </c:pt>
                <c:pt idx="10">
                  <c:v>48.567961165048544</c:v>
                </c:pt>
                <c:pt idx="11">
                  <c:v>56.75338753387534</c:v>
                </c:pt>
                <c:pt idx="12">
                  <c:v>59.398305084745765</c:v>
                </c:pt>
              </c:numCache>
            </c:numRef>
          </c:val>
          <c:extLst>
            <c:ext xmlns:c16="http://schemas.microsoft.com/office/drawing/2014/chart" uri="{C3380CC4-5D6E-409C-BE32-E72D297353CC}">
              <c16:uniqueId val="{00000000-3CAB-41A5-A6A4-6B1AFF3A8641}"/>
            </c:ext>
          </c:extLst>
        </c:ser>
        <c:dLbls>
          <c:showLegendKey val="0"/>
          <c:showVal val="0"/>
          <c:showCatName val="0"/>
          <c:showSerName val="0"/>
          <c:showPercent val="0"/>
          <c:showBubbleSize val="0"/>
        </c:dLbls>
        <c:gapWidth val="30"/>
        <c:axId val="11484809"/>
        <c:axId val="62032556"/>
      </c:barChart>
      <c:catAx>
        <c:axId val="11484809"/>
        <c:scaling>
          <c:orientation val="minMax"/>
        </c:scaling>
        <c:delete val="0"/>
        <c:axPos val="l"/>
        <c:numFmt formatCode="General" sourceLinked="1"/>
        <c:majorTickMark val="none"/>
        <c:minorTickMark val="none"/>
        <c:tickLblPos val="nextTo"/>
        <c:spPr>
          <a:ln w="9360">
            <a:solidFill>
              <a:srgbClr val="878787"/>
            </a:solidFill>
            <a:round/>
          </a:ln>
        </c:spPr>
        <c:crossAx val="62032556"/>
        <c:crosses val="autoZero"/>
        <c:auto val="1"/>
        <c:lblAlgn val="ctr"/>
        <c:lblOffset val="100"/>
        <c:noMultiLvlLbl val="0"/>
      </c:catAx>
      <c:valAx>
        <c:axId val="62032556"/>
        <c:scaling>
          <c:orientation val="minMax"/>
          <c:max val="65"/>
        </c:scaling>
        <c:delete val="1"/>
        <c:axPos val="b"/>
        <c:numFmt formatCode="0.00" sourceLinked="1"/>
        <c:majorTickMark val="none"/>
        <c:minorTickMark val="none"/>
        <c:tickLblPos val="nextTo"/>
        <c:crossAx val="1148480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txPr>
    <a:bodyPr/>
    <a:lstStyle/>
    <a:p>
      <a:pPr>
        <a:defRPr sz="1100">
          <a:latin typeface="Times New Roman" panose="02020603050405020304" pitchFamily="18" charset="0"/>
          <a:cs typeface="Times New Roman" panose="02020603050405020304" pitchFamily="18" charset="0"/>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1F3864"/>
            </a:solidFill>
            <a:ln w="9360">
              <a:solidFill>
                <a:srgbClr val="1B3A6B"/>
              </a:solidFill>
              <a:round/>
            </a:ln>
          </c:spPr>
          <c:invertIfNegative val="0"/>
          <c:dLbls>
            <c:spPr>
              <a:noFill/>
              <a:ln>
                <a:noFill/>
              </a:ln>
              <a:effectLst/>
            </c:sp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'T4 Natalidad Mortalidad IE'!$A$4:$A$16</c:f>
              <c:strCache>
                <c:ptCount val="13"/>
                <c:pt idx="0">
                  <c:v>Carolina del Príncipe</c:v>
                </c:pt>
                <c:pt idx="1">
                  <c:v>Gómez Plata</c:v>
                </c:pt>
                <c:pt idx="2">
                  <c:v>Guadalupe</c:v>
                </c:pt>
                <c:pt idx="3">
                  <c:v>Angostura</c:v>
                </c:pt>
                <c:pt idx="4">
                  <c:v>Yarumal</c:v>
                </c:pt>
                <c:pt idx="5">
                  <c:v>Campamento</c:v>
                </c:pt>
                <c:pt idx="6">
                  <c:v>Toledo</c:v>
                </c:pt>
                <c:pt idx="7">
                  <c:v>Ituango</c:v>
                </c:pt>
                <c:pt idx="8">
                  <c:v>San Andrés de Cuerquia</c:v>
                </c:pt>
                <c:pt idx="9">
                  <c:v>San José de la Montaña</c:v>
                </c:pt>
                <c:pt idx="10">
                  <c:v>Valdivia</c:v>
                </c:pt>
                <c:pt idx="11">
                  <c:v>Briceño</c:v>
                </c:pt>
                <c:pt idx="12">
                  <c:v>Anorí</c:v>
                </c:pt>
              </c:strCache>
            </c:strRef>
          </c:cat>
          <c:val>
            <c:numRef>
              <c:f>'T4 Natalidad Mortalidad IE'!$D$4:$D$16</c:f>
              <c:numCache>
                <c:formatCode>0.00</c:formatCode>
                <c:ptCount val="13"/>
                <c:pt idx="0">
                  <c:v>44.62</c:v>
                </c:pt>
                <c:pt idx="1">
                  <c:v>39</c:v>
                </c:pt>
                <c:pt idx="2">
                  <c:v>29.89</c:v>
                </c:pt>
                <c:pt idx="3">
                  <c:v>27.96</c:v>
                </c:pt>
                <c:pt idx="4">
                  <c:v>26.7</c:v>
                </c:pt>
                <c:pt idx="5">
                  <c:v>25.92</c:v>
                </c:pt>
                <c:pt idx="6">
                  <c:v>25.91</c:v>
                </c:pt>
                <c:pt idx="7">
                  <c:v>24.71</c:v>
                </c:pt>
                <c:pt idx="8">
                  <c:v>24.4</c:v>
                </c:pt>
                <c:pt idx="9">
                  <c:v>22.64</c:v>
                </c:pt>
                <c:pt idx="10">
                  <c:v>20.62</c:v>
                </c:pt>
                <c:pt idx="11">
                  <c:v>20.39</c:v>
                </c:pt>
                <c:pt idx="12">
                  <c:v>19.579999999999998</c:v>
                </c:pt>
              </c:numCache>
            </c:numRef>
          </c:val>
          <c:extLst>
            <c:ext xmlns:c16="http://schemas.microsoft.com/office/drawing/2014/chart" uri="{C3380CC4-5D6E-409C-BE32-E72D297353CC}">
              <c16:uniqueId val="{00000000-5586-4749-B4A6-31373E2749A1}"/>
            </c:ext>
          </c:extLst>
        </c:ser>
        <c:dLbls>
          <c:showLegendKey val="0"/>
          <c:showVal val="0"/>
          <c:showCatName val="0"/>
          <c:showSerName val="0"/>
          <c:showPercent val="0"/>
          <c:showBubbleSize val="0"/>
        </c:dLbls>
        <c:gapWidth val="30"/>
        <c:axId val="53455048"/>
        <c:axId val="26612407"/>
      </c:barChart>
      <c:catAx>
        <c:axId val="53455048"/>
        <c:scaling>
          <c:orientation val="minMax"/>
        </c:scaling>
        <c:delete val="0"/>
        <c:axPos val="l"/>
        <c:numFmt formatCode="General" sourceLinked="1"/>
        <c:majorTickMark val="none"/>
        <c:minorTickMark val="none"/>
        <c:tickLblPos val="nextTo"/>
        <c:spPr>
          <a:ln w="9360">
            <a:solidFill>
              <a:srgbClr val="878787"/>
            </a:solidFill>
            <a:round/>
          </a:ln>
        </c:spPr>
        <c:crossAx val="26612407"/>
        <c:crosses val="autoZero"/>
        <c:auto val="1"/>
        <c:lblAlgn val="ctr"/>
        <c:lblOffset val="100"/>
        <c:noMultiLvlLbl val="0"/>
      </c:catAx>
      <c:valAx>
        <c:axId val="26612407"/>
        <c:scaling>
          <c:orientation val="minMax"/>
        </c:scaling>
        <c:delete val="1"/>
        <c:axPos val="b"/>
        <c:numFmt formatCode="0.00" sourceLinked="1"/>
        <c:majorTickMark val="none"/>
        <c:minorTickMark val="none"/>
        <c:tickLblPos val="nextTo"/>
        <c:crossAx val="5345504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txPr>
    <a:bodyPr/>
    <a:lstStyle/>
    <a:p>
      <a:pPr>
        <a:defRPr sz="1100">
          <a:latin typeface="Times New Roman" panose="02020603050405020304" pitchFamily="18" charset="0"/>
          <a:cs typeface="Times New Roman" panose="02020603050405020304" pitchFamily="18" charset="0"/>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2"/>
          <c:order val="2"/>
          <c:tx>
            <c:strRef>
              <c:f>'T5 Migración'!$D$3</c:f>
              <c:strCache>
                <c:ptCount val="1"/>
                <c:pt idx="0">
                  <c:v>Tasa total</c:v>
                </c:pt>
              </c:strCache>
            </c:strRef>
          </c:tx>
          <c:spPr>
            <a:solidFill>
              <a:srgbClr val="1F3864"/>
            </a:solidFill>
            <a:ln w="9360">
              <a:solidFill>
                <a:srgbClr val="1F3864"/>
              </a:solidFill>
              <a:round/>
            </a:ln>
          </c:spPr>
          <c:invertIfNegative val="0"/>
          <c:dLbls>
            <c:dLbl>
              <c:idx val="0"/>
              <c:tx>
                <c:rich>
                  <a:bodyPr/>
                  <a:lstStyle/>
                  <a:p>
                    <a:fld id="{7FB98F78-0C5D-4215-A472-7D872B695063}" type="VALUE">
                      <a:rPr lang="en-US"/>
                      <a:pPr/>
                      <a:t>[VALOR]</a:t>
                    </a:fld>
                    <a:r>
                      <a:rPr lang="en-US"/>
                      <a:t>*</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22F-454B-87B1-2056AC9FFBD0}"/>
                </c:ext>
              </c:extLst>
            </c:dLbl>
            <c:dLbl>
              <c:idx val="1"/>
              <c:tx>
                <c:rich>
                  <a:bodyPr/>
                  <a:lstStyle/>
                  <a:p>
                    <a:fld id="{FF888F82-FC57-41F1-8782-645C5509B68F}" type="VALUE">
                      <a:rPr lang="en-US"/>
                      <a:pPr/>
                      <a:t>[VALOR]</a:t>
                    </a:fld>
                    <a:r>
                      <a:rPr lang="en-US"/>
                      <a:t>*</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B22F-454B-87B1-2056AC9FFBD0}"/>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'T5 Migración'!$A$4:$A$16</c:f>
              <c:strCache>
                <c:ptCount val="13"/>
                <c:pt idx="0">
                  <c:v>Ituango</c:v>
                </c:pt>
                <c:pt idx="1">
                  <c:v>Carolina del Príncipe</c:v>
                </c:pt>
                <c:pt idx="2">
                  <c:v>Gómez Plata</c:v>
                </c:pt>
                <c:pt idx="3">
                  <c:v>Guadalupe</c:v>
                </c:pt>
                <c:pt idx="4">
                  <c:v>Anorí</c:v>
                </c:pt>
                <c:pt idx="5">
                  <c:v>San Andrés de Cuerquia</c:v>
                </c:pt>
                <c:pt idx="6">
                  <c:v>Toledo</c:v>
                </c:pt>
                <c:pt idx="7">
                  <c:v>Briceño</c:v>
                </c:pt>
                <c:pt idx="8">
                  <c:v>San José de la Montaña</c:v>
                </c:pt>
                <c:pt idx="9">
                  <c:v>Angostura</c:v>
                </c:pt>
                <c:pt idx="10">
                  <c:v>Valdivia</c:v>
                </c:pt>
                <c:pt idx="11">
                  <c:v>Yarumal</c:v>
                </c:pt>
                <c:pt idx="12">
                  <c:v>Campamento</c:v>
                </c:pt>
              </c:strCache>
            </c:strRef>
          </c:cat>
          <c:val>
            <c:numRef>
              <c:f>'T5 Migración'!$D$4:$D$16</c:f>
              <c:numCache>
                <c:formatCode>0.00</c:formatCode>
                <c:ptCount val="13"/>
                <c:pt idx="0">
                  <c:v>0</c:v>
                </c:pt>
                <c:pt idx="1">
                  <c:v>0</c:v>
                </c:pt>
                <c:pt idx="2">
                  <c:v>0.06</c:v>
                </c:pt>
                <c:pt idx="3">
                  <c:v>0.48</c:v>
                </c:pt>
                <c:pt idx="4">
                  <c:v>0.89</c:v>
                </c:pt>
                <c:pt idx="5">
                  <c:v>1.42</c:v>
                </c:pt>
                <c:pt idx="6">
                  <c:v>1.47</c:v>
                </c:pt>
                <c:pt idx="7">
                  <c:v>1.96</c:v>
                </c:pt>
                <c:pt idx="8">
                  <c:v>2.0299999999999998</c:v>
                </c:pt>
                <c:pt idx="9">
                  <c:v>2.1800000000000002</c:v>
                </c:pt>
                <c:pt idx="10">
                  <c:v>2.33</c:v>
                </c:pt>
                <c:pt idx="11">
                  <c:v>2.46</c:v>
                </c:pt>
                <c:pt idx="12">
                  <c:v>2.5099999999999998</c:v>
                </c:pt>
              </c:numCache>
            </c:numRef>
          </c:val>
          <c:extLst>
            <c:ext xmlns:c16="http://schemas.microsoft.com/office/drawing/2014/chart" uri="{C3380CC4-5D6E-409C-BE32-E72D297353CC}">
              <c16:uniqueId val="{00000002-20A5-4ACD-A72F-990B7CF3B276}"/>
            </c:ext>
          </c:extLst>
        </c:ser>
        <c:dLbls>
          <c:showLegendKey val="0"/>
          <c:showVal val="0"/>
          <c:showCatName val="0"/>
          <c:showSerName val="0"/>
          <c:showPercent val="0"/>
          <c:showBubbleSize val="0"/>
        </c:dLbls>
        <c:gapWidth val="20"/>
        <c:axId val="41799242"/>
        <c:axId val="42298105"/>
        <c:extLst>
          <c:ext xmlns:c15="http://schemas.microsoft.com/office/drawing/2012/chart" uri="{02D57815-91ED-43cb-92C2-25804820EDAC}">
            <c15:filteredBarSeries>
              <c15:ser>
                <c:idx val="0"/>
                <c:order val="0"/>
                <c:tx>
                  <c:strRef>
                    <c:extLst>
                      <c:ext uri="{02D57815-91ED-43cb-92C2-25804820EDAC}">
                        <c15:formulaRef>
                          <c15:sqref>'T5 Migración'!$B$3</c15:sqref>
                        </c15:formulaRef>
                      </c:ext>
                    </c:extLst>
                    <c:strCache>
                      <c:ptCount val="1"/>
                      <c:pt idx="0">
                        <c:v>Tasa cabecera</c:v>
                      </c:pt>
                    </c:strCache>
                  </c:strRef>
                </c:tx>
                <c:spPr>
                  <a:solidFill>
                    <a:srgbClr val="1B3A6B"/>
                  </a:solidFill>
                  <a:ln w="9360">
                    <a:solidFill>
                      <a:srgbClr val="1B3A6B"/>
                    </a:solidFill>
                    <a:round/>
                  </a:ln>
                </c:spPr>
                <c:invertIfNegative val="0"/>
                <c:dLbls>
                  <c:spPr>
                    <a:noFill/>
                    <a:ln>
                      <a:noFill/>
                    </a:ln>
                    <a:effectLst/>
                  </c:spPr>
                  <c:txPr>
                    <a:bodyPr wrap="none"/>
                    <a:lstStyle/>
                    <a:p>
                      <a:pPr>
                        <a:defRPr sz="1000" b="0" strike="noStrike" spc="-1">
                          <a:latin typeface="Arial"/>
                        </a:defRPr>
                      </a:pPr>
                      <a:endParaRPr lang="es-CO"/>
                    </a:p>
                  </c:txPr>
                  <c:showLegendKey val="0"/>
                  <c:showVal val="0"/>
                  <c:showCatName val="0"/>
                  <c:showSerName val="0"/>
                  <c:showPercent val="0"/>
                  <c:showBubbleSize val="1"/>
                  <c:separator> </c:separator>
                  <c:showLeaderLines val="0"/>
                  <c:extLst>
                    <c:ext uri="{CE6537A1-D6FC-4f65-9D91-7224C49458BB}">
                      <c15:spPr xmlns:c15="http://schemas.microsoft.com/office/drawing/2012/chart">
                        <a:prstGeom prst="rect">
                          <a:avLst/>
                        </a:prstGeom>
                      </c15:spPr>
                      <c15:showLeaderLines val="1"/>
                    </c:ext>
                  </c:extLst>
                </c:dLbls>
                <c:cat>
                  <c:strRef>
                    <c:extLst>
                      <c:ext uri="{02D57815-91ED-43cb-92C2-25804820EDAC}">
                        <c15:formulaRef>
                          <c15:sqref>'T5 Migración'!$A$4:$A$16</c15:sqref>
                        </c15:formulaRef>
                      </c:ext>
                    </c:extLst>
                    <c:strCache>
                      <c:ptCount val="13"/>
                      <c:pt idx="0">
                        <c:v>Ituango</c:v>
                      </c:pt>
                      <c:pt idx="1">
                        <c:v>Carolina del Príncipe</c:v>
                      </c:pt>
                      <c:pt idx="2">
                        <c:v>Gómez Plata</c:v>
                      </c:pt>
                      <c:pt idx="3">
                        <c:v>Guadalupe</c:v>
                      </c:pt>
                      <c:pt idx="4">
                        <c:v>Anorí</c:v>
                      </c:pt>
                      <c:pt idx="5">
                        <c:v>San Andrés de Cuerquia</c:v>
                      </c:pt>
                      <c:pt idx="6">
                        <c:v>Toledo</c:v>
                      </c:pt>
                      <c:pt idx="7">
                        <c:v>Briceño</c:v>
                      </c:pt>
                      <c:pt idx="8">
                        <c:v>San José de la Montaña</c:v>
                      </c:pt>
                      <c:pt idx="9">
                        <c:v>Angostura</c:v>
                      </c:pt>
                      <c:pt idx="10">
                        <c:v>Valdivia</c:v>
                      </c:pt>
                      <c:pt idx="11">
                        <c:v>Yarumal</c:v>
                      </c:pt>
                      <c:pt idx="12">
                        <c:v>Campamento</c:v>
                      </c:pt>
                    </c:strCache>
                  </c:strRef>
                </c:cat>
                <c:val>
                  <c:numRef>
                    <c:extLst>
                      <c:ext uri="{02D57815-91ED-43cb-92C2-25804820EDAC}">
                        <c15:formulaRef>
                          <c15:sqref>'T5 Migración'!$B$4:$B$16</c15:sqref>
                        </c15:formulaRef>
                      </c:ext>
                    </c:extLst>
                    <c:numCache>
                      <c:formatCode>0.00</c:formatCode>
                      <c:ptCount val="13"/>
                      <c:pt idx="0">
                        <c:v>0</c:v>
                      </c:pt>
                      <c:pt idx="1">
                        <c:v>0</c:v>
                      </c:pt>
                      <c:pt idx="2">
                        <c:v>0.11</c:v>
                      </c:pt>
                      <c:pt idx="3">
                        <c:v>0.53</c:v>
                      </c:pt>
                      <c:pt idx="4">
                        <c:v>1.89</c:v>
                      </c:pt>
                      <c:pt idx="5">
                        <c:v>3.14</c:v>
                      </c:pt>
                      <c:pt idx="6">
                        <c:v>1.27</c:v>
                      </c:pt>
                      <c:pt idx="7">
                        <c:v>1.19</c:v>
                      </c:pt>
                      <c:pt idx="8">
                        <c:v>2.86</c:v>
                      </c:pt>
                      <c:pt idx="9">
                        <c:v>2.8</c:v>
                      </c:pt>
                      <c:pt idx="10">
                        <c:v>1.33</c:v>
                      </c:pt>
                      <c:pt idx="11">
                        <c:v>2.2200000000000002</c:v>
                      </c:pt>
                      <c:pt idx="12">
                        <c:v>1.66</c:v>
                      </c:pt>
                    </c:numCache>
                  </c:numRef>
                </c:val>
                <c:extLst>
                  <c:ext xmlns:c16="http://schemas.microsoft.com/office/drawing/2014/chart" uri="{C3380CC4-5D6E-409C-BE32-E72D297353CC}">
                    <c16:uniqueId val="{00000000-20A5-4ACD-A72F-990B7CF3B276}"/>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'T5 Migración'!$C$3</c15:sqref>
                        </c15:formulaRef>
                      </c:ext>
                    </c:extLst>
                    <c:strCache>
                      <c:ptCount val="1"/>
                      <c:pt idx="0">
                        <c:v>Tasa centros pob. / rural disperso</c:v>
                      </c:pt>
                    </c:strCache>
                  </c:strRef>
                </c:tx>
                <c:spPr>
                  <a:solidFill>
                    <a:srgbClr val="AAAAAA"/>
                  </a:solidFill>
                  <a:ln w="9360">
                    <a:solidFill>
                      <a:srgbClr val="AAAAAA"/>
                    </a:solidFill>
                    <a:round/>
                  </a:ln>
                </c:spPr>
                <c:invertIfNegative val="0"/>
                <c:cat>
                  <c:strRef>
                    <c:extLst xmlns:c15="http://schemas.microsoft.com/office/drawing/2012/chart">
                      <c:ext xmlns:c15="http://schemas.microsoft.com/office/drawing/2012/chart" uri="{02D57815-91ED-43cb-92C2-25804820EDAC}">
                        <c15:formulaRef>
                          <c15:sqref>'T5 Migración'!$A$4:$A$16</c15:sqref>
                        </c15:formulaRef>
                      </c:ext>
                    </c:extLst>
                    <c:strCache>
                      <c:ptCount val="13"/>
                      <c:pt idx="0">
                        <c:v>Ituango</c:v>
                      </c:pt>
                      <c:pt idx="1">
                        <c:v>Carolina del Príncipe</c:v>
                      </c:pt>
                      <c:pt idx="2">
                        <c:v>Gómez Plata</c:v>
                      </c:pt>
                      <c:pt idx="3">
                        <c:v>Guadalupe</c:v>
                      </c:pt>
                      <c:pt idx="4">
                        <c:v>Anorí</c:v>
                      </c:pt>
                      <c:pt idx="5">
                        <c:v>San Andrés de Cuerquia</c:v>
                      </c:pt>
                      <c:pt idx="6">
                        <c:v>Toledo</c:v>
                      </c:pt>
                      <c:pt idx="7">
                        <c:v>Briceño</c:v>
                      </c:pt>
                      <c:pt idx="8">
                        <c:v>San José de la Montaña</c:v>
                      </c:pt>
                      <c:pt idx="9">
                        <c:v>Angostura</c:v>
                      </c:pt>
                      <c:pt idx="10">
                        <c:v>Valdivia</c:v>
                      </c:pt>
                      <c:pt idx="11">
                        <c:v>Yarumal</c:v>
                      </c:pt>
                      <c:pt idx="12">
                        <c:v>Campamento</c:v>
                      </c:pt>
                    </c:strCache>
                  </c:strRef>
                </c:cat>
                <c:val>
                  <c:numRef>
                    <c:extLst xmlns:c15="http://schemas.microsoft.com/office/drawing/2012/chart">
                      <c:ext xmlns:c15="http://schemas.microsoft.com/office/drawing/2012/chart" uri="{02D57815-91ED-43cb-92C2-25804820EDAC}">
                        <c15:formulaRef>
                          <c15:sqref>'T5 Migración'!$C$4:$C$16</c15:sqref>
                        </c15:formulaRef>
                      </c:ext>
                    </c:extLst>
                    <c:numCache>
                      <c:formatCode>0.00</c:formatCode>
                      <c:ptCount val="13"/>
                      <c:pt idx="0">
                        <c:v>0</c:v>
                      </c:pt>
                      <c:pt idx="1">
                        <c:v>0</c:v>
                      </c:pt>
                      <c:pt idx="2">
                        <c:v>0</c:v>
                      </c:pt>
                      <c:pt idx="3">
                        <c:v>0.44</c:v>
                      </c:pt>
                      <c:pt idx="4">
                        <c:v>0</c:v>
                      </c:pt>
                      <c:pt idx="5">
                        <c:v>0</c:v>
                      </c:pt>
                      <c:pt idx="6">
                        <c:v>1.6</c:v>
                      </c:pt>
                      <c:pt idx="7">
                        <c:v>2.4300000000000002</c:v>
                      </c:pt>
                      <c:pt idx="8">
                        <c:v>0.36</c:v>
                      </c:pt>
                      <c:pt idx="9">
                        <c:v>1.94</c:v>
                      </c:pt>
                      <c:pt idx="10">
                        <c:v>2.8</c:v>
                      </c:pt>
                      <c:pt idx="11">
                        <c:v>3.15</c:v>
                      </c:pt>
                      <c:pt idx="12">
                        <c:v>2.93</c:v>
                      </c:pt>
                    </c:numCache>
                  </c:numRef>
                </c:val>
                <c:extLst xmlns:c15="http://schemas.microsoft.com/office/drawing/2012/chart">
                  <c:ext xmlns:c16="http://schemas.microsoft.com/office/drawing/2014/chart" uri="{C3380CC4-5D6E-409C-BE32-E72D297353CC}">
                    <c16:uniqueId val="{00000001-20A5-4ACD-A72F-990B7CF3B276}"/>
                  </c:ext>
                </c:extLst>
              </c15:ser>
            </c15:filteredBarSeries>
          </c:ext>
        </c:extLst>
      </c:barChart>
      <c:catAx>
        <c:axId val="41799242"/>
        <c:scaling>
          <c:orientation val="minMax"/>
        </c:scaling>
        <c:delete val="0"/>
        <c:axPos val="l"/>
        <c:numFmt formatCode="General" sourceLinked="1"/>
        <c:majorTickMark val="none"/>
        <c:minorTickMark val="none"/>
        <c:tickLblPos val="nextTo"/>
        <c:spPr>
          <a:ln w="9360">
            <a:solidFill>
              <a:srgbClr val="878787"/>
            </a:solidFill>
            <a:round/>
          </a:ln>
        </c:spPr>
        <c:crossAx val="42298105"/>
        <c:crosses val="autoZero"/>
        <c:auto val="1"/>
        <c:lblAlgn val="ctr"/>
        <c:lblOffset val="100"/>
        <c:noMultiLvlLbl val="0"/>
      </c:catAx>
      <c:valAx>
        <c:axId val="42298105"/>
        <c:scaling>
          <c:orientation val="minMax"/>
        </c:scaling>
        <c:delete val="1"/>
        <c:axPos val="b"/>
        <c:numFmt formatCode="0.00" sourceLinked="1"/>
        <c:majorTickMark val="none"/>
        <c:minorTickMark val="none"/>
        <c:tickLblPos val="nextTo"/>
        <c:crossAx val="4179924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txPr>
    <a:bodyPr/>
    <a:lstStyle/>
    <a:p>
      <a:pPr>
        <a:defRPr sz="1100">
          <a:latin typeface="Times New Roman" panose="02020603050405020304" pitchFamily="18" charset="0"/>
          <a:cs typeface="Times New Roman" panose="02020603050405020304" pitchFamily="18" charset="0"/>
        </a:defRPr>
      </a:pPr>
      <a:endParaRPr lang="es-CO"/>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size">
        <cx:f>_xlchart.v1.2</cx:f>
      </cx:numDim>
    </cx:data>
  </cx:chartData>
  <cx:chart>
    <cx:plotArea>
      <cx:plotAreaRegion>
        <cx:series layoutId="sunburst" uniqueId="{288501EB-DD5D-473D-8CD1-C85AD62CFF17}">
          <cx:tx>
            <cx:txData>
              <cx:f>_xlchart.v1.0</cx:f>
              <cx:v>% PAP</cx:v>
            </cx:txData>
          </cx:tx>
          <cx:spPr>
            <a:solidFill>
              <a:srgbClr val="4472C4"/>
            </a:solidFill>
          </cx:spPr>
          <cx:dataPt idx="0">
            <cx:spPr>
              <a:solidFill>
                <a:srgbClr val="1F3864"/>
              </a:solidFill>
            </cx:spPr>
          </cx:dataPt>
          <cx:dataPt idx="1">
            <cx:spPr>
              <a:solidFill>
                <a:srgbClr val="4472C4"/>
              </a:solidFill>
            </cx:spPr>
          </cx:dataPt>
          <cx:dataPt idx="2">
            <cx:spPr>
              <a:solidFill>
                <a:srgbClr val="5B9BD5"/>
              </a:solidFill>
            </cx:spPr>
          </cx:dataPt>
          <cx:dataPt idx="3">
            <cx:spPr>
              <a:solidFill>
                <a:srgbClr val="9DC3E6"/>
              </a:solidFill>
            </cx:spPr>
          </cx:dataPt>
          <cx:dataPt idx="4">
            <cx:spPr>
              <a:solidFill>
                <a:srgbClr val="BFBFBF"/>
              </a:solidFill>
            </cx:spPr>
          </cx:dataPt>
          <cx:dataPt idx="5">
            <cx:spPr>
              <a:solidFill>
                <a:srgbClr val="D0D0D0"/>
              </a:solidFill>
            </cx:spPr>
          </cx:dataPt>
          <cx:dataPt idx="6">
            <cx:spPr>
              <a:solidFill>
                <a:srgbClr val="E0E0E0"/>
              </a:solidFill>
            </cx:spPr>
          </cx:dataPt>
          <cx:dataPt idx="7">
            <cx:spPr>
              <a:solidFill>
                <a:srgbClr val="F0F0F0"/>
              </a:solidFill>
            </cx:spPr>
          </cx:dataPt>
          <cx:dataLabels>
            <cx:txPr>
              <a:bodyPr spcFirstLastPara="1" vertOverflow="ellipsis" horzOverflow="overflow" wrap="square" lIns="0" tIns="0" rIns="0" bIns="0" anchor="ctr" anchorCtr="1"/>
              <a:lstStyle/>
              <a:p>
                <a:pPr algn="ctr" rtl="0">
                  <a:defRPr sz="1200" b="1">
                    <a:solidFill>
                      <a:sysClr val="windowText" lastClr="000000"/>
                    </a:solidFill>
                  </a:defRPr>
                </a:pPr>
                <a:endParaRPr lang="es-ES" sz="1200" b="1" i="0" u="none" strike="noStrike" baseline="0">
                  <a:solidFill>
                    <a:sysClr val="windowText" lastClr="000000"/>
                  </a:solidFill>
                  <a:latin typeface="Calibri"/>
                </a:endParaRPr>
              </a:p>
            </cx:txPr>
            <cx:visibility seriesName="0" categoryName="0" value="1"/>
            <cx:separator>, </cx:separator>
            <cx:dataLabel idx="1">
              <cx:txPr>
                <a:bodyPr spcFirstLastPara="1" vertOverflow="ellipsis" horzOverflow="overflow" wrap="square" lIns="0" tIns="0" rIns="0" bIns="0" anchor="ctr" anchorCtr="1"/>
                <a:lstStyle/>
                <a:p>
                  <a:pPr algn="ctr" rtl="0">
                    <a:defRPr/>
                  </a:pPr>
                  <a:r>
                    <a:rPr lang="es-ES" sz="1200" b="1" i="0" u="none" strike="noStrike" baseline="0">
                      <a:solidFill>
                        <a:sysClr val="windowText" lastClr="000000"/>
                      </a:solidFill>
                      <a:latin typeface="Calibri"/>
                    </a:rPr>
                    <a:t>18.7%</a:t>
                  </a:r>
                </a:p>
              </cx:txPr>
            </cx:dataLabel>
            <cx:dataLabel idx="6">
              <cx:txPr>
                <a:bodyPr spcFirstLastPara="1" vertOverflow="ellipsis" horzOverflow="overflow" wrap="square" lIns="0" tIns="0" rIns="0" bIns="0" anchor="ctr" anchorCtr="1"/>
                <a:lstStyle/>
                <a:p>
                  <a:pPr algn="ctr" rtl="0">
                    <a:defRPr/>
                  </a:pPr>
                  <a:r>
                    <a:rPr lang="es-ES" sz="1200" b="1" i="0" u="none" strike="noStrike" baseline="0">
                      <a:solidFill>
                        <a:sysClr val="windowText" lastClr="000000"/>
                      </a:solidFill>
                      <a:latin typeface="Calibri"/>
                    </a:rPr>
                    <a:t>4.4%</a:t>
                  </a:r>
                </a:p>
              </cx:txPr>
            </cx:dataLabel>
            <cx:dataLabel idx="7">
              <cx:txPr>
                <a:bodyPr spcFirstLastPara="1" vertOverflow="ellipsis" horzOverflow="overflow" wrap="square" lIns="0" tIns="0" rIns="0" bIns="0" anchor="ctr" anchorCtr="1"/>
                <a:lstStyle/>
                <a:p>
                  <a:pPr algn="ctr" rtl="0">
                    <a:defRPr>
                      <a:solidFill>
                        <a:sysClr val="windowText" lastClr="000000"/>
                      </a:solidFill>
                    </a:defRPr>
                  </a:pPr>
                  <a:r>
                    <a:rPr lang="es-ES" sz="1200" b="1" i="0" u="none" strike="noStrike" baseline="0">
                      <a:solidFill>
                        <a:sysClr val="windowText" lastClr="000000"/>
                      </a:solidFill>
                      <a:latin typeface="Calibri"/>
                    </a:rPr>
                    <a:t>12.5%</a:t>
                  </a:r>
                </a:p>
              </cx:txPr>
            </cx:dataLabel>
          </cx:dataLabels>
          <cx:dataId val="0"/>
        </cx:series>
      </cx:plotAreaRegion>
    </cx:plotArea>
    <cx:legend pos="b" align="ctr" overlay="0">
      <cx:txPr>
        <a:bodyPr spcFirstLastPara="1" vertOverflow="ellipsis" horzOverflow="overflow" wrap="square" lIns="0" tIns="0" rIns="0" bIns="0" anchor="ctr" anchorCtr="1"/>
        <a:lstStyle/>
        <a:p>
          <a:pPr algn="ctr" rtl="0">
            <a:defRPr sz="1400"/>
          </a:pPr>
          <a:endParaRPr lang="es-ES" sz="1400" b="0" i="0" u="none" strike="noStrike" baseline="0">
            <a:solidFill>
              <a:srgbClr val="000000">
                <a:lumMod val="65000"/>
                <a:lumOff val="35000"/>
              </a:srgbClr>
            </a:solidFill>
            <a:latin typeface="Calibri"/>
          </a:endParaRPr>
        </a:p>
      </cx:txPr>
    </cx:legend>
  </cx:chart>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6</xdr:col>
      <xdr:colOff>0</xdr:colOff>
      <xdr:row>0</xdr:row>
      <xdr:rowOff>0</xdr:rowOff>
    </xdr:from>
    <xdr:ext cx="7714080" cy="4841640"/>
    <xdr:graphicFrame macro="">
      <xdr:nvGraphicFramePr>
        <xdr:cNvPr id="2" name="Chart 1">
          <a:extLst>
            <a:ext uri="{FF2B5EF4-FFF2-40B4-BE49-F238E27FC236}">
              <a16:creationId xmlns:a16="http://schemas.microsoft.com/office/drawing/2014/main" id="{8615EBB9-1656-4E4F-8791-7EE9B3B45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3</xdr:row>
      <xdr:rowOff>0</xdr:rowOff>
    </xdr:from>
    <xdr:to>
      <xdr:col>16</xdr:col>
      <xdr:colOff>112680</xdr:colOff>
      <xdr:row>27</xdr:row>
      <xdr:rowOff>145440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511629</xdr:colOff>
      <xdr:row>4</xdr:row>
      <xdr:rowOff>0</xdr:rowOff>
    </xdr:from>
    <xdr:to>
      <xdr:col>26</xdr:col>
      <xdr:colOff>555171</xdr:colOff>
      <xdr:row>26</xdr:row>
      <xdr:rowOff>130628</xdr:rowOff>
    </xdr:to>
    <mc:AlternateContent xmlns:mc="http://schemas.openxmlformats.org/markup-compatibility/2006">
      <mc:Choice xmlns:cx1="http://schemas.microsoft.com/office/drawing/2015/9/8/chartex" Requires="cx1">
        <xdr:graphicFrame macro="">
          <xdr:nvGraphicFramePr>
            <xdr:cNvPr id="3" name="Chart 1">
              <a:extLst>
                <a:ext uri="{FF2B5EF4-FFF2-40B4-BE49-F238E27FC236}">
                  <a16:creationId xmlns:a16="http://schemas.microsoft.com/office/drawing/2014/main" id="{9F3AE328-947E-4FE9-BCBD-DCFACFF76B45}"/>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690169" y="861060"/>
              <a:ext cx="5987142" cy="4222568"/>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591093</xdr:colOff>
      <xdr:row>3</xdr:row>
      <xdr:rowOff>0</xdr:rowOff>
    </xdr:from>
    <xdr:to>
      <xdr:col>19</xdr:col>
      <xdr:colOff>391886</xdr:colOff>
      <xdr:row>33</xdr:row>
      <xdr:rowOff>65314</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2</xdr:row>
      <xdr:rowOff>0</xdr:rowOff>
    </xdr:from>
    <xdr:ext cx="5692588" cy="4234355"/>
    <xdr:graphicFrame macro="">
      <xdr:nvGraphicFramePr>
        <xdr:cNvPr id="2" name="Chart 1">
          <a:extLst>
            <a:ext uri="{FF2B5EF4-FFF2-40B4-BE49-F238E27FC236}">
              <a16:creationId xmlns:a16="http://schemas.microsoft.com/office/drawing/2014/main" id="{BA35A7E1-9961-4928-85AE-596E21075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5</xdr:col>
      <xdr:colOff>0</xdr:colOff>
      <xdr:row>2</xdr:row>
      <xdr:rowOff>0</xdr:rowOff>
    </xdr:from>
    <xdr:ext cx="5921386" cy="4234355"/>
    <xdr:graphicFrame macro="">
      <xdr:nvGraphicFramePr>
        <xdr:cNvPr id="2" name="Chart 1">
          <a:extLst>
            <a:ext uri="{FF2B5EF4-FFF2-40B4-BE49-F238E27FC236}">
              <a16:creationId xmlns:a16="http://schemas.microsoft.com/office/drawing/2014/main" id="{3EFE47C0-54F5-4733-94B5-E91141CB9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4</xdr:col>
      <xdr:colOff>582706</xdr:colOff>
      <xdr:row>2</xdr:row>
      <xdr:rowOff>17929</xdr:rowOff>
    </xdr:from>
    <xdr:ext cx="6281386" cy="4234355"/>
    <xdr:graphicFrame macro="">
      <xdr:nvGraphicFramePr>
        <xdr:cNvPr id="2" name="Chart 1">
          <a:extLst>
            <a:ext uri="{FF2B5EF4-FFF2-40B4-BE49-F238E27FC236}">
              <a16:creationId xmlns:a16="http://schemas.microsoft.com/office/drawing/2014/main" id="{E3B037C9-808F-4E81-8675-567A86F3F9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15</xdr:col>
      <xdr:colOff>502023</xdr:colOff>
      <xdr:row>2</xdr:row>
      <xdr:rowOff>134469</xdr:rowOff>
    </xdr:from>
    <xdr:to>
      <xdr:col>21</xdr:col>
      <xdr:colOff>134470</xdr:colOff>
      <xdr:row>12</xdr:row>
      <xdr:rowOff>188258</xdr:rowOff>
    </xdr:to>
    <xdr:sp macro="" textlink="">
      <xdr:nvSpPr>
        <xdr:cNvPr id="3" name="CuadroTexto 2">
          <a:extLst>
            <a:ext uri="{FF2B5EF4-FFF2-40B4-BE49-F238E27FC236}">
              <a16:creationId xmlns:a16="http://schemas.microsoft.com/office/drawing/2014/main" id="{FCB06B9D-BB2A-D284-E94B-24DFF406B845}"/>
            </a:ext>
          </a:extLst>
        </xdr:cNvPr>
        <xdr:cNvSpPr txBox="1"/>
      </xdr:nvSpPr>
      <xdr:spPr>
        <a:xfrm>
          <a:off x="12909176" y="726140"/>
          <a:ext cx="3182470" cy="19363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La tasa neta de migración corresponde a la diferencia entre las tasas estimadas de inmigración y emigración obtenidas a partir de la Encuesta de Calidad de Vida (ECV). Debido a que, en varios municipios, estas estimaciones presentan coeficientes de variación elevados, las diferencias deben interpretarse con cautela, especialmente en aquellos casos donde la tasa neta es igual a cero.</a:t>
          </a:r>
        </a:p>
      </xdr:txBody>
    </xdr:sp>
    <xdr:clientData/>
  </xdr:twoCellAnchor>
  <xdr:oneCellAnchor>
    <xdr:from>
      <xdr:col>5</xdr:col>
      <xdr:colOff>17930</xdr:colOff>
      <xdr:row>25</xdr:row>
      <xdr:rowOff>26893</xdr:rowOff>
    </xdr:from>
    <xdr:ext cx="5979459" cy="953466"/>
    <xdr:sp macro="" textlink="">
      <xdr:nvSpPr>
        <xdr:cNvPr id="4" name="CuadroTexto 3">
          <a:extLst>
            <a:ext uri="{FF2B5EF4-FFF2-40B4-BE49-F238E27FC236}">
              <a16:creationId xmlns:a16="http://schemas.microsoft.com/office/drawing/2014/main" id="{0E7769C4-92C7-7406-DEEA-569E50B03101}"/>
            </a:ext>
          </a:extLst>
        </xdr:cNvPr>
        <xdr:cNvSpPr txBox="1"/>
      </xdr:nvSpPr>
      <xdr:spPr>
        <a:xfrm>
          <a:off x="6508377" y="4903693"/>
          <a:ext cx="5979459" cy="953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CO" sz="1100"/>
            <a:t>Nota: La tasa neta de migración se calcula como la diferencia entre las tasas de inmigración y emigración estimadas por la ECV. En varios municipios las estimaciones presentan coeficientes de variación superiores al umbral recomendado por la propia encuesta, por lo que las diferencias, particularmente los valores iguales a cero, pueden reflejar limitaciones de precisión estadística y no necesariamente ausencia de migración neta.</a:t>
          </a:r>
        </a:p>
      </xdr:txBody>
    </xdr:sp>
    <xdr:clientData/>
  </xdr:one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254A7-FC77-49FB-8533-6AA9968F2467}">
  <dimension ref="A1:E12"/>
  <sheetViews>
    <sheetView zoomScaleNormal="100" workbookViewId="0">
      <selection activeCell="V13" sqref="V13"/>
    </sheetView>
  </sheetViews>
  <sheetFormatPr baseColWidth="10" defaultColWidth="8.6640625" defaultRowHeight="14.4" x14ac:dyDescent="0.3"/>
  <cols>
    <col min="1" max="16384" width="8.6640625" style="38"/>
  </cols>
  <sheetData>
    <row r="1" spans="1:5" x14ac:dyDescent="0.3">
      <c r="A1" s="38" t="s">
        <v>69</v>
      </c>
      <c r="B1" s="38" t="s">
        <v>68</v>
      </c>
      <c r="C1" s="38" t="s">
        <v>67</v>
      </c>
      <c r="D1" s="38" t="s">
        <v>66</v>
      </c>
      <c r="E1" s="38" t="s">
        <v>65</v>
      </c>
    </row>
    <row r="2" spans="1:5" x14ac:dyDescent="0.3">
      <c r="A2" s="38" t="s">
        <v>64</v>
      </c>
      <c r="B2" s="38" t="s">
        <v>64</v>
      </c>
      <c r="C2" s="39">
        <v>452096</v>
      </c>
      <c r="D2" s="39">
        <v>-452096</v>
      </c>
      <c r="E2" s="39">
        <v>429732</v>
      </c>
    </row>
    <row r="3" spans="1:5" x14ac:dyDescent="0.3">
      <c r="A3" s="38" t="s">
        <v>63</v>
      </c>
      <c r="B3" s="38" t="s">
        <v>63</v>
      </c>
      <c r="C3" s="39">
        <v>522983</v>
      </c>
      <c r="D3" s="39">
        <v>-522983</v>
      </c>
      <c r="E3" s="39">
        <v>498551</v>
      </c>
    </row>
    <row r="4" spans="1:5" x14ac:dyDescent="0.3">
      <c r="A4" s="38" t="s">
        <v>62</v>
      </c>
      <c r="B4" s="38" t="s">
        <v>62</v>
      </c>
      <c r="C4" s="39">
        <v>572106</v>
      </c>
      <c r="D4" s="39">
        <v>-572106</v>
      </c>
      <c r="E4" s="39">
        <v>562572</v>
      </c>
    </row>
    <row r="5" spans="1:5" x14ac:dyDescent="0.3">
      <c r="A5" s="38" t="s">
        <v>61</v>
      </c>
      <c r="B5" s="38" t="s">
        <v>61</v>
      </c>
      <c r="C5" s="39">
        <v>554835</v>
      </c>
      <c r="D5" s="39">
        <v>-554835</v>
      </c>
      <c r="E5" s="39">
        <v>553998</v>
      </c>
    </row>
    <row r="6" spans="1:5" x14ac:dyDescent="0.3">
      <c r="A6" s="38" t="s">
        <v>60</v>
      </c>
      <c r="B6" s="38" t="s">
        <v>60</v>
      </c>
      <c r="C6" s="39">
        <v>429868</v>
      </c>
      <c r="D6" s="39">
        <v>-429868</v>
      </c>
      <c r="E6" s="39">
        <v>463799</v>
      </c>
    </row>
    <row r="7" spans="1:5" x14ac:dyDescent="0.3">
      <c r="A7" s="38" t="s">
        <v>59</v>
      </c>
      <c r="B7" s="38" t="s">
        <v>59</v>
      </c>
      <c r="C7" s="39">
        <v>343362</v>
      </c>
      <c r="D7" s="39">
        <v>-343362</v>
      </c>
      <c r="E7" s="39">
        <v>402573</v>
      </c>
    </row>
    <row r="8" spans="1:5" x14ac:dyDescent="0.3">
      <c r="A8" s="38" t="s">
        <v>58</v>
      </c>
      <c r="B8" s="38" t="s">
        <v>58</v>
      </c>
      <c r="C8" s="39">
        <v>280868</v>
      </c>
      <c r="D8" s="39">
        <v>-280868</v>
      </c>
      <c r="E8" s="39">
        <v>352360</v>
      </c>
    </row>
    <row r="9" spans="1:5" x14ac:dyDescent="0.3">
      <c r="A9" s="38" t="s">
        <v>57</v>
      </c>
      <c r="B9" s="38" t="s">
        <v>57</v>
      </c>
      <c r="C9" s="39">
        <v>148902</v>
      </c>
      <c r="D9" s="39">
        <v>-148902</v>
      </c>
      <c r="E9" s="39">
        <v>202865</v>
      </c>
    </row>
    <row r="10" spans="1:5" x14ac:dyDescent="0.3">
      <c r="A10" s="38" t="s">
        <v>56</v>
      </c>
      <c r="B10" s="38" t="s">
        <v>55</v>
      </c>
      <c r="C10" s="39">
        <v>61368</v>
      </c>
      <c r="D10" s="39">
        <v>-61368</v>
      </c>
      <c r="E10" s="39">
        <v>95534</v>
      </c>
    </row>
    <row r="12" spans="1:5" x14ac:dyDescent="0.3">
      <c r="A12" s="45" t="s">
        <v>54</v>
      </c>
      <c r="B12" s="45"/>
      <c r="C12" s="45"/>
      <c r="D12" s="45"/>
      <c r="E12" s="45"/>
    </row>
  </sheetData>
  <mergeCells count="1">
    <mergeCell ref="A12:E12"/>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5"/>
  <sheetViews>
    <sheetView showGridLines="0" zoomScale="70" zoomScaleNormal="70" workbookViewId="0">
      <selection activeCell="F32" sqref="F32:T32"/>
    </sheetView>
  </sheetViews>
  <sheetFormatPr baseColWidth="10" defaultColWidth="8.6640625" defaultRowHeight="14.4" x14ac:dyDescent="0.3"/>
  <cols>
    <col min="1" max="1" width="26" customWidth="1"/>
    <col min="2" max="3" width="10" customWidth="1"/>
    <col min="4" max="4" width="13" customWidth="1"/>
  </cols>
  <sheetData>
    <row r="1" spans="1:20" ht="21.75" customHeight="1" x14ac:dyDescent="0.3">
      <c r="A1" s="46" t="s">
        <v>0</v>
      </c>
      <c r="B1" s="46"/>
      <c r="C1" s="46"/>
      <c r="D1" s="46"/>
      <c r="E1" s="46"/>
    </row>
    <row r="2" spans="1:20" ht="15.75" customHeight="1" x14ac:dyDescent="0.3">
      <c r="F2" s="43" t="s">
        <v>50</v>
      </c>
      <c r="G2" s="43"/>
      <c r="H2" s="43"/>
      <c r="I2" s="43"/>
      <c r="J2" s="43"/>
      <c r="K2" s="43"/>
      <c r="L2" s="43"/>
      <c r="M2" s="43"/>
      <c r="N2" s="43"/>
      <c r="O2" s="43"/>
      <c r="P2" s="43"/>
      <c r="Q2" s="43"/>
      <c r="R2" s="43"/>
      <c r="S2" s="43"/>
      <c r="T2" s="43"/>
    </row>
    <row r="3" spans="1:20" ht="15.75" customHeight="1" x14ac:dyDescent="0.3">
      <c r="A3" s="1" t="s">
        <v>1</v>
      </c>
      <c r="B3" s="1" t="s">
        <v>2</v>
      </c>
      <c r="C3" s="1" t="s">
        <v>3</v>
      </c>
      <c r="D3" s="32"/>
      <c r="F3" s="43"/>
      <c r="G3" s="43"/>
      <c r="H3" s="43"/>
      <c r="I3" s="43"/>
      <c r="J3" s="43"/>
      <c r="K3" s="43"/>
      <c r="L3" s="43"/>
      <c r="M3" s="43"/>
      <c r="N3" s="43"/>
      <c r="O3" s="43"/>
      <c r="P3" s="43"/>
      <c r="Q3" s="43"/>
      <c r="R3" s="43"/>
      <c r="S3" s="43"/>
      <c r="T3" s="43"/>
    </row>
    <row r="4" spans="1:20" ht="15" customHeight="1" x14ac:dyDescent="0.3">
      <c r="A4" s="2" t="s">
        <v>4</v>
      </c>
      <c r="B4" s="3">
        <v>2841</v>
      </c>
      <c r="C4" s="4">
        <f t="shared" ref="C4:C16" si="0">B4/7549</f>
        <v>0.37634123724996688</v>
      </c>
      <c r="D4" s="33"/>
    </row>
    <row r="5" spans="1:20" ht="15" customHeight="1" x14ac:dyDescent="0.3">
      <c r="A5" s="5" t="s">
        <v>5</v>
      </c>
      <c r="B5" s="6">
        <v>1414</v>
      </c>
      <c r="C5" s="7">
        <f t="shared" si="0"/>
        <v>0.18730957742747384</v>
      </c>
      <c r="D5" s="33"/>
    </row>
    <row r="6" spans="1:20" ht="15" customHeight="1" x14ac:dyDescent="0.3">
      <c r="A6" s="2" t="s">
        <v>6</v>
      </c>
      <c r="B6" s="3">
        <v>738</v>
      </c>
      <c r="C6" s="4">
        <f t="shared" si="0"/>
        <v>9.7761292886475032E-2</v>
      </c>
      <c r="D6" s="33"/>
    </row>
    <row r="7" spans="1:20" ht="15" customHeight="1" x14ac:dyDescent="0.3">
      <c r="A7" s="5" t="s">
        <v>7</v>
      </c>
      <c r="B7" s="6">
        <v>568</v>
      </c>
      <c r="C7" s="7">
        <f t="shared" si="0"/>
        <v>7.5241753874685388E-2</v>
      </c>
      <c r="D7" s="33"/>
    </row>
    <row r="8" spans="1:20" ht="15" customHeight="1" x14ac:dyDescent="0.3">
      <c r="A8" s="2" t="s">
        <v>8</v>
      </c>
      <c r="B8" s="3">
        <v>376</v>
      </c>
      <c r="C8" s="4">
        <f t="shared" si="0"/>
        <v>4.9807921579017089E-2</v>
      </c>
      <c r="D8" s="33"/>
    </row>
    <row r="9" spans="1:20" ht="15" customHeight="1" x14ac:dyDescent="0.3">
      <c r="A9" s="5" t="s">
        <v>9</v>
      </c>
      <c r="B9" s="6">
        <v>339</v>
      </c>
      <c r="C9" s="7">
        <f t="shared" si="0"/>
        <v>4.4906610147039346E-2</v>
      </c>
      <c r="D9" s="33"/>
    </row>
    <row r="10" spans="1:20" ht="15" customHeight="1" x14ac:dyDescent="0.3">
      <c r="A10" s="2" t="s">
        <v>10</v>
      </c>
      <c r="B10" s="3">
        <v>332</v>
      </c>
      <c r="C10" s="4">
        <f t="shared" si="0"/>
        <v>4.3979335011259772E-2</v>
      </c>
      <c r="D10" s="33"/>
    </row>
    <row r="11" spans="1:20" ht="15" customHeight="1" x14ac:dyDescent="0.3">
      <c r="A11" s="5" t="s">
        <v>70</v>
      </c>
      <c r="B11" s="6">
        <v>219</v>
      </c>
      <c r="C11" s="7">
        <f t="shared" si="0"/>
        <v>2.9010464962246654E-2</v>
      </c>
      <c r="D11" s="33"/>
    </row>
    <row r="12" spans="1:20" ht="15" customHeight="1" x14ac:dyDescent="0.3">
      <c r="A12" s="2" t="s">
        <v>12</v>
      </c>
      <c r="B12" s="3">
        <v>206</v>
      </c>
      <c r="C12" s="4">
        <f t="shared" si="0"/>
        <v>2.7288382567227449E-2</v>
      </c>
      <c r="D12" s="33"/>
    </row>
    <row r="13" spans="1:20" ht="15" customHeight="1" x14ac:dyDescent="0.3">
      <c r="A13" s="5" t="s">
        <v>71</v>
      </c>
      <c r="B13" s="6">
        <v>150</v>
      </c>
      <c r="C13" s="7">
        <f t="shared" si="0"/>
        <v>1.9870181480990859E-2</v>
      </c>
      <c r="D13" s="33"/>
    </row>
    <row r="14" spans="1:20" ht="15" customHeight="1" x14ac:dyDescent="0.3">
      <c r="A14" s="2" t="s">
        <v>72</v>
      </c>
      <c r="B14" s="3">
        <v>126</v>
      </c>
      <c r="C14" s="4">
        <f t="shared" si="0"/>
        <v>1.6690952444032323E-2</v>
      </c>
      <c r="D14" s="33"/>
    </row>
    <row r="15" spans="1:20" ht="15" customHeight="1" x14ac:dyDescent="0.3">
      <c r="A15" s="5" t="s">
        <v>15</v>
      </c>
      <c r="B15" s="6">
        <v>122</v>
      </c>
      <c r="C15" s="7">
        <f t="shared" si="0"/>
        <v>1.6161080937872566E-2</v>
      </c>
      <c r="D15" s="33"/>
    </row>
    <row r="16" spans="1:20" ht="15" customHeight="1" x14ac:dyDescent="0.3">
      <c r="A16" s="2" t="s">
        <v>16</v>
      </c>
      <c r="B16" s="3">
        <v>118</v>
      </c>
      <c r="C16" s="4">
        <f t="shared" si="0"/>
        <v>1.5631209431712808E-2</v>
      </c>
      <c r="D16" s="33"/>
    </row>
    <row r="17" spans="1:20" ht="15" customHeight="1" x14ac:dyDescent="0.3">
      <c r="A17" s="8" t="s">
        <v>17</v>
      </c>
      <c r="B17" s="9">
        <v>7549</v>
      </c>
      <c r="C17" s="10" t="s">
        <v>18</v>
      </c>
      <c r="D17" s="34"/>
    </row>
    <row r="18" spans="1:20" ht="12" customHeight="1" x14ac:dyDescent="0.3">
      <c r="A18" s="47"/>
      <c r="B18" s="47"/>
      <c r="C18" s="47"/>
      <c r="D18" s="47"/>
      <c r="E18" s="47"/>
      <c r="F18" s="47"/>
      <c r="G18" s="47"/>
      <c r="H18" s="47"/>
      <c r="I18" s="47"/>
      <c r="J18" s="47"/>
      <c r="K18" s="47"/>
      <c r="L18" s="47"/>
      <c r="M18" s="47"/>
      <c r="N18" s="47"/>
      <c r="O18" s="47"/>
      <c r="P18" s="47"/>
      <c r="Q18" s="47"/>
      <c r="R18" s="47"/>
      <c r="S18" s="47"/>
      <c r="T18" s="47"/>
    </row>
    <row r="20" spans="1:20" x14ac:dyDescent="0.3">
      <c r="A20" s="1" t="s">
        <v>52</v>
      </c>
      <c r="B20" s="1" t="s">
        <v>2</v>
      </c>
      <c r="C20" s="1" t="s">
        <v>3</v>
      </c>
    </row>
    <row r="21" spans="1:20" x14ac:dyDescent="0.3">
      <c r="A21" s="2" t="s">
        <v>4</v>
      </c>
      <c r="B21" s="3">
        <v>2841</v>
      </c>
      <c r="C21" s="4">
        <f t="shared" ref="C21:C33" si="1">B21/7549</f>
        <v>0.37634123724996688</v>
      </c>
    </row>
    <row r="22" spans="1:20" x14ac:dyDescent="0.3">
      <c r="A22" s="5" t="s">
        <v>5</v>
      </c>
      <c r="B22" s="6">
        <v>1414</v>
      </c>
      <c r="C22" s="7">
        <f t="shared" si="1"/>
        <v>0.18730957742747384</v>
      </c>
    </row>
    <row r="23" spans="1:20" x14ac:dyDescent="0.3">
      <c r="A23" s="2" t="s">
        <v>6</v>
      </c>
      <c r="B23" s="3">
        <v>738</v>
      </c>
      <c r="C23" s="4">
        <f t="shared" si="1"/>
        <v>9.7761292886475032E-2</v>
      </c>
    </row>
    <row r="24" spans="1:20" x14ac:dyDescent="0.3">
      <c r="A24" s="5" t="s">
        <v>7</v>
      </c>
      <c r="B24" s="6">
        <v>568</v>
      </c>
      <c r="C24" s="7">
        <f t="shared" si="1"/>
        <v>7.5241753874685388E-2</v>
      </c>
    </row>
    <row r="25" spans="1:20" x14ac:dyDescent="0.3">
      <c r="A25" s="2" t="s">
        <v>8</v>
      </c>
      <c r="B25" s="3">
        <v>376</v>
      </c>
      <c r="C25" s="4">
        <f t="shared" si="1"/>
        <v>4.9807921579017089E-2</v>
      </c>
    </row>
    <row r="26" spans="1:20" x14ac:dyDescent="0.3">
      <c r="A26" s="5" t="s">
        <v>9</v>
      </c>
      <c r="B26" s="6">
        <v>339</v>
      </c>
      <c r="C26" s="7">
        <f t="shared" si="1"/>
        <v>4.4906610147039346E-2</v>
      </c>
    </row>
    <row r="27" spans="1:20" x14ac:dyDescent="0.3">
      <c r="A27" s="2" t="s">
        <v>10</v>
      </c>
      <c r="B27" s="3">
        <v>332</v>
      </c>
      <c r="C27" s="4">
        <f t="shared" si="1"/>
        <v>4.3979335011259772E-2</v>
      </c>
    </row>
    <row r="28" spans="1:20" x14ac:dyDescent="0.3">
      <c r="A28" s="5" t="s">
        <v>11</v>
      </c>
      <c r="B28" s="6">
        <v>219</v>
      </c>
      <c r="C28" s="7">
        <f t="shared" si="1"/>
        <v>2.9010464962246654E-2</v>
      </c>
    </row>
    <row r="29" spans="1:20" x14ac:dyDescent="0.3">
      <c r="A29" s="2" t="s">
        <v>12</v>
      </c>
      <c r="B29" s="3">
        <v>206</v>
      </c>
      <c r="C29" s="4">
        <f t="shared" si="1"/>
        <v>2.7288382567227449E-2</v>
      </c>
    </row>
    <row r="30" spans="1:20" x14ac:dyDescent="0.3">
      <c r="A30" s="5" t="s">
        <v>13</v>
      </c>
      <c r="B30" s="6">
        <v>150</v>
      </c>
      <c r="C30" s="7">
        <f t="shared" si="1"/>
        <v>1.9870181480990859E-2</v>
      </c>
    </row>
    <row r="31" spans="1:20" ht="21.75" customHeight="1" x14ac:dyDescent="0.3">
      <c r="A31" s="2" t="s">
        <v>14</v>
      </c>
      <c r="B31" s="3">
        <v>126</v>
      </c>
      <c r="C31" s="4">
        <f t="shared" si="1"/>
        <v>1.6690952444032323E-2</v>
      </c>
      <c r="F31" s="48"/>
      <c r="G31" s="48"/>
      <c r="H31" s="48"/>
      <c r="I31" s="48"/>
      <c r="J31" s="48"/>
      <c r="K31" s="48"/>
      <c r="L31" s="48"/>
      <c r="M31" s="48"/>
      <c r="N31" s="48"/>
      <c r="O31" s="48"/>
      <c r="P31" s="48"/>
      <c r="Q31" s="48"/>
      <c r="R31" s="48"/>
      <c r="S31" s="48"/>
      <c r="T31" s="48"/>
    </row>
    <row r="32" spans="1:20" ht="12" customHeight="1" x14ac:dyDescent="0.3">
      <c r="A32" s="5" t="s">
        <v>15</v>
      </c>
      <c r="B32" s="6">
        <v>122</v>
      </c>
      <c r="C32" s="7">
        <f t="shared" si="1"/>
        <v>1.6161080937872566E-2</v>
      </c>
      <c r="F32" s="47"/>
      <c r="G32" s="47"/>
      <c r="H32" s="47"/>
      <c r="I32" s="47"/>
      <c r="J32" s="47"/>
      <c r="K32" s="47"/>
      <c r="L32" s="47"/>
      <c r="M32" s="47"/>
      <c r="N32" s="47"/>
      <c r="O32" s="47"/>
      <c r="P32" s="47"/>
      <c r="Q32" s="47"/>
      <c r="R32" s="47"/>
      <c r="S32" s="47"/>
      <c r="T32" s="47"/>
    </row>
    <row r="33" spans="1:3" x14ac:dyDescent="0.3">
      <c r="A33" s="2" t="s">
        <v>16</v>
      </c>
      <c r="B33" s="3">
        <v>118</v>
      </c>
      <c r="C33" s="4">
        <f t="shared" si="1"/>
        <v>1.5631209431712808E-2</v>
      </c>
    </row>
    <row r="34" spans="1:3" x14ac:dyDescent="0.3">
      <c r="A34" s="8" t="s">
        <v>17</v>
      </c>
      <c r="B34" s="9">
        <v>7549</v>
      </c>
      <c r="C34" s="10" t="s">
        <v>18</v>
      </c>
    </row>
    <row r="35" spans="1:3" x14ac:dyDescent="0.3">
      <c r="A35" t="s">
        <v>53</v>
      </c>
      <c r="B35" s="36">
        <f>SUM(B28:B33)</f>
        <v>941</v>
      </c>
      <c r="C35" s="37">
        <f>B35/B34</f>
        <v>0.12465227182408266</v>
      </c>
    </row>
  </sheetData>
  <mergeCells count="5">
    <mergeCell ref="A1:E1"/>
    <mergeCell ref="F2:T3"/>
    <mergeCell ref="A18:T18"/>
    <mergeCell ref="F31:T31"/>
    <mergeCell ref="F32:T32"/>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6"/>
  <sheetViews>
    <sheetView showGridLines="0" topLeftCell="A6" zoomScale="70" zoomScaleNormal="70" workbookViewId="0">
      <selection activeCell="Z20" sqref="Z20"/>
    </sheetView>
  </sheetViews>
  <sheetFormatPr baseColWidth="10" defaultColWidth="8.6640625" defaultRowHeight="14.4" x14ac:dyDescent="0.3"/>
  <cols>
    <col min="1" max="1" width="26" customWidth="1"/>
    <col min="2" max="3" width="13" customWidth="1"/>
    <col min="4" max="4" width="10" customWidth="1"/>
    <col min="5" max="5" width="12" customWidth="1"/>
    <col min="6" max="6" width="10" customWidth="1"/>
  </cols>
  <sheetData>
    <row r="1" spans="1:21" ht="21.75" customHeight="1" x14ac:dyDescent="0.3">
      <c r="A1" s="49" t="s">
        <v>19</v>
      </c>
      <c r="B1" s="49"/>
      <c r="C1" s="49"/>
      <c r="D1" s="49"/>
      <c r="E1" s="49"/>
      <c r="F1" s="49"/>
    </row>
    <row r="2" spans="1:21" ht="15.75" customHeight="1" x14ac:dyDescent="0.3">
      <c r="H2" s="43" t="s">
        <v>48</v>
      </c>
      <c r="I2" s="43"/>
      <c r="J2" s="43"/>
      <c r="K2" s="43"/>
      <c r="L2" s="43"/>
      <c r="M2" s="43"/>
      <c r="N2" s="43"/>
      <c r="O2" s="43"/>
      <c r="P2" s="43"/>
      <c r="Q2" s="43"/>
      <c r="R2" s="43"/>
      <c r="S2" s="43"/>
      <c r="T2" s="43"/>
      <c r="U2" s="43"/>
    </row>
    <row r="3" spans="1:21" ht="15.75" customHeight="1" x14ac:dyDescent="0.3">
      <c r="A3" s="1" t="s">
        <v>1</v>
      </c>
      <c r="B3" s="1" t="s">
        <v>20</v>
      </c>
      <c r="C3" s="1" t="s">
        <v>21</v>
      </c>
      <c r="D3" s="1" t="s">
        <v>22</v>
      </c>
      <c r="E3" s="1" t="s">
        <v>23</v>
      </c>
      <c r="F3" s="1" t="s">
        <v>24</v>
      </c>
      <c r="H3" s="43"/>
      <c r="I3" s="43"/>
      <c r="J3" s="43"/>
      <c r="K3" s="43"/>
      <c r="L3" s="43"/>
      <c r="M3" s="43"/>
      <c r="N3" s="43"/>
      <c r="O3" s="43"/>
      <c r="P3" s="43"/>
      <c r="Q3" s="43"/>
      <c r="R3" s="43"/>
      <c r="S3" s="43"/>
      <c r="T3" s="43"/>
      <c r="U3" s="43"/>
    </row>
    <row r="4" spans="1:21" ht="15" customHeight="1" x14ac:dyDescent="0.3">
      <c r="A4" s="2" t="s">
        <v>6</v>
      </c>
      <c r="B4" s="3">
        <v>41884</v>
      </c>
      <c r="C4" s="3">
        <v>30065</v>
      </c>
      <c r="D4" s="4">
        <f t="shared" ref="D4:D19" si="0">C4/B4</f>
        <v>0.71781587240951195</v>
      </c>
      <c r="E4" s="3">
        <v>11819</v>
      </c>
      <c r="F4" s="4">
        <f t="shared" ref="F4:F19" si="1">E4/B4</f>
        <v>0.282184127590488</v>
      </c>
    </row>
    <row r="5" spans="1:21" ht="15" customHeight="1" x14ac:dyDescent="0.3">
      <c r="A5" s="5" t="s">
        <v>4</v>
      </c>
      <c r="B5" s="6">
        <v>29515</v>
      </c>
      <c r="C5" s="6">
        <v>8459</v>
      </c>
      <c r="D5" s="7">
        <f t="shared" si="0"/>
        <v>0.28660003388107741</v>
      </c>
      <c r="E5" s="6">
        <v>21056</v>
      </c>
      <c r="F5" s="7">
        <f t="shared" si="1"/>
        <v>0.71339996611892253</v>
      </c>
    </row>
    <row r="6" spans="1:21" ht="15" customHeight="1" x14ac:dyDescent="0.3">
      <c r="A6" s="2" t="s">
        <v>5</v>
      </c>
      <c r="B6" s="3">
        <v>21035</v>
      </c>
      <c r="C6" s="3">
        <v>9307</v>
      </c>
      <c r="D6" s="4">
        <f t="shared" si="0"/>
        <v>0.44245305443308769</v>
      </c>
      <c r="E6" s="3">
        <v>11728</v>
      </c>
      <c r="F6" s="4">
        <f t="shared" si="1"/>
        <v>0.55754694556691231</v>
      </c>
    </row>
    <row r="7" spans="1:21" ht="15" customHeight="1" x14ac:dyDescent="0.3">
      <c r="A7" s="5" t="s">
        <v>7</v>
      </c>
      <c r="B7" s="6">
        <v>15014</v>
      </c>
      <c r="C7" s="6">
        <v>4414</v>
      </c>
      <c r="D7" s="7">
        <f t="shared" si="0"/>
        <v>0.29399227387771415</v>
      </c>
      <c r="E7" s="6">
        <v>10600</v>
      </c>
      <c r="F7" s="7">
        <f t="shared" si="1"/>
        <v>0.70600772612228591</v>
      </c>
    </row>
    <row r="8" spans="1:21" ht="15" customHeight="1" x14ac:dyDescent="0.3">
      <c r="A8" s="2" t="s">
        <v>9</v>
      </c>
      <c r="B8" s="3">
        <v>12511</v>
      </c>
      <c r="C8" s="3">
        <v>3144</v>
      </c>
      <c r="D8" s="4">
        <f t="shared" si="0"/>
        <v>0.25129885700583487</v>
      </c>
      <c r="E8" s="3">
        <v>9367</v>
      </c>
      <c r="F8" s="4">
        <f t="shared" si="1"/>
        <v>0.74870114299416513</v>
      </c>
    </row>
    <row r="9" spans="1:21" ht="15" customHeight="1" x14ac:dyDescent="0.3">
      <c r="A9" s="5" t="s">
        <v>10</v>
      </c>
      <c r="B9" s="6">
        <v>10373</v>
      </c>
      <c r="C9" s="6">
        <v>5578</v>
      </c>
      <c r="D9" s="7">
        <f t="shared" si="0"/>
        <v>0.53774221536681766</v>
      </c>
      <c r="E9" s="6">
        <v>4795</v>
      </c>
      <c r="F9" s="7">
        <f t="shared" si="1"/>
        <v>0.46225778463318229</v>
      </c>
    </row>
    <row r="10" spans="1:21" ht="15" customHeight="1" x14ac:dyDescent="0.3">
      <c r="A10" s="2" t="s">
        <v>12</v>
      </c>
      <c r="B10" s="3">
        <v>10005</v>
      </c>
      <c r="C10" s="3">
        <v>3029</v>
      </c>
      <c r="D10" s="4">
        <f t="shared" si="0"/>
        <v>0.30274862568715644</v>
      </c>
      <c r="E10" s="3">
        <v>6976</v>
      </c>
      <c r="F10" s="4">
        <f t="shared" si="1"/>
        <v>0.69725137431284356</v>
      </c>
    </row>
    <row r="11" spans="1:21" ht="15" customHeight="1" x14ac:dyDescent="0.3">
      <c r="A11" s="5" t="s">
        <v>8</v>
      </c>
      <c r="B11" s="6">
        <v>7957</v>
      </c>
      <c r="C11" s="6">
        <v>2808</v>
      </c>
      <c r="D11" s="7">
        <f t="shared" si="0"/>
        <v>0.35289682040970216</v>
      </c>
      <c r="E11" s="6">
        <v>5149</v>
      </c>
      <c r="F11" s="7">
        <f t="shared" si="1"/>
        <v>0.64710317959029784</v>
      </c>
    </row>
    <row r="12" spans="1:21" ht="15" customHeight="1" x14ac:dyDescent="0.3">
      <c r="A12" s="2" t="s">
        <v>11</v>
      </c>
      <c r="B12" s="3">
        <v>7402</v>
      </c>
      <c r="C12" s="3">
        <v>3139</v>
      </c>
      <c r="D12" s="4">
        <f t="shared" si="0"/>
        <v>0.42407457443934071</v>
      </c>
      <c r="E12" s="3">
        <v>4263</v>
      </c>
      <c r="F12" s="4">
        <f t="shared" si="1"/>
        <v>0.57592542556065929</v>
      </c>
    </row>
    <row r="13" spans="1:21" ht="15" customHeight="1" x14ac:dyDescent="0.3">
      <c r="A13" s="5" t="s">
        <v>16</v>
      </c>
      <c r="B13" s="6">
        <v>7009</v>
      </c>
      <c r="C13" s="6">
        <v>2562</v>
      </c>
      <c r="D13" s="7">
        <f t="shared" si="0"/>
        <v>0.36553003281495222</v>
      </c>
      <c r="E13" s="6">
        <v>4447</v>
      </c>
      <c r="F13" s="7">
        <f t="shared" si="1"/>
        <v>0.63446996718504778</v>
      </c>
    </row>
    <row r="14" spans="1:21" ht="15" customHeight="1" x14ac:dyDescent="0.3">
      <c r="A14" s="2" t="s">
        <v>15</v>
      </c>
      <c r="B14" s="3">
        <v>4824</v>
      </c>
      <c r="C14" s="3">
        <v>1758</v>
      </c>
      <c r="D14" s="4">
        <f t="shared" si="0"/>
        <v>0.36442786069651739</v>
      </c>
      <c r="E14" s="3">
        <v>3066</v>
      </c>
      <c r="F14" s="4">
        <f t="shared" si="1"/>
        <v>0.63557213930348255</v>
      </c>
    </row>
    <row r="15" spans="1:21" ht="15" customHeight="1" x14ac:dyDescent="0.3">
      <c r="A15" s="5" t="s">
        <v>14</v>
      </c>
      <c r="B15" s="6">
        <v>4017</v>
      </c>
      <c r="C15" s="6">
        <v>2599</v>
      </c>
      <c r="D15" s="7">
        <f t="shared" si="0"/>
        <v>0.64700024894199648</v>
      </c>
      <c r="E15" s="6">
        <v>1418</v>
      </c>
      <c r="F15" s="7">
        <f t="shared" si="1"/>
        <v>0.35299975105800346</v>
      </c>
    </row>
    <row r="16" spans="1:21" ht="15" customHeight="1" x14ac:dyDescent="0.3">
      <c r="A16" s="2" t="s">
        <v>13</v>
      </c>
      <c r="B16" s="3">
        <v>3942</v>
      </c>
      <c r="C16" s="3">
        <v>2988</v>
      </c>
      <c r="D16" s="4">
        <f t="shared" si="0"/>
        <v>0.75799086757990863</v>
      </c>
      <c r="E16" s="3">
        <v>954</v>
      </c>
      <c r="F16" s="4">
        <f t="shared" si="1"/>
        <v>0.24200913242009131</v>
      </c>
    </row>
    <row r="17" spans="1:21" ht="15" customHeight="1" x14ac:dyDescent="0.3">
      <c r="A17" s="8" t="s">
        <v>17</v>
      </c>
      <c r="B17" s="9">
        <f>SUM(B4:B16)</f>
        <v>175488</v>
      </c>
      <c r="C17" s="9">
        <f>SUM(C4:C16)</f>
        <v>79850</v>
      </c>
      <c r="D17" s="11">
        <f t="shared" si="0"/>
        <v>0.45501686725018237</v>
      </c>
      <c r="E17" s="9">
        <f>SUM(E4:E16)</f>
        <v>95638</v>
      </c>
      <c r="F17" s="11">
        <f t="shared" si="1"/>
        <v>0.54498313274981769</v>
      </c>
    </row>
    <row r="18" spans="1:21" ht="15" customHeight="1" x14ac:dyDescent="0.3">
      <c r="A18" s="12" t="s">
        <v>25</v>
      </c>
      <c r="B18" s="3">
        <v>255681</v>
      </c>
      <c r="C18" s="3">
        <v>127611</v>
      </c>
      <c r="D18" s="13">
        <f t="shared" si="0"/>
        <v>0.49910239712767079</v>
      </c>
      <c r="E18" s="3">
        <v>128070</v>
      </c>
      <c r="F18" s="13">
        <f t="shared" si="1"/>
        <v>0.50089760287232921</v>
      </c>
    </row>
    <row r="19" spans="1:21" ht="15" customHeight="1" x14ac:dyDescent="0.3">
      <c r="A19" s="12" t="s">
        <v>26</v>
      </c>
      <c r="B19" s="3">
        <v>6928372</v>
      </c>
      <c r="C19" s="3">
        <v>5450720</v>
      </c>
      <c r="D19" s="13">
        <f t="shared" si="0"/>
        <v>0.78672450035881447</v>
      </c>
      <c r="E19" s="3">
        <v>1477652</v>
      </c>
      <c r="F19" s="13">
        <f t="shared" si="1"/>
        <v>0.21327549964118556</v>
      </c>
    </row>
    <row r="20" spans="1:21" ht="12" customHeight="1" x14ac:dyDescent="0.3">
      <c r="A20" s="47"/>
      <c r="B20" s="47"/>
      <c r="C20" s="47"/>
      <c r="D20" s="47"/>
      <c r="E20" s="47"/>
      <c r="F20" s="47"/>
      <c r="G20" s="47"/>
      <c r="H20" s="47"/>
      <c r="I20" s="47"/>
      <c r="J20" s="47"/>
      <c r="K20" s="47"/>
      <c r="L20" s="47"/>
      <c r="M20" s="47"/>
      <c r="N20" s="47"/>
      <c r="O20" s="47"/>
      <c r="P20" s="47"/>
      <c r="Q20" s="47"/>
      <c r="R20" s="47"/>
      <c r="S20" s="47"/>
      <c r="T20" s="47"/>
    </row>
    <row r="23" spans="1:21" ht="15" customHeight="1" x14ac:dyDescent="0.3">
      <c r="A23" s="31" t="s">
        <v>49</v>
      </c>
      <c r="B23" s="31" t="s">
        <v>27</v>
      </c>
      <c r="C23" s="31" t="s">
        <v>28</v>
      </c>
    </row>
    <row r="24" spans="1:21" ht="15" customHeight="1" x14ac:dyDescent="0.3">
      <c r="A24" t="s">
        <v>9</v>
      </c>
      <c r="B24" s="14">
        <v>0.25129885700583499</v>
      </c>
      <c r="C24" s="14">
        <v>0.74870114299416501</v>
      </c>
    </row>
    <row r="25" spans="1:21" ht="15" customHeight="1" x14ac:dyDescent="0.3">
      <c r="A25" t="s">
        <v>4</v>
      </c>
      <c r="B25" s="14">
        <v>0.28660003388107702</v>
      </c>
      <c r="C25" s="14">
        <v>0.71339996611892298</v>
      </c>
    </row>
    <row r="26" spans="1:21" ht="15" customHeight="1" x14ac:dyDescent="0.3">
      <c r="A26" t="s">
        <v>7</v>
      </c>
      <c r="B26" s="14">
        <v>0.29399227387771398</v>
      </c>
      <c r="C26" s="14">
        <v>0.70600772612228602</v>
      </c>
    </row>
    <row r="27" spans="1:21" ht="15" customHeight="1" x14ac:dyDescent="0.3">
      <c r="A27" t="s">
        <v>12</v>
      </c>
      <c r="B27" s="14">
        <v>0.30274862568715599</v>
      </c>
      <c r="C27" s="14">
        <v>0.69725137431284401</v>
      </c>
    </row>
    <row r="28" spans="1:21" ht="15" customHeight="1" x14ac:dyDescent="0.3">
      <c r="A28" t="s">
        <v>8</v>
      </c>
      <c r="B28" s="14">
        <v>0.35289682040970199</v>
      </c>
      <c r="C28" s="14">
        <v>0.64710317959029795</v>
      </c>
    </row>
    <row r="29" spans="1:21" ht="15" customHeight="1" x14ac:dyDescent="0.3">
      <c r="A29" t="s">
        <v>15</v>
      </c>
      <c r="B29" s="14">
        <v>0.364427860696517</v>
      </c>
      <c r="C29" s="14">
        <v>0.635572139303483</v>
      </c>
    </row>
    <row r="30" spans="1:21" ht="15" customHeight="1" x14ac:dyDescent="0.3">
      <c r="A30" t="s">
        <v>16</v>
      </c>
      <c r="B30" s="14">
        <v>0.365530032814952</v>
      </c>
      <c r="C30" s="14">
        <v>0.634469967185048</v>
      </c>
    </row>
    <row r="31" spans="1:21" ht="21.75" customHeight="1" x14ac:dyDescent="0.3">
      <c r="A31" t="s">
        <v>11</v>
      </c>
      <c r="B31" s="14">
        <v>0.42407457443934099</v>
      </c>
      <c r="C31" s="14">
        <v>0.57592542556065895</v>
      </c>
      <c r="H31" s="48"/>
      <c r="I31" s="48"/>
      <c r="J31" s="48"/>
      <c r="K31" s="48"/>
      <c r="L31" s="48"/>
      <c r="M31" s="48"/>
      <c r="N31" s="48"/>
      <c r="O31" s="48"/>
      <c r="P31" s="48"/>
      <c r="Q31" s="48"/>
      <c r="R31" s="48"/>
      <c r="S31" s="48"/>
      <c r="T31" s="48"/>
      <c r="U31" s="48"/>
    </row>
    <row r="32" spans="1:21" ht="12" customHeight="1" x14ac:dyDescent="0.3">
      <c r="A32" t="s">
        <v>5</v>
      </c>
      <c r="B32" s="14">
        <v>0.44245305443308802</v>
      </c>
      <c r="C32" s="14">
        <v>0.55754694556691198</v>
      </c>
      <c r="H32" s="47"/>
      <c r="I32" s="47"/>
      <c r="J32" s="47"/>
      <c r="K32" s="47"/>
      <c r="L32" s="47"/>
      <c r="M32" s="47"/>
      <c r="N32" s="47"/>
      <c r="O32" s="47"/>
      <c r="P32" s="47"/>
      <c r="Q32" s="47"/>
      <c r="R32" s="47"/>
      <c r="S32" s="47"/>
      <c r="T32" s="47"/>
      <c r="U32" s="47"/>
    </row>
    <row r="33" spans="1:3" ht="15" customHeight="1" x14ac:dyDescent="0.3">
      <c r="A33" t="s">
        <v>10</v>
      </c>
      <c r="B33" s="14">
        <v>0.53774221536681799</v>
      </c>
      <c r="C33" s="14">
        <v>0.46225778463318201</v>
      </c>
    </row>
    <row r="34" spans="1:3" ht="15" customHeight="1" x14ac:dyDescent="0.3">
      <c r="A34" t="s">
        <v>14</v>
      </c>
      <c r="B34" s="14">
        <v>0.64700024894199704</v>
      </c>
      <c r="C34" s="14">
        <v>0.35299975105800402</v>
      </c>
    </row>
    <row r="35" spans="1:3" ht="15" customHeight="1" x14ac:dyDescent="0.3">
      <c r="A35" t="s">
        <v>6</v>
      </c>
      <c r="B35" s="14">
        <v>0.71781587240951195</v>
      </c>
      <c r="C35" s="14">
        <v>0.282184127590488</v>
      </c>
    </row>
    <row r="36" spans="1:3" ht="15" customHeight="1" x14ac:dyDescent="0.3">
      <c r="A36" t="s">
        <v>13</v>
      </c>
      <c r="B36" s="14">
        <v>0.75799086757990897</v>
      </c>
      <c r="C36" s="14">
        <v>0.24200913242009101</v>
      </c>
    </row>
  </sheetData>
  <mergeCells count="5">
    <mergeCell ref="A1:F1"/>
    <mergeCell ref="H2:U3"/>
    <mergeCell ref="A20:T20"/>
    <mergeCell ref="H31:U31"/>
    <mergeCell ref="H32:U32"/>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5E147-0CAF-4B95-B4C2-94FC2821C009}">
  <dimension ref="A1:T22"/>
  <sheetViews>
    <sheetView showGridLines="0" zoomScale="85" zoomScaleNormal="85" workbookViewId="0">
      <selection activeCell="F2" sqref="F2:P2"/>
    </sheetView>
  </sheetViews>
  <sheetFormatPr baseColWidth="10" defaultColWidth="8.6640625" defaultRowHeight="14.4" x14ac:dyDescent="0.3"/>
  <cols>
    <col min="1" max="1" width="26" customWidth="1"/>
    <col min="2" max="2" width="14" customWidth="1"/>
    <col min="3" max="3" width="12" customWidth="1"/>
    <col min="4" max="4" width="20" customWidth="1"/>
  </cols>
  <sheetData>
    <row r="1" spans="1:16" ht="19.5" customHeight="1" x14ac:dyDescent="0.3">
      <c r="A1" s="50" t="s">
        <v>40</v>
      </c>
      <c r="B1" s="50"/>
      <c r="C1" s="50"/>
      <c r="D1" s="50"/>
      <c r="E1" s="50"/>
      <c r="F1" s="50"/>
      <c r="G1" s="50"/>
      <c r="H1" s="50"/>
      <c r="I1" s="50"/>
      <c r="J1" s="50"/>
    </row>
    <row r="2" spans="1:16" ht="27.75" customHeight="1" x14ac:dyDescent="0.3">
      <c r="F2" s="43" t="s">
        <v>39</v>
      </c>
      <c r="G2" s="43"/>
      <c r="H2" s="43"/>
      <c r="I2" s="43"/>
      <c r="J2" s="43"/>
      <c r="K2" s="43"/>
      <c r="L2" s="43"/>
      <c r="M2" s="43"/>
      <c r="N2" s="43"/>
      <c r="O2" s="43"/>
      <c r="P2" s="43"/>
    </row>
    <row r="3" spans="1:16" ht="15" customHeight="1" x14ac:dyDescent="0.3">
      <c r="A3" s="28" t="s">
        <v>1</v>
      </c>
      <c r="B3" s="28" t="s">
        <v>38</v>
      </c>
      <c r="C3" s="28" t="s">
        <v>29</v>
      </c>
      <c r="D3" s="28" t="s">
        <v>30</v>
      </c>
    </row>
    <row r="4" spans="1:16" ht="15" customHeight="1" x14ac:dyDescent="0.3">
      <c r="A4" s="24" t="s">
        <v>4</v>
      </c>
      <c r="B4" s="23">
        <v>29515</v>
      </c>
      <c r="C4" s="23">
        <v>2841</v>
      </c>
      <c r="D4" s="22">
        <f t="shared" ref="D4:D19" si="0">B4/C4</f>
        <v>10.388947553678282</v>
      </c>
    </row>
    <row r="5" spans="1:16" ht="15" customHeight="1" x14ac:dyDescent="0.3">
      <c r="A5" s="27" t="s">
        <v>5</v>
      </c>
      <c r="B5" s="26">
        <v>21035</v>
      </c>
      <c r="C5" s="26">
        <v>1414</v>
      </c>
      <c r="D5" s="25">
        <f t="shared" si="0"/>
        <v>14.876237623762377</v>
      </c>
    </row>
    <row r="6" spans="1:16" ht="15" customHeight="1" x14ac:dyDescent="0.3">
      <c r="A6" s="24" t="s">
        <v>8</v>
      </c>
      <c r="B6" s="23">
        <v>7957</v>
      </c>
      <c r="C6" s="23">
        <v>376</v>
      </c>
      <c r="D6" s="22">
        <f t="shared" si="0"/>
        <v>21.162234042553191</v>
      </c>
    </row>
    <row r="7" spans="1:16" ht="15" customHeight="1" x14ac:dyDescent="0.3">
      <c r="A7" s="27" t="s">
        <v>13</v>
      </c>
      <c r="B7" s="26">
        <v>3942</v>
      </c>
      <c r="C7" s="26">
        <v>150</v>
      </c>
      <c r="D7" s="25">
        <f t="shared" si="0"/>
        <v>26.28</v>
      </c>
    </row>
    <row r="8" spans="1:16" ht="15" customHeight="1" x14ac:dyDescent="0.3">
      <c r="A8" s="24" t="s">
        <v>7</v>
      </c>
      <c r="B8" s="23">
        <v>15014</v>
      </c>
      <c r="C8" s="23">
        <v>568</v>
      </c>
      <c r="D8" s="22">
        <f t="shared" si="0"/>
        <v>26.433098591549296</v>
      </c>
    </row>
    <row r="9" spans="1:16" ht="15" customHeight="1" x14ac:dyDescent="0.3">
      <c r="A9" s="27" t="s">
        <v>10</v>
      </c>
      <c r="B9" s="26">
        <v>10373</v>
      </c>
      <c r="C9" s="26">
        <v>332</v>
      </c>
      <c r="D9" s="25">
        <f t="shared" si="0"/>
        <v>31.243975903614459</v>
      </c>
    </row>
    <row r="10" spans="1:16" ht="15" customHeight="1" x14ac:dyDescent="0.3">
      <c r="A10" s="24" t="s">
        <v>14</v>
      </c>
      <c r="B10" s="23">
        <v>4017</v>
      </c>
      <c r="C10" s="23">
        <v>126</v>
      </c>
      <c r="D10" s="22">
        <f t="shared" si="0"/>
        <v>31.88095238095238</v>
      </c>
    </row>
    <row r="11" spans="1:16" ht="15" customHeight="1" x14ac:dyDescent="0.3">
      <c r="A11" s="27" t="s">
        <v>11</v>
      </c>
      <c r="B11" s="26">
        <v>7402</v>
      </c>
      <c r="C11" s="26">
        <v>219</v>
      </c>
      <c r="D11" s="25">
        <f t="shared" si="0"/>
        <v>33.799086757990871</v>
      </c>
    </row>
    <row r="12" spans="1:16" ht="15" customHeight="1" x14ac:dyDescent="0.3">
      <c r="A12" s="24" t="s">
        <v>9</v>
      </c>
      <c r="B12" s="23">
        <v>12511</v>
      </c>
      <c r="C12" s="23">
        <v>339</v>
      </c>
      <c r="D12" s="22">
        <f t="shared" si="0"/>
        <v>36.905604719764014</v>
      </c>
    </row>
    <row r="13" spans="1:16" ht="15" customHeight="1" x14ac:dyDescent="0.3">
      <c r="A13" s="27" t="s">
        <v>15</v>
      </c>
      <c r="B13" s="26">
        <v>4824</v>
      </c>
      <c r="C13" s="26">
        <v>122</v>
      </c>
      <c r="D13" s="25">
        <f t="shared" si="0"/>
        <v>39.540983606557376</v>
      </c>
    </row>
    <row r="14" spans="1:16" ht="15" customHeight="1" x14ac:dyDescent="0.3">
      <c r="A14" s="24" t="s">
        <v>12</v>
      </c>
      <c r="B14" s="23">
        <v>10005</v>
      </c>
      <c r="C14" s="23">
        <v>206</v>
      </c>
      <c r="D14" s="22">
        <f t="shared" si="0"/>
        <v>48.567961165048544</v>
      </c>
    </row>
    <row r="15" spans="1:16" ht="15" customHeight="1" x14ac:dyDescent="0.3">
      <c r="A15" s="27" t="s">
        <v>6</v>
      </c>
      <c r="B15" s="26">
        <v>41884</v>
      </c>
      <c r="C15" s="26">
        <v>738</v>
      </c>
      <c r="D15" s="25">
        <f t="shared" si="0"/>
        <v>56.75338753387534</v>
      </c>
    </row>
    <row r="16" spans="1:16" ht="15" customHeight="1" x14ac:dyDescent="0.3">
      <c r="A16" s="24" t="s">
        <v>16</v>
      </c>
      <c r="B16" s="23">
        <v>7009</v>
      </c>
      <c r="C16" s="23">
        <v>118</v>
      </c>
      <c r="D16" s="22">
        <f t="shared" si="0"/>
        <v>59.398305084745765</v>
      </c>
    </row>
    <row r="17" spans="1:20" ht="15" customHeight="1" x14ac:dyDescent="0.3">
      <c r="A17" s="21" t="s">
        <v>17</v>
      </c>
      <c r="B17" s="20">
        <v>175488</v>
      </c>
      <c r="C17" s="20">
        <v>7225</v>
      </c>
      <c r="D17" s="19">
        <f t="shared" si="0"/>
        <v>24.288996539792386</v>
      </c>
    </row>
    <row r="18" spans="1:20" ht="15" customHeight="1" x14ac:dyDescent="0.3">
      <c r="A18" s="18" t="s">
        <v>25</v>
      </c>
      <c r="B18" s="17">
        <v>255681</v>
      </c>
      <c r="C18" s="17">
        <v>7390</v>
      </c>
      <c r="D18" s="16">
        <f t="shared" si="0"/>
        <v>34.598240866035184</v>
      </c>
    </row>
    <row r="19" spans="1:20" ht="15" customHeight="1" x14ac:dyDescent="0.3">
      <c r="A19" s="18" t="s">
        <v>26</v>
      </c>
      <c r="B19" s="17">
        <v>6928372</v>
      </c>
      <c r="C19" s="17">
        <v>62799</v>
      </c>
      <c r="D19" s="16">
        <f t="shared" si="0"/>
        <v>110.32615169031354</v>
      </c>
    </row>
    <row r="20" spans="1:20" ht="15" customHeight="1" x14ac:dyDescent="0.3">
      <c r="A20" s="44"/>
      <c r="B20" s="44"/>
      <c r="C20" s="44"/>
      <c r="D20" s="44"/>
      <c r="E20" s="44"/>
      <c r="F20" s="44"/>
      <c r="G20" s="44"/>
      <c r="H20" s="44"/>
      <c r="I20" s="44"/>
      <c r="J20" s="44"/>
      <c r="K20" s="44"/>
      <c r="L20" s="44"/>
      <c r="M20" s="44"/>
      <c r="N20" s="44"/>
      <c r="O20" s="44"/>
      <c r="P20" s="44"/>
      <c r="Q20" s="44"/>
      <c r="R20" s="44"/>
      <c r="S20" s="44"/>
      <c r="T20" s="44"/>
    </row>
    <row r="22" spans="1:20" x14ac:dyDescent="0.3">
      <c r="A22" s="35" t="s">
        <v>51</v>
      </c>
      <c r="D22" s="15">
        <f>175488/7225</f>
        <v>24.288996539792386</v>
      </c>
    </row>
  </sheetData>
  <mergeCells count="3">
    <mergeCell ref="A1:J1"/>
    <mergeCell ref="F2:P2"/>
    <mergeCell ref="A20:T20"/>
  </mergeCell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E9829-3092-40DB-9DAF-9DEB1486B316}">
  <dimension ref="A1:T20"/>
  <sheetViews>
    <sheetView showGridLines="0" zoomScale="85" zoomScaleNormal="85" workbookViewId="0">
      <selection activeCell="E19" sqref="E19"/>
    </sheetView>
  </sheetViews>
  <sheetFormatPr baseColWidth="10" defaultColWidth="8.6640625" defaultRowHeight="14.4" x14ac:dyDescent="0.3"/>
  <cols>
    <col min="1" max="1" width="26" customWidth="1"/>
    <col min="2" max="3" width="16" customWidth="1"/>
    <col min="4" max="4" width="24" customWidth="1"/>
  </cols>
  <sheetData>
    <row r="1" spans="1:17" ht="19.5" customHeight="1" x14ac:dyDescent="0.3">
      <c r="A1" s="50" t="s">
        <v>44</v>
      </c>
      <c r="B1" s="50"/>
      <c r="C1" s="50"/>
      <c r="D1" s="50"/>
      <c r="E1" s="50"/>
      <c r="F1" s="50"/>
      <c r="G1" s="50"/>
      <c r="H1" s="50"/>
      <c r="I1" s="50"/>
      <c r="J1" s="50"/>
    </row>
    <row r="2" spans="1:17" ht="27.75" customHeight="1" x14ac:dyDescent="0.3">
      <c r="F2" s="43" t="s">
        <v>43</v>
      </c>
      <c r="G2" s="43"/>
      <c r="H2" s="43"/>
      <c r="I2" s="43"/>
      <c r="J2" s="43"/>
      <c r="K2" s="43"/>
      <c r="L2" s="43"/>
      <c r="M2" s="43"/>
      <c r="N2" s="43"/>
      <c r="O2" s="43"/>
      <c r="P2" s="43"/>
      <c r="Q2" s="43"/>
    </row>
    <row r="3" spans="1:17" ht="15" customHeight="1" x14ac:dyDescent="0.3">
      <c r="A3" s="28" t="s">
        <v>1</v>
      </c>
      <c r="B3" s="28" t="s">
        <v>31</v>
      </c>
      <c r="C3" s="28" t="s">
        <v>32</v>
      </c>
      <c r="D3" s="28" t="s">
        <v>33</v>
      </c>
    </row>
    <row r="4" spans="1:17" ht="15" customHeight="1" x14ac:dyDescent="0.3">
      <c r="A4" s="24" t="s">
        <v>13</v>
      </c>
      <c r="B4" s="29">
        <v>3.52</v>
      </c>
      <c r="C4" s="29">
        <v>6.59</v>
      </c>
      <c r="D4" s="29">
        <v>44.62</v>
      </c>
    </row>
    <row r="5" spans="1:17" ht="15" customHeight="1" x14ac:dyDescent="0.3">
      <c r="A5" s="27" t="s">
        <v>10</v>
      </c>
      <c r="B5" s="30">
        <v>3.72</v>
      </c>
      <c r="C5" s="30">
        <v>5.73</v>
      </c>
      <c r="D5" s="30">
        <v>39</v>
      </c>
    </row>
    <row r="6" spans="1:17" ht="15" customHeight="1" x14ac:dyDescent="0.3">
      <c r="A6" s="24" t="s">
        <v>16</v>
      </c>
      <c r="B6" s="29">
        <v>5.21</v>
      </c>
      <c r="C6" s="29">
        <v>5.45</v>
      </c>
      <c r="D6" s="29">
        <v>29.89</v>
      </c>
    </row>
    <row r="7" spans="1:17" ht="15" customHeight="1" x14ac:dyDescent="0.3">
      <c r="A7" s="27" t="s">
        <v>9</v>
      </c>
      <c r="B7" s="30">
        <v>7.02</v>
      </c>
      <c r="C7" s="30">
        <v>4.3499999999999996</v>
      </c>
      <c r="D7" s="30">
        <v>27.96</v>
      </c>
    </row>
    <row r="8" spans="1:17" ht="15" customHeight="1" x14ac:dyDescent="0.3">
      <c r="A8" s="24" t="s">
        <v>6</v>
      </c>
      <c r="B8" s="29">
        <v>8</v>
      </c>
      <c r="C8" s="29">
        <v>6.57</v>
      </c>
      <c r="D8" s="29">
        <v>26.7</v>
      </c>
    </row>
    <row r="9" spans="1:17" ht="15" customHeight="1" x14ac:dyDescent="0.3">
      <c r="A9" s="27" t="s">
        <v>12</v>
      </c>
      <c r="B9" s="30">
        <v>5.91</v>
      </c>
      <c r="C9" s="30">
        <v>5.33</v>
      </c>
      <c r="D9" s="30">
        <v>25.92</v>
      </c>
    </row>
    <row r="10" spans="1:17" ht="15" customHeight="1" x14ac:dyDescent="0.3">
      <c r="A10" s="24" t="s">
        <v>15</v>
      </c>
      <c r="B10" s="29">
        <v>8.9700000000000006</v>
      </c>
      <c r="C10" s="29">
        <v>8.01</v>
      </c>
      <c r="D10" s="29">
        <v>25.91</v>
      </c>
    </row>
    <row r="11" spans="1:17" ht="15" customHeight="1" x14ac:dyDescent="0.3">
      <c r="A11" s="27" t="s">
        <v>4</v>
      </c>
      <c r="B11" s="30">
        <v>5.52</v>
      </c>
      <c r="C11" s="30">
        <v>3.58</v>
      </c>
      <c r="D11" s="30">
        <v>24.71</v>
      </c>
    </row>
    <row r="12" spans="1:17" ht="15" customHeight="1" x14ac:dyDescent="0.3">
      <c r="A12" s="24" t="s">
        <v>11</v>
      </c>
      <c r="B12" s="29">
        <v>7.04</v>
      </c>
      <c r="C12" s="29">
        <v>5.81</v>
      </c>
      <c r="D12" s="29">
        <v>24.4</v>
      </c>
    </row>
    <row r="13" spans="1:17" ht="15" customHeight="1" x14ac:dyDescent="0.3">
      <c r="A13" s="27" t="s">
        <v>14</v>
      </c>
      <c r="B13" s="30">
        <v>6.63</v>
      </c>
      <c r="C13" s="30">
        <v>3.28</v>
      </c>
      <c r="D13" s="30">
        <v>22.64</v>
      </c>
    </row>
    <row r="14" spans="1:17" ht="15" customHeight="1" x14ac:dyDescent="0.3">
      <c r="A14" s="24" t="s">
        <v>7</v>
      </c>
      <c r="B14" s="29">
        <v>13.86</v>
      </c>
      <c r="C14" s="29">
        <v>6.1</v>
      </c>
      <c r="D14" s="29">
        <v>20.62</v>
      </c>
    </row>
    <row r="15" spans="1:17" ht="15" customHeight="1" x14ac:dyDescent="0.3">
      <c r="A15" s="27" t="s">
        <v>8</v>
      </c>
      <c r="B15" s="30">
        <v>8.08</v>
      </c>
      <c r="C15" s="30">
        <v>2.99</v>
      </c>
      <c r="D15" s="30">
        <v>20.39</v>
      </c>
    </row>
    <row r="16" spans="1:17" ht="15" customHeight="1" x14ac:dyDescent="0.3">
      <c r="A16" s="24" t="s">
        <v>5</v>
      </c>
      <c r="B16" s="29">
        <v>9.84</v>
      </c>
      <c r="C16" s="29">
        <v>3.92</v>
      </c>
      <c r="D16" s="29">
        <v>19.579999999999998</v>
      </c>
    </row>
    <row r="17" spans="1:20" ht="15" customHeight="1" x14ac:dyDescent="0.3">
      <c r="A17" s="21" t="s">
        <v>42</v>
      </c>
      <c r="B17" s="19">
        <v>7.18</v>
      </c>
      <c r="C17" s="19">
        <v>5.21</v>
      </c>
      <c r="D17" s="19">
        <v>27.1</v>
      </c>
    </row>
    <row r="18" spans="1:20" ht="15" customHeight="1" x14ac:dyDescent="0.3">
      <c r="A18" s="18" t="s">
        <v>25</v>
      </c>
      <c r="B18" s="16">
        <v>7.41</v>
      </c>
      <c r="C18" s="16">
        <v>5.15</v>
      </c>
      <c r="D18" s="16">
        <v>2.2599999999999998</v>
      </c>
    </row>
    <row r="19" spans="1:20" ht="15" customHeight="1" x14ac:dyDescent="0.3">
      <c r="A19" s="18" t="s">
        <v>41</v>
      </c>
      <c r="B19" s="16">
        <v>7.58</v>
      </c>
      <c r="C19" s="16">
        <v>5.61</v>
      </c>
      <c r="D19" s="16">
        <v>1.97</v>
      </c>
    </row>
    <row r="20" spans="1:20" ht="15" customHeight="1" x14ac:dyDescent="0.3">
      <c r="A20" s="44" t="s">
        <v>34</v>
      </c>
      <c r="B20" s="44"/>
      <c r="C20" s="44"/>
      <c r="D20" s="44"/>
      <c r="E20" s="44"/>
      <c r="F20" s="44"/>
      <c r="G20" s="44"/>
      <c r="H20" s="44"/>
      <c r="I20" s="44"/>
      <c r="J20" s="44"/>
      <c r="K20" s="44"/>
      <c r="L20" s="44"/>
      <c r="M20" s="44"/>
      <c r="N20" s="44"/>
      <c r="O20" s="44"/>
      <c r="P20" s="44"/>
      <c r="Q20" s="44"/>
      <c r="R20" s="44"/>
      <c r="S20" s="44"/>
      <c r="T20" s="44"/>
    </row>
  </sheetData>
  <mergeCells count="3">
    <mergeCell ref="A1:J1"/>
    <mergeCell ref="F2:Q2"/>
    <mergeCell ref="A20:T20"/>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024EF-B0F3-476A-9CEC-6A8A6052DE11}">
  <dimension ref="A1:T27"/>
  <sheetViews>
    <sheetView showGridLines="0" tabSelected="1" zoomScale="85" zoomScaleNormal="85" workbookViewId="0">
      <selection activeCell="R16" sqref="R16"/>
    </sheetView>
  </sheetViews>
  <sheetFormatPr baseColWidth="10" defaultColWidth="8.6640625" defaultRowHeight="14.4" x14ac:dyDescent="0.3"/>
  <cols>
    <col min="1" max="1" width="26" customWidth="1"/>
    <col min="2" max="2" width="16" customWidth="1"/>
    <col min="3" max="3" width="30" customWidth="1"/>
    <col min="4" max="4" width="14" customWidth="1"/>
  </cols>
  <sheetData>
    <row r="1" spans="1:18" ht="19.5" customHeight="1" thickBot="1" x14ac:dyDescent="0.35">
      <c r="A1" s="42" t="s">
        <v>47</v>
      </c>
      <c r="B1" s="42"/>
      <c r="C1" s="42"/>
      <c r="D1" s="42"/>
      <c r="E1" s="42"/>
      <c r="F1" s="42"/>
      <c r="G1" s="42"/>
      <c r="H1" s="42"/>
      <c r="I1" s="42"/>
      <c r="J1" s="42"/>
    </row>
    <row r="2" spans="1:18" ht="27.75" customHeight="1" thickTop="1" x14ac:dyDescent="0.3">
      <c r="F2" s="43" t="s">
        <v>46</v>
      </c>
      <c r="G2" s="43"/>
      <c r="H2" s="43"/>
      <c r="I2" s="43"/>
      <c r="J2" s="43"/>
      <c r="K2" s="43"/>
      <c r="L2" s="43"/>
      <c r="M2" s="43"/>
      <c r="N2" s="43"/>
      <c r="O2" s="43"/>
      <c r="P2" s="43"/>
      <c r="Q2" s="43"/>
      <c r="R2" s="43"/>
    </row>
    <row r="3" spans="1:18" ht="15" customHeight="1" x14ac:dyDescent="0.3">
      <c r="A3" s="28" t="s">
        <v>1</v>
      </c>
      <c r="B3" s="28" t="s">
        <v>35</v>
      </c>
      <c r="C3" s="28" t="s">
        <v>45</v>
      </c>
      <c r="D3" s="28" t="s">
        <v>36</v>
      </c>
    </row>
    <row r="4" spans="1:18" ht="15" customHeight="1" x14ac:dyDescent="0.3">
      <c r="A4" s="24" t="s">
        <v>4</v>
      </c>
      <c r="B4" s="29">
        <v>0</v>
      </c>
      <c r="C4" s="29">
        <v>0</v>
      </c>
      <c r="D4" s="29">
        <v>0</v>
      </c>
    </row>
    <row r="5" spans="1:18" ht="15" customHeight="1" x14ac:dyDescent="0.3">
      <c r="A5" s="27" t="s">
        <v>13</v>
      </c>
      <c r="B5" s="30">
        <v>0</v>
      </c>
      <c r="C5" s="30">
        <v>0</v>
      </c>
      <c r="D5" s="30">
        <v>0</v>
      </c>
    </row>
    <row r="6" spans="1:18" ht="15" customHeight="1" x14ac:dyDescent="0.3">
      <c r="A6" s="24" t="s">
        <v>10</v>
      </c>
      <c r="B6" s="29">
        <v>0.11</v>
      </c>
      <c r="C6" s="29">
        <v>0</v>
      </c>
      <c r="D6" s="29">
        <v>0.06</v>
      </c>
    </row>
    <row r="7" spans="1:18" ht="15" customHeight="1" x14ac:dyDescent="0.3">
      <c r="A7" s="27" t="s">
        <v>16</v>
      </c>
      <c r="B7" s="30">
        <v>0.53</v>
      </c>
      <c r="C7" s="30">
        <v>0.44</v>
      </c>
      <c r="D7" s="30">
        <v>0.48</v>
      </c>
    </row>
    <row r="8" spans="1:18" ht="15" customHeight="1" x14ac:dyDescent="0.3">
      <c r="A8" s="24" t="s">
        <v>5</v>
      </c>
      <c r="B8" s="29">
        <v>1.89</v>
      </c>
      <c r="C8" s="29">
        <v>0</v>
      </c>
      <c r="D8" s="29">
        <v>0.89</v>
      </c>
    </row>
    <row r="9" spans="1:18" ht="15" customHeight="1" x14ac:dyDescent="0.3">
      <c r="A9" s="27" t="s">
        <v>11</v>
      </c>
      <c r="B9" s="30">
        <v>3.14</v>
      </c>
      <c r="C9" s="30">
        <v>0</v>
      </c>
      <c r="D9" s="30">
        <v>1.42</v>
      </c>
    </row>
    <row r="10" spans="1:18" ht="15" customHeight="1" x14ac:dyDescent="0.3">
      <c r="A10" s="24" t="s">
        <v>15</v>
      </c>
      <c r="B10" s="29">
        <v>1.27</v>
      </c>
      <c r="C10" s="29">
        <v>1.6</v>
      </c>
      <c r="D10" s="29">
        <v>1.47</v>
      </c>
    </row>
    <row r="11" spans="1:18" ht="15" customHeight="1" x14ac:dyDescent="0.3">
      <c r="A11" s="27" t="s">
        <v>8</v>
      </c>
      <c r="B11" s="30">
        <v>1.19</v>
      </c>
      <c r="C11" s="30">
        <v>2.4300000000000002</v>
      </c>
      <c r="D11" s="30">
        <v>1.96</v>
      </c>
    </row>
    <row r="12" spans="1:18" ht="15" customHeight="1" x14ac:dyDescent="0.3">
      <c r="A12" s="24" t="s">
        <v>14</v>
      </c>
      <c r="B12" s="29">
        <v>2.86</v>
      </c>
      <c r="C12" s="29">
        <v>0.36</v>
      </c>
      <c r="D12" s="29">
        <v>2.0299999999999998</v>
      </c>
    </row>
    <row r="13" spans="1:18" ht="15" customHeight="1" x14ac:dyDescent="0.3">
      <c r="A13" s="27" t="s">
        <v>9</v>
      </c>
      <c r="B13" s="30">
        <v>2.8</v>
      </c>
      <c r="C13" s="30">
        <v>1.94</v>
      </c>
      <c r="D13" s="30">
        <v>2.1800000000000002</v>
      </c>
    </row>
    <row r="14" spans="1:18" ht="15" customHeight="1" x14ac:dyDescent="0.3">
      <c r="A14" s="24" t="s">
        <v>7</v>
      </c>
      <c r="B14" s="29">
        <v>1.33</v>
      </c>
      <c r="C14" s="29">
        <v>2.8</v>
      </c>
      <c r="D14" s="29">
        <v>2.33</v>
      </c>
    </row>
    <row r="15" spans="1:18" ht="15" customHeight="1" x14ac:dyDescent="0.3">
      <c r="A15" s="27" t="s">
        <v>6</v>
      </c>
      <c r="B15" s="30">
        <v>2.2200000000000002</v>
      </c>
      <c r="C15" s="30">
        <v>3.15</v>
      </c>
      <c r="D15" s="30">
        <v>2.46</v>
      </c>
    </row>
    <row r="16" spans="1:18" ht="15" customHeight="1" x14ac:dyDescent="0.3">
      <c r="A16" s="24" t="s">
        <v>12</v>
      </c>
      <c r="B16" s="29">
        <v>1.66</v>
      </c>
      <c r="C16" s="29">
        <v>2.93</v>
      </c>
      <c r="D16" s="29">
        <v>2.5099999999999998</v>
      </c>
    </row>
    <row r="17" spans="1:20" ht="15" customHeight="1" x14ac:dyDescent="0.3">
      <c r="A17" s="21" t="s">
        <v>17</v>
      </c>
      <c r="B17" s="19">
        <v>1.46</v>
      </c>
      <c r="C17" s="19">
        <v>1.2</v>
      </c>
      <c r="D17" s="19">
        <v>1.37</v>
      </c>
    </row>
    <row r="18" spans="1:20" ht="15" customHeight="1" x14ac:dyDescent="0.3">
      <c r="A18" s="18" t="s">
        <v>25</v>
      </c>
      <c r="B18" s="16">
        <v>1.24</v>
      </c>
      <c r="C18" s="16">
        <v>1.58</v>
      </c>
      <c r="D18" s="16">
        <v>1.4</v>
      </c>
    </row>
    <row r="19" spans="1:20" ht="15" customHeight="1" x14ac:dyDescent="0.3">
      <c r="A19" s="18" t="s">
        <v>26</v>
      </c>
      <c r="B19" s="16">
        <v>1.91</v>
      </c>
      <c r="C19" s="16">
        <v>1.93</v>
      </c>
      <c r="D19" s="16">
        <v>1.91</v>
      </c>
    </row>
    <row r="20" spans="1:20" ht="15" customHeight="1" x14ac:dyDescent="0.3">
      <c r="A20" s="44" t="s">
        <v>37</v>
      </c>
      <c r="B20" s="44"/>
      <c r="C20" s="44"/>
      <c r="D20" s="44"/>
      <c r="E20" s="44"/>
      <c r="F20" s="44"/>
      <c r="G20" s="44"/>
      <c r="H20" s="44"/>
      <c r="I20" s="44"/>
      <c r="J20" s="44"/>
      <c r="K20" s="44"/>
      <c r="L20" s="44"/>
      <c r="M20" s="44"/>
      <c r="N20" s="44"/>
      <c r="O20" s="44"/>
      <c r="P20" s="44"/>
      <c r="Q20" s="44"/>
      <c r="R20" s="44"/>
      <c r="S20" s="44"/>
      <c r="T20" s="44"/>
    </row>
    <row r="24" spans="1:20" x14ac:dyDescent="0.3">
      <c r="A24" s="40"/>
    </row>
    <row r="27" spans="1:20" x14ac:dyDescent="0.3">
      <c r="F27" s="41"/>
    </row>
  </sheetData>
  <mergeCells count="3">
    <mergeCell ref="A1:J1"/>
    <mergeCell ref="F2:R2"/>
    <mergeCell ref="A20:T20"/>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Gráfica_pirámide</vt:lpstr>
      <vt:lpstr>T1 Extensión territorial</vt:lpstr>
      <vt:lpstr>T2 Población 2025</vt:lpstr>
      <vt:lpstr>T3 Densidad poblacional</vt:lpstr>
      <vt:lpstr>T4 Natalidad Mortalidad IE</vt:lpstr>
      <vt:lpstr>T5 Migración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Laura Peña Agualimpia</cp:lastModifiedBy>
  <cp:revision>2</cp:revision>
  <dcterms:created xsi:type="dcterms:W3CDTF">2026-06-24T22:14:15Z</dcterms:created>
  <dcterms:modified xsi:type="dcterms:W3CDTF">2026-07-09T19:15:39Z</dcterms:modified>
  <dc:language>en-US</dc:language>
</cp:coreProperties>
</file>
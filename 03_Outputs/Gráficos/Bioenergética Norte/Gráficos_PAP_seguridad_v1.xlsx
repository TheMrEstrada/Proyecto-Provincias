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LAURA\Trabajo\EAFIT\Proyectos\Provincias\git\Proyecto-Provincias\03_Outputs\Gráficos\"/>
    </mc:Choice>
  </mc:AlternateContent>
  <xr:revisionPtr revIDLastSave="0" documentId="8_{AF56FDBB-214A-4380-A4E9-166BD960D406}" xr6:coauthVersionLast="47" xr6:coauthVersionMax="47" xr10:uidLastSave="{00000000-0000-0000-0000-000000000000}"/>
  <bookViews>
    <workbookView xWindow="1920" yWindow="720" windowWidth="10872" windowHeight="12240" firstSheet="1" activeTab="4" xr2:uid="{00000000-000D-0000-FFFF-FFFF00000000}"/>
  </bookViews>
  <sheets>
    <sheet name="restitucion_tierras" sheetId="1" r:id="rId1"/>
    <sheet name="total_victimas_ocurrencia" sheetId="2" r:id="rId2"/>
    <sheet name="desaparecidos" sheetId="3" r:id="rId3"/>
    <sheet name="Total victimas (crudo)" sheetId="4" r:id="rId4"/>
    <sheet name="Composicion por hecho (%)" sheetId="5" r:id="rId5"/>
  </sheets>
  <definedNames>
    <definedName name="_xlnm._FilterDatabase" localSheetId="2" hidden="1">desaparecidos!$A$22:$B$35</definedName>
    <definedName name="_xlnm._FilterDatabase" localSheetId="0" hidden="1">restitucion_tierras!$B$21:$D$33</definedName>
  </definedNames>
  <calcPr calcId="191029" iterateDelta="1E-4"/>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3" l="1"/>
  <c r="C3" i="3"/>
  <c r="C4" i="3"/>
  <c r="C5" i="3"/>
  <c r="C6" i="3"/>
  <c r="C7" i="3"/>
  <c r="C8" i="3"/>
  <c r="C9" i="3"/>
  <c r="C10" i="3"/>
  <c r="C11" i="3"/>
  <c r="C12" i="3"/>
  <c r="C13" i="3"/>
  <c r="C14" i="3"/>
  <c r="C15" i="3"/>
  <c r="C16" i="3"/>
  <c r="C2" i="3"/>
</calcChain>
</file>

<file path=xl/sharedStrings.xml><?xml version="1.0" encoding="utf-8"?>
<sst xmlns="http://schemas.openxmlformats.org/spreadsheetml/2006/main" count="254" uniqueCount="81">
  <si>
    <t>Código DANE</t>
  </si>
  <si>
    <t>Municipio</t>
  </si>
  <si>
    <t>Subregión</t>
  </si>
  <si>
    <t>Provincia</t>
  </si>
  <si>
    <t>Tipo de fila</t>
  </si>
  <si>
    <t>Número de solicitudes de restitución</t>
  </si>
  <si>
    <t>Solicitudes de restitución por cada 1.000 habitantes</t>
  </si>
  <si>
    <t>Número de municipios</t>
  </si>
  <si>
    <t>Angostura</t>
  </si>
  <si>
    <t>NORTE</t>
  </si>
  <si>
    <t>PROVINCIA BIOENERGETICA DEL NORTE DE ANTIOQUIA</t>
  </si>
  <si>
    <t>Briceño</t>
  </si>
  <si>
    <t>Campamento</t>
  </si>
  <si>
    <t>Carolina</t>
  </si>
  <si>
    <t>Guadalupe</t>
  </si>
  <si>
    <t>Gómez Plata</t>
  </si>
  <si>
    <t>Ituango</t>
  </si>
  <si>
    <t>San Andrés de Cuerquía</t>
  </si>
  <si>
    <t>San José de La Montaña</t>
  </si>
  <si>
    <t>Toledo</t>
  </si>
  <si>
    <t>Valdivia</t>
  </si>
  <si>
    <t>Yarumal</t>
  </si>
  <si>
    <t>PROMEDIO NORTE</t>
  </si>
  <si>
    <t>SIN PROVINCIA</t>
  </si>
  <si>
    <t>Promedio subregión</t>
  </si>
  <si>
    <t>PROMEDIO DEPARTAMENTAL</t>
  </si>
  <si>
    <t>TOTAL DEPARTAMENTO</t>
  </si>
  <si>
    <t>Promedio departamento</t>
  </si>
  <si>
    <t>PROMEDIO PROVINCIA BIOENERGETICA DEL NORTE DE ANTIOQUIA</t>
  </si>
  <si>
    <t>TOTAL PROVINCIA</t>
  </si>
  <si>
    <t>Promedio provincia</t>
  </si>
  <si>
    <t>Total víctimas ocurrencia (deduplicado, RUV)</t>
  </si>
  <si>
    <t>ANGOSTURA</t>
  </si>
  <si>
    <t>ANORI</t>
  </si>
  <si>
    <t>BRICENO</t>
  </si>
  <si>
    <t>CAMPAMENTO</t>
  </si>
  <si>
    <t>CAROLINA DEL PRINCIPE</t>
  </si>
  <si>
    <t>GOMEZ PLATA</t>
  </si>
  <si>
    <t>GUADALUPE</t>
  </si>
  <si>
    <t>ITUANGO</t>
  </si>
  <si>
    <t>SAN ANDRES DE CUERQUIA</t>
  </si>
  <si>
    <t>SAN JOSE DE LA MONTANA</t>
  </si>
  <si>
    <t>TOLEDO</t>
  </si>
  <si>
    <t>VALDIVIA</t>
  </si>
  <si>
    <t>YARUMAL</t>
  </si>
  <si>
    <t>TOTAL PROVINCIA BIOENERGETICA DEL NORTE DE ANTIOQUIA</t>
  </si>
  <si>
    <t>Personas desaparecidas</t>
  </si>
  <si>
    <t>NORDESTE</t>
  </si>
  <si>
    <t>TOTAL NORTE</t>
  </si>
  <si>
    <t>Total, departamento</t>
  </si>
  <si>
    <t>Porcentaje dentro de la provincia</t>
  </si>
  <si>
    <t>Peso dentro del departamento</t>
  </si>
  <si>
    <t>Anorí</t>
  </si>
  <si>
    <t>Campamentp</t>
  </si>
  <si>
    <t>Carolina del Príncipe</t>
  </si>
  <si>
    <t>San José de la Montaña</t>
  </si>
  <si>
    <t>San Andrés de Cuerquia</t>
  </si>
  <si>
    <t>Total Provincia</t>
  </si>
  <si>
    <t>Nota: acumulado de víctimas por ocurrencia (RUV, corte 31/05/2026, hechos desde 1985). No se calculó tasa poblacional: el propio desplazamiento redujo la población municipal actual, lo que distorsionaría cualquier tasa calculada sobre ella.</t>
  </si>
  <si>
    <t>TOTAL/PROMEDIO PROVINCIA BIOENERGETICA DEL NORTE DE ANTIOQUIA</t>
  </si>
  <si>
    <t>Desplazamiento forzado</t>
  </si>
  <si>
    <t>Homicidio</t>
  </si>
  <si>
    <t>Amenaza</t>
  </si>
  <si>
    <t>Desaparición forzada</t>
  </si>
  <si>
    <t>Pérdida de bienes muebles/inmuebles</t>
  </si>
  <si>
    <t>Confinamiento</t>
  </si>
  <si>
    <t>Acto terrorista/atentados/combates</t>
  </si>
  <si>
    <t>Sin información</t>
  </si>
  <si>
    <t>Minas antipersonal/MUSE</t>
  </si>
  <si>
    <t>Secuestro</t>
  </si>
  <si>
    <t>Lesiones personales físicas</t>
  </si>
  <si>
    <t>Delitos contra libertad/integridad sexual</t>
  </si>
  <si>
    <t>Vinculación de NNA a grupos armados</t>
  </si>
  <si>
    <t>Lesiones personales psicológicas</t>
  </si>
  <si>
    <t>Tortura</t>
  </si>
  <si>
    <t>Abandono o despojo de tierras</t>
  </si>
  <si>
    <t>% del total de victimizaciones</t>
  </si>
  <si>
    <t>Hecho victimizante</t>
  </si>
  <si>
    <t>Nota: el % corresponde a la participación de cada hecho victimizante sobre la suma de victimizaciones de los 16 hechos registrados en el RUV para la Provincia (182.606), no sobre el número de víctimas únicas (151.961, ver hoja "Total victimas (crudo)") — una misma persona puede tener más de un hecho victimizante registrado, por lo que estas categorías no son excluyentes entre sí.</t>
  </si>
  <si>
    <t>TOTAL (suma de victimizaciones, todos los hechos)</t>
  </si>
  <si>
    <t>Víctimas ocurrencia (suma Provincia)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</si>
</sst>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theme="1"/>
      <name val="Calibri"/>
      <family val="2"/>
      <scheme val="minor"/>
    </font>
    <font>
      <sz val="11"/>
      <color theme="1"/>
      <name val="Calibri"/>
      <family val="2"/>
      <charset val="1"/>
    </font>
    <font>
      <sz val="11"/>
      <name val="Times New Roman"/>
      <family val="1"/>
    </font>
    <font>
      <b/>
      <sz val="11"/>
      <name val="Times New Roman"/>
      <family val="1"/>
    </font>
    <font>
      <i/>
      <sz val="11"/>
      <color rgb="FFE8714A"/>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12">
    <xf numFmtId="0" fontId="0" fillId="0" borderId="0" xfId="0"/>
    <xf numFmtId="1" fontId="0" fillId="0" borderId="0" xfId="0" applyNumberFormat="1"/>
    <xf numFmtId="2" fontId="0" fillId="0" borderId="0" xfId="0" applyNumberFormat="1"/>
    <xf numFmtId="164" fontId="0" fillId="0" borderId="0" xfId="1" applyNumberFormat="1" applyFont="1"/>
    <xf numFmtId="0" fontId="2" fillId="0" borderId="0" xfId="2"/>
    <xf numFmtId="3" fontId="3" fillId="0" borderId="0" xfId="2" applyNumberFormat="1" applyFont="1"/>
    <xf numFmtId="0" fontId="3" fillId="0" borderId="0" xfId="2" applyFont="1"/>
    <xf numFmtId="0" fontId="4" fillId="0" borderId="0" xfId="2" applyFont="1"/>
    <xf numFmtId="0" fontId="5" fillId="0" borderId="0" xfId="2" applyFont="1"/>
    <xf numFmtId="164" fontId="3" fillId="0" borderId="0" xfId="2" applyNumberFormat="1" applyFont="1"/>
    <xf numFmtId="164" fontId="4" fillId="0" borderId="0" xfId="2" applyNumberFormat="1" applyFont="1"/>
    <xf numFmtId="3" fontId="4" fillId="0" borderId="0" xfId="2" applyNumberFormat="1" applyFont="1"/>
  </cellXfs>
  <cellStyles count="3">
    <cellStyle name="Normal" xfId="0" builtinId="0"/>
    <cellStyle name="Normal 2" xfId="2" xr:uid="{95DC22E4-9187-44C8-95EF-D7FFD923F106}"/>
    <cellStyle name="Porcentaje" xfId="1" builtinId="5"/>
  </cellStyles>
  <dxfs count="0"/>
  <tableStyles count="0" defaultTableStyle="TableStyleMedium2" defaultPivotStyle="PivotStyleLight16"/>
  <colors>
    <mruColors>
      <color rgb="FF1F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restitucion_tierras!$C$21</c:f>
              <c:strCache>
                <c:ptCount val="1"/>
                <c:pt idx="0">
                  <c:v>Solicitudes de restitución por cada 1.000 habitantes</c:v>
                </c:pt>
              </c:strCache>
            </c:strRef>
          </c:tx>
          <c:spPr>
            <a:solidFill>
              <a:srgbClr val="1F3864"/>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restitucion_tierras!$B$22:$B$34</c:f>
              <c:strCache>
                <c:ptCount val="13"/>
                <c:pt idx="0">
                  <c:v>San José de La Montaña</c:v>
                </c:pt>
                <c:pt idx="1">
                  <c:v>Carolina</c:v>
                </c:pt>
                <c:pt idx="2">
                  <c:v>Guadalupe</c:v>
                </c:pt>
                <c:pt idx="3">
                  <c:v>Gómez Plata</c:v>
                </c:pt>
                <c:pt idx="4">
                  <c:v>Yarumal</c:v>
                </c:pt>
                <c:pt idx="5">
                  <c:v>Campamento</c:v>
                </c:pt>
                <c:pt idx="6">
                  <c:v>Angostura</c:v>
                </c:pt>
                <c:pt idx="7">
                  <c:v>Anorí</c:v>
                </c:pt>
                <c:pt idx="8">
                  <c:v>Toledo</c:v>
                </c:pt>
                <c:pt idx="9">
                  <c:v>Valdivia</c:v>
                </c:pt>
                <c:pt idx="10">
                  <c:v>San Andrés de Cuerquía</c:v>
                </c:pt>
                <c:pt idx="11">
                  <c:v>Briceño</c:v>
                </c:pt>
                <c:pt idx="12">
                  <c:v>Ituango</c:v>
                </c:pt>
              </c:strCache>
            </c:strRef>
          </c:cat>
          <c:val>
            <c:numRef>
              <c:f>restitucion_tierras!$C$22:$C$34</c:f>
              <c:numCache>
                <c:formatCode>0.00</c:formatCode>
                <c:ptCount val="13"/>
                <c:pt idx="0">
                  <c:v>0.49788400530815125</c:v>
                </c:pt>
                <c:pt idx="1">
                  <c:v>1.0147132873535156</c:v>
                </c:pt>
                <c:pt idx="2">
                  <c:v>1.8547581434249878</c:v>
                </c:pt>
                <c:pt idx="3">
                  <c:v>2.6029114723205566</c:v>
                </c:pt>
                <c:pt idx="4">
                  <c:v>2.8650557994842529</c:v>
                </c:pt>
                <c:pt idx="5">
                  <c:v>4.4977512359619141</c:v>
                </c:pt>
                <c:pt idx="6">
                  <c:v>4.7957797050476074</c:v>
                </c:pt>
                <c:pt idx="7">
                  <c:v>7.79652976989746</c:v>
                </c:pt>
                <c:pt idx="8">
                  <c:v>8.9137649536132813</c:v>
                </c:pt>
                <c:pt idx="9">
                  <c:v>10.656720161437988</c:v>
                </c:pt>
                <c:pt idx="10">
                  <c:v>11.078086853027344</c:v>
                </c:pt>
                <c:pt idx="11">
                  <c:v>14.704033851623535</c:v>
                </c:pt>
                <c:pt idx="12">
                  <c:v>15.314247131347656</c:v>
                </c:pt>
              </c:numCache>
            </c:numRef>
          </c:val>
          <c:extLst>
            <c:ext xmlns:c16="http://schemas.microsoft.com/office/drawing/2014/chart" uri="{C3380CC4-5D6E-409C-BE32-E72D297353CC}">
              <c16:uniqueId val="{00000000-5405-40A8-B478-1DCAED9BDEC0}"/>
            </c:ext>
          </c:extLst>
        </c:ser>
        <c:dLbls>
          <c:dLblPos val="outEnd"/>
          <c:showLegendKey val="0"/>
          <c:showVal val="1"/>
          <c:showCatName val="0"/>
          <c:showSerName val="0"/>
          <c:showPercent val="0"/>
          <c:showBubbleSize val="0"/>
        </c:dLbls>
        <c:gapWidth val="20"/>
        <c:axId val="1410462496"/>
        <c:axId val="2122113840"/>
        <c:extLst>
          <c:ext xmlns:c15="http://schemas.microsoft.com/office/drawing/2012/chart" uri="{02D57815-91ED-43cb-92C2-25804820EDAC}">
            <c15:filteredBarSeries>
              <c15:ser>
                <c:idx val="1"/>
                <c:order val="1"/>
                <c:tx>
                  <c:strRef>
                    <c:extLst>
                      <c:ext uri="{02D57815-91ED-43cb-92C2-25804820EDAC}">
                        <c15:formulaRef>
                          <c15:sqref>restitucion_tierras!$D$21</c15:sqref>
                        </c15:formulaRef>
                      </c:ext>
                    </c:extLst>
                    <c:strCache>
                      <c:ptCount val="1"/>
                      <c:pt idx="0">
                        <c:v>Promedio provincia</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restitucion_tierras!$B$22:$B$34</c15:sqref>
                        </c15:formulaRef>
                      </c:ext>
                    </c:extLst>
                    <c:strCache>
                      <c:ptCount val="13"/>
                      <c:pt idx="0">
                        <c:v>San José de La Montaña</c:v>
                      </c:pt>
                      <c:pt idx="1">
                        <c:v>Carolina</c:v>
                      </c:pt>
                      <c:pt idx="2">
                        <c:v>Guadalupe</c:v>
                      </c:pt>
                      <c:pt idx="3">
                        <c:v>Gómez Plata</c:v>
                      </c:pt>
                      <c:pt idx="4">
                        <c:v>Yarumal</c:v>
                      </c:pt>
                      <c:pt idx="5">
                        <c:v>Campamento</c:v>
                      </c:pt>
                      <c:pt idx="6">
                        <c:v>Angostura</c:v>
                      </c:pt>
                      <c:pt idx="7">
                        <c:v>Anorí</c:v>
                      </c:pt>
                      <c:pt idx="8">
                        <c:v>Toledo</c:v>
                      </c:pt>
                      <c:pt idx="9">
                        <c:v>Valdivia</c:v>
                      </c:pt>
                      <c:pt idx="10">
                        <c:v>San Andrés de Cuerquía</c:v>
                      </c:pt>
                      <c:pt idx="11">
                        <c:v>Briceño</c:v>
                      </c:pt>
                      <c:pt idx="12">
                        <c:v>Ituango</c:v>
                      </c:pt>
                    </c:strCache>
                  </c:strRef>
                </c:cat>
                <c:val>
                  <c:numRef>
                    <c:extLst>
                      <c:ext uri="{02D57815-91ED-43cb-92C2-25804820EDAC}">
                        <c15:formulaRef>
                          <c15:sqref>restitucion_tierras!$D$22:$D$34</c15:sqref>
                        </c15:formulaRef>
                      </c:ext>
                    </c:extLst>
                    <c:numCache>
                      <c:formatCode>0.00</c:formatCode>
                      <c:ptCount val="13"/>
                      <c:pt idx="0">
                        <c:v>6.6609411239624023</c:v>
                      </c:pt>
                      <c:pt idx="1">
                        <c:v>6.6609411239624023</c:v>
                      </c:pt>
                      <c:pt idx="2">
                        <c:v>6.6609411239624023</c:v>
                      </c:pt>
                      <c:pt idx="3">
                        <c:v>6.6609411239624023</c:v>
                      </c:pt>
                      <c:pt idx="4">
                        <c:v>6.6609411239624023</c:v>
                      </c:pt>
                      <c:pt idx="5">
                        <c:v>6.6609411239624023</c:v>
                      </c:pt>
                      <c:pt idx="6">
                        <c:v>6.6609411239624023</c:v>
                      </c:pt>
                      <c:pt idx="7">
                        <c:v>6.6609411239624023</c:v>
                      </c:pt>
                      <c:pt idx="8">
                        <c:v>6.6609411239624023</c:v>
                      </c:pt>
                      <c:pt idx="9">
                        <c:v>6.6609411239624023</c:v>
                      </c:pt>
                      <c:pt idx="10">
                        <c:v>6.6609411239624023</c:v>
                      </c:pt>
                      <c:pt idx="11">
                        <c:v>6.6609411239624023</c:v>
                      </c:pt>
                      <c:pt idx="12">
                        <c:v>6.6609411239624023</c:v>
                      </c:pt>
                    </c:numCache>
                  </c:numRef>
                </c:val>
                <c:extLst>
                  <c:ext xmlns:c16="http://schemas.microsoft.com/office/drawing/2014/chart" uri="{C3380CC4-5D6E-409C-BE32-E72D297353CC}">
                    <c16:uniqueId val="{00000001-5405-40A8-B478-1DCAED9BDEC0}"/>
                  </c:ext>
                </c:extLst>
              </c15:ser>
            </c15:filteredBarSeries>
          </c:ext>
        </c:extLst>
      </c:barChart>
      <c:catAx>
        <c:axId val="141046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CO"/>
          </a:p>
        </c:txPr>
        <c:crossAx val="2122113840"/>
        <c:crosses val="autoZero"/>
        <c:auto val="1"/>
        <c:lblAlgn val="ctr"/>
        <c:lblOffset val="100"/>
        <c:noMultiLvlLbl val="0"/>
      </c:catAx>
      <c:valAx>
        <c:axId val="2122113840"/>
        <c:scaling>
          <c:orientation val="minMax"/>
        </c:scaling>
        <c:delete val="1"/>
        <c:axPos val="b"/>
        <c:numFmt formatCode="0.00" sourceLinked="1"/>
        <c:majorTickMark val="none"/>
        <c:minorTickMark val="none"/>
        <c:tickLblPos val="nextTo"/>
        <c:crossAx val="1410462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desaparecidos!$B$22</c:f>
              <c:strCache>
                <c:ptCount val="1"/>
                <c:pt idx="0">
                  <c:v>Porcentaje dentro de la provincia</c:v>
                </c:pt>
              </c:strCache>
            </c:strRef>
          </c:tx>
          <c:spPr>
            <a:solidFill>
              <a:srgbClr val="1F38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desaparecidos!$A$23:$A$35</c:f>
              <c:strCache>
                <c:ptCount val="13"/>
                <c:pt idx="0">
                  <c:v>Carolina del Príncipe</c:v>
                </c:pt>
                <c:pt idx="1">
                  <c:v>Gómez Plata</c:v>
                </c:pt>
                <c:pt idx="2">
                  <c:v>San José de la Montaña</c:v>
                </c:pt>
                <c:pt idx="3">
                  <c:v>Guadalupe</c:v>
                </c:pt>
                <c:pt idx="4">
                  <c:v>San Andrés de Cuerquía</c:v>
                </c:pt>
                <c:pt idx="5">
                  <c:v>Toledo</c:v>
                </c:pt>
                <c:pt idx="6">
                  <c:v>Angostura</c:v>
                </c:pt>
                <c:pt idx="7">
                  <c:v>Briceño</c:v>
                </c:pt>
                <c:pt idx="8">
                  <c:v>Campamentp</c:v>
                </c:pt>
                <c:pt idx="9">
                  <c:v>Anorí</c:v>
                </c:pt>
                <c:pt idx="10">
                  <c:v>Yarumal</c:v>
                </c:pt>
                <c:pt idx="11">
                  <c:v>Valdivia</c:v>
                </c:pt>
                <c:pt idx="12">
                  <c:v>Ituango</c:v>
                </c:pt>
              </c:strCache>
            </c:strRef>
          </c:cat>
          <c:val>
            <c:numRef>
              <c:f>desaparecidos!$B$23:$B$35</c:f>
              <c:numCache>
                <c:formatCode>0.0%</c:formatCode>
                <c:ptCount val="13"/>
                <c:pt idx="0">
                  <c:v>1.051156271899089E-2</c:v>
                </c:pt>
                <c:pt idx="1">
                  <c:v>1.1212333566923615E-2</c:v>
                </c:pt>
                <c:pt idx="2">
                  <c:v>1.4716187806587245E-2</c:v>
                </c:pt>
                <c:pt idx="3">
                  <c:v>2.3125437981779958E-2</c:v>
                </c:pt>
                <c:pt idx="4">
                  <c:v>2.4526979677645409E-2</c:v>
                </c:pt>
                <c:pt idx="5">
                  <c:v>2.6629292221443588E-2</c:v>
                </c:pt>
                <c:pt idx="6">
                  <c:v>2.9432375613174491E-2</c:v>
                </c:pt>
                <c:pt idx="7">
                  <c:v>4.2747021723896286E-2</c:v>
                </c:pt>
                <c:pt idx="8">
                  <c:v>4.5550105115627189E-2</c:v>
                </c:pt>
                <c:pt idx="9">
                  <c:v>0.1107217939733707</c:v>
                </c:pt>
                <c:pt idx="10">
                  <c:v>0.11282410651716888</c:v>
                </c:pt>
                <c:pt idx="11">
                  <c:v>0.18570427470217238</c:v>
                </c:pt>
                <c:pt idx="12">
                  <c:v>0.36229852838121934</c:v>
                </c:pt>
              </c:numCache>
            </c:numRef>
          </c:val>
          <c:extLst>
            <c:ext xmlns:c16="http://schemas.microsoft.com/office/drawing/2014/chart" uri="{C3380CC4-5D6E-409C-BE32-E72D297353CC}">
              <c16:uniqueId val="{00000000-A578-43FF-924F-A7693FF76401}"/>
            </c:ext>
          </c:extLst>
        </c:ser>
        <c:dLbls>
          <c:dLblPos val="outEnd"/>
          <c:showLegendKey val="0"/>
          <c:showVal val="1"/>
          <c:showCatName val="0"/>
          <c:showSerName val="0"/>
          <c:showPercent val="0"/>
          <c:showBubbleSize val="0"/>
        </c:dLbls>
        <c:gapWidth val="20"/>
        <c:axId val="506592768"/>
        <c:axId val="1231251504"/>
      </c:barChart>
      <c:catAx>
        <c:axId val="50659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CO"/>
          </a:p>
        </c:txPr>
        <c:crossAx val="1231251504"/>
        <c:crosses val="autoZero"/>
        <c:auto val="1"/>
        <c:lblAlgn val="ctr"/>
        <c:lblOffset val="100"/>
        <c:noMultiLvlLbl val="0"/>
      </c:catAx>
      <c:valAx>
        <c:axId val="1231251504"/>
        <c:scaling>
          <c:orientation val="minMax"/>
        </c:scaling>
        <c:delete val="1"/>
        <c:axPos val="b"/>
        <c:numFmt formatCode="0.0%" sourceLinked="1"/>
        <c:majorTickMark val="none"/>
        <c:minorTickMark val="none"/>
        <c:tickLblPos val="nextTo"/>
        <c:crossAx val="506592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'Total victimas (crudo)'!$B$20</c:f>
              <c:strCache>
                <c:ptCount val="1"/>
                <c:pt idx="0">
                  <c:v>Total víctimas ocurrencia (deduplicado, RUV)</c:v>
                </c:pt>
              </c:strCache>
            </c:strRef>
          </c:tx>
          <c:spPr>
            <a:solidFill>
              <a:srgbClr val="1F3864"/>
            </a:solidFill>
            <a:ln w="0">
              <a:noFill/>
            </a:ln>
          </c:spPr>
          <c:invertIfNegative val="0"/>
          <c:dLbls>
            <c:spPr>
              <a:noFill/>
              <a:ln>
                <a:noFill/>
              </a:ln>
              <a:effectLst/>
            </c:spPr>
            <c:txPr>
              <a:bodyPr wrap="square"/>
              <a:lstStyle/>
              <a:p>
                <a:pPr>
                  <a:defRPr sz="1100" b="0" strike="noStrike" spc="-1">
                    <a:solidFill>
                      <a:srgbClr val="000000"/>
                    </a:solidFill>
                    <a:latin typeface="Times New Roman"/>
                  </a:defRPr>
                </a:pPr>
                <a:endParaRPr lang="es-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'Total victimas (crudo)'!$A$21:$A$33</c:f>
              <c:strCache>
                <c:ptCount val="13"/>
                <c:pt idx="0">
                  <c:v>Carolina del Príncipe</c:v>
                </c:pt>
                <c:pt idx="1">
                  <c:v>Gómez Plata</c:v>
                </c:pt>
                <c:pt idx="2">
                  <c:v>San José de la Montaña</c:v>
                </c:pt>
                <c:pt idx="3">
                  <c:v>Guadalupe</c:v>
                </c:pt>
                <c:pt idx="4">
                  <c:v>Angostura</c:v>
                </c:pt>
                <c:pt idx="5">
                  <c:v>San Andrés de Cuerquia</c:v>
                </c:pt>
                <c:pt idx="6">
                  <c:v>Toledo</c:v>
                </c:pt>
                <c:pt idx="7">
                  <c:v>Campamento</c:v>
                </c:pt>
                <c:pt idx="8">
                  <c:v>Briceño</c:v>
                </c:pt>
                <c:pt idx="9">
                  <c:v>Yarumal</c:v>
                </c:pt>
                <c:pt idx="10">
                  <c:v>Anorí</c:v>
                </c:pt>
                <c:pt idx="11">
                  <c:v>Valdivia</c:v>
                </c:pt>
                <c:pt idx="12">
                  <c:v>Ituango</c:v>
                </c:pt>
              </c:strCache>
            </c:strRef>
          </c:cat>
          <c:val>
            <c:numRef>
              <c:f>'Total victimas (crudo)'!$B$21:$B$33</c:f>
              <c:numCache>
                <c:formatCode>#,##0</c:formatCode>
                <c:ptCount val="13"/>
                <c:pt idx="0">
                  <c:v>837</c:v>
                </c:pt>
                <c:pt idx="1">
                  <c:v>1489</c:v>
                </c:pt>
                <c:pt idx="2">
                  <c:v>1514</c:v>
                </c:pt>
                <c:pt idx="3">
                  <c:v>2571</c:v>
                </c:pt>
                <c:pt idx="4">
                  <c:v>5850</c:v>
                </c:pt>
                <c:pt idx="5">
                  <c:v>6010</c:v>
                </c:pt>
                <c:pt idx="6">
                  <c:v>6033</c:v>
                </c:pt>
                <c:pt idx="7">
                  <c:v>6770</c:v>
                </c:pt>
                <c:pt idx="8">
                  <c:v>14057</c:v>
                </c:pt>
                <c:pt idx="9">
                  <c:v>16127</c:v>
                </c:pt>
                <c:pt idx="10">
                  <c:v>21086</c:v>
                </c:pt>
                <c:pt idx="11">
                  <c:v>21124</c:v>
                </c:pt>
                <c:pt idx="12">
                  <c:v>48493</c:v>
                </c:pt>
              </c:numCache>
            </c:numRef>
          </c:val>
          <c:extLst>
            <c:ext xmlns:c16="http://schemas.microsoft.com/office/drawing/2014/chart" uri="{C3380CC4-5D6E-409C-BE32-E72D297353CC}">
              <c16:uniqueId val="{00000000-1141-44B4-B431-2578DD9E6B5B}"/>
            </c:ext>
          </c:extLst>
        </c:ser>
        <c:dLbls>
          <c:showLegendKey val="0"/>
          <c:showVal val="0"/>
          <c:showCatName val="0"/>
          <c:showSerName val="0"/>
          <c:showPercent val="0"/>
          <c:showBubbleSize val="0"/>
        </c:dLbls>
        <c:gapWidth val="20"/>
        <c:axId val="47693348"/>
        <c:axId val="43019405"/>
      </c:barChart>
      <c:catAx>
        <c:axId val="47693348"/>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100" b="0" strike="noStrike" spc="-1">
                <a:solidFill>
                  <a:srgbClr val="000000"/>
                </a:solidFill>
                <a:latin typeface="Times New Roman"/>
              </a:defRPr>
            </a:pPr>
            <a:endParaRPr lang="es-CO"/>
          </a:p>
        </c:txPr>
        <c:crossAx val="43019405"/>
        <c:crosses val="autoZero"/>
        <c:auto val="1"/>
        <c:lblAlgn val="ctr"/>
        <c:lblOffset val="100"/>
        <c:noMultiLvlLbl val="0"/>
      </c:catAx>
      <c:valAx>
        <c:axId val="43019405"/>
        <c:scaling>
          <c:orientation val="minMax"/>
        </c:scaling>
        <c:delete val="1"/>
        <c:axPos val="b"/>
        <c:numFmt formatCode="#,##0" sourceLinked="1"/>
        <c:majorTickMark val="none"/>
        <c:minorTickMark val="none"/>
        <c:tickLblPos val="nextTo"/>
        <c:crossAx val="4769334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'Composicion por hecho (%)'!$B$24</c:f>
              <c:strCache>
                <c:ptCount val="1"/>
                <c:pt idx="0">
                  <c:v>% del total de victimizaciones</c:v>
                </c:pt>
              </c:strCache>
            </c:strRef>
          </c:tx>
          <c:spPr>
            <a:solidFill>
              <a:srgbClr val="1F3864"/>
            </a:solidFill>
            <a:ln w="0">
              <a:noFill/>
            </a:ln>
          </c:spPr>
          <c:invertIfNegative val="0"/>
          <c:dLbls>
            <c:spPr>
              <a:noFill/>
              <a:ln>
                <a:noFill/>
              </a:ln>
              <a:effectLst/>
            </c:spPr>
            <c:txPr>
              <a:bodyPr wrap="square"/>
              <a:lstStyle/>
              <a:p>
                <a:pPr>
                  <a:defRPr sz="1000" b="0" strike="noStrike" spc="-1">
                    <a:solidFill>
                      <a:srgbClr val="000000"/>
                    </a:solidFill>
                    <a:latin typeface="Times New Roman"/>
                  </a:defRPr>
                </a:pPr>
                <a:endParaRPr lang="es-C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'Composicion por hecho (%)'!$A$25:$A$40</c:f>
              <c:strCache>
                <c:ptCount val="16"/>
                <c:pt idx="0">
                  <c:v>Abandono o despojo de tierras</c:v>
                </c:pt>
                <c:pt idx="1">
                  <c:v>Tortura</c:v>
                </c:pt>
                <c:pt idx="2">
                  <c:v>Lesiones personales psicológicas</c:v>
                </c:pt>
                <c:pt idx="3">
                  <c:v>Vinculación de NNA a grupos armados</c:v>
                </c:pt>
                <c:pt idx="4">
                  <c:v>Delitos contra libertad/integridad sexual</c:v>
                </c:pt>
                <c:pt idx="5">
                  <c:v>Lesiones personales físicas</c:v>
                </c:pt>
                <c:pt idx="6">
                  <c:v>Secuestro</c:v>
                </c:pt>
                <c:pt idx="7">
                  <c:v>Minas antipersonal/MUSE</c:v>
                </c:pt>
                <c:pt idx="8">
                  <c:v>Sin información</c:v>
                </c:pt>
                <c:pt idx="9">
                  <c:v>Acto terrorista/atentados/combates</c:v>
                </c:pt>
                <c:pt idx="10">
                  <c:v>Confinamiento</c:v>
                </c:pt>
                <c:pt idx="11">
                  <c:v>Pérdida de bienes muebles/inmuebles</c:v>
                </c:pt>
                <c:pt idx="12">
                  <c:v>Desaparición forzada</c:v>
                </c:pt>
                <c:pt idx="13">
                  <c:v>Amenaza</c:v>
                </c:pt>
                <c:pt idx="14">
                  <c:v>Homicidio</c:v>
                </c:pt>
                <c:pt idx="15">
                  <c:v>Desplazamiento forzado</c:v>
                </c:pt>
              </c:strCache>
            </c:strRef>
          </c:cat>
          <c:val>
            <c:numRef>
              <c:f>'Composicion por hecho (%)'!$B$25:$B$40</c:f>
              <c:numCache>
                <c:formatCode>0.0%</c:formatCode>
                <c:ptCount val="16"/>
                <c:pt idx="0">
                  <c:v>9.3096612378563702E-5</c:v>
                </c:pt>
                <c:pt idx="1">
                  <c:v>6.4620001533356004E-4</c:v>
                </c:pt>
                <c:pt idx="2">
                  <c:v>1.07334917801168E-3</c:v>
                </c:pt>
                <c:pt idx="3">
                  <c:v>1.23763731750326E-3</c:v>
                </c:pt>
                <c:pt idx="4">
                  <c:v>2.2507475110346898E-3</c:v>
                </c:pt>
                <c:pt idx="5">
                  <c:v>3.7841034796227998E-3</c:v>
                </c:pt>
                <c:pt idx="6">
                  <c:v>4.4795899368038298E-3</c:v>
                </c:pt>
                <c:pt idx="7">
                  <c:v>4.7862611305214504E-3</c:v>
                </c:pt>
                <c:pt idx="8">
                  <c:v>5.6460357271940704E-3</c:v>
                </c:pt>
                <c:pt idx="9">
                  <c:v>8.3841713853871208E-3</c:v>
                </c:pt>
                <c:pt idx="10">
                  <c:v>8.5101256256640001E-3</c:v>
                </c:pt>
                <c:pt idx="11">
                  <c:v>1.10894494156819E-2</c:v>
                </c:pt>
                <c:pt idx="12">
                  <c:v>1.7589783468232201E-2</c:v>
                </c:pt>
                <c:pt idx="13">
                  <c:v>0.10476654655378299</c:v>
                </c:pt>
                <c:pt idx="14">
                  <c:v>0.107230868646156</c:v>
                </c:pt>
                <c:pt idx="15">
                  <c:v>0.71843203399669198</c:v>
                </c:pt>
              </c:numCache>
            </c:numRef>
          </c:val>
          <c:extLst>
            <c:ext xmlns:c16="http://schemas.microsoft.com/office/drawing/2014/chart" uri="{C3380CC4-5D6E-409C-BE32-E72D297353CC}">
              <c16:uniqueId val="{00000000-F1FB-4E7D-8119-4E1C081318BE}"/>
            </c:ext>
          </c:extLst>
        </c:ser>
        <c:dLbls>
          <c:showLegendKey val="0"/>
          <c:showVal val="0"/>
          <c:showCatName val="0"/>
          <c:showSerName val="0"/>
          <c:showPercent val="0"/>
          <c:showBubbleSize val="0"/>
        </c:dLbls>
        <c:gapWidth val="20"/>
        <c:axId val="91166970"/>
        <c:axId val="79650811"/>
      </c:barChart>
      <c:catAx>
        <c:axId val="911669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Times New Roman"/>
              </a:defRPr>
            </a:pPr>
            <a:endParaRPr lang="es-CO"/>
          </a:p>
        </c:txPr>
        <c:crossAx val="79650811"/>
        <c:crosses val="autoZero"/>
        <c:auto val="1"/>
        <c:lblAlgn val="ctr"/>
        <c:lblOffset val="100"/>
        <c:noMultiLvlLbl val="0"/>
      </c:catAx>
      <c:valAx>
        <c:axId val="79650811"/>
        <c:scaling>
          <c:orientation val="minMax"/>
        </c:scaling>
        <c:delete val="1"/>
        <c:axPos val="b"/>
        <c:numFmt formatCode="0.0%" sourceLinked="1"/>
        <c:majorTickMark val="none"/>
        <c:minorTickMark val="none"/>
        <c:tickLblPos val="nextTo"/>
        <c:crossAx val="9116697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533400</xdr:colOff>
      <xdr:row>17</xdr:row>
      <xdr:rowOff>41910</xdr:rowOff>
    </xdr:from>
    <xdr:to>
      <xdr:col>16</xdr:col>
      <xdr:colOff>289560</xdr:colOff>
      <xdr:row>37</xdr:row>
      <xdr:rowOff>91440</xdr:rowOff>
    </xdr:to>
    <xdr:graphicFrame macro="">
      <xdr:nvGraphicFramePr>
        <xdr:cNvPr id="2" name="Gráfico 1">
          <a:extLst>
            <a:ext uri="{FF2B5EF4-FFF2-40B4-BE49-F238E27FC236}">
              <a16:creationId xmlns:a16="http://schemas.microsoft.com/office/drawing/2014/main" id="{5A40FBC3-1516-39D8-113C-3435E3984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365760</xdr:colOff>
      <xdr:row>17</xdr:row>
      <xdr:rowOff>76200</xdr:rowOff>
    </xdr:from>
    <xdr:to>
      <xdr:col>12</xdr:col>
      <xdr:colOff>365760</xdr:colOff>
      <xdr:row>40</xdr:row>
      <xdr:rowOff>5840</xdr:rowOff>
    </xdr:to>
    <xdr:cxnSp macro="">
      <xdr:nvCxnSpPr>
        <xdr:cNvPr id="3" name="Conector recto 2">
          <a:extLst>
            <a:ext uri="{FF2B5EF4-FFF2-40B4-BE49-F238E27FC236}">
              <a16:creationId xmlns:a16="http://schemas.microsoft.com/office/drawing/2014/main" id="{F216751D-F0CC-4C64-889F-275C8E2B4748}"/>
            </a:ext>
          </a:extLst>
        </xdr:cNvPr>
        <xdr:cNvCxnSpPr/>
      </xdr:nvCxnSpPr>
      <xdr:spPr>
        <a:xfrm>
          <a:off x="7680960" y="3185160"/>
          <a:ext cx="0" cy="4135880"/>
        </a:xfrm>
        <a:prstGeom prst="line">
          <a:avLst/>
        </a:prstGeom>
        <a:ln w="38100">
          <a:solidFill>
            <a:schemeClr val="tx1"/>
          </a:solidFill>
          <a:prstDash val="dashDot"/>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312420</xdr:colOff>
      <xdr:row>1</xdr:row>
      <xdr:rowOff>72390</xdr:rowOff>
    </xdr:from>
    <xdr:to>
      <xdr:col>11</xdr:col>
      <xdr:colOff>342900</xdr:colOff>
      <xdr:row>20</xdr:row>
      <xdr:rowOff>68580</xdr:rowOff>
    </xdr:to>
    <xdr:graphicFrame macro="">
      <xdr:nvGraphicFramePr>
        <xdr:cNvPr id="2" name="Gráfico 1">
          <a:extLst>
            <a:ext uri="{FF2B5EF4-FFF2-40B4-BE49-F238E27FC236}">
              <a16:creationId xmlns:a16="http://schemas.microsoft.com/office/drawing/2014/main" id="{8A31F418-7367-8CF1-FF5D-4C1D02B15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19</xdr:row>
      <xdr:rowOff>0</xdr:rowOff>
    </xdr:from>
    <xdr:ext cx="5029200" cy="3695700"/>
    <xdr:graphicFrame macro="">
      <xdr:nvGraphicFramePr>
        <xdr:cNvPr id="2" name="Chart 1">
          <a:extLst>
            <a:ext uri="{FF2B5EF4-FFF2-40B4-BE49-F238E27FC236}">
              <a16:creationId xmlns:a16="http://schemas.microsoft.com/office/drawing/2014/main" id="{320E2A72-89D9-466D-BEF6-08FAFD6AD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23</xdr:row>
      <xdr:rowOff>0</xdr:rowOff>
    </xdr:from>
    <xdr:ext cx="5273040" cy="3909060"/>
    <xdr:graphicFrame macro="">
      <xdr:nvGraphicFramePr>
        <xdr:cNvPr id="2" name="Chart 1">
          <a:extLst>
            <a:ext uri="{FF2B5EF4-FFF2-40B4-BE49-F238E27FC236}">
              <a16:creationId xmlns:a16="http://schemas.microsoft.com/office/drawing/2014/main" id="{10F05807-F2E0-4F67-9359-B632754FA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workbookViewId="0">
      <selection activeCell="B3" sqref="B3:B13"/>
    </sheetView>
  </sheetViews>
  <sheetFormatPr baseColWidth="10" defaultColWidth="8.88671875" defaultRowHeight="14.4" x14ac:dyDescent="0.3"/>
  <sheetData>
    <row r="1" spans="1:8" x14ac:dyDescent="0.3">
      <c r="A1" t="s">
        <v>0</v>
      </c>
      <c r="B1" t="s">
        <v>1</v>
      </c>
      <c r="C1" t="s">
        <v>2</v>
      </c>
      <c r="D1" t="s">
        <v>3</v>
      </c>
      <c r="E1" t="s">
        <v>4</v>
      </c>
      <c r="F1" t="s">
        <v>5</v>
      </c>
      <c r="G1" t="s">
        <v>6</v>
      </c>
      <c r="H1" t="s">
        <v>7</v>
      </c>
    </row>
    <row r="2" spans="1:8" x14ac:dyDescent="0.3">
      <c r="A2" s="1">
        <v>5038</v>
      </c>
      <c r="B2" t="s">
        <v>8</v>
      </c>
      <c r="C2" t="s">
        <v>9</v>
      </c>
      <c r="D2" t="s">
        <v>10</v>
      </c>
      <c r="E2" t="s">
        <v>1</v>
      </c>
      <c r="F2" s="1">
        <v>60</v>
      </c>
      <c r="G2" s="2">
        <v>4.7957797050476074</v>
      </c>
      <c r="H2" s="1"/>
    </row>
    <row r="3" spans="1:8" x14ac:dyDescent="0.3">
      <c r="A3" s="1">
        <v>5107</v>
      </c>
      <c r="B3" t="s">
        <v>11</v>
      </c>
      <c r="C3" t="s">
        <v>9</v>
      </c>
      <c r="D3" t="s">
        <v>10</v>
      </c>
      <c r="E3" t="s">
        <v>1</v>
      </c>
      <c r="F3" s="1">
        <v>117</v>
      </c>
      <c r="G3" s="2">
        <v>14.704033851623535</v>
      </c>
      <c r="H3" s="1"/>
    </row>
    <row r="4" spans="1:8" x14ac:dyDescent="0.3">
      <c r="A4" s="1">
        <v>5134</v>
      </c>
      <c r="B4" t="s">
        <v>12</v>
      </c>
      <c r="C4" t="s">
        <v>9</v>
      </c>
      <c r="D4" t="s">
        <v>10</v>
      </c>
      <c r="E4" t="s">
        <v>1</v>
      </c>
      <c r="F4" s="1">
        <v>45</v>
      </c>
      <c r="G4" s="2">
        <v>4.4977512359619141</v>
      </c>
      <c r="H4" s="1"/>
    </row>
    <row r="5" spans="1:8" x14ac:dyDescent="0.3">
      <c r="A5" s="1">
        <v>5150</v>
      </c>
      <c r="B5" t="s">
        <v>13</v>
      </c>
      <c r="C5" t="s">
        <v>9</v>
      </c>
      <c r="D5" t="s">
        <v>10</v>
      </c>
      <c r="E5" t="s">
        <v>1</v>
      </c>
      <c r="F5" s="1">
        <v>4</v>
      </c>
      <c r="G5" s="2">
        <v>1.0147132873535156</v>
      </c>
      <c r="H5" s="1"/>
    </row>
    <row r="6" spans="1:8" x14ac:dyDescent="0.3">
      <c r="A6" s="1">
        <v>5315</v>
      </c>
      <c r="B6" t="s">
        <v>14</v>
      </c>
      <c r="C6" t="s">
        <v>9</v>
      </c>
      <c r="D6" t="s">
        <v>10</v>
      </c>
      <c r="E6" t="s">
        <v>1</v>
      </c>
      <c r="F6" s="1">
        <v>13</v>
      </c>
      <c r="G6" s="2">
        <v>1.8547581434249878</v>
      </c>
      <c r="H6" s="1"/>
    </row>
    <row r="7" spans="1:8" x14ac:dyDescent="0.3">
      <c r="A7" s="1">
        <v>5310</v>
      </c>
      <c r="B7" t="s">
        <v>15</v>
      </c>
      <c r="C7" t="s">
        <v>9</v>
      </c>
      <c r="D7" t="s">
        <v>10</v>
      </c>
      <c r="E7" t="s">
        <v>1</v>
      </c>
      <c r="F7" s="1">
        <v>27</v>
      </c>
      <c r="G7" s="2">
        <v>2.6029114723205566</v>
      </c>
      <c r="H7" s="1"/>
    </row>
    <row r="8" spans="1:8" x14ac:dyDescent="0.3">
      <c r="A8" s="1">
        <v>5361</v>
      </c>
      <c r="B8" t="s">
        <v>16</v>
      </c>
      <c r="C8" t="s">
        <v>9</v>
      </c>
      <c r="D8" t="s">
        <v>10</v>
      </c>
      <c r="E8" t="s">
        <v>1</v>
      </c>
      <c r="F8" s="1">
        <v>452</v>
      </c>
      <c r="G8" s="2">
        <v>15.314247131347656</v>
      </c>
      <c r="H8" s="1"/>
    </row>
    <row r="9" spans="1:8" x14ac:dyDescent="0.3">
      <c r="A9" s="1">
        <v>5647</v>
      </c>
      <c r="B9" t="s">
        <v>17</v>
      </c>
      <c r="C9" t="s">
        <v>9</v>
      </c>
      <c r="D9" t="s">
        <v>10</v>
      </c>
      <c r="E9" t="s">
        <v>1</v>
      </c>
      <c r="F9" s="1">
        <v>82</v>
      </c>
      <c r="G9" s="2">
        <v>11.078086853027344</v>
      </c>
      <c r="H9" s="1"/>
    </row>
    <row r="10" spans="1:8" x14ac:dyDescent="0.3">
      <c r="A10" s="1">
        <v>5658</v>
      </c>
      <c r="B10" t="s">
        <v>18</v>
      </c>
      <c r="C10" t="s">
        <v>9</v>
      </c>
      <c r="D10" t="s">
        <v>10</v>
      </c>
      <c r="E10" t="s">
        <v>1</v>
      </c>
      <c r="F10" s="1">
        <v>2</v>
      </c>
      <c r="G10" s="2">
        <v>0.49788400530815125</v>
      </c>
      <c r="H10" s="1"/>
    </row>
    <row r="11" spans="1:8" x14ac:dyDescent="0.3">
      <c r="A11" s="1">
        <v>5819</v>
      </c>
      <c r="B11" t="s">
        <v>19</v>
      </c>
      <c r="C11" t="s">
        <v>9</v>
      </c>
      <c r="D11" t="s">
        <v>10</v>
      </c>
      <c r="E11" t="s">
        <v>1</v>
      </c>
      <c r="F11" s="1">
        <v>43</v>
      </c>
      <c r="G11" s="2">
        <v>8.9137649536132813</v>
      </c>
      <c r="H11" s="1"/>
    </row>
    <row r="12" spans="1:8" x14ac:dyDescent="0.3">
      <c r="A12" s="1">
        <v>5854</v>
      </c>
      <c r="B12" t="s">
        <v>20</v>
      </c>
      <c r="C12" t="s">
        <v>9</v>
      </c>
      <c r="D12" t="s">
        <v>10</v>
      </c>
      <c r="E12" t="s">
        <v>1</v>
      </c>
      <c r="F12" s="1">
        <v>160</v>
      </c>
      <c r="G12" s="2">
        <v>10.656720161437988</v>
      </c>
      <c r="H12" s="1"/>
    </row>
    <row r="13" spans="1:8" x14ac:dyDescent="0.3">
      <c r="A13" s="1">
        <v>5887</v>
      </c>
      <c r="B13" t="s">
        <v>21</v>
      </c>
      <c r="C13" t="s">
        <v>9</v>
      </c>
      <c r="D13" t="s">
        <v>10</v>
      </c>
      <c r="E13" t="s">
        <v>1</v>
      </c>
      <c r="F13" s="1">
        <v>120</v>
      </c>
      <c r="G13" s="2">
        <v>2.8650557994842529</v>
      </c>
      <c r="H13" s="1"/>
    </row>
    <row r="14" spans="1:8" x14ac:dyDescent="0.3">
      <c r="A14" s="1"/>
      <c r="B14" t="s">
        <v>22</v>
      </c>
      <c r="C14" t="s">
        <v>9</v>
      </c>
      <c r="D14" t="s">
        <v>23</v>
      </c>
      <c r="E14" t="s">
        <v>24</v>
      </c>
      <c r="F14" s="1">
        <v>70.941177368164063</v>
      </c>
      <c r="G14" s="2">
        <v>4.9225578308105469</v>
      </c>
      <c r="H14" s="1">
        <v>17</v>
      </c>
    </row>
    <row r="15" spans="1:8" x14ac:dyDescent="0.3">
      <c r="A15" s="1"/>
      <c r="B15" t="s">
        <v>25</v>
      </c>
      <c r="C15" t="s">
        <v>26</v>
      </c>
      <c r="D15" t="s">
        <v>26</v>
      </c>
      <c r="E15" t="s">
        <v>27</v>
      </c>
      <c r="F15" s="1">
        <v>222.26612854003906</v>
      </c>
      <c r="G15" s="2">
        <v>10.105720520019531</v>
      </c>
      <c r="H15" s="1">
        <v>125</v>
      </c>
    </row>
    <row r="16" spans="1:8" x14ac:dyDescent="0.3">
      <c r="A16" s="1"/>
      <c r="B16" t="s">
        <v>28</v>
      </c>
      <c r="C16" t="s">
        <v>29</v>
      </c>
      <c r="D16" t="s">
        <v>10</v>
      </c>
      <c r="E16" t="s">
        <v>30</v>
      </c>
      <c r="F16" s="1">
        <v>99.153846740722656</v>
      </c>
      <c r="G16" s="2">
        <v>6.6609411239624023</v>
      </c>
      <c r="H16" s="1">
        <v>13</v>
      </c>
    </row>
    <row r="21" spans="2:4" x14ac:dyDescent="0.3">
      <c r="B21" t="s">
        <v>1</v>
      </c>
      <c r="C21" t="s">
        <v>6</v>
      </c>
      <c r="D21" t="s">
        <v>30</v>
      </c>
    </row>
    <row r="22" spans="2:4" x14ac:dyDescent="0.3">
      <c r="B22" t="s">
        <v>18</v>
      </c>
      <c r="C22" s="2">
        <v>0.49788400530815125</v>
      </c>
      <c r="D22" s="2">
        <v>6.6609411239624023</v>
      </c>
    </row>
    <row r="23" spans="2:4" x14ac:dyDescent="0.3">
      <c r="B23" t="s">
        <v>13</v>
      </c>
      <c r="C23" s="2">
        <v>1.0147132873535156</v>
      </c>
      <c r="D23" s="2">
        <v>6.6609411239624023</v>
      </c>
    </row>
    <row r="24" spans="2:4" x14ac:dyDescent="0.3">
      <c r="B24" t="s">
        <v>14</v>
      </c>
      <c r="C24" s="2">
        <v>1.8547581434249878</v>
      </c>
      <c r="D24" s="2">
        <v>6.6609411239624023</v>
      </c>
    </row>
    <row r="25" spans="2:4" x14ac:dyDescent="0.3">
      <c r="B25" t="s">
        <v>15</v>
      </c>
      <c r="C25" s="2">
        <v>2.6029114723205566</v>
      </c>
      <c r="D25" s="2">
        <v>6.6609411239624023</v>
      </c>
    </row>
    <row r="26" spans="2:4" x14ac:dyDescent="0.3">
      <c r="B26" t="s">
        <v>21</v>
      </c>
      <c r="C26" s="2">
        <v>2.8650557994842529</v>
      </c>
      <c r="D26" s="2">
        <v>6.6609411239624023</v>
      </c>
    </row>
    <row r="27" spans="2:4" x14ac:dyDescent="0.3">
      <c r="B27" t="s">
        <v>12</v>
      </c>
      <c r="C27" s="2">
        <v>4.4977512359619141</v>
      </c>
      <c r="D27" s="2">
        <v>6.6609411239624023</v>
      </c>
    </row>
    <row r="28" spans="2:4" x14ac:dyDescent="0.3">
      <c r="B28" t="s">
        <v>8</v>
      </c>
      <c r="C28" s="2">
        <v>4.7957797050476074</v>
      </c>
      <c r="D28" s="2">
        <v>6.6609411239624023</v>
      </c>
    </row>
    <row r="29" spans="2:4" x14ac:dyDescent="0.3">
      <c r="B29" t="s">
        <v>52</v>
      </c>
      <c r="C29" s="2">
        <v>7.79652976989746</v>
      </c>
      <c r="D29" s="2">
        <v>6.6609411239624023</v>
      </c>
    </row>
    <row r="30" spans="2:4" x14ac:dyDescent="0.3">
      <c r="B30" t="s">
        <v>19</v>
      </c>
      <c r="C30" s="2">
        <v>8.9137649536132813</v>
      </c>
      <c r="D30" s="2">
        <v>6.6609411239624023</v>
      </c>
    </row>
    <row r="31" spans="2:4" x14ac:dyDescent="0.3">
      <c r="B31" t="s">
        <v>20</v>
      </c>
      <c r="C31" s="2">
        <v>10.656720161437988</v>
      </c>
      <c r="D31" s="2">
        <v>6.6609411239624023</v>
      </c>
    </row>
    <row r="32" spans="2:4" x14ac:dyDescent="0.3">
      <c r="B32" t="s">
        <v>17</v>
      </c>
      <c r="C32" s="2">
        <v>11.078086853027344</v>
      </c>
      <c r="D32" s="2">
        <v>6.6609411239624023</v>
      </c>
    </row>
    <row r="33" spans="2:4" x14ac:dyDescent="0.3">
      <c r="B33" t="s">
        <v>11</v>
      </c>
      <c r="C33" s="2">
        <v>14.704033851623535</v>
      </c>
      <c r="D33" s="2">
        <v>6.6609411239624023</v>
      </c>
    </row>
    <row r="34" spans="2:4" x14ac:dyDescent="0.3">
      <c r="B34" t="s">
        <v>16</v>
      </c>
      <c r="C34" s="2">
        <v>15.314247131347656</v>
      </c>
      <c r="D34" s="2">
        <v>6.6609411239624023</v>
      </c>
    </row>
    <row r="38" spans="2:4" x14ac:dyDescent="0.3">
      <c r="C38" s="1"/>
      <c r="D38" s="2"/>
    </row>
  </sheetData>
  <autoFilter ref="B21:D33" xr:uid="{00000000-0001-0000-0000-000000000000}">
    <sortState xmlns:xlrd2="http://schemas.microsoft.com/office/spreadsheetml/2017/richdata2" ref="B22:D34">
      <sortCondition ref="C21:C33"/>
    </sortState>
  </autoFilter>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7948-AF1D-4C3E-B0B2-27950E7F637C}">
  <dimension ref="A1:C15"/>
  <sheetViews>
    <sheetView workbookViewId="0">
      <selection activeCell="B16" sqref="B16"/>
    </sheetView>
  </sheetViews>
  <sheetFormatPr baseColWidth="10" defaultRowHeight="14.4" x14ac:dyDescent="0.3"/>
  <sheetData>
    <row r="1" spans="1:3" x14ac:dyDescent="0.3">
      <c r="A1" t="s">
        <v>0</v>
      </c>
      <c r="B1" t="s">
        <v>1</v>
      </c>
      <c r="C1" t="s">
        <v>31</v>
      </c>
    </row>
    <row r="2" spans="1:3" x14ac:dyDescent="0.3">
      <c r="A2" s="1">
        <v>5038</v>
      </c>
      <c r="B2" t="s">
        <v>32</v>
      </c>
      <c r="C2" s="1">
        <v>5850</v>
      </c>
    </row>
    <row r="3" spans="1:3" x14ac:dyDescent="0.3">
      <c r="A3" s="1">
        <v>5040</v>
      </c>
      <c r="B3" t="s">
        <v>33</v>
      </c>
      <c r="C3" s="1">
        <v>21086</v>
      </c>
    </row>
    <row r="4" spans="1:3" x14ac:dyDescent="0.3">
      <c r="A4" s="1">
        <v>5107</v>
      </c>
      <c r="B4" t="s">
        <v>34</v>
      </c>
      <c r="C4" s="1">
        <v>14057</v>
      </c>
    </row>
    <row r="5" spans="1:3" x14ac:dyDescent="0.3">
      <c r="A5" s="1">
        <v>5134</v>
      </c>
      <c r="B5" t="s">
        <v>35</v>
      </c>
      <c r="C5" s="1">
        <v>6770</v>
      </c>
    </row>
    <row r="6" spans="1:3" x14ac:dyDescent="0.3">
      <c r="A6" s="1">
        <v>5150</v>
      </c>
      <c r="B6" t="s">
        <v>36</v>
      </c>
      <c r="C6" s="1">
        <v>837</v>
      </c>
    </row>
    <row r="7" spans="1:3" x14ac:dyDescent="0.3">
      <c r="A7" s="1">
        <v>5310</v>
      </c>
      <c r="B7" t="s">
        <v>37</v>
      </c>
      <c r="C7" s="1">
        <v>1489</v>
      </c>
    </row>
    <row r="8" spans="1:3" x14ac:dyDescent="0.3">
      <c r="A8" s="1">
        <v>5315</v>
      </c>
      <c r="B8" t="s">
        <v>38</v>
      </c>
      <c r="C8" s="1">
        <v>2571</v>
      </c>
    </row>
    <row r="9" spans="1:3" x14ac:dyDescent="0.3">
      <c r="A9" s="1">
        <v>5361</v>
      </c>
      <c r="B9" t="s">
        <v>39</v>
      </c>
      <c r="C9" s="1">
        <v>48493</v>
      </c>
    </row>
    <row r="10" spans="1:3" x14ac:dyDescent="0.3">
      <c r="A10" s="1">
        <v>5647</v>
      </c>
      <c r="B10" t="s">
        <v>40</v>
      </c>
      <c r="C10" s="1">
        <v>6010</v>
      </c>
    </row>
    <row r="11" spans="1:3" x14ac:dyDescent="0.3">
      <c r="A11" s="1">
        <v>5658</v>
      </c>
      <c r="B11" t="s">
        <v>41</v>
      </c>
      <c r="C11" s="1">
        <v>1514</v>
      </c>
    </row>
    <row r="12" spans="1:3" x14ac:dyDescent="0.3">
      <c r="A12" s="1">
        <v>5819</v>
      </c>
      <c r="B12" t="s">
        <v>42</v>
      </c>
      <c r="C12" s="1">
        <v>6033</v>
      </c>
    </row>
    <row r="13" spans="1:3" x14ac:dyDescent="0.3">
      <c r="A13" s="1">
        <v>5854</v>
      </c>
      <c r="B13" t="s">
        <v>43</v>
      </c>
      <c r="C13" s="1">
        <v>21124</v>
      </c>
    </row>
    <row r="14" spans="1:3" x14ac:dyDescent="0.3">
      <c r="A14" s="1">
        <v>5887</v>
      </c>
      <c r="B14" t="s">
        <v>44</v>
      </c>
      <c r="C14" s="1">
        <v>16127</v>
      </c>
    </row>
    <row r="15" spans="1:3" x14ac:dyDescent="0.3">
      <c r="A15" s="1"/>
      <c r="B15" t="s">
        <v>45</v>
      </c>
      <c r="C15" s="1">
        <v>151961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A8A21-48FB-442D-9030-6DAB45F2B72C}">
  <dimension ref="A1:C35"/>
  <sheetViews>
    <sheetView workbookViewId="0">
      <selection sqref="A1:C17"/>
    </sheetView>
  </sheetViews>
  <sheetFormatPr baseColWidth="10" defaultRowHeight="14.4" x14ac:dyDescent="0.3"/>
  <sheetData>
    <row r="1" spans="1:3" x14ac:dyDescent="0.3">
      <c r="A1" t="s">
        <v>1</v>
      </c>
      <c r="B1" t="s">
        <v>46</v>
      </c>
      <c r="C1" t="s">
        <v>50</v>
      </c>
    </row>
    <row r="2" spans="1:3" x14ac:dyDescent="0.3">
      <c r="A2" t="s">
        <v>8</v>
      </c>
      <c r="B2" s="1">
        <v>42</v>
      </c>
      <c r="C2" s="3">
        <f>B2/$B$16</f>
        <v>2.9432375613174491E-2</v>
      </c>
    </row>
    <row r="3" spans="1:3" x14ac:dyDescent="0.3">
      <c r="A3" t="s">
        <v>52</v>
      </c>
      <c r="B3" s="1">
        <v>158</v>
      </c>
      <c r="C3" s="3">
        <f t="shared" ref="C3:C16" si="0">B3/$B$16</f>
        <v>0.1107217939733707</v>
      </c>
    </row>
    <row r="4" spans="1:3" x14ac:dyDescent="0.3">
      <c r="A4" t="s">
        <v>11</v>
      </c>
      <c r="B4" s="1">
        <v>61</v>
      </c>
      <c r="C4" s="3">
        <f t="shared" si="0"/>
        <v>4.2747021723896286E-2</v>
      </c>
    </row>
    <row r="5" spans="1:3" x14ac:dyDescent="0.3">
      <c r="A5" t="s">
        <v>53</v>
      </c>
      <c r="B5" s="1">
        <v>65</v>
      </c>
      <c r="C5" s="3">
        <f t="shared" si="0"/>
        <v>4.5550105115627189E-2</v>
      </c>
    </row>
    <row r="6" spans="1:3" x14ac:dyDescent="0.3">
      <c r="A6" t="s">
        <v>54</v>
      </c>
      <c r="B6" s="1">
        <v>15</v>
      </c>
      <c r="C6" s="3">
        <f t="shared" si="0"/>
        <v>1.051156271899089E-2</v>
      </c>
    </row>
    <row r="7" spans="1:3" x14ac:dyDescent="0.3">
      <c r="A7" t="s">
        <v>15</v>
      </c>
      <c r="B7" s="1">
        <v>16</v>
      </c>
      <c r="C7" s="3">
        <f t="shared" si="0"/>
        <v>1.1212333566923615E-2</v>
      </c>
    </row>
    <row r="8" spans="1:3" x14ac:dyDescent="0.3">
      <c r="A8" t="s">
        <v>14</v>
      </c>
      <c r="B8" s="1">
        <v>33</v>
      </c>
      <c r="C8" s="3">
        <f t="shared" si="0"/>
        <v>2.3125437981779958E-2</v>
      </c>
    </row>
    <row r="9" spans="1:3" x14ac:dyDescent="0.3">
      <c r="A9" t="s">
        <v>16</v>
      </c>
      <c r="B9" s="1">
        <v>517</v>
      </c>
      <c r="C9" s="3">
        <f t="shared" si="0"/>
        <v>0.36229852838121934</v>
      </c>
    </row>
    <row r="10" spans="1:3" x14ac:dyDescent="0.3">
      <c r="A10" t="s">
        <v>17</v>
      </c>
      <c r="B10" s="1">
        <v>35</v>
      </c>
      <c r="C10" s="3">
        <f t="shared" si="0"/>
        <v>2.4526979677645409E-2</v>
      </c>
    </row>
    <row r="11" spans="1:3" x14ac:dyDescent="0.3">
      <c r="A11" t="s">
        <v>55</v>
      </c>
      <c r="B11" s="1">
        <v>21</v>
      </c>
      <c r="C11" s="3">
        <f t="shared" si="0"/>
        <v>1.4716187806587245E-2</v>
      </c>
    </row>
    <row r="12" spans="1:3" x14ac:dyDescent="0.3">
      <c r="A12" t="s">
        <v>19</v>
      </c>
      <c r="B12" s="1">
        <v>38</v>
      </c>
      <c r="C12" s="3">
        <f t="shared" si="0"/>
        <v>2.6629292221443588E-2</v>
      </c>
    </row>
    <row r="13" spans="1:3" x14ac:dyDescent="0.3">
      <c r="A13" t="s">
        <v>20</v>
      </c>
      <c r="B13" s="1">
        <v>265</v>
      </c>
      <c r="C13" s="3">
        <f t="shared" si="0"/>
        <v>0.18570427470217238</v>
      </c>
    </row>
    <row r="14" spans="1:3" x14ac:dyDescent="0.3">
      <c r="A14" t="s">
        <v>21</v>
      </c>
      <c r="B14" s="1">
        <v>161</v>
      </c>
      <c r="C14" s="3">
        <f t="shared" si="0"/>
        <v>0.11282410651716888</v>
      </c>
    </row>
    <row r="15" spans="1:3" x14ac:dyDescent="0.3">
      <c r="A15" t="s">
        <v>48</v>
      </c>
      <c r="B15" s="1">
        <v>1416</v>
      </c>
      <c r="C15" s="3">
        <f t="shared" si="0"/>
        <v>0.99229152067274007</v>
      </c>
    </row>
    <row r="16" spans="1:3" x14ac:dyDescent="0.3">
      <c r="A16" t="s">
        <v>45</v>
      </c>
      <c r="B16" s="1">
        <v>1427</v>
      </c>
      <c r="C16">
        <f t="shared" si="0"/>
        <v>1</v>
      </c>
    </row>
    <row r="17" spans="1:3" x14ac:dyDescent="0.3">
      <c r="A17" t="s">
        <v>49</v>
      </c>
      <c r="B17" s="1">
        <v>27443</v>
      </c>
    </row>
    <row r="19" spans="1:3" x14ac:dyDescent="0.3">
      <c r="B19" t="s">
        <v>51</v>
      </c>
      <c r="C19">
        <f>B16/B17</f>
        <v>5.1998688190066686E-2</v>
      </c>
    </row>
    <row r="22" spans="1:3" x14ac:dyDescent="0.3">
      <c r="A22" t="s">
        <v>1</v>
      </c>
      <c r="B22" t="s">
        <v>50</v>
      </c>
    </row>
    <row r="23" spans="1:3" x14ac:dyDescent="0.3">
      <c r="A23" t="s">
        <v>54</v>
      </c>
      <c r="B23" s="3">
        <v>1.051156271899089E-2</v>
      </c>
    </row>
    <row r="24" spans="1:3" x14ac:dyDescent="0.3">
      <c r="A24" t="s">
        <v>15</v>
      </c>
      <c r="B24" s="3">
        <v>1.1212333566923615E-2</v>
      </c>
    </row>
    <row r="25" spans="1:3" x14ac:dyDescent="0.3">
      <c r="A25" t="s">
        <v>55</v>
      </c>
      <c r="B25" s="3">
        <v>1.4716187806587245E-2</v>
      </c>
    </row>
    <row r="26" spans="1:3" x14ac:dyDescent="0.3">
      <c r="A26" t="s">
        <v>14</v>
      </c>
      <c r="B26" s="3">
        <v>2.3125437981779958E-2</v>
      </c>
    </row>
    <row r="27" spans="1:3" x14ac:dyDescent="0.3">
      <c r="A27" t="s">
        <v>17</v>
      </c>
      <c r="B27" s="3">
        <v>2.4526979677645409E-2</v>
      </c>
    </row>
    <row r="28" spans="1:3" x14ac:dyDescent="0.3">
      <c r="A28" t="s">
        <v>19</v>
      </c>
      <c r="B28" s="3">
        <v>2.6629292221443588E-2</v>
      </c>
    </row>
    <row r="29" spans="1:3" x14ac:dyDescent="0.3">
      <c r="A29" t="s">
        <v>8</v>
      </c>
      <c r="B29" s="3">
        <v>2.9432375613174491E-2</v>
      </c>
    </row>
    <row r="30" spans="1:3" x14ac:dyDescent="0.3">
      <c r="A30" t="s">
        <v>11</v>
      </c>
      <c r="B30" s="3">
        <v>4.2747021723896286E-2</v>
      </c>
    </row>
    <row r="31" spans="1:3" x14ac:dyDescent="0.3">
      <c r="A31" t="s">
        <v>53</v>
      </c>
      <c r="B31" s="3">
        <v>4.5550105115627189E-2</v>
      </c>
    </row>
    <row r="32" spans="1:3" x14ac:dyDescent="0.3">
      <c r="A32" t="s">
        <v>52</v>
      </c>
      <c r="B32" s="3">
        <v>0.1107217939733707</v>
      </c>
    </row>
    <row r="33" spans="1:2" x14ac:dyDescent="0.3">
      <c r="A33" t="s">
        <v>21</v>
      </c>
      <c r="B33" s="3">
        <v>0.11282410651716888</v>
      </c>
    </row>
    <row r="34" spans="1:2" x14ac:dyDescent="0.3">
      <c r="A34" t="s">
        <v>20</v>
      </c>
      <c r="B34" s="3">
        <v>0.18570427470217238</v>
      </c>
    </row>
    <row r="35" spans="1:2" x14ac:dyDescent="0.3">
      <c r="A35" t="s">
        <v>16</v>
      </c>
      <c r="B35" s="3">
        <v>0.36229852838121934</v>
      </c>
    </row>
  </sheetData>
  <autoFilter ref="A22:B35" xr:uid="{68DA8A21-48FB-442D-9030-6DAB45F2B72C}">
    <sortState xmlns:xlrd2="http://schemas.microsoft.com/office/spreadsheetml/2017/richdata2" ref="A23:B35">
      <sortCondition ref="B22:B35"/>
    </sortState>
  </autoFilter>
  <pageMargins left="0.7" right="0.7" top="0.75" bottom="0.75" header="0.3" footer="0.3"/>
  <pageSetup paperSize="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A9FF8-EDA2-465C-A5E1-846A07FD7681}">
  <dimension ref="A1:F33"/>
  <sheetViews>
    <sheetView topLeftCell="A12" zoomScaleNormal="100" workbookViewId="0">
      <selection activeCell="N34" sqref="N34"/>
    </sheetView>
  </sheetViews>
  <sheetFormatPr baseColWidth="10" defaultColWidth="8.6640625" defaultRowHeight="14.4" x14ac:dyDescent="0.3"/>
  <cols>
    <col min="1" max="1" width="26" style="4" customWidth="1"/>
    <col min="2" max="2" width="24" style="4" customWidth="1"/>
    <col min="3" max="3" width="22" style="4" customWidth="1"/>
    <col min="4" max="4" width="45" style="4" customWidth="1"/>
    <col min="5" max="16384" width="8.6640625" style="4"/>
  </cols>
  <sheetData>
    <row r="1" spans="1:6" ht="15" customHeight="1" x14ac:dyDescent="0.3">
      <c r="A1" s="7" t="s">
        <v>0</v>
      </c>
      <c r="B1" s="7" t="s">
        <v>1</v>
      </c>
      <c r="C1" s="7" t="s">
        <v>2</v>
      </c>
      <c r="D1" s="7" t="s">
        <v>3</v>
      </c>
      <c r="E1" s="7" t="s">
        <v>4</v>
      </c>
      <c r="F1" s="7" t="s">
        <v>31</v>
      </c>
    </row>
    <row r="2" spans="1:6" ht="15" customHeight="1" x14ac:dyDescent="0.3">
      <c r="A2" s="6">
        <v>5038</v>
      </c>
      <c r="B2" s="6" t="s">
        <v>8</v>
      </c>
      <c r="C2" s="6" t="s">
        <v>9</v>
      </c>
      <c r="D2" s="6" t="s">
        <v>10</v>
      </c>
      <c r="E2" s="6" t="s">
        <v>1</v>
      </c>
      <c r="F2" s="6">
        <v>5850</v>
      </c>
    </row>
    <row r="3" spans="1:6" ht="15" customHeight="1" x14ac:dyDescent="0.3">
      <c r="A3" s="6">
        <v>5040</v>
      </c>
      <c r="B3" s="6" t="s">
        <v>52</v>
      </c>
      <c r="C3" s="6" t="s">
        <v>47</v>
      </c>
      <c r="D3" s="6" t="s">
        <v>10</v>
      </c>
      <c r="E3" s="6" t="s">
        <v>1</v>
      </c>
      <c r="F3" s="6">
        <v>21086</v>
      </c>
    </row>
    <row r="4" spans="1:6" ht="15" customHeight="1" x14ac:dyDescent="0.3">
      <c r="A4" s="6">
        <v>5107</v>
      </c>
      <c r="B4" s="6" t="s">
        <v>11</v>
      </c>
      <c r="C4" s="6" t="s">
        <v>9</v>
      </c>
      <c r="D4" s="6" t="s">
        <v>10</v>
      </c>
      <c r="E4" s="6" t="s">
        <v>1</v>
      </c>
      <c r="F4" s="6">
        <v>14057</v>
      </c>
    </row>
    <row r="5" spans="1:6" ht="15" customHeight="1" x14ac:dyDescent="0.3">
      <c r="A5" s="6">
        <v>5134</v>
      </c>
      <c r="B5" s="6" t="s">
        <v>12</v>
      </c>
      <c r="C5" s="6" t="s">
        <v>9</v>
      </c>
      <c r="D5" s="6" t="s">
        <v>10</v>
      </c>
      <c r="E5" s="6" t="s">
        <v>1</v>
      </c>
      <c r="F5" s="6">
        <v>6770</v>
      </c>
    </row>
    <row r="6" spans="1:6" ht="15" customHeight="1" x14ac:dyDescent="0.3">
      <c r="A6" s="6">
        <v>5150</v>
      </c>
      <c r="B6" s="6" t="s">
        <v>54</v>
      </c>
      <c r="C6" s="6" t="s">
        <v>9</v>
      </c>
      <c r="D6" s="6" t="s">
        <v>10</v>
      </c>
      <c r="E6" s="6" t="s">
        <v>1</v>
      </c>
      <c r="F6" s="6">
        <v>837</v>
      </c>
    </row>
    <row r="7" spans="1:6" ht="15" customHeight="1" x14ac:dyDescent="0.3">
      <c r="A7" s="6">
        <v>5310</v>
      </c>
      <c r="B7" s="6" t="s">
        <v>15</v>
      </c>
      <c r="C7" s="6" t="s">
        <v>9</v>
      </c>
      <c r="D7" s="6" t="s">
        <v>10</v>
      </c>
      <c r="E7" s="6" t="s">
        <v>1</v>
      </c>
      <c r="F7" s="6">
        <v>1489</v>
      </c>
    </row>
    <row r="8" spans="1:6" ht="15" customHeight="1" x14ac:dyDescent="0.3">
      <c r="A8" s="6">
        <v>5315</v>
      </c>
      <c r="B8" s="6" t="s">
        <v>14</v>
      </c>
      <c r="C8" s="6" t="s">
        <v>9</v>
      </c>
      <c r="D8" s="6" t="s">
        <v>10</v>
      </c>
      <c r="E8" s="6" t="s">
        <v>1</v>
      </c>
      <c r="F8" s="6">
        <v>2571</v>
      </c>
    </row>
    <row r="9" spans="1:6" ht="15" customHeight="1" x14ac:dyDescent="0.3">
      <c r="A9" s="6">
        <v>5361</v>
      </c>
      <c r="B9" s="6" t="s">
        <v>16</v>
      </c>
      <c r="C9" s="6" t="s">
        <v>9</v>
      </c>
      <c r="D9" s="6" t="s">
        <v>10</v>
      </c>
      <c r="E9" s="6" t="s">
        <v>1</v>
      </c>
      <c r="F9" s="6">
        <v>48493</v>
      </c>
    </row>
    <row r="10" spans="1:6" ht="15" customHeight="1" x14ac:dyDescent="0.3">
      <c r="A10" s="6">
        <v>5647</v>
      </c>
      <c r="B10" s="6" t="s">
        <v>56</v>
      </c>
      <c r="C10" s="6" t="s">
        <v>9</v>
      </c>
      <c r="D10" s="6" t="s">
        <v>10</v>
      </c>
      <c r="E10" s="6" t="s">
        <v>1</v>
      </c>
      <c r="F10" s="6">
        <v>6010</v>
      </c>
    </row>
    <row r="11" spans="1:6" ht="15" customHeight="1" x14ac:dyDescent="0.3">
      <c r="A11" s="6">
        <v>5658</v>
      </c>
      <c r="B11" s="6" t="s">
        <v>55</v>
      </c>
      <c r="C11" s="6" t="s">
        <v>9</v>
      </c>
      <c r="D11" s="6" t="s">
        <v>10</v>
      </c>
      <c r="E11" s="6" t="s">
        <v>1</v>
      </c>
      <c r="F11" s="6">
        <v>1514</v>
      </c>
    </row>
    <row r="12" spans="1:6" ht="15" customHeight="1" x14ac:dyDescent="0.3">
      <c r="A12" s="6">
        <v>5819</v>
      </c>
      <c r="B12" s="6" t="s">
        <v>19</v>
      </c>
      <c r="C12" s="6" t="s">
        <v>9</v>
      </c>
      <c r="D12" s="6" t="s">
        <v>10</v>
      </c>
      <c r="E12" s="6" t="s">
        <v>1</v>
      </c>
      <c r="F12" s="6">
        <v>6033</v>
      </c>
    </row>
    <row r="13" spans="1:6" ht="15" customHeight="1" x14ac:dyDescent="0.3">
      <c r="A13" s="6">
        <v>5854</v>
      </c>
      <c r="B13" s="6" t="s">
        <v>20</v>
      </c>
      <c r="C13" s="6" t="s">
        <v>9</v>
      </c>
      <c r="D13" s="6" t="s">
        <v>10</v>
      </c>
      <c r="E13" s="6" t="s">
        <v>1</v>
      </c>
      <c r="F13" s="6">
        <v>21124</v>
      </c>
    </row>
    <row r="14" spans="1:6" ht="15" customHeight="1" x14ac:dyDescent="0.3">
      <c r="A14" s="6">
        <v>5887</v>
      </c>
      <c r="B14" s="6" t="s">
        <v>21</v>
      </c>
      <c r="C14" s="6" t="s">
        <v>9</v>
      </c>
      <c r="D14" s="6" t="s">
        <v>10</v>
      </c>
      <c r="E14" s="6" t="s">
        <v>1</v>
      </c>
      <c r="F14" s="6">
        <v>16127</v>
      </c>
    </row>
    <row r="15" spans="1:6" ht="15" customHeight="1" x14ac:dyDescent="0.3">
      <c r="A15" s="7"/>
      <c r="B15" s="7" t="s">
        <v>59</v>
      </c>
      <c r="C15" s="7" t="s">
        <v>29</v>
      </c>
      <c r="D15" s="7" t="s">
        <v>10</v>
      </c>
      <c r="E15" s="7" t="s">
        <v>57</v>
      </c>
      <c r="F15" s="7">
        <v>151961</v>
      </c>
    </row>
    <row r="18" spans="1:3" ht="15" customHeight="1" x14ac:dyDescent="0.3">
      <c r="A18" s="8" t="s">
        <v>58</v>
      </c>
    </row>
    <row r="20" spans="1:3" ht="15" customHeight="1" x14ac:dyDescent="0.3">
      <c r="A20" s="7" t="s">
        <v>1</v>
      </c>
      <c r="B20" s="7" t="s">
        <v>31</v>
      </c>
      <c r="C20" s="7" t="s">
        <v>57</v>
      </c>
    </row>
    <row r="21" spans="1:3" ht="15" customHeight="1" x14ac:dyDescent="0.3">
      <c r="A21" s="6" t="s">
        <v>54</v>
      </c>
      <c r="B21" s="5">
        <v>837</v>
      </c>
      <c r="C21" s="5">
        <v>151961</v>
      </c>
    </row>
    <row r="22" spans="1:3" ht="15" customHeight="1" x14ac:dyDescent="0.3">
      <c r="A22" s="6" t="s">
        <v>15</v>
      </c>
      <c r="B22" s="5">
        <v>1489</v>
      </c>
      <c r="C22" s="5">
        <v>151961</v>
      </c>
    </row>
    <row r="23" spans="1:3" ht="15" customHeight="1" x14ac:dyDescent="0.3">
      <c r="A23" s="6" t="s">
        <v>55</v>
      </c>
      <c r="B23" s="5">
        <v>1514</v>
      </c>
      <c r="C23" s="5">
        <v>151961</v>
      </c>
    </row>
    <row r="24" spans="1:3" ht="15" customHeight="1" x14ac:dyDescent="0.3">
      <c r="A24" s="6" t="s">
        <v>14</v>
      </c>
      <c r="B24" s="5">
        <v>2571</v>
      </c>
      <c r="C24" s="5">
        <v>151961</v>
      </c>
    </row>
    <row r="25" spans="1:3" ht="15" customHeight="1" x14ac:dyDescent="0.3">
      <c r="A25" s="6" t="s">
        <v>8</v>
      </c>
      <c r="B25" s="5">
        <v>5850</v>
      </c>
      <c r="C25" s="5">
        <v>151961</v>
      </c>
    </row>
    <row r="26" spans="1:3" ht="15" customHeight="1" x14ac:dyDescent="0.3">
      <c r="A26" s="6" t="s">
        <v>56</v>
      </c>
      <c r="B26" s="5">
        <v>6010</v>
      </c>
      <c r="C26" s="5">
        <v>151961</v>
      </c>
    </row>
    <row r="27" spans="1:3" ht="15" customHeight="1" x14ac:dyDescent="0.3">
      <c r="A27" s="6" t="s">
        <v>19</v>
      </c>
      <c r="B27" s="5">
        <v>6033</v>
      </c>
      <c r="C27" s="5">
        <v>151961</v>
      </c>
    </row>
    <row r="28" spans="1:3" ht="15" customHeight="1" x14ac:dyDescent="0.3">
      <c r="A28" s="6" t="s">
        <v>12</v>
      </c>
      <c r="B28" s="5">
        <v>6770</v>
      </c>
      <c r="C28" s="5">
        <v>151961</v>
      </c>
    </row>
    <row r="29" spans="1:3" ht="15" customHeight="1" x14ac:dyDescent="0.3">
      <c r="A29" s="6" t="s">
        <v>11</v>
      </c>
      <c r="B29" s="5">
        <v>14057</v>
      </c>
      <c r="C29" s="5">
        <v>151961</v>
      </c>
    </row>
    <row r="30" spans="1:3" ht="15" customHeight="1" x14ac:dyDescent="0.3">
      <c r="A30" s="6" t="s">
        <v>21</v>
      </c>
      <c r="B30" s="5">
        <v>16127</v>
      </c>
      <c r="C30" s="5">
        <v>151961</v>
      </c>
    </row>
    <row r="31" spans="1:3" ht="15" customHeight="1" x14ac:dyDescent="0.3">
      <c r="A31" s="6" t="s">
        <v>52</v>
      </c>
      <c r="B31" s="5">
        <v>21086</v>
      </c>
      <c r="C31" s="5">
        <v>151961</v>
      </c>
    </row>
    <row r="32" spans="1:3" ht="15" customHeight="1" x14ac:dyDescent="0.3">
      <c r="A32" s="6" t="s">
        <v>20</v>
      </c>
      <c r="B32" s="5">
        <v>21124</v>
      </c>
      <c r="C32" s="5">
        <v>151961</v>
      </c>
    </row>
    <row r="33" spans="1:3" ht="15" customHeight="1" x14ac:dyDescent="0.3">
      <c r="A33" s="6" t="s">
        <v>16</v>
      </c>
      <c r="B33" s="5">
        <v>48493</v>
      </c>
      <c r="C33" s="5">
        <v>151961</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53952-10F2-44D6-BCC0-2B3820A01988}">
  <dimension ref="A1:C40"/>
  <sheetViews>
    <sheetView tabSelected="1" zoomScaleNormal="100" workbookViewId="0">
      <selection sqref="A1:C18"/>
    </sheetView>
  </sheetViews>
  <sheetFormatPr baseColWidth="10" defaultColWidth="8.6640625" defaultRowHeight="14.4" x14ac:dyDescent="0.3"/>
  <cols>
    <col min="1" max="1" width="42" style="4" customWidth="1"/>
    <col min="2" max="2" width="30" style="4" customWidth="1"/>
    <col min="3" max="3" width="26" style="4" customWidth="1"/>
    <col min="4" max="16384" width="8.6640625" style="4"/>
  </cols>
  <sheetData>
    <row r="1" spans="1:3" x14ac:dyDescent="0.3">
      <c r="A1" s="7" t="s">
        <v>77</v>
      </c>
      <c r="B1" s="7" t="s">
        <v>80</v>
      </c>
      <c r="C1" s="7" t="s">
        <v>76</v>
      </c>
    </row>
    <row r="2" spans="1:3" x14ac:dyDescent="0.3">
      <c r="A2" s="6" t="s">
        <v>60</v>
      </c>
      <c r="B2" s="5">
        <v>131190</v>
      </c>
      <c r="C2" s="9">
        <v>0.71843203399669198</v>
      </c>
    </row>
    <row r="3" spans="1:3" x14ac:dyDescent="0.3">
      <c r="A3" s="6" t="s">
        <v>61</v>
      </c>
      <c r="B3" s="5">
        <v>19581</v>
      </c>
      <c r="C3" s="9">
        <v>0.107230868646156</v>
      </c>
    </row>
    <row r="4" spans="1:3" x14ac:dyDescent="0.3">
      <c r="A4" s="6" t="s">
        <v>62</v>
      </c>
      <c r="B4" s="5">
        <v>19131</v>
      </c>
      <c r="C4" s="9">
        <v>0.10476654655378299</v>
      </c>
    </row>
    <row r="5" spans="1:3" x14ac:dyDescent="0.3">
      <c r="A5" s="6" t="s">
        <v>63</v>
      </c>
      <c r="B5" s="5">
        <v>3212</v>
      </c>
      <c r="C5" s="9">
        <v>1.7589783468232201E-2</v>
      </c>
    </row>
    <row r="6" spans="1:3" x14ac:dyDescent="0.3">
      <c r="A6" s="6" t="s">
        <v>64</v>
      </c>
      <c r="B6" s="5">
        <v>2025</v>
      </c>
      <c r="C6" s="9">
        <v>1.10894494156819E-2</v>
      </c>
    </row>
    <row r="7" spans="1:3" x14ac:dyDescent="0.3">
      <c r="A7" s="6" t="s">
        <v>65</v>
      </c>
      <c r="B7" s="5">
        <v>1554</v>
      </c>
      <c r="C7" s="9">
        <v>8.5101256256640001E-3</v>
      </c>
    </row>
    <row r="8" spans="1:3" x14ac:dyDescent="0.3">
      <c r="A8" s="6" t="s">
        <v>66</v>
      </c>
      <c r="B8" s="5">
        <v>1531</v>
      </c>
      <c r="C8" s="9">
        <v>8.3841713853871208E-3</v>
      </c>
    </row>
    <row r="9" spans="1:3" x14ac:dyDescent="0.3">
      <c r="A9" s="6" t="s">
        <v>67</v>
      </c>
      <c r="B9" s="5">
        <v>1031</v>
      </c>
      <c r="C9" s="9">
        <v>5.6460357271940704E-3</v>
      </c>
    </row>
    <row r="10" spans="1:3" x14ac:dyDescent="0.3">
      <c r="A10" s="6" t="s">
        <v>68</v>
      </c>
      <c r="B10" s="5">
        <v>874</v>
      </c>
      <c r="C10" s="9">
        <v>4.7862611305214504E-3</v>
      </c>
    </row>
    <row r="11" spans="1:3" x14ac:dyDescent="0.3">
      <c r="A11" s="6" t="s">
        <v>69</v>
      </c>
      <c r="B11" s="5">
        <v>818</v>
      </c>
      <c r="C11" s="9">
        <v>4.4795899368038298E-3</v>
      </c>
    </row>
    <row r="12" spans="1:3" x14ac:dyDescent="0.3">
      <c r="A12" s="6" t="s">
        <v>70</v>
      </c>
      <c r="B12" s="5">
        <v>691</v>
      </c>
      <c r="C12" s="9">
        <v>3.7841034796227998E-3</v>
      </c>
    </row>
    <row r="13" spans="1:3" x14ac:dyDescent="0.3">
      <c r="A13" s="6" t="s">
        <v>71</v>
      </c>
      <c r="B13" s="5">
        <v>411</v>
      </c>
      <c r="C13" s="9">
        <v>2.2507475110346898E-3</v>
      </c>
    </row>
    <row r="14" spans="1:3" x14ac:dyDescent="0.3">
      <c r="A14" s="6" t="s">
        <v>72</v>
      </c>
      <c r="B14" s="5">
        <v>226</v>
      </c>
      <c r="C14" s="9">
        <v>1.23763731750326E-3</v>
      </c>
    </row>
    <row r="15" spans="1:3" x14ac:dyDescent="0.3">
      <c r="A15" s="6" t="s">
        <v>73</v>
      </c>
      <c r="B15" s="5">
        <v>196</v>
      </c>
      <c r="C15" s="9">
        <v>1.07334917801168E-3</v>
      </c>
    </row>
    <row r="16" spans="1:3" x14ac:dyDescent="0.3">
      <c r="A16" s="6" t="s">
        <v>74</v>
      </c>
      <c r="B16" s="5">
        <v>118</v>
      </c>
      <c r="C16" s="9">
        <v>6.4620001533356004E-4</v>
      </c>
    </row>
    <row r="17" spans="1:3" x14ac:dyDescent="0.3">
      <c r="A17" s="6" t="s">
        <v>75</v>
      </c>
      <c r="B17" s="5">
        <v>17</v>
      </c>
      <c r="C17" s="9">
        <v>9.3096612378563702E-5</v>
      </c>
    </row>
    <row r="18" spans="1:3" x14ac:dyDescent="0.3">
      <c r="A18" s="7" t="s">
        <v>79</v>
      </c>
      <c r="B18" s="11">
        <v>182606</v>
      </c>
      <c r="C18" s="10">
        <v>1</v>
      </c>
    </row>
    <row r="21" spans="1:3" x14ac:dyDescent="0.3">
      <c r="A21" s="8" t="s">
        <v>78</v>
      </c>
    </row>
    <row r="24" spans="1:3" x14ac:dyDescent="0.3">
      <c r="A24" s="7" t="s">
        <v>77</v>
      </c>
      <c r="B24" s="7" t="s">
        <v>76</v>
      </c>
    </row>
    <row r="25" spans="1:3" x14ac:dyDescent="0.3">
      <c r="A25" s="6" t="s">
        <v>75</v>
      </c>
      <c r="B25" s="9">
        <v>9.3096612378563702E-5</v>
      </c>
    </row>
    <row r="26" spans="1:3" x14ac:dyDescent="0.3">
      <c r="A26" s="6" t="s">
        <v>74</v>
      </c>
      <c r="B26" s="9">
        <v>6.4620001533356004E-4</v>
      </c>
    </row>
    <row r="27" spans="1:3" x14ac:dyDescent="0.3">
      <c r="A27" s="6" t="s">
        <v>73</v>
      </c>
      <c r="B27" s="9">
        <v>1.07334917801168E-3</v>
      </c>
    </row>
    <row r="28" spans="1:3" x14ac:dyDescent="0.3">
      <c r="A28" s="6" t="s">
        <v>72</v>
      </c>
      <c r="B28" s="9">
        <v>1.23763731750326E-3</v>
      </c>
    </row>
    <row r="29" spans="1:3" x14ac:dyDescent="0.3">
      <c r="A29" s="6" t="s">
        <v>71</v>
      </c>
      <c r="B29" s="9">
        <v>2.2507475110346898E-3</v>
      </c>
    </row>
    <row r="30" spans="1:3" x14ac:dyDescent="0.3">
      <c r="A30" s="6" t="s">
        <v>70</v>
      </c>
      <c r="B30" s="9">
        <v>3.7841034796227998E-3</v>
      </c>
    </row>
    <row r="31" spans="1:3" x14ac:dyDescent="0.3">
      <c r="A31" s="6" t="s">
        <v>69</v>
      </c>
      <c r="B31" s="9">
        <v>4.4795899368038298E-3</v>
      </c>
    </row>
    <row r="32" spans="1:3" x14ac:dyDescent="0.3">
      <c r="A32" s="6" t="s">
        <v>68</v>
      </c>
      <c r="B32" s="9">
        <v>4.7862611305214504E-3</v>
      </c>
    </row>
    <row r="33" spans="1:2" x14ac:dyDescent="0.3">
      <c r="A33" s="6" t="s">
        <v>67</v>
      </c>
      <c r="B33" s="9">
        <v>5.6460357271940704E-3</v>
      </c>
    </row>
    <row r="34" spans="1:2" x14ac:dyDescent="0.3">
      <c r="A34" s="6" t="s">
        <v>66</v>
      </c>
      <c r="B34" s="9">
        <v>8.3841713853871208E-3</v>
      </c>
    </row>
    <row r="35" spans="1:2" x14ac:dyDescent="0.3">
      <c r="A35" s="6" t="s">
        <v>65</v>
      </c>
      <c r="B35" s="9">
        <v>8.5101256256640001E-3</v>
      </c>
    </row>
    <row r="36" spans="1:2" x14ac:dyDescent="0.3">
      <c r="A36" s="6" t="s">
        <v>64</v>
      </c>
      <c r="B36" s="9">
        <v>1.10894494156819E-2</v>
      </c>
    </row>
    <row r="37" spans="1:2" x14ac:dyDescent="0.3">
      <c r="A37" s="6" t="s">
        <v>63</v>
      </c>
      <c r="B37" s="9">
        <v>1.7589783468232201E-2</v>
      </c>
    </row>
    <row r="38" spans="1:2" x14ac:dyDescent="0.3">
      <c r="A38" s="6" t="s">
        <v>62</v>
      </c>
      <c r="B38" s="9">
        <v>0.10476654655378299</v>
      </c>
    </row>
    <row r="39" spans="1:2" x14ac:dyDescent="0.3">
      <c r="A39" s="6" t="s">
        <v>61</v>
      </c>
      <c r="B39" s="9">
        <v>0.107230868646156</v>
      </c>
    </row>
    <row r="40" spans="1:2" x14ac:dyDescent="0.3">
      <c r="A40" s="6" t="s">
        <v>60</v>
      </c>
      <c r="B40" s="9">
        <v>0.71843203399669198</v>
      </c>
    </row>
  </sheetData>
  <pageMargins left="0.75" right="0.75" top="1" bottom="1" header="0.511811023622047" footer="0.511811023622047"/>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restitucion_tierras</vt:lpstr>
      <vt:lpstr>total_victimas_ocurrencia</vt:lpstr>
      <vt:lpstr>desaparecidos</vt:lpstr>
      <vt:lpstr>Total victimas (crudo)</vt:lpstr>
      <vt:lpstr>Composicion por hecho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Peña</dc:creator>
  <cp:lastModifiedBy>Laura Peña Agualimpia</cp:lastModifiedBy>
  <dcterms:created xsi:type="dcterms:W3CDTF">2015-06-05T18:19:34Z</dcterms:created>
  <dcterms:modified xsi:type="dcterms:W3CDTF">2026-07-06T15:10:20Z</dcterms:modified>
</cp:coreProperties>
</file>
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9"/>
  <workbookPr filterPrivacy="1"/>
  <xr:revisionPtr revIDLastSave="93" documentId="13_ncr:1_{9D507948-DE73-463A-9450-E81B6B75B883}" xr6:coauthVersionLast="47" xr6:coauthVersionMax="47" xr10:uidLastSave="{371C1221-5465-C643-9743-65782C21FBA7}"/>
  <bookViews>
    <workbookView xWindow="36160" yWindow="2940" windowWidth="27140" windowHeight="18260" tabRatio="920" firstSheet="3" activeTab="5" xr2:uid="{00000000-000D-0000-FFFF-FFFF00000000}"/>
  </bookViews>
  <sheets>
    <sheet name="INDICE" sheetId="9" r:id="rId1"/>
    <sheet name="PIB-MPAL CORRRIENTES ANUAL" sheetId="3" r:id="rId2"/>
    <sheet name="PIB-MPAL CONSTANTES ANUAL" sheetId="5" r:id="rId3"/>
    <sheet name="SUBREGIONAL CORRRIENTES ANUAL" sheetId="6" r:id="rId4"/>
    <sheet name="Ficha Municipal" sheetId="7" r:id="rId5"/>
    <sheet name="PIB-Mpal 2015-2022 Corrient " sheetId="1" r:id="rId6"/>
    <sheet name="PIB Mpal 2015-2022 Cons" sheetId="2" r:id="rId7"/>
    <sheet name="PIB_DEPTAL_DANE" sheetId="4" r:id="rId8"/>
    <sheet name="POBLACION" sheetId="8" r:id="rId9"/>
  </sheets>
  <definedNames>
    <definedName name="_xlnm._FilterDatabase" localSheetId="6" hidden="1">'PIB Mpal 2015-2022 Cons'!$A$4:$Y$1012</definedName>
    <definedName name="_xlnm._FilterDatabase" localSheetId="5" hidden="1">'PIB-Mpal 2015-2022 Corrient '!$A$4:$Y$1012</definedName>
    <definedName name="_xlnm._FilterDatabase" localSheetId="2" hidden="1">'PIB-MPAL CONSTANTES ANUAL'!$A$4:$V$151</definedName>
    <definedName name="_xlnm._FilterDatabase" localSheetId="1" hidden="1">'PIB-MPAL CORRRIENTES ANUAL'!$A$4:$V$151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8" i="3" l="1"/>
  <c r="A104" i="7"/>
  <c r="C24" i="7"/>
  <c r="D24" i="7"/>
  <c r="E24" i="7"/>
  <c r="F24" i="7"/>
  <c r="G24" i="7"/>
  <c r="H24" i="7"/>
  <c r="I24" i="7"/>
  <c r="B24" i="7"/>
  <c r="V1" i="7"/>
  <c r="U1" i="7"/>
  <c r="T1" i="7"/>
  <c r="S1" i="7"/>
  <c r="R1" i="7"/>
  <c r="Q1" i="7"/>
  <c r="P1" i="7"/>
  <c r="O1" i="7"/>
  <c r="L1" i="7"/>
  <c r="K1" i="7"/>
  <c r="J1" i="7"/>
  <c r="I1" i="7"/>
  <c r="H32" i="7" l="1"/>
  <c r="G32" i="7"/>
  <c r="C8" i="7"/>
  <c r="D8" i="7"/>
  <c r="E8" i="7"/>
  <c r="F8" i="7"/>
  <c r="G8" i="7"/>
  <c r="H8" i="7"/>
  <c r="I8" i="7"/>
  <c r="B8" i="7"/>
  <c r="AA1" i="6"/>
  <c r="Y1" i="6"/>
  <c r="X1" i="6"/>
  <c r="A52" i="6"/>
  <c r="A34" i="6"/>
  <c r="A18" i="6"/>
  <c r="T13" i="6"/>
  <c r="S13" i="6"/>
  <c r="R13" i="6"/>
  <c r="Q13" i="6"/>
  <c r="P13" i="6"/>
  <c r="O13" i="6"/>
  <c r="N13" i="6"/>
  <c r="M13" i="6"/>
  <c r="L13" i="6"/>
  <c r="K13" i="6"/>
  <c r="J13" i="6"/>
  <c r="I13" i="6"/>
  <c r="H13" i="6"/>
  <c r="G13" i="6"/>
  <c r="F13" i="6"/>
  <c r="E13" i="6"/>
  <c r="D13" i="6"/>
  <c r="C13" i="6"/>
  <c r="T12" i="6"/>
  <c r="S12" i="6"/>
  <c r="R12" i="6"/>
  <c r="Q12" i="6"/>
  <c r="P12" i="6"/>
  <c r="O12" i="6"/>
  <c r="N12" i="6"/>
  <c r="M12" i="6"/>
  <c r="L12" i="6"/>
  <c r="K12" i="6"/>
  <c r="J12" i="6"/>
  <c r="I12" i="6"/>
  <c r="H12" i="6"/>
  <c r="G12" i="6"/>
  <c r="F12" i="6"/>
  <c r="E12" i="6"/>
  <c r="D12" i="6"/>
  <c r="C12" i="6"/>
  <c r="T11" i="6"/>
  <c r="S11" i="6"/>
  <c r="R11" i="6"/>
  <c r="Q11" i="6"/>
  <c r="P11" i="6"/>
  <c r="O11" i="6"/>
  <c r="N11" i="6"/>
  <c r="M11" i="6"/>
  <c r="L11" i="6"/>
  <c r="K11" i="6"/>
  <c r="J11" i="6"/>
  <c r="I11" i="6"/>
  <c r="H11" i="6"/>
  <c r="G11" i="6"/>
  <c r="F11" i="6"/>
  <c r="E11" i="6"/>
  <c r="D11" i="6"/>
  <c r="C11" i="6"/>
  <c r="T10" i="6"/>
  <c r="S10" i="6"/>
  <c r="R10" i="6"/>
  <c r="Q10" i="6"/>
  <c r="P10" i="6"/>
  <c r="O10" i="6"/>
  <c r="N10" i="6"/>
  <c r="M10" i="6"/>
  <c r="L10" i="6"/>
  <c r="K10" i="6"/>
  <c r="J10" i="6"/>
  <c r="I10" i="6"/>
  <c r="H10" i="6"/>
  <c r="G10" i="6"/>
  <c r="F10" i="6"/>
  <c r="E10" i="6"/>
  <c r="D10" i="6"/>
  <c r="C10" i="6"/>
  <c r="T9" i="6"/>
  <c r="S9" i="6"/>
  <c r="R9" i="6"/>
  <c r="Q9" i="6"/>
  <c r="P9" i="6"/>
  <c r="O9" i="6"/>
  <c r="N9" i="6"/>
  <c r="M9" i="6"/>
  <c r="L9" i="6"/>
  <c r="K9" i="6"/>
  <c r="J9" i="6"/>
  <c r="I9" i="6"/>
  <c r="H9" i="6"/>
  <c r="G9" i="6"/>
  <c r="F9" i="6"/>
  <c r="E9" i="6"/>
  <c r="D9" i="6"/>
  <c r="C9" i="6"/>
  <c r="T8" i="6"/>
  <c r="S8" i="6"/>
  <c r="R8" i="6"/>
  <c r="Q8" i="6"/>
  <c r="P8" i="6"/>
  <c r="O8" i="6"/>
  <c r="N8" i="6"/>
  <c r="M8" i="6"/>
  <c r="L8" i="6"/>
  <c r="K8" i="6"/>
  <c r="J8" i="6"/>
  <c r="I8" i="6"/>
  <c r="H8" i="6"/>
  <c r="G8" i="6"/>
  <c r="F8" i="6"/>
  <c r="E8" i="6"/>
  <c r="D8" i="6"/>
  <c r="C8" i="6"/>
  <c r="T7" i="6"/>
  <c r="S7" i="6"/>
  <c r="R7" i="6"/>
  <c r="Q7" i="6"/>
  <c r="P7" i="6"/>
  <c r="O7" i="6"/>
  <c r="N7" i="6"/>
  <c r="M7" i="6"/>
  <c r="L7" i="6"/>
  <c r="K7" i="6"/>
  <c r="J7" i="6"/>
  <c r="I7" i="6"/>
  <c r="H7" i="6"/>
  <c r="G7" i="6"/>
  <c r="F7" i="6"/>
  <c r="E7" i="6"/>
  <c r="D7" i="6"/>
  <c r="C7" i="6"/>
  <c r="T6" i="6"/>
  <c r="S6" i="6"/>
  <c r="R6" i="6"/>
  <c r="Q6" i="6"/>
  <c r="P6" i="6"/>
  <c r="O6" i="6"/>
  <c r="N6" i="6"/>
  <c r="M6" i="6"/>
  <c r="L6" i="6"/>
  <c r="K6" i="6"/>
  <c r="J6" i="6"/>
  <c r="I6" i="6"/>
  <c r="H6" i="6"/>
  <c r="G6" i="6"/>
  <c r="F6" i="6"/>
  <c r="E6" i="6"/>
  <c r="D6" i="6"/>
  <c r="C6" i="6"/>
  <c r="T5" i="6"/>
  <c r="S5" i="6"/>
  <c r="R5" i="6"/>
  <c r="Q5" i="6"/>
  <c r="P5" i="6"/>
  <c r="O5" i="6"/>
  <c r="N5" i="6"/>
  <c r="M5" i="6"/>
  <c r="L5" i="6"/>
  <c r="K5" i="6"/>
  <c r="J5" i="6"/>
  <c r="I5" i="6"/>
  <c r="H5" i="6"/>
  <c r="G5" i="6"/>
  <c r="F5" i="6"/>
  <c r="E5" i="6"/>
  <c r="D5" i="6"/>
  <c r="C5" i="6"/>
  <c r="A2" i="6"/>
  <c r="A2" i="5"/>
  <c r="A2" i="3"/>
  <c r="V139" i="5"/>
  <c r="U139" i="5"/>
  <c r="T139" i="5"/>
  <c r="S139" i="5"/>
  <c r="R139" i="5"/>
  <c r="Q139" i="5"/>
  <c r="P139" i="5"/>
  <c r="O139" i="5"/>
  <c r="N139" i="5"/>
  <c r="M139" i="5"/>
  <c r="L139" i="5"/>
  <c r="K139" i="5"/>
  <c r="J139" i="5"/>
  <c r="I139" i="5"/>
  <c r="H139" i="5"/>
  <c r="G139" i="5"/>
  <c r="F139" i="5"/>
  <c r="E139" i="5"/>
  <c r="V138" i="5"/>
  <c r="U138" i="5"/>
  <c r="T138" i="5"/>
  <c r="S138" i="5"/>
  <c r="R138" i="5"/>
  <c r="Q138" i="5"/>
  <c r="P138" i="5"/>
  <c r="O138" i="5"/>
  <c r="N138" i="5"/>
  <c r="M138" i="5"/>
  <c r="L138" i="5"/>
  <c r="K138" i="5"/>
  <c r="J138" i="5"/>
  <c r="I138" i="5"/>
  <c r="H138" i="5"/>
  <c r="G138" i="5"/>
  <c r="F138" i="5"/>
  <c r="E138" i="5"/>
  <c r="V137" i="5"/>
  <c r="U137" i="5"/>
  <c r="T137" i="5"/>
  <c r="S137" i="5"/>
  <c r="R137" i="5"/>
  <c r="Q137" i="5"/>
  <c r="P137" i="5"/>
  <c r="O137" i="5"/>
  <c r="N137" i="5"/>
  <c r="M137" i="5"/>
  <c r="L137" i="5"/>
  <c r="K137" i="5"/>
  <c r="J137" i="5"/>
  <c r="I137" i="5"/>
  <c r="H137" i="5"/>
  <c r="G137" i="5"/>
  <c r="F137" i="5"/>
  <c r="E137" i="5"/>
  <c r="V136" i="5"/>
  <c r="U136" i="5"/>
  <c r="T136" i="5"/>
  <c r="S136" i="5"/>
  <c r="R136" i="5"/>
  <c r="Q136" i="5"/>
  <c r="P136" i="5"/>
  <c r="O136" i="5"/>
  <c r="N136" i="5"/>
  <c r="M136" i="5"/>
  <c r="L136" i="5"/>
  <c r="K136" i="5"/>
  <c r="J136" i="5"/>
  <c r="I136" i="5"/>
  <c r="H136" i="5"/>
  <c r="G136" i="5"/>
  <c r="F136" i="5"/>
  <c r="E136" i="5"/>
  <c r="V135" i="5"/>
  <c r="U135" i="5"/>
  <c r="T135" i="5"/>
  <c r="S135" i="5"/>
  <c r="R135" i="5"/>
  <c r="Q135" i="5"/>
  <c r="P135" i="5"/>
  <c r="O135" i="5"/>
  <c r="N135" i="5"/>
  <c r="M135" i="5"/>
  <c r="L135" i="5"/>
  <c r="K135" i="5"/>
  <c r="J135" i="5"/>
  <c r="I135" i="5"/>
  <c r="H135" i="5"/>
  <c r="G135" i="5"/>
  <c r="F135" i="5"/>
  <c r="E135" i="5"/>
  <c r="V134" i="5"/>
  <c r="U134" i="5"/>
  <c r="T134" i="5"/>
  <c r="S134" i="5"/>
  <c r="R134" i="5"/>
  <c r="Q134" i="5"/>
  <c r="P134" i="5"/>
  <c r="O134" i="5"/>
  <c r="N134" i="5"/>
  <c r="M134" i="5"/>
  <c r="L134" i="5"/>
  <c r="K134" i="5"/>
  <c r="J134" i="5"/>
  <c r="I134" i="5"/>
  <c r="H134" i="5"/>
  <c r="G134" i="5"/>
  <c r="F134" i="5"/>
  <c r="E134" i="5"/>
  <c r="V133" i="5"/>
  <c r="U133" i="5"/>
  <c r="T133" i="5"/>
  <c r="S133" i="5"/>
  <c r="R133" i="5"/>
  <c r="Q133" i="5"/>
  <c r="P133" i="5"/>
  <c r="O133" i="5"/>
  <c r="N133" i="5"/>
  <c r="M133" i="5"/>
  <c r="L133" i="5"/>
  <c r="K133" i="5"/>
  <c r="J133" i="5"/>
  <c r="I133" i="5"/>
  <c r="H133" i="5"/>
  <c r="G133" i="5"/>
  <c r="F133" i="5"/>
  <c r="E133" i="5"/>
  <c r="V132" i="5"/>
  <c r="U132" i="5"/>
  <c r="T132" i="5"/>
  <c r="S132" i="5"/>
  <c r="R132" i="5"/>
  <c r="Q132" i="5"/>
  <c r="P132" i="5"/>
  <c r="O132" i="5"/>
  <c r="N132" i="5"/>
  <c r="M132" i="5"/>
  <c r="L132" i="5"/>
  <c r="K132" i="5"/>
  <c r="J132" i="5"/>
  <c r="I132" i="5"/>
  <c r="H132" i="5"/>
  <c r="G132" i="5"/>
  <c r="F132" i="5"/>
  <c r="E132" i="5"/>
  <c r="V131" i="5"/>
  <c r="U131" i="5"/>
  <c r="T131" i="5"/>
  <c r="S131" i="5"/>
  <c r="R131" i="5"/>
  <c r="Q131" i="5"/>
  <c r="P131" i="5"/>
  <c r="O131" i="5"/>
  <c r="N131" i="5"/>
  <c r="M131" i="5"/>
  <c r="L131" i="5"/>
  <c r="K131" i="5"/>
  <c r="J131" i="5"/>
  <c r="I131" i="5"/>
  <c r="H131" i="5"/>
  <c r="G131" i="5"/>
  <c r="F131" i="5"/>
  <c r="E131" i="5"/>
  <c r="V130" i="5"/>
  <c r="U130" i="5"/>
  <c r="T130" i="5"/>
  <c r="S130" i="5"/>
  <c r="R130" i="5"/>
  <c r="Q130" i="5"/>
  <c r="P130" i="5"/>
  <c r="O130" i="5"/>
  <c r="N130" i="5"/>
  <c r="M130" i="5"/>
  <c r="L130" i="5"/>
  <c r="K130" i="5"/>
  <c r="J130" i="5"/>
  <c r="I130" i="5"/>
  <c r="H130" i="5"/>
  <c r="G130" i="5"/>
  <c r="F130" i="5"/>
  <c r="E130" i="5"/>
  <c r="V129" i="5"/>
  <c r="U129" i="5"/>
  <c r="T129" i="5"/>
  <c r="S129" i="5"/>
  <c r="R129" i="5"/>
  <c r="Q129" i="5"/>
  <c r="P129" i="5"/>
  <c r="O129" i="5"/>
  <c r="N129" i="5"/>
  <c r="M129" i="5"/>
  <c r="L129" i="5"/>
  <c r="K129" i="5"/>
  <c r="J129" i="5"/>
  <c r="I129" i="5"/>
  <c r="H129" i="5"/>
  <c r="G129" i="5"/>
  <c r="F129" i="5"/>
  <c r="E129" i="5"/>
  <c r="V127" i="5"/>
  <c r="U127" i="5"/>
  <c r="T127" i="5"/>
  <c r="S127" i="5"/>
  <c r="R127" i="5"/>
  <c r="Q127" i="5"/>
  <c r="P127" i="5"/>
  <c r="O127" i="5"/>
  <c r="N127" i="5"/>
  <c r="M127" i="5"/>
  <c r="L127" i="5"/>
  <c r="K127" i="5"/>
  <c r="J127" i="5"/>
  <c r="I127" i="5"/>
  <c r="H127" i="5"/>
  <c r="G127" i="5"/>
  <c r="F127" i="5"/>
  <c r="E127" i="5"/>
  <c r="V126" i="5"/>
  <c r="U126" i="5"/>
  <c r="T126" i="5"/>
  <c r="S126" i="5"/>
  <c r="R126" i="5"/>
  <c r="Q126" i="5"/>
  <c r="P126" i="5"/>
  <c r="O126" i="5"/>
  <c r="N126" i="5"/>
  <c r="M126" i="5"/>
  <c r="L126" i="5"/>
  <c r="K126" i="5"/>
  <c r="J126" i="5"/>
  <c r="I126" i="5"/>
  <c r="H126" i="5"/>
  <c r="G126" i="5"/>
  <c r="F126" i="5"/>
  <c r="E126" i="5"/>
  <c r="V125" i="5"/>
  <c r="U125" i="5"/>
  <c r="T125" i="5"/>
  <c r="S125" i="5"/>
  <c r="R125" i="5"/>
  <c r="Q125" i="5"/>
  <c r="P125" i="5"/>
  <c r="O125" i="5"/>
  <c r="N125" i="5"/>
  <c r="M125" i="5"/>
  <c r="L125" i="5"/>
  <c r="K125" i="5"/>
  <c r="J125" i="5"/>
  <c r="I125" i="5"/>
  <c r="H125" i="5"/>
  <c r="G125" i="5"/>
  <c r="F125" i="5"/>
  <c r="E125" i="5"/>
  <c r="V124" i="5"/>
  <c r="U124" i="5"/>
  <c r="T124" i="5"/>
  <c r="S124" i="5"/>
  <c r="R124" i="5"/>
  <c r="Q124" i="5"/>
  <c r="P124" i="5"/>
  <c r="O124" i="5"/>
  <c r="N124" i="5"/>
  <c r="M124" i="5"/>
  <c r="L124" i="5"/>
  <c r="K124" i="5"/>
  <c r="J124" i="5"/>
  <c r="I124" i="5"/>
  <c r="H124" i="5"/>
  <c r="G124" i="5"/>
  <c r="F124" i="5"/>
  <c r="E124" i="5"/>
  <c r="V123" i="5"/>
  <c r="U123" i="5"/>
  <c r="T123" i="5"/>
  <c r="S123" i="5"/>
  <c r="R123" i="5"/>
  <c r="Q123" i="5"/>
  <c r="P123" i="5"/>
  <c r="O123" i="5"/>
  <c r="N123" i="5"/>
  <c r="M123" i="5"/>
  <c r="L123" i="5"/>
  <c r="K123" i="5"/>
  <c r="J123" i="5"/>
  <c r="I123" i="5"/>
  <c r="H123" i="5"/>
  <c r="G123" i="5"/>
  <c r="F123" i="5"/>
  <c r="E123" i="5"/>
  <c r="V122" i="5"/>
  <c r="U122" i="5"/>
  <c r="T122" i="5"/>
  <c r="S122" i="5"/>
  <c r="R122" i="5"/>
  <c r="Q122" i="5"/>
  <c r="P122" i="5"/>
  <c r="O122" i="5"/>
  <c r="N122" i="5"/>
  <c r="M122" i="5"/>
  <c r="L122" i="5"/>
  <c r="K122" i="5"/>
  <c r="J122" i="5"/>
  <c r="I122" i="5"/>
  <c r="H122" i="5"/>
  <c r="G122" i="5"/>
  <c r="F122" i="5"/>
  <c r="E122" i="5"/>
  <c r="V121" i="5"/>
  <c r="U121" i="5"/>
  <c r="T121" i="5"/>
  <c r="S121" i="5"/>
  <c r="R121" i="5"/>
  <c r="Q121" i="5"/>
  <c r="P121" i="5"/>
  <c r="O121" i="5"/>
  <c r="N121" i="5"/>
  <c r="M121" i="5"/>
  <c r="L121" i="5"/>
  <c r="K121" i="5"/>
  <c r="J121" i="5"/>
  <c r="I121" i="5"/>
  <c r="H121" i="5"/>
  <c r="G121" i="5"/>
  <c r="F121" i="5"/>
  <c r="E121" i="5"/>
  <c r="V120" i="5"/>
  <c r="U120" i="5"/>
  <c r="T120" i="5"/>
  <c r="S120" i="5"/>
  <c r="R120" i="5"/>
  <c r="Q120" i="5"/>
  <c r="P120" i="5"/>
  <c r="O120" i="5"/>
  <c r="N120" i="5"/>
  <c r="M120" i="5"/>
  <c r="L120" i="5"/>
  <c r="K120" i="5"/>
  <c r="J120" i="5"/>
  <c r="I120" i="5"/>
  <c r="H120" i="5"/>
  <c r="G120" i="5"/>
  <c r="F120" i="5"/>
  <c r="E120" i="5"/>
  <c r="V119" i="5"/>
  <c r="U119" i="5"/>
  <c r="T119" i="5"/>
  <c r="S119" i="5"/>
  <c r="R119" i="5"/>
  <c r="Q119" i="5"/>
  <c r="P119" i="5"/>
  <c r="O119" i="5"/>
  <c r="N119" i="5"/>
  <c r="M119" i="5"/>
  <c r="L119" i="5"/>
  <c r="K119" i="5"/>
  <c r="J119" i="5"/>
  <c r="I119" i="5"/>
  <c r="H119" i="5"/>
  <c r="G119" i="5"/>
  <c r="F119" i="5"/>
  <c r="E119" i="5"/>
  <c r="V118" i="5"/>
  <c r="U118" i="5"/>
  <c r="T118" i="5"/>
  <c r="S118" i="5"/>
  <c r="R118" i="5"/>
  <c r="Q118" i="5"/>
  <c r="P118" i="5"/>
  <c r="O118" i="5"/>
  <c r="N118" i="5"/>
  <c r="M118" i="5"/>
  <c r="L118" i="5"/>
  <c r="K118" i="5"/>
  <c r="J118" i="5"/>
  <c r="I118" i="5"/>
  <c r="H118" i="5"/>
  <c r="G118" i="5"/>
  <c r="F118" i="5"/>
  <c r="E118" i="5"/>
  <c r="V117" i="5"/>
  <c r="U117" i="5"/>
  <c r="T117" i="5"/>
  <c r="S117" i="5"/>
  <c r="R117" i="5"/>
  <c r="Q117" i="5"/>
  <c r="P117" i="5"/>
  <c r="O117" i="5"/>
  <c r="N117" i="5"/>
  <c r="M117" i="5"/>
  <c r="L117" i="5"/>
  <c r="K117" i="5"/>
  <c r="J117" i="5"/>
  <c r="I117" i="5"/>
  <c r="H117" i="5"/>
  <c r="G117" i="5"/>
  <c r="F117" i="5"/>
  <c r="E117" i="5"/>
  <c r="V116" i="5"/>
  <c r="U116" i="5"/>
  <c r="T116" i="5"/>
  <c r="S116" i="5"/>
  <c r="R116" i="5"/>
  <c r="Q116" i="5"/>
  <c r="P116" i="5"/>
  <c r="O116" i="5"/>
  <c r="N116" i="5"/>
  <c r="M116" i="5"/>
  <c r="L116" i="5"/>
  <c r="K116" i="5"/>
  <c r="J116" i="5"/>
  <c r="I116" i="5"/>
  <c r="H116" i="5"/>
  <c r="G116" i="5"/>
  <c r="F116" i="5"/>
  <c r="E116" i="5"/>
  <c r="V115" i="5"/>
  <c r="U115" i="5"/>
  <c r="T115" i="5"/>
  <c r="S115" i="5"/>
  <c r="R115" i="5"/>
  <c r="Q115" i="5"/>
  <c r="P115" i="5"/>
  <c r="O115" i="5"/>
  <c r="N115" i="5"/>
  <c r="M115" i="5"/>
  <c r="L115" i="5"/>
  <c r="K115" i="5"/>
  <c r="J115" i="5"/>
  <c r="I115" i="5"/>
  <c r="H115" i="5"/>
  <c r="G115" i="5"/>
  <c r="F115" i="5"/>
  <c r="E115" i="5"/>
  <c r="V114" i="5"/>
  <c r="U114" i="5"/>
  <c r="T114" i="5"/>
  <c r="S114" i="5"/>
  <c r="R114" i="5"/>
  <c r="Q114" i="5"/>
  <c r="P114" i="5"/>
  <c r="O114" i="5"/>
  <c r="N114" i="5"/>
  <c r="M114" i="5"/>
  <c r="L114" i="5"/>
  <c r="K114" i="5"/>
  <c r="J114" i="5"/>
  <c r="I114" i="5"/>
  <c r="H114" i="5"/>
  <c r="G114" i="5"/>
  <c r="F114" i="5"/>
  <c r="E114" i="5"/>
  <c r="V113" i="5"/>
  <c r="U113" i="5"/>
  <c r="T113" i="5"/>
  <c r="S113" i="5"/>
  <c r="R113" i="5"/>
  <c r="Q113" i="5"/>
  <c r="P113" i="5"/>
  <c r="O113" i="5"/>
  <c r="N113" i="5"/>
  <c r="M113" i="5"/>
  <c r="L113" i="5"/>
  <c r="K113" i="5"/>
  <c r="J113" i="5"/>
  <c r="I113" i="5"/>
  <c r="H113" i="5"/>
  <c r="G113" i="5"/>
  <c r="F113" i="5"/>
  <c r="E113" i="5"/>
  <c r="V112" i="5"/>
  <c r="U112" i="5"/>
  <c r="T112" i="5"/>
  <c r="S112" i="5"/>
  <c r="R112" i="5"/>
  <c r="Q112" i="5"/>
  <c r="P112" i="5"/>
  <c r="O112" i="5"/>
  <c r="N112" i="5"/>
  <c r="M112" i="5"/>
  <c r="L112" i="5"/>
  <c r="K112" i="5"/>
  <c r="J112" i="5"/>
  <c r="I112" i="5"/>
  <c r="H112" i="5"/>
  <c r="G112" i="5"/>
  <c r="F112" i="5"/>
  <c r="E112" i="5"/>
  <c r="V111" i="5"/>
  <c r="U111" i="5"/>
  <c r="T111" i="5"/>
  <c r="S111" i="5"/>
  <c r="R111" i="5"/>
  <c r="Q111" i="5"/>
  <c r="P111" i="5"/>
  <c r="O111" i="5"/>
  <c r="N111" i="5"/>
  <c r="M111" i="5"/>
  <c r="L111" i="5"/>
  <c r="K111" i="5"/>
  <c r="J111" i="5"/>
  <c r="I111" i="5"/>
  <c r="H111" i="5"/>
  <c r="G111" i="5"/>
  <c r="F111" i="5"/>
  <c r="E111" i="5"/>
  <c r="V110" i="5"/>
  <c r="U110" i="5"/>
  <c r="T110" i="5"/>
  <c r="S110" i="5"/>
  <c r="R110" i="5"/>
  <c r="Q110" i="5"/>
  <c r="P110" i="5"/>
  <c r="O110" i="5"/>
  <c r="N110" i="5"/>
  <c r="M110" i="5"/>
  <c r="L110" i="5"/>
  <c r="K110" i="5"/>
  <c r="J110" i="5"/>
  <c r="I110" i="5"/>
  <c r="H110" i="5"/>
  <c r="G110" i="5"/>
  <c r="F110" i="5"/>
  <c r="E110" i="5"/>
  <c r="V109" i="5"/>
  <c r="U109" i="5"/>
  <c r="T109" i="5"/>
  <c r="S109" i="5"/>
  <c r="R109" i="5"/>
  <c r="Q109" i="5"/>
  <c r="P109" i="5"/>
  <c r="O109" i="5"/>
  <c r="N109" i="5"/>
  <c r="M109" i="5"/>
  <c r="L109" i="5"/>
  <c r="K109" i="5"/>
  <c r="J109" i="5"/>
  <c r="I109" i="5"/>
  <c r="H109" i="5"/>
  <c r="G109" i="5"/>
  <c r="F109" i="5"/>
  <c r="E109" i="5"/>
  <c r="V108" i="5"/>
  <c r="U108" i="5"/>
  <c r="T108" i="5"/>
  <c r="S108" i="5"/>
  <c r="R108" i="5"/>
  <c r="Q108" i="5"/>
  <c r="P108" i="5"/>
  <c r="O108" i="5"/>
  <c r="N108" i="5"/>
  <c r="M108" i="5"/>
  <c r="L108" i="5"/>
  <c r="K108" i="5"/>
  <c r="J108" i="5"/>
  <c r="I108" i="5"/>
  <c r="H108" i="5"/>
  <c r="G108" i="5"/>
  <c r="F108" i="5"/>
  <c r="E108" i="5"/>
  <c r="V107" i="5"/>
  <c r="U107" i="5"/>
  <c r="T107" i="5"/>
  <c r="S107" i="5"/>
  <c r="R107" i="5"/>
  <c r="Q107" i="5"/>
  <c r="P107" i="5"/>
  <c r="O107" i="5"/>
  <c r="N107" i="5"/>
  <c r="M107" i="5"/>
  <c r="L107" i="5"/>
  <c r="K107" i="5"/>
  <c r="J107" i="5"/>
  <c r="I107" i="5"/>
  <c r="H107" i="5"/>
  <c r="G107" i="5"/>
  <c r="F107" i="5"/>
  <c r="E107" i="5"/>
  <c r="V106" i="5"/>
  <c r="U106" i="5"/>
  <c r="T106" i="5"/>
  <c r="S106" i="5"/>
  <c r="R106" i="5"/>
  <c r="Q106" i="5"/>
  <c r="P106" i="5"/>
  <c r="O106" i="5"/>
  <c r="N106" i="5"/>
  <c r="M106" i="5"/>
  <c r="L106" i="5"/>
  <c r="K106" i="5"/>
  <c r="J106" i="5"/>
  <c r="I106" i="5"/>
  <c r="H106" i="5"/>
  <c r="G106" i="5"/>
  <c r="F106" i="5"/>
  <c r="E106" i="5"/>
  <c r="V105" i="5"/>
  <c r="U105" i="5"/>
  <c r="T105" i="5"/>
  <c r="S105" i="5"/>
  <c r="R105" i="5"/>
  <c r="Q105" i="5"/>
  <c r="P105" i="5"/>
  <c r="O105" i="5"/>
  <c r="N105" i="5"/>
  <c r="M105" i="5"/>
  <c r="L105" i="5"/>
  <c r="K105" i="5"/>
  <c r="J105" i="5"/>
  <c r="I105" i="5"/>
  <c r="H105" i="5"/>
  <c r="G105" i="5"/>
  <c r="F105" i="5"/>
  <c r="E105" i="5"/>
  <c r="V103" i="5"/>
  <c r="U103" i="5"/>
  <c r="T103" i="5"/>
  <c r="S103" i="5"/>
  <c r="R103" i="5"/>
  <c r="Q103" i="5"/>
  <c r="P103" i="5"/>
  <c r="O103" i="5"/>
  <c r="N103" i="5"/>
  <c r="M103" i="5"/>
  <c r="L103" i="5"/>
  <c r="K103" i="5"/>
  <c r="J103" i="5"/>
  <c r="I103" i="5"/>
  <c r="H103" i="5"/>
  <c r="G103" i="5"/>
  <c r="F103" i="5"/>
  <c r="E103" i="5"/>
  <c r="V102" i="5"/>
  <c r="U102" i="5"/>
  <c r="T102" i="5"/>
  <c r="S102" i="5"/>
  <c r="R102" i="5"/>
  <c r="Q102" i="5"/>
  <c r="P102" i="5"/>
  <c r="O102" i="5"/>
  <c r="N102" i="5"/>
  <c r="M102" i="5"/>
  <c r="L102" i="5"/>
  <c r="K102" i="5"/>
  <c r="J102" i="5"/>
  <c r="I102" i="5"/>
  <c r="H102" i="5"/>
  <c r="G102" i="5"/>
  <c r="F102" i="5"/>
  <c r="E102" i="5"/>
  <c r="V101" i="5"/>
  <c r="U101" i="5"/>
  <c r="T101" i="5"/>
  <c r="S101" i="5"/>
  <c r="R101" i="5"/>
  <c r="Q101" i="5"/>
  <c r="P101" i="5"/>
  <c r="O101" i="5"/>
  <c r="N101" i="5"/>
  <c r="M101" i="5"/>
  <c r="L101" i="5"/>
  <c r="K101" i="5"/>
  <c r="J101" i="5"/>
  <c r="I101" i="5"/>
  <c r="H101" i="5"/>
  <c r="G101" i="5"/>
  <c r="F101" i="5"/>
  <c r="E101" i="5"/>
  <c r="V100" i="5"/>
  <c r="U100" i="5"/>
  <c r="T100" i="5"/>
  <c r="S100" i="5"/>
  <c r="R100" i="5"/>
  <c r="Q100" i="5"/>
  <c r="P100" i="5"/>
  <c r="O100" i="5"/>
  <c r="N100" i="5"/>
  <c r="M100" i="5"/>
  <c r="L100" i="5"/>
  <c r="K100" i="5"/>
  <c r="J100" i="5"/>
  <c r="I100" i="5"/>
  <c r="H100" i="5"/>
  <c r="G100" i="5"/>
  <c r="F100" i="5"/>
  <c r="E100" i="5"/>
  <c r="V99" i="5"/>
  <c r="U99" i="5"/>
  <c r="T99" i="5"/>
  <c r="S99" i="5"/>
  <c r="R99" i="5"/>
  <c r="Q99" i="5"/>
  <c r="P99" i="5"/>
  <c r="O99" i="5"/>
  <c r="N99" i="5"/>
  <c r="M99" i="5"/>
  <c r="L99" i="5"/>
  <c r="K99" i="5"/>
  <c r="J99" i="5"/>
  <c r="I99" i="5"/>
  <c r="H99" i="5"/>
  <c r="G99" i="5"/>
  <c r="F99" i="5"/>
  <c r="E99" i="5"/>
  <c r="V98" i="5"/>
  <c r="U98" i="5"/>
  <c r="T98" i="5"/>
  <c r="S98" i="5"/>
  <c r="R98" i="5"/>
  <c r="Q98" i="5"/>
  <c r="P98" i="5"/>
  <c r="O98" i="5"/>
  <c r="N98" i="5"/>
  <c r="M98" i="5"/>
  <c r="L98" i="5"/>
  <c r="K98" i="5"/>
  <c r="J98" i="5"/>
  <c r="I98" i="5"/>
  <c r="H98" i="5"/>
  <c r="G98" i="5"/>
  <c r="F98" i="5"/>
  <c r="E98" i="5"/>
  <c r="V97" i="5"/>
  <c r="U97" i="5"/>
  <c r="T97" i="5"/>
  <c r="S97" i="5"/>
  <c r="R97" i="5"/>
  <c r="Q97" i="5"/>
  <c r="P97" i="5"/>
  <c r="O97" i="5"/>
  <c r="N97" i="5"/>
  <c r="M97" i="5"/>
  <c r="L97" i="5"/>
  <c r="K97" i="5"/>
  <c r="J97" i="5"/>
  <c r="I97" i="5"/>
  <c r="H97" i="5"/>
  <c r="G97" i="5"/>
  <c r="F97" i="5"/>
  <c r="E97" i="5"/>
  <c r="V96" i="5"/>
  <c r="U96" i="5"/>
  <c r="T96" i="5"/>
  <c r="S96" i="5"/>
  <c r="R96" i="5"/>
  <c r="Q96" i="5"/>
  <c r="P96" i="5"/>
  <c r="O96" i="5"/>
  <c r="N96" i="5"/>
  <c r="M96" i="5"/>
  <c r="L96" i="5"/>
  <c r="K96" i="5"/>
  <c r="J96" i="5"/>
  <c r="I96" i="5"/>
  <c r="H96" i="5"/>
  <c r="G96" i="5"/>
  <c r="F96" i="5"/>
  <c r="E96" i="5"/>
  <c r="V95" i="5"/>
  <c r="U95" i="5"/>
  <c r="T95" i="5"/>
  <c r="S95" i="5"/>
  <c r="R95" i="5"/>
  <c r="Q95" i="5"/>
  <c r="P95" i="5"/>
  <c r="O95" i="5"/>
  <c r="N95" i="5"/>
  <c r="M95" i="5"/>
  <c r="L95" i="5"/>
  <c r="K95" i="5"/>
  <c r="J95" i="5"/>
  <c r="I95" i="5"/>
  <c r="H95" i="5"/>
  <c r="G95" i="5"/>
  <c r="F95" i="5"/>
  <c r="E95" i="5"/>
  <c r="V94" i="5"/>
  <c r="U94" i="5"/>
  <c r="T94" i="5"/>
  <c r="S94" i="5"/>
  <c r="R94" i="5"/>
  <c r="Q94" i="5"/>
  <c r="P94" i="5"/>
  <c r="O94" i="5"/>
  <c r="N94" i="5"/>
  <c r="M94" i="5"/>
  <c r="L94" i="5"/>
  <c r="K94" i="5"/>
  <c r="J94" i="5"/>
  <c r="I94" i="5"/>
  <c r="H94" i="5"/>
  <c r="G94" i="5"/>
  <c r="F94" i="5"/>
  <c r="E94" i="5"/>
  <c r="V93" i="5"/>
  <c r="U93" i="5"/>
  <c r="T93" i="5"/>
  <c r="S93" i="5"/>
  <c r="R93" i="5"/>
  <c r="Q93" i="5"/>
  <c r="P93" i="5"/>
  <c r="O93" i="5"/>
  <c r="N93" i="5"/>
  <c r="M93" i="5"/>
  <c r="L93" i="5"/>
  <c r="K93" i="5"/>
  <c r="J93" i="5"/>
  <c r="I93" i="5"/>
  <c r="H93" i="5"/>
  <c r="G93" i="5"/>
  <c r="F93" i="5"/>
  <c r="E93" i="5"/>
  <c r="V92" i="5"/>
  <c r="U92" i="5"/>
  <c r="T92" i="5"/>
  <c r="S92" i="5"/>
  <c r="R92" i="5"/>
  <c r="Q92" i="5"/>
  <c r="P92" i="5"/>
  <c r="O92" i="5"/>
  <c r="N92" i="5"/>
  <c r="M92" i="5"/>
  <c r="L92" i="5"/>
  <c r="K92" i="5"/>
  <c r="J92" i="5"/>
  <c r="I92" i="5"/>
  <c r="H92" i="5"/>
  <c r="G92" i="5"/>
  <c r="F92" i="5"/>
  <c r="E92" i="5"/>
  <c r="V91" i="5"/>
  <c r="U91" i="5"/>
  <c r="T91" i="5"/>
  <c r="S91" i="5"/>
  <c r="R91" i="5"/>
  <c r="Q91" i="5"/>
  <c r="P91" i="5"/>
  <c r="O91" i="5"/>
  <c r="N91" i="5"/>
  <c r="M91" i="5"/>
  <c r="L91" i="5"/>
  <c r="K91" i="5"/>
  <c r="J91" i="5"/>
  <c r="I91" i="5"/>
  <c r="H91" i="5"/>
  <c r="G91" i="5"/>
  <c r="F91" i="5"/>
  <c r="E91" i="5"/>
  <c r="V90" i="5"/>
  <c r="U90" i="5"/>
  <c r="T90" i="5"/>
  <c r="S90" i="5"/>
  <c r="R90" i="5"/>
  <c r="Q90" i="5"/>
  <c r="P90" i="5"/>
  <c r="O90" i="5"/>
  <c r="N90" i="5"/>
  <c r="M90" i="5"/>
  <c r="L90" i="5"/>
  <c r="K90" i="5"/>
  <c r="J90" i="5"/>
  <c r="I90" i="5"/>
  <c r="H90" i="5"/>
  <c r="G90" i="5"/>
  <c r="F90" i="5"/>
  <c r="E90" i="5"/>
  <c r="V89" i="5"/>
  <c r="U89" i="5"/>
  <c r="T89" i="5"/>
  <c r="S89" i="5"/>
  <c r="R89" i="5"/>
  <c r="Q89" i="5"/>
  <c r="P89" i="5"/>
  <c r="O89" i="5"/>
  <c r="N89" i="5"/>
  <c r="M89" i="5"/>
  <c r="L89" i="5"/>
  <c r="K89" i="5"/>
  <c r="J89" i="5"/>
  <c r="I89" i="5"/>
  <c r="H89" i="5"/>
  <c r="G89" i="5"/>
  <c r="F89" i="5"/>
  <c r="E89" i="5"/>
  <c r="V88" i="5"/>
  <c r="U88" i="5"/>
  <c r="T88" i="5"/>
  <c r="S88" i="5"/>
  <c r="R88" i="5"/>
  <c r="Q88" i="5"/>
  <c r="P88" i="5"/>
  <c r="O88" i="5"/>
  <c r="N88" i="5"/>
  <c r="M88" i="5"/>
  <c r="L88" i="5"/>
  <c r="K88" i="5"/>
  <c r="J88" i="5"/>
  <c r="I88" i="5"/>
  <c r="H88" i="5"/>
  <c r="G88" i="5"/>
  <c r="F88" i="5"/>
  <c r="E88" i="5"/>
  <c r="V87" i="5"/>
  <c r="U87" i="5"/>
  <c r="T87" i="5"/>
  <c r="S87" i="5"/>
  <c r="R87" i="5"/>
  <c r="Q87" i="5"/>
  <c r="P87" i="5"/>
  <c r="O87" i="5"/>
  <c r="N87" i="5"/>
  <c r="M87" i="5"/>
  <c r="L87" i="5"/>
  <c r="K87" i="5"/>
  <c r="J87" i="5"/>
  <c r="I87" i="5"/>
  <c r="H87" i="5"/>
  <c r="G87" i="5"/>
  <c r="F87" i="5"/>
  <c r="E87" i="5"/>
  <c r="V86" i="5"/>
  <c r="U86" i="5"/>
  <c r="T86" i="5"/>
  <c r="S86" i="5"/>
  <c r="R86" i="5"/>
  <c r="Q86" i="5"/>
  <c r="P86" i="5"/>
  <c r="O86" i="5"/>
  <c r="N86" i="5"/>
  <c r="M86" i="5"/>
  <c r="L86" i="5"/>
  <c r="K86" i="5"/>
  <c r="J86" i="5"/>
  <c r="I86" i="5"/>
  <c r="H86" i="5"/>
  <c r="G86" i="5"/>
  <c r="F86" i="5"/>
  <c r="E86" i="5"/>
  <c r="V85" i="5"/>
  <c r="U85" i="5"/>
  <c r="T85" i="5"/>
  <c r="S85" i="5"/>
  <c r="R85" i="5"/>
  <c r="Q85" i="5"/>
  <c r="P85" i="5"/>
  <c r="O85" i="5"/>
  <c r="N85" i="5"/>
  <c r="M85" i="5"/>
  <c r="L85" i="5"/>
  <c r="K85" i="5"/>
  <c r="J85" i="5"/>
  <c r="I85" i="5"/>
  <c r="H85" i="5"/>
  <c r="G85" i="5"/>
  <c r="F85" i="5"/>
  <c r="E85" i="5"/>
  <c r="V84" i="5"/>
  <c r="U84" i="5"/>
  <c r="T84" i="5"/>
  <c r="S84" i="5"/>
  <c r="R84" i="5"/>
  <c r="Q84" i="5"/>
  <c r="P84" i="5"/>
  <c r="O84" i="5"/>
  <c r="N84" i="5"/>
  <c r="M84" i="5"/>
  <c r="L84" i="5"/>
  <c r="K84" i="5"/>
  <c r="J84" i="5"/>
  <c r="I84" i="5"/>
  <c r="H84" i="5"/>
  <c r="G84" i="5"/>
  <c r="F84" i="5"/>
  <c r="E84" i="5"/>
  <c r="V83" i="5"/>
  <c r="U83" i="5"/>
  <c r="T83" i="5"/>
  <c r="S83" i="5"/>
  <c r="R83" i="5"/>
  <c r="Q83" i="5"/>
  <c r="P83" i="5"/>
  <c r="O83" i="5"/>
  <c r="N83" i="5"/>
  <c r="M83" i="5"/>
  <c r="L83" i="5"/>
  <c r="K83" i="5"/>
  <c r="J83" i="5"/>
  <c r="I83" i="5"/>
  <c r="H83" i="5"/>
  <c r="G83" i="5"/>
  <c r="F83" i="5"/>
  <c r="E83" i="5"/>
  <c r="V82" i="5"/>
  <c r="U82" i="5"/>
  <c r="T82" i="5"/>
  <c r="S82" i="5"/>
  <c r="R82" i="5"/>
  <c r="Q82" i="5"/>
  <c r="P82" i="5"/>
  <c r="O82" i="5"/>
  <c r="N82" i="5"/>
  <c r="M82" i="5"/>
  <c r="L82" i="5"/>
  <c r="K82" i="5"/>
  <c r="J82" i="5"/>
  <c r="I82" i="5"/>
  <c r="H82" i="5"/>
  <c r="G82" i="5"/>
  <c r="F82" i="5"/>
  <c r="E82" i="5"/>
  <c r="V81" i="5"/>
  <c r="U81" i="5"/>
  <c r="T81" i="5"/>
  <c r="S81" i="5"/>
  <c r="R81" i="5"/>
  <c r="Q81" i="5"/>
  <c r="P81" i="5"/>
  <c r="O81" i="5"/>
  <c r="N81" i="5"/>
  <c r="M81" i="5"/>
  <c r="L81" i="5"/>
  <c r="K81" i="5"/>
  <c r="J81" i="5"/>
  <c r="I81" i="5"/>
  <c r="H81" i="5"/>
  <c r="G81" i="5"/>
  <c r="F81" i="5"/>
  <c r="E81" i="5"/>
  <c r="V79" i="5"/>
  <c r="U79" i="5"/>
  <c r="T79" i="5"/>
  <c r="S79" i="5"/>
  <c r="R79" i="5"/>
  <c r="Q79" i="5"/>
  <c r="P79" i="5"/>
  <c r="O79" i="5"/>
  <c r="N79" i="5"/>
  <c r="M79" i="5"/>
  <c r="L79" i="5"/>
  <c r="K79" i="5"/>
  <c r="J79" i="5"/>
  <c r="I79" i="5"/>
  <c r="H79" i="5"/>
  <c r="G79" i="5"/>
  <c r="F79" i="5"/>
  <c r="E79" i="5"/>
  <c r="V78" i="5"/>
  <c r="U78" i="5"/>
  <c r="T78" i="5"/>
  <c r="S78" i="5"/>
  <c r="R78" i="5"/>
  <c r="Q78" i="5"/>
  <c r="P78" i="5"/>
  <c r="O78" i="5"/>
  <c r="N78" i="5"/>
  <c r="M78" i="5"/>
  <c r="L78" i="5"/>
  <c r="K78" i="5"/>
  <c r="J78" i="5"/>
  <c r="I78" i="5"/>
  <c r="H78" i="5"/>
  <c r="G78" i="5"/>
  <c r="F78" i="5"/>
  <c r="E78" i="5"/>
  <c r="V77" i="5"/>
  <c r="U77" i="5"/>
  <c r="T77" i="5"/>
  <c r="S77" i="5"/>
  <c r="R77" i="5"/>
  <c r="Q77" i="5"/>
  <c r="P77" i="5"/>
  <c r="O77" i="5"/>
  <c r="N77" i="5"/>
  <c r="M77" i="5"/>
  <c r="L77" i="5"/>
  <c r="K77" i="5"/>
  <c r="J77" i="5"/>
  <c r="I77" i="5"/>
  <c r="H77" i="5"/>
  <c r="G77" i="5"/>
  <c r="F77" i="5"/>
  <c r="E77" i="5"/>
  <c r="V76" i="5"/>
  <c r="U76" i="5"/>
  <c r="T76" i="5"/>
  <c r="S76" i="5"/>
  <c r="R76" i="5"/>
  <c r="Q76" i="5"/>
  <c r="P76" i="5"/>
  <c r="O76" i="5"/>
  <c r="N76" i="5"/>
  <c r="M76" i="5"/>
  <c r="L76" i="5"/>
  <c r="K76" i="5"/>
  <c r="J76" i="5"/>
  <c r="I76" i="5"/>
  <c r="H76" i="5"/>
  <c r="G76" i="5"/>
  <c r="F76" i="5"/>
  <c r="E76" i="5"/>
  <c r="V75" i="5"/>
  <c r="U75" i="5"/>
  <c r="T75" i="5"/>
  <c r="S75" i="5"/>
  <c r="R75" i="5"/>
  <c r="Q75" i="5"/>
  <c r="P75" i="5"/>
  <c r="O75" i="5"/>
  <c r="N75" i="5"/>
  <c r="M75" i="5"/>
  <c r="L75" i="5"/>
  <c r="K75" i="5"/>
  <c r="J75" i="5"/>
  <c r="I75" i="5"/>
  <c r="H75" i="5"/>
  <c r="G75" i="5"/>
  <c r="F75" i="5"/>
  <c r="E75" i="5"/>
  <c r="V74" i="5"/>
  <c r="U74" i="5"/>
  <c r="T74" i="5"/>
  <c r="S74" i="5"/>
  <c r="R74" i="5"/>
  <c r="Q74" i="5"/>
  <c r="P74" i="5"/>
  <c r="O74" i="5"/>
  <c r="N74" i="5"/>
  <c r="M74" i="5"/>
  <c r="L74" i="5"/>
  <c r="K74" i="5"/>
  <c r="J74" i="5"/>
  <c r="I74" i="5"/>
  <c r="H74" i="5"/>
  <c r="G74" i="5"/>
  <c r="F74" i="5"/>
  <c r="E74" i="5"/>
  <c r="V73" i="5"/>
  <c r="U73" i="5"/>
  <c r="T73" i="5"/>
  <c r="S73" i="5"/>
  <c r="R73" i="5"/>
  <c r="Q73" i="5"/>
  <c r="P73" i="5"/>
  <c r="O73" i="5"/>
  <c r="N73" i="5"/>
  <c r="M73" i="5"/>
  <c r="L73" i="5"/>
  <c r="K73" i="5"/>
  <c r="J73" i="5"/>
  <c r="I73" i="5"/>
  <c r="H73" i="5"/>
  <c r="G73" i="5"/>
  <c r="F73" i="5"/>
  <c r="E73" i="5"/>
  <c r="V72" i="5"/>
  <c r="U72" i="5"/>
  <c r="T72" i="5"/>
  <c r="S72" i="5"/>
  <c r="R72" i="5"/>
  <c r="Q72" i="5"/>
  <c r="P72" i="5"/>
  <c r="O72" i="5"/>
  <c r="N72" i="5"/>
  <c r="M72" i="5"/>
  <c r="L72" i="5"/>
  <c r="K72" i="5"/>
  <c r="J72" i="5"/>
  <c r="I72" i="5"/>
  <c r="H72" i="5"/>
  <c r="G72" i="5"/>
  <c r="F72" i="5"/>
  <c r="E72" i="5"/>
  <c r="V71" i="5"/>
  <c r="U71" i="5"/>
  <c r="T71" i="5"/>
  <c r="S71" i="5"/>
  <c r="R71" i="5"/>
  <c r="Q71" i="5"/>
  <c r="P71" i="5"/>
  <c r="O71" i="5"/>
  <c r="N71" i="5"/>
  <c r="M71" i="5"/>
  <c r="L71" i="5"/>
  <c r="K71" i="5"/>
  <c r="J71" i="5"/>
  <c r="I71" i="5"/>
  <c r="H71" i="5"/>
  <c r="G71" i="5"/>
  <c r="F71" i="5"/>
  <c r="E71" i="5"/>
  <c r="V70" i="5"/>
  <c r="U70" i="5"/>
  <c r="T70" i="5"/>
  <c r="S70" i="5"/>
  <c r="R70" i="5"/>
  <c r="Q70" i="5"/>
  <c r="P70" i="5"/>
  <c r="O70" i="5"/>
  <c r="N70" i="5"/>
  <c r="M70" i="5"/>
  <c r="L70" i="5"/>
  <c r="K70" i="5"/>
  <c r="J70" i="5"/>
  <c r="I70" i="5"/>
  <c r="H70" i="5"/>
  <c r="G70" i="5"/>
  <c r="F70" i="5"/>
  <c r="E70" i="5"/>
  <c r="V69" i="5"/>
  <c r="U69" i="5"/>
  <c r="T69" i="5"/>
  <c r="S69" i="5"/>
  <c r="R69" i="5"/>
  <c r="Q69" i="5"/>
  <c r="P69" i="5"/>
  <c r="O69" i="5"/>
  <c r="N69" i="5"/>
  <c r="M69" i="5"/>
  <c r="L69" i="5"/>
  <c r="K69" i="5"/>
  <c r="J69" i="5"/>
  <c r="I69" i="5"/>
  <c r="H69" i="5"/>
  <c r="G69" i="5"/>
  <c r="F69" i="5"/>
  <c r="E69" i="5"/>
  <c r="V68" i="5"/>
  <c r="U68" i="5"/>
  <c r="T68" i="5"/>
  <c r="S68" i="5"/>
  <c r="R68" i="5"/>
  <c r="Q68" i="5"/>
  <c r="P68" i="5"/>
  <c r="O68" i="5"/>
  <c r="N68" i="5"/>
  <c r="M68" i="5"/>
  <c r="L68" i="5"/>
  <c r="K68" i="5"/>
  <c r="J68" i="5"/>
  <c r="I68" i="5"/>
  <c r="H68" i="5"/>
  <c r="G68" i="5"/>
  <c r="F68" i="5"/>
  <c r="E68" i="5"/>
  <c r="V67" i="5"/>
  <c r="U67" i="5"/>
  <c r="T67" i="5"/>
  <c r="S67" i="5"/>
  <c r="R67" i="5"/>
  <c r="Q67" i="5"/>
  <c r="P67" i="5"/>
  <c r="O67" i="5"/>
  <c r="N67" i="5"/>
  <c r="M67" i="5"/>
  <c r="L67" i="5"/>
  <c r="K67" i="5"/>
  <c r="J67" i="5"/>
  <c r="I67" i="5"/>
  <c r="H67" i="5"/>
  <c r="G67" i="5"/>
  <c r="F67" i="5"/>
  <c r="E67" i="5"/>
  <c r="V66" i="5"/>
  <c r="U66" i="5"/>
  <c r="T66" i="5"/>
  <c r="S66" i="5"/>
  <c r="R66" i="5"/>
  <c r="Q66" i="5"/>
  <c r="P66" i="5"/>
  <c r="O66" i="5"/>
  <c r="N66" i="5"/>
  <c r="M66" i="5"/>
  <c r="L66" i="5"/>
  <c r="K66" i="5"/>
  <c r="J66" i="5"/>
  <c r="I66" i="5"/>
  <c r="H66" i="5"/>
  <c r="G66" i="5"/>
  <c r="F66" i="5"/>
  <c r="E66" i="5"/>
  <c r="V65" i="5"/>
  <c r="U65" i="5"/>
  <c r="T65" i="5"/>
  <c r="S65" i="5"/>
  <c r="R65" i="5"/>
  <c r="Q65" i="5"/>
  <c r="P65" i="5"/>
  <c r="O65" i="5"/>
  <c r="N65" i="5"/>
  <c r="M65" i="5"/>
  <c r="L65" i="5"/>
  <c r="K65" i="5"/>
  <c r="J65" i="5"/>
  <c r="I65" i="5"/>
  <c r="H65" i="5"/>
  <c r="G65" i="5"/>
  <c r="F65" i="5"/>
  <c r="E65" i="5"/>
  <c r="V64" i="5"/>
  <c r="U64" i="5"/>
  <c r="T64" i="5"/>
  <c r="S64" i="5"/>
  <c r="R64" i="5"/>
  <c r="Q64" i="5"/>
  <c r="P64" i="5"/>
  <c r="O64" i="5"/>
  <c r="N64" i="5"/>
  <c r="M64" i="5"/>
  <c r="L64" i="5"/>
  <c r="K64" i="5"/>
  <c r="J64" i="5"/>
  <c r="I64" i="5"/>
  <c r="H64" i="5"/>
  <c r="G64" i="5"/>
  <c r="F64" i="5"/>
  <c r="E64" i="5"/>
  <c r="V63" i="5"/>
  <c r="U63" i="5"/>
  <c r="T63" i="5"/>
  <c r="S63" i="5"/>
  <c r="R63" i="5"/>
  <c r="Q63" i="5"/>
  <c r="P63" i="5"/>
  <c r="O63" i="5"/>
  <c r="N63" i="5"/>
  <c r="M63" i="5"/>
  <c r="L63" i="5"/>
  <c r="K63" i="5"/>
  <c r="J63" i="5"/>
  <c r="I63" i="5"/>
  <c r="H63" i="5"/>
  <c r="G63" i="5"/>
  <c r="F63" i="5"/>
  <c r="E63" i="5"/>
  <c r="V62" i="5"/>
  <c r="U62" i="5"/>
  <c r="T62" i="5"/>
  <c r="S62" i="5"/>
  <c r="R62" i="5"/>
  <c r="Q62" i="5"/>
  <c r="P62" i="5"/>
  <c r="O62" i="5"/>
  <c r="N62" i="5"/>
  <c r="M62" i="5"/>
  <c r="L62" i="5"/>
  <c r="K62" i="5"/>
  <c r="J62" i="5"/>
  <c r="I62" i="5"/>
  <c r="H62" i="5"/>
  <c r="G62" i="5"/>
  <c r="F62" i="5"/>
  <c r="E62" i="5"/>
  <c r="V61" i="5"/>
  <c r="U61" i="5"/>
  <c r="T61" i="5"/>
  <c r="S61" i="5"/>
  <c r="R61" i="5"/>
  <c r="Q61" i="5"/>
  <c r="P61" i="5"/>
  <c r="O61" i="5"/>
  <c r="N61" i="5"/>
  <c r="M61" i="5"/>
  <c r="L61" i="5"/>
  <c r="K61" i="5"/>
  <c r="J61" i="5"/>
  <c r="I61" i="5"/>
  <c r="H61" i="5"/>
  <c r="G61" i="5"/>
  <c r="F61" i="5"/>
  <c r="E61" i="5"/>
  <c r="V59" i="5"/>
  <c r="U59" i="5"/>
  <c r="T59" i="5"/>
  <c r="S59" i="5"/>
  <c r="R59" i="5"/>
  <c r="Q59" i="5"/>
  <c r="P59" i="5"/>
  <c r="O59" i="5"/>
  <c r="N59" i="5"/>
  <c r="M59" i="5"/>
  <c r="L59" i="5"/>
  <c r="K59" i="5"/>
  <c r="J59" i="5"/>
  <c r="I59" i="5"/>
  <c r="H59" i="5"/>
  <c r="G59" i="5"/>
  <c r="F59" i="5"/>
  <c r="E59" i="5"/>
  <c r="V58" i="5"/>
  <c r="U58" i="5"/>
  <c r="T58" i="5"/>
  <c r="S58" i="5"/>
  <c r="R58" i="5"/>
  <c r="Q58" i="5"/>
  <c r="P58" i="5"/>
  <c r="O58" i="5"/>
  <c r="N58" i="5"/>
  <c r="M58" i="5"/>
  <c r="L58" i="5"/>
  <c r="K58" i="5"/>
  <c r="J58" i="5"/>
  <c r="I58" i="5"/>
  <c r="H58" i="5"/>
  <c r="G58" i="5"/>
  <c r="F58" i="5"/>
  <c r="E58" i="5"/>
  <c r="V57" i="5"/>
  <c r="U57" i="5"/>
  <c r="T57" i="5"/>
  <c r="S57" i="5"/>
  <c r="R57" i="5"/>
  <c r="Q57" i="5"/>
  <c r="P57" i="5"/>
  <c r="O57" i="5"/>
  <c r="N57" i="5"/>
  <c r="M57" i="5"/>
  <c r="L57" i="5"/>
  <c r="K57" i="5"/>
  <c r="J57" i="5"/>
  <c r="I57" i="5"/>
  <c r="H57" i="5"/>
  <c r="G57" i="5"/>
  <c r="F57" i="5"/>
  <c r="E57" i="5"/>
  <c r="V56" i="5"/>
  <c r="U56" i="5"/>
  <c r="T56" i="5"/>
  <c r="S56" i="5"/>
  <c r="R56" i="5"/>
  <c r="Q56" i="5"/>
  <c r="P56" i="5"/>
  <c r="O56" i="5"/>
  <c r="N56" i="5"/>
  <c r="M56" i="5"/>
  <c r="L56" i="5"/>
  <c r="K56" i="5"/>
  <c r="J56" i="5"/>
  <c r="I56" i="5"/>
  <c r="H56" i="5"/>
  <c r="G56" i="5"/>
  <c r="F56" i="5"/>
  <c r="E56" i="5"/>
  <c r="V55" i="5"/>
  <c r="U55" i="5"/>
  <c r="T55" i="5"/>
  <c r="S55" i="5"/>
  <c r="R55" i="5"/>
  <c r="Q55" i="5"/>
  <c r="P55" i="5"/>
  <c r="O55" i="5"/>
  <c r="N55" i="5"/>
  <c r="M55" i="5"/>
  <c r="L55" i="5"/>
  <c r="K55" i="5"/>
  <c r="J55" i="5"/>
  <c r="I55" i="5"/>
  <c r="H55" i="5"/>
  <c r="G55" i="5"/>
  <c r="F55" i="5"/>
  <c r="E55" i="5"/>
  <c r="V54" i="5"/>
  <c r="U54" i="5"/>
  <c r="T54" i="5"/>
  <c r="S54" i="5"/>
  <c r="R54" i="5"/>
  <c r="Q54" i="5"/>
  <c r="P54" i="5"/>
  <c r="O54" i="5"/>
  <c r="N54" i="5"/>
  <c r="M54" i="5"/>
  <c r="L54" i="5"/>
  <c r="K54" i="5"/>
  <c r="J54" i="5"/>
  <c r="I54" i="5"/>
  <c r="H54" i="5"/>
  <c r="G54" i="5"/>
  <c r="F54" i="5"/>
  <c r="E54" i="5"/>
  <c r="V53" i="5"/>
  <c r="U53" i="5"/>
  <c r="T53" i="5"/>
  <c r="S53" i="5"/>
  <c r="R53" i="5"/>
  <c r="Q53" i="5"/>
  <c r="P53" i="5"/>
  <c r="O53" i="5"/>
  <c r="N53" i="5"/>
  <c r="M53" i="5"/>
  <c r="L53" i="5"/>
  <c r="K53" i="5"/>
  <c r="J53" i="5"/>
  <c r="I53" i="5"/>
  <c r="H53" i="5"/>
  <c r="G53" i="5"/>
  <c r="F53" i="5"/>
  <c r="E53" i="5"/>
  <c r="V52" i="5"/>
  <c r="U52" i="5"/>
  <c r="T52" i="5"/>
  <c r="S52" i="5"/>
  <c r="R52" i="5"/>
  <c r="Q52" i="5"/>
  <c r="P52" i="5"/>
  <c r="O52" i="5"/>
  <c r="N52" i="5"/>
  <c r="M52" i="5"/>
  <c r="L52" i="5"/>
  <c r="K52" i="5"/>
  <c r="J52" i="5"/>
  <c r="I52" i="5"/>
  <c r="H52" i="5"/>
  <c r="G52" i="5"/>
  <c r="F52" i="5"/>
  <c r="E52" i="5"/>
  <c r="V51" i="5"/>
  <c r="U51" i="5"/>
  <c r="T51" i="5"/>
  <c r="S51" i="5"/>
  <c r="R51" i="5"/>
  <c r="Q51" i="5"/>
  <c r="P51" i="5"/>
  <c r="O51" i="5"/>
  <c r="N51" i="5"/>
  <c r="M51" i="5"/>
  <c r="L51" i="5"/>
  <c r="K51" i="5"/>
  <c r="J51" i="5"/>
  <c r="I51" i="5"/>
  <c r="H51" i="5"/>
  <c r="G51" i="5"/>
  <c r="F51" i="5"/>
  <c r="E51" i="5"/>
  <c r="V50" i="5"/>
  <c r="U50" i="5"/>
  <c r="T50" i="5"/>
  <c r="S50" i="5"/>
  <c r="R50" i="5"/>
  <c r="Q50" i="5"/>
  <c r="P50" i="5"/>
  <c r="O50" i="5"/>
  <c r="N50" i="5"/>
  <c r="M50" i="5"/>
  <c r="L50" i="5"/>
  <c r="K50" i="5"/>
  <c r="J50" i="5"/>
  <c r="I50" i="5"/>
  <c r="H50" i="5"/>
  <c r="G50" i="5"/>
  <c r="F50" i="5"/>
  <c r="E50" i="5"/>
  <c r="V49" i="5"/>
  <c r="U49" i="5"/>
  <c r="T49" i="5"/>
  <c r="S49" i="5"/>
  <c r="R49" i="5"/>
  <c r="Q49" i="5"/>
  <c r="P49" i="5"/>
  <c r="O49" i="5"/>
  <c r="N49" i="5"/>
  <c r="M49" i="5"/>
  <c r="L49" i="5"/>
  <c r="K49" i="5"/>
  <c r="J49" i="5"/>
  <c r="I49" i="5"/>
  <c r="H49" i="5"/>
  <c r="G49" i="5"/>
  <c r="F49" i="5"/>
  <c r="E49" i="5"/>
  <c r="V48" i="5"/>
  <c r="U48" i="5"/>
  <c r="T48" i="5"/>
  <c r="S48" i="5"/>
  <c r="R48" i="5"/>
  <c r="Q48" i="5"/>
  <c r="P48" i="5"/>
  <c r="O48" i="5"/>
  <c r="N48" i="5"/>
  <c r="M48" i="5"/>
  <c r="L48" i="5"/>
  <c r="K48" i="5"/>
  <c r="J48" i="5"/>
  <c r="I48" i="5"/>
  <c r="H48" i="5"/>
  <c r="G48" i="5"/>
  <c r="F48" i="5"/>
  <c r="E48" i="5"/>
  <c r="V47" i="5"/>
  <c r="U47" i="5"/>
  <c r="T47" i="5"/>
  <c r="S47" i="5"/>
  <c r="R47" i="5"/>
  <c r="Q47" i="5"/>
  <c r="P47" i="5"/>
  <c r="O47" i="5"/>
  <c r="N47" i="5"/>
  <c r="M47" i="5"/>
  <c r="L47" i="5"/>
  <c r="K47" i="5"/>
  <c r="J47" i="5"/>
  <c r="I47" i="5"/>
  <c r="H47" i="5"/>
  <c r="G47" i="5"/>
  <c r="F47" i="5"/>
  <c r="E47" i="5"/>
  <c r="V46" i="5"/>
  <c r="U46" i="5"/>
  <c r="T46" i="5"/>
  <c r="S46" i="5"/>
  <c r="R46" i="5"/>
  <c r="Q46" i="5"/>
  <c r="P46" i="5"/>
  <c r="O46" i="5"/>
  <c r="N46" i="5"/>
  <c r="M46" i="5"/>
  <c r="L46" i="5"/>
  <c r="K46" i="5"/>
  <c r="J46" i="5"/>
  <c r="I46" i="5"/>
  <c r="H46" i="5"/>
  <c r="G46" i="5"/>
  <c r="F46" i="5"/>
  <c r="E46" i="5"/>
  <c r="V45" i="5"/>
  <c r="U45" i="5"/>
  <c r="T45" i="5"/>
  <c r="S45" i="5"/>
  <c r="R45" i="5"/>
  <c r="Q45" i="5"/>
  <c r="P45" i="5"/>
  <c r="O45" i="5"/>
  <c r="N45" i="5"/>
  <c r="M45" i="5"/>
  <c r="L45" i="5"/>
  <c r="K45" i="5"/>
  <c r="J45" i="5"/>
  <c r="I45" i="5"/>
  <c r="H45" i="5"/>
  <c r="G45" i="5"/>
  <c r="F45" i="5"/>
  <c r="E45" i="5"/>
  <c r="V44" i="5"/>
  <c r="U44" i="5"/>
  <c r="T44" i="5"/>
  <c r="S44" i="5"/>
  <c r="R44" i="5"/>
  <c r="Q44" i="5"/>
  <c r="P44" i="5"/>
  <c r="O44" i="5"/>
  <c r="N44" i="5"/>
  <c r="M44" i="5"/>
  <c r="L44" i="5"/>
  <c r="K44" i="5"/>
  <c r="J44" i="5"/>
  <c r="I44" i="5"/>
  <c r="H44" i="5"/>
  <c r="G44" i="5"/>
  <c r="F44" i="5"/>
  <c r="E44" i="5"/>
  <c r="V43" i="5"/>
  <c r="U43" i="5"/>
  <c r="T43" i="5"/>
  <c r="S43" i="5"/>
  <c r="R43" i="5"/>
  <c r="Q43" i="5"/>
  <c r="P43" i="5"/>
  <c r="O43" i="5"/>
  <c r="N43" i="5"/>
  <c r="M43" i="5"/>
  <c r="L43" i="5"/>
  <c r="K43" i="5"/>
  <c r="J43" i="5"/>
  <c r="I43" i="5"/>
  <c r="H43" i="5"/>
  <c r="G43" i="5"/>
  <c r="F43" i="5"/>
  <c r="E43" i="5"/>
  <c r="V41" i="5"/>
  <c r="U41" i="5"/>
  <c r="T41" i="5"/>
  <c r="S41" i="5"/>
  <c r="R41" i="5"/>
  <c r="Q41" i="5"/>
  <c r="P41" i="5"/>
  <c r="O41" i="5"/>
  <c r="N41" i="5"/>
  <c r="M41" i="5"/>
  <c r="L41" i="5"/>
  <c r="K41" i="5"/>
  <c r="J41" i="5"/>
  <c r="I41" i="5"/>
  <c r="H41" i="5"/>
  <c r="G41" i="5"/>
  <c r="F41" i="5"/>
  <c r="E41" i="5"/>
  <c r="V40" i="5"/>
  <c r="U40" i="5"/>
  <c r="T40" i="5"/>
  <c r="S40" i="5"/>
  <c r="R40" i="5"/>
  <c r="Q40" i="5"/>
  <c r="P40" i="5"/>
  <c r="O40" i="5"/>
  <c r="N40" i="5"/>
  <c r="M40" i="5"/>
  <c r="L40" i="5"/>
  <c r="K40" i="5"/>
  <c r="J40" i="5"/>
  <c r="I40" i="5"/>
  <c r="H40" i="5"/>
  <c r="G40" i="5"/>
  <c r="F40" i="5"/>
  <c r="E40" i="5"/>
  <c r="V39" i="5"/>
  <c r="U39" i="5"/>
  <c r="T39" i="5"/>
  <c r="S39" i="5"/>
  <c r="R39" i="5"/>
  <c r="Q39" i="5"/>
  <c r="P39" i="5"/>
  <c r="O39" i="5"/>
  <c r="N39" i="5"/>
  <c r="M39" i="5"/>
  <c r="L39" i="5"/>
  <c r="K39" i="5"/>
  <c r="J39" i="5"/>
  <c r="I39" i="5"/>
  <c r="H39" i="5"/>
  <c r="G39" i="5"/>
  <c r="F39" i="5"/>
  <c r="E39" i="5"/>
  <c r="V38" i="5"/>
  <c r="U38" i="5"/>
  <c r="T38" i="5"/>
  <c r="S38" i="5"/>
  <c r="R38" i="5"/>
  <c r="Q38" i="5"/>
  <c r="P38" i="5"/>
  <c r="O38" i="5"/>
  <c r="N38" i="5"/>
  <c r="M38" i="5"/>
  <c r="L38" i="5"/>
  <c r="K38" i="5"/>
  <c r="J38" i="5"/>
  <c r="I38" i="5"/>
  <c r="H38" i="5"/>
  <c r="G38" i="5"/>
  <c r="F38" i="5"/>
  <c r="E38" i="5"/>
  <c r="V37" i="5"/>
  <c r="U37" i="5"/>
  <c r="T37" i="5"/>
  <c r="S37" i="5"/>
  <c r="R37" i="5"/>
  <c r="Q37" i="5"/>
  <c r="P37" i="5"/>
  <c r="O37" i="5"/>
  <c r="N37" i="5"/>
  <c r="M37" i="5"/>
  <c r="L37" i="5"/>
  <c r="K37" i="5"/>
  <c r="J37" i="5"/>
  <c r="I37" i="5"/>
  <c r="H37" i="5"/>
  <c r="G37" i="5"/>
  <c r="F37" i="5"/>
  <c r="E37" i="5"/>
  <c r="V36" i="5"/>
  <c r="U36" i="5"/>
  <c r="T36" i="5"/>
  <c r="S36" i="5"/>
  <c r="R36" i="5"/>
  <c r="Q36" i="5"/>
  <c r="P36" i="5"/>
  <c r="O36" i="5"/>
  <c r="N36" i="5"/>
  <c r="M36" i="5"/>
  <c r="L36" i="5"/>
  <c r="K36" i="5"/>
  <c r="J36" i="5"/>
  <c r="I36" i="5"/>
  <c r="H36" i="5"/>
  <c r="G36" i="5"/>
  <c r="F36" i="5"/>
  <c r="E36" i="5"/>
  <c r="V35" i="5"/>
  <c r="U35" i="5"/>
  <c r="T35" i="5"/>
  <c r="S35" i="5"/>
  <c r="R35" i="5"/>
  <c r="Q35" i="5"/>
  <c r="P35" i="5"/>
  <c r="O35" i="5"/>
  <c r="N35" i="5"/>
  <c r="M35" i="5"/>
  <c r="L35" i="5"/>
  <c r="K35" i="5"/>
  <c r="J35" i="5"/>
  <c r="I35" i="5"/>
  <c r="H35" i="5"/>
  <c r="G35" i="5"/>
  <c r="F35" i="5"/>
  <c r="E35" i="5"/>
  <c r="V34" i="5"/>
  <c r="U34" i="5"/>
  <c r="T34" i="5"/>
  <c r="S34" i="5"/>
  <c r="R34" i="5"/>
  <c r="Q34" i="5"/>
  <c r="P34" i="5"/>
  <c r="O34" i="5"/>
  <c r="N34" i="5"/>
  <c r="M34" i="5"/>
  <c r="L34" i="5"/>
  <c r="K34" i="5"/>
  <c r="J34" i="5"/>
  <c r="I34" i="5"/>
  <c r="H34" i="5"/>
  <c r="G34" i="5"/>
  <c r="F34" i="5"/>
  <c r="E34" i="5"/>
  <c r="V33" i="5"/>
  <c r="U33" i="5"/>
  <c r="T33" i="5"/>
  <c r="S33" i="5"/>
  <c r="R33" i="5"/>
  <c r="Q33" i="5"/>
  <c r="P33" i="5"/>
  <c r="O33" i="5"/>
  <c r="N33" i="5"/>
  <c r="M33" i="5"/>
  <c r="L33" i="5"/>
  <c r="K33" i="5"/>
  <c r="J33" i="5"/>
  <c r="I33" i="5"/>
  <c r="H33" i="5"/>
  <c r="G33" i="5"/>
  <c r="F33" i="5"/>
  <c r="E33" i="5"/>
  <c r="V32" i="5"/>
  <c r="U32" i="5"/>
  <c r="T32" i="5"/>
  <c r="S32" i="5"/>
  <c r="R32" i="5"/>
  <c r="Q32" i="5"/>
  <c r="P32" i="5"/>
  <c r="O32" i="5"/>
  <c r="N32" i="5"/>
  <c r="M32" i="5"/>
  <c r="L32" i="5"/>
  <c r="K32" i="5"/>
  <c r="J32" i="5"/>
  <c r="I32" i="5"/>
  <c r="H32" i="5"/>
  <c r="G32" i="5"/>
  <c r="F32" i="5"/>
  <c r="E32" i="5"/>
  <c r="V30" i="5"/>
  <c r="U30" i="5"/>
  <c r="T30" i="5"/>
  <c r="S30" i="5"/>
  <c r="R30" i="5"/>
  <c r="Q30" i="5"/>
  <c r="P30" i="5"/>
  <c r="O30" i="5"/>
  <c r="N30" i="5"/>
  <c r="M30" i="5"/>
  <c r="L30" i="5"/>
  <c r="K30" i="5"/>
  <c r="J30" i="5"/>
  <c r="I30" i="5"/>
  <c r="H30" i="5"/>
  <c r="G30" i="5"/>
  <c r="F30" i="5"/>
  <c r="E30" i="5"/>
  <c r="V29" i="5"/>
  <c r="U29" i="5"/>
  <c r="T29" i="5"/>
  <c r="S29" i="5"/>
  <c r="R29" i="5"/>
  <c r="Q29" i="5"/>
  <c r="P29" i="5"/>
  <c r="O29" i="5"/>
  <c r="N29" i="5"/>
  <c r="M29" i="5"/>
  <c r="L29" i="5"/>
  <c r="K29" i="5"/>
  <c r="J29" i="5"/>
  <c r="I29" i="5"/>
  <c r="H29" i="5"/>
  <c r="G29" i="5"/>
  <c r="F29" i="5"/>
  <c r="E29" i="5"/>
  <c r="V28" i="5"/>
  <c r="U28" i="5"/>
  <c r="T28" i="5"/>
  <c r="S28" i="5"/>
  <c r="R28" i="5"/>
  <c r="Q28" i="5"/>
  <c r="P28" i="5"/>
  <c r="O28" i="5"/>
  <c r="N28" i="5"/>
  <c r="M28" i="5"/>
  <c r="L28" i="5"/>
  <c r="K28" i="5"/>
  <c r="J28" i="5"/>
  <c r="I28" i="5"/>
  <c r="H28" i="5"/>
  <c r="G28" i="5"/>
  <c r="F28" i="5"/>
  <c r="E28" i="5"/>
  <c r="V27" i="5"/>
  <c r="U27" i="5"/>
  <c r="T27" i="5"/>
  <c r="S27" i="5"/>
  <c r="R27" i="5"/>
  <c r="Q27" i="5"/>
  <c r="P27" i="5"/>
  <c r="O27" i="5"/>
  <c r="N27" i="5"/>
  <c r="M27" i="5"/>
  <c r="L27" i="5"/>
  <c r="K27" i="5"/>
  <c r="J27" i="5"/>
  <c r="I27" i="5"/>
  <c r="H27" i="5"/>
  <c r="G27" i="5"/>
  <c r="F27" i="5"/>
  <c r="E27" i="5"/>
  <c r="V26" i="5"/>
  <c r="U26" i="5"/>
  <c r="T26" i="5"/>
  <c r="S26" i="5"/>
  <c r="R26" i="5"/>
  <c r="Q26" i="5"/>
  <c r="P26" i="5"/>
  <c r="O26" i="5"/>
  <c r="N26" i="5"/>
  <c r="M26" i="5"/>
  <c r="L26" i="5"/>
  <c r="K26" i="5"/>
  <c r="J26" i="5"/>
  <c r="I26" i="5"/>
  <c r="H26" i="5"/>
  <c r="G26" i="5"/>
  <c r="F26" i="5"/>
  <c r="E26" i="5"/>
  <c r="V25" i="5"/>
  <c r="U25" i="5"/>
  <c r="T25" i="5"/>
  <c r="S25" i="5"/>
  <c r="R25" i="5"/>
  <c r="Q25" i="5"/>
  <c r="P25" i="5"/>
  <c r="O25" i="5"/>
  <c r="N25" i="5"/>
  <c r="M25" i="5"/>
  <c r="L25" i="5"/>
  <c r="K25" i="5"/>
  <c r="J25" i="5"/>
  <c r="I25" i="5"/>
  <c r="H25" i="5"/>
  <c r="G25" i="5"/>
  <c r="F25" i="5"/>
  <c r="E25" i="5"/>
  <c r="V23" i="5"/>
  <c r="U23" i="5"/>
  <c r="T23" i="5"/>
  <c r="S23" i="5"/>
  <c r="R23" i="5"/>
  <c r="Q23" i="5"/>
  <c r="P23" i="5"/>
  <c r="O23" i="5"/>
  <c r="N23" i="5"/>
  <c r="M23" i="5"/>
  <c r="L23" i="5"/>
  <c r="K23" i="5"/>
  <c r="J23" i="5"/>
  <c r="I23" i="5"/>
  <c r="H23" i="5"/>
  <c r="G23" i="5"/>
  <c r="F23" i="5"/>
  <c r="E23" i="5"/>
  <c r="V22" i="5"/>
  <c r="U22" i="5"/>
  <c r="T22" i="5"/>
  <c r="S22" i="5"/>
  <c r="R22" i="5"/>
  <c r="Q22" i="5"/>
  <c r="P22" i="5"/>
  <c r="O22" i="5"/>
  <c r="N22" i="5"/>
  <c r="M22" i="5"/>
  <c r="L22" i="5"/>
  <c r="K22" i="5"/>
  <c r="J22" i="5"/>
  <c r="I22" i="5"/>
  <c r="H22" i="5"/>
  <c r="G22" i="5"/>
  <c r="F22" i="5"/>
  <c r="E22" i="5"/>
  <c r="V21" i="5"/>
  <c r="U21" i="5"/>
  <c r="T21" i="5"/>
  <c r="S21" i="5"/>
  <c r="R21" i="5"/>
  <c r="Q21" i="5"/>
  <c r="P21" i="5"/>
  <c r="O21" i="5"/>
  <c r="N21" i="5"/>
  <c r="M21" i="5"/>
  <c r="L21" i="5"/>
  <c r="K21" i="5"/>
  <c r="J21" i="5"/>
  <c r="I21" i="5"/>
  <c r="H21" i="5"/>
  <c r="G21" i="5"/>
  <c r="F21" i="5"/>
  <c r="E21" i="5"/>
  <c r="V20" i="5"/>
  <c r="U20" i="5"/>
  <c r="T20" i="5"/>
  <c r="S20" i="5"/>
  <c r="R20" i="5"/>
  <c r="Q20" i="5"/>
  <c r="P20" i="5"/>
  <c r="O20" i="5"/>
  <c r="N20" i="5"/>
  <c r="M20" i="5"/>
  <c r="L20" i="5"/>
  <c r="K20" i="5"/>
  <c r="J20" i="5"/>
  <c r="I20" i="5"/>
  <c r="H20" i="5"/>
  <c r="G20" i="5"/>
  <c r="F20" i="5"/>
  <c r="E20" i="5"/>
  <c r="V19" i="5"/>
  <c r="U19" i="5"/>
  <c r="T19" i="5"/>
  <c r="S19" i="5"/>
  <c r="R19" i="5"/>
  <c r="Q19" i="5"/>
  <c r="P19" i="5"/>
  <c r="O19" i="5"/>
  <c r="N19" i="5"/>
  <c r="M19" i="5"/>
  <c r="L19" i="5"/>
  <c r="K19" i="5"/>
  <c r="J19" i="5"/>
  <c r="I19" i="5"/>
  <c r="H19" i="5"/>
  <c r="G19" i="5"/>
  <c r="F19" i="5"/>
  <c r="E19" i="5"/>
  <c r="V18" i="5"/>
  <c r="U18" i="5"/>
  <c r="T18" i="5"/>
  <c r="S18" i="5"/>
  <c r="R18" i="5"/>
  <c r="Q18" i="5"/>
  <c r="P18" i="5"/>
  <c r="O18" i="5"/>
  <c r="N18" i="5"/>
  <c r="M18" i="5"/>
  <c r="L18" i="5"/>
  <c r="K18" i="5"/>
  <c r="J18" i="5"/>
  <c r="I18" i="5"/>
  <c r="H18" i="5"/>
  <c r="G18" i="5"/>
  <c r="F18" i="5"/>
  <c r="E18" i="5"/>
  <c r="V16" i="5"/>
  <c r="U16" i="5"/>
  <c r="T16" i="5"/>
  <c r="S16" i="5"/>
  <c r="R16" i="5"/>
  <c r="Q16" i="5"/>
  <c r="P16" i="5"/>
  <c r="O16" i="5"/>
  <c r="N16" i="5"/>
  <c r="M16" i="5"/>
  <c r="L16" i="5"/>
  <c r="K16" i="5"/>
  <c r="J16" i="5"/>
  <c r="I16" i="5"/>
  <c r="H16" i="5"/>
  <c r="G16" i="5"/>
  <c r="F16" i="5"/>
  <c r="E16" i="5"/>
  <c r="V15" i="5"/>
  <c r="U15" i="5"/>
  <c r="T15" i="5"/>
  <c r="S15" i="5"/>
  <c r="R15" i="5"/>
  <c r="Q15" i="5"/>
  <c r="P15" i="5"/>
  <c r="O15" i="5"/>
  <c r="N15" i="5"/>
  <c r="M15" i="5"/>
  <c r="L15" i="5"/>
  <c r="K15" i="5"/>
  <c r="J15" i="5"/>
  <c r="I15" i="5"/>
  <c r="H15" i="5"/>
  <c r="G15" i="5"/>
  <c r="F15" i="5"/>
  <c r="E15" i="5"/>
  <c r="V14" i="5"/>
  <c r="U14" i="5"/>
  <c r="T14" i="5"/>
  <c r="S14" i="5"/>
  <c r="R14" i="5"/>
  <c r="Q14" i="5"/>
  <c r="P14" i="5"/>
  <c r="O14" i="5"/>
  <c r="N14" i="5"/>
  <c r="M14" i="5"/>
  <c r="L14" i="5"/>
  <c r="K14" i="5"/>
  <c r="J14" i="5"/>
  <c r="I14" i="5"/>
  <c r="H14" i="5"/>
  <c r="G14" i="5"/>
  <c r="F14" i="5"/>
  <c r="E14" i="5"/>
  <c r="V13" i="5"/>
  <c r="U13" i="5"/>
  <c r="T13" i="5"/>
  <c r="S13" i="5"/>
  <c r="R13" i="5"/>
  <c r="Q13" i="5"/>
  <c r="P13" i="5"/>
  <c r="O13" i="5"/>
  <c r="N13" i="5"/>
  <c r="M13" i="5"/>
  <c r="L13" i="5"/>
  <c r="K13" i="5"/>
  <c r="J13" i="5"/>
  <c r="I13" i="5"/>
  <c r="H13" i="5"/>
  <c r="G13" i="5"/>
  <c r="F13" i="5"/>
  <c r="E13" i="5"/>
  <c r="V12" i="5"/>
  <c r="U12" i="5"/>
  <c r="T12" i="5"/>
  <c r="S12" i="5"/>
  <c r="R12" i="5"/>
  <c r="Q12" i="5"/>
  <c r="P12" i="5"/>
  <c r="O12" i="5"/>
  <c r="N12" i="5"/>
  <c r="M12" i="5"/>
  <c r="L12" i="5"/>
  <c r="K12" i="5"/>
  <c r="J12" i="5"/>
  <c r="I12" i="5"/>
  <c r="H12" i="5"/>
  <c r="G12" i="5"/>
  <c r="F12" i="5"/>
  <c r="E12" i="5"/>
  <c r="V11" i="5"/>
  <c r="U11" i="5"/>
  <c r="T11" i="5"/>
  <c r="S11" i="5"/>
  <c r="R11" i="5"/>
  <c r="Q11" i="5"/>
  <c r="P11" i="5"/>
  <c r="O11" i="5"/>
  <c r="N11" i="5"/>
  <c r="M11" i="5"/>
  <c r="L11" i="5"/>
  <c r="K11" i="5"/>
  <c r="J11" i="5"/>
  <c r="I11" i="5"/>
  <c r="H11" i="5"/>
  <c r="G11" i="5"/>
  <c r="F11" i="5"/>
  <c r="E11" i="5"/>
  <c r="V10" i="5"/>
  <c r="U10" i="5"/>
  <c r="T10" i="5"/>
  <c r="S10" i="5"/>
  <c r="R10" i="5"/>
  <c r="Q10" i="5"/>
  <c r="P10" i="5"/>
  <c r="O10" i="5"/>
  <c r="N10" i="5"/>
  <c r="M10" i="5"/>
  <c r="L10" i="5"/>
  <c r="K10" i="5"/>
  <c r="J10" i="5"/>
  <c r="I10" i="5"/>
  <c r="H10" i="5"/>
  <c r="G10" i="5"/>
  <c r="F10" i="5"/>
  <c r="E10" i="5"/>
  <c r="V9" i="5"/>
  <c r="U9" i="5"/>
  <c r="T9" i="5"/>
  <c r="S9" i="5"/>
  <c r="R9" i="5"/>
  <c r="Q9" i="5"/>
  <c r="P9" i="5"/>
  <c r="O9" i="5"/>
  <c r="N9" i="5"/>
  <c r="M9" i="5"/>
  <c r="L9" i="5"/>
  <c r="K9" i="5"/>
  <c r="J9" i="5"/>
  <c r="I9" i="5"/>
  <c r="H9" i="5"/>
  <c r="G9" i="5"/>
  <c r="F9" i="5"/>
  <c r="E9" i="5"/>
  <c r="V8" i="5"/>
  <c r="U8" i="5"/>
  <c r="T8" i="5"/>
  <c r="S8" i="5"/>
  <c r="R8" i="5"/>
  <c r="Q8" i="5"/>
  <c r="P8" i="5"/>
  <c r="O8" i="5"/>
  <c r="N8" i="5"/>
  <c r="M8" i="5"/>
  <c r="L8" i="5"/>
  <c r="K8" i="5"/>
  <c r="J8" i="5"/>
  <c r="I8" i="5"/>
  <c r="H8" i="5"/>
  <c r="G8" i="5"/>
  <c r="F8" i="5"/>
  <c r="E8" i="5"/>
  <c r="V7" i="5"/>
  <c r="U7" i="5"/>
  <c r="T7" i="5"/>
  <c r="S7" i="5"/>
  <c r="R7" i="5"/>
  <c r="Q7" i="5"/>
  <c r="P7" i="5"/>
  <c r="O7" i="5"/>
  <c r="N7" i="5"/>
  <c r="M7" i="5"/>
  <c r="L7" i="5"/>
  <c r="K7" i="5"/>
  <c r="J7" i="5"/>
  <c r="I7" i="5"/>
  <c r="H7" i="5"/>
  <c r="G7" i="5"/>
  <c r="F7" i="5"/>
  <c r="E7" i="5"/>
  <c r="V139" i="3"/>
  <c r="U139" i="3"/>
  <c r="T139" i="3"/>
  <c r="S139" i="3"/>
  <c r="R139" i="3"/>
  <c r="Q139" i="3"/>
  <c r="P139" i="3"/>
  <c r="O139" i="3"/>
  <c r="N139" i="3"/>
  <c r="M139" i="3"/>
  <c r="L139" i="3"/>
  <c r="K139" i="3"/>
  <c r="J139" i="3"/>
  <c r="I139" i="3"/>
  <c r="H139" i="3"/>
  <c r="G139" i="3"/>
  <c r="F139" i="3"/>
  <c r="E139" i="3"/>
  <c r="V138" i="3"/>
  <c r="U138" i="3"/>
  <c r="T138" i="3"/>
  <c r="S138" i="3"/>
  <c r="R138" i="3"/>
  <c r="Q138" i="3"/>
  <c r="P138" i="3"/>
  <c r="O138" i="3"/>
  <c r="N138" i="3"/>
  <c r="M138" i="3"/>
  <c r="L138" i="3"/>
  <c r="K138" i="3"/>
  <c r="J138" i="3"/>
  <c r="I138" i="3"/>
  <c r="H138" i="3"/>
  <c r="G138" i="3"/>
  <c r="F138" i="3"/>
  <c r="E138" i="3"/>
  <c r="V137" i="3"/>
  <c r="U137" i="3"/>
  <c r="T137" i="3"/>
  <c r="S137" i="3"/>
  <c r="R137" i="3"/>
  <c r="Q137" i="3"/>
  <c r="P137" i="3"/>
  <c r="O137" i="3"/>
  <c r="N137" i="3"/>
  <c r="M137" i="3"/>
  <c r="L137" i="3"/>
  <c r="K137" i="3"/>
  <c r="J137" i="3"/>
  <c r="I137" i="3"/>
  <c r="H137" i="3"/>
  <c r="G137" i="3"/>
  <c r="F137" i="3"/>
  <c r="E137" i="3"/>
  <c r="V136" i="3"/>
  <c r="U136" i="3"/>
  <c r="T136" i="3"/>
  <c r="S136" i="3"/>
  <c r="R136" i="3"/>
  <c r="Q136" i="3"/>
  <c r="P136" i="3"/>
  <c r="O136" i="3"/>
  <c r="N136" i="3"/>
  <c r="M136" i="3"/>
  <c r="L136" i="3"/>
  <c r="K136" i="3"/>
  <c r="J136" i="3"/>
  <c r="I136" i="3"/>
  <c r="H136" i="3"/>
  <c r="G136" i="3"/>
  <c r="F136" i="3"/>
  <c r="E136" i="3"/>
  <c r="V135" i="3"/>
  <c r="U135" i="3"/>
  <c r="T135" i="3"/>
  <c r="S135" i="3"/>
  <c r="R135" i="3"/>
  <c r="Q135" i="3"/>
  <c r="P135" i="3"/>
  <c r="O135" i="3"/>
  <c r="N135" i="3"/>
  <c r="M135" i="3"/>
  <c r="L135" i="3"/>
  <c r="K135" i="3"/>
  <c r="J135" i="3"/>
  <c r="I135" i="3"/>
  <c r="H135" i="3"/>
  <c r="G135" i="3"/>
  <c r="F135" i="3"/>
  <c r="E135" i="3"/>
  <c r="V134" i="3"/>
  <c r="U134" i="3"/>
  <c r="T134" i="3"/>
  <c r="S134" i="3"/>
  <c r="R134" i="3"/>
  <c r="Q134" i="3"/>
  <c r="P134" i="3"/>
  <c r="O134" i="3"/>
  <c r="N134" i="3"/>
  <c r="M134" i="3"/>
  <c r="L134" i="3"/>
  <c r="K134" i="3"/>
  <c r="J134" i="3"/>
  <c r="I134" i="3"/>
  <c r="H134" i="3"/>
  <c r="G134" i="3"/>
  <c r="F134" i="3"/>
  <c r="E134" i="3"/>
  <c r="V133" i="3"/>
  <c r="U133" i="3"/>
  <c r="T133" i="3"/>
  <c r="S133" i="3"/>
  <c r="R133" i="3"/>
  <c r="Q133" i="3"/>
  <c r="P133" i="3"/>
  <c r="O133" i="3"/>
  <c r="N133" i="3"/>
  <c r="M133" i="3"/>
  <c r="L133" i="3"/>
  <c r="K133" i="3"/>
  <c r="J133" i="3"/>
  <c r="I133" i="3"/>
  <c r="H133" i="3"/>
  <c r="G133" i="3"/>
  <c r="F133" i="3"/>
  <c r="E133" i="3"/>
  <c r="V132" i="3"/>
  <c r="U132" i="3"/>
  <c r="T132" i="3"/>
  <c r="S132" i="3"/>
  <c r="R132" i="3"/>
  <c r="Q132" i="3"/>
  <c r="P132" i="3"/>
  <c r="O132" i="3"/>
  <c r="N132" i="3"/>
  <c r="M132" i="3"/>
  <c r="L132" i="3"/>
  <c r="K132" i="3"/>
  <c r="J132" i="3"/>
  <c r="I132" i="3"/>
  <c r="H132" i="3"/>
  <c r="G132" i="3"/>
  <c r="F132" i="3"/>
  <c r="E132" i="3"/>
  <c r="V131" i="3"/>
  <c r="U131" i="3"/>
  <c r="T131" i="3"/>
  <c r="S131" i="3"/>
  <c r="R131" i="3"/>
  <c r="Q131" i="3"/>
  <c r="P131" i="3"/>
  <c r="O131" i="3"/>
  <c r="N131" i="3"/>
  <c r="M131" i="3"/>
  <c r="L131" i="3"/>
  <c r="K131" i="3"/>
  <c r="J131" i="3"/>
  <c r="I131" i="3"/>
  <c r="H131" i="3"/>
  <c r="G131" i="3"/>
  <c r="F131" i="3"/>
  <c r="E131" i="3"/>
  <c r="V130" i="3"/>
  <c r="U130" i="3"/>
  <c r="T130" i="3"/>
  <c r="S130" i="3"/>
  <c r="R130" i="3"/>
  <c r="Q130" i="3"/>
  <c r="P130" i="3"/>
  <c r="O130" i="3"/>
  <c r="N130" i="3"/>
  <c r="M130" i="3"/>
  <c r="L130" i="3"/>
  <c r="K130" i="3"/>
  <c r="J130" i="3"/>
  <c r="I130" i="3"/>
  <c r="H130" i="3"/>
  <c r="G130" i="3"/>
  <c r="F130" i="3"/>
  <c r="E130" i="3"/>
  <c r="V129" i="3"/>
  <c r="U129" i="3"/>
  <c r="T129" i="3"/>
  <c r="S129" i="3"/>
  <c r="R129" i="3"/>
  <c r="Q129" i="3"/>
  <c r="P129" i="3"/>
  <c r="O129" i="3"/>
  <c r="N129" i="3"/>
  <c r="M129" i="3"/>
  <c r="L129" i="3"/>
  <c r="K129" i="3"/>
  <c r="J129" i="3"/>
  <c r="I129" i="3"/>
  <c r="H129" i="3"/>
  <c r="G129" i="3"/>
  <c r="F129" i="3"/>
  <c r="E129" i="3"/>
  <c r="V127" i="3"/>
  <c r="U127" i="3"/>
  <c r="T127" i="3"/>
  <c r="S127" i="3"/>
  <c r="R127" i="3"/>
  <c r="Q127" i="3"/>
  <c r="P127" i="3"/>
  <c r="O127" i="3"/>
  <c r="N127" i="3"/>
  <c r="M127" i="3"/>
  <c r="L127" i="3"/>
  <c r="K127" i="3"/>
  <c r="J127" i="3"/>
  <c r="I127" i="3"/>
  <c r="H127" i="3"/>
  <c r="G127" i="3"/>
  <c r="F127" i="3"/>
  <c r="E127" i="3"/>
  <c r="V126" i="3"/>
  <c r="U126" i="3"/>
  <c r="T126" i="3"/>
  <c r="S126" i="3"/>
  <c r="R126" i="3"/>
  <c r="Q126" i="3"/>
  <c r="P126" i="3"/>
  <c r="O126" i="3"/>
  <c r="N126" i="3"/>
  <c r="M126" i="3"/>
  <c r="L126" i="3"/>
  <c r="K126" i="3"/>
  <c r="J126" i="3"/>
  <c r="I126" i="3"/>
  <c r="H126" i="3"/>
  <c r="G126" i="3"/>
  <c r="F126" i="3"/>
  <c r="E126" i="3"/>
  <c r="V125" i="3"/>
  <c r="U125" i="3"/>
  <c r="T125" i="3"/>
  <c r="S125" i="3"/>
  <c r="R125" i="3"/>
  <c r="Q125" i="3"/>
  <c r="P125" i="3"/>
  <c r="O125" i="3"/>
  <c r="N125" i="3"/>
  <c r="M125" i="3"/>
  <c r="L125" i="3"/>
  <c r="K125" i="3"/>
  <c r="J125" i="3"/>
  <c r="I125" i="3"/>
  <c r="H125" i="3"/>
  <c r="G125" i="3"/>
  <c r="F125" i="3"/>
  <c r="E125" i="3"/>
  <c r="V124" i="3"/>
  <c r="U124" i="3"/>
  <c r="T124" i="3"/>
  <c r="S124" i="3"/>
  <c r="R124" i="3"/>
  <c r="Q124" i="3"/>
  <c r="P124" i="3"/>
  <c r="O124" i="3"/>
  <c r="N124" i="3"/>
  <c r="M124" i="3"/>
  <c r="L124" i="3"/>
  <c r="K124" i="3"/>
  <c r="J124" i="3"/>
  <c r="I124" i="3"/>
  <c r="H124" i="3"/>
  <c r="G124" i="3"/>
  <c r="F124" i="3"/>
  <c r="E124" i="3"/>
  <c r="V123" i="3"/>
  <c r="U123" i="3"/>
  <c r="T123" i="3"/>
  <c r="S123" i="3"/>
  <c r="R123" i="3"/>
  <c r="Q123" i="3"/>
  <c r="P123" i="3"/>
  <c r="O123" i="3"/>
  <c r="N123" i="3"/>
  <c r="M123" i="3"/>
  <c r="L123" i="3"/>
  <c r="K123" i="3"/>
  <c r="J123" i="3"/>
  <c r="I123" i="3"/>
  <c r="H123" i="3"/>
  <c r="G123" i="3"/>
  <c r="F123" i="3"/>
  <c r="E123" i="3"/>
  <c r="V122" i="3"/>
  <c r="U122" i="3"/>
  <c r="T122" i="3"/>
  <c r="S122" i="3"/>
  <c r="R122" i="3"/>
  <c r="Q122" i="3"/>
  <c r="P122" i="3"/>
  <c r="O122" i="3"/>
  <c r="N122" i="3"/>
  <c r="M122" i="3"/>
  <c r="L122" i="3"/>
  <c r="K122" i="3"/>
  <c r="J122" i="3"/>
  <c r="I122" i="3"/>
  <c r="H122" i="3"/>
  <c r="G122" i="3"/>
  <c r="F122" i="3"/>
  <c r="E122" i="3"/>
  <c r="V121" i="3"/>
  <c r="U121" i="3"/>
  <c r="T121" i="3"/>
  <c r="S121" i="3"/>
  <c r="R121" i="3"/>
  <c r="Q121" i="3"/>
  <c r="P121" i="3"/>
  <c r="O121" i="3"/>
  <c r="N121" i="3"/>
  <c r="M121" i="3"/>
  <c r="L121" i="3"/>
  <c r="K121" i="3"/>
  <c r="J121" i="3"/>
  <c r="I121" i="3"/>
  <c r="H121" i="3"/>
  <c r="G121" i="3"/>
  <c r="F121" i="3"/>
  <c r="E121" i="3"/>
  <c r="V120" i="3"/>
  <c r="U120" i="3"/>
  <c r="T120" i="3"/>
  <c r="S120" i="3"/>
  <c r="R120" i="3"/>
  <c r="Q120" i="3"/>
  <c r="P120" i="3"/>
  <c r="O120" i="3"/>
  <c r="N120" i="3"/>
  <c r="M120" i="3"/>
  <c r="L120" i="3"/>
  <c r="K120" i="3"/>
  <c r="J120" i="3"/>
  <c r="I120" i="3"/>
  <c r="H120" i="3"/>
  <c r="G120" i="3"/>
  <c r="F120" i="3"/>
  <c r="E120" i="3"/>
  <c r="V119" i="3"/>
  <c r="U119" i="3"/>
  <c r="T119" i="3"/>
  <c r="S119" i="3"/>
  <c r="R119" i="3"/>
  <c r="Q119" i="3"/>
  <c r="P119" i="3"/>
  <c r="O119" i="3"/>
  <c r="N119" i="3"/>
  <c r="M119" i="3"/>
  <c r="L119" i="3"/>
  <c r="K119" i="3"/>
  <c r="J119" i="3"/>
  <c r="I119" i="3"/>
  <c r="H119" i="3"/>
  <c r="G119" i="3"/>
  <c r="F119" i="3"/>
  <c r="E119" i="3"/>
  <c r="V118" i="3"/>
  <c r="U118" i="3"/>
  <c r="T118" i="3"/>
  <c r="S118" i="3"/>
  <c r="R118" i="3"/>
  <c r="Q118" i="3"/>
  <c r="P118" i="3"/>
  <c r="O118" i="3"/>
  <c r="N118" i="3"/>
  <c r="M118" i="3"/>
  <c r="L118" i="3"/>
  <c r="K118" i="3"/>
  <c r="J118" i="3"/>
  <c r="I118" i="3"/>
  <c r="H118" i="3"/>
  <c r="G118" i="3"/>
  <c r="F118" i="3"/>
  <c r="E118" i="3"/>
  <c r="V117" i="3"/>
  <c r="U117" i="3"/>
  <c r="T117" i="3"/>
  <c r="S117" i="3"/>
  <c r="R117" i="3"/>
  <c r="Q117" i="3"/>
  <c r="P117" i="3"/>
  <c r="O117" i="3"/>
  <c r="N117" i="3"/>
  <c r="M117" i="3"/>
  <c r="L117" i="3"/>
  <c r="K117" i="3"/>
  <c r="J117" i="3"/>
  <c r="I117" i="3"/>
  <c r="H117" i="3"/>
  <c r="G117" i="3"/>
  <c r="F117" i="3"/>
  <c r="E117" i="3"/>
  <c r="V116" i="3"/>
  <c r="U116" i="3"/>
  <c r="T116" i="3"/>
  <c r="S116" i="3"/>
  <c r="R116" i="3"/>
  <c r="Q116" i="3"/>
  <c r="P116" i="3"/>
  <c r="O116" i="3"/>
  <c r="N116" i="3"/>
  <c r="M116" i="3"/>
  <c r="L116" i="3"/>
  <c r="K116" i="3"/>
  <c r="J116" i="3"/>
  <c r="I116" i="3"/>
  <c r="H116" i="3"/>
  <c r="G116" i="3"/>
  <c r="F116" i="3"/>
  <c r="E116" i="3"/>
  <c r="V115" i="3"/>
  <c r="U115" i="3"/>
  <c r="T115" i="3"/>
  <c r="S115" i="3"/>
  <c r="R115" i="3"/>
  <c r="Q115" i="3"/>
  <c r="P115" i="3"/>
  <c r="O115" i="3"/>
  <c r="N115" i="3"/>
  <c r="M115" i="3"/>
  <c r="L115" i="3"/>
  <c r="K115" i="3"/>
  <c r="J115" i="3"/>
  <c r="I115" i="3"/>
  <c r="H115" i="3"/>
  <c r="G115" i="3"/>
  <c r="F115" i="3"/>
  <c r="E115" i="3"/>
  <c r="V114" i="3"/>
  <c r="U114" i="3"/>
  <c r="T114" i="3"/>
  <c r="S114" i="3"/>
  <c r="R114" i="3"/>
  <c r="Q114" i="3"/>
  <c r="P114" i="3"/>
  <c r="O114" i="3"/>
  <c r="N114" i="3"/>
  <c r="M114" i="3"/>
  <c r="L114" i="3"/>
  <c r="K114" i="3"/>
  <c r="J114" i="3"/>
  <c r="I114" i="3"/>
  <c r="H114" i="3"/>
  <c r="G114" i="3"/>
  <c r="F114" i="3"/>
  <c r="E114" i="3"/>
  <c r="V113" i="3"/>
  <c r="U113" i="3"/>
  <c r="T113" i="3"/>
  <c r="S113" i="3"/>
  <c r="R113" i="3"/>
  <c r="Q113" i="3"/>
  <c r="P113" i="3"/>
  <c r="O113" i="3"/>
  <c r="N113" i="3"/>
  <c r="M113" i="3"/>
  <c r="L113" i="3"/>
  <c r="K113" i="3"/>
  <c r="J113" i="3"/>
  <c r="I113" i="3"/>
  <c r="H113" i="3"/>
  <c r="G113" i="3"/>
  <c r="F113" i="3"/>
  <c r="E113" i="3"/>
  <c r="V112" i="3"/>
  <c r="U112" i="3"/>
  <c r="T112" i="3"/>
  <c r="S112" i="3"/>
  <c r="R112" i="3"/>
  <c r="Q112" i="3"/>
  <c r="P112" i="3"/>
  <c r="O112" i="3"/>
  <c r="N112" i="3"/>
  <c r="M112" i="3"/>
  <c r="L112" i="3"/>
  <c r="K112" i="3"/>
  <c r="J112" i="3"/>
  <c r="I112" i="3"/>
  <c r="H112" i="3"/>
  <c r="G112" i="3"/>
  <c r="F112" i="3"/>
  <c r="E112" i="3"/>
  <c r="V111" i="3"/>
  <c r="U111" i="3"/>
  <c r="T111" i="3"/>
  <c r="S111" i="3"/>
  <c r="R111" i="3"/>
  <c r="Q111" i="3"/>
  <c r="P111" i="3"/>
  <c r="O111" i="3"/>
  <c r="N111" i="3"/>
  <c r="M111" i="3"/>
  <c r="L111" i="3"/>
  <c r="K111" i="3"/>
  <c r="J111" i="3"/>
  <c r="I111" i="3"/>
  <c r="H111" i="3"/>
  <c r="G111" i="3"/>
  <c r="F111" i="3"/>
  <c r="E111" i="3"/>
  <c r="V110" i="3"/>
  <c r="U110" i="3"/>
  <c r="T110" i="3"/>
  <c r="S110" i="3"/>
  <c r="R110" i="3"/>
  <c r="Q110" i="3"/>
  <c r="P110" i="3"/>
  <c r="O110" i="3"/>
  <c r="N110" i="3"/>
  <c r="M110" i="3"/>
  <c r="L110" i="3"/>
  <c r="K110" i="3"/>
  <c r="J110" i="3"/>
  <c r="I110" i="3"/>
  <c r="H110" i="3"/>
  <c r="G110" i="3"/>
  <c r="F110" i="3"/>
  <c r="E110" i="3"/>
  <c r="V109" i="3"/>
  <c r="U109" i="3"/>
  <c r="T109" i="3"/>
  <c r="S109" i="3"/>
  <c r="R109" i="3"/>
  <c r="Q109" i="3"/>
  <c r="P109" i="3"/>
  <c r="O109" i="3"/>
  <c r="N109" i="3"/>
  <c r="M109" i="3"/>
  <c r="L109" i="3"/>
  <c r="K109" i="3"/>
  <c r="J109" i="3"/>
  <c r="I109" i="3"/>
  <c r="H109" i="3"/>
  <c r="G109" i="3"/>
  <c r="F109" i="3"/>
  <c r="E109" i="3"/>
  <c r="V108" i="3"/>
  <c r="U108" i="3"/>
  <c r="T108" i="3"/>
  <c r="S108" i="3"/>
  <c r="R108" i="3"/>
  <c r="Q108" i="3"/>
  <c r="P108" i="3"/>
  <c r="O108" i="3"/>
  <c r="N108" i="3"/>
  <c r="M108" i="3"/>
  <c r="L108" i="3"/>
  <c r="K108" i="3"/>
  <c r="J108" i="3"/>
  <c r="I108" i="3"/>
  <c r="H108" i="3"/>
  <c r="G108" i="3"/>
  <c r="F108" i="3"/>
  <c r="E108" i="3"/>
  <c r="V107" i="3"/>
  <c r="U107" i="3"/>
  <c r="T107" i="3"/>
  <c r="S107" i="3"/>
  <c r="R107" i="3"/>
  <c r="Q107" i="3"/>
  <c r="P107" i="3"/>
  <c r="O107" i="3"/>
  <c r="N107" i="3"/>
  <c r="M107" i="3"/>
  <c r="L107" i="3"/>
  <c r="K107" i="3"/>
  <c r="J107" i="3"/>
  <c r="I107" i="3"/>
  <c r="H107" i="3"/>
  <c r="G107" i="3"/>
  <c r="F107" i="3"/>
  <c r="E107" i="3"/>
  <c r="V106" i="3"/>
  <c r="U106" i="3"/>
  <c r="T106" i="3"/>
  <c r="S106" i="3"/>
  <c r="R106" i="3"/>
  <c r="Q106" i="3"/>
  <c r="P106" i="3"/>
  <c r="O106" i="3"/>
  <c r="N106" i="3"/>
  <c r="M106" i="3"/>
  <c r="L106" i="3"/>
  <c r="K106" i="3"/>
  <c r="J106" i="3"/>
  <c r="I106" i="3"/>
  <c r="H106" i="3"/>
  <c r="G106" i="3"/>
  <c r="F106" i="3"/>
  <c r="E106" i="3"/>
  <c r="V105" i="3"/>
  <c r="U105" i="3"/>
  <c r="T105" i="3"/>
  <c r="S105" i="3"/>
  <c r="R105" i="3"/>
  <c r="Q105" i="3"/>
  <c r="P105" i="3"/>
  <c r="O105" i="3"/>
  <c r="N105" i="3"/>
  <c r="M105" i="3"/>
  <c r="L105" i="3"/>
  <c r="K105" i="3"/>
  <c r="J105" i="3"/>
  <c r="I105" i="3"/>
  <c r="H105" i="3"/>
  <c r="G105" i="3"/>
  <c r="F105" i="3"/>
  <c r="E105" i="3"/>
  <c r="V103" i="3"/>
  <c r="U103" i="3"/>
  <c r="T103" i="3"/>
  <c r="S103" i="3"/>
  <c r="R103" i="3"/>
  <c r="Q103" i="3"/>
  <c r="P103" i="3"/>
  <c r="O103" i="3"/>
  <c r="N103" i="3"/>
  <c r="M103" i="3"/>
  <c r="L103" i="3"/>
  <c r="K103" i="3"/>
  <c r="J103" i="3"/>
  <c r="I103" i="3"/>
  <c r="H103" i="3"/>
  <c r="G103" i="3"/>
  <c r="F103" i="3"/>
  <c r="E103" i="3"/>
  <c r="V102" i="3"/>
  <c r="U102" i="3"/>
  <c r="T102" i="3"/>
  <c r="S102" i="3"/>
  <c r="R102" i="3"/>
  <c r="Q102" i="3"/>
  <c r="P102" i="3"/>
  <c r="O102" i="3"/>
  <c r="N102" i="3"/>
  <c r="M102" i="3"/>
  <c r="L102" i="3"/>
  <c r="K102" i="3"/>
  <c r="J102" i="3"/>
  <c r="I102" i="3"/>
  <c r="H102" i="3"/>
  <c r="G102" i="3"/>
  <c r="F102" i="3"/>
  <c r="E102" i="3"/>
  <c r="V101" i="3"/>
  <c r="U101" i="3"/>
  <c r="T101" i="3"/>
  <c r="S101" i="3"/>
  <c r="R101" i="3"/>
  <c r="Q101" i="3"/>
  <c r="P101" i="3"/>
  <c r="O101" i="3"/>
  <c r="N101" i="3"/>
  <c r="M101" i="3"/>
  <c r="L101" i="3"/>
  <c r="K101" i="3"/>
  <c r="J101" i="3"/>
  <c r="I101" i="3"/>
  <c r="H101" i="3"/>
  <c r="G101" i="3"/>
  <c r="F101" i="3"/>
  <c r="E101" i="3"/>
  <c r="V100" i="3"/>
  <c r="U100" i="3"/>
  <c r="T100" i="3"/>
  <c r="S100" i="3"/>
  <c r="R100" i="3"/>
  <c r="Q100" i="3"/>
  <c r="P100" i="3"/>
  <c r="O100" i="3"/>
  <c r="N100" i="3"/>
  <c r="M100" i="3"/>
  <c r="L100" i="3"/>
  <c r="K100" i="3"/>
  <c r="J100" i="3"/>
  <c r="I100" i="3"/>
  <c r="H100" i="3"/>
  <c r="G100" i="3"/>
  <c r="F100" i="3"/>
  <c r="E100" i="3"/>
  <c r="V99" i="3"/>
  <c r="U99" i="3"/>
  <c r="T99" i="3"/>
  <c r="S99" i="3"/>
  <c r="R99" i="3"/>
  <c r="Q99" i="3"/>
  <c r="P99" i="3"/>
  <c r="O99" i="3"/>
  <c r="N99" i="3"/>
  <c r="M99" i="3"/>
  <c r="L99" i="3"/>
  <c r="K99" i="3"/>
  <c r="J99" i="3"/>
  <c r="I99" i="3"/>
  <c r="H99" i="3"/>
  <c r="G99" i="3"/>
  <c r="F99" i="3"/>
  <c r="E99" i="3"/>
  <c r="V98" i="3"/>
  <c r="U98" i="3"/>
  <c r="T98" i="3"/>
  <c r="S98" i="3"/>
  <c r="R98" i="3"/>
  <c r="Q98" i="3"/>
  <c r="P98" i="3"/>
  <c r="O98" i="3"/>
  <c r="N98" i="3"/>
  <c r="M98" i="3"/>
  <c r="L98" i="3"/>
  <c r="K98" i="3"/>
  <c r="J98" i="3"/>
  <c r="I98" i="3"/>
  <c r="H98" i="3"/>
  <c r="G98" i="3"/>
  <c r="F98" i="3"/>
  <c r="E98" i="3"/>
  <c r="V97" i="3"/>
  <c r="U97" i="3"/>
  <c r="T97" i="3"/>
  <c r="S97" i="3"/>
  <c r="R97" i="3"/>
  <c r="Q97" i="3"/>
  <c r="P97" i="3"/>
  <c r="O97" i="3"/>
  <c r="N97" i="3"/>
  <c r="M97" i="3"/>
  <c r="L97" i="3"/>
  <c r="K97" i="3"/>
  <c r="J97" i="3"/>
  <c r="I97" i="3"/>
  <c r="H97" i="3"/>
  <c r="G97" i="3"/>
  <c r="F97" i="3"/>
  <c r="E97" i="3"/>
  <c r="V96" i="3"/>
  <c r="U96" i="3"/>
  <c r="T96" i="3"/>
  <c r="S96" i="3"/>
  <c r="R96" i="3"/>
  <c r="Q96" i="3"/>
  <c r="P96" i="3"/>
  <c r="O96" i="3"/>
  <c r="N96" i="3"/>
  <c r="M96" i="3"/>
  <c r="L96" i="3"/>
  <c r="K96" i="3"/>
  <c r="J96" i="3"/>
  <c r="I96" i="3"/>
  <c r="H96" i="3"/>
  <c r="G96" i="3"/>
  <c r="F96" i="3"/>
  <c r="E96" i="3"/>
  <c r="V95" i="3"/>
  <c r="U95" i="3"/>
  <c r="T95" i="3"/>
  <c r="S95" i="3"/>
  <c r="R95" i="3"/>
  <c r="Q95" i="3"/>
  <c r="P95" i="3"/>
  <c r="O95" i="3"/>
  <c r="N95" i="3"/>
  <c r="M95" i="3"/>
  <c r="L95" i="3"/>
  <c r="K95" i="3"/>
  <c r="J95" i="3"/>
  <c r="I95" i="3"/>
  <c r="H95" i="3"/>
  <c r="G95" i="3"/>
  <c r="F95" i="3"/>
  <c r="E95" i="3"/>
  <c r="V94" i="3"/>
  <c r="U94" i="3"/>
  <c r="T94" i="3"/>
  <c r="S94" i="3"/>
  <c r="R94" i="3"/>
  <c r="Q94" i="3"/>
  <c r="P94" i="3"/>
  <c r="O94" i="3"/>
  <c r="N94" i="3"/>
  <c r="M94" i="3"/>
  <c r="L94" i="3"/>
  <c r="K94" i="3"/>
  <c r="J94" i="3"/>
  <c r="I94" i="3"/>
  <c r="H94" i="3"/>
  <c r="G94" i="3"/>
  <c r="F94" i="3"/>
  <c r="E94" i="3"/>
  <c r="V93" i="3"/>
  <c r="U93" i="3"/>
  <c r="T93" i="3"/>
  <c r="S93" i="3"/>
  <c r="R93" i="3"/>
  <c r="Q93" i="3"/>
  <c r="P93" i="3"/>
  <c r="O93" i="3"/>
  <c r="N93" i="3"/>
  <c r="M93" i="3"/>
  <c r="L93" i="3"/>
  <c r="K93" i="3"/>
  <c r="J93" i="3"/>
  <c r="I93" i="3"/>
  <c r="H93" i="3"/>
  <c r="G93" i="3"/>
  <c r="F93" i="3"/>
  <c r="E93" i="3"/>
  <c r="V92" i="3"/>
  <c r="U92" i="3"/>
  <c r="T92" i="3"/>
  <c r="S92" i="3"/>
  <c r="R92" i="3"/>
  <c r="Q92" i="3"/>
  <c r="P92" i="3"/>
  <c r="O92" i="3"/>
  <c r="N92" i="3"/>
  <c r="M92" i="3"/>
  <c r="L92" i="3"/>
  <c r="K92" i="3"/>
  <c r="J92" i="3"/>
  <c r="I92" i="3"/>
  <c r="H92" i="3"/>
  <c r="G92" i="3"/>
  <c r="F92" i="3"/>
  <c r="E92" i="3"/>
  <c r="V91" i="3"/>
  <c r="U91" i="3"/>
  <c r="T91" i="3"/>
  <c r="S91" i="3"/>
  <c r="R91" i="3"/>
  <c r="Q91" i="3"/>
  <c r="P91" i="3"/>
  <c r="O91" i="3"/>
  <c r="N91" i="3"/>
  <c r="M91" i="3"/>
  <c r="L91" i="3"/>
  <c r="K91" i="3"/>
  <c r="J91" i="3"/>
  <c r="I91" i="3"/>
  <c r="H91" i="3"/>
  <c r="G91" i="3"/>
  <c r="F91" i="3"/>
  <c r="E91" i="3"/>
  <c r="V90" i="3"/>
  <c r="U90" i="3"/>
  <c r="T90" i="3"/>
  <c r="S90" i="3"/>
  <c r="R90" i="3"/>
  <c r="Q90" i="3"/>
  <c r="P90" i="3"/>
  <c r="O90" i="3"/>
  <c r="N90" i="3"/>
  <c r="M90" i="3"/>
  <c r="L90" i="3"/>
  <c r="K90" i="3"/>
  <c r="J90" i="3"/>
  <c r="I90" i="3"/>
  <c r="H90" i="3"/>
  <c r="G90" i="3"/>
  <c r="F90" i="3"/>
  <c r="E90" i="3"/>
  <c r="V89" i="3"/>
  <c r="U89" i="3"/>
  <c r="T89" i="3"/>
  <c r="S89" i="3"/>
  <c r="R89" i="3"/>
  <c r="Q89" i="3"/>
  <c r="P89" i="3"/>
  <c r="O89" i="3"/>
  <c r="N89" i="3"/>
  <c r="M89" i="3"/>
  <c r="L89" i="3"/>
  <c r="K89" i="3"/>
  <c r="J89" i="3"/>
  <c r="I89" i="3"/>
  <c r="H89" i="3"/>
  <c r="G89" i="3"/>
  <c r="F89" i="3"/>
  <c r="E89" i="3"/>
  <c r="V88" i="3"/>
  <c r="U88" i="3"/>
  <c r="T88" i="3"/>
  <c r="S88" i="3"/>
  <c r="R88" i="3"/>
  <c r="Q88" i="3"/>
  <c r="P88" i="3"/>
  <c r="O88" i="3"/>
  <c r="N88" i="3"/>
  <c r="M88" i="3"/>
  <c r="L88" i="3"/>
  <c r="K88" i="3"/>
  <c r="J88" i="3"/>
  <c r="I88" i="3"/>
  <c r="H88" i="3"/>
  <c r="G88" i="3"/>
  <c r="F88" i="3"/>
  <c r="E88" i="3"/>
  <c r="V87" i="3"/>
  <c r="U87" i="3"/>
  <c r="T87" i="3"/>
  <c r="S87" i="3"/>
  <c r="R87" i="3"/>
  <c r="Q87" i="3"/>
  <c r="P87" i="3"/>
  <c r="O87" i="3"/>
  <c r="N87" i="3"/>
  <c r="M87" i="3"/>
  <c r="L87" i="3"/>
  <c r="K87" i="3"/>
  <c r="J87" i="3"/>
  <c r="I87" i="3"/>
  <c r="H87" i="3"/>
  <c r="G87" i="3"/>
  <c r="F87" i="3"/>
  <c r="E87" i="3"/>
  <c r="V86" i="3"/>
  <c r="U86" i="3"/>
  <c r="T86" i="3"/>
  <c r="S86" i="3"/>
  <c r="R86" i="3"/>
  <c r="Q86" i="3"/>
  <c r="P86" i="3"/>
  <c r="O86" i="3"/>
  <c r="N86" i="3"/>
  <c r="M86" i="3"/>
  <c r="L86" i="3"/>
  <c r="K86" i="3"/>
  <c r="J86" i="3"/>
  <c r="I86" i="3"/>
  <c r="H86" i="3"/>
  <c r="G86" i="3"/>
  <c r="F86" i="3"/>
  <c r="E86" i="3"/>
  <c r="V85" i="3"/>
  <c r="U85" i="3"/>
  <c r="T85" i="3"/>
  <c r="S85" i="3"/>
  <c r="R85" i="3"/>
  <c r="Q85" i="3"/>
  <c r="P85" i="3"/>
  <c r="O85" i="3"/>
  <c r="N85" i="3"/>
  <c r="M85" i="3"/>
  <c r="L85" i="3"/>
  <c r="K85" i="3"/>
  <c r="J85" i="3"/>
  <c r="I85" i="3"/>
  <c r="H85" i="3"/>
  <c r="G85" i="3"/>
  <c r="F85" i="3"/>
  <c r="E85" i="3"/>
  <c r="V84" i="3"/>
  <c r="U84" i="3"/>
  <c r="T84" i="3"/>
  <c r="S84" i="3"/>
  <c r="R84" i="3"/>
  <c r="Q84" i="3"/>
  <c r="P84" i="3"/>
  <c r="O84" i="3"/>
  <c r="N84" i="3"/>
  <c r="M84" i="3"/>
  <c r="L84" i="3"/>
  <c r="K84" i="3"/>
  <c r="J84" i="3"/>
  <c r="I84" i="3"/>
  <c r="H84" i="3"/>
  <c r="G84" i="3"/>
  <c r="F84" i="3"/>
  <c r="E84" i="3"/>
  <c r="V83" i="3"/>
  <c r="U83" i="3"/>
  <c r="T83" i="3"/>
  <c r="S83" i="3"/>
  <c r="R83" i="3"/>
  <c r="Q83" i="3"/>
  <c r="P83" i="3"/>
  <c r="O83" i="3"/>
  <c r="N83" i="3"/>
  <c r="M83" i="3"/>
  <c r="L83" i="3"/>
  <c r="K83" i="3"/>
  <c r="J83" i="3"/>
  <c r="I83" i="3"/>
  <c r="H83" i="3"/>
  <c r="G83" i="3"/>
  <c r="F83" i="3"/>
  <c r="E83" i="3"/>
  <c r="V82" i="3"/>
  <c r="U82" i="3"/>
  <c r="T82" i="3"/>
  <c r="S82" i="3"/>
  <c r="R82" i="3"/>
  <c r="Q82" i="3"/>
  <c r="P82" i="3"/>
  <c r="O82" i="3"/>
  <c r="N82" i="3"/>
  <c r="M82" i="3"/>
  <c r="L82" i="3"/>
  <c r="K82" i="3"/>
  <c r="J82" i="3"/>
  <c r="I82" i="3"/>
  <c r="H82" i="3"/>
  <c r="G82" i="3"/>
  <c r="F82" i="3"/>
  <c r="E82" i="3"/>
  <c r="V81" i="3"/>
  <c r="U81" i="3"/>
  <c r="T81" i="3"/>
  <c r="S81" i="3"/>
  <c r="R81" i="3"/>
  <c r="Q81" i="3"/>
  <c r="P81" i="3"/>
  <c r="O81" i="3"/>
  <c r="N81" i="3"/>
  <c r="M81" i="3"/>
  <c r="L81" i="3"/>
  <c r="K81" i="3"/>
  <c r="J81" i="3"/>
  <c r="I81" i="3"/>
  <c r="H81" i="3"/>
  <c r="G81" i="3"/>
  <c r="F81" i="3"/>
  <c r="E81" i="3"/>
  <c r="V79" i="3"/>
  <c r="U79" i="3"/>
  <c r="T79" i="3"/>
  <c r="S79" i="3"/>
  <c r="R79" i="3"/>
  <c r="Q79" i="3"/>
  <c r="P79" i="3"/>
  <c r="O79" i="3"/>
  <c r="N79" i="3"/>
  <c r="M79" i="3"/>
  <c r="L79" i="3"/>
  <c r="K79" i="3"/>
  <c r="J79" i="3"/>
  <c r="I79" i="3"/>
  <c r="H79" i="3"/>
  <c r="G79" i="3"/>
  <c r="F79" i="3"/>
  <c r="E79" i="3"/>
  <c r="V78" i="3"/>
  <c r="U78" i="3"/>
  <c r="T78" i="3"/>
  <c r="S78" i="3"/>
  <c r="R78" i="3"/>
  <c r="Q78" i="3"/>
  <c r="P78" i="3"/>
  <c r="O78" i="3"/>
  <c r="N78" i="3"/>
  <c r="M78" i="3"/>
  <c r="L78" i="3"/>
  <c r="K78" i="3"/>
  <c r="J78" i="3"/>
  <c r="I78" i="3"/>
  <c r="H78" i="3"/>
  <c r="G78" i="3"/>
  <c r="F78" i="3"/>
  <c r="E78" i="3"/>
  <c r="V77" i="3"/>
  <c r="U77" i="3"/>
  <c r="T77" i="3"/>
  <c r="S77" i="3"/>
  <c r="R77" i="3"/>
  <c r="Q77" i="3"/>
  <c r="P77" i="3"/>
  <c r="O77" i="3"/>
  <c r="N77" i="3"/>
  <c r="M77" i="3"/>
  <c r="L77" i="3"/>
  <c r="K77" i="3"/>
  <c r="J77" i="3"/>
  <c r="I77" i="3"/>
  <c r="H77" i="3"/>
  <c r="G77" i="3"/>
  <c r="F77" i="3"/>
  <c r="E77" i="3"/>
  <c r="V76" i="3"/>
  <c r="U76" i="3"/>
  <c r="T76" i="3"/>
  <c r="S76" i="3"/>
  <c r="R76" i="3"/>
  <c r="Q76" i="3"/>
  <c r="P76" i="3"/>
  <c r="O76" i="3"/>
  <c r="N76" i="3"/>
  <c r="M76" i="3"/>
  <c r="L76" i="3"/>
  <c r="K76" i="3"/>
  <c r="J76" i="3"/>
  <c r="I76" i="3"/>
  <c r="H76" i="3"/>
  <c r="G76" i="3"/>
  <c r="F76" i="3"/>
  <c r="E76" i="3"/>
  <c r="V75" i="3"/>
  <c r="U75" i="3"/>
  <c r="T75" i="3"/>
  <c r="S75" i="3"/>
  <c r="R75" i="3"/>
  <c r="Q75" i="3"/>
  <c r="P75" i="3"/>
  <c r="O75" i="3"/>
  <c r="N75" i="3"/>
  <c r="M75" i="3"/>
  <c r="L75" i="3"/>
  <c r="K75" i="3"/>
  <c r="J75" i="3"/>
  <c r="I75" i="3"/>
  <c r="H75" i="3"/>
  <c r="G75" i="3"/>
  <c r="F75" i="3"/>
  <c r="E75" i="3"/>
  <c r="V74" i="3"/>
  <c r="U74" i="3"/>
  <c r="T74" i="3"/>
  <c r="S74" i="3"/>
  <c r="R74" i="3"/>
  <c r="Q74" i="3"/>
  <c r="P74" i="3"/>
  <c r="O74" i="3"/>
  <c r="N74" i="3"/>
  <c r="M74" i="3"/>
  <c r="L74" i="3"/>
  <c r="K74" i="3"/>
  <c r="J74" i="3"/>
  <c r="I74" i="3"/>
  <c r="H74" i="3"/>
  <c r="G74" i="3"/>
  <c r="F74" i="3"/>
  <c r="E74" i="3"/>
  <c r="V73" i="3"/>
  <c r="U73" i="3"/>
  <c r="T73" i="3"/>
  <c r="S73" i="3"/>
  <c r="R73" i="3"/>
  <c r="Q73" i="3"/>
  <c r="P73" i="3"/>
  <c r="O73" i="3"/>
  <c r="N73" i="3"/>
  <c r="M73" i="3"/>
  <c r="L73" i="3"/>
  <c r="K73" i="3"/>
  <c r="J73" i="3"/>
  <c r="I73" i="3"/>
  <c r="H73" i="3"/>
  <c r="G73" i="3"/>
  <c r="F73" i="3"/>
  <c r="E73" i="3"/>
  <c r="V72" i="3"/>
  <c r="U72" i="3"/>
  <c r="T72" i="3"/>
  <c r="S72" i="3"/>
  <c r="R72" i="3"/>
  <c r="Q72" i="3"/>
  <c r="P72" i="3"/>
  <c r="O72" i="3"/>
  <c r="N72" i="3"/>
  <c r="M72" i="3"/>
  <c r="L72" i="3"/>
  <c r="K72" i="3"/>
  <c r="J72" i="3"/>
  <c r="I72" i="3"/>
  <c r="H72" i="3"/>
  <c r="G72" i="3"/>
  <c r="F72" i="3"/>
  <c r="E72" i="3"/>
  <c r="V71" i="3"/>
  <c r="U71" i="3"/>
  <c r="T71" i="3"/>
  <c r="S71" i="3"/>
  <c r="R71" i="3"/>
  <c r="Q71" i="3"/>
  <c r="P71" i="3"/>
  <c r="O71" i="3"/>
  <c r="N71" i="3"/>
  <c r="M71" i="3"/>
  <c r="L71" i="3"/>
  <c r="K71" i="3"/>
  <c r="J71" i="3"/>
  <c r="I71" i="3"/>
  <c r="H71" i="3"/>
  <c r="G71" i="3"/>
  <c r="F71" i="3"/>
  <c r="E71" i="3"/>
  <c r="V70" i="3"/>
  <c r="U70" i="3"/>
  <c r="T70" i="3"/>
  <c r="S70" i="3"/>
  <c r="R70" i="3"/>
  <c r="Q70" i="3"/>
  <c r="P70" i="3"/>
  <c r="O70" i="3"/>
  <c r="N70" i="3"/>
  <c r="M70" i="3"/>
  <c r="L70" i="3"/>
  <c r="K70" i="3"/>
  <c r="J70" i="3"/>
  <c r="I70" i="3"/>
  <c r="H70" i="3"/>
  <c r="G70" i="3"/>
  <c r="F70" i="3"/>
  <c r="E70" i="3"/>
  <c r="V69" i="3"/>
  <c r="U69" i="3"/>
  <c r="T69" i="3"/>
  <c r="S69" i="3"/>
  <c r="R69" i="3"/>
  <c r="Q69" i="3"/>
  <c r="P69" i="3"/>
  <c r="O69" i="3"/>
  <c r="N69" i="3"/>
  <c r="M69" i="3"/>
  <c r="L69" i="3"/>
  <c r="K69" i="3"/>
  <c r="J69" i="3"/>
  <c r="I69" i="3"/>
  <c r="H69" i="3"/>
  <c r="G69" i="3"/>
  <c r="F69" i="3"/>
  <c r="E69" i="3"/>
  <c r="V68" i="3"/>
  <c r="U68" i="3"/>
  <c r="T68" i="3"/>
  <c r="S68" i="3"/>
  <c r="R68" i="3"/>
  <c r="Q68" i="3"/>
  <c r="P68" i="3"/>
  <c r="O68" i="3"/>
  <c r="N68" i="3"/>
  <c r="M68" i="3"/>
  <c r="L68" i="3"/>
  <c r="K68" i="3"/>
  <c r="J68" i="3"/>
  <c r="I68" i="3"/>
  <c r="H68" i="3"/>
  <c r="G68" i="3"/>
  <c r="F68" i="3"/>
  <c r="E68" i="3"/>
  <c r="V67" i="3"/>
  <c r="U67" i="3"/>
  <c r="T67" i="3"/>
  <c r="S67" i="3"/>
  <c r="R67" i="3"/>
  <c r="Q67" i="3"/>
  <c r="P67" i="3"/>
  <c r="O67" i="3"/>
  <c r="N67" i="3"/>
  <c r="M67" i="3"/>
  <c r="L67" i="3"/>
  <c r="K67" i="3"/>
  <c r="J67" i="3"/>
  <c r="I67" i="3"/>
  <c r="H67" i="3"/>
  <c r="G67" i="3"/>
  <c r="F67" i="3"/>
  <c r="E67" i="3"/>
  <c r="V66" i="3"/>
  <c r="U66" i="3"/>
  <c r="T66" i="3"/>
  <c r="S66" i="3"/>
  <c r="R66" i="3"/>
  <c r="Q66" i="3"/>
  <c r="P66" i="3"/>
  <c r="O66" i="3"/>
  <c r="N66" i="3"/>
  <c r="M66" i="3"/>
  <c r="L66" i="3"/>
  <c r="K66" i="3"/>
  <c r="J66" i="3"/>
  <c r="I66" i="3"/>
  <c r="H66" i="3"/>
  <c r="G66" i="3"/>
  <c r="F66" i="3"/>
  <c r="E66" i="3"/>
  <c r="V65" i="3"/>
  <c r="U65" i="3"/>
  <c r="T65" i="3"/>
  <c r="S65" i="3"/>
  <c r="R65" i="3"/>
  <c r="Q65" i="3"/>
  <c r="P65" i="3"/>
  <c r="O65" i="3"/>
  <c r="N65" i="3"/>
  <c r="M65" i="3"/>
  <c r="L65" i="3"/>
  <c r="K65" i="3"/>
  <c r="J65" i="3"/>
  <c r="I65" i="3"/>
  <c r="H65" i="3"/>
  <c r="G65" i="3"/>
  <c r="F65" i="3"/>
  <c r="E65" i="3"/>
  <c r="V64" i="3"/>
  <c r="U64" i="3"/>
  <c r="T64" i="3"/>
  <c r="S64" i="3"/>
  <c r="R64" i="3"/>
  <c r="Q64" i="3"/>
  <c r="P64" i="3"/>
  <c r="O64" i="3"/>
  <c r="N64" i="3"/>
  <c r="M64" i="3"/>
  <c r="L64" i="3"/>
  <c r="K64" i="3"/>
  <c r="J64" i="3"/>
  <c r="I64" i="3"/>
  <c r="H64" i="3"/>
  <c r="G64" i="3"/>
  <c r="F64" i="3"/>
  <c r="E64" i="3"/>
  <c r="V63" i="3"/>
  <c r="U63" i="3"/>
  <c r="T63" i="3"/>
  <c r="S63" i="3"/>
  <c r="R63" i="3"/>
  <c r="Q63" i="3"/>
  <c r="P63" i="3"/>
  <c r="O63" i="3"/>
  <c r="N63" i="3"/>
  <c r="M63" i="3"/>
  <c r="L63" i="3"/>
  <c r="K63" i="3"/>
  <c r="J63" i="3"/>
  <c r="I63" i="3"/>
  <c r="H63" i="3"/>
  <c r="G63" i="3"/>
  <c r="F63" i="3"/>
  <c r="E63" i="3"/>
  <c r="V62" i="3"/>
  <c r="U62" i="3"/>
  <c r="T62" i="3"/>
  <c r="S62" i="3"/>
  <c r="R62" i="3"/>
  <c r="Q62" i="3"/>
  <c r="P62" i="3"/>
  <c r="O62" i="3"/>
  <c r="N62" i="3"/>
  <c r="M62" i="3"/>
  <c r="L62" i="3"/>
  <c r="K62" i="3"/>
  <c r="J62" i="3"/>
  <c r="I62" i="3"/>
  <c r="H62" i="3"/>
  <c r="G62" i="3"/>
  <c r="F62" i="3"/>
  <c r="E62" i="3"/>
  <c r="V61" i="3"/>
  <c r="U61" i="3"/>
  <c r="T61" i="3"/>
  <c r="S61" i="3"/>
  <c r="R61" i="3"/>
  <c r="Q61" i="3"/>
  <c r="P61" i="3"/>
  <c r="O61" i="3"/>
  <c r="N61" i="3"/>
  <c r="M61" i="3"/>
  <c r="L61" i="3"/>
  <c r="K61" i="3"/>
  <c r="J61" i="3"/>
  <c r="I61" i="3"/>
  <c r="H61" i="3"/>
  <c r="G61" i="3"/>
  <c r="F61" i="3"/>
  <c r="E61" i="3"/>
  <c r="V59" i="3"/>
  <c r="U59" i="3"/>
  <c r="T59" i="3"/>
  <c r="S59" i="3"/>
  <c r="R59" i="3"/>
  <c r="Q59" i="3"/>
  <c r="P59" i="3"/>
  <c r="O59" i="3"/>
  <c r="N59" i="3"/>
  <c r="M59" i="3"/>
  <c r="L59" i="3"/>
  <c r="K59" i="3"/>
  <c r="J59" i="3"/>
  <c r="I59" i="3"/>
  <c r="H59" i="3"/>
  <c r="G59" i="3"/>
  <c r="F59" i="3"/>
  <c r="E59" i="3"/>
  <c r="V58" i="3"/>
  <c r="U58" i="3"/>
  <c r="T58" i="3"/>
  <c r="S58" i="3"/>
  <c r="R58" i="3"/>
  <c r="Q58" i="3"/>
  <c r="P58" i="3"/>
  <c r="O58" i="3"/>
  <c r="N58" i="3"/>
  <c r="M58" i="3"/>
  <c r="L58" i="3"/>
  <c r="K58" i="3"/>
  <c r="J58" i="3"/>
  <c r="I58" i="3"/>
  <c r="H58" i="3"/>
  <c r="G58" i="3"/>
  <c r="F58" i="3"/>
  <c r="E58" i="3"/>
  <c r="V57" i="3"/>
  <c r="U57" i="3"/>
  <c r="T57" i="3"/>
  <c r="S57" i="3"/>
  <c r="R57" i="3"/>
  <c r="Q57" i="3"/>
  <c r="P57" i="3"/>
  <c r="O57" i="3"/>
  <c r="N57" i="3"/>
  <c r="M57" i="3"/>
  <c r="L57" i="3"/>
  <c r="K57" i="3"/>
  <c r="J57" i="3"/>
  <c r="I57" i="3"/>
  <c r="H57" i="3"/>
  <c r="G57" i="3"/>
  <c r="F57" i="3"/>
  <c r="E57" i="3"/>
  <c r="V56" i="3"/>
  <c r="U56" i="3"/>
  <c r="T56" i="3"/>
  <c r="S56" i="3"/>
  <c r="R56" i="3"/>
  <c r="Q56" i="3"/>
  <c r="P56" i="3"/>
  <c r="O56" i="3"/>
  <c r="N56" i="3"/>
  <c r="M56" i="3"/>
  <c r="L56" i="3"/>
  <c r="K56" i="3"/>
  <c r="J56" i="3"/>
  <c r="I56" i="3"/>
  <c r="H56" i="3"/>
  <c r="G56" i="3"/>
  <c r="F56" i="3"/>
  <c r="E56" i="3"/>
  <c r="V55" i="3"/>
  <c r="U55" i="3"/>
  <c r="T55" i="3"/>
  <c r="S55" i="3"/>
  <c r="R55" i="3"/>
  <c r="Q55" i="3"/>
  <c r="P55" i="3"/>
  <c r="O55" i="3"/>
  <c r="N55" i="3"/>
  <c r="M55" i="3"/>
  <c r="L55" i="3"/>
  <c r="K55" i="3"/>
  <c r="J55" i="3"/>
  <c r="I55" i="3"/>
  <c r="H55" i="3"/>
  <c r="G55" i="3"/>
  <c r="F55" i="3"/>
  <c r="E55" i="3"/>
  <c r="V54" i="3"/>
  <c r="U54" i="3"/>
  <c r="T54" i="3"/>
  <c r="S54" i="3"/>
  <c r="R54" i="3"/>
  <c r="Q54" i="3"/>
  <c r="P54" i="3"/>
  <c r="O54" i="3"/>
  <c r="N54" i="3"/>
  <c r="M54" i="3"/>
  <c r="L54" i="3"/>
  <c r="K54" i="3"/>
  <c r="J54" i="3"/>
  <c r="I54" i="3"/>
  <c r="H54" i="3"/>
  <c r="G54" i="3"/>
  <c r="F54" i="3"/>
  <c r="E54" i="3"/>
  <c r="V53" i="3"/>
  <c r="U53" i="3"/>
  <c r="T53" i="3"/>
  <c r="S53" i="3"/>
  <c r="R53" i="3"/>
  <c r="Q53" i="3"/>
  <c r="P53" i="3"/>
  <c r="O53" i="3"/>
  <c r="N53" i="3"/>
  <c r="M53" i="3"/>
  <c r="L53" i="3"/>
  <c r="K53" i="3"/>
  <c r="J53" i="3"/>
  <c r="I53" i="3"/>
  <c r="H53" i="3"/>
  <c r="G53" i="3"/>
  <c r="F53" i="3"/>
  <c r="E53" i="3"/>
  <c r="V52" i="3"/>
  <c r="U52" i="3"/>
  <c r="T52" i="3"/>
  <c r="S52" i="3"/>
  <c r="R52" i="3"/>
  <c r="Q52" i="3"/>
  <c r="P52" i="3"/>
  <c r="O52" i="3"/>
  <c r="N52" i="3"/>
  <c r="M52" i="3"/>
  <c r="L52" i="3"/>
  <c r="K52" i="3"/>
  <c r="J52" i="3"/>
  <c r="I52" i="3"/>
  <c r="H52" i="3"/>
  <c r="G52" i="3"/>
  <c r="F52" i="3"/>
  <c r="E52" i="3"/>
  <c r="V51" i="3"/>
  <c r="U51" i="3"/>
  <c r="T51" i="3"/>
  <c r="S51" i="3"/>
  <c r="R51" i="3"/>
  <c r="Q51" i="3"/>
  <c r="P51" i="3"/>
  <c r="O51" i="3"/>
  <c r="N51" i="3"/>
  <c r="M51" i="3"/>
  <c r="L51" i="3"/>
  <c r="K51" i="3"/>
  <c r="J51" i="3"/>
  <c r="I51" i="3"/>
  <c r="H51" i="3"/>
  <c r="G51" i="3"/>
  <c r="F51" i="3"/>
  <c r="E51" i="3"/>
  <c r="V50" i="3"/>
  <c r="U50" i="3"/>
  <c r="T50" i="3"/>
  <c r="S50" i="3"/>
  <c r="R50" i="3"/>
  <c r="Q50" i="3"/>
  <c r="P50" i="3"/>
  <c r="O50" i="3"/>
  <c r="N50" i="3"/>
  <c r="M50" i="3"/>
  <c r="L50" i="3"/>
  <c r="K50" i="3"/>
  <c r="J50" i="3"/>
  <c r="I50" i="3"/>
  <c r="H50" i="3"/>
  <c r="G50" i="3"/>
  <c r="F50" i="3"/>
  <c r="E50" i="3"/>
  <c r="V49" i="3"/>
  <c r="U49" i="3"/>
  <c r="T49" i="3"/>
  <c r="S49" i="3"/>
  <c r="R49" i="3"/>
  <c r="Q49" i="3"/>
  <c r="P49" i="3"/>
  <c r="O49" i="3"/>
  <c r="N49" i="3"/>
  <c r="M49" i="3"/>
  <c r="L49" i="3"/>
  <c r="K49" i="3"/>
  <c r="J49" i="3"/>
  <c r="I49" i="3"/>
  <c r="H49" i="3"/>
  <c r="G49" i="3"/>
  <c r="F49" i="3"/>
  <c r="E49" i="3"/>
  <c r="V48" i="3"/>
  <c r="U48" i="3"/>
  <c r="T48" i="3"/>
  <c r="S48" i="3"/>
  <c r="R48" i="3"/>
  <c r="Q48" i="3"/>
  <c r="P48" i="3"/>
  <c r="O48" i="3"/>
  <c r="N48" i="3"/>
  <c r="M48" i="3"/>
  <c r="L48" i="3"/>
  <c r="K48" i="3"/>
  <c r="J48" i="3"/>
  <c r="I48" i="3"/>
  <c r="H48" i="3"/>
  <c r="G48" i="3"/>
  <c r="F48" i="3"/>
  <c r="E48" i="3"/>
  <c r="V47" i="3"/>
  <c r="U47" i="3"/>
  <c r="T47" i="3"/>
  <c r="S47" i="3"/>
  <c r="R47" i="3"/>
  <c r="Q47" i="3"/>
  <c r="P47" i="3"/>
  <c r="O47" i="3"/>
  <c r="N47" i="3"/>
  <c r="M47" i="3"/>
  <c r="L47" i="3"/>
  <c r="K47" i="3"/>
  <c r="J47" i="3"/>
  <c r="I47" i="3"/>
  <c r="H47" i="3"/>
  <c r="G47" i="3"/>
  <c r="F47" i="3"/>
  <c r="E47" i="3"/>
  <c r="V46" i="3"/>
  <c r="U46" i="3"/>
  <c r="T46" i="3"/>
  <c r="S46" i="3"/>
  <c r="R46" i="3"/>
  <c r="Q46" i="3"/>
  <c r="P46" i="3"/>
  <c r="O46" i="3"/>
  <c r="N46" i="3"/>
  <c r="M46" i="3"/>
  <c r="L46" i="3"/>
  <c r="K46" i="3"/>
  <c r="J46" i="3"/>
  <c r="I46" i="3"/>
  <c r="H46" i="3"/>
  <c r="G46" i="3"/>
  <c r="F46" i="3"/>
  <c r="E46" i="3"/>
  <c r="V45" i="3"/>
  <c r="U45" i="3"/>
  <c r="T45" i="3"/>
  <c r="S45" i="3"/>
  <c r="R45" i="3"/>
  <c r="Q45" i="3"/>
  <c r="P45" i="3"/>
  <c r="O45" i="3"/>
  <c r="N45" i="3"/>
  <c r="M45" i="3"/>
  <c r="L45" i="3"/>
  <c r="K45" i="3"/>
  <c r="J45" i="3"/>
  <c r="I45" i="3"/>
  <c r="H45" i="3"/>
  <c r="G45" i="3"/>
  <c r="F45" i="3"/>
  <c r="E45" i="3"/>
  <c r="V44" i="3"/>
  <c r="U44" i="3"/>
  <c r="T44" i="3"/>
  <c r="S44" i="3"/>
  <c r="R44" i="3"/>
  <c r="Q44" i="3"/>
  <c r="P44" i="3"/>
  <c r="O44" i="3"/>
  <c r="N44" i="3"/>
  <c r="M44" i="3"/>
  <c r="L44" i="3"/>
  <c r="K44" i="3"/>
  <c r="J44" i="3"/>
  <c r="I44" i="3"/>
  <c r="H44" i="3"/>
  <c r="G44" i="3"/>
  <c r="F44" i="3"/>
  <c r="E44" i="3"/>
  <c r="V43" i="3"/>
  <c r="U43" i="3"/>
  <c r="T43" i="3"/>
  <c r="S43" i="3"/>
  <c r="R43" i="3"/>
  <c r="Q43" i="3"/>
  <c r="P43" i="3"/>
  <c r="O43" i="3"/>
  <c r="N43" i="3"/>
  <c r="M43" i="3"/>
  <c r="L43" i="3"/>
  <c r="K43" i="3"/>
  <c r="J43" i="3"/>
  <c r="I43" i="3"/>
  <c r="H43" i="3"/>
  <c r="G43" i="3"/>
  <c r="F43" i="3"/>
  <c r="E43" i="3"/>
  <c r="V41" i="3"/>
  <c r="U41" i="3"/>
  <c r="T41" i="3"/>
  <c r="S41" i="3"/>
  <c r="R41" i="3"/>
  <c r="Q41" i="3"/>
  <c r="P41" i="3"/>
  <c r="O41" i="3"/>
  <c r="N41" i="3"/>
  <c r="M41" i="3"/>
  <c r="L41" i="3"/>
  <c r="K41" i="3"/>
  <c r="J41" i="3"/>
  <c r="I41" i="3"/>
  <c r="H41" i="3"/>
  <c r="G41" i="3"/>
  <c r="F41" i="3"/>
  <c r="E41" i="3"/>
  <c r="V40" i="3"/>
  <c r="U40" i="3"/>
  <c r="T40" i="3"/>
  <c r="S40" i="3"/>
  <c r="R40" i="3"/>
  <c r="Q40" i="3"/>
  <c r="P40" i="3"/>
  <c r="O40" i="3"/>
  <c r="N40" i="3"/>
  <c r="M40" i="3"/>
  <c r="L40" i="3"/>
  <c r="K40" i="3"/>
  <c r="J40" i="3"/>
  <c r="I40" i="3"/>
  <c r="H40" i="3"/>
  <c r="G40" i="3"/>
  <c r="F40" i="3"/>
  <c r="E40" i="3"/>
  <c r="V39" i="3"/>
  <c r="U39" i="3"/>
  <c r="T39" i="3"/>
  <c r="S39" i="3"/>
  <c r="R39" i="3"/>
  <c r="Q39" i="3"/>
  <c r="P39" i="3"/>
  <c r="O39" i="3"/>
  <c r="N39" i="3"/>
  <c r="M39" i="3"/>
  <c r="L39" i="3"/>
  <c r="K39" i="3"/>
  <c r="J39" i="3"/>
  <c r="I39" i="3"/>
  <c r="H39" i="3"/>
  <c r="G39" i="3"/>
  <c r="F39" i="3"/>
  <c r="E39" i="3"/>
  <c r="V38" i="3"/>
  <c r="U38" i="3"/>
  <c r="T38" i="3"/>
  <c r="S38" i="3"/>
  <c r="R38" i="3"/>
  <c r="Q38" i="3"/>
  <c r="P38" i="3"/>
  <c r="O38" i="3"/>
  <c r="N38" i="3"/>
  <c r="M38" i="3"/>
  <c r="L38" i="3"/>
  <c r="K38" i="3"/>
  <c r="J38" i="3"/>
  <c r="I38" i="3"/>
  <c r="H38" i="3"/>
  <c r="G38" i="3"/>
  <c r="F38" i="3"/>
  <c r="E38" i="3"/>
  <c r="V37" i="3"/>
  <c r="U37" i="3"/>
  <c r="T37" i="3"/>
  <c r="S37" i="3"/>
  <c r="R37" i="3"/>
  <c r="Q37" i="3"/>
  <c r="P37" i="3"/>
  <c r="O37" i="3"/>
  <c r="N37" i="3"/>
  <c r="M37" i="3"/>
  <c r="L37" i="3"/>
  <c r="K37" i="3"/>
  <c r="J37" i="3"/>
  <c r="I37" i="3"/>
  <c r="H37" i="3"/>
  <c r="G37" i="3"/>
  <c r="F37" i="3"/>
  <c r="E37" i="3"/>
  <c r="V36" i="3"/>
  <c r="U36" i="3"/>
  <c r="T36" i="3"/>
  <c r="S36" i="3"/>
  <c r="R36" i="3"/>
  <c r="Q36" i="3"/>
  <c r="P36" i="3"/>
  <c r="O36" i="3"/>
  <c r="N36" i="3"/>
  <c r="M36" i="3"/>
  <c r="L36" i="3"/>
  <c r="K36" i="3"/>
  <c r="J36" i="3"/>
  <c r="I36" i="3"/>
  <c r="H36" i="3"/>
  <c r="G36" i="3"/>
  <c r="F36" i="3"/>
  <c r="E36" i="3"/>
  <c r="V35" i="3"/>
  <c r="U35" i="3"/>
  <c r="T35" i="3"/>
  <c r="S35" i="3"/>
  <c r="R35" i="3"/>
  <c r="Q35" i="3"/>
  <c r="P35" i="3"/>
  <c r="O35" i="3"/>
  <c r="N35" i="3"/>
  <c r="M35" i="3"/>
  <c r="L35" i="3"/>
  <c r="K35" i="3"/>
  <c r="J35" i="3"/>
  <c r="I35" i="3"/>
  <c r="H35" i="3"/>
  <c r="G35" i="3"/>
  <c r="F35" i="3"/>
  <c r="E35" i="3"/>
  <c r="V34" i="3"/>
  <c r="U34" i="3"/>
  <c r="T34" i="3"/>
  <c r="S34" i="3"/>
  <c r="R34" i="3"/>
  <c r="Q34" i="3"/>
  <c r="P34" i="3"/>
  <c r="O34" i="3"/>
  <c r="N34" i="3"/>
  <c r="M34" i="3"/>
  <c r="L34" i="3"/>
  <c r="K34" i="3"/>
  <c r="J34" i="3"/>
  <c r="I34" i="3"/>
  <c r="H34" i="3"/>
  <c r="G34" i="3"/>
  <c r="F34" i="3"/>
  <c r="E34" i="3"/>
  <c r="V33" i="3"/>
  <c r="U33" i="3"/>
  <c r="T33" i="3"/>
  <c r="S33" i="3"/>
  <c r="R33" i="3"/>
  <c r="Q33" i="3"/>
  <c r="P33" i="3"/>
  <c r="O33" i="3"/>
  <c r="N33" i="3"/>
  <c r="M33" i="3"/>
  <c r="L33" i="3"/>
  <c r="K33" i="3"/>
  <c r="J33" i="3"/>
  <c r="I33" i="3"/>
  <c r="H33" i="3"/>
  <c r="G33" i="3"/>
  <c r="F33" i="3"/>
  <c r="E33" i="3"/>
  <c r="V32" i="3"/>
  <c r="U32" i="3"/>
  <c r="T32" i="3"/>
  <c r="S32" i="3"/>
  <c r="R32" i="3"/>
  <c r="Q32" i="3"/>
  <c r="P32" i="3"/>
  <c r="O32" i="3"/>
  <c r="N32" i="3"/>
  <c r="M32" i="3"/>
  <c r="L32" i="3"/>
  <c r="K32" i="3"/>
  <c r="J32" i="3"/>
  <c r="I32" i="3"/>
  <c r="H32" i="3"/>
  <c r="G32" i="3"/>
  <c r="F32" i="3"/>
  <c r="E32" i="3"/>
  <c r="V30" i="3"/>
  <c r="U30" i="3"/>
  <c r="T30" i="3"/>
  <c r="S30" i="3"/>
  <c r="R30" i="3"/>
  <c r="Q30" i="3"/>
  <c r="P30" i="3"/>
  <c r="O30" i="3"/>
  <c r="N30" i="3"/>
  <c r="M30" i="3"/>
  <c r="L30" i="3"/>
  <c r="K30" i="3"/>
  <c r="J30" i="3"/>
  <c r="I30" i="3"/>
  <c r="H30" i="3"/>
  <c r="G30" i="3"/>
  <c r="F30" i="3"/>
  <c r="E30" i="3"/>
  <c r="V29" i="3"/>
  <c r="U29" i="3"/>
  <c r="T29" i="3"/>
  <c r="S29" i="3"/>
  <c r="R29" i="3"/>
  <c r="Q29" i="3"/>
  <c r="P29" i="3"/>
  <c r="O29" i="3"/>
  <c r="N29" i="3"/>
  <c r="M29" i="3"/>
  <c r="L29" i="3"/>
  <c r="K29" i="3"/>
  <c r="J29" i="3"/>
  <c r="I29" i="3"/>
  <c r="H29" i="3"/>
  <c r="G29" i="3"/>
  <c r="F29" i="3"/>
  <c r="E29" i="3"/>
  <c r="V28" i="3"/>
  <c r="U28" i="3"/>
  <c r="T28" i="3"/>
  <c r="S28" i="3"/>
  <c r="R28" i="3"/>
  <c r="Q28" i="3"/>
  <c r="P28" i="3"/>
  <c r="O28" i="3"/>
  <c r="N28" i="3"/>
  <c r="M28" i="3"/>
  <c r="L28" i="3"/>
  <c r="K28" i="3"/>
  <c r="J28" i="3"/>
  <c r="I28" i="3"/>
  <c r="H28" i="3"/>
  <c r="G28" i="3"/>
  <c r="F28" i="3"/>
  <c r="E28" i="3"/>
  <c r="V27" i="3"/>
  <c r="U27" i="3"/>
  <c r="T27" i="3"/>
  <c r="S27" i="3"/>
  <c r="R27" i="3"/>
  <c r="Q27" i="3"/>
  <c r="P27" i="3"/>
  <c r="O27" i="3"/>
  <c r="N27" i="3"/>
  <c r="M27" i="3"/>
  <c r="L27" i="3"/>
  <c r="K27" i="3"/>
  <c r="J27" i="3"/>
  <c r="I27" i="3"/>
  <c r="H27" i="3"/>
  <c r="G27" i="3"/>
  <c r="F27" i="3"/>
  <c r="E27" i="3"/>
  <c r="V26" i="3"/>
  <c r="U26" i="3"/>
  <c r="T26" i="3"/>
  <c r="S26" i="3"/>
  <c r="R26" i="3"/>
  <c r="Q26" i="3"/>
  <c r="P26" i="3"/>
  <c r="O26" i="3"/>
  <c r="N26" i="3"/>
  <c r="M26" i="3"/>
  <c r="L26" i="3"/>
  <c r="K26" i="3"/>
  <c r="J26" i="3"/>
  <c r="I26" i="3"/>
  <c r="H26" i="3"/>
  <c r="G26" i="3"/>
  <c r="F26" i="3"/>
  <c r="E26" i="3"/>
  <c r="V25" i="3"/>
  <c r="U25" i="3"/>
  <c r="T25" i="3"/>
  <c r="S25" i="3"/>
  <c r="R25" i="3"/>
  <c r="Q25" i="3"/>
  <c r="P25" i="3"/>
  <c r="O25" i="3"/>
  <c r="N25" i="3"/>
  <c r="M25" i="3"/>
  <c r="L25" i="3"/>
  <c r="K25" i="3"/>
  <c r="J25" i="3"/>
  <c r="I25" i="3"/>
  <c r="H25" i="3"/>
  <c r="G25" i="3"/>
  <c r="F25" i="3"/>
  <c r="E25" i="3"/>
  <c r="V23" i="3"/>
  <c r="U23" i="3"/>
  <c r="T23" i="3"/>
  <c r="S23" i="3"/>
  <c r="R23" i="3"/>
  <c r="Q23" i="3"/>
  <c r="P23" i="3"/>
  <c r="O23" i="3"/>
  <c r="N23" i="3"/>
  <c r="M23" i="3"/>
  <c r="L23" i="3"/>
  <c r="K23" i="3"/>
  <c r="J23" i="3"/>
  <c r="I23" i="3"/>
  <c r="H23" i="3"/>
  <c r="G23" i="3"/>
  <c r="F23" i="3"/>
  <c r="E23" i="3"/>
  <c r="V22" i="3"/>
  <c r="U22" i="3"/>
  <c r="T22" i="3"/>
  <c r="S22" i="3"/>
  <c r="R22" i="3"/>
  <c r="Q22" i="3"/>
  <c r="P22" i="3"/>
  <c r="O22" i="3"/>
  <c r="N22" i="3"/>
  <c r="M22" i="3"/>
  <c r="L22" i="3"/>
  <c r="K22" i="3"/>
  <c r="J22" i="3"/>
  <c r="I22" i="3"/>
  <c r="H22" i="3"/>
  <c r="G22" i="3"/>
  <c r="F22" i="3"/>
  <c r="E22" i="3"/>
  <c r="V21" i="3"/>
  <c r="U21" i="3"/>
  <c r="T21" i="3"/>
  <c r="S21" i="3"/>
  <c r="R21" i="3"/>
  <c r="Q21" i="3"/>
  <c r="P21" i="3"/>
  <c r="O21" i="3"/>
  <c r="N21" i="3"/>
  <c r="M21" i="3"/>
  <c r="L21" i="3"/>
  <c r="K21" i="3"/>
  <c r="J21" i="3"/>
  <c r="I21" i="3"/>
  <c r="H21" i="3"/>
  <c r="G21" i="3"/>
  <c r="F21" i="3"/>
  <c r="E21" i="3"/>
  <c r="V20" i="3"/>
  <c r="U20" i="3"/>
  <c r="T20" i="3"/>
  <c r="S20" i="3"/>
  <c r="R20" i="3"/>
  <c r="Q20" i="3"/>
  <c r="P20" i="3"/>
  <c r="O20" i="3"/>
  <c r="N20" i="3"/>
  <c r="M20" i="3"/>
  <c r="L20" i="3"/>
  <c r="K20" i="3"/>
  <c r="J20" i="3"/>
  <c r="I20" i="3"/>
  <c r="H20" i="3"/>
  <c r="G20" i="3"/>
  <c r="F20" i="3"/>
  <c r="E20" i="3"/>
  <c r="V19" i="3"/>
  <c r="U19" i="3"/>
  <c r="T19" i="3"/>
  <c r="S19" i="3"/>
  <c r="R19" i="3"/>
  <c r="Q19" i="3"/>
  <c r="P19" i="3"/>
  <c r="O19" i="3"/>
  <c r="N19" i="3"/>
  <c r="M19" i="3"/>
  <c r="L19" i="3"/>
  <c r="K19" i="3"/>
  <c r="J19" i="3"/>
  <c r="I19" i="3"/>
  <c r="H19" i="3"/>
  <c r="G19" i="3"/>
  <c r="F19" i="3"/>
  <c r="E19" i="3"/>
  <c r="V18" i="3"/>
  <c r="U18" i="3"/>
  <c r="T18" i="3"/>
  <c r="S18" i="3"/>
  <c r="R18" i="3"/>
  <c r="Q18" i="3"/>
  <c r="P18" i="3"/>
  <c r="O18" i="3"/>
  <c r="N18" i="3"/>
  <c r="M18" i="3"/>
  <c r="L18" i="3"/>
  <c r="K18" i="3"/>
  <c r="J18" i="3"/>
  <c r="I18" i="3"/>
  <c r="H18" i="3"/>
  <c r="G18" i="3"/>
  <c r="F18" i="3"/>
  <c r="E18" i="3"/>
  <c r="V16" i="3"/>
  <c r="U16" i="3"/>
  <c r="T16" i="3"/>
  <c r="S16" i="3"/>
  <c r="R16" i="3"/>
  <c r="Q16" i="3"/>
  <c r="P16" i="3"/>
  <c r="O16" i="3"/>
  <c r="N16" i="3"/>
  <c r="M16" i="3"/>
  <c r="L16" i="3"/>
  <c r="K16" i="3"/>
  <c r="J16" i="3"/>
  <c r="I16" i="3"/>
  <c r="H16" i="3"/>
  <c r="G16" i="3"/>
  <c r="F16" i="3"/>
  <c r="E16" i="3"/>
  <c r="V15" i="3"/>
  <c r="U15" i="3"/>
  <c r="T15" i="3"/>
  <c r="S15" i="3"/>
  <c r="R15" i="3"/>
  <c r="Q15" i="3"/>
  <c r="P15" i="3"/>
  <c r="O15" i="3"/>
  <c r="N15" i="3"/>
  <c r="M15" i="3"/>
  <c r="L15" i="3"/>
  <c r="K15" i="3"/>
  <c r="J15" i="3"/>
  <c r="I15" i="3"/>
  <c r="H15" i="3"/>
  <c r="G15" i="3"/>
  <c r="F15" i="3"/>
  <c r="E15" i="3"/>
  <c r="V14" i="3"/>
  <c r="U14" i="3"/>
  <c r="T14" i="3"/>
  <c r="S14" i="3"/>
  <c r="R14" i="3"/>
  <c r="Q14" i="3"/>
  <c r="P14" i="3"/>
  <c r="O14" i="3"/>
  <c r="N14" i="3"/>
  <c r="M14" i="3"/>
  <c r="L14" i="3"/>
  <c r="K14" i="3"/>
  <c r="J14" i="3"/>
  <c r="I14" i="3"/>
  <c r="H14" i="3"/>
  <c r="G14" i="3"/>
  <c r="F14" i="3"/>
  <c r="E14" i="3"/>
  <c r="V13" i="3"/>
  <c r="U13" i="3"/>
  <c r="T13" i="3"/>
  <c r="S13" i="3"/>
  <c r="R13" i="3"/>
  <c r="Q13" i="3"/>
  <c r="P13" i="3"/>
  <c r="O13" i="3"/>
  <c r="N13" i="3"/>
  <c r="M13" i="3"/>
  <c r="L13" i="3"/>
  <c r="K13" i="3"/>
  <c r="J13" i="3"/>
  <c r="I13" i="3"/>
  <c r="H13" i="3"/>
  <c r="G13" i="3"/>
  <c r="F13" i="3"/>
  <c r="E13" i="3"/>
  <c r="V12" i="3"/>
  <c r="U12" i="3"/>
  <c r="T12" i="3"/>
  <c r="S12" i="3"/>
  <c r="R12" i="3"/>
  <c r="Q12" i="3"/>
  <c r="P12" i="3"/>
  <c r="O12" i="3"/>
  <c r="N12" i="3"/>
  <c r="M12" i="3"/>
  <c r="L12" i="3"/>
  <c r="K12" i="3"/>
  <c r="J12" i="3"/>
  <c r="I12" i="3"/>
  <c r="H12" i="3"/>
  <c r="G12" i="3"/>
  <c r="F12" i="3"/>
  <c r="E12" i="3"/>
  <c r="V11" i="3"/>
  <c r="U11" i="3"/>
  <c r="T11" i="3"/>
  <c r="S11" i="3"/>
  <c r="R11" i="3"/>
  <c r="Q11" i="3"/>
  <c r="P11" i="3"/>
  <c r="O11" i="3"/>
  <c r="N11" i="3"/>
  <c r="M11" i="3"/>
  <c r="L11" i="3"/>
  <c r="K11" i="3"/>
  <c r="J11" i="3"/>
  <c r="I11" i="3"/>
  <c r="H11" i="3"/>
  <c r="G11" i="3"/>
  <c r="F11" i="3"/>
  <c r="E11" i="3"/>
  <c r="V10" i="3"/>
  <c r="U10" i="3"/>
  <c r="T10" i="3"/>
  <c r="S10" i="3"/>
  <c r="R10" i="3"/>
  <c r="Q10" i="3"/>
  <c r="P10" i="3"/>
  <c r="O10" i="3"/>
  <c r="N10" i="3"/>
  <c r="M10" i="3"/>
  <c r="L10" i="3"/>
  <c r="K10" i="3"/>
  <c r="J10" i="3"/>
  <c r="I10" i="3"/>
  <c r="H10" i="3"/>
  <c r="G10" i="3"/>
  <c r="F10" i="3"/>
  <c r="E10" i="3"/>
  <c r="V9" i="3"/>
  <c r="U9" i="3"/>
  <c r="T9" i="3"/>
  <c r="S9" i="3"/>
  <c r="R9" i="3"/>
  <c r="Q9" i="3"/>
  <c r="P9" i="3"/>
  <c r="O9" i="3"/>
  <c r="N9" i="3"/>
  <c r="M9" i="3"/>
  <c r="L9" i="3"/>
  <c r="K9" i="3"/>
  <c r="J9" i="3"/>
  <c r="I9" i="3"/>
  <c r="H9" i="3"/>
  <c r="G9" i="3"/>
  <c r="F9" i="3"/>
  <c r="E9" i="3"/>
  <c r="V8" i="3"/>
  <c r="U8" i="3"/>
  <c r="T8" i="3"/>
  <c r="S8" i="3"/>
  <c r="R8" i="3"/>
  <c r="Q8" i="3"/>
  <c r="P8" i="3"/>
  <c r="O8" i="3"/>
  <c r="N8" i="3"/>
  <c r="M8" i="3"/>
  <c r="L8" i="3"/>
  <c r="K8" i="3"/>
  <c r="J8" i="3"/>
  <c r="I8" i="3"/>
  <c r="H8" i="3"/>
  <c r="G8" i="3"/>
  <c r="F8" i="3"/>
  <c r="E8" i="3"/>
  <c r="V7" i="3"/>
  <c r="U7" i="3"/>
  <c r="T7" i="3"/>
  <c r="S7" i="3"/>
  <c r="R7" i="3"/>
  <c r="Q7" i="3"/>
  <c r="P7" i="3"/>
  <c r="O7" i="3"/>
  <c r="N7" i="3"/>
  <c r="M7" i="3"/>
  <c r="L7" i="3"/>
  <c r="K7" i="3"/>
  <c r="J7" i="3"/>
  <c r="I7" i="3"/>
  <c r="H7" i="3"/>
  <c r="G7" i="3"/>
  <c r="F7" i="3"/>
  <c r="E7" i="3"/>
  <c r="A130" i="7" l="1"/>
  <c r="A87" i="7" l="1"/>
  <c r="A52" i="7"/>
  <c r="A37" i="7"/>
  <c r="A148" i="7"/>
  <c r="A60" i="7"/>
  <c r="N1" i="7" l="1"/>
  <c r="M1" i="7"/>
  <c r="X139" i="5"/>
  <c r="X138" i="5"/>
  <c r="X137" i="5"/>
  <c r="X136" i="5"/>
  <c r="X135" i="5"/>
  <c r="X134" i="5"/>
  <c r="X133" i="5"/>
  <c r="X132" i="5"/>
  <c r="X131" i="5"/>
  <c r="X130" i="5"/>
  <c r="X129" i="5"/>
  <c r="X127" i="5"/>
  <c r="X126" i="5"/>
  <c r="X125" i="5"/>
  <c r="X124" i="5"/>
  <c r="X123" i="5"/>
  <c r="X122" i="5"/>
  <c r="X121" i="5"/>
  <c r="X120" i="5"/>
  <c r="X119" i="5"/>
  <c r="X118" i="5"/>
  <c r="X117" i="5"/>
  <c r="X116" i="5"/>
  <c r="X115" i="5"/>
  <c r="X114" i="5"/>
  <c r="X113" i="5"/>
  <c r="X112" i="5"/>
  <c r="X111" i="5"/>
  <c r="X110" i="5"/>
  <c r="X109" i="5"/>
  <c r="X108" i="5"/>
  <c r="X107" i="5"/>
  <c r="X106" i="5"/>
  <c r="X105" i="5"/>
  <c r="X103" i="5"/>
  <c r="X102" i="5"/>
  <c r="X101" i="5"/>
  <c r="X100" i="5"/>
  <c r="X99" i="5"/>
  <c r="X98" i="5"/>
  <c r="X97" i="5"/>
  <c r="X96" i="5"/>
  <c r="X95" i="5"/>
  <c r="X94" i="5"/>
  <c r="X93" i="5"/>
  <c r="X92" i="5"/>
  <c r="X91" i="5"/>
  <c r="X90" i="5"/>
  <c r="X89" i="5"/>
  <c r="X88" i="5"/>
  <c r="X87" i="5"/>
  <c r="X86" i="5"/>
  <c r="X85" i="5"/>
  <c r="X84" i="5"/>
  <c r="X83" i="5"/>
  <c r="X82" i="5"/>
  <c r="X81" i="5"/>
  <c r="X79" i="5"/>
  <c r="X78" i="5"/>
  <c r="X77" i="5"/>
  <c r="X76" i="5"/>
  <c r="X75" i="5"/>
  <c r="X74" i="5"/>
  <c r="X73" i="5"/>
  <c r="X72" i="5"/>
  <c r="X71" i="5"/>
  <c r="X70" i="5"/>
  <c r="X69" i="5"/>
  <c r="X68" i="5"/>
  <c r="X67" i="5"/>
  <c r="X66" i="5"/>
  <c r="X65" i="5"/>
  <c r="X64" i="5"/>
  <c r="X63" i="5"/>
  <c r="X62" i="5"/>
  <c r="X61" i="5"/>
  <c r="X59" i="5"/>
  <c r="X58" i="5"/>
  <c r="X57" i="5"/>
  <c r="X56" i="5"/>
  <c r="X55" i="5"/>
  <c r="X54" i="5"/>
  <c r="X53" i="5"/>
  <c r="X52" i="5"/>
  <c r="X51" i="5"/>
  <c r="X50" i="5"/>
  <c r="X49" i="5"/>
  <c r="X48" i="5"/>
  <c r="X47" i="5"/>
  <c r="X46" i="5"/>
  <c r="X45" i="5"/>
  <c r="X44" i="5"/>
  <c r="X43" i="5"/>
  <c r="X41" i="5"/>
  <c r="X40" i="5"/>
  <c r="X39" i="5"/>
  <c r="X38" i="5"/>
  <c r="X37" i="5"/>
  <c r="X36" i="5"/>
  <c r="X35" i="5"/>
  <c r="X34" i="5"/>
  <c r="X33" i="5"/>
  <c r="X32" i="5"/>
  <c r="X30" i="5"/>
  <c r="X29" i="5"/>
  <c r="X28" i="5"/>
  <c r="X27" i="5"/>
  <c r="X26" i="5"/>
  <c r="X25" i="5"/>
  <c r="X23" i="5"/>
  <c r="X22" i="5"/>
  <c r="X21" i="5"/>
  <c r="X20" i="5"/>
  <c r="X19" i="5"/>
  <c r="X18" i="5"/>
  <c r="X16" i="5"/>
  <c r="X15" i="5"/>
  <c r="X14" i="5"/>
  <c r="X13" i="5"/>
  <c r="X12" i="5"/>
  <c r="X11" i="5"/>
  <c r="X10" i="5"/>
  <c r="X9" i="5"/>
  <c r="X8" i="5"/>
  <c r="X7" i="5"/>
  <c r="X146" i="5" l="1"/>
  <c r="X6" i="5"/>
  <c r="X17" i="5"/>
  <c r="X31" i="5"/>
  <c r="X150" i="5"/>
  <c r="X145" i="5"/>
  <c r="X104" i="5"/>
  <c r="X141" i="5"/>
  <c r="X42" i="5"/>
  <c r="X142" i="5"/>
  <c r="X143" i="5"/>
  <c r="X148" i="5"/>
  <c r="X60" i="5"/>
  <c r="X144" i="5"/>
  <c r="X80" i="5"/>
  <c r="X151" i="5"/>
  <c r="X128" i="5"/>
  <c r="X149" i="5"/>
  <c r="X24" i="5"/>
  <c r="X5" i="5" l="1"/>
  <c r="X139" i="3" l="1"/>
  <c r="X138" i="3"/>
  <c r="X137" i="3"/>
  <c r="X136" i="3"/>
  <c r="X135" i="3"/>
  <c r="X134" i="3"/>
  <c r="X133" i="3"/>
  <c r="X132" i="3"/>
  <c r="X131" i="3"/>
  <c r="X130" i="3"/>
  <c r="X129" i="3"/>
  <c r="X127" i="3"/>
  <c r="X126" i="3"/>
  <c r="X125" i="3"/>
  <c r="X124" i="3"/>
  <c r="X123" i="3"/>
  <c r="X122" i="3"/>
  <c r="X141" i="3" s="1"/>
  <c r="X121" i="3"/>
  <c r="X120" i="3"/>
  <c r="X119" i="3"/>
  <c r="X118" i="3"/>
  <c r="X117" i="3"/>
  <c r="X116" i="3"/>
  <c r="X115" i="3"/>
  <c r="X114" i="3"/>
  <c r="X113" i="3"/>
  <c r="X112" i="3"/>
  <c r="X111" i="3"/>
  <c r="X110" i="3"/>
  <c r="X109" i="3"/>
  <c r="X108" i="3"/>
  <c r="X107" i="3"/>
  <c r="X106" i="3"/>
  <c r="X105" i="3"/>
  <c r="X103" i="3"/>
  <c r="X102" i="3"/>
  <c r="X101" i="3"/>
  <c r="X100" i="3"/>
  <c r="X99" i="3"/>
  <c r="X98" i="3"/>
  <c r="X97" i="3"/>
  <c r="X96" i="3"/>
  <c r="X95" i="3"/>
  <c r="X94" i="3"/>
  <c r="X93" i="3"/>
  <c r="X92" i="3"/>
  <c r="X91" i="3"/>
  <c r="X90" i="3"/>
  <c r="X89" i="3"/>
  <c r="X88" i="3"/>
  <c r="X87" i="3"/>
  <c r="X86" i="3"/>
  <c r="X85" i="3"/>
  <c r="X84" i="3"/>
  <c r="X83" i="3"/>
  <c r="X144" i="3" s="1"/>
  <c r="X82" i="3"/>
  <c r="X81" i="3"/>
  <c r="X79" i="3"/>
  <c r="X78" i="3"/>
  <c r="X77" i="3"/>
  <c r="X76" i="3"/>
  <c r="X75" i="3"/>
  <c r="X74" i="3"/>
  <c r="X73" i="3"/>
  <c r="X72" i="3"/>
  <c r="X71" i="3"/>
  <c r="X70" i="3"/>
  <c r="X69" i="3"/>
  <c r="X68" i="3"/>
  <c r="X67" i="3"/>
  <c r="X66" i="3"/>
  <c r="X65" i="3"/>
  <c r="X64" i="3"/>
  <c r="X63" i="3"/>
  <c r="X62" i="3"/>
  <c r="X61" i="3"/>
  <c r="X59" i="3"/>
  <c r="X58" i="3"/>
  <c r="X57" i="3"/>
  <c r="X56" i="3"/>
  <c r="X55" i="3"/>
  <c r="X54" i="3"/>
  <c r="X53" i="3"/>
  <c r="X52" i="3"/>
  <c r="X51" i="3"/>
  <c r="X50" i="3"/>
  <c r="X49" i="3"/>
  <c r="X48" i="3"/>
  <c r="X47" i="3"/>
  <c r="X46" i="3"/>
  <c r="X45" i="3"/>
  <c r="X44" i="3"/>
  <c r="X43" i="3"/>
  <c r="X41" i="3"/>
  <c r="X40" i="3"/>
  <c r="X39" i="3"/>
  <c r="X38" i="3"/>
  <c r="X37" i="3"/>
  <c r="X36" i="3"/>
  <c r="X35" i="3"/>
  <c r="X34" i="3"/>
  <c r="X33" i="3"/>
  <c r="X32" i="3"/>
  <c r="X30" i="3"/>
  <c r="X29" i="3"/>
  <c r="X28" i="3"/>
  <c r="X27" i="3"/>
  <c r="X26" i="3"/>
  <c r="X25" i="3"/>
  <c r="X23" i="3"/>
  <c r="X22" i="3"/>
  <c r="X21" i="3"/>
  <c r="X20" i="3"/>
  <c r="X19" i="3"/>
  <c r="X18" i="3"/>
  <c r="X9" i="3"/>
  <c r="X10" i="3"/>
  <c r="X11" i="3"/>
  <c r="X12" i="3"/>
  <c r="X13" i="3"/>
  <c r="X14" i="3"/>
  <c r="X15" i="3"/>
  <c r="X16" i="3"/>
  <c r="X7" i="3"/>
  <c r="X143" i="3"/>
  <c r="X145" i="3" l="1"/>
  <c r="X151" i="3"/>
  <c r="X149" i="3"/>
  <c r="X146" i="3"/>
  <c r="X60" i="3"/>
  <c r="X150" i="3"/>
  <c r="X17" i="3"/>
  <c r="X24" i="3"/>
  <c r="X148" i="3"/>
  <c r="X31" i="3"/>
  <c r="X42" i="3"/>
  <c r="X6" i="3"/>
  <c r="X80" i="3"/>
  <c r="X104" i="3"/>
  <c r="X128" i="3"/>
  <c r="X142" i="3"/>
  <c r="X5" i="3" l="1"/>
  <c r="A7" i="7"/>
  <c r="A45" i="7"/>
  <c r="A31" i="7" l="1"/>
  <c r="A23" i="7"/>
  <c r="A30" i="7"/>
  <c r="A11" i="7"/>
  <c r="F32" i="7" l="1"/>
  <c r="D32" i="7"/>
  <c r="B32" i="7"/>
  <c r="E32" i="7"/>
  <c r="C32" i="7"/>
  <c r="D1" i="7"/>
  <c r="C1" i="7"/>
  <c r="I132" i="7" l="1"/>
  <c r="C134" i="7"/>
  <c r="D135" i="7"/>
  <c r="E136" i="7"/>
  <c r="F137" i="7"/>
  <c r="G138" i="7"/>
  <c r="H139" i="7"/>
  <c r="I140" i="7"/>
  <c r="C142" i="7"/>
  <c r="D143" i="7"/>
  <c r="B142" i="7"/>
  <c r="B134" i="7"/>
  <c r="C89" i="7"/>
  <c r="D90" i="7"/>
  <c r="E91" i="7"/>
  <c r="F92" i="7"/>
  <c r="G93" i="7"/>
  <c r="H94" i="7"/>
  <c r="I95" i="7"/>
  <c r="C97" i="7"/>
  <c r="D98" i="7"/>
  <c r="E99" i="7"/>
  <c r="F100" i="7"/>
  <c r="B96" i="7"/>
  <c r="C56" i="7"/>
  <c r="C54" i="7"/>
  <c r="D55" i="7"/>
  <c r="H133" i="7"/>
  <c r="C136" i="7"/>
  <c r="F139" i="7"/>
  <c r="I142" i="7"/>
  <c r="C91" i="7"/>
  <c r="F94" i="7"/>
  <c r="I97" i="7"/>
  <c r="B98" i="7"/>
  <c r="I54" i="7"/>
  <c r="C133" i="7"/>
  <c r="D134" i="7"/>
  <c r="E135" i="7"/>
  <c r="F136" i="7"/>
  <c r="G137" i="7"/>
  <c r="H138" i="7"/>
  <c r="I139" i="7"/>
  <c r="C141" i="7"/>
  <c r="D142" i="7"/>
  <c r="E143" i="7"/>
  <c r="B141" i="7"/>
  <c r="B133" i="7"/>
  <c r="D89" i="7"/>
  <c r="E90" i="7"/>
  <c r="F91" i="7"/>
  <c r="G92" i="7"/>
  <c r="H93" i="7"/>
  <c r="I94" i="7"/>
  <c r="C96" i="7"/>
  <c r="D97" i="7"/>
  <c r="E98" i="7"/>
  <c r="F99" i="7"/>
  <c r="G100" i="7"/>
  <c r="B95" i="7"/>
  <c r="D56" i="7"/>
  <c r="D54" i="7"/>
  <c r="E55" i="7"/>
  <c r="C132" i="7"/>
  <c r="D133" i="7"/>
  <c r="E134" i="7"/>
  <c r="F135" i="7"/>
  <c r="G136" i="7"/>
  <c r="H137" i="7"/>
  <c r="I138" i="7"/>
  <c r="C140" i="7"/>
  <c r="D141" i="7"/>
  <c r="E142" i="7"/>
  <c r="F143" i="7"/>
  <c r="B140" i="7"/>
  <c r="B132" i="7"/>
  <c r="E89" i="7"/>
  <c r="F90" i="7"/>
  <c r="G91" i="7"/>
  <c r="H92" i="7"/>
  <c r="I93" i="7"/>
  <c r="C95" i="7"/>
  <c r="D96" i="7"/>
  <c r="E97" i="7"/>
  <c r="F98" i="7"/>
  <c r="G99" i="7"/>
  <c r="H100" i="7"/>
  <c r="B94" i="7"/>
  <c r="E56" i="7"/>
  <c r="E54" i="7"/>
  <c r="F55" i="7"/>
  <c r="D132" i="7"/>
  <c r="E133" i="7"/>
  <c r="F134" i="7"/>
  <c r="G135" i="7"/>
  <c r="H136" i="7"/>
  <c r="I137" i="7"/>
  <c r="C139" i="7"/>
  <c r="D140" i="7"/>
  <c r="E141" i="7"/>
  <c r="F142" i="7"/>
  <c r="G143" i="7"/>
  <c r="B139" i="7"/>
  <c r="F89" i="7"/>
  <c r="G90" i="7"/>
  <c r="H91" i="7"/>
  <c r="I92" i="7"/>
  <c r="C94" i="7"/>
  <c r="D95" i="7"/>
  <c r="E96" i="7"/>
  <c r="F97" i="7"/>
  <c r="G98" i="7"/>
  <c r="H99" i="7"/>
  <c r="I100" i="7"/>
  <c r="B93" i="7"/>
  <c r="F56" i="7"/>
  <c r="F54" i="7"/>
  <c r="G55" i="7"/>
  <c r="I134" i="7"/>
  <c r="E138" i="7"/>
  <c r="G140" i="7"/>
  <c r="D92" i="7"/>
  <c r="G95" i="7"/>
  <c r="D100" i="7"/>
  <c r="I56" i="7"/>
  <c r="E132" i="7"/>
  <c r="F133" i="7"/>
  <c r="G134" i="7"/>
  <c r="H135" i="7"/>
  <c r="I136" i="7"/>
  <c r="C138" i="7"/>
  <c r="D139" i="7"/>
  <c r="E140" i="7"/>
  <c r="F141" i="7"/>
  <c r="G142" i="7"/>
  <c r="H143" i="7"/>
  <c r="B138" i="7"/>
  <c r="G89" i="7"/>
  <c r="H90" i="7"/>
  <c r="I91" i="7"/>
  <c r="C93" i="7"/>
  <c r="D94" i="7"/>
  <c r="E95" i="7"/>
  <c r="F96" i="7"/>
  <c r="G97" i="7"/>
  <c r="H98" i="7"/>
  <c r="I99" i="7"/>
  <c r="B100" i="7"/>
  <c r="B92" i="7"/>
  <c r="G56" i="7"/>
  <c r="G54" i="7"/>
  <c r="H55" i="7"/>
  <c r="F132" i="7"/>
  <c r="G133" i="7"/>
  <c r="H134" i="7"/>
  <c r="I135" i="7"/>
  <c r="C137" i="7"/>
  <c r="D138" i="7"/>
  <c r="E139" i="7"/>
  <c r="F140" i="7"/>
  <c r="G141" i="7"/>
  <c r="H142" i="7"/>
  <c r="I143" i="7"/>
  <c r="B137" i="7"/>
  <c r="H89" i="7"/>
  <c r="I90" i="7"/>
  <c r="C92" i="7"/>
  <c r="D93" i="7"/>
  <c r="E94" i="7"/>
  <c r="F95" i="7"/>
  <c r="G96" i="7"/>
  <c r="H97" i="7"/>
  <c r="I98" i="7"/>
  <c r="C100" i="7"/>
  <c r="B99" i="7"/>
  <c r="B91" i="7"/>
  <c r="H56" i="7"/>
  <c r="H54" i="7"/>
  <c r="I55" i="7"/>
  <c r="H132" i="7"/>
  <c r="I133" i="7"/>
  <c r="C135" i="7"/>
  <c r="D136" i="7"/>
  <c r="E137" i="7"/>
  <c r="F138" i="7"/>
  <c r="G139" i="7"/>
  <c r="H140" i="7"/>
  <c r="I141" i="7"/>
  <c r="C143" i="7"/>
  <c r="B143" i="7"/>
  <c r="B135" i="7"/>
  <c r="C90" i="7"/>
  <c r="D91" i="7"/>
  <c r="E92" i="7"/>
  <c r="F93" i="7"/>
  <c r="G94" i="7"/>
  <c r="H95" i="7"/>
  <c r="I96" i="7"/>
  <c r="C98" i="7"/>
  <c r="D99" i="7"/>
  <c r="E100" i="7"/>
  <c r="B97" i="7"/>
  <c r="B89" i="7"/>
  <c r="B56" i="7"/>
  <c r="C55" i="7"/>
  <c r="B54" i="7"/>
  <c r="G132" i="7"/>
  <c r="D137" i="7"/>
  <c r="H141" i="7"/>
  <c r="B136" i="7"/>
  <c r="I89" i="7"/>
  <c r="E93" i="7"/>
  <c r="H96" i="7"/>
  <c r="C99" i="7"/>
  <c r="B90" i="7"/>
  <c r="B55" i="7"/>
  <c r="D40" i="7"/>
  <c r="C40" i="7"/>
  <c r="G39" i="7"/>
  <c r="H40" i="7"/>
  <c r="I41" i="7"/>
  <c r="H39" i="7"/>
  <c r="I40" i="7"/>
  <c r="B40" i="7"/>
  <c r="I39" i="7"/>
  <c r="C41" i="7"/>
  <c r="B41" i="7"/>
  <c r="D41" i="7"/>
  <c r="E41" i="7"/>
  <c r="D39" i="7"/>
  <c r="E40" i="7"/>
  <c r="F41" i="7"/>
  <c r="E39" i="7"/>
  <c r="F40" i="7"/>
  <c r="G41" i="7"/>
  <c r="F39" i="7"/>
  <c r="G40" i="7"/>
  <c r="H41" i="7"/>
  <c r="C39" i="7"/>
  <c r="B39" i="7"/>
  <c r="H22" i="7"/>
  <c r="I22" i="7"/>
  <c r="B22" i="7"/>
  <c r="C22" i="7"/>
  <c r="E22" i="7"/>
  <c r="F22" i="7"/>
  <c r="G22" i="7"/>
  <c r="D22" i="7"/>
  <c r="I23" i="7"/>
  <c r="B23" i="7"/>
  <c r="C23" i="7"/>
  <c r="D23" i="7"/>
  <c r="G23" i="7"/>
  <c r="H23" i="7"/>
  <c r="E23" i="7"/>
  <c r="F23" i="7"/>
  <c r="C6" i="7"/>
  <c r="D6" i="7"/>
  <c r="E6" i="7"/>
  <c r="F6" i="7"/>
  <c r="G6" i="7"/>
  <c r="I6" i="7"/>
  <c r="H6" i="7"/>
  <c r="B6" i="7"/>
  <c r="D7" i="7"/>
  <c r="E7" i="7"/>
  <c r="F7" i="7"/>
  <c r="G7" i="7"/>
  <c r="B7" i="7"/>
  <c r="H7" i="7"/>
  <c r="I7" i="7"/>
  <c r="C7" i="7"/>
  <c r="E161" i="7" l="1"/>
  <c r="B152" i="7"/>
  <c r="C57" i="7"/>
  <c r="F156" i="7"/>
  <c r="G63" i="7"/>
  <c r="G151" i="7"/>
  <c r="E160" i="7"/>
  <c r="E153" i="7"/>
  <c r="G157" i="7"/>
  <c r="H158" i="7"/>
  <c r="H160" i="7"/>
  <c r="B160" i="7"/>
  <c r="H63" i="7"/>
  <c r="G62" i="7"/>
  <c r="C156" i="7"/>
  <c r="H150" i="7"/>
  <c r="G30" i="7"/>
  <c r="C155" i="7"/>
  <c r="G150" i="7"/>
  <c r="F151" i="7"/>
  <c r="E101" i="7"/>
  <c r="E113" i="7" s="1"/>
  <c r="H152" i="7"/>
  <c r="H31" i="7"/>
  <c r="H159" i="7"/>
  <c r="H161" i="7"/>
  <c r="G152" i="7"/>
  <c r="H154" i="7"/>
  <c r="C101" i="7"/>
  <c r="C117" i="7" s="1"/>
  <c r="G160" i="7"/>
  <c r="G153" i="7"/>
  <c r="E144" i="7"/>
  <c r="H157" i="7"/>
  <c r="G57" i="7"/>
  <c r="G161" i="7"/>
  <c r="D144" i="7"/>
  <c r="G156" i="7"/>
  <c r="H101" i="7"/>
  <c r="H108" i="7" s="1"/>
  <c r="I57" i="7"/>
  <c r="H64" i="7"/>
  <c r="H155" i="7"/>
  <c r="C144" i="7"/>
  <c r="F57" i="7"/>
  <c r="G154" i="7"/>
  <c r="H62" i="7"/>
  <c r="H151" i="7"/>
  <c r="G101" i="7"/>
  <c r="G106" i="7" s="1"/>
  <c r="I144" i="7"/>
  <c r="D57" i="7"/>
  <c r="H30" i="7"/>
  <c r="F42" i="7"/>
  <c r="F49" i="7" s="1"/>
  <c r="D101" i="7"/>
  <c r="D109" i="7" s="1"/>
  <c r="H144" i="7"/>
  <c r="H156" i="7"/>
  <c r="I101" i="7"/>
  <c r="I110" i="7" s="1"/>
  <c r="H57" i="7"/>
  <c r="G64" i="7"/>
  <c r="G159" i="7"/>
  <c r="F144" i="7"/>
  <c r="H153" i="7"/>
  <c r="G158" i="7"/>
  <c r="E57" i="7"/>
  <c r="G144" i="7"/>
  <c r="G155" i="7"/>
  <c r="F101" i="7"/>
  <c r="F114" i="7" s="1"/>
  <c r="E42" i="7"/>
  <c r="E48" i="7" s="1"/>
  <c r="G31" i="7"/>
  <c r="D42" i="7"/>
  <c r="D49" i="7" s="1"/>
  <c r="H42" i="7"/>
  <c r="H47" i="7" s="1"/>
  <c r="G42" i="7"/>
  <c r="G49" i="7" s="1"/>
  <c r="C42" i="7"/>
  <c r="C48" i="7" s="1"/>
  <c r="I42" i="7"/>
  <c r="I49" i="7" s="1"/>
  <c r="H13" i="7"/>
  <c r="H14" i="7"/>
  <c r="I13" i="7"/>
  <c r="I14" i="7"/>
  <c r="D150" i="7"/>
  <c r="F62" i="7"/>
  <c r="B62" i="7"/>
  <c r="D159" i="7"/>
  <c r="B154" i="7"/>
  <c r="B151" i="7"/>
  <c r="C161" i="7"/>
  <c r="B158" i="7"/>
  <c r="B157" i="7"/>
  <c r="D158" i="7"/>
  <c r="B159" i="7"/>
  <c r="B150" i="7"/>
  <c r="F159" i="7"/>
  <c r="D161" i="7"/>
  <c r="B153" i="7"/>
  <c r="E151" i="7"/>
  <c r="C154" i="7"/>
  <c r="E155" i="7"/>
  <c r="C150" i="7"/>
  <c r="C159" i="7"/>
  <c r="F155" i="7"/>
  <c r="C157" i="7"/>
  <c r="E158" i="7"/>
  <c r="E157" i="7"/>
  <c r="F157" i="7"/>
  <c r="E159" i="7"/>
  <c r="E152" i="7"/>
  <c r="D155" i="7"/>
  <c r="D156" i="7"/>
  <c r="D154" i="7"/>
  <c r="D152" i="7"/>
  <c r="F153" i="7"/>
  <c r="F154" i="7"/>
  <c r="E154" i="7"/>
  <c r="C153" i="7"/>
  <c r="F152" i="7"/>
  <c r="B155" i="7"/>
  <c r="F150" i="7"/>
  <c r="C152" i="7"/>
  <c r="C151" i="7"/>
  <c r="B156" i="7"/>
  <c r="E150" i="7"/>
  <c r="E156" i="7"/>
  <c r="D151" i="7"/>
  <c r="C158" i="7"/>
  <c r="B161" i="7"/>
  <c r="D160" i="7"/>
  <c r="F161" i="7"/>
  <c r="D153" i="7"/>
  <c r="F160" i="7"/>
  <c r="D157" i="7"/>
  <c r="F158" i="7"/>
  <c r="C160" i="7"/>
  <c r="D64" i="7"/>
  <c r="E63" i="7"/>
  <c r="E62" i="7"/>
  <c r="D63" i="7"/>
  <c r="C64" i="7"/>
  <c r="F64" i="7"/>
  <c r="C63" i="7"/>
  <c r="B64" i="7"/>
  <c r="D62" i="7"/>
  <c r="E64" i="7"/>
  <c r="F63" i="7"/>
  <c r="B63" i="7"/>
  <c r="C62" i="7"/>
  <c r="B57" i="7"/>
  <c r="B144" i="7"/>
  <c r="B101" i="7"/>
  <c r="B111" i="7" s="1"/>
  <c r="B42" i="7"/>
  <c r="B49" i="7" s="1"/>
  <c r="F30" i="7"/>
  <c r="F31" i="7"/>
  <c r="E30" i="7"/>
  <c r="B31" i="7"/>
  <c r="C30" i="7"/>
  <c r="B30" i="7"/>
  <c r="D30" i="7"/>
  <c r="D31" i="7"/>
  <c r="C31" i="7"/>
  <c r="E31" i="7"/>
  <c r="G14" i="7"/>
  <c r="G13" i="7"/>
  <c r="D13" i="7"/>
  <c r="D14" i="7"/>
  <c r="B14" i="7"/>
  <c r="B13" i="7"/>
  <c r="F14" i="7"/>
  <c r="F13" i="7"/>
  <c r="E14" i="7"/>
  <c r="E13" i="7"/>
  <c r="C13" i="7"/>
  <c r="C14" i="7"/>
  <c r="H48" i="7" l="1"/>
  <c r="I114" i="7"/>
  <c r="H115" i="7"/>
  <c r="H112" i="7"/>
  <c r="I47" i="7"/>
  <c r="H113" i="7"/>
  <c r="J117" i="7"/>
  <c r="I106" i="7"/>
  <c r="I113" i="7"/>
  <c r="I107" i="7"/>
  <c r="I111" i="7"/>
  <c r="I108" i="7"/>
  <c r="I116" i="7"/>
  <c r="I109" i="7"/>
  <c r="I112" i="7"/>
  <c r="H111" i="7"/>
  <c r="H116" i="7"/>
  <c r="G65" i="7"/>
  <c r="H114" i="7"/>
  <c r="H107" i="7"/>
  <c r="H110" i="7"/>
  <c r="H65" i="7"/>
  <c r="H117" i="7"/>
  <c r="H106" i="7"/>
  <c r="H109" i="7"/>
  <c r="I117" i="7"/>
  <c r="I115" i="7"/>
  <c r="H162" i="7"/>
  <c r="G162" i="7"/>
  <c r="H49" i="7"/>
  <c r="I48" i="7"/>
  <c r="F162" i="7"/>
  <c r="B162" i="7"/>
  <c r="D162" i="7"/>
  <c r="C162" i="7"/>
  <c r="E162" i="7"/>
  <c r="C65" i="7"/>
  <c r="E65" i="7"/>
  <c r="F65" i="7"/>
  <c r="B65" i="7"/>
  <c r="D65" i="7"/>
  <c r="F108" i="7"/>
  <c r="B112" i="7"/>
  <c r="C113" i="7"/>
  <c r="J113" i="7" s="1"/>
  <c r="C112" i="7"/>
  <c r="C111" i="7"/>
  <c r="C108" i="7"/>
  <c r="C114" i="7"/>
  <c r="J114" i="7" s="1"/>
  <c r="C116" i="7"/>
  <c r="B115" i="7"/>
  <c r="C115" i="7"/>
  <c r="J115" i="7" s="1"/>
  <c r="B117" i="7"/>
  <c r="B114" i="7"/>
  <c r="E109" i="7"/>
  <c r="B106" i="7"/>
  <c r="E115" i="7"/>
  <c r="E107" i="7"/>
  <c r="F117" i="7"/>
  <c r="B110" i="7"/>
  <c r="B107" i="7"/>
  <c r="C107" i="7"/>
  <c r="B113" i="7"/>
  <c r="C110" i="7"/>
  <c r="J110" i="7" s="1"/>
  <c r="G115" i="7"/>
  <c r="E108" i="7"/>
  <c r="D107" i="7"/>
  <c r="F106" i="7"/>
  <c r="E117" i="7"/>
  <c r="E116" i="7"/>
  <c r="D108" i="7"/>
  <c r="C106" i="7"/>
  <c r="C109" i="7"/>
  <c r="B109" i="7"/>
  <c r="B108" i="7"/>
  <c r="D110" i="7"/>
  <c r="F109" i="7"/>
  <c r="D106" i="7"/>
  <c r="E114" i="7"/>
  <c r="G117" i="7"/>
  <c r="F110" i="7"/>
  <c r="F111" i="7"/>
  <c r="G108" i="7"/>
  <c r="G109" i="7"/>
  <c r="F113" i="7"/>
  <c r="D116" i="7"/>
  <c r="E111" i="7"/>
  <c r="B116" i="7"/>
  <c r="E112" i="7"/>
  <c r="D112" i="7"/>
  <c r="F107" i="7"/>
  <c r="G111" i="7"/>
  <c r="D111" i="7"/>
  <c r="G107" i="7"/>
  <c r="F116" i="7"/>
  <c r="G114" i="7"/>
  <c r="G116" i="7"/>
  <c r="G110" i="7"/>
  <c r="D114" i="7"/>
  <c r="D117" i="7"/>
  <c r="D113" i="7"/>
  <c r="E110" i="7"/>
  <c r="G112" i="7"/>
  <c r="D115" i="7"/>
  <c r="F112" i="7"/>
  <c r="E106" i="7"/>
  <c r="F115" i="7"/>
  <c r="G113" i="7"/>
  <c r="D48" i="7"/>
  <c r="D47" i="7"/>
  <c r="E47" i="7"/>
  <c r="E49" i="7"/>
  <c r="F47" i="7"/>
  <c r="G47" i="7"/>
  <c r="B47" i="7"/>
  <c r="G48" i="7"/>
  <c r="C49" i="7"/>
  <c r="C47" i="7"/>
  <c r="F48" i="7"/>
  <c r="B48" i="7"/>
  <c r="A22" i="7"/>
  <c r="A6" i="7"/>
  <c r="J111" i="7" l="1"/>
  <c r="J106" i="7"/>
  <c r="J107" i="7"/>
  <c r="J108" i="7"/>
  <c r="J112" i="7"/>
  <c r="J116" i="7"/>
  <c r="J109" i="7"/>
  <c r="Z1" i="6"/>
  <c r="P14" i="6" l="1"/>
  <c r="P27" i="6" s="1"/>
  <c r="O14" i="6"/>
  <c r="O27" i="6" s="1"/>
  <c r="Q149" i="3"/>
  <c r="Q141" i="3"/>
  <c r="R141" i="3"/>
  <c r="Q145" i="3" l="1"/>
  <c r="R143" i="3"/>
  <c r="Q128" i="3"/>
  <c r="R145" i="3"/>
  <c r="R149" i="5"/>
  <c r="Q149" i="5"/>
  <c r="Q143" i="5"/>
  <c r="R143" i="5"/>
  <c r="R6" i="3"/>
  <c r="R146" i="3"/>
  <c r="R42" i="3"/>
  <c r="R24" i="3"/>
  <c r="R60" i="3"/>
  <c r="R144" i="3"/>
  <c r="R151" i="3"/>
  <c r="Q144" i="3"/>
  <c r="R141" i="5"/>
  <c r="R142" i="5"/>
  <c r="R144" i="5"/>
  <c r="R151" i="5"/>
  <c r="P25" i="6"/>
  <c r="O26" i="6"/>
  <c r="P26" i="6"/>
  <c r="O23" i="6"/>
  <c r="O22" i="6"/>
  <c r="O25" i="6"/>
  <c r="P30" i="6"/>
  <c r="P24" i="6"/>
  <c r="P28" i="6"/>
  <c r="P21" i="6"/>
  <c r="P22" i="6"/>
  <c r="O21" i="6"/>
  <c r="O30" i="6"/>
  <c r="O24" i="6"/>
  <c r="P29" i="6"/>
  <c r="P23" i="6"/>
  <c r="O28" i="6"/>
  <c r="O29" i="6"/>
  <c r="Q142" i="5"/>
  <c r="Q144" i="5"/>
  <c r="Q128" i="5"/>
  <c r="Q141" i="5"/>
  <c r="Q104" i="5"/>
  <c r="Q17" i="5"/>
  <c r="R148" i="5"/>
  <c r="R31" i="5"/>
  <c r="R60" i="5"/>
  <c r="Q146" i="5"/>
  <c r="Q150" i="5"/>
  <c r="Q145" i="5"/>
  <c r="R146" i="5"/>
  <c r="R150" i="5"/>
  <c r="R145" i="5"/>
  <c r="Q151" i="5"/>
  <c r="Q31" i="5"/>
  <c r="Q60" i="5"/>
  <c r="Q24" i="5"/>
  <c r="Q42" i="5"/>
  <c r="Q80" i="5"/>
  <c r="R24" i="5"/>
  <c r="R42" i="5"/>
  <c r="R80" i="5"/>
  <c r="R104" i="5"/>
  <c r="R17" i="5"/>
  <c r="R128" i="5"/>
  <c r="Q148" i="5"/>
  <c r="Q6" i="5"/>
  <c r="R6" i="5"/>
  <c r="Q150" i="3"/>
  <c r="Q80" i="3"/>
  <c r="R31" i="3"/>
  <c r="Q6" i="3"/>
  <c r="R128" i="3"/>
  <c r="Q146" i="3"/>
  <c r="Q60" i="3"/>
  <c r="Q143" i="3"/>
  <c r="Q151" i="3"/>
  <c r="Q31" i="3"/>
  <c r="Q17" i="3"/>
  <c r="Q24" i="3"/>
  <c r="R149" i="3"/>
  <c r="R80" i="3"/>
  <c r="R104" i="3"/>
  <c r="R142" i="3"/>
  <c r="Q148" i="3"/>
  <c r="Q104" i="3"/>
  <c r="R148" i="3"/>
  <c r="R17" i="3"/>
  <c r="R150" i="3"/>
  <c r="Q42" i="3"/>
  <c r="Q142" i="3"/>
  <c r="R5" i="3" l="1"/>
  <c r="Q5" i="3"/>
  <c r="Q5" i="5"/>
  <c r="R5" i="5"/>
  <c r="C40" i="6"/>
  <c r="C41" i="6"/>
  <c r="C39" i="6" l="1"/>
  <c r="C43" i="6"/>
  <c r="R44" i="6"/>
  <c r="O44" i="6"/>
  <c r="P44" i="6"/>
  <c r="R43" i="6"/>
  <c r="O43" i="6"/>
  <c r="P43" i="6"/>
  <c r="R42" i="6"/>
  <c r="O42" i="6"/>
  <c r="P42" i="6"/>
  <c r="R41" i="6"/>
  <c r="P41" i="6"/>
  <c r="O41" i="6"/>
  <c r="R40" i="6"/>
  <c r="O40" i="6"/>
  <c r="P40" i="6"/>
  <c r="R39" i="6"/>
  <c r="P39" i="6"/>
  <c r="O39" i="6"/>
  <c r="O38" i="6"/>
  <c r="P38" i="6"/>
  <c r="R37" i="6"/>
  <c r="O37" i="6"/>
  <c r="P37" i="6"/>
  <c r="R45" i="6"/>
  <c r="P45" i="6"/>
  <c r="O45" i="6"/>
  <c r="C37" i="6"/>
  <c r="C44" i="6"/>
  <c r="L45" i="6"/>
  <c r="C45" i="6"/>
  <c r="Q45" i="6"/>
  <c r="C38" i="6"/>
  <c r="K40" i="6"/>
  <c r="L39" i="6"/>
  <c r="E39" i="6"/>
  <c r="E45" i="6"/>
  <c r="Q42" i="6"/>
  <c r="L44" i="6"/>
  <c r="E44" i="6"/>
  <c r="J45" i="6"/>
  <c r="L43" i="6"/>
  <c r="E43" i="6"/>
  <c r="M42" i="6"/>
  <c r="F42" i="6"/>
  <c r="N41" i="6"/>
  <c r="Q40" i="6"/>
  <c r="G40" i="6"/>
  <c r="I38" i="6"/>
  <c r="J37" i="6"/>
  <c r="D37" i="6"/>
  <c r="K43" i="6"/>
  <c r="M41" i="6"/>
  <c r="F41" i="6"/>
  <c r="N40" i="6"/>
  <c r="I37" i="6"/>
  <c r="J43" i="6"/>
  <c r="K42" i="6"/>
  <c r="L41" i="6"/>
  <c r="E41" i="6"/>
  <c r="M40" i="6"/>
  <c r="F40" i="6"/>
  <c r="C42" i="6"/>
  <c r="G45" i="6"/>
  <c r="I43" i="6"/>
  <c r="J42" i="6"/>
  <c r="D42" i="6"/>
  <c r="K41" i="6"/>
  <c r="L40" i="6"/>
  <c r="E40" i="6"/>
  <c r="D45" i="6"/>
  <c r="K44" i="6"/>
  <c r="H39" i="6"/>
  <c r="I45" i="6"/>
  <c r="J44" i="6"/>
  <c r="D44" i="6"/>
  <c r="Q39" i="6"/>
  <c r="H45" i="6"/>
  <c r="I44" i="6"/>
  <c r="D43" i="6"/>
  <c r="N39" i="6"/>
  <c r="Q38" i="6"/>
  <c r="G38" i="6"/>
  <c r="H37" i="6"/>
  <c r="M39" i="6"/>
  <c r="F39" i="6"/>
  <c r="N38" i="6"/>
  <c r="Q37" i="6"/>
  <c r="N45" i="6"/>
  <c r="Q44" i="6"/>
  <c r="G44" i="6"/>
  <c r="H43" i="6"/>
  <c r="I42" i="6"/>
  <c r="J41" i="6"/>
  <c r="D41" i="6"/>
  <c r="M38" i="6"/>
  <c r="F38" i="6"/>
  <c r="N37" i="6"/>
  <c r="M45" i="6"/>
  <c r="F45" i="6"/>
  <c r="N44" i="6"/>
  <c r="Q43" i="6"/>
  <c r="G43" i="6"/>
  <c r="H42" i="6"/>
  <c r="I41" i="6"/>
  <c r="J40" i="6"/>
  <c r="D40" i="6"/>
  <c r="K39" i="6"/>
  <c r="L38" i="6"/>
  <c r="E38" i="6"/>
  <c r="M37" i="6"/>
  <c r="F37" i="6"/>
  <c r="M44" i="6"/>
  <c r="F44" i="6"/>
  <c r="N43" i="6"/>
  <c r="G42" i="6"/>
  <c r="H41" i="6"/>
  <c r="I40" i="6"/>
  <c r="J39" i="6"/>
  <c r="D39" i="6"/>
  <c r="K38" i="6"/>
  <c r="L37" i="6"/>
  <c r="E37" i="6"/>
  <c r="H44" i="6"/>
  <c r="K45" i="6"/>
  <c r="M43" i="6"/>
  <c r="F43" i="6"/>
  <c r="N42" i="6"/>
  <c r="Q41" i="6"/>
  <c r="G41" i="6"/>
  <c r="H40" i="6"/>
  <c r="I39" i="6"/>
  <c r="J38" i="6"/>
  <c r="D38" i="6"/>
  <c r="K37" i="6"/>
  <c r="L42" i="6"/>
  <c r="E42" i="6"/>
  <c r="R38" i="6"/>
  <c r="H38" i="6"/>
  <c r="G39" i="6"/>
  <c r="Q14" i="6"/>
  <c r="Q25" i="6" s="1"/>
  <c r="R14" i="6"/>
  <c r="H14" i="6"/>
  <c r="D14" i="6"/>
  <c r="D29" i="6" s="1"/>
  <c r="G14" i="6"/>
  <c r="G23" i="6" s="1"/>
  <c r="G37" i="6"/>
  <c r="N14" i="6"/>
  <c r="N24" i="6" s="1"/>
  <c r="L14" i="6"/>
  <c r="T14" i="6"/>
  <c r="T21" i="6" s="1"/>
  <c r="J14" i="6"/>
  <c r="J23" i="6" s="1"/>
  <c r="C14" i="6"/>
  <c r="S14" i="6"/>
  <c r="I14" i="6"/>
  <c r="E14" i="6"/>
  <c r="M14" i="6"/>
  <c r="F14" i="6"/>
  <c r="K14" i="6"/>
  <c r="R46" i="6" l="1"/>
  <c r="R64" i="6" s="1"/>
  <c r="O46" i="6"/>
  <c r="O64" i="6" s="1"/>
  <c r="P46" i="6"/>
  <c r="P64" i="6" s="1"/>
  <c r="G29" i="6"/>
  <c r="Q29" i="6"/>
  <c r="N29" i="6"/>
  <c r="Q22" i="6"/>
  <c r="Q21" i="6"/>
  <c r="N23" i="6"/>
  <c r="J24" i="6"/>
  <c r="J26" i="6"/>
  <c r="D25" i="6"/>
  <c r="D30" i="6"/>
  <c r="D23" i="6"/>
  <c r="D27" i="6"/>
  <c r="D22" i="6"/>
  <c r="D24" i="6"/>
  <c r="Q27" i="6"/>
  <c r="G25" i="6"/>
  <c r="G26" i="6"/>
  <c r="G21" i="6"/>
  <c r="R21" i="6"/>
  <c r="Q30" i="6"/>
  <c r="Q24" i="6"/>
  <c r="R30" i="6"/>
  <c r="H46" i="6"/>
  <c r="H64" i="6" s="1"/>
  <c r="J30" i="6"/>
  <c r="M46" i="6"/>
  <c r="M64" i="6" s="1"/>
  <c r="J25" i="6"/>
  <c r="H28" i="6"/>
  <c r="J27" i="6"/>
  <c r="Q23" i="6"/>
  <c r="J29" i="6"/>
  <c r="G28" i="6"/>
  <c r="R28" i="6"/>
  <c r="Q28" i="6"/>
  <c r="R23" i="6"/>
  <c r="J22" i="6"/>
  <c r="G27" i="6"/>
  <c r="N26" i="6"/>
  <c r="Q26" i="6"/>
  <c r="H29" i="6"/>
  <c r="K46" i="6"/>
  <c r="K64" i="6" s="1"/>
  <c r="R24" i="6"/>
  <c r="H21" i="6"/>
  <c r="N25" i="6"/>
  <c r="R29" i="6"/>
  <c r="T30" i="6"/>
  <c r="G24" i="6"/>
  <c r="G46" i="6"/>
  <c r="G64" i="6" s="1"/>
  <c r="T22" i="6"/>
  <c r="F29" i="6"/>
  <c r="F46" i="6"/>
  <c r="F64" i="6" s="1"/>
  <c r="E29" i="6"/>
  <c r="E46" i="6"/>
  <c r="E64" i="6" s="1"/>
  <c r="I46" i="6"/>
  <c r="I64" i="6" s="1"/>
  <c r="G30" i="6"/>
  <c r="H30" i="6"/>
  <c r="H22" i="6"/>
  <c r="H24" i="6"/>
  <c r="C29" i="6"/>
  <c r="C46" i="6"/>
  <c r="J46" i="6"/>
  <c r="J64" i="6" s="1"/>
  <c r="H23" i="6"/>
  <c r="D21" i="6"/>
  <c r="D46" i="6"/>
  <c r="D64" i="6" s="1"/>
  <c r="R22" i="6"/>
  <c r="H25" i="6"/>
  <c r="H26" i="6"/>
  <c r="H27" i="6"/>
  <c r="D26" i="6"/>
  <c r="G22" i="6"/>
  <c r="Q46" i="6"/>
  <c r="D28" i="6"/>
  <c r="L27" i="6"/>
  <c r="L46" i="6"/>
  <c r="L62" i="6" s="1"/>
  <c r="R25" i="6"/>
  <c r="R26" i="6"/>
  <c r="R27" i="6"/>
  <c r="N27" i="6"/>
  <c r="N46" i="6"/>
  <c r="N64" i="6" s="1"/>
  <c r="L26" i="6"/>
  <c r="N22" i="6"/>
  <c r="T24" i="6"/>
  <c r="L23" i="6"/>
  <c r="L29" i="6"/>
  <c r="T29" i="6"/>
  <c r="L28" i="6"/>
  <c r="T25" i="6"/>
  <c r="N21" i="6"/>
  <c r="T23" i="6"/>
  <c r="L22" i="6"/>
  <c r="L30" i="6"/>
  <c r="T27" i="6"/>
  <c r="N28" i="6"/>
  <c r="T26" i="6"/>
  <c r="L21" i="6"/>
  <c r="L25" i="6"/>
  <c r="N30" i="6"/>
  <c r="T28" i="6"/>
  <c r="L24" i="6"/>
  <c r="J21" i="6"/>
  <c r="J28" i="6"/>
  <c r="K28" i="6"/>
  <c r="K21" i="6"/>
  <c r="K22" i="6"/>
  <c r="K30" i="6"/>
  <c r="K23" i="6"/>
  <c r="K24" i="6"/>
  <c r="K27" i="6"/>
  <c r="K25" i="6"/>
  <c r="K26" i="6"/>
  <c r="F26" i="6"/>
  <c r="F27" i="6"/>
  <c r="F28" i="6"/>
  <c r="F21" i="6"/>
  <c r="F25" i="6"/>
  <c r="F22" i="6"/>
  <c r="F30" i="6"/>
  <c r="F23" i="6"/>
  <c r="F24" i="6"/>
  <c r="I22" i="6"/>
  <c r="I30" i="6"/>
  <c r="I23" i="6"/>
  <c r="I24" i="6"/>
  <c r="I25" i="6"/>
  <c r="I21" i="6"/>
  <c r="I26" i="6"/>
  <c r="I29" i="6"/>
  <c r="I27" i="6"/>
  <c r="I28" i="6"/>
  <c r="S22" i="6"/>
  <c r="S30" i="6"/>
  <c r="S23" i="6"/>
  <c r="S24" i="6"/>
  <c r="S25" i="6"/>
  <c r="S29" i="6"/>
  <c r="S26" i="6"/>
  <c r="S21" i="6"/>
  <c r="S27" i="6"/>
  <c r="S28" i="6"/>
  <c r="M26" i="6"/>
  <c r="M27" i="6"/>
  <c r="M28" i="6"/>
  <c r="M21" i="6"/>
  <c r="M22" i="6"/>
  <c r="M30" i="6"/>
  <c r="M25" i="6"/>
  <c r="M23" i="6"/>
  <c r="M24" i="6"/>
  <c r="K29" i="6"/>
  <c r="E27" i="6"/>
  <c r="E28" i="6"/>
  <c r="E21" i="6"/>
  <c r="E22" i="6"/>
  <c r="E30" i="6"/>
  <c r="E26" i="6"/>
  <c r="E23" i="6"/>
  <c r="E24" i="6"/>
  <c r="E25" i="6"/>
  <c r="C28" i="6"/>
  <c r="C22" i="6"/>
  <c r="C30" i="6"/>
  <c r="C23" i="6"/>
  <c r="C21" i="6"/>
  <c r="C24" i="6"/>
  <c r="C27" i="6"/>
  <c r="C25" i="6"/>
  <c r="C26" i="6"/>
  <c r="M29" i="6"/>
  <c r="O59" i="6" l="1"/>
  <c r="P56" i="6"/>
  <c r="O62" i="6"/>
  <c r="O57" i="6"/>
  <c r="O61" i="6"/>
  <c r="R63" i="6"/>
  <c r="O63" i="6"/>
  <c r="P55" i="6"/>
  <c r="P62" i="6"/>
  <c r="P57" i="6"/>
  <c r="O56" i="6"/>
  <c r="O60" i="6"/>
  <c r="R56" i="6"/>
  <c r="P63" i="6"/>
  <c r="R58" i="6"/>
  <c r="O58" i="6"/>
  <c r="R61" i="6"/>
  <c r="P59" i="6"/>
  <c r="R55" i="6"/>
  <c r="O55" i="6"/>
  <c r="P61" i="6"/>
  <c r="R57" i="6"/>
  <c r="P58" i="6"/>
  <c r="R60" i="6"/>
  <c r="R62" i="6"/>
  <c r="R59" i="6"/>
  <c r="P60" i="6"/>
  <c r="D57" i="6"/>
  <c r="M56" i="6"/>
  <c r="J57" i="6"/>
  <c r="M60" i="6"/>
  <c r="I55" i="6"/>
  <c r="K59" i="6"/>
  <c r="D60" i="6"/>
  <c r="F59" i="6"/>
  <c r="K55" i="6"/>
  <c r="F62" i="6"/>
  <c r="I59" i="6"/>
  <c r="I56" i="6"/>
  <c r="K56" i="6"/>
  <c r="G56" i="6"/>
  <c r="M61" i="6"/>
  <c r="D56" i="6"/>
  <c r="I63" i="6"/>
  <c r="I62" i="6"/>
  <c r="D59" i="6"/>
  <c r="M62" i="6"/>
  <c r="K58" i="6"/>
  <c r="K61" i="6"/>
  <c r="K62" i="6"/>
  <c r="K57" i="6"/>
  <c r="D62" i="6"/>
  <c r="G57" i="6"/>
  <c r="J61" i="6"/>
  <c r="D61" i="6"/>
  <c r="I57" i="6"/>
  <c r="J62" i="6"/>
  <c r="G60" i="6"/>
  <c r="G63" i="6"/>
  <c r="D58" i="6"/>
  <c r="J60" i="6"/>
  <c r="M57" i="6"/>
  <c r="M55" i="6"/>
  <c r="G58" i="6"/>
  <c r="G62" i="6"/>
  <c r="I60" i="6"/>
  <c r="K63" i="6"/>
  <c r="Q64" i="6"/>
  <c r="Q63" i="6"/>
  <c r="E60" i="6"/>
  <c r="Q57" i="6"/>
  <c r="Q61" i="6"/>
  <c r="Q59" i="6"/>
  <c r="Q62" i="6"/>
  <c r="H55" i="6"/>
  <c r="L59" i="6"/>
  <c r="E55" i="6"/>
  <c r="N60" i="6"/>
  <c r="N55" i="6"/>
  <c r="F56" i="6"/>
  <c r="H60" i="6"/>
  <c r="J58" i="6"/>
  <c r="N57" i="6"/>
  <c r="H58" i="6"/>
  <c r="N63" i="6"/>
  <c r="L57" i="6"/>
  <c r="C60" i="6"/>
  <c r="C64" i="6"/>
  <c r="J63" i="6"/>
  <c r="G61" i="6"/>
  <c r="L61" i="6"/>
  <c r="I58" i="6"/>
  <c r="M63" i="6"/>
  <c r="H57" i="6"/>
  <c r="F61" i="6"/>
  <c r="J55" i="6"/>
  <c r="J56" i="6"/>
  <c r="Q55" i="6"/>
  <c r="E62" i="6"/>
  <c r="K60" i="6"/>
  <c r="Q58" i="6"/>
  <c r="I61" i="6"/>
  <c r="E56" i="6"/>
  <c r="E61" i="6"/>
  <c r="Q60" i="6"/>
  <c r="N58" i="6"/>
  <c r="H61" i="6"/>
  <c r="L64" i="6"/>
  <c r="L63" i="6"/>
  <c r="H59" i="6"/>
  <c r="H63" i="6"/>
  <c r="N56" i="6"/>
  <c r="N59" i="6"/>
  <c r="N62" i="6"/>
  <c r="L58" i="6"/>
  <c r="E58" i="6"/>
  <c r="H62" i="6"/>
  <c r="F55" i="6"/>
  <c r="E63" i="6"/>
  <c r="J59" i="6"/>
  <c r="F58" i="6"/>
  <c r="M59" i="6"/>
  <c r="M58" i="6"/>
  <c r="H56" i="6"/>
  <c r="G59" i="6"/>
  <c r="D63" i="6"/>
  <c r="G55" i="6"/>
  <c r="F60" i="6"/>
  <c r="F63" i="6"/>
  <c r="Q56" i="6"/>
  <c r="D55" i="6"/>
  <c r="E59" i="6"/>
  <c r="N61" i="6"/>
  <c r="L56" i="6"/>
  <c r="F57" i="6"/>
  <c r="L55" i="6"/>
  <c r="L60" i="6"/>
  <c r="E57" i="6"/>
  <c r="C59" i="6"/>
  <c r="C56" i="6"/>
  <c r="C63" i="6"/>
  <c r="C62" i="6"/>
  <c r="C58" i="6"/>
  <c r="C61" i="6"/>
  <c r="C57" i="6"/>
  <c r="C55" i="6"/>
  <c r="Z139" i="5"/>
  <c r="AB139" i="5" s="1"/>
  <c r="Y139" i="5"/>
  <c r="AA139" i="5" s="1"/>
  <c r="Z138" i="5"/>
  <c r="AB138" i="5" s="1"/>
  <c r="Y138" i="5"/>
  <c r="AA138" i="5" s="1"/>
  <c r="Z137" i="5"/>
  <c r="AB137" i="5" s="1"/>
  <c r="Y137" i="5"/>
  <c r="AA137" i="5" s="1"/>
  <c r="Z136" i="5"/>
  <c r="AB136" i="5" s="1"/>
  <c r="Y136" i="5"/>
  <c r="AA136" i="5" s="1"/>
  <c r="Z135" i="5"/>
  <c r="AB135" i="5" s="1"/>
  <c r="Y135" i="5"/>
  <c r="AA135" i="5" s="1"/>
  <c r="Z134" i="5"/>
  <c r="AB134" i="5" s="1"/>
  <c r="Y134" i="5"/>
  <c r="AA134" i="5" s="1"/>
  <c r="Z133" i="5"/>
  <c r="AB133" i="5" s="1"/>
  <c r="Y133" i="5"/>
  <c r="AA133" i="5" s="1"/>
  <c r="Z132" i="5"/>
  <c r="AB132" i="5" s="1"/>
  <c r="Y132" i="5"/>
  <c r="AA132" i="5" s="1"/>
  <c r="Z131" i="5"/>
  <c r="AB131" i="5" s="1"/>
  <c r="Y131" i="5"/>
  <c r="AA131" i="5" s="1"/>
  <c r="Z130" i="5"/>
  <c r="AB130" i="5" s="1"/>
  <c r="Y130" i="5"/>
  <c r="AA130" i="5" s="1"/>
  <c r="Z129" i="5"/>
  <c r="AB129" i="5" s="1"/>
  <c r="Y129" i="5"/>
  <c r="AA129" i="5" s="1"/>
  <c r="Z127" i="5"/>
  <c r="AB127" i="5" s="1"/>
  <c r="Y127" i="5"/>
  <c r="AA127" i="5" s="1"/>
  <c r="Z126" i="5"/>
  <c r="AB126" i="5" s="1"/>
  <c r="Y126" i="5"/>
  <c r="AA126" i="5" s="1"/>
  <c r="Z125" i="5"/>
  <c r="AB125" i="5" s="1"/>
  <c r="Y125" i="5"/>
  <c r="AA125" i="5" s="1"/>
  <c r="Z124" i="5"/>
  <c r="AB124" i="5" s="1"/>
  <c r="Y124" i="5"/>
  <c r="AA124" i="5" s="1"/>
  <c r="Z123" i="5"/>
  <c r="AB123" i="5" s="1"/>
  <c r="Y123" i="5"/>
  <c r="AA123" i="5" s="1"/>
  <c r="Z122" i="5"/>
  <c r="AB122" i="5" s="1"/>
  <c r="Y122" i="5"/>
  <c r="AA122" i="5" s="1"/>
  <c r="Z121" i="5"/>
  <c r="AB121" i="5" s="1"/>
  <c r="Y121" i="5"/>
  <c r="AA121" i="5" s="1"/>
  <c r="Z120" i="5"/>
  <c r="AB120" i="5" s="1"/>
  <c r="Y120" i="5"/>
  <c r="AA120" i="5" s="1"/>
  <c r="Z119" i="5"/>
  <c r="AB119" i="5" s="1"/>
  <c r="Y119" i="5"/>
  <c r="AA119" i="5" s="1"/>
  <c r="Z118" i="5"/>
  <c r="AB118" i="5" s="1"/>
  <c r="Y118" i="5"/>
  <c r="AA118" i="5" s="1"/>
  <c r="Z117" i="5"/>
  <c r="AB117" i="5" s="1"/>
  <c r="Y117" i="5"/>
  <c r="AA117" i="5" s="1"/>
  <c r="Z116" i="5"/>
  <c r="AB116" i="5" s="1"/>
  <c r="Y116" i="5"/>
  <c r="AA116" i="5" s="1"/>
  <c r="Z115" i="5"/>
  <c r="AB115" i="5" s="1"/>
  <c r="Y115" i="5"/>
  <c r="AA115" i="5" s="1"/>
  <c r="Z114" i="5"/>
  <c r="AB114" i="5" s="1"/>
  <c r="Y114" i="5"/>
  <c r="AA114" i="5" s="1"/>
  <c r="Z113" i="5"/>
  <c r="AB113" i="5" s="1"/>
  <c r="Y113" i="5"/>
  <c r="AA113" i="5" s="1"/>
  <c r="Z112" i="5"/>
  <c r="AB112" i="5" s="1"/>
  <c r="Y112" i="5"/>
  <c r="AA112" i="5" s="1"/>
  <c r="Z111" i="5"/>
  <c r="AB111" i="5" s="1"/>
  <c r="Y111" i="5"/>
  <c r="AA111" i="5" s="1"/>
  <c r="Z110" i="5"/>
  <c r="AB110" i="5" s="1"/>
  <c r="Y110" i="5"/>
  <c r="AA110" i="5" s="1"/>
  <c r="Z109" i="5"/>
  <c r="AB109" i="5" s="1"/>
  <c r="Y109" i="5"/>
  <c r="AA109" i="5" s="1"/>
  <c r="Z108" i="5"/>
  <c r="AB108" i="5" s="1"/>
  <c r="Y108" i="5"/>
  <c r="AA108" i="5" s="1"/>
  <c r="Z107" i="5"/>
  <c r="AB107" i="5" s="1"/>
  <c r="Y107" i="5"/>
  <c r="AA107" i="5" s="1"/>
  <c r="Z106" i="5"/>
  <c r="AB106" i="5" s="1"/>
  <c r="Y106" i="5"/>
  <c r="AA106" i="5" s="1"/>
  <c r="O143" i="5"/>
  <c r="H143" i="5"/>
  <c r="Z105" i="5"/>
  <c r="AB105" i="5" s="1"/>
  <c r="Y105" i="5"/>
  <c r="AA105" i="5" s="1"/>
  <c r="Z103" i="5"/>
  <c r="AB103" i="5" s="1"/>
  <c r="Y103" i="5"/>
  <c r="AA103" i="5" s="1"/>
  <c r="Z102" i="5"/>
  <c r="AB102" i="5" s="1"/>
  <c r="Y102" i="5"/>
  <c r="AA102" i="5" s="1"/>
  <c r="Z101" i="5"/>
  <c r="AB101" i="5" s="1"/>
  <c r="Y101" i="5"/>
  <c r="AA101" i="5" s="1"/>
  <c r="Z100" i="5"/>
  <c r="AB100" i="5" s="1"/>
  <c r="Y100" i="5"/>
  <c r="AA100" i="5" s="1"/>
  <c r="Z99" i="5"/>
  <c r="AB99" i="5" s="1"/>
  <c r="Y99" i="5"/>
  <c r="AA99" i="5" s="1"/>
  <c r="Z98" i="5"/>
  <c r="AB98" i="5" s="1"/>
  <c r="Y98" i="5"/>
  <c r="AA98" i="5" s="1"/>
  <c r="Z97" i="5"/>
  <c r="AB97" i="5" s="1"/>
  <c r="Y97" i="5"/>
  <c r="AA97" i="5" s="1"/>
  <c r="Z96" i="5"/>
  <c r="AB96" i="5" s="1"/>
  <c r="Y96" i="5"/>
  <c r="AA96" i="5" s="1"/>
  <c r="Z95" i="5"/>
  <c r="AB95" i="5" s="1"/>
  <c r="Y95" i="5"/>
  <c r="AA95" i="5" s="1"/>
  <c r="Z94" i="5"/>
  <c r="AB94" i="5" s="1"/>
  <c r="Y94" i="5"/>
  <c r="AA94" i="5" s="1"/>
  <c r="Z93" i="5"/>
  <c r="AB93" i="5" s="1"/>
  <c r="Y93" i="5"/>
  <c r="AA93" i="5" s="1"/>
  <c r="Z92" i="5"/>
  <c r="AB92" i="5" s="1"/>
  <c r="Y92" i="5"/>
  <c r="AA92" i="5" s="1"/>
  <c r="Z91" i="5"/>
  <c r="AB91" i="5" s="1"/>
  <c r="Y91" i="5"/>
  <c r="AA91" i="5" s="1"/>
  <c r="Z90" i="5"/>
  <c r="AB90" i="5" s="1"/>
  <c r="Y90" i="5"/>
  <c r="AA90" i="5" s="1"/>
  <c r="Z89" i="5"/>
  <c r="AB89" i="5" s="1"/>
  <c r="Y89" i="5"/>
  <c r="AA89" i="5" s="1"/>
  <c r="S149" i="5"/>
  <c r="O149" i="5"/>
  <c r="H149" i="5"/>
  <c r="G149" i="5"/>
  <c r="F149" i="5"/>
  <c r="Z88" i="5"/>
  <c r="AB88" i="5" s="1"/>
  <c r="Y88" i="5"/>
  <c r="AA88" i="5" s="1"/>
  <c r="Z87" i="5"/>
  <c r="AB87" i="5" s="1"/>
  <c r="Y87" i="5"/>
  <c r="AA87" i="5" s="1"/>
  <c r="Z86" i="5"/>
  <c r="AB86" i="5" s="1"/>
  <c r="Y86" i="5"/>
  <c r="AA86" i="5" s="1"/>
  <c r="Z85" i="5"/>
  <c r="AB85" i="5" s="1"/>
  <c r="Y85" i="5"/>
  <c r="AA85" i="5" s="1"/>
  <c r="Z84" i="5"/>
  <c r="AB84" i="5" s="1"/>
  <c r="Y84" i="5"/>
  <c r="AA84" i="5" s="1"/>
  <c r="Z83" i="5"/>
  <c r="AB83" i="5" s="1"/>
  <c r="Y83" i="5"/>
  <c r="AA83" i="5" s="1"/>
  <c r="Z82" i="5"/>
  <c r="AB82" i="5" s="1"/>
  <c r="Y82" i="5"/>
  <c r="AA82" i="5" s="1"/>
  <c r="H145" i="5"/>
  <c r="Z81" i="5"/>
  <c r="AB81" i="5" s="1"/>
  <c r="Y81" i="5"/>
  <c r="AA81" i="5" s="1"/>
  <c r="Z79" i="5"/>
  <c r="AB79" i="5" s="1"/>
  <c r="Y79" i="5"/>
  <c r="AA79" i="5" s="1"/>
  <c r="Z78" i="5"/>
  <c r="AB78" i="5" s="1"/>
  <c r="Y78" i="5"/>
  <c r="AA78" i="5" s="1"/>
  <c r="Z77" i="5"/>
  <c r="AB77" i="5" s="1"/>
  <c r="Y77" i="5"/>
  <c r="AA77" i="5" s="1"/>
  <c r="Z76" i="5"/>
  <c r="AB76" i="5" s="1"/>
  <c r="Y76" i="5"/>
  <c r="AA76" i="5" s="1"/>
  <c r="Z75" i="5"/>
  <c r="AB75" i="5" s="1"/>
  <c r="Y75" i="5"/>
  <c r="AA75" i="5" s="1"/>
  <c r="Z74" i="5"/>
  <c r="AB74" i="5" s="1"/>
  <c r="Y74" i="5"/>
  <c r="AA74" i="5" s="1"/>
  <c r="Z73" i="5"/>
  <c r="AB73" i="5" s="1"/>
  <c r="Y73" i="5"/>
  <c r="AA73" i="5" s="1"/>
  <c r="Z72" i="5"/>
  <c r="AB72" i="5" s="1"/>
  <c r="Y72" i="5"/>
  <c r="AA72" i="5" s="1"/>
  <c r="Z71" i="5"/>
  <c r="AB71" i="5" s="1"/>
  <c r="Y71" i="5"/>
  <c r="AA71" i="5" s="1"/>
  <c r="Z70" i="5"/>
  <c r="AB70" i="5" s="1"/>
  <c r="Y70" i="5"/>
  <c r="AA70" i="5" s="1"/>
  <c r="Z69" i="5"/>
  <c r="AB69" i="5" s="1"/>
  <c r="Y69" i="5"/>
  <c r="AA69" i="5" s="1"/>
  <c r="Z68" i="5"/>
  <c r="AB68" i="5" s="1"/>
  <c r="Y68" i="5"/>
  <c r="AA68" i="5" s="1"/>
  <c r="Z67" i="5"/>
  <c r="AB67" i="5" s="1"/>
  <c r="Y67" i="5"/>
  <c r="AA67" i="5" s="1"/>
  <c r="Z66" i="5"/>
  <c r="AB66" i="5" s="1"/>
  <c r="Y66" i="5"/>
  <c r="AA66" i="5" s="1"/>
  <c r="Z65" i="5"/>
  <c r="AB65" i="5" s="1"/>
  <c r="Y65" i="5"/>
  <c r="AA65" i="5" s="1"/>
  <c r="Z64" i="5"/>
  <c r="AB64" i="5" s="1"/>
  <c r="Y64" i="5"/>
  <c r="AA64" i="5" s="1"/>
  <c r="Z63" i="5"/>
  <c r="AB63" i="5" s="1"/>
  <c r="Y63" i="5"/>
  <c r="AA63" i="5" s="1"/>
  <c r="Z62" i="5"/>
  <c r="AB62" i="5" s="1"/>
  <c r="Y62" i="5"/>
  <c r="AA62" i="5" s="1"/>
  <c r="Z61" i="5"/>
  <c r="AB61" i="5" s="1"/>
  <c r="Y61" i="5"/>
  <c r="AA61" i="5" s="1"/>
  <c r="S150" i="5"/>
  <c r="Z59" i="5"/>
  <c r="AB59" i="5" s="1"/>
  <c r="Y59" i="5"/>
  <c r="AA59" i="5" s="1"/>
  <c r="Z58" i="5"/>
  <c r="AB58" i="5" s="1"/>
  <c r="Y58" i="5"/>
  <c r="AA58" i="5" s="1"/>
  <c r="Z57" i="5"/>
  <c r="AB57" i="5" s="1"/>
  <c r="Y57" i="5"/>
  <c r="AA57" i="5" s="1"/>
  <c r="Z56" i="5"/>
  <c r="AB56" i="5" s="1"/>
  <c r="Y56" i="5"/>
  <c r="AA56" i="5" s="1"/>
  <c r="Z55" i="5"/>
  <c r="AB55" i="5" s="1"/>
  <c r="Y55" i="5"/>
  <c r="AA55" i="5" s="1"/>
  <c r="Z54" i="5"/>
  <c r="AB54" i="5" s="1"/>
  <c r="Y54" i="5"/>
  <c r="AA54" i="5" s="1"/>
  <c r="Z53" i="5"/>
  <c r="AB53" i="5" s="1"/>
  <c r="Y53" i="5"/>
  <c r="AA53" i="5" s="1"/>
  <c r="Z52" i="5"/>
  <c r="AB52" i="5" s="1"/>
  <c r="Y52" i="5"/>
  <c r="AA52" i="5" s="1"/>
  <c r="Z51" i="5"/>
  <c r="AB51" i="5" s="1"/>
  <c r="Y51" i="5"/>
  <c r="AA51" i="5" s="1"/>
  <c r="Z50" i="5"/>
  <c r="AB50" i="5" s="1"/>
  <c r="Y50" i="5"/>
  <c r="AA50" i="5" s="1"/>
  <c r="Z49" i="5"/>
  <c r="AB49" i="5" s="1"/>
  <c r="Y49" i="5"/>
  <c r="AA49" i="5" s="1"/>
  <c r="Z48" i="5"/>
  <c r="AB48" i="5" s="1"/>
  <c r="Y48" i="5"/>
  <c r="AA48" i="5" s="1"/>
  <c r="Z47" i="5"/>
  <c r="AB47" i="5" s="1"/>
  <c r="Y47" i="5"/>
  <c r="AA47" i="5" s="1"/>
  <c r="Z46" i="5"/>
  <c r="AB46" i="5" s="1"/>
  <c r="Y46" i="5"/>
  <c r="AA46" i="5" s="1"/>
  <c r="Z45" i="5"/>
  <c r="AB45" i="5" s="1"/>
  <c r="Y45" i="5"/>
  <c r="AA45" i="5" s="1"/>
  <c r="Z44" i="5"/>
  <c r="AB44" i="5" s="1"/>
  <c r="Y44" i="5"/>
  <c r="AA44" i="5" s="1"/>
  <c r="Z43" i="5"/>
  <c r="AB43" i="5" s="1"/>
  <c r="Y43" i="5"/>
  <c r="AA43" i="5" s="1"/>
  <c r="Z41" i="5"/>
  <c r="AB41" i="5" s="1"/>
  <c r="Y41" i="5"/>
  <c r="AA41" i="5" s="1"/>
  <c r="Z40" i="5"/>
  <c r="AB40" i="5" s="1"/>
  <c r="Y40" i="5"/>
  <c r="AA40" i="5" s="1"/>
  <c r="Z39" i="5"/>
  <c r="AB39" i="5" s="1"/>
  <c r="Y39" i="5"/>
  <c r="AA39" i="5" s="1"/>
  <c r="Z38" i="5"/>
  <c r="AB38" i="5" s="1"/>
  <c r="Y38" i="5"/>
  <c r="AA38" i="5" s="1"/>
  <c r="Z37" i="5"/>
  <c r="AB37" i="5" s="1"/>
  <c r="Y37" i="5"/>
  <c r="AA37" i="5" s="1"/>
  <c r="Z36" i="5"/>
  <c r="AB36" i="5" s="1"/>
  <c r="Y36" i="5"/>
  <c r="AA36" i="5" s="1"/>
  <c r="Z35" i="5"/>
  <c r="AB35" i="5" s="1"/>
  <c r="Y35" i="5"/>
  <c r="AA35" i="5" s="1"/>
  <c r="Z34" i="5"/>
  <c r="AB34" i="5" s="1"/>
  <c r="Y34" i="5"/>
  <c r="AA34" i="5" s="1"/>
  <c r="Z33" i="5"/>
  <c r="AB33" i="5" s="1"/>
  <c r="Y33" i="5"/>
  <c r="AA33" i="5" s="1"/>
  <c r="Z32" i="5"/>
  <c r="AB32" i="5" s="1"/>
  <c r="Y32" i="5"/>
  <c r="AA32" i="5" s="1"/>
  <c r="Z30" i="5"/>
  <c r="AB30" i="5" s="1"/>
  <c r="Y30" i="5"/>
  <c r="AA30" i="5" s="1"/>
  <c r="Z29" i="5"/>
  <c r="AB29" i="5" s="1"/>
  <c r="Y29" i="5"/>
  <c r="AA29" i="5" s="1"/>
  <c r="Z28" i="5"/>
  <c r="AB28" i="5" s="1"/>
  <c r="Y28" i="5"/>
  <c r="AA28" i="5" s="1"/>
  <c r="Z27" i="5"/>
  <c r="AB27" i="5" s="1"/>
  <c r="Y27" i="5"/>
  <c r="AA27" i="5" s="1"/>
  <c r="Z26" i="5"/>
  <c r="AB26" i="5" s="1"/>
  <c r="Y26" i="5"/>
  <c r="AA26" i="5" s="1"/>
  <c r="Z25" i="5"/>
  <c r="AB25" i="5" s="1"/>
  <c r="Y25" i="5"/>
  <c r="AA25" i="5" s="1"/>
  <c r="Z23" i="5"/>
  <c r="AB23" i="5" s="1"/>
  <c r="Y23" i="5"/>
  <c r="AA23" i="5" s="1"/>
  <c r="Z22" i="5"/>
  <c r="AB22" i="5" s="1"/>
  <c r="Y22" i="5"/>
  <c r="AA22" i="5" s="1"/>
  <c r="Z21" i="5"/>
  <c r="AB21" i="5" s="1"/>
  <c r="Y21" i="5"/>
  <c r="AA21" i="5" s="1"/>
  <c r="Z20" i="5"/>
  <c r="AB20" i="5" s="1"/>
  <c r="Y20" i="5"/>
  <c r="AA20" i="5" s="1"/>
  <c r="Z19" i="5"/>
  <c r="AB19" i="5" s="1"/>
  <c r="Y19" i="5"/>
  <c r="AA19" i="5" s="1"/>
  <c r="Z18" i="5"/>
  <c r="AB18" i="5" s="1"/>
  <c r="Y18" i="5"/>
  <c r="AA18" i="5" s="1"/>
  <c r="Y7" i="5"/>
  <c r="AA7" i="5" s="1"/>
  <c r="Z7" i="5"/>
  <c r="AB7" i="5" s="1"/>
  <c r="Y8" i="5"/>
  <c r="AA8" i="5" s="1"/>
  <c r="Z8" i="5"/>
  <c r="AB8" i="5" s="1"/>
  <c r="Y9" i="5"/>
  <c r="AA9" i="5" s="1"/>
  <c r="Z9" i="5"/>
  <c r="AB9" i="5" s="1"/>
  <c r="Y10" i="5"/>
  <c r="AA10" i="5" s="1"/>
  <c r="Z10" i="5"/>
  <c r="AB10" i="5" s="1"/>
  <c r="Y11" i="5"/>
  <c r="AA11" i="5" s="1"/>
  <c r="Z11" i="5"/>
  <c r="AB11" i="5" s="1"/>
  <c r="Y12" i="5"/>
  <c r="AA12" i="5" s="1"/>
  <c r="Z12" i="5"/>
  <c r="AB12" i="5" s="1"/>
  <c r="Y13" i="5"/>
  <c r="AA13" i="5" s="1"/>
  <c r="Z13" i="5"/>
  <c r="AB13" i="5" s="1"/>
  <c r="Y14" i="5"/>
  <c r="AA14" i="5" s="1"/>
  <c r="Z14" i="5"/>
  <c r="AB14" i="5" s="1"/>
  <c r="Y15" i="5"/>
  <c r="AA15" i="5" s="1"/>
  <c r="Z15" i="5"/>
  <c r="AB15" i="5" s="1"/>
  <c r="Y16" i="5"/>
  <c r="AA16" i="5" s="1"/>
  <c r="Z16" i="5"/>
  <c r="AB16" i="5" s="1"/>
  <c r="E128" i="5"/>
  <c r="O151" i="5"/>
  <c r="I151" i="5"/>
  <c r="I128" i="5"/>
  <c r="S141" i="5"/>
  <c r="E141" i="5"/>
  <c r="I143" i="5"/>
  <c r="H104" i="5"/>
  <c r="V149" i="5"/>
  <c r="Z149" i="5" s="1"/>
  <c r="AB149" i="5" s="1"/>
  <c r="L149" i="5"/>
  <c r="I149" i="5"/>
  <c r="M144" i="5"/>
  <c r="J144" i="5"/>
  <c r="F150" i="5"/>
  <c r="T144" i="5" l="1"/>
  <c r="Y144" i="5" s="1"/>
  <c r="AA144" i="5" s="1"/>
  <c r="J104" i="5"/>
  <c r="N149" i="5"/>
  <c r="J142" i="5"/>
  <c r="J149" i="5"/>
  <c r="T149" i="5"/>
  <c r="Y149" i="5" s="1"/>
  <c r="AA149" i="5" s="1"/>
  <c r="P149" i="5"/>
  <c r="I150" i="5"/>
  <c r="M149" i="5"/>
  <c r="G148" i="5"/>
  <c r="N17" i="5"/>
  <c r="F17" i="5"/>
  <c r="T148" i="5"/>
  <c r="Y148" i="5" s="1"/>
  <c r="AA148" i="5" s="1"/>
  <c r="P24" i="5"/>
  <c r="F24" i="5"/>
  <c r="L24" i="5"/>
  <c r="V24" i="5"/>
  <c r="Z24" i="5" s="1"/>
  <c r="AB24" i="5" s="1"/>
  <c r="J31" i="5"/>
  <c r="P146" i="5"/>
  <c r="J146" i="5"/>
  <c r="T146" i="5"/>
  <c r="Y146" i="5" s="1"/>
  <c r="AA146" i="5" s="1"/>
  <c r="J42" i="5"/>
  <c r="P42" i="5"/>
  <c r="G42" i="5"/>
  <c r="F42" i="5"/>
  <c r="P60" i="5"/>
  <c r="L150" i="5"/>
  <c r="V150" i="5"/>
  <c r="Z150" i="5" s="1"/>
  <c r="AB150" i="5" s="1"/>
  <c r="J150" i="5"/>
  <c r="T150" i="5"/>
  <c r="Y150" i="5" s="1"/>
  <c r="AA150" i="5" s="1"/>
  <c r="P142" i="5"/>
  <c r="G150" i="5"/>
  <c r="N150" i="5"/>
  <c r="T80" i="5"/>
  <c r="Y80" i="5" s="1"/>
  <c r="AA80" i="5" s="1"/>
  <c r="P80" i="5"/>
  <c r="G80" i="5"/>
  <c r="N80" i="5"/>
  <c r="F145" i="5"/>
  <c r="L145" i="5"/>
  <c r="V145" i="5"/>
  <c r="Z145" i="5" s="1"/>
  <c r="AB145" i="5" s="1"/>
  <c r="J145" i="5"/>
  <c r="T145" i="5"/>
  <c r="Y145" i="5" s="1"/>
  <c r="AA145" i="5" s="1"/>
  <c r="G145" i="5"/>
  <c r="F144" i="5"/>
  <c r="L144" i="5"/>
  <c r="V144" i="5"/>
  <c r="Z144" i="5" s="1"/>
  <c r="AB144" i="5" s="1"/>
  <c r="J143" i="5"/>
  <c r="T143" i="5"/>
  <c r="Y143" i="5" s="1"/>
  <c r="AA143" i="5" s="1"/>
  <c r="L141" i="5"/>
  <c r="G128" i="5"/>
  <c r="N128" i="5"/>
  <c r="N144" i="5"/>
  <c r="E142" i="5"/>
  <c r="P144" i="5"/>
  <c r="K142" i="5"/>
  <c r="U142" i="5"/>
  <c r="G144" i="5"/>
  <c r="P150" i="5"/>
  <c r="M148" i="5"/>
  <c r="E24" i="5"/>
  <c r="K24" i="5"/>
  <c r="U24" i="5"/>
  <c r="I24" i="5"/>
  <c r="S24" i="5"/>
  <c r="H24" i="5"/>
  <c r="O24" i="5"/>
  <c r="I31" i="5"/>
  <c r="S31" i="5"/>
  <c r="H31" i="5"/>
  <c r="O31" i="5"/>
  <c r="M31" i="5"/>
  <c r="E146" i="5"/>
  <c r="K31" i="5"/>
  <c r="U31" i="5"/>
  <c r="M146" i="5"/>
  <c r="I146" i="5"/>
  <c r="S146" i="5"/>
  <c r="H146" i="5"/>
  <c r="O146" i="5"/>
  <c r="M42" i="5"/>
  <c r="E42" i="5"/>
  <c r="K42" i="5"/>
  <c r="U42" i="5"/>
  <c r="I42" i="5"/>
  <c r="S42" i="5"/>
  <c r="H42" i="5"/>
  <c r="O42" i="5"/>
  <c r="E150" i="5"/>
  <c r="K150" i="5"/>
  <c r="U150" i="5"/>
  <c r="I60" i="5"/>
  <c r="S142" i="5"/>
  <c r="H150" i="5"/>
  <c r="O150" i="5"/>
  <c r="M60" i="5"/>
  <c r="E145" i="5"/>
  <c r="K80" i="5"/>
  <c r="U80" i="5"/>
  <c r="I144" i="5"/>
  <c r="S80" i="5"/>
  <c r="H80" i="5"/>
  <c r="O145" i="5"/>
  <c r="M145" i="5"/>
  <c r="I145" i="5"/>
  <c r="S145" i="5"/>
  <c r="H17" i="5"/>
  <c r="E17" i="5"/>
  <c r="M24" i="5"/>
  <c r="H6" i="5"/>
  <c r="K6" i="5"/>
  <c r="J151" i="5"/>
  <c r="T151" i="5"/>
  <c r="Y151" i="5" s="1"/>
  <c r="AA151" i="5" s="1"/>
  <c r="L17" i="5"/>
  <c r="V17" i="5"/>
  <c r="Z17" i="5" s="1"/>
  <c r="AB17" i="5" s="1"/>
  <c r="J148" i="5"/>
  <c r="P17" i="5"/>
  <c r="G17" i="5"/>
  <c r="N148" i="5"/>
  <c r="G24" i="5"/>
  <c r="N24" i="5"/>
  <c r="J24" i="5"/>
  <c r="T24" i="5"/>
  <c r="Y24" i="5" s="1"/>
  <c r="AA24" i="5" s="1"/>
  <c r="P31" i="5"/>
  <c r="T104" i="5"/>
  <c r="Y104" i="5" s="1"/>
  <c r="AA104" i="5" s="1"/>
  <c r="P143" i="5"/>
  <c r="G104" i="5"/>
  <c r="F104" i="5"/>
  <c r="L104" i="5"/>
  <c r="V104" i="5"/>
  <c r="Z104" i="5" s="1"/>
  <c r="AB104" i="5" s="1"/>
  <c r="P141" i="5"/>
  <c r="G143" i="5"/>
  <c r="N143" i="5"/>
  <c r="J141" i="5"/>
  <c r="T141" i="5"/>
  <c r="Y141" i="5" s="1"/>
  <c r="AA141" i="5" s="1"/>
  <c r="K144" i="5"/>
  <c r="E149" i="5"/>
  <c r="U149" i="5"/>
  <c r="M104" i="5"/>
  <c r="E104" i="5"/>
  <c r="K104" i="5"/>
  <c r="U104" i="5"/>
  <c r="I104" i="5"/>
  <c r="S104" i="5"/>
  <c r="M141" i="5"/>
  <c r="P148" i="5"/>
  <c r="I142" i="5"/>
  <c r="H144" i="5"/>
  <c r="O144" i="5"/>
  <c r="H142" i="5"/>
  <c r="O142" i="5"/>
  <c r="E143" i="5"/>
  <c r="K143" i="5"/>
  <c r="U143" i="5"/>
  <c r="H141" i="5"/>
  <c r="O141" i="5"/>
  <c r="I141" i="5"/>
  <c r="K141" i="5"/>
  <c r="U141" i="5"/>
  <c r="S151" i="5"/>
  <c r="H151" i="5"/>
  <c r="M128" i="5"/>
  <c r="E151" i="5"/>
  <c r="K128" i="5"/>
  <c r="U151" i="5"/>
  <c r="P6" i="5"/>
  <c r="F141" i="5"/>
  <c r="V141" i="5"/>
  <c r="Z141" i="5" s="1"/>
  <c r="AB141" i="5" s="1"/>
  <c r="U146" i="5"/>
  <c r="S60" i="5"/>
  <c r="I80" i="5"/>
  <c r="O80" i="5"/>
  <c r="U145" i="5"/>
  <c r="S144" i="5"/>
  <c r="K151" i="5"/>
  <c r="U6" i="5"/>
  <c r="L6" i="5"/>
  <c r="M6" i="5"/>
  <c r="N6" i="5"/>
  <c r="G6" i="5"/>
  <c r="O6" i="5"/>
  <c r="S6" i="5"/>
  <c r="I6" i="5"/>
  <c r="T6" i="5"/>
  <c r="Y6" i="5" s="1"/>
  <c r="AA6" i="5" s="1"/>
  <c r="J6" i="5"/>
  <c r="V6" i="5"/>
  <c r="Z6" i="5" s="1"/>
  <c r="AB6" i="5" s="1"/>
  <c r="F6" i="5"/>
  <c r="N42" i="5"/>
  <c r="L42" i="5"/>
  <c r="V42" i="5"/>
  <c r="Z42" i="5" s="1"/>
  <c r="AB42" i="5" s="1"/>
  <c r="T42" i="5"/>
  <c r="Y42" i="5" s="1"/>
  <c r="AA42" i="5" s="1"/>
  <c r="J80" i="5"/>
  <c r="P145" i="5"/>
  <c r="N145" i="5"/>
  <c r="P128" i="5"/>
  <c r="F128" i="5"/>
  <c r="L128" i="5"/>
  <c r="V128" i="5"/>
  <c r="Z128" i="5" s="1"/>
  <c r="AB128" i="5" s="1"/>
  <c r="E31" i="5"/>
  <c r="K146" i="5"/>
  <c r="M151" i="5"/>
  <c r="U128" i="5"/>
  <c r="E144" i="5"/>
  <c r="N142" i="5"/>
  <c r="F142" i="5"/>
  <c r="L142" i="5"/>
  <c r="V142" i="5"/>
  <c r="Z142" i="5" s="1"/>
  <c r="AB142" i="5" s="1"/>
  <c r="G141" i="5"/>
  <c r="N141" i="5"/>
  <c r="U144" i="5"/>
  <c r="O104" i="5"/>
  <c r="M150" i="5"/>
  <c r="E80" i="5"/>
  <c r="K149" i="5"/>
  <c r="S128" i="5"/>
  <c r="S143" i="5"/>
  <c r="H148" i="5"/>
  <c r="O17" i="5"/>
  <c r="E148" i="5"/>
  <c r="K148" i="5"/>
  <c r="U148" i="5"/>
  <c r="I148" i="5"/>
  <c r="S148" i="5"/>
  <c r="K145" i="5"/>
  <c r="G31" i="5"/>
  <c r="N31" i="5"/>
  <c r="F31" i="5"/>
  <c r="L31" i="5"/>
  <c r="V31" i="5"/>
  <c r="Z31" i="5" s="1"/>
  <c r="AB31" i="5" s="1"/>
  <c r="T31" i="5"/>
  <c r="Y31" i="5" s="1"/>
  <c r="AA31" i="5" s="1"/>
  <c r="F146" i="5"/>
  <c r="L146" i="5"/>
  <c r="V146" i="5"/>
  <c r="Z146" i="5" s="1"/>
  <c r="AB146" i="5" s="1"/>
  <c r="G146" i="5"/>
  <c r="N146" i="5"/>
  <c r="F151" i="5"/>
  <c r="L151" i="5"/>
  <c r="V151" i="5"/>
  <c r="Z151" i="5" s="1"/>
  <c r="AB151" i="5" s="1"/>
  <c r="P151" i="5"/>
  <c r="T142" i="5"/>
  <c r="Y142" i="5" s="1"/>
  <c r="AA142" i="5" s="1"/>
  <c r="G142" i="5"/>
  <c r="N104" i="5"/>
  <c r="P104" i="5"/>
  <c r="O148" i="5"/>
  <c r="U17" i="5"/>
  <c r="K17" i="5"/>
  <c r="E6" i="5"/>
  <c r="M17" i="5"/>
  <c r="H60" i="5"/>
  <c r="O60" i="5"/>
  <c r="H128" i="5"/>
  <c r="O128" i="5"/>
  <c r="M142" i="5"/>
  <c r="F143" i="5"/>
  <c r="L143" i="5"/>
  <c r="V143" i="5"/>
  <c r="Z143" i="5" s="1"/>
  <c r="AB143" i="5" s="1"/>
  <c r="F148" i="5"/>
  <c r="L148" i="5"/>
  <c r="V148" i="5"/>
  <c r="Z148" i="5" s="1"/>
  <c r="AB148" i="5" s="1"/>
  <c r="G151" i="5"/>
  <c r="N151" i="5"/>
  <c r="M143" i="5"/>
  <c r="J60" i="5"/>
  <c r="T60" i="5"/>
  <c r="Y60" i="5" s="1"/>
  <c r="AA60" i="5" s="1"/>
  <c r="J128" i="5"/>
  <c r="T128" i="5"/>
  <c r="Y128" i="5" s="1"/>
  <c r="AA128" i="5" s="1"/>
  <c r="I17" i="5"/>
  <c r="S17" i="5"/>
  <c r="E60" i="5"/>
  <c r="K60" i="5"/>
  <c r="U60" i="5"/>
  <c r="J17" i="5"/>
  <c r="T17" i="5"/>
  <c r="Y17" i="5" s="1"/>
  <c r="AA17" i="5" s="1"/>
  <c r="F60" i="5"/>
  <c r="L60" i="5"/>
  <c r="V60" i="5"/>
  <c r="Z60" i="5" s="1"/>
  <c r="AB60" i="5" s="1"/>
  <c r="F80" i="5"/>
  <c r="L80" i="5"/>
  <c r="V80" i="5"/>
  <c r="Z80" i="5" s="1"/>
  <c r="AB80" i="5" s="1"/>
  <c r="M80" i="5"/>
  <c r="G60" i="5"/>
  <c r="N60" i="5"/>
  <c r="Y129" i="3"/>
  <c r="AA129" i="3" s="1"/>
  <c r="Z129" i="3"/>
  <c r="AB129" i="3" s="1"/>
  <c r="Y130" i="3"/>
  <c r="AA130" i="3" s="1"/>
  <c r="Z130" i="3"/>
  <c r="AB130" i="3" s="1"/>
  <c r="Y131" i="3"/>
  <c r="AA131" i="3" s="1"/>
  <c r="Z131" i="3"/>
  <c r="AB131" i="3" s="1"/>
  <c r="Y132" i="3"/>
  <c r="AA132" i="3" s="1"/>
  <c r="Z132" i="3"/>
  <c r="AB132" i="3" s="1"/>
  <c r="Y133" i="3"/>
  <c r="AA133" i="3" s="1"/>
  <c r="Z133" i="3"/>
  <c r="AB133" i="3" s="1"/>
  <c r="Y134" i="3"/>
  <c r="AA134" i="3" s="1"/>
  <c r="Z134" i="3"/>
  <c r="AB134" i="3" s="1"/>
  <c r="Y135" i="3"/>
  <c r="AA135" i="3" s="1"/>
  <c r="Z135" i="3"/>
  <c r="AB135" i="3" s="1"/>
  <c r="Y136" i="3"/>
  <c r="AA136" i="3" s="1"/>
  <c r="Z136" i="3"/>
  <c r="AB136" i="3" s="1"/>
  <c r="Y137" i="3"/>
  <c r="AA137" i="3" s="1"/>
  <c r="Z137" i="3"/>
  <c r="AB137" i="3" s="1"/>
  <c r="Y138" i="3"/>
  <c r="AA138" i="3" s="1"/>
  <c r="Z138" i="3"/>
  <c r="AB138" i="3" s="1"/>
  <c r="Y139" i="3"/>
  <c r="AA139" i="3" s="1"/>
  <c r="Z139" i="3"/>
  <c r="AB139" i="3" s="1"/>
  <c r="Y105" i="3"/>
  <c r="AA105" i="3" s="1"/>
  <c r="Z105" i="3"/>
  <c r="AB105" i="3" s="1"/>
  <c r="Y106" i="3"/>
  <c r="AA106" i="3" s="1"/>
  <c r="Z106" i="3"/>
  <c r="AB106" i="3" s="1"/>
  <c r="Y107" i="3"/>
  <c r="AA107" i="3" s="1"/>
  <c r="Z107" i="3"/>
  <c r="AB107" i="3" s="1"/>
  <c r="Y108" i="3"/>
  <c r="AA108" i="3" s="1"/>
  <c r="Z108" i="3"/>
  <c r="AB108" i="3" s="1"/>
  <c r="Y109" i="3"/>
  <c r="AA109" i="3" s="1"/>
  <c r="Z109" i="3"/>
  <c r="AB109" i="3" s="1"/>
  <c r="Y110" i="3"/>
  <c r="AA110" i="3" s="1"/>
  <c r="Z110" i="3"/>
  <c r="AB110" i="3" s="1"/>
  <c r="Y111" i="3"/>
  <c r="AA111" i="3" s="1"/>
  <c r="Z111" i="3"/>
  <c r="AB111" i="3" s="1"/>
  <c r="Y112" i="3"/>
  <c r="AA112" i="3" s="1"/>
  <c r="Z112" i="3"/>
  <c r="AB112" i="3" s="1"/>
  <c r="Y113" i="3"/>
  <c r="AA113" i="3" s="1"/>
  <c r="Z113" i="3"/>
  <c r="AB113" i="3" s="1"/>
  <c r="Y114" i="3"/>
  <c r="AA114" i="3" s="1"/>
  <c r="Z114" i="3"/>
  <c r="AB114" i="3" s="1"/>
  <c r="Y115" i="3"/>
  <c r="AA115" i="3" s="1"/>
  <c r="Z115" i="3"/>
  <c r="AB115" i="3" s="1"/>
  <c r="Y116" i="3"/>
  <c r="AA116" i="3" s="1"/>
  <c r="Z116" i="3"/>
  <c r="AB116" i="3" s="1"/>
  <c r="Y117" i="3"/>
  <c r="AA117" i="3" s="1"/>
  <c r="Z117" i="3"/>
  <c r="AB117" i="3" s="1"/>
  <c r="Y118" i="3"/>
  <c r="AA118" i="3" s="1"/>
  <c r="Z118" i="3"/>
  <c r="AB118" i="3" s="1"/>
  <c r="Y119" i="3"/>
  <c r="AA119" i="3" s="1"/>
  <c r="Z119" i="3"/>
  <c r="AB119" i="3" s="1"/>
  <c r="Y120" i="3"/>
  <c r="AA120" i="3" s="1"/>
  <c r="Z120" i="3"/>
  <c r="AB120" i="3" s="1"/>
  <c r="Y121" i="3"/>
  <c r="AA121" i="3" s="1"/>
  <c r="Z121" i="3"/>
  <c r="AB121" i="3" s="1"/>
  <c r="Y122" i="3"/>
  <c r="AA122" i="3" s="1"/>
  <c r="Z122" i="3"/>
  <c r="AB122" i="3" s="1"/>
  <c r="Y123" i="3"/>
  <c r="AA123" i="3" s="1"/>
  <c r="Z123" i="3"/>
  <c r="AB123" i="3" s="1"/>
  <c r="Y124" i="3"/>
  <c r="AA124" i="3" s="1"/>
  <c r="Z124" i="3"/>
  <c r="AB124" i="3" s="1"/>
  <c r="Y125" i="3"/>
  <c r="AA125" i="3" s="1"/>
  <c r="Z125" i="3"/>
  <c r="AB125" i="3" s="1"/>
  <c r="Y126" i="3"/>
  <c r="AA126" i="3" s="1"/>
  <c r="Z126" i="3"/>
  <c r="AB126" i="3" s="1"/>
  <c r="Y127" i="3"/>
  <c r="AA127" i="3" s="1"/>
  <c r="Z127" i="3"/>
  <c r="AB127" i="3" s="1"/>
  <c r="Y81" i="3"/>
  <c r="AA81" i="3" s="1"/>
  <c r="Z81" i="3"/>
  <c r="AB81" i="3" s="1"/>
  <c r="Y82" i="3"/>
  <c r="AA82" i="3" s="1"/>
  <c r="Z82" i="3"/>
  <c r="AB82" i="3" s="1"/>
  <c r="Y83" i="3"/>
  <c r="AA83" i="3" s="1"/>
  <c r="Z83" i="3"/>
  <c r="AB83" i="3" s="1"/>
  <c r="Y84" i="3"/>
  <c r="AA84" i="3" s="1"/>
  <c r="Z84" i="3"/>
  <c r="AB84" i="3" s="1"/>
  <c r="Y85" i="3"/>
  <c r="AA85" i="3" s="1"/>
  <c r="Z85" i="3"/>
  <c r="AB85" i="3" s="1"/>
  <c r="Y86" i="3"/>
  <c r="AA86" i="3" s="1"/>
  <c r="Z86" i="3"/>
  <c r="AB86" i="3" s="1"/>
  <c r="Y87" i="3"/>
  <c r="AA87" i="3" s="1"/>
  <c r="Z87" i="3"/>
  <c r="AB87" i="3" s="1"/>
  <c r="Y88" i="3"/>
  <c r="AA88" i="3" s="1"/>
  <c r="Z88" i="3"/>
  <c r="AB88" i="3" s="1"/>
  <c r="Y89" i="3"/>
  <c r="AA89" i="3" s="1"/>
  <c r="Z89" i="3"/>
  <c r="AB89" i="3" s="1"/>
  <c r="Y90" i="3"/>
  <c r="AA90" i="3" s="1"/>
  <c r="Z90" i="3"/>
  <c r="AB90" i="3" s="1"/>
  <c r="Y91" i="3"/>
  <c r="AA91" i="3" s="1"/>
  <c r="Z91" i="3"/>
  <c r="AB91" i="3" s="1"/>
  <c r="Y92" i="3"/>
  <c r="AA92" i="3" s="1"/>
  <c r="Z92" i="3"/>
  <c r="AB92" i="3" s="1"/>
  <c r="Y93" i="3"/>
  <c r="AA93" i="3" s="1"/>
  <c r="Z93" i="3"/>
  <c r="AB93" i="3" s="1"/>
  <c r="Y94" i="3"/>
  <c r="AA94" i="3" s="1"/>
  <c r="Z94" i="3"/>
  <c r="AB94" i="3" s="1"/>
  <c r="Y95" i="3"/>
  <c r="AA95" i="3" s="1"/>
  <c r="Z95" i="3"/>
  <c r="AB95" i="3" s="1"/>
  <c r="Y96" i="3"/>
  <c r="AA96" i="3" s="1"/>
  <c r="Z96" i="3"/>
  <c r="AB96" i="3" s="1"/>
  <c r="Y97" i="3"/>
  <c r="AA97" i="3" s="1"/>
  <c r="Z97" i="3"/>
  <c r="AB97" i="3" s="1"/>
  <c r="Y98" i="3"/>
  <c r="AA98" i="3" s="1"/>
  <c r="Z98" i="3"/>
  <c r="AB98" i="3" s="1"/>
  <c r="Y99" i="3"/>
  <c r="AA99" i="3" s="1"/>
  <c r="Z99" i="3"/>
  <c r="AB99" i="3" s="1"/>
  <c r="Y100" i="3"/>
  <c r="AA100" i="3" s="1"/>
  <c r="Z100" i="3"/>
  <c r="AB100" i="3" s="1"/>
  <c r="Y101" i="3"/>
  <c r="AA101" i="3" s="1"/>
  <c r="Z101" i="3"/>
  <c r="AB101" i="3" s="1"/>
  <c r="Y102" i="3"/>
  <c r="AA102" i="3" s="1"/>
  <c r="Z102" i="3"/>
  <c r="AB102" i="3" s="1"/>
  <c r="Y103" i="3"/>
  <c r="AA103" i="3" s="1"/>
  <c r="Z103" i="3"/>
  <c r="AB103" i="3" s="1"/>
  <c r="Y61" i="3"/>
  <c r="AA61" i="3" s="1"/>
  <c r="Z61" i="3"/>
  <c r="AB61" i="3" s="1"/>
  <c r="Y62" i="3"/>
  <c r="AA62" i="3" s="1"/>
  <c r="Z62" i="3"/>
  <c r="AB62" i="3" s="1"/>
  <c r="Y63" i="3"/>
  <c r="AA63" i="3" s="1"/>
  <c r="Z63" i="3"/>
  <c r="AB63" i="3" s="1"/>
  <c r="Y64" i="3"/>
  <c r="AA64" i="3" s="1"/>
  <c r="Z64" i="3"/>
  <c r="AB64" i="3" s="1"/>
  <c r="Y65" i="3"/>
  <c r="AA65" i="3" s="1"/>
  <c r="Z65" i="3"/>
  <c r="AB65" i="3" s="1"/>
  <c r="Y66" i="3"/>
  <c r="AA66" i="3" s="1"/>
  <c r="Z66" i="3"/>
  <c r="AB66" i="3" s="1"/>
  <c r="Y67" i="3"/>
  <c r="AA67" i="3" s="1"/>
  <c r="Z67" i="3"/>
  <c r="AB67" i="3" s="1"/>
  <c r="Y68" i="3"/>
  <c r="AA68" i="3" s="1"/>
  <c r="Z68" i="3"/>
  <c r="AB68" i="3" s="1"/>
  <c r="Y69" i="3"/>
  <c r="AA69" i="3" s="1"/>
  <c r="Z69" i="3"/>
  <c r="AB69" i="3" s="1"/>
  <c r="Y70" i="3"/>
  <c r="AA70" i="3" s="1"/>
  <c r="Z70" i="3"/>
  <c r="AB70" i="3" s="1"/>
  <c r="Y71" i="3"/>
  <c r="AA71" i="3" s="1"/>
  <c r="Z71" i="3"/>
  <c r="AB71" i="3" s="1"/>
  <c r="Y72" i="3"/>
  <c r="AA72" i="3" s="1"/>
  <c r="Z72" i="3"/>
  <c r="AB72" i="3" s="1"/>
  <c r="Y73" i="3"/>
  <c r="AA73" i="3" s="1"/>
  <c r="Z73" i="3"/>
  <c r="AB73" i="3" s="1"/>
  <c r="Y74" i="3"/>
  <c r="AA74" i="3" s="1"/>
  <c r="Z74" i="3"/>
  <c r="AB74" i="3" s="1"/>
  <c r="Y75" i="3"/>
  <c r="AA75" i="3" s="1"/>
  <c r="Z75" i="3"/>
  <c r="AB75" i="3" s="1"/>
  <c r="Y76" i="3"/>
  <c r="AA76" i="3" s="1"/>
  <c r="Z76" i="3"/>
  <c r="AB76" i="3" s="1"/>
  <c r="Y77" i="3"/>
  <c r="AA77" i="3" s="1"/>
  <c r="Z77" i="3"/>
  <c r="AB77" i="3" s="1"/>
  <c r="Y78" i="3"/>
  <c r="AA78" i="3" s="1"/>
  <c r="Z78" i="3"/>
  <c r="AB78" i="3" s="1"/>
  <c r="Y79" i="3"/>
  <c r="AA79" i="3" s="1"/>
  <c r="Z79" i="3"/>
  <c r="AB79" i="3" s="1"/>
  <c r="Y43" i="3"/>
  <c r="AA43" i="3" s="1"/>
  <c r="Z43" i="3"/>
  <c r="AB43" i="3" s="1"/>
  <c r="Y44" i="3"/>
  <c r="AA44" i="3" s="1"/>
  <c r="Z44" i="3"/>
  <c r="AB44" i="3" s="1"/>
  <c r="Y45" i="3"/>
  <c r="AA45" i="3" s="1"/>
  <c r="Z45" i="3"/>
  <c r="AB45" i="3" s="1"/>
  <c r="Y46" i="3"/>
  <c r="AA46" i="3" s="1"/>
  <c r="Z46" i="3"/>
  <c r="AB46" i="3" s="1"/>
  <c r="Y47" i="3"/>
  <c r="AA47" i="3" s="1"/>
  <c r="Z47" i="3"/>
  <c r="AB47" i="3" s="1"/>
  <c r="Y48" i="3"/>
  <c r="AA48" i="3" s="1"/>
  <c r="Z48" i="3"/>
  <c r="AB48" i="3" s="1"/>
  <c r="Y49" i="3"/>
  <c r="AA49" i="3" s="1"/>
  <c r="Z49" i="3"/>
  <c r="AB49" i="3" s="1"/>
  <c r="Y50" i="3"/>
  <c r="AA50" i="3" s="1"/>
  <c r="Z50" i="3"/>
  <c r="AB50" i="3" s="1"/>
  <c r="Y51" i="3"/>
  <c r="AA51" i="3" s="1"/>
  <c r="Z51" i="3"/>
  <c r="AB51" i="3" s="1"/>
  <c r="Y52" i="3"/>
  <c r="AA52" i="3" s="1"/>
  <c r="Z52" i="3"/>
  <c r="AB52" i="3" s="1"/>
  <c r="Y53" i="3"/>
  <c r="AA53" i="3" s="1"/>
  <c r="Z53" i="3"/>
  <c r="AB53" i="3" s="1"/>
  <c r="Y54" i="3"/>
  <c r="AA54" i="3" s="1"/>
  <c r="Z54" i="3"/>
  <c r="AB54" i="3" s="1"/>
  <c r="Y55" i="3"/>
  <c r="AA55" i="3" s="1"/>
  <c r="Z55" i="3"/>
  <c r="AB55" i="3" s="1"/>
  <c r="Y56" i="3"/>
  <c r="AA56" i="3" s="1"/>
  <c r="Z56" i="3"/>
  <c r="AB56" i="3" s="1"/>
  <c r="Y57" i="3"/>
  <c r="AA57" i="3" s="1"/>
  <c r="Z57" i="3"/>
  <c r="AB57" i="3" s="1"/>
  <c r="Y58" i="3"/>
  <c r="AA58" i="3" s="1"/>
  <c r="Z58" i="3"/>
  <c r="AB58" i="3" s="1"/>
  <c r="Y59" i="3"/>
  <c r="AA59" i="3" s="1"/>
  <c r="Z59" i="3"/>
  <c r="AB59" i="3" s="1"/>
  <c r="Y32" i="3"/>
  <c r="AA32" i="3" s="1"/>
  <c r="Z32" i="3"/>
  <c r="AB32" i="3" s="1"/>
  <c r="Y33" i="3"/>
  <c r="AA33" i="3" s="1"/>
  <c r="Z33" i="3"/>
  <c r="AB33" i="3" s="1"/>
  <c r="Y34" i="3"/>
  <c r="AA34" i="3" s="1"/>
  <c r="Z34" i="3"/>
  <c r="AB34" i="3" s="1"/>
  <c r="Y35" i="3"/>
  <c r="AA35" i="3" s="1"/>
  <c r="Z35" i="3"/>
  <c r="AB35" i="3" s="1"/>
  <c r="Y36" i="3"/>
  <c r="AA36" i="3" s="1"/>
  <c r="Z36" i="3"/>
  <c r="AB36" i="3" s="1"/>
  <c r="Y37" i="3"/>
  <c r="AA37" i="3" s="1"/>
  <c r="Z37" i="3"/>
  <c r="AB37" i="3" s="1"/>
  <c r="Y38" i="3"/>
  <c r="AA38" i="3" s="1"/>
  <c r="Z38" i="3"/>
  <c r="AB38" i="3" s="1"/>
  <c r="Y39" i="3"/>
  <c r="AA39" i="3" s="1"/>
  <c r="Z39" i="3"/>
  <c r="AB39" i="3" s="1"/>
  <c r="Y40" i="3"/>
  <c r="AA40" i="3" s="1"/>
  <c r="Z40" i="3"/>
  <c r="AB40" i="3" s="1"/>
  <c r="Y41" i="3"/>
  <c r="AA41" i="3" s="1"/>
  <c r="Z41" i="3"/>
  <c r="AB41" i="3" s="1"/>
  <c r="Y25" i="3"/>
  <c r="AA25" i="3" s="1"/>
  <c r="Z25" i="3"/>
  <c r="AB25" i="3" s="1"/>
  <c r="Y26" i="3"/>
  <c r="AA26" i="3" s="1"/>
  <c r="Z26" i="3"/>
  <c r="AB26" i="3" s="1"/>
  <c r="Y27" i="3"/>
  <c r="AA27" i="3" s="1"/>
  <c r="Z27" i="3"/>
  <c r="AB27" i="3" s="1"/>
  <c r="Y28" i="3"/>
  <c r="AA28" i="3" s="1"/>
  <c r="Z28" i="3"/>
  <c r="AB28" i="3" s="1"/>
  <c r="Y29" i="3"/>
  <c r="AA29" i="3" s="1"/>
  <c r="Z29" i="3"/>
  <c r="AB29" i="3" s="1"/>
  <c r="Y30" i="3"/>
  <c r="AA30" i="3" s="1"/>
  <c r="Z30" i="3"/>
  <c r="AB30" i="3" s="1"/>
  <c r="Y18" i="3"/>
  <c r="AA18" i="3" s="1"/>
  <c r="Z18" i="3"/>
  <c r="AB18" i="3" s="1"/>
  <c r="Y19" i="3"/>
  <c r="AA19" i="3" s="1"/>
  <c r="Z19" i="3"/>
  <c r="AB19" i="3" s="1"/>
  <c r="Y20" i="3"/>
  <c r="AA20" i="3" s="1"/>
  <c r="Z20" i="3"/>
  <c r="AB20" i="3" s="1"/>
  <c r="Y21" i="3"/>
  <c r="AA21" i="3" s="1"/>
  <c r="Z21" i="3"/>
  <c r="AB21" i="3" s="1"/>
  <c r="Y22" i="3"/>
  <c r="AA22" i="3" s="1"/>
  <c r="Z22" i="3"/>
  <c r="AB22" i="3" s="1"/>
  <c r="Y23" i="3"/>
  <c r="AA23" i="3" s="1"/>
  <c r="Z23" i="3"/>
  <c r="AB23" i="3" s="1"/>
  <c r="Y7" i="3"/>
  <c r="AA7" i="3" s="1"/>
  <c r="Z7" i="3"/>
  <c r="AB7" i="3" s="1"/>
  <c r="Y8" i="3"/>
  <c r="AA8" i="3" s="1"/>
  <c r="Z8" i="3"/>
  <c r="AB8" i="3" s="1"/>
  <c r="Y9" i="3"/>
  <c r="AA9" i="3" s="1"/>
  <c r="Z9" i="3"/>
  <c r="AB9" i="3" s="1"/>
  <c r="Y10" i="3"/>
  <c r="AA10" i="3" s="1"/>
  <c r="Z10" i="3"/>
  <c r="AB10" i="3" s="1"/>
  <c r="Y11" i="3"/>
  <c r="AA11" i="3" s="1"/>
  <c r="Z11" i="3"/>
  <c r="AB11" i="3" s="1"/>
  <c r="Y12" i="3"/>
  <c r="AA12" i="3" s="1"/>
  <c r="Z12" i="3"/>
  <c r="AB12" i="3" s="1"/>
  <c r="Y13" i="3"/>
  <c r="AA13" i="3" s="1"/>
  <c r="Z13" i="3"/>
  <c r="AB13" i="3" s="1"/>
  <c r="Y14" i="3"/>
  <c r="AA14" i="3" s="1"/>
  <c r="Z14" i="3"/>
  <c r="AB14" i="3" s="1"/>
  <c r="Y15" i="3"/>
  <c r="AA15" i="3" s="1"/>
  <c r="Z15" i="3"/>
  <c r="AB15" i="3" s="1"/>
  <c r="Y16" i="3"/>
  <c r="AA16" i="3" s="1"/>
  <c r="Z16" i="3"/>
  <c r="AB16" i="3" s="1"/>
  <c r="AC17" i="5" l="1"/>
  <c r="K5" i="5"/>
  <c r="P5" i="5"/>
  <c r="I5" i="5"/>
  <c r="G5" i="5"/>
  <c r="N5" i="5"/>
  <c r="M5" i="5"/>
  <c r="U5" i="5"/>
  <c r="S5" i="5"/>
  <c r="H5" i="5"/>
  <c r="E5" i="5"/>
  <c r="M148" i="3"/>
  <c r="T5" i="5"/>
  <c r="Y5" i="5" s="1"/>
  <c r="AA5" i="5" s="1"/>
  <c r="F5" i="5"/>
  <c r="V5" i="5"/>
  <c r="L5" i="5"/>
  <c r="J5" i="5"/>
  <c r="O5" i="5"/>
  <c r="T148" i="3"/>
  <c r="Y148" i="3" s="1"/>
  <c r="AA148" i="3" s="1"/>
  <c r="J148" i="3"/>
  <c r="O146" i="3"/>
  <c r="H146" i="3"/>
  <c r="S142" i="3"/>
  <c r="I142" i="3"/>
  <c r="T150" i="3"/>
  <c r="Y150" i="3" s="1"/>
  <c r="AA150" i="3" s="1"/>
  <c r="J150" i="3"/>
  <c r="P149" i="3"/>
  <c r="N144" i="3"/>
  <c r="G144" i="3"/>
  <c r="O145" i="3"/>
  <c r="H145" i="3"/>
  <c r="S141" i="3"/>
  <c r="I141" i="3"/>
  <c r="M143" i="3"/>
  <c r="V151" i="3"/>
  <c r="Z151" i="3" s="1"/>
  <c r="AB151" i="3" s="1"/>
  <c r="L151" i="3"/>
  <c r="F151" i="3"/>
  <c r="S148" i="3"/>
  <c r="I148" i="3"/>
  <c r="N146" i="3"/>
  <c r="G146" i="3"/>
  <c r="P142" i="3"/>
  <c r="S150" i="3"/>
  <c r="I150" i="3"/>
  <c r="O149" i="3"/>
  <c r="H149" i="3"/>
  <c r="M144" i="3"/>
  <c r="N145" i="3"/>
  <c r="G145" i="3"/>
  <c r="P141" i="3"/>
  <c r="V143" i="3"/>
  <c r="Z143" i="3" s="1"/>
  <c r="AB143" i="3" s="1"/>
  <c r="L143" i="3"/>
  <c r="F143" i="3"/>
  <c r="U151" i="3"/>
  <c r="K151" i="3"/>
  <c r="P148" i="3"/>
  <c r="M146" i="3"/>
  <c r="E142" i="3"/>
  <c r="O142" i="3"/>
  <c r="H142" i="3"/>
  <c r="P150" i="3"/>
  <c r="N149" i="3"/>
  <c r="G149" i="3"/>
  <c r="V144" i="3"/>
  <c r="Z144" i="3" s="1"/>
  <c r="AB144" i="3" s="1"/>
  <c r="L144" i="3"/>
  <c r="F144" i="3"/>
  <c r="M145" i="3"/>
  <c r="O141" i="3"/>
  <c r="H141" i="3"/>
  <c r="U143" i="3"/>
  <c r="K143" i="3"/>
  <c r="T151" i="3"/>
  <c r="Y151" i="3" s="1"/>
  <c r="AA151" i="3" s="1"/>
  <c r="J151" i="3"/>
  <c r="O148" i="3"/>
  <c r="H148" i="3"/>
  <c r="V146" i="3"/>
  <c r="Z146" i="3" s="1"/>
  <c r="AB146" i="3" s="1"/>
  <c r="L146" i="3"/>
  <c r="F146" i="3"/>
  <c r="N142" i="3"/>
  <c r="G142" i="3"/>
  <c r="O150" i="3"/>
  <c r="H150" i="3"/>
  <c r="M149" i="3"/>
  <c r="U144" i="3"/>
  <c r="K144" i="3"/>
  <c r="V145" i="3"/>
  <c r="Z145" i="3" s="1"/>
  <c r="AB145" i="3" s="1"/>
  <c r="L145" i="3"/>
  <c r="F145" i="3"/>
  <c r="N141" i="3"/>
  <c r="G141" i="3"/>
  <c r="T143" i="3"/>
  <c r="Y143" i="3" s="1"/>
  <c r="AA143" i="3" s="1"/>
  <c r="J143" i="3"/>
  <c r="S151" i="3"/>
  <c r="I151" i="3"/>
  <c r="N148" i="3"/>
  <c r="G148" i="3"/>
  <c r="U146" i="3"/>
  <c r="K146" i="3"/>
  <c r="M142" i="3"/>
  <c r="N150" i="3"/>
  <c r="G150" i="3"/>
  <c r="V149" i="3"/>
  <c r="Z149" i="3" s="1"/>
  <c r="AB149" i="3" s="1"/>
  <c r="L149" i="3"/>
  <c r="F149" i="3"/>
  <c r="T144" i="3"/>
  <c r="Y144" i="3" s="1"/>
  <c r="AA144" i="3" s="1"/>
  <c r="J144" i="3"/>
  <c r="U145" i="3"/>
  <c r="K145" i="3"/>
  <c r="M141" i="3"/>
  <c r="S143" i="3"/>
  <c r="I143" i="3"/>
  <c r="P151" i="3"/>
  <c r="T146" i="3"/>
  <c r="Y146" i="3" s="1"/>
  <c r="AA146" i="3" s="1"/>
  <c r="J146" i="3"/>
  <c r="V142" i="3"/>
  <c r="Z142" i="3" s="1"/>
  <c r="AB142" i="3" s="1"/>
  <c r="L142" i="3"/>
  <c r="F142" i="3"/>
  <c r="M150" i="3"/>
  <c r="U149" i="3"/>
  <c r="K149" i="3"/>
  <c r="S144" i="3"/>
  <c r="I144" i="3"/>
  <c r="T145" i="3"/>
  <c r="Y145" i="3" s="1"/>
  <c r="AA145" i="3" s="1"/>
  <c r="J145" i="3"/>
  <c r="V141" i="3"/>
  <c r="Z141" i="3" s="1"/>
  <c r="AB141" i="3" s="1"/>
  <c r="L141" i="3"/>
  <c r="F141" i="3"/>
  <c r="P143" i="3"/>
  <c r="O151" i="3"/>
  <c r="H151" i="3"/>
  <c r="V148" i="3"/>
  <c r="Z148" i="3" s="1"/>
  <c r="AB148" i="3" s="1"/>
  <c r="L148" i="3"/>
  <c r="F148" i="3"/>
  <c r="S146" i="3"/>
  <c r="I146" i="3"/>
  <c r="U142" i="3"/>
  <c r="K142" i="3"/>
  <c r="V150" i="3"/>
  <c r="Z150" i="3" s="1"/>
  <c r="AB150" i="3" s="1"/>
  <c r="L150" i="3"/>
  <c r="F150" i="3"/>
  <c r="T149" i="3"/>
  <c r="Y149" i="3" s="1"/>
  <c r="AA149" i="3" s="1"/>
  <c r="J149" i="3"/>
  <c r="P144" i="3"/>
  <c r="S145" i="3"/>
  <c r="I145" i="3"/>
  <c r="U141" i="3"/>
  <c r="K141" i="3"/>
  <c r="O143" i="3"/>
  <c r="H143" i="3"/>
  <c r="N151" i="3"/>
  <c r="G151" i="3"/>
  <c r="U148" i="3"/>
  <c r="K148" i="3"/>
  <c r="P146" i="3"/>
  <c r="T142" i="3"/>
  <c r="Y142" i="3" s="1"/>
  <c r="AA142" i="3" s="1"/>
  <c r="J142" i="3"/>
  <c r="U150" i="3"/>
  <c r="K150" i="3"/>
  <c r="S149" i="3"/>
  <c r="I149" i="3"/>
  <c r="O144" i="3"/>
  <c r="H144" i="3"/>
  <c r="P145" i="3"/>
  <c r="T141" i="3"/>
  <c r="Y141" i="3" s="1"/>
  <c r="AA141" i="3" s="1"/>
  <c r="J141" i="3"/>
  <c r="N143" i="3"/>
  <c r="G143" i="3"/>
  <c r="M151" i="3"/>
  <c r="E141" i="3"/>
  <c r="E150" i="3"/>
  <c r="E144" i="3"/>
  <c r="E148" i="3"/>
  <c r="E151" i="3"/>
  <c r="E146" i="3"/>
  <c r="E143" i="3"/>
  <c r="E149" i="3"/>
  <c r="E145" i="3"/>
  <c r="F17" i="3"/>
  <c r="S24" i="3"/>
  <c r="I24" i="3"/>
  <c r="K24" i="3"/>
  <c r="L24" i="3"/>
  <c r="F24" i="3"/>
  <c r="O128" i="3"/>
  <c r="H128" i="3"/>
  <c r="O31" i="3"/>
  <c r="U60" i="3"/>
  <c r="H31" i="3"/>
  <c r="O42" i="3"/>
  <c r="K60" i="3"/>
  <c r="U104" i="3"/>
  <c r="K104" i="3"/>
  <c r="P80" i="3"/>
  <c r="H42" i="3"/>
  <c r="E60" i="3"/>
  <c r="U17" i="3"/>
  <c r="K17" i="3"/>
  <c r="V17" i="3"/>
  <c r="Z17" i="3" s="1"/>
  <c r="AB17" i="3" s="1"/>
  <c r="L17" i="3"/>
  <c r="V24" i="3"/>
  <c r="Z24" i="3" s="1"/>
  <c r="AB24" i="3" s="1"/>
  <c r="M6" i="3"/>
  <c r="S42" i="3"/>
  <c r="I42" i="3"/>
  <c r="U42" i="3"/>
  <c r="K42" i="3"/>
  <c r="V42" i="3"/>
  <c r="Z42" i="3" s="1"/>
  <c r="AB42" i="3" s="1"/>
  <c r="L42" i="3"/>
  <c r="F42" i="3"/>
  <c r="M42" i="3"/>
  <c r="N42" i="3"/>
  <c r="G42" i="3"/>
  <c r="P42" i="3"/>
  <c r="T42" i="3"/>
  <c r="Y42" i="3" s="1"/>
  <c r="AA42" i="3" s="1"/>
  <c r="J42" i="3"/>
  <c r="I128" i="3"/>
  <c r="T128" i="3"/>
  <c r="Y128" i="3" s="1"/>
  <c r="AA128" i="3" s="1"/>
  <c r="J128" i="3"/>
  <c r="U128" i="3"/>
  <c r="K128" i="3"/>
  <c r="V128" i="3"/>
  <c r="Z128" i="3" s="1"/>
  <c r="AB128" i="3" s="1"/>
  <c r="L128" i="3"/>
  <c r="F128" i="3"/>
  <c r="M128" i="3"/>
  <c r="N128" i="3"/>
  <c r="G128" i="3"/>
  <c r="P128" i="3"/>
  <c r="S128" i="3"/>
  <c r="E17" i="3"/>
  <c r="E31" i="3"/>
  <c r="E104" i="3"/>
  <c r="E128" i="3"/>
  <c r="U6" i="3"/>
  <c r="K6" i="3"/>
  <c r="V6" i="3"/>
  <c r="Z6" i="3" s="1"/>
  <c r="AB6" i="3" s="1"/>
  <c r="L6" i="3"/>
  <c r="F6" i="3"/>
  <c r="N6" i="3"/>
  <c r="G6" i="3"/>
  <c r="O6" i="3"/>
  <c r="H6" i="3"/>
  <c r="P6" i="3"/>
  <c r="S6" i="3"/>
  <c r="I6" i="3"/>
  <c r="T6" i="3"/>
  <c r="Y6" i="3" s="1"/>
  <c r="AA6" i="3" s="1"/>
  <c r="J6" i="3"/>
  <c r="M24" i="3"/>
  <c r="N24" i="3"/>
  <c r="G24" i="3"/>
  <c r="O24" i="3"/>
  <c r="H24" i="3"/>
  <c r="P24" i="3"/>
  <c r="T24" i="3"/>
  <c r="Y24" i="3" s="1"/>
  <c r="AA24" i="3" s="1"/>
  <c r="J24" i="3"/>
  <c r="V104" i="3"/>
  <c r="Z104" i="3" s="1"/>
  <c r="AB104" i="3" s="1"/>
  <c r="L104" i="3"/>
  <c r="F104" i="3"/>
  <c r="M104" i="3"/>
  <c r="N104" i="3"/>
  <c r="G104" i="3"/>
  <c r="O104" i="3"/>
  <c r="H104" i="3"/>
  <c r="P104" i="3"/>
  <c r="S104" i="3"/>
  <c r="I104" i="3"/>
  <c r="T104" i="3"/>
  <c r="Y104" i="3" s="1"/>
  <c r="AA104" i="3" s="1"/>
  <c r="J104" i="3"/>
  <c r="O80" i="3"/>
  <c r="H80" i="3"/>
  <c r="U24" i="3"/>
  <c r="S80" i="3"/>
  <c r="I80" i="3"/>
  <c r="J80" i="3"/>
  <c r="U80" i="3"/>
  <c r="K80" i="3"/>
  <c r="V80" i="3"/>
  <c r="Z80" i="3" s="1"/>
  <c r="AB80" i="3" s="1"/>
  <c r="L80" i="3"/>
  <c r="F80" i="3"/>
  <c r="M80" i="3"/>
  <c r="N80" i="3"/>
  <c r="G80" i="3"/>
  <c r="T80" i="3"/>
  <c r="Y80" i="3" s="1"/>
  <c r="AA80" i="3" s="1"/>
  <c r="E24" i="3"/>
  <c r="E42" i="3"/>
  <c r="E80" i="3"/>
  <c r="M17" i="3"/>
  <c r="N17" i="3"/>
  <c r="G17" i="3"/>
  <c r="O17" i="3"/>
  <c r="H17" i="3"/>
  <c r="P17" i="3"/>
  <c r="S17" i="3"/>
  <c r="I17" i="3"/>
  <c r="T17" i="3"/>
  <c r="Y17" i="3" s="1"/>
  <c r="AA17" i="3" s="1"/>
  <c r="J17" i="3"/>
  <c r="U31" i="3"/>
  <c r="K31" i="3"/>
  <c r="V31" i="3"/>
  <c r="Z31" i="3" s="1"/>
  <c r="AB31" i="3" s="1"/>
  <c r="L31" i="3"/>
  <c r="F31" i="3"/>
  <c r="M31" i="3"/>
  <c r="N31" i="3"/>
  <c r="G31" i="3"/>
  <c r="P31" i="3"/>
  <c r="S31" i="3"/>
  <c r="I31" i="3"/>
  <c r="T31" i="3"/>
  <c r="Y31" i="3" s="1"/>
  <c r="AA31" i="3" s="1"/>
  <c r="J31" i="3"/>
  <c r="V60" i="3"/>
  <c r="Z60" i="3" s="1"/>
  <c r="AB60" i="3" s="1"/>
  <c r="L60" i="3"/>
  <c r="F60" i="3"/>
  <c r="M60" i="3"/>
  <c r="N60" i="3"/>
  <c r="G60" i="3"/>
  <c r="O60" i="3"/>
  <c r="H60" i="3"/>
  <c r="P60" i="3"/>
  <c r="S60" i="3"/>
  <c r="I60" i="3"/>
  <c r="T60" i="3"/>
  <c r="Y60" i="3" s="1"/>
  <c r="AA60" i="3" s="1"/>
  <c r="J60" i="3"/>
  <c r="E6" i="3"/>
  <c r="W148" i="5" l="1"/>
  <c r="Z5" i="5"/>
  <c r="AB5" i="5" s="1"/>
  <c r="W60" i="5"/>
  <c r="W142" i="5"/>
  <c r="W145" i="5"/>
  <c r="W104" i="5"/>
  <c r="W146" i="5"/>
  <c r="W24" i="5"/>
  <c r="W150" i="5"/>
  <c r="W17" i="5"/>
  <c r="W128" i="5"/>
  <c r="W80" i="5"/>
  <c r="W6" i="5"/>
  <c r="W144" i="5"/>
  <c r="W42" i="5"/>
  <c r="W31" i="5"/>
  <c r="W5" i="5"/>
  <c r="W9" i="5"/>
  <c r="W86" i="5"/>
  <c r="W119" i="5"/>
  <c r="W14" i="5"/>
  <c r="W44" i="5"/>
  <c r="W32" i="5"/>
  <c r="W66" i="5"/>
  <c r="W99" i="5"/>
  <c r="W133" i="5"/>
  <c r="W33" i="5"/>
  <c r="W96" i="5"/>
  <c r="W117" i="5"/>
  <c r="W138" i="5"/>
  <c r="W51" i="5"/>
  <c r="W85" i="5"/>
  <c r="W118" i="5"/>
  <c r="W29" i="5"/>
  <c r="W90" i="5"/>
  <c r="W123" i="5"/>
  <c r="W149" i="5"/>
  <c r="W48" i="5"/>
  <c r="W36" i="5"/>
  <c r="W70" i="5"/>
  <c r="W103" i="5"/>
  <c r="W137" i="5"/>
  <c r="W23" i="5"/>
  <c r="W100" i="5"/>
  <c r="W10" i="5"/>
  <c r="W55" i="5"/>
  <c r="W89" i="5"/>
  <c r="W122" i="5"/>
  <c r="W16" i="5"/>
  <c r="W94" i="5"/>
  <c r="W127" i="5"/>
  <c r="W7" i="5"/>
  <c r="W52" i="5"/>
  <c r="W40" i="5"/>
  <c r="W74" i="5"/>
  <c r="W108" i="5"/>
  <c r="W12" i="5"/>
  <c r="W105" i="5"/>
  <c r="W121" i="5"/>
  <c r="W20" i="5"/>
  <c r="W59" i="5"/>
  <c r="W93" i="5"/>
  <c r="W126" i="5"/>
  <c r="W8" i="5"/>
  <c r="W98" i="5"/>
  <c r="W132" i="5"/>
  <c r="W21" i="5"/>
  <c r="W56" i="5"/>
  <c r="W45" i="5"/>
  <c r="W78" i="5"/>
  <c r="W112" i="5"/>
  <c r="W11" i="5"/>
  <c r="W67" i="5"/>
  <c r="W88" i="5"/>
  <c r="W125" i="5"/>
  <c r="W25" i="5"/>
  <c r="W64" i="5"/>
  <c r="W97" i="5"/>
  <c r="W131" i="5"/>
  <c r="W15" i="5"/>
  <c r="W102" i="5"/>
  <c r="W136" i="5"/>
  <c r="W26" i="5"/>
  <c r="W13" i="5"/>
  <c r="W49" i="5"/>
  <c r="W83" i="5"/>
  <c r="W116" i="5"/>
  <c r="W37" i="5"/>
  <c r="W46" i="5"/>
  <c r="W63" i="5"/>
  <c r="W71" i="5"/>
  <c r="W92" i="5"/>
  <c r="W34" i="5"/>
  <c r="W68" i="5"/>
  <c r="W101" i="5"/>
  <c r="W135" i="5"/>
  <c r="W73" i="5"/>
  <c r="W107" i="5"/>
  <c r="W61" i="5"/>
  <c r="W30" i="5"/>
  <c r="W18" i="5"/>
  <c r="W53" i="5"/>
  <c r="W87" i="5"/>
  <c r="W120" i="5"/>
  <c r="W50" i="5"/>
  <c r="W75" i="5"/>
  <c r="W109" i="5"/>
  <c r="W38" i="5"/>
  <c r="W72" i="5"/>
  <c r="W106" i="5"/>
  <c r="W139" i="5"/>
  <c r="W77" i="5"/>
  <c r="W111" i="5"/>
  <c r="W65" i="5"/>
  <c r="W35" i="5"/>
  <c r="W22" i="5"/>
  <c r="W57" i="5"/>
  <c r="W91" i="5"/>
  <c r="W124" i="5"/>
  <c r="W54" i="5"/>
  <c r="W79" i="5"/>
  <c r="W130" i="5"/>
  <c r="W43" i="5"/>
  <c r="W76" i="5"/>
  <c r="W110" i="5"/>
  <c r="W82" i="5"/>
  <c r="W115" i="5"/>
  <c r="W69" i="5"/>
  <c r="W39" i="5"/>
  <c r="W27" i="5"/>
  <c r="W62" i="5"/>
  <c r="W95" i="5"/>
  <c r="W129" i="5"/>
  <c r="W19" i="5"/>
  <c r="W28" i="5"/>
  <c r="W41" i="5"/>
  <c r="W58" i="5"/>
  <c r="W84" i="5"/>
  <c r="W113" i="5"/>
  <c r="W134" i="5"/>
  <c r="W47" i="5"/>
  <c r="W81" i="5"/>
  <c r="W114" i="5"/>
  <c r="W141" i="5"/>
  <c r="W151" i="5"/>
  <c r="W143" i="5"/>
  <c r="L5" i="3"/>
  <c r="O5" i="3"/>
  <c r="G5" i="3"/>
  <c r="N5" i="3"/>
  <c r="F5" i="3"/>
  <c r="V5" i="3"/>
  <c r="K5" i="3"/>
  <c r="U5" i="3"/>
  <c r="J5" i="3"/>
  <c r="S5" i="3"/>
  <c r="H5" i="3"/>
  <c r="I5" i="3"/>
  <c r="P5" i="3"/>
  <c r="T5" i="3"/>
  <c r="Y5" i="3" s="1"/>
  <c r="AA5" i="3" s="1"/>
  <c r="M5" i="3"/>
  <c r="E5" i="3"/>
  <c r="W132" i="3" l="1"/>
  <c r="W135" i="3"/>
  <c r="W133" i="3"/>
  <c r="W138" i="3"/>
  <c r="W131" i="3"/>
  <c r="W137" i="3"/>
  <c r="W136" i="3"/>
  <c r="W130" i="3"/>
  <c r="W139" i="3"/>
  <c r="W134" i="3"/>
  <c r="W129" i="3"/>
  <c r="W104" i="3"/>
  <c r="Z5" i="3"/>
  <c r="AB5" i="3" s="1"/>
  <c r="W142" i="3"/>
  <c r="W80" i="3"/>
  <c r="W17" i="3"/>
  <c r="W148" i="3"/>
  <c r="W42" i="3"/>
  <c r="W5" i="3"/>
  <c r="W47" i="3"/>
  <c r="W119" i="3"/>
  <c r="W54" i="3"/>
  <c r="W118" i="3"/>
  <c r="W53" i="3"/>
  <c r="W125" i="3"/>
  <c r="W39" i="3"/>
  <c r="W124" i="3"/>
  <c r="W38" i="3"/>
  <c r="W85" i="3"/>
  <c r="W16" i="3"/>
  <c r="W66" i="3"/>
  <c r="W7" i="3"/>
  <c r="W99" i="3"/>
  <c r="W14" i="3"/>
  <c r="W90" i="3"/>
  <c r="W79" i="3"/>
  <c r="W111" i="3"/>
  <c r="W46" i="3"/>
  <c r="W110" i="3"/>
  <c r="W45" i="3"/>
  <c r="W117" i="3"/>
  <c r="W52" i="3"/>
  <c r="W116" i="3"/>
  <c r="W59" i="3"/>
  <c r="W123" i="3"/>
  <c r="W8" i="3"/>
  <c r="W100" i="3"/>
  <c r="W22" i="3"/>
  <c r="W91" i="3"/>
  <c r="W21" i="3"/>
  <c r="W82" i="3"/>
  <c r="W71" i="3"/>
  <c r="W78" i="3"/>
  <c r="W77" i="3"/>
  <c r="W109" i="3"/>
  <c r="W44" i="3"/>
  <c r="W108" i="3"/>
  <c r="W51" i="3"/>
  <c r="W115" i="3"/>
  <c r="W23" i="3"/>
  <c r="W92" i="3"/>
  <c r="W25" i="3"/>
  <c r="W83" i="3"/>
  <c r="W35" i="3"/>
  <c r="W120" i="3"/>
  <c r="W63" i="3"/>
  <c r="W12" i="3"/>
  <c r="W70" i="3"/>
  <c r="W11" i="3"/>
  <c r="W69" i="3"/>
  <c r="W76" i="3"/>
  <c r="W43" i="3"/>
  <c r="W107" i="3"/>
  <c r="W26" i="3"/>
  <c r="W84" i="3"/>
  <c r="W36" i="3"/>
  <c r="W121" i="3"/>
  <c r="W56" i="3"/>
  <c r="W112" i="3"/>
  <c r="W97" i="3"/>
  <c r="W19" i="3"/>
  <c r="W62" i="3"/>
  <c r="W18" i="3"/>
  <c r="W61" i="3"/>
  <c r="W68" i="3"/>
  <c r="W75" i="3"/>
  <c r="W37" i="3"/>
  <c r="W122" i="3"/>
  <c r="W57" i="3"/>
  <c r="W113" i="3"/>
  <c r="W48" i="3"/>
  <c r="W89" i="3"/>
  <c r="W30" i="3"/>
  <c r="W96" i="3"/>
  <c r="W29" i="3"/>
  <c r="W103" i="3"/>
  <c r="W20" i="3"/>
  <c r="W102" i="3"/>
  <c r="W55" i="3"/>
  <c r="W67" i="3"/>
  <c r="W58" i="3"/>
  <c r="W114" i="3"/>
  <c r="W49" i="3"/>
  <c r="W105" i="3"/>
  <c r="W72" i="3"/>
  <c r="W81" i="3"/>
  <c r="W41" i="3"/>
  <c r="W88" i="3"/>
  <c r="W40" i="3"/>
  <c r="W95" i="3"/>
  <c r="W10" i="3"/>
  <c r="W94" i="3"/>
  <c r="W9" i="3"/>
  <c r="W101" i="3"/>
  <c r="W13" i="3"/>
  <c r="W50" i="3"/>
  <c r="W106" i="3"/>
  <c r="W73" i="3"/>
  <c r="W64" i="3"/>
  <c r="W127" i="3"/>
  <c r="W33" i="3"/>
  <c r="W126" i="3"/>
  <c r="W32" i="3"/>
  <c r="W87" i="3"/>
  <c r="W28" i="3"/>
  <c r="W86" i="3"/>
  <c r="W27" i="3"/>
  <c r="W93" i="3"/>
  <c r="W34" i="3"/>
  <c r="W74" i="3"/>
  <c r="W65" i="3"/>
  <c r="W15" i="3"/>
  <c r="W98" i="3"/>
  <c r="W31" i="3"/>
  <c r="W6" i="3"/>
  <c r="W141" i="3"/>
  <c r="W128" i="3"/>
  <c r="W143" i="3"/>
  <c r="W60" i="3"/>
  <c r="W24" i="3"/>
  <c r="W144" i="3"/>
  <c r="W149" i="3"/>
  <c r="W151" i="3"/>
  <c r="W145" i="3"/>
  <c r="W150" i="3"/>
  <c r="W146" i="3"/>
</calcChain>
</file>

<file path=xl/sharedStrings.xml><?xml version="1.0" encoding="utf-8"?>
<sst xmlns="http://schemas.openxmlformats.org/spreadsheetml/2006/main" count="14011" uniqueCount="546">
  <si>
    <t>DEPARTAMENTO ADMINISTRATIVO DE PLANEACIÓN</t>
  </si>
  <si>
    <t>DIRECCIÓN DE INFORMACIÓN DEPARTAMENTAL</t>
  </si>
  <si>
    <t>DEPARTAMENTO DE ANTIOQUIA DESAGREGACIÓN DEL PRODUCTO INTERNO BRUTO -PIB- POR MUNICIPIO 2015 - 2022 preliminar</t>
  </si>
  <si>
    <t>Tabla N°</t>
  </si>
  <si>
    <t>Descripción</t>
  </si>
  <si>
    <t>Tabla 1</t>
  </si>
  <si>
    <t>Valor Agregado por grandes ramas de actividad, sector Económico y PIB para los 125 municipios de Antioquia anual Cifras a precios corrientes ,  Miles de  millones de pesos</t>
  </si>
  <si>
    <t>Tabla 2</t>
  </si>
  <si>
    <t>Valor Agregado por grandes ramas de actividad, sector Económico y PIB para los 125 municipios de Antioquia anual Cifras a precios constantes, Series encadenadas de volumen con año de referencia 2015 Miles de  millones de pesos</t>
  </si>
  <si>
    <t>Tabla 3</t>
  </si>
  <si>
    <t>Valor Agregado por grandes ramas de actividad, sector Económico y PIB para los 9 subregiones de Antioquia anual Cifras a precios corrientes ,  Miles de  millones de pesos</t>
  </si>
  <si>
    <t>Tabla 4</t>
  </si>
  <si>
    <t>Participación porcentual del Valor Agregado por grandes ramas de actividad, sector Económico y PIB para los 9 subregiones de Antioquia en el total Departamental anual</t>
  </si>
  <si>
    <t>Tabla 5</t>
  </si>
  <si>
    <t>Distribución porcentual de las actividades y ramas de económicas en el  valor Agregado, en las 9 subregiones de Antioquia anual</t>
  </si>
  <si>
    <t>Tabla 6</t>
  </si>
  <si>
    <t>Coeficiente de especialización regional por actividades y ramas de económicas, en las 9 subregiones de Antioquia anual</t>
  </si>
  <si>
    <t>Tabla 7</t>
  </si>
  <si>
    <t>Producto Interno Bruto a precios corrientes municipal, subregional y Departamental (miles de Millones de pesos) 2015 - 2022pr</t>
  </si>
  <si>
    <t>Tabla 8</t>
  </si>
  <si>
    <t>Participación % municipal en la subregión y Departamento 2015 - 2022pr</t>
  </si>
  <si>
    <t>Tabla 9</t>
  </si>
  <si>
    <t>Producto Interno Bruto  municipal, Subregional y Departamental en precios constantes, Series encadenadas de volumen con año de referencia 2015,  Años 2015 - 2022pr (miles de Millones de pesos)</t>
  </si>
  <si>
    <t>Tabla 10</t>
  </si>
  <si>
    <t>Tasa de variación del Producto Interno Bruto a precios constantes municipal, Subregional y Departamental, Series encadenadas de volumen con año de referencia 2015,  2016 - 2022pr</t>
  </si>
  <si>
    <t>Tabla 11</t>
  </si>
  <si>
    <t>Valor Agregado municipal en precios corrientes por sectores 2015 - 2022pr</t>
  </si>
  <si>
    <t>Tabla 12</t>
  </si>
  <si>
    <t>Distribución porcentual del Valor Agregado municipal en precios corrientes por sectores Económicos 2015 - 2022pr</t>
  </si>
  <si>
    <t>Tabla 13</t>
  </si>
  <si>
    <t>Valor Agregado municipal en precios constantes, Series encadenadas de volumen con año de referencia 2015 por sectores Económicos  2015 - 2022pr</t>
  </si>
  <si>
    <t>Tabla 14</t>
  </si>
  <si>
    <t>Tasas de variación valor Agregado municipal en precios constantes, Series encadenadas de volumen con año de referencia 2015 por sectores Económicos  2016 - 2022pr</t>
  </si>
  <si>
    <t>Tabla 15</t>
  </si>
  <si>
    <t>Valor Agregado municipal en precios corrientes por ramas de actividad económica 2015 - 2022pr</t>
  </si>
  <si>
    <t>Tabla 16</t>
  </si>
  <si>
    <t>Distribución del Valor Agregado municipal en precios corrientes por ramas de actividad económica  2015 - 2022pr</t>
  </si>
  <si>
    <t>Tabla 17</t>
  </si>
  <si>
    <t>Valor Agregado municipal en precios constantes, Series encadenadas de volumen con año de referencia 2015, por ramas de actividad 2015 - 2022pr</t>
  </si>
  <si>
    <t>Tabla 18</t>
  </si>
  <si>
    <t>Tasas de variación del valor Agregado municipal a precios constantes, Series encadenadas de volumen con año de referencia 2015, por ramas de actividad</t>
  </si>
  <si>
    <t>Tabla 19</t>
  </si>
  <si>
    <t>Valor Agregado por grandes ramas de actividad, sector Económico para los 125 municipios de Antioquia, y PIB entre los años 2015 - 2022pr Cifras a precios corrientes en miles de millones de pesos</t>
  </si>
  <si>
    <t>Tabla 20</t>
  </si>
  <si>
    <t>Valor Agregado por grandes ramas de actividad, sector Económico y PIB para los 125 municipios de Antioquia entre los años 2015 - 2022pr Cifras a precios constantes, Series encadenadas de volumen con año de referencia 2015 Miles de  millones de pesos</t>
  </si>
  <si>
    <t>Tabla 21</t>
  </si>
  <si>
    <t>Producto Interno Bruto por departamento de Antioquia - Base 2015</t>
  </si>
  <si>
    <t>Tabla 22</t>
  </si>
  <si>
    <t>POBLACIÓN TOTAL POR MUNICIPIOS DEPARTAMENTO DE ANTIOQUIA 1985 -2035 (Fuente: Retroproyecciones y proyecciones DANE publicadas 22/03/2023)</t>
  </si>
  <si>
    <t>NOTAS (Versión 22/12/2023)</t>
  </si>
  <si>
    <r>
      <rPr>
        <b/>
        <sz val="11"/>
        <color theme="1"/>
        <rFont val="Calibri"/>
        <family val="2"/>
        <scheme val="minor"/>
      </rPr>
      <t>a)</t>
    </r>
    <r>
      <rPr>
        <sz val="11"/>
        <color theme="1"/>
        <rFont val="Calibri"/>
        <family val="2"/>
        <scheme val="minor"/>
      </rPr>
      <t xml:space="preserve"> Valores estimados por la Escuela de Finanzas Económica y Gobierno de la Universidad de EAFIT en cumplimiento del Contrato N° 4600014337 para la “Actualización de la metodología para la estimación de la participación en el Producto Interno Bruto para los 125 municipios del Departamento de Antioquia y su cálculo para los años 2015 al 2020". </t>
    </r>
  </si>
  <si>
    <r>
      <rPr>
        <b/>
        <sz val="11"/>
        <color theme="1"/>
        <rFont val="Calibri"/>
        <family val="2"/>
        <scheme val="minor"/>
      </rPr>
      <t>b)</t>
    </r>
    <r>
      <rPr>
        <sz val="11"/>
        <color theme="1"/>
        <rFont val="Calibri"/>
        <family val="2"/>
        <scheme val="minor"/>
      </rPr>
      <t xml:space="preserve"> Valores de los años 2021 y 2022 estimados por la Dirección de Información Departamental desarrollando la actualización metodológica realizada por la universidad EAFIL dentro del contrato N° 4600014337 para la “Actualización de la metodología para la estimación de la participación en el Producto Interno Bruto para los 125 municipios del Departamento de Antioquia y su cálculo para los años 2015 al 2020".</t>
    </r>
  </si>
  <si>
    <r>
      <rPr>
        <b/>
        <sz val="11"/>
        <color theme="1"/>
        <rFont val="Calibri"/>
        <family val="2"/>
        <scheme val="minor"/>
      </rPr>
      <t>c)</t>
    </r>
    <r>
      <rPr>
        <sz val="11"/>
        <color theme="1"/>
        <rFont val="Calibri"/>
        <family val="2"/>
        <scheme val="minor"/>
      </rPr>
      <t xml:space="preserve"> Valores estimados a partir de la publicación de las Cuentas Nacionales Anuales, PIB Departamental del 30 de mayo de 2023.</t>
    </r>
  </si>
  <si>
    <r>
      <rPr>
        <b/>
        <sz val="11"/>
        <color theme="1"/>
        <rFont val="Calibri"/>
        <family val="2"/>
        <scheme val="minor"/>
      </rPr>
      <t xml:space="preserve">d) </t>
    </r>
    <r>
      <rPr>
        <sz val="11"/>
        <color theme="1"/>
        <rFont val="Calibri"/>
        <family val="2"/>
        <scheme val="minor"/>
      </rPr>
      <t xml:space="preserve"> Los valores del año 2020 2021  se encuentran estado provisional (p) , 2022 se encuentra en estado preliminar (pr); de acuerdo a la publicación citada anteriormente.</t>
    </r>
  </si>
  <si>
    <r>
      <rPr>
        <b/>
        <sz val="11"/>
        <color theme="1"/>
        <rFont val="Calibri"/>
        <family val="2"/>
        <scheme val="minor"/>
      </rPr>
      <t xml:space="preserve">e) </t>
    </r>
    <r>
      <rPr>
        <sz val="11"/>
        <color theme="1"/>
        <rFont val="Calibri"/>
        <family val="2"/>
        <scheme val="minor"/>
      </rPr>
      <t>En la rama de actividad C. Industrias manufactureras, M+N Actividades profesionales, científicas y técnicas; Actividades de servicios administrativos y de apoyo su usan, A. Agricultura se usan las Matrices de oferta y utilización la última versión disponible publicada por el DANE en el Sistema de Cuentas Nacionales corresponde a la vigencia 2021 provisional.</t>
    </r>
  </si>
  <si>
    <r>
      <rPr>
        <b/>
        <sz val="11"/>
        <color theme="1"/>
        <rFont val="Calibri"/>
        <family val="2"/>
        <scheme val="minor"/>
      </rPr>
      <t>f)</t>
    </r>
    <r>
      <rPr>
        <sz val="11"/>
        <color theme="1"/>
        <rFont val="Calibri"/>
        <family val="2"/>
        <scheme val="minor"/>
      </rPr>
      <t xml:space="preserve">  La metodología incluye la homologación con la publicación del DANE de Valor agregado por municipio: serie 2011-2021 provisional, para estimar los valores del 2022 se usa como base los valores 2021 y los valores Departamentales 30 de mayo de 2023.</t>
    </r>
  </si>
  <si>
    <r>
      <rPr>
        <b/>
        <sz val="11"/>
        <color theme="1"/>
        <rFont val="Calibri"/>
        <family val="2"/>
        <scheme val="minor"/>
      </rPr>
      <t>g)</t>
    </r>
    <r>
      <rPr>
        <sz val="11"/>
        <color theme="1"/>
        <rFont val="Calibri"/>
        <family val="2"/>
        <scheme val="minor"/>
      </rPr>
      <t xml:space="preserve">  En la rama de actividad C. Industrias manufactureras, se usa información de la Encuesta Anual Manufacturera al momento de su estimación el DANE no ha publicado los valores 2022, se usan los valores disponibles 2021.</t>
    </r>
  </si>
  <si>
    <t>Tabla  1</t>
  </si>
  <si>
    <t>AÑO:</t>
  </si>
  <si>
    <t>Código DANE del municipio</t>
  </si>
  <si>
    <t xml:space="preserve">Subregiones </t>
  </si>
  <si>
    <t>Esquema Asociativo Territorial</t>
  </si>
  <si>
    <t>Municipios y distritos</t>
  </si>
  <si>
    <t xml:space="preserve">Agricultura, ganadería, caza, silvicultura y pesca  </t>
  </si>
  <si>
    <t xml:space="preserve">Explotación de minas y canteras </t>
  </si>
  <si>
    <t xml:space="preserve">Industrias manufactureras </t>
  </si>
  <si>
    <t>Construcción</t>
  </si>
  <si>
    <t>Suministro de electricidad, gas, vapor y aire acondicionado; distribución de agua; evacuación y tratamiento de aguas residuales, gestión de desechos y actividades de saneamiento ambiental</t>
  </si>
  <si>
    <t>Comercio al por mayor y al por menor; reparación de vehículos automotores y motocicletas; transporte y almacenamiento; alojamiento y servicios de comida</t>
  </si>
  <si>
    <t xml:space="preserve">Información y comunicaciones </t>
  </si>
  <si>
    <t>Actividades financieras y de seguros</t>
  </si>
  <si>
    <t>Actividades inmobiliarias</t>
  </si>
  <si>
    <t>Actividades profesionales, científicas y técnicas; actividades de servicios administrativos y de apoyo</t>
  </si>
  <si>
    <t>Administración pública y defensa; planes de seguridad social de afiliación obligatoria; educación; actividades de atención de la salud humana y de servicios sociales</t>
  </si>
  <si>
    <t>Actividades artísticas, de entretenimiento y recreación y otras actividades de servicios; actividades de los hogares individuales en calidad de empleadores; actividades no diferenciadas de los hogares individuales como productores de bienes y servicios para uso propio</t>
  </si>
  <si>
    <t>Actividades Primarias</t>
  </si>
  <si>
    <t>Actividades Secundarias</t>
  </si>
  <si>
    <t>Actividades Terciarias</t>
  </si>
  <si>
    <t xml:space="preserve">Valor Agregado </t>
  </si>
  <si>
    <t>Derechos e impuestos</t>
  </si>
  <si>
    <t>Producto Interno Bruto PIB</t>
  </si>
  <si>
    <t>Participación porcentual del Producto Interno Bruto PIB en el Departamento</t>
  </si>
  <si>
    <t>Población</t>
  </si>
  <si>
    <t>Valor Agregado Per cápita (Miles de pesos)</t>
  </si>
  <si>
    <t>Producto Interno Bruto PIB Per cápita  (Miles de pesos)</t>
  </si>
  <si>
    <t>Logaritmo base 10 del Valor Agregado Per cápita (Miles de pesos)</t>
  </si>
  <si>
    <t>Logaritmo base 10 del Producto Interno Bruto PIB Per cápita  (Miles de pesos)</t>
  </si>
  <si>
    <t>Nota: las actividades comprenden la siguiente desagregación:</t>
  </si>
  <si>
    <t xml:space="preserve">Total departamento </t>
  </si>
  <si>
    <t>Primarias *</t>
  </si>
  <si>
    <t>SR01</t>
  </si>
  <si>
    <t>Total Valle de Aburrá</t>
  </si>
  <si>
    <t>Agricultura, ganadería, silvicultura y pesca</t>
  </si>
  <si>
    <t>05001</t>
  </si>
  <si>
    <t>Valle de Aburrá</t>
  </si>
  <si>
    <t>Área Metropolitana del Valle de Aburrá</t>
  </si>
  <si>
    <t>Distrito Especial de Ciencia, Tecnología e Innovación de Medellín</t>
  </si>
  <si>
    <t>Explotación de minas y canteras</t>
  </si>
  <si>
    <t>05079</t>
  </si>
  <si>
    <t>Barbosa</t>
  </si>
  <si>
    <t>Secundarias **</t>
  </si>
  <si>
    <t>05088</t>
  </si>
  <si>
    <t>Bello</t>
  </si>
  <si>
    <t>Industrias manufactureras</t>
  </si>
  <si>
    <t>05129</t>
  </si>
  <si>
    <t>Caldas</t>
  </si>
  <si>
    <t>05212</t>
  </si>
  <si>
    <t>Copacabana</t>
  </si>
  <si>
    <t>Terciarias ***</t>
  </si>
  <si>
    <t>05266</t>
  </si>
  <si>
    <t>Envigado</t>
  </si>
  <si>
    <t>Electricidad, gas y agua</t>
  </si>
  <si>
    <t>05308</t>
  </si>
  <si>
    <t>Girardota</t>
  </si>
  <si>
    <t>Comercio; reparación de vehículos automotores; Transporte; Alojamiento y servicios de comida</t>
  </si>
  <si>
    <t>05360</t>
  </si>
  <si>
    <t>Itagüí</t>
  </si>
  <si>
    <t>Información y comunicaciones</t>
  </si>
  <si>
    <t>05380</t>
  </si>
  <si>
    <t>La Estrella</t>
  </si>
  <si>
    <t>05631</t>
  </si>
  <si>
    <t>Sabaneta</t>
  </si>
  <si>
    <t>SR02</t>
  </si>
  <si>
    <t>Total Bajo Cauca</t>
  </si>
  <si>
    <t>Actividades profesionales, científicas y técnicas; Actividades de servicios administrativos y de apoyo</t>
  </si>
  <si>
    <t>05120</t>
  </si>
  <si>
    <t>Bajo Cauca</t>
  </si>
  <si>
    <t>Región de Planeación y Gestión del Bajo Cauca - RPG</t>
  </si>
  <si>
    <t>Cáceres</t>
  </si>
  <si>
    <t xml:space="preserve">Administración pública ; Educación;  Salud </t>
  </si>
  <si>
    <t>05154</t>
  </si>
  <si>
    <t>Caucasia</t>
  </si>
  <si>
    <t>Actividades artísticas, de entretenimiento y recreación; Actividades de los hogares individuales</t>
  </si>
  <si>
    <t>05250</t>
  </si>
  <si>
    <t>El Bagre</t>
  </si>
  <si>
    <t>05495</t>
  </si>
  <si>
    <t>Nechí</t>
  </si>
  <si>
    <t>05790</t>
  </si>
  <si>
    <t>Tarazá</t>
  </si>
  <si>
    <t>05895</t>
  </si>
  <si>
    <t>Zaragoza</t>
  </si>
  <si>
    <t>SR03</t>
  </si>
  <si>
    <t>Total Magdalena Medio</t>
  </si>
  <si>
    <t>05142</t>
  </si>
  <si>
    <t>Magdalena Medio</t>
  </si>
  <si>
    <t>A la fecha no ha conformado un Esquema Asociativo Territorial</t>
  </si>
  <si>
    <t>Caracolí</t>
  </si>
  <si>
    <t>05425</t>
  </si>
  <si>
    <t>Maceo</t>
  </si>
  <si>
    <t>05579</t>
  </si>
  <si>
    <t>Puerto Berrío</t>
  </si>
  <si>
    <t>05585</t>
  </si>
  <si>
    <t>Puerto Nare</t>
  </si>
  <si>
    <t>05591</t>
  </si>
  <si>
    <t>Puerto Triunfo</t>
  </si>
  <si>
    <t>05893</t>
  </si>
  <si>
    <t>Yondó</t>
  </si>
  <si>
    <t>SR04</t>
  </si>
  <si>
    <t>Total Nordeste</t>
  </si>
  <si>
    <t>05031</t>
  </si>
  <si>
    <t>Nordeste</t>
  </si>
  <si>
    <t>Amalfi</t>
  </si>
  <si>
    <t>05040</t>
  </si>
  <si>
    <t>Anorí</t>
  </si>
  <si>
    <t>05190</t>
  </si>
  <si>
    <t>Cisneros</t>
  </si>
  <si>
    <t>05604</t>
  </si>
  <si>
    <t>Provincia Minero Agroecológica</t>
  </si>
  <si>
    <t>Remedios</t>
  </si>
  <si>
    <t>05670</t>
  </si>
  <si>
    <t>San Roque</t>
  </si>
  <si>
    <t>05690</t>
  </si>
  <si>
    <t>Santo Domingo</t>
  </si>
  <si>
    <t>05736</t>
  </si>
  <si>
    <t>Segovia</t>
  </si>
  <si>
    <t>05858</t>
  </si>
  <si>
    <t>Vegachí</t>
  </si>
  <si>
    <t>05885</t>
  </si>
  <si>
    <t>Yalí</t>
  </si>
  <si>
    <t>05890</t>
  </si>
  <si>
    <t>Yolombó</t>
  </si>
  <si>
    <t>SR05</t>
  </si>
  <si>
    <t>Total Norte</t>
  </si>
  <si>
    <t>05038</t>
  </si>
  <si>
    <t>Norte</t>
  </si>
  <si>
    <t>Angostura</t>
  </si>
  <si>
    <t>05086</t>
  </si>
  <si>
    <t>Belmira</t>
  </si>
  <si>
    <t>05107</t>
  </si>
  <si>
    <t>Briceño</t>
  </si>
  <si>
    <t>05134</t>
  </si>
  <si>
    <t>Campamento</t>
  </si>
  <si>
    <t>05150</t>
  </si>
  <si>
    <t>Carolina del Príncipe</t>
  </si>
  <si>
    <t>05237</t>
  </si>
  <si>
    <t>Donmatías</t>
  </si>
  <si>
    <t>05264</t>
  </si>
  <si>
    <t>Entrerríos</t>
  </si>
  <si>
    <t>05310</t>
  </si>
  <si>
    <t>Gómez Plata</t>
  </si>
  <si>
    <t>05315</t>
  </si>
  <si>
    <t>Guadalupe</t>
  </si>
  <si>
    <t>05361</t>
  </si>
  <si>
    <t>Ituango</t>
  </si>
  <si>
    <t>05647</t>
  </si>
  <si>
    <t>San Andrés de Cuerquia</t>
  </si>
  <si>
    <t>05658</t>
  </si>
  <si>
    <t>San José de la Montaña</t>
  </si>
  <si>
    <t>05664</t>
  </si>
  <si>
    <t>San Pedro de los Milagros</t>
  </si>
  <si>
    <t>05686</t>
  </si>
  <si>
    <t>Santa Rosa de Osos</t>
  </si>
  <si>
    <t>05819</t>
  </si>
  <si>
    <t>Toledo</t>
  </si>
  <si>
    <t>05854</t>
  </si>
  <si>
    <t>Valdivia</t>
  </si>
  <si>
    <t>05887</t>
  </si>
  <si>
    <t>Yarumal</t>
  </si>
  <si>
    <t>SR06</t>
  </si>
  <si>
    <t>Total Occidente</t>
  </si>
  <si>
    <t>05004</t>
  </si>
  <si>
    <t>Occidente</t>
  </si>
  <si>
    <t>Región de Planeación y Gestión de Occidente - RPG</t>
  </si>
  <si>
    <t>Abriaquí</t>
  </si>
  <si>
    <t>05044</t>
  </si>
  <si>
    <t xml:space="preserve">Provincia de Penderisco y Sinifaná </t>
  </si>
  <si>
    <t>Anzá</t>
  </si>
  <si>
    <t>05059</t>
  </si>
  <si>
    <t>Armenia</t>
  </si>
  <si>
    <t>05113</t>
  </si>
  <si>
    <t>Buriticá</t>
  </si>
  <si>
    <t>05125</t>
  </si>
  <si>
    <t>Caicedo</t>
  </si>
  <si>
    <t>05138</t>
  </si>
  <si>
    <t>Cañasgordas</t>
  </si>
  <si>
    <t>05234</t>
  </si>
  <si>
    <t>Dabeiba</t>
  </si>
  <si>
    <t>05240</t>
  </si>
  <si>
    <t>Ebéjico</t>
  </si>
  <si>
    <t>05284</t>
  </si>
  <si>
    <t>Frontino</t>
  </si>
  <si>
    <t>05306</t>
  </si>
  <si>
    <t>Giraldo</t>
  </si>
  <si>
    <t>05347</t>
  </si>
  <si>
    <t>Heliconia</t>
  </si>
  <si>
    <t>05411</t>
  </si>
  <si>
    <t>Liborina</t>
  </si>
  <si>
    <t>05501</t>
  </si>
  <si>
    <t>Olaya</t>
  </si>
  <si>
    <t>05543</t>
  </si>
  <si>
    <t>Peque</t>
  </si>
  <si>
    <t>05628</t>
  </si>
  <si>
    <t>Sabanalarga</t>
  </si>
  <si>
    <t>05656</t>
  </si>
  <si>
    <t>San Jerónimo</t>
  </si>
  <si>
    <t>05042</t>
  </si>
  <si>
    <t>Santa Fe de Antioquia</t>
  </si>
  <si>
    <t>05761</t>
  </si>
  <si>
    <t>Sopetrán</t>
  </si>
  <si>
    <t>05842</t>
  </si>
  <si>
    <t>Uramita</t>
  </si>
  <si>
    <t>SR07</t>
  </si>
  <si>
    <t xml:space="preserve">Total Oriente </t>
  </si>
  <si>
    <t>05002</t>
  </si>
  <si>
    <t>Oriente</t>
  </si>
  <si>
    <t>Abejorral</t>
  </si>
  <si>
    <t>05021</t>
  </si>
  <si>
    <t>Provincia del Agua, Bosques y el Turismo</t>
  </si>
  <si>
    <t>Alejandría</t>
  </si>
  <si>
    <t>05055</t>
  </si>
  <si>
    <t xml:space="preserve">Provincia de La Paz </t>
  </si>
  <si>
    <t>Argelia</t>
  </si>
  <si>
    <t>05197</t>
  </si>
  <si>
    <t>Cocorná</t>
  </si>
  <si>
    <t>05206</t>
  </si>
  <si>
    <t>Concepción</t>
  </si>
  <si>
    <t>05148</t>
  </si>
  <si>
    <t>El Carmen de Viboral</t>
  </si>
  <si>
    <t>05541</t>
  </si>
  <si>
    <t>El Peñol</t>
  </si>
  <si>
    <t>05607</t>
  </si>
  <si>
    <t>El Retiro</t>
  </si>
  <si>
    <t>05697</t>
  </si>
  <si>
    <t>Región de Planeación y Gestión Aeroportuaria de Oriente - RPG</t>
  </si>
  <si>
    <t>El Santuario</t>
  </si>
  <si>
    <t>05313</t>
  </si>
  <si>
    <t>Granada</t>
  </si>
  <si>
    <t>05318</t>
  </si>
  <si>
    <t>Guarne</t>
  </si>
  <si>
    <t>05321</t>
  </si>
  <si>
    <t>Guatapé</t>
  </si>
  <si>
    <t>05376</t>
  </si>
  <si>
    <t>La Ceja del Tambo</t>
  </si>
  <si>
    <t>05400</t>
  </si>
  <si>
    <t xml:space="preserve">Región de Planeación y Gestión Aeroportuaria de Oriente - RPG + Provincia de La Paz </t>
  </si>
  <si>
    <t>La Unión</t>
  </si>
  <si>
    <t>05440</t>
  </si>
  <si>
    <t>Marinilla</t>
  </si>
  <si>
    <t>05483</t>
  </si>
  <si>
    <t>Nariño</t>
  </si>
  <si>
    <t>05615</t>
  </si>
  <si>
    <t>Rionegro</t>
  </si>
  <si>
    <t>05649</t>
  </si>
  <si>
    <t>San Carlos</t>
  </si>
  <si>
    <t>05652</t>
  </si>
  <si>
    <t>San Francisco</t>
  </si>
  <si>
    <t>05660</t>
  </si>
  <si>
    <t>San Luis</t>
  </si>
  <si>
    <t>05667</t>
  </si>
  <si>
    <t>San Rafael</t>
  </si>
  <si>
    <t>05674</t>
  </si>
  <si>
    <t>San Vicente Ferrer</t>
  </si>
  <si>
    <t>05756</t>
  </si>
  <si>
    <t>Sonsón</t>
  </si>
  <si>
    <t>SR08</t>
  </si>
  <si>
    <t>Total Suroeste</t>
  </si>
  <si>
    <t>05030</t>
  </si>
  <si>
    <t>Suroeste</t>
  </si>
  <si>
    <t>Amagá</t>
  </si>
  <si>
    <t>05034</t>
  </si>
  <si>
    <t xml:space="preserve">Provincia de San Juan </t>
  </si>
  <si>
    <t>Andes</t>
  </si>
  <si>
    <t>05036</t>
  </si>
  <si>
    <t>Angelópolis</t>
  </si>
  <si>
    <t>05091</t>
  </si>
  <si>
    <t>Betania</t>
  </si>
  <si>
    <t>05093</t>
  </si>
  <si>
    <t>Betulia</t>
  </si>
  <si>
    <t>05145</t>
  </si>
  <si>
    <t>Provincia Cartama</t>
  </si>
  <si>
    <t>Caramanta</t>
  </si>
  <si>
    <t>05101</t>
  </si>
  <si>
    <t>Ciudad Bolívar</t>
  </si>
  <si>
    <t>05209</t>
  </si>
  <si>
    <t>Concordia</t>
  </si>
  <si>
    <t>05282</t>
  </si>
  <si>
    <t>Fredonia</t>
  </si>
  <si>
    <t>05353</t>
  </si>
  <si>
    <t>Hispania</t>
  </si>
  <si>
    <t>05364</t>
  </si>
  <si>
    <t>Jardín</t>
  </si>
  <si>
    <t>05368</t>
  </si>
  <si>
    <t>Jericó</t>
  </si>
  <si>
    <t>05390</t>
  </si>
  <si>
    <t>La Pintada</t>
  </si>
  <si>
    <t>05467</t>
  </si>
  <si>
    <t>Montebello</t>
  </si>
  <si>
    <t>05576</t>
  </si>
  <si>
    <t>Pueblorrico</t>
  </si>
  <si>
    <t>05642</t>
  </si>
  <si>
    <t>Salgar</t>
  </si>
  <si>
    <t>05679</t>
  </si>
  <si>
    <t>Santa Bárbara</t>
  </si>
  <si>
    <t>05789</t>
  </si>
  <si>
    <t>Támesis</t>
  </si>
  <si>
    <t>05792</t>
  </si>
  <si>
    <t>Tarso</t>
  </si>
  <si>
    <t>05809</t>
  </si>
  <si>
    <t>Titiribí</t>
  </si>
  <si>
    <t>05847</t>
  </si>
  <si>
    <t>Urrao</t>
  </si>
  <si>
    <t>05856</t>
  </si>
  <si>
    <t>Valparaíso</t>
  </si>
  <si>
    <t>05861</t>
  </si>
  <si>
    <t>Venecia</t>
  </si>
  <si>
    <t>SR09</t>
  </si>
  <si>
    <t>Total Urabá</t>
  </si>
  <si>
    <t>05045</t>
  </si>
  <si>
    <t>Urabá</t>
  </si>
  <si>
    <t>Actualmente firmó Acuerdo de Voluntades para conformar la Región de Planeación y Gestión de Urabá - RPG</t>
  </si>
  <si>
    <t>Apartadó</t>
  </si>
  <si>
    <t>05051</t>
  </si>
  <si>
    <t>Arboletes</t>
  </si>
  <si>
    <t>05147</t>
  </si>
  <si>
    <t>Carepa</t>
  </si>
  <si>
    <t>05172</t>
  </si>
  <si>
    <t>Chigorodó</t>
  </si>
  <si>
    <t>05475</t>
  </si>
  <si>
    <t>Murindó</t>
  </si>
  <si>
    <t>05480</t>
  </si>
  <si>
    <t>Mutatá</t>
  </si>
  <si>
    <t>05490</t>
  </si>
  <si>
    <t>Necoclí</t>
  </si>
  <si>
    <t>05659</t>
  </si>
  <si>
    <t>San Juan de Urabá</t>
  </si>
  <si>
    <t>05665</t>
  </si>
  <si>
    <t>San Pedro de Urabá</t>
  </si>
  <si>
    <t>05837</t>
  </si>
  <si>
    <t>Distrito Portuario, Logístico, Industrial, Turístico y Comercial de Turbo</t>
  </si>
  <si>
    <t>05873</t>
  </si>
  <si>
    <t>Vigía del Fuerte</t>
  </si>
  <si>
    <t>Código provincia</t>
  </si>
  <si>
    <t>Subregión</t>
  </si>
  <si>
    <t>Provincia</t>
  </si>
  <si>
    <t>Municipios provincia</t>
  </si>
  <si>
    <t>PR1</t>
  </si>
  <si>
    <t>Cartama</t>
  </si>
  <si>
    <t>Caramanta, Fredonia, Jericó, La Pintada, Montebello, Pueblorrico, Santa Bárbara, Támesis, Tarso, Valparaíso, Venecia</t>
  </si>
  <si>
    <t>PR2</t>
  </si>
  <si>
    <t>Occidente y Suroeste</t>
  </si>
  <si>
    <t xml:space="preserve">De Penderisco y Sinifaná </t>
  </si>
  <si>
    <t>Anzá, Caicedo, Amagá, Angelópolis, Betulia, Concordia, Titiribí, Urrao</t>
  </si>
  <si>
    <t>PR3</t>
  </si>
  <si>
    <t xml:space="preserve">De San Juan </t>
  </si>
  <si>
    <t>Andes, Betania, Ciudad Bolívar, Hispania, Jardín, Salgar</t>
  </si>
  <si>
    <t>PR4</t>
  </si>
  <si>
    <t xml:space="preserve">De la Paz </t>
  </si>
  <si>
    <t>Argelia, La Unión, Nariño, Sonsón</t>
  </si>
  <si>
    <t>PR5</t>
  </si>
  <si>
    <t>Del Agua, Bosques y el Turismo</t>
  </si>
  <si>
    <t>Alejandría, Cocorná, Concepción, El Peñol, Granada, Guatapé, Marinilla, San Carlos, San Francisco, San Luis, San Rafael, San Vicente Ferrer</t>
  </si>
  <si>
    <t>PR6</t>
  </si>
  <si>
    <t>Minero agroecológica</t>
  </si>
  <si>
    <t>Remedios, Segovia, Vegachí, Yalí, Yolombó</t>
  </si>
  <si>
    <t>Código RPG</t>
  </si>
  <si>
    <t xml:space="preserve">Región </t>
  </si>
  <si>
    <t>Municipios de la Región</t>
  </si>
  <si>
    <t>RPG1</t>
  </si>
  <si>
    <t>Cáceres, Caucasia, El Bagre, Nechí, Tarazá y Zaragoza</t>
  </si>
  <si>
    <t>RPG2</t>
  </si>
  <si>
    <t>El Santuario, La Ceja del Tambo, La Unión y Rionegro</t>
  </si>
  <si>
    <t>RPG3</t>
  </si>
  <si>
    <t>Abriaquí, Armenia, Buriticá, Cañasgordas, Dabeiba, Frontino, Heliconia, Liborina, Olaya, Peque, San Jerónimo y Uramita.</t>
  </si>
  <si>
    <t>RPG4</t>
  </si>
  <si>
    <t>Región de Planeación y Gestión de Urabá - RPG</t>
  </si>
  <si>
    <t>Apartadó, Arboletes, Carepa, Chigorodó, Murindó, Mutatá, Necoclí, San Juan de Urabá, San Pedro de Urabá,Vigía del Fuerte y Distrito Portuario, Logístico, Industrial, Turístico y Comercial de Turbo.</t>
  </si>
  <si>
    <t>Código Subregional</t>
  </si>
  <si>
    <t>TOTAL DEPARTAMENTAL</t>
  </si>
  <si>
    <t>MUNICIPIO:</t>
  </si>
  <si>
    <t>Producto Interno Bruto a precios corrientes (miles de Millones de pesos) 2015 - 2022pr</t>
  </si>
  <si>
    <t>2020p</t>
  </si>
  <si>
    <t>2021p</t>
  </si>
  <si>
    <t>2022pr</t>
  </si>
  <si>
    <t>Total Antioquia</t>
  </si>
  <si>
    <t>Subregional</t>
  </si>
  <si>
    <t>Departamental</t>
  </si>
  <si>
    <t>Producto Interno Bruto  Cifras a precios constantes, Series encadenadas de volumen con año de referencia 2015  (miles de Millones de pesos)</t>
  </si>
  <si>
    <t xml:space="preserve">Tasa de variación del Producto Interno Bruto a precios constantes, Series encadenadas de volumen con año de referencia 2015 </t>
  </si>
  <si>
    <t>Sector</t>
  </si>
  <si>
    <t>Sector Primario</t>
  </si>
  <si>
    <t>Sector Secundario</t>
  </si>
  <si>
    <t>Sector Terciario</t>
  </si>
  <si>
    <t>Valor Agregado</t>
  </si>
  <si>
    <t>Nota: las Sector comprenden la siguiente desagregación:</t>
  </si>
  <si>
    <t>Primario</t>
  </si>
  <si>
    <t>Secundario</t>
  </si>
  <si>
    <t>Terciario</t>
  </si>
  <si>
    <t>Rama de actividad</t>
  </si>
  <si>
    <r>
      <t xml:space="preserve">Suministro de electricidad, gas,  agua </t>
    </r>
    <r>
      <rPr>
        <vertAlign val="superscript"/>
        <sz val="10"/>
        <color theme="1"/>
        <rFont val="Calibri"/>
        <family val="2"/>
        <scheme val="minor"/>
      </rPr>
      <t>(1)</t>
    </r>
  </si>
  <si>
    <r>
      <t>Comercio; reparación de automotores</t>
    </r>
    <r>
      <rPr>
        <vertAlign val="superscript"/>
        <sz val="10"/>
        <color theme="1"/>
        <rFont val="Calibri"/>
        <family val="2"/>
        <scheme val="minor"/>
      </rPr>
      <t>(2)</t>
    </r>
  </si>
  <si>
    <r>
      <t xml:space="preserve">Actividades profesionales, científicas  </t>
    </r>
    <r>
      <rPr>
        <vertAlign val="superscript"/>
        <sz val="10"/>
        <color theme="1"/>
        <rFont val="Calibri"/>
        <family val="2"/>
        <scheme val="minor"/>
      </rPr>
      <t>(3)</t>
    </r>
  </si>
  <si>
    <r>
      <t xml:space="preserve">Administración pública,  educación; salud humana </t>
    </r>
    <r>
      <rPr>
        <vertAlign val="superscript"/>
        <sz val="10"/>
        <color theme="1"/>
        <rFont val="Calibri"/>
        <family val="2"/>
        <scheme val="minor"/>
      </rPr>
      <t>(4)</t>
    </r>
  </si>
  <si>
    <r>
      <t xml:space="preserve">Actividades artísticas, entretenimiento y recreación </t>
    </r>
    <r>
      <rPr>
        <vertAlign val="superscript"/>
        <sz val="10"/>
        <color theme="1"/>
        <rFont val="Calibri"/>
        <family val="2"/>
        <scheme val="minor"/>
      </rPr>
      <t>(5)</t>
    </r>
  </si>
  <si>
    <t>Total Valor Agregado</t>
  </si>
  <si>
    <t xml:space="preserve">Nota </t>
  </si>
  <si>
    <t>Se acortan los nombres de las ramas de activadad para facilitar la lectura de la información, la descripción completa de las ramas es la siguiente:
(1) Suministro de electricidad, gas, vapor y aire acondicionado; distribución de agua; evacuación y tratamiento de aguas residuales, gestión de desechos y actividades de saneamiento ambiental.
(2) Comercio al por mayor y al por menor; reparación de vehículos automotores y motocicletas; transporte y almacenamiento; alojamiento y servicios de comida.
(3) Actividades profesionales, científicas y técnicas; actividades de servicios administrativos y de apoyo.
(4) Administración pública y defensa; planes de seguridad social de afiliación obligatoria; educación; actividades de atención de la salud humana y de servicios sociales.
(5) Actividades artísticas, de entretenimiento y recreación y otras actividades de servicios; actividades de los hogares individuales en calidad de empleadores; actividades no diferenciadas de los hogares individuales como productores de bienes y servicios para uso propio.</t>
  </si>
  <si>
    <t>Valor Agregado por grandes ramas de actividad, sector Económico para los 125 municipios de Antioquia, y PIB entre los años 2015 - 2022
Cifras a precios corrientes en miles de millones de pesos</t>
  </si>
  <si>
    <t>Año</t>
  </si>
  <si>
    <t>Código departamento</t>
  </si>
  <si>
    <t>Código subregión</t>
  </si>
  <si>
    <t>Código zona</t>
  </si>
  <si>
    <t>Código municipio</t>
  </si>
  <si>
    <t>Municipio</t>
  </si>
  <si>
    <t>VA Total</t>
  </si>
  <si>
    <t>Impuestos</t>
  </si>
  <si>
    <t>PIB</t>
  </si>
  <si>
    <t>05</t>
  </si>
  <si>
    <t>Antioquia</t>
  </si>
  <si>
    <t>Z01</t>
  </si>
  <si>
    <t>Medellín</t>
  </si>
  <si>
    <t>Z02</t>
  </si>
  <si>
    <t>Z03</t>
  </si>
  <si>
    <t>Z04</t>
  </si>
  <si>
    <t>Z05</t>
  </si>
  <si>
    <t>Z06</t>
  </si>
  <si>
    <t>Z07</t>
  </si>
  <si>
    <t>Z09</t>
  </si>
  <si>
    <t>Z08</t>
  </si>
  <si>
    <t>Z10</t>
  </si>
  <si>
    <t>Z11</t>
  </si>
  <si>
    <t>Z12</t>
  </si>
  <si>
    <t>Z13</t>
  </si>
  <si>
    <t>Z14</t>
  </si>
  <si>
    <t>Z15</t>
  </si>
  <si>
    <t>Z16</t>
  </si>
  <si>
    <t>Z17</t>
  </si>
  <si>
    <t>Z18</t>
  </si>
  <si>
    <t>Z19</t>
  </si>
  <si>
    <t>Z20</t>
  </si>
  <si>
    <t>Z21</t>
  </si>
  <si>
    <t>Z22</t>
  </si>
  <si>
    <t>Z23</t>
  </si>
  <si>
    <t>Z24</t>
  </si>
  <si>
    <t>Z25</t>
  </si>
  <si>
    <t>Turbo</t>
  </si>
  <si>
    <t>Valor Agregado por grandes ramas de actividad, sector Económico y PIB para los 125 municipios de Antioquia entre los años 2015 - 2022
Cifras a precios constantes, Series encadenadas de volumen con año de referencia 2015 Miles de  millones de pesos</t>
  </si>
  <si>
    <t xml:space="preserve"> </t>
  </si>
  <si>
    <t>Producto Interno Bruto por departamento - Base 2015</t>
  </si>
  <si>
    <r>
      <t>Antioquia: valor agregado según actividad económica                                                                                                                                                                                                                                                                                                                                                                                                                                                                                                                                                                                                                                                         A precios corrientes                                                                                                                                                                                                                                                                                                                                                                                                                                                                                                                                                                                                                                                                                                  Serie 2005 - 2022</t>
    </r>
    <r>
      <rPr>
        <b/>
        <vertAlign val="superscript"/>
        <sz val="9"/>
        <rFont val="Segoe UI"/>
        <family val="2"/>
      </rPr>
      <t>pr</t>
    </r>
    <r>
      <rPr>
        <b/>
        <sz val="9"/>
        <rFont val="Segoe UI"/>
        <family val="2"/>
      </rPr>
      <t xml:space="preserve">                                                                                                                                                                                                                                                                                                                                                                                                                                                                                                                                                                                                                                                                                                                  Miles de millones de pesos </t>
    </r>
  </si>
  <si>
    <t>Clasificación Cuentas nacionales</t>
  </si>
  <si>
    <t>Secciones CIIU Rev. 4 A.C.
12 agrupaciones</t>
  </si>
  <si>
    <t>ACTIVIDADES ECONÓMICAS</t>
  </si>
  <si>
    <r>
      <t>2020</t>
    </r>
    <r>
      <rPr>
        <b/>
        <vertAlign val="superscript"/>
        <sz val="9"/>
        <color theme="1"/>
        <rFont val="Segoe UI"/>
        <family val="2"/>
      </rPr>
      <t>p</t>
    </r>
  </si>
  <si>
    <r>
      <t>2021</t>
    </r>
    <r>
      <rPr>
        <b/>
        <vertAlign val="superscript"/>
        <sz val="9"/>
        <rFont val="Segoe UI"/>
        <family val="2"/>
      </rPr>
      <t>p</t>
    </r>
  </si>
  <si>
    <r>
      <t>2022</t>
    </r>
    <r>
      <rPr>
        <b/>
        <vertAlign val="superscript"/>
        <sz val="9"/>
        <color theme="1"/>
        <rFont val="Segoe UI"/>
        <family val="2"/>
      </rPr>
      <t>pr</t>
    </r>
  </si>
  <si>
    <t>A</t>
  </si>
  <si>
    <t>Agricultura, ganadería, caza, silvicultura y pesca</t>
  </si>
  <si>
    <t>B</t>
  </si>
  <si>
    <t>C</t>
  </si>
  <si>
    <t>D + E</t>
  </si>
  <si>
    <t>Suministro de electricidad, gas, vapor y aire acondicionado; Distribución de agua; evacuación y tratamiento de aguas residuales, gestión de desechos y actividades de saneamiento ambiental</t>
  </si>
  <si>
    <t>F</t>
  </si>
  <si>
    <t>G + H + I</t>
  </si>
  <si>
    <t>Comercio al por mayor y al por menor; reparación de vehículos automotores y motocicletas; Transporte y almacenamiento; Alojamiento y servicios de comida</t>
  </si>
  <si>
    <t>J</t>
  </si>
  <si>
    <t>K</t>
  </si>
  <si>
    <t>L</t>
  </si>
  <si>
    <t>M + N</t>
  </si>
  <si>
    <t>O + P + Q</t>
  </si>
  <si>
    <t>Administración pública y defensa; planes de seguridad social de afiliación obligatoria; Educación; Actividades de atención de la salud humana y de servicios sociales</t>
  </si>
  <si>
    <t>R + S + T</t>
  </si>
  <si>
    <t>Actividades artísticas, de entretenimiento y recreación y otras actividades de servicios; Actividades de los hogares individuales en calidad de empleadores; actividades no diferenciadas de los hogares individuales como productores de bienes y servicios para uso propio</t>
  </si>
  <si>
    <t>B.1b</t>
  </si>
  <si>
    <t>Valor agregado bruto</t>
  </si>
  <si>
    <t>D.21 - D.31</t>
  </si>
  <si>
    <t>PIB DEPARTAMENTAL</t>
  </si>
  <si>
    <r>
      <rPr>
        <b/>
        <sz val="8"/>
        <rFont val="Segoe UI"/>
        <family val="2"/>
      </rPr>
      <t>Fuente:</t>
    </r>
    <r>
      <rPr>
        <sz val="8"/>
        <rFont val="Segoe UI"/>
        <family val="2"/>
      </rPr>
      <t xml:space="preserve"> DANE, Cuentas nacionales</t>
    </r>
  </si>
  <si>
    <r>
      <t>pr</t>
    </r>
    <r>
      <rPr>
        <sz val="8"/>
        <rFont val="Segoe UI"/>
        <family val="2"/>
      </rPr>
      <t>preliminar</t>
    </r>
  </si>
  <si>
    <r>
      <rPr>
        <vertAlign val="superscript"/>
        <sz val="8"/>
        <rFont val="Segoe UI"/>
        <family val="2"/>
      </rPr>
      <t>p</t>
    </r>
    <r>
      <rPr>
        <sz val="8"/>
        <rFont val="Segoe UI"/>
        <family val="2"/>
      </rPr>
      <t xml:space="preserve">provisional </t>
    </r>
  </si>
  <si>
    <t>Actualizado el 30 de mayo de 2023</t>
  </si>
  <si>
    <r>
      <t>Antioquia: valor agregado según actividad económica                                                                                                                                                                                                                                                                                                                                                                                                                                                                                                                                                                                                                                                                                                                                                                                                                                      Series encadenadas de volumen con año de referencia 2015                                                                                                                                                                                                                                                                                                                                                                                                                                                                                                                                                                                                                                                                          Serie 2005 - 2022</t>
    </r>
    <r>
      <rPr>
        <b/>
        <vertAlign val="superscript"/>
        <sz val="9"/>
        <rFont val="Segoe UI"/>
        <family val="2"/>
      </rPr>
      <t>pr</t>
    </r>
    <r>
      <rPr>
        <b/>
        <sz val="9"/>
        <rFont val="Segoe UI"/>
        <family val="2"/>
      </rPr>
      <t xml:space="preserve">                                                                                                                                                                                                                                                                                                                                                                                                                                                                                                                                                                                                                                                                                                                  Miles de millones de pesos </t>
    </r>
  </si>
  <si>
    <t>Clasificación Cuentas Nacionales</t>
  </si>
  <si>
    <r>
      <t>2022</t>
    </r>
    <r>
      <rPr>
        <b/>
        <vertAlign val="superscript"/>
        <sz val="9"/>
        <rFont val="Segoe UI"/>
        <family val="2"/>
      </rPr>
      <t>p</t>
    </r>
    <r>
      <rPr>
        <b/>
        <vertAlign val="superscript"/>
        <sz val="9"/>
        <color theme="1"/>
        <rFont val="Segoe UI"/>
        <family val="2"/>
      </rPr>
      <t>r</t>
    </r>
  </si>
  <si>
    <t>POBLACIÓN TOTAL POR MUNICIPIOS DEPARTAMENTO DE ANTIOQUIA 1985 -2035 (Fuente: RetroprOyecciones y proyecciones DANE publicadas 22/03/2023)</t>
  </si>
  <si>
    <t>DPMP</t>
  </si>
  <si>
    <t>MPIO</t>
  </si>
  <si>
    <t>Santafé de Antioquia</t>
  </si>
  <si>
    <t>Carolina</t>
  </si>
  <si>
    <t>La Ceja</t>
  </si>
  <si>
    <t>Peñol</t>
  </si>
  <si>
    <t>Retiro</t>
  </si>
  <si>
    <t>San Andrés de Cuerquía</t>
  </si>
  <si>
    <t>San José de La Montaña</t>
  </si>
  <si>
    <t>San Pedro de Los Milagros</t>
  </si>
  <si>
    <t>San Vicente</t>
  </si>
  <si>
    <t>Total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</si>
</sst>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 _€_-;\-* #,##0\ _€_-;_-* &quot;-&quot;??\ _€_-;_-@_-"/>
    <numFmt numFmtId="165" formatCode="#,##0.0"/>
    <numFmt numFmtId="166" formatCode="0.0%"/>
    <numFmt numFmtId="167" formatCode="_-* #,##0\ _€_-;\-* #,##0\ _€_-;_-* &quot;-&quot;\ _€_-;_-@_-"/>
    <numFmt numFmtId="168" formatCode="#,##0.00000000000"/>
    <numFmt numFmtId="169" formatCode="_-* #,##0.0\ _€_-;\-* #,##0.0\ _€_-;_-* &quot;-&quot;\ _€_-;_-@_-"/>
    <numFmt numFmtId="170" formatCode="_-* #,##0.0\ _€_-;\-* #,##0.0\ _€_-;_-* &quot;-&quot;??\ _€_-;_-@_-"/>
    <numFmt numFmtId="171" formatCode="_-* #,##0.00\ _€_-;\-* #,##0.00\ _€_-;_-* &quot;-&quot;??\ _€_-;_-@_-"/>
  </numFmts>
  <fonts count="41"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b/>
      <sz val="14"/>
      <color theme="0"/>
      <name val="Calibri"/>
      <family val="2"/>
      <scheme val="minor"/>
    </font>
    <font>
      <b/>
      <sz val="14"/>
      <color theme="1"/>
      <name val="Calibri"/>
      <family val="2"/>
      <scheme val="minor"/>
    </font>
    <font>
      <sz val="10"/>
      <color theme="1"/>
      <name val="Calibri"/>
      <family val="2"/>
      <scheme val="minor"/>
    </font>
    <font>
      <b/>
      <sz val="10"/>
      <name val="Calibri"/>
      <family val="2"/>
      <scheme val="minor"/>
    </font>
    <font>
      <b/>
      <sz val="14"/>
      <color theme="0"/>
      <name val="Segoe UI"/>
      <family val="2"/>
    </font>
    <font>
      <b/>
      <sz val="9"/>
      <name val="Segoe UI"/>
      <family val="2"/>
    </font>
    <font>
      <sz val="10"/>
      <name val="Arial"/>
      <family val="2"/>
    </font>
    <font>
      <sz val="9"/>
      <name val="Segoe UI"/>
      <family val="2"/>
    </font>
    <font>
      <b/>
      <sz val="9"/>
      <color theme="1"/>
      <name val="Segoe UI"/>
      <family val="2"/>
    </font>
    <font>
      <b/>
      <sz val="9"/>
      <color rgb="FFB6004B"/>
      <name val="Segoe UI"/>
      <family val="2"/>
    </font>
    <font>
      <sz val="9"/>
      <color theme="1"/>
      <name val="Segoe UI"/>
      <family val="2"/>
    </font>
    <font>
      <sz val="10"/>
      <name val="Calibri"/>
      <family val="2"/>
      <scheme val="minor"/>
    </font>
    <font>
      <b/>
      <sz val="16"/>
      <color theme="0"/>
      <name val="Calibri"/>
      <family val="2"/>
      <scheme val="minor"/>
    </font>
    <font>
      <b/>
      <sz val="16"/>
      <color theme="1"/>
      <name val="Calibri"/>
      <family val="2"/>
      <scheme val="minor"/>
    </font>
    <font>
      <b/>
      <sz val="18"/>
      <color theme="0"/>
      <name val="Calibri"/>
      <family val="2"/>
      <scheme val="minor"/>
    </font>
    <font>
      <b/>
      <sz val="18"/>
      <color theme="1"/>
      <name val="Calibri"/>
      <family val="2"/>
      <scheme val="minor"/>
    </font>
    <font>
      <sz val="10"/>
      <color indexed="8"/>
      <name val="Calibri"/>
      <family val="2"/>
      <scheme val="minor"/>
    </font>
    <font>
      <sz val="11"/>
      <color theme="0"/>
      <name val="Calibri"/>
      <family val="2"/>
      <scheme val="minor"/>
    </font>
    <font>
      <b/>
      <sz val="9"/>
      <color theme="0"/>
      <name val="Arial"/>
      <family val="2"/>
    </font>
    <font>
      <b/>
      <sz val="9"/>
      <color theme="1"/>
      <name val="Arial"/>
      <family val="2"/>
    </font>
    <font>
      <sz val="9"/>
      <color theme="1"/>
      <name val="Arial"/>
      <family val="2"/>
    </font>
    <font>
      <b/>
      <sz val="12"/>
      <color theme="1"/>
      <name val="Calibri"/>
      <family val="2"/>
      <scheme val="minor"/>
    </font>
    <font>
      <vertAlign val="superscript"/>
      <sz val="10"/>
      <color theme="1"/>
      <name val="Calibri"/>
      <family val="2"/>
      <scheme val="minor"/>
    </font>
    <font>
      <b/>
      <sz val="11"/>
      <color theme="0"/>
      <name val="Calibri"/>
      <family val="2"/>
      <scheme val="minor"/>
    </font>
    <font>
      <b/>
      <sz val="11"/>
      <name val="Calibri"/>
      <family val="2"/>
      <scheme val="minor"/>
    </font>
    <font>
      <b/>
      <sz val="12"/>
      <color theme="0"/>
      <name val="Arial"/>
      <family val="2"/>
    </font>
    <font>
      <b/>
      <sz val="11"/>
      <color theme="1"/>
      <name val="Arial"/>
      <family val="2"/>
    </font>
    <font>
      <b/>
      <sz val="12"/>
      <color theme="0"/>
      <name val="Calibri"/>
      <family val="2"/>
      <scheme val="minor"/>
    </font>
    <font>
      <sz val="12"/>
      <color theme="1"/>
      <name val="Calibri"/>
      <family val="2"/>
      <scheme val="minor"/>
    </font>
    <font>
      <u/>
      <sz val="11"/>
      <color theme="10"/>
      <name val="Calibri"/>
      <family val="2"/>
      <scheme val="minor"/>
    </font>
    <font>
      <b/>
      <u/>
      <sz val="11"/>
      <color theme="10"/>
      <name val="Calibri"/>
      <family val="2"/>
      <scheme val="minor"/>
    </font>
    <font>
      <b/>
      <vertAlign val="superscript"/>
      <sz val="9"/>
      <name val="Segoe UI"/>
      <family val="2"/>
    </font>
    <font>
      <b/>
      <sz val="9"/>
      <name val="Arial"/>
      <family val="2"/>
    </font>
    <font>
      <b/>
      <vertAlign val="superscript"/>
      <sz val="9"/>
      <color theme="1"/>
      <name val="Segoe UI"/>
      <family val="2"/>
    </font>
    <font>
      <sz val="8"/>
      <name val="Segoe UI"/>
      <family val="2"/>
    </font>
    <font>
      <b/>
      <sz val="8"/>
      <name val="Segoe UI"/>
      <family val="2"/>
    </font>
    <font>
      <vertAlign val="superscript"/>
      <sz val="8"/>
      <name val="Segoe UI"/>
      <family val="2"/>
    </font>
  </fonts>
  <fills count="12">
    <fill>
      <patternFill patternType="none"/>
    </fill>
    <fill>
      <patternFill patternType="gray125"/>
    </fill>
    <fill>
      <patternFill patternType="solid">
        <fgColor theme="4" tint="0.79998168889431442"/>
        <bgColor indexed="64"/>
      </patternFill>
    </fill>
    <fill>
      <patternFill patternType="solid">
        <fgColor theme="4" tint="-0.249977111117893"/>
        <bgColor indexed="64"/>
      </patternFill>
    </fill>
    <fill>
      <patternFill patternType="solid">
        <fgColor rgb="FFB6004B"/>
        <bgColor indexed="64"/>
      </patternFill>
    </fill>
    <fill>
      <patternFill patternType="solid">
        <fgColor theme="0" tint="-4.9989318521683403E-2"/>
        <bgColor indexed="64"/>
      </patternFill>
    </fill>
    <fill>
      <patternFill patternType="solid">
        <fgColor theme="0"/>
        <bgColor indexed="64"/>
      </patternFill>
    </fill>
    <fill>
      <patternFill patternType="solid">
        <fgColor rgb="FFBFBFBF"/>
        <bgColor indexed="64"/>
      </patternFill>
    </fill>
    <fill>
      <patternFill patternType="solid">
        <fgColor theme="4" tint="0.59999389629810485"/>
        <bgColor indexed="64"/>
      </patternFill>
    </fill>
    <fill>
      <patternFill patternType="solid">
        <fgColor rgb="FFA5A5A5"/>
      </patternFill>
    </fill>
    <fill>
      <patternFill patternType="solid">
        <fgColor theme="4" tint="0.79998168889431442"/>
        <bgColor theme="4" tint="0.79998168889431442"/>
      </patternFill>
    </fill>
    <fill>
      <patternFill patternType="solid">
        <fgColor theme="4" tint="0.39997558519241921"/>
        <bgColor indexed="64"/>
      </patternFill>
    </fill>
  </fills>
  <borders count="7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top style="medium">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thin">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double">
        <color rgb="FF3F3F3F"/>
      </left>
      <right style="double">
        <color rgb="FF3F3F3F"/>
      </right>
      <top style="double">
        <color rgb="FF3F3F3F"/>
      </top>
      <bottom style="double">
        <color rgb="FF3F3F3F"/>
      </bottom>
      <diagonal/>
    </border>
    <border>
      <left/>
      <right/>
      <top/>
      <bottom style="thin">
        <color theme="4" tint="0.39997558519241921"/>
      </bottom>
      <diagonal/>
    </border>
    <border>
      <left/>
      <right/>
      <top style="thin">
        <color theme="4" tint="0.39997558519241921"/>
      </top>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s>
  <cellStyleXfs count="8">
    <xf numFmtId="0" fontId="0" fillId="0" borderId="0"/>
    <xf numFmtId="43" fontId="1" fillId="0" borderId="0" applyFont="0" applyFill="0" applyBorder="0" applyAlignment="0" applyProtection="0"/>
    <xf numFmtId="0" fontId="10" fillId="0" borderId="0"/>
    <xf numFmtId="0" fontId="10" fillId="0" borderId="0"/>
    <xf numFmtId="9" fontId="1" fillId="0" borderId="0" applyFont="0" applyFill="0" applyBorder="0" applyAlignment="0" applyProtection="0"/>
    <xf numFmtId="0" fontId="1" fillId="0" borderId="0"/>
    <xf numFmtId="0" fontId="27" fillId="9" borderId="57" applyNumberFormat="0" applyAlignment="0" applyProtection="0"/>
    <xf numFmtId="0" fontId="33" fillId="0" borderId="0" applyNumberFormat="0" applyFill="0" applyBorder="0" applyAlignment="0" applyProtection="0"/>
  </cellStyleXfs>
  <cellXfs count="468">
    <xf numFmtId="0" fontId="0" fillId="0" borderId="0" xfId="0"/>
    <xf numFmtId="0" fontId="3" fillId="2" borderId="8" xfId="0" applyFont="1" applyFill="1" applyBorder="1" applyAlignment="1">
      <alignment horizontal="center" vertical="center" textRotation="90" wrapText="1"/>
    </xf>
    <xf numFmtId="0" fontId="3" fillId="2" borderId="10" xfId="0" applyFont="1" applyFill="1" applyBorder="1" applyAlignment="1">
      <alignment horizontal="center" vertical="center" textRotation="90" wrapText="1"/>
    </xf>
    <xf numFmtId="4" fontId="0" fillId="0" borderId="1" xfId="0" applyNumberFormat="1" applyBorder="1"/>
    <xf numFmtId="0" fontId="6" fillId="0" borderId="5"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2" xfId="0" applyFont="1" applyBorder="1" applyAlignment="1">
      <alignment horizontal="center" vertical="center"/>
    </xf>
    <xf numFmtId="0" fontId="6" fillId="0" borderId="4" xfId="0" applyFont="1" applyBorder="1" applyAlignment="1">
      <alignment horizontal="center" vertical="center"/>
    </xf>
    <xf numFmtId="4" fontId="6" fillId="0" borderId="5" xfId="0" applyNumberFormat="1" applyFont="1" applyBorder="1"/>
    <xf numFmtId="4" fontId="6" fillId="0" borderId="1" xfId="0" applyNumberFormat="1" applyFont="1" applyBorder="1"/>
    <xf numFmtId="0" fontId="6" fillId="0" borderId="16" xfId="0" applyFont="1" applyBorder="1" applyAlignment="1">
      <alignment horizontal="center" vertical="center"/>
    </xf>
    <xf numFmtId="4" fontId="6" fillId="0" borderId="17" xfId="0" applyNumberFormat="1" applyFont="1" applyBorder="1"/>
    <xf numFmtId="0" fontId="11" fillId="6" borderId="0" xfId="2" applyFont="1" applyFill="1"/>
    <xf numFmtId="49" fontId="11" fillId="6" borderId="0" xfId="2" applyNumberFormat="1" applyFont="1" applyFill="1"/>
    <xf numFmtId="0" fontId="13" fillId="6" borderId="17" xfId="0" applyFont="1" applyFill="1" applyBorder="1" applyAlignment="1">
      <alignment vertical="center"/>
    </xf>
    <xf numFmtId="164" fontId="13" fillId="6" borderId="21" xfId="1" applyNumberFormat="1" applyFont="1" applyFill="1" applyBorder="1" applyAlignment="1">
      <alignment vertical="center" wrapText="1"/>
    </xf>
    <xf numFmtId="0" fontId="13" fillId="5" borderId="18" xfId="0" applyFont="1" applyFill="1" applyBorder="1" applyAlignment="1">
      <alignment vertical="center"/>
    </xf>
    <xf numFmtId="164" fontId="13" fillId="5" borderId="0" xfId="1" applyNumberFormat="1" applyFont="1" applyFill="1" applyBorder="1" applyAlignment="1">
      <alignment vertical="center" wrapText="1"/>
    </xf>
    <xf numFmtId="0" fontId="13" fillId="6" borderId="18" xfId="0" applyFont="1" applyFill="1" applyBorder="1" applyAlignment="1">
      <alignment vertical="center"/>
    </xf>
    <xf numFmtId="164" fontId="13" fillId="6" borderId="0" xfId="1" applyNumberFormat="1" applyFont="1" applyFill="1" applyBorder="1" applyAlignment="1">
      <alignment vertical="center" wrapText="1"/>
    </xf>
    <xf numFmtId="164" fontId="12" fillId="6" borderId="0" xfId="1" applyNumberFormat="1" applyFont="1" applyFill="1" applyBorder="1" applyAlignment="1">
      <alignment vertical="center" wrapText="1"/>
    </xf>
    <xf numFmtId="0" fontId="14" fillId="5" borderId="18" xfId="0" applyFont="1" applyFill="1" applyBorder="1" applyAlignment="1">
      <alignment vertical="center" wrapText="1"/>
    </xf>
    <xf numFmtId="0" fontId="14" fillId="5" borderId="18" xfId="0" applyFont="1" applyFill="1" applyBorder="1"/>
    <xf numFmtId="164" fontId="11" fillId="5" borderId="0" xfId="1" applyNumberFormat="1" applyFont="1" applyFill="1" applyBorder="1" applyAlignment="1">
      <alignment wrapText="1"/>
    </xf>
    <xf numFmtId="164" fontId="11" fillId="5" borderId="25" xfId="1" applyNumberFormat="1" applyFont="1" applyFill="1" applyBorder="1" applyAlignment="1">
      <alignment wrapText="1"/>
    </xf>
    <xf numFmtId="0" fontId="12" fillId="6" borderId="5" xfId="0" applyFont="1" applyFill="1" applyBorder="1" applyAlignment="1">
      <alignment vertical="center" wrapText="1"/>
    </xf>
    <xf numFmtId="0" fontId="14" fillId="6" borderId="5" xfId="0" applyFont="1" applyFill="1" applyBorder="1"/>
    <xf numFmtId="3" fontId="9" fillId="6" borderId="14" xfId="0" applyNumberFormat="1" applyFont="1" applyFill="1" applyBorder="1" applyAlignment="1">
      <alignment wrapText="1"/>
    </xf>
    <xf numFmtId="164" fontId="9" fillId="6" borderId="14" xfId="1" applyNumberFormat="1" applyFont="1" applyFill="1" applyBorder="1" applyAlignment="1">
      <alignment wrapText="1"/>
    </xf>
    <xf numFmtId="0" fontId="12" fillId="7" borderId="1" xfId="0" applyFont="1" applyFill="1" applyBorder="1" applyAlignment="1">
      <alignment horizontal="center" vertical="center" wrapText="1"/>
    </xf>
    <xf numFmtId="0" fontId="14" fillId="6" borderId="0" xfId="0" applyFont="1" applyFill="1"/>
    <xf numFmtId="0" fontId="15" fillId="0" borderId="1" xfId="0" applyFont="1" applyBorder="1" applyAlignment="1">
      <alignment horizontal="left" vertical="center" wrapText="1" indent="1"/>
    </xf>
    <xf numFmtId="49" fontId="15" fillId="0" borderId="1" xfId="0" applyNumberFormat="1" applyFont="1" applyBorder="1" applyAlignment="1">
      <alignment horizontal="left" vertical="center" wrapText="1" indent="1"/>
    </xf>
    <xf numFmtId="0" fontId="15" fillId="6" borderId="1" xfId="0" applyFont="1" applyFill="1" applyBorder="1" applyAlignment="1">
      <alignment horizontal="left" vertical="center" wrapText="1" indent="1"/>
    </xf>
    <xf numFmtId="49" fontId="15" fillId="0" borderId="2" xfId="0" applyNumberFormat="1" applyFont="1" applyBorder="1" applyAlignment="1">
      <alignment horizontal="center" vertical="center" wrapText="1"/>
    </xf>
    <xf numFmtId="49" fontId="15" fillId="6" borderId="2" xfId="0" applyNumberFormat="1" applyFont="1" applyFill="1" applyBorder="1" applyAlignment="1">
      <alignment horizontal="center" vertical="center"/>
    </xf>
    <xf numFmtId="49" fontId="15" fillId="6" borderId="30" xfId="0" applyNumberFormat="1" applyFont="1" applyFill="1" applyBorder="1" applyAlignment="1">
      <alignment horizontal="center" vertical="center"/>
    </xf>
    <xf numFmtId="0" fontId="15" fillId="6" borderId="31" xfId="0" applyFont="1" applyFill="1" applyBorder="1" applyAlignment="1">
      <alignment horizontal="left" vertical="center" wrapText="1" indent="1"/>
    </xf>
    <xf numFmtId="49" fontId="15" fillId="0" borderId="31" xfId="0" applyNumberFormat="1" applyFont="1" applyBorder="1" applyAlignment="1">
      <alignment horizontal="left" vertical="center" wrapText="1" indent="1"/>
    </xf>
    <xf numFmtId="0" fontId="15" fillId="0" borderId="31" xfId="0" applyFont="1" applyBorder="1" applyAlignment="1">
      <alignment horizontal="left" vertical="center" wrapText="1" indent="1"/>
    </xf>
    <xf numFmtId="49" fontId="7" fillId="2" borderId="7" xfId="0" applyNumberFormat="1" applyFont="1" applyFill="1" applyBorder="1" applyAlignment="1">
      <alignment horizontal="center" vertical="center" wrapText="1"/>
    </xf>
    <xf numFmtId="49" fontId="7" fillId="2" borderId="8" xfId="0" applyNumberFormat="1" applyFont="1" applyFill="1" applyBorder="1" applyAlignment="1">
      <alignment horizontal="center" vertical="center" wrapText="1"/>
    </xf>
    <xf numFmtId="0" fontId="7" fillId="2" borderId="8" xfId="0" applyFont="1" applyFill="1" applyBorder="1" applyAlignment="1">
      <alignment horizontal="center" vertical="center" wrapText="1"/>
    </xf>
    <xf numFmtId="0" fontId="3" fillId="8" borderId="8" xfId="0" applyFont="1" applyFill="1" applyBorder="1" applyAlignment="1">
      <alignment horizontal="center" vertical="center" textRotation="90" wrapText="1"/>
    </xf>
    <xf numFmtId="0" fontId="7" fillId="8" borderId="5" xfId="0" applyFont="1" applyFill="1" applyBorder="1" applyAlignment="1">
      <alignment horizontal="left" vertical="center" indent="1"/>
    </xf>
    <xf numFmtId="0" fontId="7" fillId="8" borderId="5" xfId="0" applyFont="1" applyFill="1" applyBorder="1" applyAlignment="1">
      <alignment horizontal="left" vertical="center" wrapText="1" indent="1"/>
    </xf>
    <xf numFmtId="0" fontId="7" fillId="8" borderId="1" xfId="0" applyFont="1" applyFill="1" applyBorder="1" applyAlignment="1">
      <alignment horizontal="left" vertical="center" wrapText="1" indent="1"/>
    </xf>
    <xf numFmtId="0" fontId="3" fillId="8" borderId="9" xfId="0" applyFont="1" applyFill="1" applyBorder="1" applyAlignment="1">
      <alignment horizontal="center" vertical="center" textRotation="90" wrapText="1"/>
    </xf>
    <xf numFmtId="4" fontId="7" fillId="8" borderId="5" xfId="0" applyNumberFormat="1" applyFont="1" applyFill="1" applyBorder="1" applyAlignment="1">
      <alignment horizontal="right" vertical="center" wrapText="1" indent="1"/>
    </xf>
    <xf numFmtId="165" fontId="7" fillId="8" borderId="1" xfId="0" applyNumberFormat="1" applyFont="1" applyFill="1" applyBorder="1" applyAlignment="1">
      <alignment horizontal="right" vertical="center" wrapText="1" indent="1"/>
    </xf>
    <xf numFmtId="165" fontId="6" fillId="0" borderId="1" xfId="0" applyNumberFormat="1" applyFont="1" applyBorder="1" applyAlignment="1">
      <alignment horizontal="right" vertical="center"/>
    </xf>
    <xf numFmtId="165" fontId="3" fillId="8" borderId="1" xfId="0" applyNumberFormat="1" applyFont="1" applyFill="1" applyBorder="1" applyAlignment="1">
      <alignment horizontal="right" vertical="center"/>
    </xf>
    <xf numFmtId="165" fontId="3" fillId="8" borderId="3" xfId="0" applyNumberFormat="1" applyFont="1" applyFill="1" applyBorder="1" applyAlignment="1">
      <alignment horizontal="right" vertical="center"/>
    </xf>
    <xf numFmtId="0" fontId="7" fillId="8" borderId="4" xfId="0" quotePrefix="1" applyFont="1" applyFill="1" applyBorder="1" applyAlignment="1">
      <alignment horizontal="center" vertical="center"/>
    </xf>
    <xf numFmtId="0" fontId="7" fillId="8" borderId="5" xfId="0" applyFont="1" applyFill="1" applyBorder="1" applyAlignment="1">
      <alignment horizontal="left" vertical="center"/>
    </xf>
    <xf numFmtId="0" fontId="7" fillId="8" borderId="2" xfId="0" applyFont="1" applyFill="1" applyBorder="1" applyAlignment="1">
      <alignment horizontal="center" vertical="center" wrapText="1"/>
    </xf>
    <xf numFmtId="49" fontId="15" fillId="6" borderId="2" xfId="0" applyNumberFormat="1" applyFont="1" applyFill="1" applyBorder="1" applyAlignment="1">
      <alignment horizontal="left" vertical="center"/>
    </xf>
    <xf numFmtId="0" fontId="15" fillId="6" borderId="1" xfId="0" applyFont="1" applyFill="1" applyBorder="1" applyAlignment="1">
      <alignment horizontal="left" vertical="center" wrapText="1"/>
    </xf>
    <xf numFmtId="49" fontId="15" fillId="6" borderId="1" xfId="0" applyNumberFormat="1" applyFont="1" applyFill="1" applyBorder="1" applyAlignment="1">
      <alignment horizontal="left" vertical="center" wrapText="1"/>
    </xf>
    <xf numFmtId="49" fontId="15" fillId="0" borderId="0" xfId="0" applyNumberFormat="1" applyFont="1" applyAlignment="1">
      <alignment horizontal="left" vertical="center" wrapText="1" indent="1"/>
    </xf>
    <xf numFmtId="165" fontId="3" fillId="0" borderId="1" xfId="0" applyNumberFormat="1" applyFont="1" applyBorder="1" applyAlignment="1">
      <alignment horizontal="center" vertical="center"/>
    </xf>
    <xf numFmtId="49" fontId="15" fillId="0" borderId="17" xfId="0" applyNumberFormat="1" applyFont="1" applyBorder="1" applyAlignment="1">
      <alignment horizontal="left" vertical="center" wrapText="1" indent="1"/>
    </xf>
    <xf numFmtId="0" fontId="15" fillId="0" borderId="17" xfId="0" applyFont="1" applyBorder="1" applyAlignment="1">
      <alignment horizontal="left" vertical="center" wrapText="1" indent="1"/>
    </xf>
    <xf numFmtId="165" fontId="6" fillId="0" borderId="0" xfId="0" applyNumberFormat="1" applyFont="1"/>
    <xf numFmtId="165" fontId="2" fillId="0" borderId="0" xfId="0" applyNumberFormat="1" applyFont="1"/>
    <xf numFmtId="165" fontId="0" fillId="0" borderId="0" xfId="0" applyNumberFormat="1"/>
    <xf numFmtId="4" fontId="0" fillId="0" borderId="0" xfId="0" applyNumberFormat="1"/>
    <xf numFmtId="49" fontId="15" fillId="0" borderId="30" xfId="0" applyNumberFormat="1" applyFont="1" applyBorder="1" applyAlignment="1">
      <alignment horizontal="center" vertical="center" wrapText="1"/>
    </xf>
    <xf numFmtId="165" fontId="6" fillId="0" borderId="31" xfId="0" applyNumberFormat="1" applyFont="1" applyBorder="1" applyAlignment="1">
      <alignment horizontal="right" vertical="center"/>
    </xf>
    <xf numFmtId="165" fontId="3" fillId="8" borderId="32" xfId="0" applyNumberFormat="1" applyFont="1" applyFill="1" applyBorder="1" applyAlignment="1">
      <alignment horizontal="right" vertical="center"/>
    </xf>
    <xf numFmtId="49" fontId="7" fillId="2" borderId="33" xfId="0" applyNumberFormat="1" applyFont="1" applyFill="1" applyBorder="1" applyAlignment="1">
      <alignment horizontal="center" vertical="center" wrapText="1"/>
    </xf>
    <xf numFmtId="49" fontId="7" fillId="2" borderId="18" xfId="0" applyNumberFormat="1" applyFont="1" applyFill="1" applyBorder="1" applyAlignment="1">
      <alignment horizontal="left" vertical="center" wrapText="1" indent="1"/>
    </xf>
    <xf numFmtId="49" fontId="15" fillId="6" borderId="35" xfId="0" applyNumberFormat="1" applyFont="1" applyFill="1" applyBorder="1" applyAlignment="1">
      <alignment horizontal="left" vertical="center"/>
    </xf>
    <xf numFmtId="0" fontId="15" fillId="6" borderId="36" xfId="0" applyFont="1" applyFill="1" applyBorder="1" applyAlignment="1">
      <alignment horizontal="left" vertical="center" wrapText="1"/>
    </xf>
    <xf numFmtId="49" fontId="15" fillId="6" borderId="36" xfId="0" applyNumberFormat="1" applyFont="1" applyFill="1" applyBorder="1" applyAlignment="1">
      <alignment horizontal="left" vertical="center" wrapText="1"/>
    </xf>
    <xf numFmtId="0" fontId="15" fillId="0" borderId="36" xfId="0" applyFont="1" applyBorder="1" applyAlignment="1">
      <alignment horizontal="left" vertical="center" wrapText="1" indent="1"/>
    </xf>
    <xf numFmtId="165" fontId="3" fillId="0" borderId="36" xfId="0" applyNumberFormat="1" applyFont="1" applyBorder="1" applyAlignment="1">
      <alignment horizontal="center" vertical="center"/>
    </xf>
    <xf numFmtId="49" fontId="15" fillId="6" borderId="30" xfId="0" applyNumberFormat="1" applyFont="1" applyFill="1" applyBorder="1" applyAlignment="1">
      <alignment horizontal="left" vertical="center"/>
    </xf>
    <xf numFmtId="0" fontId="15" fillId="6" borderId="31" xfId="0" applyFont="1" applyFill="1" applyBorder="1" applyAlignment="1">
      <alignment horizontal="left" vertical="center" wrapText="1"/>
    </xf>
    <xf numFmtId="49" fontId="15" fillId="6" borderId="31" xfId="0" applyNumberFormat="1" applyFont="1" applyFill="1" applyBorder="1" applyAlignment="1">
      <alignment horizontal="left" vertical="center" wrapText="1"/>
    </xf>
    <xf numFmtId="165" fontId="3" fillId="0" borderId="31" xfId="0" applyNumberFormat="1" applyFont="1" applyBorder="1" applyAlignment="1">
      <alignment horizontal="center" vertical="center"/>
    </xf>
    <xf numFmtId="49" fontId="15" fillId="6" borderId="35" xfId="0" applyNumberFormat="1" applyFont="1" applyFill="1" applyBorder="1" applyAlignment="1">
      <alignment horizontal="center" vertical="center"/>
    </xf>
    <xf numFmtId="49" fontId="15" fillId="0" borderId="36" xfId="0" applyNumberFormat="1" applyFont="1" applyBorder="1" applyAlignment="1">
      <alignment horizontal="left" vertical="center" wrapText="1" indent="1"/>
    </xf>
    <xf numFmtId="0" fontId="18" fillId="3" borderId="28" xfId="0" applyFont="1" applyFill="1" applyBorder="1" applyAlignment="1">
      <alignment horizontal="center" vertical="center"/>
    </xf>
    <xf numFmtId="0" fontId="19" fillId="2" borderId="29" xfId="0" applyFont="1" applyFill="1" applyBorder="1" applyAlignment="1">
      <alignment horizontal="center" vertical="center"/>
    </xf>
    <xf numFmtId="4" fontId="7" fillId="8" borderId="26" xfId="0" applyNumberFormat="1" applyFont="1" applyFill="1" applyBorder="1" applyAlignment="1">
      <alignment horizontal="right" vertical="center" wrapText="1" indent="1"/>
    </xf>
    <xf numFmtId="165" fontId="7" fillId="8" borderId="38" xfId="0" applyNumberFormat="1" applyFont="1" applyFill="1" applyBorder="1" applyAlignment="1">
      <alignment horizontal="right" vertical="center" wrapText="1" indent="1"/>
    </xf>
    <xf numFmtId="165" fontId="3" fillId="8" borderId="38" xfId="0" applyNumberFormat="1" applyFont="1" applyFill="1" applyBorder="1" applyAlignment="1">
      <alignment horizontal="right" vertical="center"/>
    </xf>
    <xf numFmtId="165" fontId="3" fillId="8" borderId="39" xfId="0" applyNumberFormat="1" applyFont="1" applyFill="1" applyBorder="1" applyAlignment="1">
      <alignment horizontal="right" vertical="center"/>
    </xf>
    <xf numFmtId="0" fontId="3" fillId="8" borderId="41" xfId="0" applyFont="1" applyFill="1" applyBorder="1" applyAlignment="1">
      <alignment horizontal="center" vertical="center" textRotation="90" wrapText="1"/>
    </xf>
    <xf numFmtId="0" fontId="3" fillId="8" borderId="28" xfId="0" applyFont="1" applyFill="1" applyBorder="1" applyAlignment="1">
      <alignment horizontal="center" vertical="center" textRotation="90" wrapText="1"/>
    </xf>
    <xf numFmtId="10" fontId="7" fillId="8" borderId="12" xfId="4" applyNumberFormat="1" applyFont="1" applyFill="1" applyBorder="1" applyAlignment="1">
      <alignment horizontal="right" vertical="center" wrapText="1" indent="1"/>
    </xf>
    <xf numFmtId="10" fontId="7" fillId="8" borderId="42" xfId="4" applyNumberFormat="1" applyFont="1" applyFill="1" applyBorder="1" applyAlignment="1">
      <alignment horizontal="right" vertical="center" wrapText="1" indent="1"/>
    </xf>
    <xf numFmtId="10" fontId="7" fillId="8" borderId="43" xfId="4" applyNumberFormat="1" applyFont="1" applyFill="1" applyBorder="1" applyAlignment="1">
      <alignment horizontal="right" vertical="center" wrapText="1" indent="1"/>
    </xf>
    <xf numFmtId="165" fontId="3" fillId="8" borderId="40" xfId="0" applyNumberFormat="1" applyFont="1" applyFill="1" applyBorder="1" applyAlignment="1">
      <alignment horizontal="right" vertical="center"/>
    </xf>
    <xf numFmtId="165" fontId="6" fillId="0" borderId="17" xfId="0" applyNumberFormat="1" applyFont="1" applyBorder="1" applyAlignment="1">
      <alignment horizontal="right" vertical="center"/>
    </xf>
    <xf numFmtId="165" fontId="3" fillId="8" borderId="19" xfId="0" applyNumberFormat="1" applyFont="1" applyFill="1" applyBorder="1" applyAlignment="1">
      <alignment horizontal="right" vertical="center"/>
    </xf>
    <xf numFmtId="10" fontId="7" fillId="8" borderId="20" xfId="4" applyNumberFormat="1" applyFont="1" applyFill="1" applyBorder="1" applyAlignment="1">
      <alignment horizontal="right" vertical="center" wrapText="1" indent="1"/>
    </xf>
    <xf numFmtId="165" fontId="3" fillId="8" borderId="5" xfId="0" applyNumberFormat="1" applyFont="1" applyFill="1" applyBorder="1" applyAlignment="1">
      <alignment horizontal="right" vertical="center"/>
    </xf>
    <xf numFmtId="10" fontId="7" fillId="8" borderId="11" xfId="4" applyNumberFormat="1" applyFont="1" applyFill="1" applyBorder="1" applyAlignment="1">
      <alignment horizontal="right" vertical="center" wrapText="1" indent="1"/>
    </xf>
    <xf numFmtId="0" fontId="15" fillId="0" borderId="5" xfId="0" applyFont="1" applyBorder="1" applyAlignment="1">
      <alignment horizontal="left" vertical="center" wrapText="1" indent="1"/>
    </xf>
    <xf numFmtId="0" fontId="7" fillId="8" borderId="44" xfId="0" applyFont="1" applyFill="1" applyBorder="1" applyAlignment="1">
      <alignment horizontal="center" vertical="center" wrapText="1"/>
    </xf>
    <xf numFmtId="0" fontId="7" fillId="8" borderId="18" xfId="0" applyFont="1" applyFill="1" applyBorder="1" applyAlignment="1">
      <alignment horizontal="left" vertical="center"/>
    </xf>
    <xf numFmtId="0" fontId="7" fillId="8" borderId="18" xfId="0" applyFont="1" applyFill="1" applyBorder="1" applyAlignment="1">
      <alignment horizontal="left" vertical="center" indent="1"/>
    </xf>
    <xf numFmtId="0" fontId="7" fillId="8" borderId="18" xfId="0" applyFont="1" applyFill="1" applyBorder="1" applyAlignment="1">
      <alignment horizontal="left" vertical="center" wrapText="1" indent="1"/>
    </xf>
    <xf numFmtId="4" fontId="7" fillId="8" borderId="18" xfId="0" applyNumberFormat="1" applyFont="1" applyFill="1" applyBorder="1" applyAlignment="1">
      <alignment horizontal="right" vertical="center" wrapText="1" indent="1"/>
    </xf>
    <xf numFmtId="4" fontId="7" fillId="8" borderId="34" xfId="0" applyNumberFormat="1" applyFont="1" applyFill="1" applyBorder="1" applyAlignment="1">
      <alignment horizontal="right" vertical="center" wrapText="1" indent="1"/>
    </xf>
    <xf numFmtId="49" fontId="15" fillId="0" borderId="5" xfId="0" applyNumberFormat="1" applyFont="1" applyBorder="1" applyAlignment="1">
      <alignment horizontal="left" vertical="center" wrapText="1" indent="1"/>
    </xf>
    <xf numFmtId="165" fontId="6" fillId="0" borderId="5" xfId="0" applyNumberFormat="1" applyFont="1" applyBorder="1" applyAlignment="1">
      <alignment horizontal="right" vertical="center"/>
    </xf>
    <xf numFmtId="165" fontId="3" fillId="8" borderId="6" xfId="0" applyNumberFormat="1" applyFont="1" applyFill="1" applyBorder="1" applyAlignment="1">
      <alignment horizontal="right" vertical="center"/>
    </xf>
    <xf numFmtId="0" fontId="7" fillId="8" borderId="7" xfId="0" applyFont="1" applyFill="1" applyBorder="1" applyAlignment="1">
      <alignment horizontal="left" vertical="center" wrapText="1" indent="1"/>
    </xf>
    <xf numFmtId="0" fontId="7" fillId="8" borderId="8" xfId="0" applyFont="1" applyFill="1" applyBorder="1" applyAlignment="1">
      <alignment horizontal="left" vertical="center" wrapText="1" indent="1"/>
    </xf>
    <xf numFmtId="165" fontId="7" fillId="8" borderId="8" xfId="0" applyNumberFormat="1" applyFont="1" applyFill="1" applyBorder="1" applyAlignment="1">
      <alignment horizontal="right" vertical="center" wrapText="1" indent="1"/>
    </xf>
    <xf numFmtId="165" fontId="7" fillId="8" borderId="9" xfId="0" applyNumberFormat="1" applyFont="1" applyFill="1" applyBorder="1" applyAlignment="1">
      <alignment horizontal="right" vertical="center" wrapText="1" indent="1"/>
    </xf>
    <xf numFmtId="10" fontId="7" fillId="8" borderId="10" xfId="4" applyNumberFormat="1" applyFont="1" applyFill="1" applyBorder="1" applyAlignment="1">
      <alignment horizontal="right" vertical="center" wrapText="1" indent="1"/>
    </xf>
    <xf numFmtId="49" fontId="7" fillId="8" borderId="44" xfId="0" applyNumberFormat="1" applyFont="1" applyFill="1" applyBorder="1" applyAlignment="1">
      <alignment horizontal="center" vertical="center" wrapText="1"/>
    </xf>
    <xf numFmtId="49" fontId="7" fillId="8" borderId="8" xfId="0" applyNumberFormat="1" applyFont="1" applyFill="1" applyBorder="1" applyAlignment="1">
      <alignment horizontal="left" vertical="center" wrapText="1" indent="1"/>
    </xf>
    <xf numFmtId="0" fontId="7" fillId="8" borderId="8" xfId="0" applyFont="1" applyFill="1" applyBorder="1" applyAlignment="1">
      <alignment horizontal="left" vertical="center" wrapText="1"/>
    </xf>
    <xf numFmtId="49" fontId="7" fillId="8" borderId="7" xfId="0" applyNumberFormat="1" applyFont="1" applyFill="1" applyBorder="1" applyAlignment="1">
      <alignment horizontal="left" vertical="center" wrapText="1" indent="1"/>
    </xf>
    <xf numFmtId="49" fontId="15" fillId="0" borderId="16" xfId="0" applyNumberFormat="1" applyFont="1" applyBorder="1" applyAlignment="1">
      <alignment horizontal="center" vertical="center" wrapText="1"/>
    </xf>
    <xf numFmtId="49" fontId="15" fillId="0" borderId="4" xfId="0" applyNumberFormat="1" applyFont="1" applyBorder="1" applyAlignment="1">
      <alignment horizontal="center" vertical="center" wrapText="1"/>
    </xf>
    <xf numFmtId="49" fontId="7" fillId="8" borderId="7" xfId="0" applyNumberFormat="1" applyFont="1" applyFill="1" applyBorder="1" applyAlignment="1">
      <alignment horizontal="center" vertical="center" wrapText="1"/>
    </xf>
    <xf numFmtId="165" fontId="7" fillId="8" borderId="41" xfId="0" applyNumberFormat="1" applyFont="1" applyFill="1" applyBorder="1" applyAlignment="1">
      <alignment horizontal="right" vertical="center" wrapText="1" indent="1"/>
    </xf>
    <xf numFmtId="49" fontId="0" fillId="0" borderId="5" xfId="0" applyNumberFormat="1" applyBorder="1" applyAlignment="1">
      <alignment vertical="center"/>
    </xf>
    <xf numFmtId="49" fontId="0" fillId="0" borderId="1" xfId="0" applyNumberFormat="1" applyBorder="1" applyAlignment="1">
      <alignment vertical="center"/>
    </xf>
    <xf numFmtId="49" fontId="20" fillId="0" borderId="4" xfId="0" applyNumberFormat="1" applyFont="1" applyBorder="1" applyAlignment="1">
      <alignment horizontal="center" vertical="center" wrapText="1"/>
    </xf>
    <xf numFmtId="49" fontId="20" fillId="0" borderId="2" xfId="0" applyNumberFormat="1" applyFont="1" applyBorder="1" applyAlignment="1">
      <alignment horizontal="center" vertical="center" wrapText="1"/>
    </xf>
    <xf numFmtId="49" fontId="20" fillId="0" borderId="16" xfId="0" applyNumberFormat="1" applyFont="1" applyBorder="1" applyAlignment="1">
      <alignment horizontal="center" vertical="center" wrapText="1"/>
    </xf>
    <xf numFmtId="49" fontId="0" fillId="0" borderId="17" xfId="0" applyNumberFormat="1" applyBorder="1" applyAlignment="1">
      <alignment vertical="center"/>
    </xf>
    <xf numFmtId="4" fontId="7" fillId="8" borderId="8" xfId="0" applyNumberFormat="1" applyFont="1" applyFill="1" applyBorder="1" applyAlignment="1">
      <alignment horizontal="right" vertical="center" wrapText="1" indent="1"/>
    </xf>
    <xf numFmtId="4" fontId="7" fillId="8" borderId="9" xfId="0" applyNumberFormat="1" applyFont="1" applyFill="1" applyBorder="1" applyAlignment="1">
      <alignment horizontal="right" vertical="center" wrapText="1" indent="1"/>
    </xf>
    <xf numFmtId="10" fontId="0" fillId="0" borderId="1" xfId="4" applyNumberFormat="1" applyFont="1" applyBorder="1"/>
    <xf numFmtId="10" fontId="0" fillId="0" borderId="5" xfId="4" applyNumberFormat="1" applyFont="1" applyBorder="1"/>
    <xf numFmtId="10" fontId="2" fillId="8" borderId="5" xfId="4" applyNumberFormat="1" applyFont="1" applyFill="1" applyBorder="1"/>
    <xf numFmtId="10" fontId="2" fillId="8" borderId="1" xfId="4" applyNumberFormat="1" applyFont="1" applyFill="1" applyBorder="1"/>
    <xf numFmtId="10" fontId="2" fillId="8" borderId="31" xfId="4" applyNumberFormat="1" applyFont="1" applyFill="1" applyBorder="1"/>
    <xf numFmtId="10" fontId="2" fillId="8" borderId="6" xfId="4" applyNumberFormat="1" applyFont="1" applyFill="1" applyBorder="1"/>
    <xf numFmtId="10" fontId="2" fillId="8" borderId="3" xfId="4" applyNumberFormat="1" applyFont="1" applyFill="1" applyBorder="1"/>
    <xf numFmtId="10" fontId="0" fillId="0" borderId="31" xfId="4" applyNumberFormat="1" applyFont="1" applyFill="1" applyBorder="1"/>
    <xf numFmtId="10" fontId="2" fillId="0" borderId="31" xfId="4" applyNumberFormat="1" applyFont="1" applyFill="1" applyBorder="1"/>
    <xf numFmtId="10" fontId="2" fillId="0" borderId="32" xfId="4" applyNumberFormat="1" applyFont="1" applyFill="1" applyBorder="1"/>
    <xf numFmtId="2" fontId="0" fillId="0" borderId="1" xfId="4" applyNumberFormat="1" applyFont="1" applyBorder="1" applyAlignment="1">
      <alignment horizontal="center" vertical="center"/>
    </xf>
    <xf numFmtId="2" fontId="2" fillId="8" borderId="1" xfId="4" applyNumberFormat="1" applyFont="1" applyFill="1" applyBorder="1" applyAlignment="1">
      <alignment horizontal="center" vertical="center"/>
    </xf>
    <xf numFmtId="1" fontId="2" fillId="0" borderId="31" xfId="4" applyNumberFormat="1" applyFont="1" applyFill="1" applyBorder="1" applyAlignment="1">
      <alignment horizontal="center" vertical="center"/>
    </xf>
    <xf numFmtId="1" fontId="2" fillId="0" borderId="32" xfId="4" applyNumberFormat="1" applyFont="1" applyFill="1" applyBorder="1" applyAlignment="1">
      <alignment horizontal="center" vertical="center"/>
    </xf>
    <xf numFmtId="0" fontId="21" fillId="0" borderId="0" xfId="0" applyFont="1"/>
    <xf numFmtId="165" fontId="3" fillId="8" borderId="1" xfId="0" applyNumberFormat="1" applyFont="1" applyFill="1" applyBorder="1" applyAlignment="1">
      <alignment horizontal="center" vertical="center"/>
    </xf>
    <xf numFmtId="165" fontId="3" fillId="8" borderId="31" xfId="0" applyNumberFormat="1" applyFont="1" applyFill="1" applyBorder="1" applyAlignment="1">
      <alignment horizontal="center" vertical="center"/>
    </xf>
    <xf numFmtId="165" fontId="3" fillId="8" borderId="36" xfId="0" applyNumberFormat="1" applyFont="1" applyFill="1" applyBorder="1" applyAlignment="1">
      <alignment horizontal="center" vertical="center"/>
    </xf>
    <xf numFmtId="165" fontId="6" fillId="0" borderId="38" xfId="0" applyNumberFormat="1" applyFont="1" applyBorder="1" applyAlignment="1">
      <alignment horizontal="right" vertical="center"/>
    </xf>
    <xf numFmtId="165" fontId="6" fillId="0" borderId="22" xfId="0" applyNumberFormat="1" applyFont="1" applyBorder="1" applyAlignment="1">
      <alignment horizontal="right" vertical="center"/>
    </xf>
    <xf numFmtId="4" fontId="7" fillId="8" borderId="41" xfId="0" applyNumberFormat="1" applyFont="1" applyFill="1" applyBorder="1" applyAlignment="1">
      <alignment horizontal="right" vertical="center" wrapText="1" indent="1"/>
    </xf>
    <xf numFmtId="165" fontId="3" fillId="8" borderId="48" xfId="0" applyNumberFormat="1" applyFont="1" applyFill="1" applyBorder="1" applyAlignment="1">
      <alignment horizontal="right" vertical="center"/>
    </xf>
    <xf numFmtId="165" fontId="3" fillId="8" borderId="23" xfId="0" applyNumberFormat="1" applyFont="1" applyFill="1" applyBorder="1" applyAlignment="1">
      <alignment horizontal="right" vertical="center"/>
    </xf>
    <xf numFmtId="4" fontId="7" fillId="8" borderId="45" xfId="0" applyNumberFormat="1" applyFont="1" applyFill="1" applyBorder="1" applyAlignment="1">
      <alignment horizontal="right" vertical="center" wrapText="1" indent="1"/>
    </xf>
    <xf numFmtId="165" fontId="3" fillId="8" borderId="2" xfId="0" applyNumberFormat="1" applyFont="1" applyFill="1" applyBorder="1" applyAlignment="1">
      <alignment horizontal="right" vertical="center"/>
    </xf>
    <xf numFmtId="4" fontId="7" fillId="8" borderId="7" xfId="0" applyNumberFormat="1" applyFont="1" applyFill="1" applyBorder="1" applyAlignment="1">
      <alignment horizontal="right" vertical="center" wrapText="1" indent="1"/>
    </xf>
    <xf numFmtId="0" fontId="3" fillId="2" borderId="41" xfId="0" applyFont="1" applyFill="1" applyBorder="1" applyAlignment="1">
      <alignment horizontal="center" vertical="center" textRotation="90" wrapText="1"/>
    </xf>
    <xf numFmtId="10" fontId="0" fillId="0" borderId="26" xfId="4" applyNumberFormat="1" applyFont="1" applyBorder="1"/>
    <xf numFmtId="10" fontId="0" fillId="0" borderId="38" xfId="4" applyNumberFormat="1" applyFont="1" applyBorder="1"/>
    <xf numFmtId="10" fontId="0" fillId="0" borderId="39" xfId="4" applyNumberFormat="1" applyFont="1" applyFill="1" applyBorder="1"/>
    <xf numFmtId="1" fontId="3" fillId="8" borderId="45" xfId="0" applyNumberFormat="1" applyFont="1" applyFill="1" applyBorder="1" applyAlignment="1">
      <alignment horizontal="center" vertical="center" textRotation="90" wrapText="1"/>
    </xf>
    <xf numFmtId="10" fontId="2" fillId="8" borderId="27" xfId="4" applyNumberFormat="1" applyFont="1" applyFill="1" applyBorder="1"/>
    <xf numFmtId="10" fontId="2" fillId="8" borderId="48" xfId="4" applyNumberFormat="1" applyFont="1" applyFill="1" applyBorder="1"/>
    <xf numFmtId="10" fontId="2" fillId="0" borderId="49" xfId="4" applyNumberFormat="1" applyFont="1" applyFill="1" applyBorder="1"/>
    <xf numFmtId="0" fontId="3" fillId="8" borderId="7" xfId="0" applyFont="1" applyFill="1" applyBorder="1" applyAlignment="1">
      <alignment horizontal="center" vertical="center" textRotation="90" wrapText="1"/>
    </xf>
    <xf numFmtId="10" fontId="2" fillId="8" borderId="4" xfId="4" applyNumberFormat="1" applyFont="1" applyFill="1" applyBorder="1"/>
    <xf numFmtId="10" fontId="2" fillId="8" borderId="2" xfId="4" applyNumberFormat="1" applyFont="1" applyFill="1" applyBorder="1"/>
    <xf numFmtId="10" fontId="2" fillId="0" borderId="30" xfId="4" applyNumberFormat="1" applyFont="1" applyFill="1" applyBorder="1"/>
    <xf numFmtId="10" fontId="2" fillId="8" borderId="39" xfId="4" applyNumberFormat="1" applyFont="1" applyFill="1" applyBorder="1"/>
    <xf numFmtId="10" fontId="1" fillId="0" borderId="50" xfId="4" applyNumberFormat="1" applyFont="1" applyFill="1" applyBorder="1"/>
    <xf numFmtId="10" fontId="1" fillId="0" borderId="51" xfId="4" applyNumberFormat="1" applyFont="1" applyFill="1" applyBorder="1"/>
    <xf numFmtId="10" fontId="2" fillId="8" borderId="30" xfId="4" applyNumberFormat="1" applyFont="1" applyFill="1" applyBorder="1"/>
    <xf numFmtId="10" fontId="2" fillId="8" borderId="32" xfId="4" applyNumberFormat="1" applyFont="1" applyFill="1" applyBorder="1"/>
    <xf numFmtId="2" fontId="0" fillId="0" borderId="38" xfId="4" applyNumberFormat="1" applyFont="1" applyBorder="1" applyAlignment="1">
      <alignment horizontal="center" vertical="center"/>
    </xf>
    <xf numFmtId="1" fontId="2" fillId="0" borderId="39" xfId="4" applyNumberFormat="1" applyFont="1" applyFill="1" applyBorder="1" applyAlignment="1">
      <alignment horizontal="center" vertical="center"/>
    </xf>
    <xf numFmtId="2" fontId="0" fillId="0" borderId="50" xfId="4" applyNumberFormat="1" applyFont="1" applyBorder="1" applyAlignment="1">
      <alignment horizontal="center" vertical="center"/>
    </xf>
    <xf numFmtId="1" fontId="2" fillId="0" borderId="51" xfId="4" applyNumberFormat="1" applyFont="1" applyFill="1" applyBorder="1" applyAlignment="1">
      <alignment horizontal="center" vertical="center"/>
    </xf>
    <xf numFmtId="2" fontId="2" fillId="8" borderId="2" xfId="4" applyNumberFormat="1" applyFont="1" applyFill="1" applyBorder="1" applyAlignment="1">
      <alignment horizontal="center" vertical="center"/>
    </xf>
    <xf numFmtId="2" fontId="2" fillId="8" borderId="3" xfId="4" applyNumberFormat="1" applyFont="1" applyFill="1" applyBorder="1" applyAlignment="1">
      <alignment horizontal="center" vertical="center"/>
    </xf>
    <xf numFmtId="1" fontId="2" fillId="0" borderId="30" xfId="4" applyNumberFormat="1" applyFont="1" applyFill="1" applyBorder="1" applyAlignment="1">
      <alignment horizontal="center" vertical="center"/>
    </xf>
    <xf numFmtId="165" fontId="6" fillId="0" borderId="26" xfId="0" applyNumberFormat="1" applyFont="1" applyBorder="1" applyAlignment="1">
      <alignment horizontal="right" vertical="center"/>
    </xf>
    <xf numFmtId="165" fontId="6" fillId="0" borderId="39" xfId="0" applyNumberFormat="1" applyFont="1" applyBorder="1" applyAlignment="1">
      <alignment horizontal="right" vertical="center"/>
    </xf>
    <xf numFmtId="4" fontId="7" fillId="8" borderId="27" xfId="0" applyNumberFormat="1" applyFont="1" applyFill="1" applyBorder="1" applyAlignment="1">
      <alignment horizontal="right" vertical="center" wrapText="1" indent="1"/>
    </xf>
    <xf numFmtId="165" fontId="7" fillId="8" borderId="48" xfId="0" applyNumberFormat="1" applyFont="1" applyFill="1" applyBorder="1" applyAlignment="1">
      <alignment horizontal="right" vertical="center" wrapText="1" indent="1"/>
    </xf>
    <xf numFmtId="165" fontId="7" fillId="8" borderId="45" xfId="0" applyNumberFormat="1" applyFont="1" applyFill="1" applyBorder="1" applyAlignment="1">
      <alignment horizontal="right" vertical="center" wrapText="1" indent="1"/>
    </xf>
    <xf numFmtId="165" fontId="3" fillId="8" borderId="27" xfId="0" applyNumberFormat="1" applyFont="1" applyFill="1" applyBorder="1" applyAlignment="1">
      <alignment horizontal="right" vertical="center"/>
    </xf>
    <xf numFmtId="165" fontId="3" fillId="8" borderId="49" xfId="0" applyNumberFormat="1" applyFont="1" applyFill="1" applyBorder="1" applyAlignment="1">
      <alignment horizontal="right" vertical="center"/>
    </xf>
    <xf numFmtId="4" fontId="7" fillId="8" borderId="4" xfId="0" applyNumberFormat="1" applyFont="1" applyFill="1" applyBorder="1" applyAlignment="1">
      <alignment horizontal="right" vertical="center" wrapText="1" indent="1"/>
    </xf>
    <xf numFmtId="4" fontId="7" fillId="8" borderId="6" xfId="0" applyNumberFormat="1" applyFont="1" applyFill="1" applyBorder="1" applyAlignment="1">
      <alignment horizontal="right" vertical="center" wrapText="1" indent="1"/>
    </xf>
    <xf numFmtId="165" fontId="7" fillId="8" borderId="2" xfId="0" applyNumberFormat="1" applyFont="1" applyFill="1" applyBorder="1" applyAlignment="1">
      <alignment horizontal="right" vertical="center" wrapText="1" indent="1"/>
    </xf>
    <xf numFmtId="165" fontId="7" fillId="8" borderId="3" xfId="0" applyNumberFormat="1" applyFont="1" applyFill="1" applyBorder="1" applyAlignment="1">
      <alignment horizontal="right" vertical="center" wrapText="1" indent="1"/>
    </xf>
    <xf numFmtId="165" fontId="7" fillId="8" borderId="7" xfId="0" applyNumberFormat="1" applyFont="1" applyFill="1" applyBorder="1" applyAlignment="1">
      <alignment horizontal="right" vertical="center" wrapText="1" indent="1"/>
    </xf>
    <xf numFmtId="165" fontId="3" fillId="0" borderId="40" xfId="0" applyNumberFormat="1" applyFont="1" applyBorder="1" applyAlignment="1">
      <alignment horizontal="center" vertical="center"/>
    </xf>
    <xf numFmtId="165" fontId="3" fillId="0" borderId="38" xfId="0" applyNumberFormat="1" applyFont="1" applyBorder="1" applyAlignment="1">
      <alignment horizontal="center" vertical="center"/>
    </xf>
    <xf numFmtId="165" fontId="3" fillId="0" borderId="39" xfId="0" applyNumberFormat="1" applyFont="1" applyBorder="1" applyAlignment="1">
      <alignment horizontal="center" vertical="center"/>
    </xf>
    <xf numFmtId="165" fontId="3" fillId="8" borderId="47" xfId="0" applyNumberFormat="1" applyFont="1" applyFill="1" applyBorder="1" applyAlignment="1">
      <alignment horizontal="right" vertical="center"/>
    </xf>
    <xf numFmtId="165" fontId="3" fillId="8" borderId="35" xfId="0" applyNumberFormat="1" applyFont="1" applyFill="1" applyBorder="1" applyAlignment="1">
      <alignment horizontal="center" vertical="center"/>
    </xf>
    <xf numFmtId="165" fontId="3" fillId="8" borderId="37" xfId="0" applyNumberFormat="1" applyFont="1" applyFill="1" applyBorder="1" applyAlignment="1">
      <alignment horizontal="right" vertical="center"/>
    </xf>
    <xf numFmtId="165" fontId="3" fillId="8" borderId="2" xfId="0" applyNumberFormat="1" applyFont="1" applyFill="1" applyBorder="1" applyAlignment="1">
      <alignment horizontal="center" vertical="center"/>
    </xf>
    <xf numFmtId="165" fontId="3" fillId="8" borderId="30" xfId="0" applyNumberFormat="1" applyFont="1" applyFill="1" applyBorder="1" applyAlignment="1">
      <alignment horizontal="center" vertical="center"/>
    </xf>
    <xf numFmtId="0" fontId="3" fillId="2" borderId="45" xfId="0" applyFont="1" applyFill="1" applyBorder="1" applyAlignment="1">
      <alignment horizontal="center" vertical="center" textRotation="90" wrapText="1"/>
    </xf>
    <xf numFmtId="165" fontId="6" fillId="0" borderId="48" xfId="0" applyNumberFormat="1" applyFont="1" applyBorder="1" applyAlignment="1">
      <alignment horizontal="right" vertical="center"/>
    </xf>
    <xf numFmtId="1" fontId="3" fillId="8" borderId="10" xfId="0" applyNumberFormat="1" applyFont="1" applyFill="1" applyBorder="1" applyAlignment="1">
      <alignment horizontal="center" vertical="center" textRotation="90" wrapText="1"/>
    </xf>
    <xf numFmtId="4" fontId="7" fillId="8" borderId="11" xfId="0" applyNumberFormat="1" applyFont="1" applyFill="1" applyBorder="1" applyAlignment="1">
      <alignment horizontal="right" vertical="center" wrapText="1" indent="1"/>
    </xf>
    <xf numFmtId="165" fontId="7" fillId="8" borderId="12" xfId="0" applyNumberFormat="1" applyFont="1" applyFill="1" applyBorder="1" applyAlignment="1">
      <alignment horizontal="right" vertical="center" wrapText="1" indent="1"/>
    </xf>
    <xf numFmtId="165" fontId="3" fillId="8" borderId="12" xfId="0" applyNumberFormat="1" applyFont="1" applyFill="1" applyBorder="1" applyAlignment="1">
      <alignment horizontal="right" vertical="center"/>
    </xf>
    <xf numFmtId="165" fontId="7" fillId="8" borderId="10" xfId="0" applyNumberFormat="1" applyFont="1" applyFill="1" applyBorder="1" applyAlignment="1">
      <alignment horizontal="right" vertical="center" wrapText="1" indent="1"/>
    </xf>
    <xf numFmtId="165" fontId="3" fillId="8" borderId="42" xfId="0" applyNumberFormat="1" applyFont="1" applyFill="1" applyBorder="1" applyAlignment="1">
      <alignment horizontal="right" vertical="center"/>
    </xf>
    <xf numFmtId="165" fontId="3" fillId="0" borderId="47" xfId="0" applyNumberFormat="1" applyFont="1" applyBorder="1" applyAlignment="1">
      <alignment horizontal="center" vertical="center"/>
    </xf>
    <xf numFmtId="165" fontId="3" fillId="0" borderId="48" xfId="0" applyNumberFormat="1" applyFont="1" applyBorder="1" applyAlignment="1">
      <alignment horizontal="center" vertical="center"/>
    </xf>
    <xf numFmtId="165" fontId="3" fillId="0" borderId="49" xfId="0" applyNumberFormat="1" applyFont="1" applyBorder="1" applyAlignment="1">
      <alignment horizontal="center" vertical="center"/>
    </xf>
    <xf numFmtId="165" fontId="3" fillId="8" borderId="43" xfId="0" applyNumberFormat="1" applyFont="1" applyFill="1" applyBorder="1" applyAlignment="1">
      <alignment horizontal="right" vertical="center"/>
    </xf>
    <xf numFmtId="4" fontId="7" fillId="8" borderId="24" xfId="0" applyNumberFormat="1" applyFont="1" applyFill="1" applyBorder="1" applyAlignment="1">
      <alignment horizontal="right" vertical="center" wrapText="1" indent="1"/>
    </xf>
    <xf numFmtId="4" fontId="7" fillId="8" borderId="25" xfId="0" applyNumberFormat="1" applyFont="1" applyFill="1" applyBorder="1" applyAlignment="1">
      <alignment horizontal="right" vertical="center" wrapText="1" indent="1"/>
    </xf>
    <xf numFmtId="4" fontId="7" fillId="8" borderId="33" xfId="0" applyNumberFormat="1" applyFont="1" applyFill="1" applyBorder="1" applyAlignment="1">
      <alignment horizontal="right" vertical="center" wrapText="1" indent="1"/>
    </xf>
    <xf numFmtId="165" fontId="3" fillId="8" borderId="4" xfId="0" applyNumberFormat="1" applyFont="1" applyFill="1" applyBorder="1" applyAlignment="1">
      <alignment horizontal="right" vertical="center"/>
    </xf>
    <xf numFmtId="165" fontId="3" fillId="8" borderId="52" xfId="0" applyNumberFormat="1" applyFont="1" applyFill="1" applyBorder="1" applyAlignment="1">
      <alignment horizontal="right" vertical="center"/>
    </xf>
    <xf numFmtId="165" fontId="3" fillId="8" borderId="53" xfId="0" applyNumberFormat="1" applyFont="1" applyFill="1" applyBorder="1" applyAlignment="1">
      <alignment horizontal="right" vertical="center"/>
    </xf>
    <xf numFmtId="2" fontId="0" fillId="0" borderId="5" xfId="4" applyNumberFormat="1" applyFont="1" applyBorder="1" applyAlignment="1">
      <alignment horizontal="center" vertical="center"/>
    </xf>
    <xf numFmtId="2" fontId="0" fillId="0" borderId="26" xfId="4" applyNumberFormat="1" applyFont="1" applyBorder="1" applyAlignment="1">
      <alignment horizontal="center" vertical="center"/>
    </xf>
    <xf numFmtId="2" fontId="2" fillId="8" borderId="4" xfId="4" applyNumberFormat="1" applyFont="1" applyFill="1" applyBorder="1" applyAlignment="1">
      <alignment horizontal="center" vertical="center"/>
    </xf>
    <xf numFmtId="2" fontId="2" fillId="8" borderId="5" xfId="4" applyNumberFormat="1" applyFont="1" applyFill="1" applyBorder="1" applyAlignment="1">
      <alignment horizontal="center" vertical="center"/>
    </xf>
    <xf numFmtId="2" fontId="2" fillId="8" borderId="6" xfId="4" applyNumberFormat="1" applyFont="1" applyFill="1" applyBorder="1" applyAlignment="1">
      <alignment horizontal="center" vertical="center"/>
    </xf>
    <xf numFmtId="2" fontId="0" fillId="0" borderId="54" xfId="4" applyNumberFormat="1" applyFont="1" applyBorder="1" applyAlignment="1">
      <alignment horizontal="center" vertical="center"/>
    </xf>
    <xf numFmtId="1" fontId="6" fillId="0" borderId="55" xfId="0" applyNumberFormat="1" applyFont="1" applyBorder="1" applyAlignment="1">
      <alignment horizontal="center" vertical="center" textRotation="90" wrapText="1"/>
    </xf>
    <xf numFmtId="10" fontId="1" fillId="0" borderId="54" xfId="4" applyNumberFormat="1" applyFont="1" applyFill="1" applyBorder="1"/>
    <xf numFmtId="0" fontId="25" fillId="8" borderId="55" xfId="0" applyFont="1" applyFill="1" applyBorder="1" applyAlignment="1">
      <alignment horizontal="center" vertical="center" wrapText="1"/>
    </xf>
    <xf numFmtId="0" fontId="25" fillId="8" borderId="46" xfId="0" applyFont="1" applyFill="1" applyBorder="1" applyAlignment="1">
      <alignment horizontal="center" vertical="center"/>
    </xf>
    <xf numFmtId="0" fontId="2" fillId="8" borderId="35" xfId="0" applyFont="1" applyFill="1" applyBorder="1" applyAlignment="1">
      <alignment horizontal="center" vertical="center"/>
    </xf>
    <xf numFmtId="0" fontId="2" fillId="8" borderId="36" xfId="0" applyFont="1" applyFill="1" applyBorder="1" applyAlignment="1">
      <alignment horizontal="center" vertical="center"/>
    </xf>
    <xf numFmtId="0" fontId="2" fillId="8" borderId="37" xfId="0" applyFont="1" applyFill="1" applyBorder="1" applyAlignment="1">
      <alignment horizontal="center" vertical="center"/>
    </xf>
    <xf numFmtId="0" fontId="0" fillId="0" borderId="2" xfId="0" applyBorder="1"/>
    <xf numFmtId="4" fontId="0" fillId="0" borderId="3" xfId="0" applyNumberFormat="1" applyBorder="1"/>
    <xf numFmtId="0" fontId="0" fillId="0" borderId="30" xfId="0" applyBorder="1"/>
    <xf numFmtId="4" fontId="0" fillId="0" borderId="31" xfId="0" applyNumberFormat="1" applyBorder="1"/>
    <xf numFmtId="4" fontId="0" fillId="0" borderId="32" xfId="0" applyNumberFormat="1" applyBorder="1"/>
    <xf numFmtId="10" fontId="0" fillId="0" borderId="3" xfId="4" applyNumberFormat="1" applyFont="1" applyBorder="1"/>
    <xf numFmtId="10" fontId="0" fillId="0" borderId="31" xfId="4" applyNumberFormat="1" applyFont="1" applyBorder="1"/>
    <xf numFmtId="10" fontId="0" fillId="0" borderId="32" xfId="4" applyNumberFormat="1" applyFont="1" applyBorder="1"/>
    <xf numFmtId="0" fontId="2" fillId="0" borderId="30" xfId="0" applyFont="1" applyBorder="1"/>
    <xf numFmtId="166" fontId="0" fillId="0" borderId="1" xfId="4" applyNumberFormat="1" applyFont="1" applyBorder="1"/>
    <xf numFmtId="166" fontId="0" fillId="0" borderId="3" xfId="4" applyNumberFormat="1" applyFont="1" applyBorder="1"/>
    <xf numFmtId="166" fontId="0" fillId="0" borderId="31" xfId="4" applyNumberFormat="1" applyFont="1" applyBorder="1"/>
    <xf numFmtId="166" fontId="0" fillId="0" borderId="32" xfId="4" applyNumberFormat="1" applyFont="1" applyBorder="1"/>
    <xf numFmtId="4" fontId="2" fillId="0" borderId="31" xfId="0" applyNumberFormat="1" applyFont="1" applyBorder="1"/>
    <xf numFmtId="4" fontId="2" fillId="0" borderId="32" xfId="0" applyNumberFormat="1" applyFont="1" applyBorder="1"/>
    <xf numFmtId="0" fontId="6" fillId="0" borderId="2" xfId="0" applyFont="1" applyBorder="1" applyAlignment="1">
      <alignment horizontal="center" vertical="center" wrapText="1"/>
    </xf>
    <xf numFmtId="0" fontId="3" fillId="0" borderId="30" xfId="0" applyFont="1" applyBorder="1" applyAlignment="1">
      <alignment horizontal="center" vertical="center" wrapText="1"/>
    </xf>
    <xf numFmtId="43" fontId="0" fillId="0" borderId="0" xfId="0" applyNumberFormat="1"/>
    <xf numFmtId="0" fontId="2" fillId="10" borderId="58" xfId="0" applyFont="1" applyFill="1" applyBorder="1"/>
    <xf numFmtId="0" fontId="2" fillId="0" borderId="58" xfId="0" applyFont="1" applyBorder="1"/>
    <xf numFmtId="3" fontId="0" fillId="0" borderId="0" xfId="0" applyNumberFormat="1"/>
    <xf numFmtId="0" fontId="2" fillId="10" borderId="59" xfId="0" applyFont="1" applyFill="1" applyBorder="1"/>
    <xf numFmtId="3" fontId="2" fillId="10" borderId="59" xfId="0" applyNumberFormat="1" applyFont="1" applyFill="1" applyBorder="1"/>
    <xf numFmtId="0" fontId="6" fillId="0" borderId="0" xfId="0" applyFont="1" applyAlignment="1">
      <alignment horizontal="center"/>
    </xf>
    <xf numFmtId="0" fontId="3" fillId="0" borderId="0" xfId="0" applyFont="1" applyAlignment="1">
      <alignment horizontal="center" vertical="center"/>
    </xf>
    <xf numFmtId="4" fontId="7" fillId="8" borderId="12" xfId="4" applyNumberFormat="1" applyFont="1" applyFill="1" applyBorder="1" applyAlignment="1">
      <alignment horizontal="right" vertical="center" wrapText="1" indent="1"/>
    </xf>
    <xf numFmtId="4" fontId="7" fillId="8" borderId="42" xfId="4" applyNumberFormat="1" applyFont="1" applyFill="1" applyBorder="1" applyAlignment="1">
      <alignment horizontal="right" vertical="center" wrapText="1" indent="1"/>
    </xf>
    <xf numFmtId="4" fontId="7" fillId="8" borderId="11" xfId="4" applyNumberFormat="1" applyFont="1" applyFill="1" applyBorder="1" applyAlignment="1">
      <alignment horizontal="right" vertical="center" wrapText="1" indent="1"/>
    </xf>
    <xf numFmtId="165" fontId="3" fillId="0" borderId="60" xfId="0" applyNumberFormat="1" applyFont="1" applyBorder="1" applyAlignment="1">
      <alignment horizontal="center" vertical="center"/>
    </xf>
    <xf numFmtId="165" fontId="3" fillId="0" borderId="15" xfId="0" applyNumberFormat="1" applyFont="1" applyBorder="1" applyAlignment="1">
      <alignment horizontal="center" vertical="center"/>
    </xf>
    <xf numFmtId="165" fontId="3" fillId="0" borderId="61" xfId="0" applyNumberFormat="1" applyFont="1" applyBorder="1" applyAlignment="1">
      <alignment horizontal="center" vertical="center"/>
    </xf>
    <xf numFmtId="4" fontId="7" fillId="8" borderId="43" xfId="4" applyNumberFormat="1" applyFont="1" applyFill="1" applyBorder="1" applyAlignment="1">
      <alignment horizontal="right" vertical="center" wrapText="1" indent="1"/>
    </xf>
    <xf numFmtId="4" fontId="7" fillId="8" borderId="62" xfId="4" applyNumberFormat="1" applyFont="1" applyFill="1" applyBorder="1" applyAlignment="1">
      <alignment horizontal="right" vertical="center" wrapText="1" indent="1"/>
    </xf>
    <xf numFmtId="4" fontId="7" fillId="8" borderId="44" xfId="4" applyNumberFormat="1" applyFont="1" applyFill="1" applyBorder="1" applyAlignment="1">
      <alignment horizontal="right" vertical="center" wrapText="1" indent="1"/>
    </xf>
    <xf numFmtId="4" fontId="7" fillId="8" borderId="63" xfId="4" applyNumberFormat="1" applyFont="1" applyFill="1" applyBorder="1" applyAlignment="1">
      <alignment horizontal="right" vertical="center" wrapText="1" indent="1"/>
    </xf>
    <xf numFmtId="165" fontId="6" fillId="0" borderId="12" xfId="0" applyNumberFormat="1" applyFont="1" applyBorder="1" applyAlignment="1">
      <alignment horizontal="right" vertical="center"/>
    </xf>
    <xf numFmtId="165" fontId="6" fillId="0" borderId="42" xfId="0" applyNumberFormat="1" applyFont="1" applyBorder="1" applyAlignment="1">
      <alignment horizontal="right" vertical="center"/>
    </xf>
    <xf numFmtId="4" fontId="7" fillId="8" borderId="64" xfId="4" applyNumberFormat="1" applyFont="1" applyFill="1" applyBorder="1" applyAlignment="1">
      <alignment horizontal="right" vertical="center" wrapText="1" indent="1"/>
    </xf>
    <xf numFmtId="4" fontId="7" fillId="8" borderId="65" xfId="4" applyNumberFormat="1" applyFont="1" applyFill="1" applyBorder="1" applyAlignment="1">
      <alignment horizontal="right" vertical="center" wrapText="1" indent="1"/>
    </xf>
    <xf numFmtId="2" fontId="7" fillId="8" borderId="43" xfId="4" applyNumberFormat="1" applyFont="1" applyFill="1" applyBorder="1" applyAlignment="1">
      <alignment horizontal="right" vertical="center" wrapText="1" indent="1"/>
    </xf>
    <xf numFmtId="2" fontId="7" fillId="8" borderId="12" xfId="4" applyNumberFormat="1" applyFont="1" applyFill="1" applyBorder="1" applyAlignment="1">
      <alignment horizontal="right" vertical="center" wrapText="1" indent="1"/>
    </xf>
    <xf numFmtId="2" fontId="7" fillId="8" borderId="42" xfId="4" applyNumberFormat="1" applyFont="1" applyFill="1" applyBorder="1" applyAlignment="1">
      <alignment horizontal="right" vertical="center" wrapText="1" indent="1"/>
    </xf>
    <xf numFmtId="1" fontId="3" fillId="8" borderId="13" xfId="0" applyNumberFormat="1" applyFont="1" applyFill="1" applyBorder="1" applyAlignment="1">
      <alignment horizontal="center" vertical="center" textRotation="90" wrapText="1"/>
    </xf>
    <xf numFmtId="2" fontId="7" fillId="8" borderId="11" xfId="4" applyNumberFormat="1" applyFont="1" applyFill="1" applyBorder="1" applyAlignment="1">
      <alignment horizontal="right" vertical="center" wrapText="1" indent="1"/>
    </xf>
    <xf numFmtId="0" fontId="7" fillId="0" borderId="0" xfId="0" applyFont="1" applyAlignment="1">
      <alignment horizontal="center" vertical="center" wrapText="1"/>
    </xf>
    <xf numFmtId="0" fontId="7" fillId="0" borderId="0" xfId="0" applyFont="1" applyAlignment="1">
      <alignment horizontal="left" vertical="center" wrapText="1" indent="1"/>
    </xf>
    <xf numFmtId="0" fontId="3" fillId="0" borderId="0" xfId="0" applyFont="1" applyAlignment="1">
      <alignment horizontal="center" vertical="center" textRotation="90" wrapText="1"/>
    </xf>
    <xf numFmtId="1" fontId="3" fillId="0" borderId="0" xfId="0" applyNumberFormat="1" applyFont="1" applyAlignment="1">
      <alignment horizontal="center" vertical="center" textRotation="90" wrapText="1"/>
    </xf>
    <xf numFmtId="49" fontId="15" fillId="0" borderId="0" xfId="0" applyNumberFormat="1" applyFont="1" applyAlignment="1">
      <alignment horizontal="center" vertical="center" wrapText="1"/>
    </xf>
    <xf numFmtId="0" fontId="15" fillId="0" borderId="0" xfId="0" applyFont="1" applyAlignment="1">
      <alignment horizontal="left" vertical="center" wrapText="1" indent="1"/>
    </xf>
    <xf numFmtId="0" fontId="6" fillId="0" borderId="30" xfId="0" applyFont="1" applyBorder="1" applyAlignment="1">
      <alignment horizontal="center" vertical="center" wrapText="1"/>
    </xf>
    <xf numFmtId="0" fontId="0" fillId="0" borderId="0" xfId="0" applyAlignment="1">
      <alignment horizontal="left"/>
    </xf>
    <xf numFmtId="0" fontId="28" fillId="5" borderId="10" xfId="6" applyFont="1" applyFill="1" applyBorder="1" applyAlignment="1">
      <alignment horizontal="center" vertical="center"/>
    </xf>
    <xf numFmtId="166" fontId="0" fillId="0" borderId="0" xfId="4" applyNumberFormat="1" applyFont="1" applyBorder="1"/>
    <xf numFmtId="166" fontId="2" fillId="0" borderId="31" xfId="4" applyNumberFormat="1" applyFont="1" applyBorder="1"/>
    <xf numFmtId="166" fontId="2" fillId="0" borderId="32" xfId="4" applyNumberFormat="1" applyFont="1" applyBorder="1"/>
    <xf numFmtId="166" fontId="21" fillId="0" borderId="24" xfId="4" applyNumberFormat="1" applyFont="1" applyFill="1" applyBorder="1"/>
    <xf numFmtId="0" fontId="2" fillId="0" borderId="0" xfId="0" applyFont="1"/>
    <xf numFmtId="4" fontId="2" fillId="0" borderId="0" xfId="0" applyNumberFormat="1" applyFont="1"/>
    <xf numFmtId="9" fontId="0" fillId="0" borderId="0" xfId="4" applyFont="1"/>
    <xf numFmtId="0" fontId="6" fillId="0" borderId="0" xfId="0" applyFont="1" applyAlignment="1">
      <alignment vertical="center" wrapText="1"/>
    </xf>
    <xf numFmtId="0" fontId="6" fillId="0" borderId="25" xfId="0" applyFont="1" applyBorder="1" applyAlignment="1">
      <alignment vertical="center" wrapText="1"/>
    </xf>
    <xf numFmtId="0" fontId="0" fillId="0" borderId="25" xfId="0" applyBorder="1"/>
    <xf numFmtId="0" fontId="0" fillId="0" borderId="27" xfId="0" applyBorder="1"/>
    <xf numFmtId="0" fontId="2" fillId="8" borderId="7" xfId="0" applyFont="1" applyFill="1" applyBorder="1" applyAlignment="1">
      <alignment horizontal="center" vertical="center"/>
    </xf>
    <xf numFmtId="0" fontId="2" fillId="8" borderId="9" xfId="0" applyFont="1" applyFill="1" applyBorder="1" applyAlignment="1">
      <alignment horizontal="center" vertical="center"/>
    </xf>
    <xf numFmtId="0" fontId="25" fillId="0" borderId="4" xfId="0" applyFont="1" applyBorder="1" applyAlignment="1">
      <alignment horizontal="center" vertical="center"/>
    </xf>
    <xf numFmtId="0" fontId="25" fillId="0" borderId="2" xfId="0" applyFont="1" applyBorder="1" applyAlignment="1">
      <alignment horizontal="center" vertical="center"/>
    </xf>
    <xf numFmtId="0" fontId="25" fillId="0" borderId="30" xfId="0" applyFont="1" applyBorder="1" applyAlignment="1">
      <alignment horizontal="center" vertical="center"/>
    </xf>
    <xf numFmtId="0" fontId="25" fillId="0" borderId="0" xfId="0" applyFont="1" applyAlignment="1">
      <alignment horizontal="center" vertical="center"/>
    </xf>
    <xf numFmtId="0" fontId="32" fillId="0" borderId="0" xfId="0" applyFont="1" applyAlignment="1">
      <alignment wrapText="1"/>
    </xf>
    <xf numFmtId="0" fontId="25" fillId="0" borderId="2" xfId="0" applyFont="1" applyBorder="1" applyAlignment="1">
      <alignment horizontal="center" vertical="center" wrapText="1"/>
    </xf>
    <xf numFmtId="0" fontId="34" fillId="0" borderId="6" xfId="7" applyFont="1" applyBorder="1" applyAlignment="1">
      <alignment wrapText="1"/>
    </xf>
    <xf numFmtId="0" fontId="34" fillId="0" borderId="3" xfId="7" applyFont="1" applyBorder="1" applyAlignment="1">
      <alignment wrapText="1"/>
    </xf>
    <xf numFmtId="0" fontId="34" fillId="0" borderId="69" xfId="7" applyFont="1" applyBorder="1" applyAlignment="1">
      <alignment wrapText="1"/>
    </xf>
    <xf numFmtId="0" fontId="34" fillId="0" borderId="32" xfId="7" applyFont="1" applyBorder="1" applyAlignment="1">
      <alignment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textRotation="90" wrapText="1"/>
    </xf>
    <xf numFmtId="1" fontId="3" fillId="2" borderId="1" xfId="0" applyNumberFormat="1" applyFont="1" applyFill="1" applyBorder="1" applyAlignment="1">
      <alignment horizontal="center" vertical="center" textRotation="90" wrapText="1"/>
    </xf>
    <xf numFmtId="0" fontId="2" fillId="2" borderId="1" xfId="0" applyFont="1" applyFill="1" applyBorder="1" applyAlignment="1">
      <alignment horizontal="center" vertical="center"/>
    </xf>
    <xf numFmtId="4" fontId="2" fillId="2" borderId="1" xfId="0" applyNumberFormat="1" applyFont="1" applyFill="1" applyBorder="1"/>
    <xf numFmtId="0" fontId="0" fillId="0" borderId="1" xfId="0" applyBorder="1" applyAlignment="1">
      <alignment horizontal="center" vertical="center"/>
    </xf>
    <xf numFmtId="0" fontId="3" fillId="2" borderId="1" xfId="0" quotePrefix="1" applyFont="1" applyFill="1" applyBorder="1" applyAlignment="1">
      <alignment horizontal="center" vertical="center" wrapText="1"/>
    </xf>
    <xf numFmtId="0" fontId="0" fillId="0" borderId="1" xfId="0" applyBorder="1"/>
    <xf numFmtId="0" fontId="2" fillId="8" borderId="1" xfId="0" applyFont="1" applyFill="1" applyBorder="1"/>
    <xf numFmtId="4" fontId="2" fillId="8" borderId="1" xfId="0" applyNumberFormat="1" applyFont="1" applyFill="1" applyBorder="1"/>
    <xf numFmtId="4" fontId="3" fillId="8" borderId="6" xfId="0" applyNumberFormat="1" applyFont="1" applyFill="1" applyBorder="1"/>
    <xf numFmtId="4" fontId="3" fillId="8" borderId="3" xfId="0" applyNumberFormat="1" applyFont="1" applyFill="1" applyBorder="1"/>
    <xf numFmtId="4" fontId="3" fillId="8" borderId="19" xfId="0" applyNumberFormat="1" applyFont="1" applyFill="1" applyBorder="1"/>
    <xf numFmtId="4" fontId="6" fillId="8" borderId="9" xfId="0" applyNumberFormat="1" applyFont="1" applyFill="1" applyBorder="1"/>
    <xf numFmtId="4" fontId="3" fillId="8" borderId="5" xfId="0" applyNumberFormat="1" applyFont="1" applyFill="1" applyBorder="1"/>
    <xf numFmtId="0" fontId="3" fillId="8" borderId="1" xfId="0" applyFont="1" applyFill="1" applyBorder="1" applyAlignment="1">
      <alignment horizontal="center" vertical="center" wrapText="1"/>
    </xf>
    <xf numFmtId="4" fontId="3" fillId="8" borderId="1" xfId="0" applyNumberFormat="1" applyFont="1" applyFill="1" applyBorder="1"/>
    <xf numFmtId="0" fontId="3" fillId="2" borderId="35" xfId="0" applyFont="1" applyFill="1" applyBorder="1" applyAlignment="1">
      <alignment horizontal="center" vertical="center" wrapText="1"/>
    </xf>
    <xf numFmtId="0" fontId="3" fillId="2" borderId="36" xfId="0" applyFont="1" applyFill="1" applyBorder="1" applyAlignment="1">
      <alignment horizontal="center" vertical="center" wrapText="1"/>
    </xf>
    <xf numFmtId="0" fontId="3" fillId="2" borderId="36" xfId="0" applyFont="1" applyFill="1" applyBorder="1" applyAlignment="1">
      <alignment horizontal="center" vertical="center" textRotation="90" wrapText="1"/>
    </xf>
    <xf numFmtId="1" fontId="3" fillId="2" borderId="36" xfId="0" applyNumberFormat="1" applyFont="1" applyFill="1" applyBorder="1" applyAlignment="1">
      <alignment horizontal="center" vertical="center" textRotation="90" wrapText="1"/>
    </xf>
    <xf numFmtId="0" fontId="3" fillId="2" borderId="37" xfId="0" applyFont="1" applyFill="1" applyBorder="1" applyAlignment="1">
      <alignment horizontal="center" vertical="center" textRotation="90" wrapText="1"/>
    </xf>
    <xf numFmtId="0" fontId="3" fillId="8" borderId="2" xfId="0" applyFont="1" applyFill="1" applyBorder="1" applyAlignment="1">
      <alignment horizontal="center" vertical="center"/>
    </xf>
    <xf numFmtId="0" fontId="2" fillId="8" borderId="3" xfId="0" applyFont="1" applyFill="1" applyBorder="1"/>
    <xf numFmtId="0" fontId="0" fillId="0" borderId="31" xfId="0" applyBorder="1"/>
    <xf numFmtId="0" fontId="2" fillId="8" borderId="31" xfId="0" applyFont="1" applyFill="1" applyBorder="1"/>
    <xf numFmtId="0" fontId="2" fillId="8" borderId="32" xfId="0" applyFont="1" applyFill="1" applyBorder="1"/>
    <xf numFmtId="0" fontId="6" fillId="0" borderId="17" xfId="0" quotePrefix="1" applyFont="1" applyBorder="1" applyAlignment="1">
      <alignment horizontal="center" vertical="center" wrapText="1"/>
    </xf>
    <xf numFmtId="4" fontId="3" fillId="8" borderId="17" xfId="0" applyNumberFormat="1" applyFont="1" applyFill="1" applyBorder="1"/>
    <xf numFmtId="4" fontId="15" fillId="0" borderId="17" xfId="1" applyNumberFormat="1" applyFont="1" applyFill="1" applyBorder="1" applyAlignment="1" applyProtection="1">
      <alignment horizontal="left"/>
    </xf>
    <xf numFmtId="0" fontId="6" fillId="8" borderId="7" xfId="0" applyFont="1" applyFill="1" applyBorder="1" applyAlignment="1">
      <alignment horizontal="center" vertical="center"/>
    </xf>
    <xf numFmtId="0" fontId="6" fillId="8" borderId="8" xfId="0" applyFont="1" applyFill="1" applyBorder="1" applyAlignment="1">
      <alignment horizontal="center" vertical="center" wrapText="1"/>
    </xf>
    <xf numFmtId="4" fontId="6" fillId="8" borderId="8" xfId="0" applyNumberFormat="1" applyFont="1" applyFill="1" applyBorder="1"/>
    <xf numFmtId="0" fontId="3" fillId="11" borderId="7" xfId="0" applyFont="1" applyFill="1" applyBorder="1" applyAlignment="1">
      <alignment horizontal="center" vertical="center"/>
    </xf>
    <xf numFmtId="0" fontId="3" fillId="11" borderId="8" xfId="0" applyFont="1" applyFill="1" applyBorder="1" applyAlignment="1">
      <alignment horizontal="center" vertical="center" wrapText="1"/>
    </xf>
    <xf numFmtId="4" fontId="3" fillId="11" borderId="8" xfId="0" applyNumberFormat="1" applyFont="1" applyFill="1" applyBorder="1"/>
    <xf numFmtId="4" fontId="3" fillId="11" borderId="9" xfId="0" applyNumberFormat="1" applyFont="1" applyFill="1" applyBorder="1"/>
    <xf numFmtId="0" fontId="6" fillId="11" borderId="7" xfId="0" applyFont="1" applyFill="1" applyBorder="1" applyAlignment="1">
      <alignment horizontal="center" vertical="center"/>
    </xf>
    <xf numFmtId="0" fontId="6" fillId="11" borderId="8" xfId="0" applyFont="1" applyFill="1" applyBorder="1" applyAlignment="1">
      <alignment horizontal="center" vertical="center" wrapText="1"/>
    </xf>
    <xf numFmtId="4" fontId="6" fillId="11" borderId="8" xfId="0" applyNumberFormat="1" applyFont="1" applyFill="1" applyBorder="1"/>
    <xf numFmtId="4" fontId="6" fillId="11" borderId="9" xfId="0" applyNumberFormat="1" applyFont="1" applyFill="1" applyBorder="1"/>
    <xf numFmtId="0" fontId="0" fillId="0" borderId="4" xfId="0" applyBorder="1"/>
    <xf numFmtId="0" fontId="0" fillId="0" borderId="5" xfId="0" applyBorder="1"/>
    <xf numFmtId="0" fontId="2" fillId="8" borderId="5" xfId="0" applyFont="1" applyFill="1" applyBorder="1"/>
    <xf numFmtId="0" fontId="2" fillId="8" borderId="6" xfId="0" applyFont="1" applyFill="1" applyBorder="1"/>
    <xf numFmtId="0" fontId="2" fillId="11" borderId="7" xfId="0" applyFont="1" applyFill="1" applyBorder="1"/>
    <xf numFmtId="0" fontId="2" fillId="11" borderId="8" xfId="0" applyFont="1" applyFill="1" applyBorder="1"/>
    <xf numFmtId="0" fontId="2" fillId="11" borderId="9" xfId="0" applyFont="1" applyFill="1" applyBorder="1"/>
    <xf numFmtId="0" fontId="0" fillId="0" borderId="16" xfId="0" applyBorder="1"/>
    <xf numFmtId="0" fontId="0" fillId="0" borderId="17" xfId="0" applyBorder="1"/>
    <xf numFmtId="0" fontId="2" fillId="8" borderId="17" xfId="0" applyFont="1" applyFill="1" applyBorder="1"/>
    <xf numFmtId="0" fontId="2" fillId="8" borderId="19" xfId="0" applyFont="1" applyFill="1" applyBorder="1"/>
    <xf numFmtId="0" fontId="36" fillId="6" borderId="0" xfId="2" applyFont="1" applyFill="1" applyAlignment="1">
      <alignment horizontal="left"/>
    </xf>
    <xf numFmtId="164" fontId="11" fillId="6" borderId="0" xfId="2" applyNumberFormat="1" applyFont="1" applyFill="1"/>
    <xf numFmtId="0" fontId="12" fillId="7" borderId="15" xfId="0" applyFont="1" applyFill="1" applyBorder="1" applyAlignment="1">
      <alignment horizontal="center" vertical="center" wrapText="1"/>
    </xf>
    <xf numFmtId="0" fontId="12" fillId="7" borderId="21" xfId="0" applyFont="1" applyFill="1" applyBorder="1" applyAlignment="1">
      <alignment horizontal="center" vertical="center" wrapText="1"/>
    </xf>
    <xf numFmtId="0" fontId="12" fillId="7" borderId="48" xfId="0" applyFont="1" applyFill="1" applyBorder="1" applyAlignment="1">
      <alignment horizontal="center" vertical="center" wrapText="1"/>
    </xf>
    <xf numFmtId="0" fontId="11" fillId="6" borderId="17" xfId="2" applyFont="1" applyFill="1" applyBorder="1"/>
    <xf numFmtId="0" fontId="13" fillId="6" borderId="21" xfId="0" applyFont="1" applyFill="1" applyBorder="1" applyAlignment="1">
      <alignment vertical="center"/>
    </xf>
    <xf numFmtId="164" fontId="13" fillId="6" borderId="23" xfId="1" applyNumberFormat="1" applyFont="1" applyFill="1" applyBorder="1" applyAlignment="1">
      <alignment vertical="center" wrapText="1"/>
    </xf>
    <xf numFmtId="0" fontId="11" fillId="5" borderId="18" xfId="2" applyFont="1" applyFill="1" applyBorder="1"/>
    <xf numFmtId="0" fontId="13" fillId="5" borderId="0" xfId="0" applyFont="1" applyFill="1" applyAlignment="1">
      <alignment vertical="center"/>
    </xf>
    <xf numFmtId="164" fontId="13" fillId="5" borderId="25" xfId="1" applyNumberFormat="1" applyFont="1" applyFill="1" applyBorder="1" applyAlignment="1">
      <alignment vertical="center" wrapText="1"/>
    </xf>
    <xf numFmtId="0" fontId="11" fillId="6" borderId="18" xfId="2" applyFont="1" applyFill="1" applyBorder="1"/>
    <xf numFmtId="0" fontId="13" fillId="6" borderId="0" xfId="0" applyFont="1" applyFill="1" applyAlignment="1">
      <alignment vertical="center"/>
    </xf>
    <xf numFmtId="164" fontId="13" fillId="6" borderId="25" xfId="1" applyNumberFormat="1" applyFont="1" applyFill="1" applyBorder="1" applyAlignment="1">
      <alignment vertical="center" wrapText="1"/>
    </xf>
    <xf numFmtId="0" fontId="12" fillId="6" borderId="18" xfId="0" applyFont="1" applyFill="1" applyBorder="1"/>
    <xf numFmtId="0" fontId="12" fillId="6" borderId="0" xfId="0" applyFont="1" applyFill="1" applyAlignment="1">
      <alignment vertical="center" wrapText="1"/>
    </xf>
    <xf numFmtId="164" fontId="12" fillId="6" borderId="25" xfId="1" applyNumberFormat="1" applyFont="1" applyFill="1" applyBorder="1" applyAlignment="1">
      <alignment vertical="center" wrapText="1"/>
    </xf>
    <xf numFmtId="3" fontId="11" fillId="5" borderId="0" xfId="0" applyNumberFormat="1" applyFont="1" applyFill="1" applyAlignment="1">
      <alignment wrapText="1"/>
    </xf>
    <xf numFmtId="164" fontId="9" fillId="6" borderId="27" xfId="1" applyNumberFormat="1" applyFont="1" applyFill="1" applyBorder="1" applyAlignment="1">
      <alignment wrapText="1"/>
    </xf>
    <xf numFmtId="3" fontId="9" fillId="6" borderId="0" xfId="0" applyNumberFormat="1" applyFont="1" applyFill="1" applyAlignment="1">
      <alignment wrapText="1"/>
    </xf>
    <xf numFmtId="3" fontId="9" fillId="6" borderId="0" xfId="2" applyNumberFormat="1" applyFont="1" applyFill="1" applyAlignment="1">
      <alignment horizontal="right" vertical="center"/>
    </xf>
    <xf numFmtId="0" fontId="38" fillId="6" borderId="22" xfId="2" applyFont="1" applyFill="1" applyBorder="1" applyAlignment="1">
      <alignment horizontal="left"/>
    </xf>
    <xf numFmtId="0" fontId="14" fillId="6" borderId="21" xfId="0" applyFont="1" applyFill="1" applyBorder="1"/>
    <xf numFmtId="167" fontId="14" fillId="6" borderId="21" xfId="0" applyNumberFormat="1" applyFont="1" applyFill="1" applyBorder="1"/>
    <xf numFmtId="167" fontId="14" fillId="6" borderId="23" xfId="0" applyNumberFormat="1" applyFont="1" applyFill="1" applyBorder="1"/>
    <xf numFmtId="0" fontId="40" fillId="6" borderId="24" xfId="2" applyFont="1" applyFill="1" applyBorder="1" applyAlignment="1">
      <alignment horizontal="left"/>
    </xf>
    <xf numFmtId="167" fontId="14" fillId="6" borderId="0" xfId="0" applyNumberFormat="1" applyFont="1" applyFill="1"/>
    <xf numFmtId="167" fontId="14" fillId="6" borderId="25" xfId="0" applyNumberFormat="1" applyFont="1" applyFill="1" applyBorder="1"/>
    <xf numFmtId="0" fontId="38" fillId="6" borderId="24" xfId="2" applyFont="1" applyFill="1" applyBorder="1" applyAlignment="1">
      <alignment horizontal="left"/>
    </xf>
    <xf numFmtId="0" fontId="39" fillId="6" borderId="26" xfId="0" applyFont="1" applyFill="1" applyBorder="1" applyAlignment="1">
      <alignment vertical="center"/>
    </xf>
    <xf numFmtId="0" fontId="14" fillId="6" borderId="14" xfId="0" applyFont="1" applyFill="1" applyBorder="1"/>
    <xf numFmtId="168" fontId="14" fillId="6" borderId="14" xfId="0" applyNumberFormat="1" applyFont="1" applyFill="1" applyBorder="1"/>
    <xf numFmtId="168" fontId="14" fillId="6" borderId="27" xfId="0" applyNumberFormat="1" applyFont="1" applyFill="1" applyBorder="1"/>
    <xf numFmtId="0" fontId="12" fillId="7" borderId="38" xfId="0" applyFont="1" applyFill="1" applyBorder="1" applyAlignment="1">
      <alignment horizontal="center" vertical="center" wrapText="1"/>
    </xf>
    <xf numFmtId="0" fontId="12" fillId="7" borderId="23" xfId="0" applyFont="1" applyFill="1" applyBorder="1" applyAlignment="1">
      <alignment horizontal="center" vertical="center" wrapText="1"/>
    </xf>
    <xf numFmtId="0" fontId="11" fillId="6" borderId="22" xfId="2" applyFont="1" applyFill="1" applyBorder="1"/>
    <xf numFmtId="0" fontId="11" fillId="5" borderId="24" xfId="2" applyFont="1" applyFill="1" applyBorder="1"/>
    <xf numFmtId="0" fontId="11" fillId="6" borderId="24" xfId="2" applyFont="1" applyFill="1" applyBorder="1"/>
    <xf numFmtId="0" fontId="12" fillId="6" borderId="24" xfId="0" applyFont="1" applyFill="1" applyBorder="1"/>
    <xf numFmtId="0" fontId="14" fillId="5" borderId="24" xfId="0" applyFont="1" applyFill="1" applyBorder="1" applyAlignment="1">
      <alignment vertical="center" wrapText="1"/>
    </xf>
    <xf numFmtId="0" fontId="12" fillId="6" borderId="26" xfId="0" applyFont="1" applyFill="1" applyBorder="1" applyAlignment="1">
      <alignment vertical="center" wrapText="1"/>
    </xf>
    <xf numFmtId="0" fontId="38" fillId="6" borderId="0" xfId="2" applyFont="1" applyFill="1" applyAlignment="1">
      <alignment horizontal="left"/>
    </xf>
    <xf numFmtId="165" fontId="9" fillId="6" borderId="0" xfId="2" applyNumberFormat="1" applyFont="1" applyFill="1" applyAlignment="1">
      <alignment horizontal="right" vertical="center"/>
    </xf>
    <xf numFmtId="169" fontId="14" fillId="6" borderId="21" xfId="0" applyNumberFormat="1" applyFont="1" applyFill="1" applyBorder="1"/>
    <xf numFmtId="169" fontId="14" fillId="6" borderId="23" xfId="0" applyNumberFormat="1" applyFont="1" applyFill="1" applyBorder="1"/>
    <xf numFmtId="169" fontId="14" fillId="6" borderId="0" xfId="0" applyNumberFormat="1" applyFont="1" applyFill="1"/>
    <xf numFmtId="169" fontId="14" fillId="6" borderId="25" xfId="0" applyNumberFormat="1" applyFont="1" applyFill="1" applyBorder="1"/>
    <xf numFmtId="171" fontId="9" fillId="6" borderId="14" xfId="1" applyNumberFormat="1" applyFont="1" applyFill="1" applyBorder="1" applyAlignment="1">
      <alignment wrapText="1"/>
    </xf>
    <xf numFmtId="171" fontId="9" fillId="6" borderId="27" xfId="1" applyNumberFormat="1" applyFont="1" applyFill="1" applyBorder="1" applyAlignment="1">
      <alignment wrapText="1"/>
    </xf>
    <xf numFmtId="170" fontId="13" fillId="6" borderId="21" xfId="1" applyNumberFormat="1" applyFont="1" applyFill="1" applyBorder="1" applyAlignment="1">
      <alignment vertical="center" wrapText="1"/>
    </xf>
    <xf numFmtId="170" fontId="13" fillId="5" borderId="0" xfId="1" applyNumberFormat="1" applyFont="1" applyFill="1" applyBorder="1" applyAlignment="1">
      <alignment vertical="center" wrapText="1"/>
    </xf>
    <xf numFmtId="170" fontId="13" fillId="6" borderId="0" xfId="1" applyNumberFormat="1" applyFont="1" applyFill="1" applyBorder="1" applyAlignment="1">
      <alignment vertical="center" wrapText="1"/>
    </xf>
    <xf numFmtId="0" fontId="0" fillId="0" borderId="65" xfId="0" applyBorder="1" applyAlignment="1">
      <alignment horizontal="left" vertical="center" wrapText="1"/>
    </xf>
    <xf numFmtId="0" fontId="0" fillId="0" borderId="68" xfId="0" applyBorder="1" applyAlignment="1">
      <alignment horizontal="left" vertical="center" wrapText="1"/>
    </xf>
    <xf numFmtId="0" fontId="0" fillId="0" borderId="72" xfId="0" applyBorder="1" applyAlignment="1">
      <alignment horizontal="left" wrapText="1"/>
    </xf>
    <xf numFmtId="0" fontId="0" fillId="0" borderId="69" xfId="0" applyBorder="1" applyAlignment="1">
      <alignment horizontal="left" wrapText="1"/>
    </xf>
    <xf numFmtId="0" fontId="29" fillId="3" borderId="0" xfId="0" applyFont="1" applyFill="1" applyAlignment="1">
      <alignment horizontal="center"/>
    </xf>
    <xf numFmtId="0" fontId="30" fillId="8" borderId="0" xfId="0" applyFont="1" applyFill="1" applyAlignment="1">
      <alignment horizontal="center"/>
    </xf>
    <xf numFmtId="0" fontId="30" fillId="8" borderId="0" xfId="0" applyFont="1" applyFill="1" applyAlignment="1">
      <alignment horizontal="center" vertical="center" wrapText="1"/>
    </xf>
    <xf numFmtId="0" fontId="0" fillId="0" borderId="70" xfId="0" applyBorder="1" applyAlignment="1">
      <alignment horizontal="left" wrapText="1"/>
    </xf>
    <xf numFmtId="0" fontId="0" fillId="0" borderId="71" xfId="0" applyBorder="1" applyAlignment="1">
      <alignment horizontal="left" wrapText="1"/>
    </xf>
    <xf numFmtId="0" fontId="25" fillId="0" borderId="66" xfId="0" applyFont="1" applyBorder="1" applyAlignment="1">
      <alignment horizontal="center" vertical="center"/>
    </xf>
    <xf numFmtId="0" fontId="25" fillId="0" borderId="67" xfId="0" applyFont="1" applyBorder="1" applyAlignment="1">
      <alignment horizontal="center" vertical="center"/>
    </xf>
    <xf numFmtId="0" fontId="3" fillId="0" borderId="41" xfId="0" applyFont="1" applyBorder="1" applyAlignment="1">
      <alignment horizontal="center" vertical="center"/>
    </xf>
    <xf numFmtId="0" fontId="3" fillId="0" borderId="13" xfId="0" applyFont="1" applyBorder="1" applyAlignment="1">
      <alignment horizontal="center" vertical="center"/>
    </xf>
    <xf numFmtId="0" fontId="22" fillId="3" borderId="0" xfId="5" applyFont="1" applyFill="1" applyAlignment="1">
      <alignment horizontal="center" vertical="center" wrapText="1"/>
    </xf>
    <xf numFmtId="0" fontId="23" fillId="8" borderId="22" xfId="5" applyFont="1" applyFill="1" applyBorder="1" applyAlignment="1">
      <alignment horizontal="center"/>
    </xf>
    <xf numFmtId="0" fontId="23" fillId="8" borderId="21" xfId="5" applyFont="1" applyFill="1" applyBorder="1" applyAlignment="1">
      <alignment horizontal="center"/>
    </xf>
    <xf numFmtId="0" fontId="23" fillId="8" borderId="23" xfId="5" applyFont="1" applyFill="1" applyBorder="1" applyAlignment="1">
      <alignment horizontal="center"/>
    </xf>
    <xf numFmtId="0" fontId="24" fillId="8" borderId="24" xfId="5" applyFont="1" applyFill="1" applyBorder="1" applyAlignment="1">
      <alignment horizontal="left"/>
    </xf>
    <xf numFmtId="0" fontId="24" fillId="8" borderId="0" xfId="5" applyFont="1" applyFill="1" applyAlignment="1">
      <alignment horizontal="left"/>
    </xf>
    <xf numFmtId="0" fontId="24" fillId="8" borderId="25" xfId="5" applyFont="1" applyFill="1" applyBorder="1" applyAlignment="1">
      <alignment horizontal="left"/>
    </xf>
    <xf numFmtId="0" fontId="24" fillId="8" borderId="26" xfId="5" applyFont="1" applyFill="1" applyBorder="1" applyAlignment="1">
      <alignment horizontal="left"/>
    </xf>
    <xf numFmtId="0" fontId="24" fillId="8" borderId="14" xfId="5" applyFont="1" applyFill="1" applyBorder="1" applyAlignment="1">
      <alignment horizontal="left"/>
    </xf>
    <xf numFmtId="0" fontId="24" fillId="8" borderId="27" xfId="5" applyFont="1" applyFill="1" applyBorder="1" applyAlignment="1">
      <alignment horizontal="left"/>
    </xf>
    <xf numFmtId="0" fontId="16" fillId="3" borderId="0" xfId="0" applyFont="1" applyFill="1" applyAlignment="1">
      <alignment horizontal="left"/>
    </xf>
    <xf numFmtId="0" fontId="17" fillId="2" borderId="0" xfId="0" applyFont="1" applyFill="1" applyAlignment="1">
      <alignment horizontal="left" vertical="center" wrapText="1"/>
    </xf>
    <xf numFmtId="0" fontId="6" fillId="0" borderId="41" xfId="0" applyFont="1" applyBorder="1" applyAlignment="1">
      <alignment horizontal="center"/>
    </xf>
    <xf numFmtId="0" fontId="6" fillId="0" borderId="13" xfId="0" applyFont="1" applyBorder="1" applyAlignment="1">
      <alignment horizontal="center"/>
    </xf>
    <xf numFmtId="0" fontId="3" fillId="0" borderId="45" xfId="0" applyFont="1" applyBorder="1" applyAlignment="1">
      <alignment horizontal="center" vertical="center"/>
    </xf>
    <xf numFmtId="0" fontId="6" fillId="0" borderId="45" xfId="0" applyFont="1" applyBorder="1" applyAlignment="1">
      <alignment horizontal="center"/>
    </xf>
    <xf numFmtId="0" fontId="2" fillId="0" borderId="30" xfId="0" applyFont="1" applyBorder="1" applyAlignment="1">
      <alignment horizontal="center"/>
    </xf>
    <xf numFmtId="0" fontId="2" fillId="0" borderId="31" xfId="0" applyFont="1" applyBorder="1" applyAlignment="1">
      <alignment horizontal="center"/>
    </xf>
    <xf numFmtId="0" fontId="2" fillId="8" borderId="46" xfId="0" applyFont="1" applyFill="1" applyBorder="1" applyAlignment="1">
      <alignment horizontal="center"/>
    </xf>
    <xf numFmtId="0" fontId="2" fillId="8" borderId="45" xfId="0" applyFont="1" applyFill="1" applyBorder="1" applyAlignment="1">
      <alignment horizontal="center"/>
    </xf>
    <xf numFmtId="0" fontId="2" fillId="8" borderId="30" xfId="0" applyFont="1" applyFill="1" applyBorder="1" applyAlignment="1">
      <alignment horizontal="center"/>
    </xf>
    <xf numFmtId="0" fontId="2" fillId="8" borderId="31" xfId="0" applyFont="1" applyFill="1" applyBorder="1" applyAlignment="1">
      <alignment horizontal="center"/>
    </xf>
    <xf numFmtId="0" fontId="2" fillId="0" borderId="0" xfId="0" applyFont="1" applyAlignment="1">
      <alignment horizontal="center" vertical="center" wrapText="1"/>
    </xf>
    <xf numFmtId="0" fontId="31" fillId="3" borderId="0" xfId="0" applyFont="1" applyFill="1" applyAlignment="1">
      <alignment horizontal="center"/>
    </xf>
    <xf numFmtId="0" fontId="2" fillId="0" borderId="56" xfId="0" applyFont="1" applyBorder="1" applyAlignment="1">
      <alignment horizontal="center" vertical="center" wrapText="1"/>
    </xf>
    <xf numFmtId="0" fontId="2" fillId="0" borderId="56" xfId="0" applyFont="1" applyBorder="1" applyAlignment="1">
      <alignment horizontal="center" vertical="center"/>
    </xf>
    <xf numFmtId="0" fontId="3" fillId="0" borderId="22" xfId="0" applyFont="1" applyBorder="1" applyAlignment="1">
      <alignment horizontal="left" vertical="center" wrapText="1"/>
    </xf>
    <xf numFmtId="0" fontId="3" fillId="0" borderId="21" xfId="0" applyFont="1" applyBorder="1" applyAlignment="1">
      <alignment horizontal="left" vertical="center" wrapText="1"/>
    </xf>
    <xf numFmtId="0" fontId="3" fillId="0" borderId="23" xfId="0" applyFont="1" applyBorder="1" applyAlignment="1">
      <alignment horizontal="left" vertical="center" wrapText="1"/>
    </xf>
    <xf numFmtId="0" fontId="2" fillId="0" borderId="0" xfId="0" applyFont="1" applyAlignment="1">
      <alignment horizontal="center" wrapText="1"/>
    </xf>
    <xf numFmtId="0" fontId="2" fillId="0" borderId="0" xfId="0" applyFont="1" applyAlignment="1">
      <alignment horizontal="center" vertical="center"/>
    </xf>
    <xf numFmtId="0" fontId="6" fillId="0" borderId="24" xfId="0" applyFont="1" applyBorder="1" applyAlignment="1">
      <alignment horizontal="left" vertical="center" wrapText="1"/>
    </xf>
    <xf numFmtId="0" fontId="6" fillId="0" borderId="0" xfId="0" applyFont="1" applyAlignment="1">
      <alignment horizontal="left" vertical="center" wrapText="1"/>
    </xf>
    <xf numFmtId="0" fontId="6" fillId="0" borderId="26" xfId="0" applyFont="1" applyBorder="1" applyAlignment="1">
      <alignment horizontal="left" vertical="center" wrapText="1"/>
    </xf>
    <xf numFmtId="0" fontId="6" fillId="0" borderId="14" xfId="0" applyFont="1" applyBorder="1" applyAlignment="1">
      <alignment horizontal="left" vertical="center" wrapText="1"/>
    </xf>
    <xf numFmtId="0" fontId="4" fillId="3" borderId="0" xfId="0" applyFont="1" applyFill="1" applyAlignment="1">
      <alignment horizontal="left"/>
    </xf>
    <xf numFmtId="0" fontId="5" fillId="2" borderId="0" xfId="0" applyFont="1" applyFill="1" applyAlignment="1">
      <alignment horizontal="left" vertical="center" wrapText="1"/>
    </xf>
    <xf numFmtId="0" fontId="31" fillId="3" borderId="14" xfId="0" applyFont="1" applyFill="1" applyBorder="1" applyAlignment="1">
      <alignment horizontal="center"/>
    </xf>
    <xf numFmtId="0" fontId="8" fillId="4" borderId="1" xfId="0" applyFont="1" applyFill="1" applyBorder="1" applyAlignment="1">
      <alignment horizontal="center" vertical="center"/>
    </xf>
    <xf numFmtId="0" fontId="9" fillId="5" borderId="1" xfId="0" applyFont="1" applyFill="1" applyBorder="1" applyAlignment="1">
      <alignment horizontal="center" vertical="center" wrapText="1"/>
    </xf>
    <xf numFmtId="0" fontId="2" fillId="0" borderId="0" xfId="0" applyFont="1" applyAlignment="1">
      <alignment horizontal="center"/>
    </xf>
    <xf numFmtId="0" fontId="27" fillId="3" borderId="0" xfId="0" applyFont="1" applyFill="1" applyAlignment="1">
      <alignment horizontal="left"/>
    </xf>
  </cellXfs>
  <cellStyles count="8">
    <cellStyle name="Check Cell" xfId="6" builtinId="23"/>
    <cellStyle name="Comma" xfId="1" builtinId="3"/>
    <cellStyle name="Hyperlink" xfId="7" builtinId="8"/>
    <cellStyle name="Normal" xfId="0" builtinId="0"/>
    <cellStyle name="Normal 2" xfId="2" xr:uid="{00000000-0005-0000-0000-000004000000}"/>
    <cellStyle name="Normal 2 2" xfId="3" xr:uid="{00000000-0005-0000-0000-000005000000}"/>
    <cellStyle name="Normal 5" xfId="5" xr:uid="{00000000-0005-0000-0000-000006000000}"/>
    <cellStyle name="Percent" xfId="4" builtinId="5"/>
  </cellStyles>
  <dxfs count="0"/>
  <tableStyles count="0" defaultTableStyle="TableStyleMedium2" defaultPivotStyle="PivotStyleLight16"/>
  <colors>
    <mruColors>
      <color rgb="FFCDE4BE"/>
      <color rgb="FF40C8BE"/>
      <color rgb="FF20517E"/>
      <color rgb="FF7A8ADC"/>
      <color rgb="FF75F8FB"/>
      <color rgb="FF5D9CD5"/>
      <color rgb="FF9E480E"/>
      <color rgb="FFF0F4FA"/>
      <color rgb="FFF98147"/>
      <color rgb="FF2A401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'SUBREGIONAL CORRRIENTES ANUAL'!$X$1</c:f>
          <c:strCache>
            <c:ptCount val="1"/>
            <c:pt idx="0">
              <c:v>Distribución del Valor Agregado, actividades primarias por subregión del año 2022 preliminar </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CO"/>
        </a:p>
      </c:txPr>
    </c:title>
    <c:autoTitleDeleted val="0"/>
    <c:plotArea>
      <c:layout>
        <c:manualLayout>
          <c:layoutTarget val="inner"/>
          <c:xMode val="edge"/>
          <c:yMode val="edge"/>
          <c:x val="0.24714815777318183"/>
          <c:y val="0.20879559576317569"/>
          <c:w val="0.51839485407002894"/>
          <c:h val="0.65437851353476151"/>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D0-45CF-AF00-11B066B003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D0-45CF-AF00-11B066B003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9D0-45CF-AF00-11B066B0032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9D0-45CF-AF00-11B066B0032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9D0-45CF-AF00-11B066B0032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9D0-45CF-AF00-11B066B0032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9D0-45CF-AF00-11B066B0032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9D0-45CF-AF00-11B066B0032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9D0-45CF-AF00-11B066B0032E}"/>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CO"/>
              </a:p>
            </c:txPr>
            <c:dLblPos val="outEnd"/>
            <c:showLegendKey val="0"/>
            <c:showVal val="1"/>
            <c:showCatName val="1"/>
            <c:showSerName val="0"/>
            <c:showPercent val="1"/>
            <c:showBubbleSize val="0"/>
            <c:showLeaderLines val="1"/>
            <c:leaderLines>
              <c:spPr>
                <a:ln>
                  <a:noFill/>
                </a:ln>
                <a:effectLst/>
              </c:spPr>
            </c:leaderLines>
            <c:extLst>
              <c:ext xmlns:c15="http://schemas.microsoft.com/office/drawing/2012/chart" uri="{CE6537A1-D6FC-4f65-9D91-7224C49458BB}"/>
            </c:extLst>
          </c:dLbls>
          <c:cat>
            <c:strRef>
              <c:f>'SUBREGIONAL CORRRIENTES ANUAL'!$B$5:$B$13</c:f>
              <c:strCache>
                <c:ptCount val="9"/>
                <c:pt idx="0">
                  <c:v>Valle de Aburrá</c:v>
                </c:pt>
                <c:pt idx="1">
                  <c:v>Bajo Cauca</c:v>
                </c:pt>
                <c:pt idx="2">
                  <c:v>Magdalena Medio</c:v>
                </c:pt>
                <c:pt idx="3">
                  <c:v>Nordeste</c:v>
                </c:pt>
                <c:pt idx="4">
                  <c:v>Norte</c:v>
                </c:pt>
                <c:pt idx="5">
                  <c:v>Occidente</c:v>
                </c:pt>
                <c:pt idx="6">
                  <c:v>Oriente</c:v>
                </c:pt>
                <c:pt idx="7">
                  <c:v>Suroeste</c:v>
                </c:pt>
                <c:pt idx="8">
                  <c:v>Urabá</c:v>
                </c:pt>
              </c:strCache>
            </c:strRef>
          </c:cat>
          <c:val>
            <c:numRef>
              <c:f>'SUBREGIONAL CORRRIENTES ANUAL'!$O$5:$O$13</c:f>
              <c:numCache>
                <c:formatCode>#,##0.0</c:formatCode>
                <c:ptCount val="9"/>
                <c:pt idx="0">
                  <c:v>1022.2927195736863</c:v>
                </c:pt>
                <c:pt idx="1">
                  <c:v>2951.7826292383324</c:v>
                </c:pt>
                <c:pt idx="2">
                  <c:v>1444.8110588775401</c:v>
                </c:pt>
                <c:pt idx="3">
                  <c:v>3324.9272446484902</c:v>
                </c:pt>
                <c:pt idx="4">
                  <c:v>1683.9792426182382</c:v>
                </c:pt>
                <c:pt idx="5">
                  <c:v>2154.4848986866755</c:v>
                </c:pt>
                <c:pt idx="6">
                  <c:v>2788.2041768865092</c:v>
                </c:pt>
                <c:pt idx="7">
                  <c:v>4004.0149600626069</c:v>
                </c:pt>
                <c:pt idx="8">
                  <c:v>4691.6007075908001</c:v>
                </c:pt>
              </c:numCache>
            </c:numRef>
          </c:val>
          <c:extLst>
            <c:ext xmlns:c16="http://schemas.microsoft.com/office/drawing/2014/chart" uri="{C3380CC4-5D6E-409C-BE32-E72D297353CC}">
              <c16:uniqueId val="{00000000-746E-4CA0-A65E-DB92785DCD6C}"/>
            </c:ext>
          </c:extLst>
        </c:ser>
        <c:dLbls>
          <c:showLegendKey val="0"/>
          <c:showVal val="0"/>
          <c:showCatName val="0"/>
          <c:showSerName val="0"/>
          <c:showPercent val="0"/>
          <c:showBubbleSize val="0"/>
          <c:showLeaderLines val="1"/>
        </c:dLbls>
        <c:firstSliceAng val="169"/>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'SUBREGIONAL CORRRIENTES ANUAL'!$Y$1</c:f>
          <c:strCache>
            <c:ptCount val="1"/>
            <c:pt idx="0">
              <c:v>Distribución del Valor Agregado, actividades secundarias por subregión del año 2022 preliminar </c:v>
            </c:pt>
          </c:strCache>
        </c:strRef>
      </c:tx>
      <c:layout>
        <c:manualLayout>
          <c:xMode val="edge"/>
          <c:yMode val="edge"/>
          <c:x val="0.11619954404248546"/>
          <c:y val="2.437423078226048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CO"/>
        </a:p>
      </c:txPr>
    </c:title>
    <c:autoTitleDeleted val="0"/>
    <c:plotArea>
      <c:layout>
        <c:manualLayout>
          <c:layoutTarget val="inner"/>
          <c:xMode val="edge"/>
          <c:yMode val="edge"/>
          <c:x val="0.24714815777318183"/>
          <c:y val="0.20879559576317569"/>
          <c:w val="0.51839485407002894"/>
          <c:h val="0.65437851353476151"/>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B5-4D72-86A4-5016F01485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B5-4D72-86A4-5016F01485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B5-4D72-86A4-5016F014856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7B5-4D72-86A4-5016F014856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7B5-4D72-86A4-5016F014856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7B5-4D72-86A4-5016F014856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7B5-4D72-86A4-5016F014856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7B5-4D72-86A4-5016F014856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7B5-4D72-86A4-5016F014856C}"/>
              </c:ext>
            </c:extLst>
          </c:dPt>
          <c:dLbls>
            <c:dLbl>
              <c:idx val="1"/>
              <c:layout>
                <c:manualLayout>
                  <c:x val="1.1603378258101465E-2"/>
                  <c:y val="-0.22703061789772455"/>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7B5-4D72-86A4-5016F014856C}"/>
                </c:ext>
              </c:extLst>
            </c:dLbl>
            <c:dLbl>
              <c:idx val="2"/>
              <c:layout>
                <c:manualLayout>
                  <c:x val="2.320675651620293E-2"/>
                  <c:y val="-7.3235683192814371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7B5-4D72-86A4-5016F014856C}"/>
                </c:ext>
              </c:extLst>
            </c:dLbl>
            <c:dLbl>
              <c:idx val="3"/>
              <c:layout>
                <c:manualLayout>
                  <c:x val="1.7405067387152057E-2"/>
                  <c:y val="-0.15867731358443113"/>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7B5-4D72-86A4-5016F014856C}"/>
                </c:ext>
              </c:extLst>
            </c:dLbl>
            <c:dLbl>
              <c:idx val="4"/>
              <c:layout>
                <c:manualLayout>
                  <c:x val="3.4810134774304398E-2"/>
                  <c:y val="-5.126497823497015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07B5-4D72-86A4-5016F014856C}"/>
                </c:ext>
              </c:extLst>
            </c:dLbl>
            <c:dLbl>
              <c:idx val="8"/>
              <c:layout>
                <c:manualLayout>
                  <c:x val="-8.3157544183060567E-2"/>
                  <c:y val="4.8823788795209579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07B5-4D72-86A4-5016F014856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CO"/>
              </a:p>
            </c:txPr>
            <c:dLblPos val="outEnd"/>
            <c:showLegendKey val="0"/>
            <c:showVal val="1"/>
            <c:showCatName val="1"/>
            <c:showSerName val="0"/>
            <c:showPercent val="1"/>
            <c:showBubbleSize val="0"/>
            <c:showLeaderLines val="1"/>
            <c:leaderLines>
              <c:spPr>
                <a:ln>
                  <a:noFill/>
                </a:ln>
                <a:effectLst/>
              </c:spPr>
            </c:leaderLines>
            <c:extLst>
              <c:ext xmlns:c15="http://schemas.microsoft.com/office/drawing/2012/chart" uri="{CE6537A1-D6FC-4f65-9D91-7224C49458BB}"/>
            </c:extLst>
          </c:dLbls>
          <c:cat>
            <c:strRef>
              <c:f>'SUBREGIONAL CORRRIENTES ANUAL'!$B$5:$B$13</c:f>
              <c:strCache>
                <c:ptCount val="9"/>
                <c:pt idx="0">
                  <c:v>Valle de Aburrá</c:v>
                </c:pt>
                <c:pt idx="1">
                  <c:v>Bajo Cauca</c:v>
                </c:pt>
                <c:pt idx="2">
                  <c:v>Magdalena Medio</c:v>
                </c:pt>
                <c:pt idx="3">
                  <c:v>Nordeste</c:v>
                </c:pt>
                <c:pt idx="4">
                  <c:v>Norte</c:v>
                </c:pt>
                <c:pt idx="5">
                  <c:v>Occidente</c:v>
                </c:pt>
                <c:pt idx="6">
                  <c:v>Oriente</c:v>
                </c:pt>
                <c:pt idx="7">
                  <c:v>Suroeste</c:v>
                </c:pt>
                <c:pt idx="8">
                  <c:v>Urabá</c:v>
                </c:pt>
              </c:strCache>
            </c:strRef>
          </c:cat>
          <c:val>
            <c:numRef>
              <c:f>'SUBREGIONAL CORRRIENTES ANUAL'!$P$5:$P$13</c:f>
              <c:numCache>
                <c:formatCode>#,##0.0</c:formatCode>
                <c:ptCount val="9"/>
                <c:pt idx="0">
                  <c:v>30547.033089759552</c:v>
                </c:pt>
                <c:pt idx="1">
                  <c:v>215.06567841874818</c:v>
                </c:pt>
                <c:pt idx="2">
                  <c:v>204.51928055982111</c:v>
                </c:pt>
                <c:pt idx="3">
                  <c:v>247.79805203912781</c:v>
                </c:pt>
                <c:pt idx="4">
                  <c:v>1771.935791492961</c:v>
                </c:pt>
                <c:pt idx="5">
                  <c:v>219.83263635166648</c:v>
                </c:pt>
                <c:pt idx="6">
                  <c:v>5173.2131770622163</c:v>
                </c:pt>
                <c:pt idx="7">
                  <c:v>1052.2049413732691</c:v>
                </c:pt>
                <c:pt idx="8">
                  <c:v>807.2267063997607</c:v>
                </c:pt>
              </c:numCache>
            </c:numRef>
          </c:val>
          <c:extLst>
            <c:ext xmlns:c16="http://schemas.microsoft.com/office/drawing/2014/chart" uri="{C3380CC4-5D6E-409C-BE32-E72D297353CC}">
              <c16:uniqueId val="{00000012-07B5-4D72-86A4-5016F014856C}"/>
            </c:ext>
          </c:extLst>
        </c:ser>
        <c:dLbls>
          <c:showLegendKey val="0"/>
          <c:showVal val="0"/>
          <c:showCatName val="0"/>
          <c:showSerName val="0"/>
          <c:showPercent val="0"/>
          <c:showBubbleSize val="0"/>
          <c:showLeaderLines val="1"/>
        </c:dLbls>
        <c:firstSliceAng val="169"/>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'SUBREGIONAL CORRRIENTES ANUAL'!$Z$1</c:f>
          <c:strCache>
            <c:ptCount val="1"/>
            <c:pt idx="0">
              <c:v>Distribución del Valor Agregado, actividades terciarias por subregión del año 2022</c:v>
            </c:pt>
          </c:strCache>
        </c:strRef>
      </c:tx>
      <c:layout>
        <c:manualLayout>
          <c:xMode val="edge"/>
          <c:yMode val="edge"/>
          <c:x val="0.12862418978129311"/>
          <c:y val="1.708832607832335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CO"/>
        </a:p>
      </c:txPr>
    </c:title>
    <c:autoTitleDeleted val="0"/>
    <c:plotArea>
      <c:layout>
        <c:manualLayout>
          <c:layoutTarget val="inner"/>
          <c:xMode val="edge"/>
          <c:yMode val="edge"/>
          <c:x val="0.25488369670783889"/>
          <c:y val="0.19658956224283416"/>
          <c:w val="0.51839485407002894"/>
          <c:h val="0.65437851353476151"/>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BA-467D-8407-4DF1EDB0D2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BA-467D-8407-4DF1EDB0D2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4BA-467D-8407-4DF1EDB0D22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4BA-467D-8407-4DF1EDB0D22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4BA-467D-8407-4DF1EDB0D22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4BA-467D-8407-4DF1EDB0D22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4BA-467D-8407-4DF1EDB0D22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4BA-467D-8407-4DF1EDB0D22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4BA-467D-8407-4DF1EDB0D22E}"/>
              </c:ext>
            </c:extLst>
          </c:dPt>
          <c:dLbls>
            <c:dLbl>
              <c:idx val="1"/>
              <c:layout>
                <c:manualLayout>
                  <c:x val="6.1144236060796817E-2"/>
                  <c:y val="-0.17431976352370895"/>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4BA-467D-8407-4DF1EDB0D22E}"/>
                </c:ext>
              </c:extLst>
            </c:dLbl>
            <c:dLbl>
              <c:idx val="3"/>
              <c:layout>
                <c:manualLayout>
                  <c:x val="7.4635826049245221E-2"/>
                  <c:y val="9.2847853156496386E-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4BA-467D-8407-4DF1EDB0D22E}"/>
                </c:ext>
              </c:extLst>
            </c:dLbl>
            <c:dLbl>
              <c:idx val="4"/>
              <c:layout>
                <c:manualLayout>
                  <c:x val="2.0203351457137402E-2"/>
                  <c:y val="1.7213653284207119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F4BA-467D-8407-4DF1EDB0D22E}"/>
                </c:ext>
              </c:extLst>
            </c:dLbl>
            <c:dLbl>
              <c:idx val="5"/>
              <c:layout>
                <c:manualLayout>
                  <c:x val="4.6413505964775073E-2"/>
                  <c:y val="3.4897283590478362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ysClr val="windowText" lastClr="000000"/>
                      </a:solidFill>
                      <a:latin typeface="+mn-lt"/>
                      <a:ea typeface="+mn-ea"/>
                      <a:cs typeface="+mn-cs"/>
                    </a:defRPr>
                  </a:pPr>
                  <a:endParaRPr lang="en-CO"/>
                </a:p>
              </c:txPr>
              <c:showLegendKey val="0"/>
              <c:showVal val="1"/>
              <c:showCatName val="1"/>
              <c:showSerName val="0"/>
              <c:showPercent val="1"/>
              <c:showBubbleSize val="0"/>
              <c:extLst>
                <c:ext xmlns:c15="http://schemas.microsoft.com/office/drawing/2012/chart" uri="{CE6537A1-D6FC-4f65-9D91-7224C49458BB}">
                  <c15:layout>
                    <c:manualLayout>
                      <c:w val="0.18323665375676826"/>
                      <c:h val="8.8493117191317361E-2"/>
                    </c:manualLayout>
                  </c15:layout>
                </c:ext>
                <c:ext xmlns:c16="http://schemas.microsoft.com/office/drawing/2014/chart" uri="{C3380CC4-5D6E-409C-BE32-E72D297353CC}">
                  <c16:uniqueId val="{0000000B-F4BA-467D-8407-4DF1EDB0D22E}"/>
                </c:ext>
              </c:extLst>
            </c:dLbl>
            <c:dLbl>
              <c:idx val="6"/>
              <c:layout>
                <c:manualLayout>
                  <c:x val="7.7670520144953889E-2"/>
                  <c:y val="6.9927583172478425E-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F4BA-467D-8407-4DF1EDB0D22E}"/>
                </c:ext>
              </c:extLst>
            </c:dLbl>
            <c:dLbl>
              <c:idx val="7"/>
              <c:layout>
                <c:manualLayout>
                  <c:x val="2.7074545146118793E-2"/>
                  <c:y val="7.3235683192814371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F4BA-467D-8407-4DF1EDB0D22E}"/>
                </c:ext>
              </c:extLst>
            </c:dLbl>
            <c:dLbl>
              <c:idx val="8"/>
              <c:layout>
                <c:manualLayout>
                  <c:x val="-0.15330618569605184"/>
                  <c:y val="7.1628534775031893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F4BA-467D-8407-4DF1EDB0D22E}"/>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CO"/>
              </a:p>
            </c:txPr>
            <c:showLegendKey val="0"/>
            <c:showVal val="1"/>
            <c:showCatName val="1"/>
            <c:showSerName val="0"/>
            <c:showPercent val="1"/>
            <c:showBubbleSize val="0"/>
            <c:showLeaderLines val="1"/>
            <c:leaderLines>
              <c:spPr>
                <a:ln>
                  <a:noFill/>
                </a:ln>
                <a:effectLst/>
              </c:spPr>
            </c:leaderLines>
            <c:extLst>
              <c:ext xmlns:c15="http://schemas.microsoft.com/office/drawing/2012/chart" uri="{CE6537A1-D6FC-4f65-9D91-7224C49458BB}"/>
            </c:extLst>
          </c:dLbls>
          <c:cat>
            <c:strRef>
              <c:f>'SUBREGIONAL CORRRIENTES ANUAL'!$B$5:$B$13</c:f>
              <c:strCache>
                <c:ptCount val="9"/>
                <c:pt idx="0">
                  <c:v>Valle de Aburrá</c:v>
                </c:pt>
                <c:pt idx="1">
                  <c:v>Bajo Cauca</c:v>
                </c:pt>
                <c:pt idx="2">
                  <c:v>Magdalena Medio</c:v>
                </c:pt>
                <c:pt idx="3">
                  <c:v>Nordeste</c:v>
                </c:pt>
                <c:pt idx="4">
                  <c:v>Norte</c:v>
                </c:pt>
                <c:pt idx="5">
                  <c:v>Occidente</c:v>
                </c:pt>
                <c:pt idx="6">
                  <c:v>Oriente</c:v>
                </c:pt>
                <c:pt idx="7">
                  <c:v>Suroeste</c:v>
                </c:pt>
                <c:pt idx="8">
                  <c:v>Urabá</c:v>
                </c:pt>
              </c:strCache>
            </c:strRef>
          </c:cat>
          <c:val>
            <c:numRef>
              <c:f>'SUBREGIONAL CORRRIENTES ANUAL'!$Q$5:$Q$13</c:f>
              <c:numCache>
                <c:formatCode>#,##0.0</c:formatCode>
                <c:ptCount val="9"/>
                <c:pt idx="0">
                  <c:v>92027.997434136996</c:v>
                </c:pt>
                <c:pt idx="1">
                  <c:v>2947.340721695733</c:v>
                </c:pt>
                <c:pt idx="2">
                  <c:v>1725.2715760562367</c:v>
                </c:pt>
                <c:pt idx="3">
                  <c:v>2819.3364984819245</c:v>
                </c:pt>
                <c:pt idx="4">
                  <c:v>3408.105626764404</c:v>
                </c:pt>
                <c:pt idx="5">
                  <c:v>2322.142028326929</c:v>
                </c:pt>
                <c:pt idx="6">
                  <c:v>10634.97013309911</c:v>
                </c:pt>
                <c:pt idx="7">
                  <c:v>4109.0260171016898</c:v>
                </c:pt>
                <c:pt idx="8">
                  <c:v>6808.6957596803622</c:v>
                </c:pt>
              </c:numCache>
            </c:numRef>
          </c:val>
          <c:extLst>
            <c:ext xmlns:c16="http://schemas.microsoft.com/office/drawing/2014/chart" uri="{C3380CC4-5D6E-409C-BE32-E72D297353CC}">
              <c16:uniqueId val="{00000012-F4BA-467D-8407-4DF1EDB0D22E}"/>
            </c:ext>
          </c:extLst>
        </c:ser>
        <c:dLbls>
          <c:showLegendKey val="0"/>
          <c:showVal val="0"/>
          <c:showCatName val="0"/>
          <c:showSerName val="0"/>
          <c:showPercent val="0"/>
          <c:showBubbleSize val="0"/>
          <c:showLeaderLines val="1"/>
        </c:dLbls>
        <c:firstSliceAng val="169"/>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'SUBREGIONAL CORRRIENTES ANUAL'!$AA$1</c:f>
          <c:strCache>
            <c:ptCount val="1"/>
            <c:pt idx="0">
              <c:v>Distribución por subregión del Valor Agregado por actividades primarias, secundarias y terciarias por subregión del año 2022 preliminar </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CO"/>
        </a:p>
      </c:txPr>
    </c:title>
    <c:autoTitleDeleted val="0"/>
    <c:plotArea>
      <c:layout>
        <c:manualLayout>
          <c:layoutTarget val="inner"/>
          <c:xMode val="edge"/>
          <c:yMode val="edge"/>
          <c:x val="6.1102841296224772E-2"/>
          <c:y val="0.1333054720136832"/>
          <c:w val="0.92342926750048027"/>
          <c:h val="0.68890711238044244"/>
        </c:manualLayout>
      </c:layout>
      <c:barChart>
        <c:barDir val="col"/>
        <c:grouping val="stacked"/>
        <c:varyColors val="0"/>
        <c:ser>
          <c:idx val="0"/>
          <c:order val="0"/>
          <c:tx>
            <c:strRef>
              <c:f>'SUBREGIONAL CORRRIENTES ANUAL'!$O$36</c:f>
              <c:strCache>
                <c:ptCount val="1"/>
                <c:pt idx="0">
                  <c:v>Actividades Primarias</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'SUBREGIONAL CORRRIENTES ANUAL'!$B$37:$B$45</c:f>
              <c:strCache>
                <c:ptCount val="9"/>
                <c:pt idx="0">
                  <c:v>Valle de Aburrá</c:v>
                </c:pt>
                <c:pt idx="1">
                  <c:v>Bajo Cauca</c:v>
                </c:pt>
                <c:pt idx="2">
                  <c:v>Magdalena Medio</c:v>
                </c:pt>
                <c:pt idx="3">
                  <c:v>Nordeste</c:v>
                </c:pt>
                <c:pt idx="4">
                  <c:v>Norte</c:v>
                </c:pt>
                <c:pt idx="5">
                  <c:v>Occidente</c:v>
                </c:pt>
                <c:pt idx="6">
                  <c:v>Oriente</c:v>
                </c:pt>
                <c:pt idx="7">
                  <c:v>Suroeste</c:v>
                </c:pt>
                <c:pt idx="8">
                  <c:v>Urabá</c:v>
                </c:pt>
              </c:strCache>
            </c:strRef>
          </c:cat>
          <c:val>
            <c:numRef>
              <c:f>'SUBREGIONAL CORRRIENTES ANUAL'!$O$37:$O$45</c:f>
              <c:numCache>
                <c:formatCode>0.00%</c:formatCode>
                <c:ptCount val="9"/>
                <c:pt idx="0">
                  <c:v>8.2711558207446481E-3</c:v>
                </c:pt>
                <c:pt idx="1">
                  <c:v>0.48277582113793072</c:v>
                </c:pt>
                <c:pt idx="2">
                  <c:v>0.42814266543383084</c:v>
                </c:pt>
                <c:pt idx="3">
                  <c:v>0.52016506585733047</c:v>
                </c:pt>
                <c:pt idx="4">
                  <c:v>0.24533423277945424</c:v>
                </c:pt>
                <c:pt idx="5">
                  <c:v>0.45874660893340441</c:v>
                </c:pt>
                <c:pt idx="6">
                  <c:v>0.14993257044296696</c:v>
                </c:pt>
                <c:pt idx="7">
                  <c:v>0.43686934269424371</c:v>
                </c:pt>
                <c:pt idx="8">
                  <c:v>0.3811977959649418</c:v>
                </c:pt>
              </c:numCache>
            </c:numRef>
          </c:val>
          <c:extLst>
            <c:ext xmlns:c16="http://schemas.microsoft.com/office/drawing/2014/chart" uri="{C3380CC4-5D6E-409C-BE32-E72D297353CC}">
              <c16:uniqueId val="{00000009-F0DF-4340-AE0C-93D3819182AF}"/>
            </c:ext>
          </c:extLst>
        </c:ser>
        <c:ser>
          <c:idx val="1"/>
          <c:order val="1"/>
          <c:tx>
            <c:strRef>
              <c:f>'SUBREGIONAL CORRRIENTES ANUAL'!$P$36</c:f>
              <c:strCache>
                <c:ptCount val="1"/>
                <c:pt idx="0">
                  <c:v>Actividades Secundarias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'SUBREGIONAL CORRRIENTES ANUAL'!$B$37:$B$45</c:f>
              <c:strCache>
                <c:ptCount val="9"/>
                <c:pt idx="0">
                  <c:v>Valle de Aburrá</c:v>
                </c:pt>
                <c:pt idx="1">
                  <c:v>Bajo Cauca</c:v>
                </c:pt>
                <c:pt idx="2">
                  <c:v>Magdalena Medio</c:v>
                </c:pt>
                <c:pt idx="3">
                  <c:v>Nordeste</c:v>
                </c:pt>
                <c:pt idx="4">
                  <c:v>Norte</c:v>
                </c:pt>
                <c:pt idx="5">
                  <c:v>Occidente</c:v>
                </c:pt>
                <c:pt idx="6">
                  <c:v>Oriente</c:v>
                </c:pt>
                <c:pt idx="7">
                  <c:v>Suroeste</c:v>
                </c:pt>
                <c:pt idx="8">
                  <c:v>Urabá</c:v>
                </c:pt>
              </c:strCache>
            </c:strRef>
          </c:cat>
          <c:val>
            <c:numRef>
              <c:f>'SUBREGIONAL CORRRIENTES ANUAL'!$P$37:$P$45</c:f>
              <c:numCache>
                <c:formatCode>0.00%</c:formatCode>
                <c:ptCount val="9"/>
                <c:pt idx="0">
                  <c:v>0.24714963308376817</c:v>
                </c:pt>
                <c:pt idx="1">
                  <c:v>3.5174849417685221E-2</c:v>
                </c:pt>
                <c:pt idx="2">
                  <c:v>6.0605453822812287E-2</c:v>
                </c:pt>
                <c:pt idx="3">
                  <c:v>3.876652948292645E-2</c:v>
                </c:pt>
                <c:pt idx="4">
                  <c:v>0.25814837673680979</c:v>
                </c:pt>
                <c:pt idx="5">
                  <c:v>4.6808161208598653E-2</c:v>
                </c:pt>
                <c:pt idx="6">
                  <c:v>0.27818376986741633</c:v>
                </c:pt>
                <c:pt idx="7">
                  <c:v>0.11480378712425886</c:v>
                </c:pt>
                <c:pt idx="8">
                  <c:v>6.5588071215387539E-2</c:v>
                </c:pt>
              </c:numCache>
            </c:numRef>
          </c:val>
          <c:extLst>
            <c:ext xmlns:c16="http://schemas.microsoft.com/office/drawing/2014/chart" uri="{C3380CC4-5D6E-409C-BE32-E72D297353CC}">
              <c16:uniqueId val="{0000000A-F0DF-4340-AE0C-93D3819182AF}"/>
            </c:ext>
          </c:extLst>
        </c:ser>
        <c:ser>
          <c:idx val="2"/>
          <c:order val="2"/>
          <c:tx>
            <c:strRef>
              <c:f>'SUBREGIONAL CORRRIENTES ANUAL'!$Q$36</c:f>
              <c:strCache>
                <c:ptCount val="1"/>
                <c:pt idx="0">
                  <c:v>Actividades Terciarias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'SUBREGIONAL CORRRIENTES ANUAL'!$B$37:$B$45</c:f>
              <c:strCache>
                <c:ptCount val="9"/>
                <c:pt idx="0">
                  <c:v>Valle de Aburrá</c:v>
                </c:pt>
                <c:pt idx="1">
                  <c:v>Bajo Cauca</c:v>
                </c:pt>
                <c:pt idx="2">
                  <c:v>Magdalena Medio</c:v>
                </c:pt>
                <c:pt idx="3">
                  <c:v>Nordeste</c:v>
                </c:pt>
                <c:pt idx="4">
                  <c:v>Norte</c:v>
                </c:pt>
                <c:pt idx="5">
                  <c:v>Occidente</c:v>
                </c:pt>
                <c:pt idx="6">
                  <c:v>Oriente</c:v>
                </c:pt>
                <c:pt idx="7">
                  <c:v>Suroeste</c:v>
                </c:pt>
                <c:pt idx="8">
                  <c:v>Urabá</c:v>
                </c:pt>
              </c:strCache>
            </c:strRef>
          </c:cat>
          <c:val>
            <c:numRef>
              <c:f>'SUBREGIONAL CORRRIENTES ANUAL'!$Q$37:$Q$45</c:f>
              <c:numCache>
                <c:formatCode>0.00%</c:formatCode>
                <c:ptCount val="9"/>
                <c:pt idx="0">
                  <c:v>0.74457921109548741</c:v>
                </c:pt>
                <c:pt idx="1">
                  <c:v>0.482049329444384</c:v>
                </c:pt>
                <c:pt idx="2">
                  <c:v>0.51125188074335692</c:v>
                </c:pt>
                <c:pt idx="3">
                  <c:v>0.44106840465974334</c:v>
                </c:pt>
                <c:pt idx="4">
                  <c:v>0.49651739048373617</c:v>
                </c:pt>
                <c:pt idx="5">
                  <c:v>0.49444522985799677</c:v>
                </c:pt>
                <c:pt idx="6">
                  <c:v>0.57188365968961652</c:v>
                </c:pt>
                <c:pt idx="7">
                  <c:v>0.44832687018149731</c:v>
                </c:pt>
                <c:pt idx="8">
                  <c:v>0.55321413281967091</c:v>
                </c:pt>
              </c:numCache>
            </c:numRef>
          </c:val>
          <c:extLst>
            <c:ext xmlns:c16="http://schemas.microsoft.com/office/drawing/2014/chart" uri="{C3380CC4-5D6E-409C-BE32-E72D297353CC}">
              <c16:uniqueId val="{0000000B-F0DF-4340-AE0C-93D3819182AF}"/>
            </c:ext>
          </c:extLst>
        </c:ser>
        <c:dLbls>
          <c:showLegendKey val="0"/>
          <c:showVal val="0"/>
          <c:showCatName val="0"/>
          <c:showSerName val="0"/>
          <c:showPercent val="0"/>
          <c:showBubbleSize val="0"/>
        </c:dLbls>
        <c:gapWidth val="56"/>
        <c:overlap val="100"/>
        <c:axId val="1782240831"/>
        <c:axId val="1782241247"/>
      </c:barChart>
      <c:catAx>
        <c:axId val="178224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CO"/>
          </a:p>
        </c:txPr>
        <c:crossAx val="1782241247"/>
        <c:crosses val="autoZero"/>
        <c:auto val="1"/>
        <c:lblAlgn val="ctr"/>
        <c:lblOffset val="100"/>
        <c:noMultiLvlLbl val="0"/>
      </c:catAx>
      <c:valAx>
        <c:axId val="178224124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CO"/>
          </a:p>
        </c:txPr>
        <c:crossAx val="1782240831"/>
        <c:crosses val="autoZero"/>
        <c:crossBetween val="between"/>
      </c:valAx>
      <c:spPr>
        <a:noFill/>
        <a:ln>
          <a:noFill/>
        </a:ln>
        <a:effectLst/>
      </c:spPr>
    </c:plotArea>
    <c:legend>
      <c:legendPos val="b"/>
      <c:layout>
        <c:manualLayout>
          <c:xMode val="edge"/>
          <c:yMode val="edge"/>
          <c:x val="7.4701134360287386E-2"/>
          <c:y val="0.91322420740073584"/>
          <c:w val="0.89999993147613877"/>
          <c:h val="7.4013873808687417E-2"/>
        </c:manualLayout>
      </c:layout>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'Ficha Municipal'!$I$1</c:f>
          <c:strCache>
            <c:ptCount val="1"/>
            <c:pt idx="0">
              <c:v>PIB precios corrientes Municipio de Guatapé, Subregión Oriente y Departamental 2015 - 2022 (miles de Millones de pesos)</c:v>
            </c:pt>
          </c:strCache>
        </c:strRef>
      </c:tx>
      <c:layout>
        <c:manualLayout>
          <c:xMode val="edge"/>
          <c:yMode val="edge"/>
          <c:x val="0.11581823356417797"/>
          <c:y val="4.4409072071732664E-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CO"/>
        </a:p>
      </c:txPr>
    </c:title>
    <c:autoTitleDeleted val="0"/>
    <c:plotArea>
      <c:layout>
        <c:manualLayout>
          <c:layoutTarget val="inner"/>
          <c:xMode val="edge"/>
          <c:yMode val="edge"/>
          <c:x val="0.12198429193812703"/>
          <c:y val="0.12048192771084337"/>
          <c:w val="0.85898017506694913"/>
          <c:h val="0.74408349972999788"/>
        </c:manualLayout>
      </c:layout>
      <c:barChart>
        <c:barDir val="col"/>
        <c:grouping val="clustered"/>
        <c:varyColors val="0"/>
        <c:ser>
          <c:idx val="1"/>
          <c:order val="0"/>
          <c:tx>
            <c:strRef>
              <c:f>'Ficha Municipal'!$A$7</c:f>
              <c:strCache>
                <c:ptCount val="1"/>
                <c:pt idx="0">
                  <c:v>PIB Subregión Oriente</c:v>
                </c:pt>
              </c:strCache>
            </c:strRef>
          </c:tx>
          <c:spPr>
            <a:solidFill>
              <a:schemeClr val="accent2"/>
            </a:solidFill>
            <a:ln>
              <a:noFill/>
            </a:ln>
            <a:effectLst/>
          </c:spPr>
          <c:invertIfNegative val="0"/>
          <c:dLbls>
            <c:numFmt formatCode="&quot;$&quot;\ #,##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Municipal'!$B$5:$I$5</c:f>
              <c:strCache>
                <c:ptCount val="8"/>
                <c:pt idx="0">
                  <c:v>2015</c:v>
                </c:pt>
                <c:pt idx="1">
                  <c:v>2016</c:v>
                </c:pt>
                <c:pt idx="2">
                  <c:v>2017</c:v>
                </c:pt>
                <c:pt idx="3">
                  <c:v>2018</c:v>
                </c:pt>
                <c:pt idx="4">
                  <c:v>2019</c:v>
                </c:pt>
                <c:pt idx="5">
                  <c:v>2020p</c:v>
                </c:pt>
                <c:pt idx="6">
                  <c:v>2021p</c:v>
                </c:pt>
                <c:pt idx="7">
                  <c:v>2022pr</c:v>
                </c:pt>
              </c:strCache>
            </c:strRef>
          </c:cat>
          <c:val>
            <c:numRef>
              <c:f>'Ficha Municipal'!$B$7:$I$7</c:f>
              <c:numCache>
                <c:formatCode>#,##0.00</c:formatCode>
                <c:ptCount val="8"/>
                <c:pt idx="0">
                  <c:v>10593.641719838406</c:v>
                </c:pt>
                <c:pt idx="1">
                  <c:v>11395.673349094355</c:v>
                </c:pt>
                <c:pt idx="2">
                  <c:v>12135.343351228224</c:v>
                </c:pt>
                <c:pt idx="3">
                  <c:v>13337.204051515915</c:v>
                </c:pt>
                <c:pt idx="4">
                  <c:v>15140.409672364063</c:v>
                </c:pt>
                <c:pt idx="5">
                  <c:v>14397.547594731179</c:v>
                </c:pt>
                <c:pt idx="6">
                  <c:v>17277.649289027693</c:v>
                </c:pt>
                <c:pt idx="7">
                  <c:v>20679.481577145245</c:v>
                </c:pt>
              </c:numCache>
            </c:numRef>
          </c:val>
          <c:extLst>
            <c:ext xmlns:c16="http://schemas.microsoft.com/office/drawing/2014/chart" uri="{C3380CC4-5D6E-409C-BE32-E72D297353CC}">
              <c16:uniqueId val="{00000002-C65C-442A-A826-6A1803E2CDC6}"/>
            </c:ext>
          </c:extLst>
        </c:ser>
        <c:ser>
          <c:idx val="0"/>
          <c:order val="1"/>
          <c:tx>
            <c:strRef>
              <c:f>'Ficha Municipal'!$A$6</c:f>
              <c:strCache>
                <c:ptCount val="1"/>
                <c:pt idx="0">
                  <c:v>PIB Municipal Guatapé</c:v>
                </c:pt>
              </c:strCache>
            </c:strRef>
          </c:tx>
          <c:spPr>
            <a:solidFill>
              <a:schemeClr val="accent1"/>
            </a:solidFill>
            <a:ln>
              <a:noFill/>
            </a:ln>
            <a:effectLst/>
          </c:spPr>
          <c:invertIfNegative val="0"/>
          <c:dLbls>
            <c:numFmt formatCode="&quot;$&quot;\ #,##0" sourceLinked="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Municipal'!$B$5:$I$5</c:f>
              <c:strCache>
                <c:ptCount val="8"/>
                <c:pt idx="0">
                  <c:v>2015</c:v>
                </c:pt>
                <c:pt idx="1">
                  <c:v>2016</c:v>
                </c:pt>
                <c:pt idx="2">
                  <c:v>2017</c:v>
                </c:pt>
                <c:pt idx="3">
                  <c:v>2018</c:v>
                </c:pt>
                <c:pt idx="4">
                  <c:v>2019</c:v>
                </c:pt>
                <c:pt idx="5">
                  <c:v>2020p</c:v>
                </c:pt>
                <c:pt idx="6">
                  <c:v>2021p</c:v>
                </c:pt>
                <c:pt idx="7">
                  <c:v>2022pr</c:v>
                </c:pt>
              </c:strCache>
            </c:strRef>
          </c:cat>
          <c:val>
            <c:numRef>
              <c:f>'Ficha Municipal'!$B$6:$I$6</c:f>
              <c:numCache>
                <c:formatCode>#,##0.00</c:formatCode>
                <c:ptCount val="8"/>
                <c:pt idx="0">
                  <c:v>250.56083414580604</c:v>
                </c:pt>
                <c:pt idx="1">
                  <c:v>323.51071932882644</c:v>
                </c:pt>
                <c:pt idx="2">
                  <c:v>342.16717614449595</c:v>
                </c:pt>
                <c:pt idx="3">
                  <c:v>371.95781599376068</c:v>
                </c:pt>
                <c:pt idx="4">
                  <c:v>410.76937032758974</c:v>
                </c:pt>
                <c:pt idx="5">
                  <c:v>421.92249355868364</c:v>
                </c:pt>
                <c:pt idx="6">
                  <c:v>489.32284273085537</c:v>
                </c:pt>
                <c:pt idx="7">
                  <c:v>578.57815064201725</c:v>
                </c:pt>
              </c:numCache>
            </c:numRef>
          </c:val>
          <c:extLst>
            <c:ext xmlns:c16="http://schemas.microsoft.com/office/drawing/2014/chart" uri="{C3380CC4-5D6E-409C-BE32-E72D297353CC}">
              <c16:uniqueId val="{00000000-C65C-442A-A826-6A1803E2CDC6}"/>
            </c:ext>
          </c:extLst>
        </c:ser>
        <c:dLbls>
          <c:showLegendKey val="0"/>
          <c:showVal val="0"/>
          <c:showCatName val="0"/>
          <c:showSerName val="0"/>
          <c:showPercent val="0"/>
          <c:showBubbleSize val="0"/>
        </c:dLbls>
        <c:gapWidth val="62"/>
        <c:overlap val="39"/>
        <c:axId val="1280710832"/>
        <c:axId val="1280710000"/>
      </c:barChart>
      <c:lineChart>
        <c:grouping val="standard"/>
        <c:varyColors val="0"/>
        <c:ser>
          <c:idx val="2"/>
          <c:order val="2"/>
          <c:tx>
            <c:strRef>
              <c:f>'Ficha Municipal'!$A$8</c:f>
              <c:strCache>
                <c:ptCount val="1"/>
                <c:pt idx="0">
                  <c:v>Total Antioquia</c:v>
                </c:pt>
              </c:strCache>
            </c:strRef>
          </c:tx>
          <c:spPr>
            <a:ln w="28575" cap="rnd">
              <a:solidFill>
                <a:srgbClr val="00B050"/>
              </a:solidFill>
              <a:round/>
            </a:ln>
            <a:effectLst/>
          </c:spPr>
          <c:marker>
            <c:symbol val="none"/>
          </c:marker>
          <c:dLbls>
            <c:numFmt formatCode="&quot;$&quot;\ #,##0" sourceLinked="0"/>
            <c:spPr>
              <a:solidFill>
                <a:srgbClr val="00B05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Municipal'!$B$5:$I$5</c:f>
              <c:strCache>
                <c:ptCount val="8"/>
                <c:pt idx="0">
                  <c:v>2015</c:v>
                </c:pt>
                <c:pt idx="1">
                  <c:v>2016</c:v>
                </c:pt>
                <c:pt idx="2">
                  <c:v>2017</c:v>
                </c:pt>
                <c:pt idx="3">
                  <c:v>2018</c:v>
                </c:pt>
                <c:pt idx="4">
                  <c:v>2019</c:v>
                </c:pt>
                <c:pt idx="5">
                  <c:v>2020p</c:v>
                </c:pt>
                <c:pt idx="6">
                  <c:v>2021p</c:v>
                </c:pt>
                <c:pt idx="7">
                  <c:v>2022pr</c:v>
                </c:pt>
              </c:strCache>
            </c:strRef>
          </c:cat>
          <c:val>
            <c:numRef>
              <c:f>'Ficha Municipal'!$B$8:$I$8</c:f>
              <c:numCache>
                <c:formatCode>#,##0.00</c:formatCode>
                <c:ptCount val="8"/>
                <c:pt idx="0">
                  <c:v>115446.25698331559</c:v>
                </c:pt>
                <c:pt idx="1">
                  <c:v>126021.64407252641</c:v>
                </c:pt>
                <c:pt idx="2">
                  <c:v>132368.59065390422</c:v>
                </c:pt>
                <c:pt idx="3">
                  <c:v>141680.0803320556</c:v>
                </c:pt>
                <c:pt idx="4">
                  <c:v>153559.44893857837</c:v>
                </c:pt>
                <c:pt idx="5">
                  <c:v>148236.10920443689</c:v>
                </c:pt>
                <c:pt idx="6">
                  <c:v>177836.52474560376</c:v>
                </c:pt>
                <c:pt idx="7">
                  <c:v>212514.95735553346</c:v>
                </c:pt>
              </c:numCache>
            </c:numRef>
          </c:val>
          <c:smooth val="0"/>
          <c:extLst>
            <c:ext xmlns:c16="http://schemas.microsoft.com/office/drawing/2014/chart" uri="{C3380CC4-5D6E-409C-BE32-E72D297353CC}">
              <c16:uniqueId val="{00000003-C65C-442A-A826-6A1803E2CDC6}"/>
            </c:ext>
          </c:extLst>
        </c:ser>
        <c:dLbls>
          <c:showLegendKey val="0"/>
          <c:showVal val="0"/>
          <c:showCatName val="0"/>
          <c:showSerName val="0"/>
          <c:showPercent val="0"/>
          <c:showBubbleSize val="0"/>
        </c:dLbls>
        <c:marker val="1"/>
        <c:smooth val="0"/>
        <c:axId val="1364298143"/>
        <c:axId val="1364287327"/>
      </c:lineChart>
      <c:catAx>
        <c:axId val="1280710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CO"/>
          </a:p>
        </c:txPr>
        <c:crossAx val="1280710000"/>
        <c:crosses val="autoZero"/>
        <c:auto val="1"/>
        <c:lblAlgn val="ctr"/>
        <c:lblOffset val="100"/>
        <c:noMultiLvlLbl val="0"/>
      </c:catAx>
      <c:valAx>
        <c:axId val="12807100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CO"/>
          </a:p>
        </c:txPr>
        <c:crossAx val="1280710832"/>
        <c:crosses val="autoZero"/>
        <c:crossBetween val="between"/>
      </c:valAx>
      <c:valAx>
        <c:axId val="136428732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CO"/>
          </a:p>
        </c:txPr>
        <c:crossAx val="1364298143"/>
        <c:crosses val="max"/>
        <c:crossBetween val="between"/>
      </c:valAx>
      <c:catAx>
        <c:axId val="1364298143"/>
        <c:scaling>
          <c:orientation val="minMax"/>
        </c:scaling>
        <c:delete val="1"/>
        <c:axPos val="b"/>
        <c:numFmt formatCode="General" sourceLinked="1"/>
        <c:majorTickMark val="out"/>
        <c:minorTickMark val="none"/>
        <c:tickLblPos val="nextTo"/>
        <c:crossAx val="1364287327"/>
        <c:crosses val="autoZero"/>
        <c:auto val="1"/>
        <c:lblAlgn val="ctr"/>
        <c:lblOffset val="100"/>
        <c:noMultiLvlLbl val="0"/>
      </c:catAx>
      <c:spPr>
        <a:noFill/>
        <a:ln>
          <a:noFill/>
        </a:ln>
        <a:effectLst/>
      </c:spPr>
    </c:plotArea>
    <c:legend>
      <c:legendPos val="b"/>
      <c:layout>
        <c:manualLayout>
          <c:xMode val="edge"/>
          <c:yMode val="edge"/>
          <c:x val="5.8226914211865648E-2"/>
          <c:y val="0.92023597451924954"/>
          <c:w val="0.9"/>
          <c:h val="7.6936480427984774E-2"/>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CO"/>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'Ficha Municipal'!$J$1</c:f>
          <c:strCache>
            <c:ptCount val="1"/>
            <c:pt idx="0">
              <c:v>Participación del municipio de Guatapé en el PIB de la Subregión Oriente 2015 - 2022</c:v>
            </c:pt>
          </c:strCache>
        </c:strRef>
      </c:tx>
      <c:layout>
        <c:manualLayout>
          <c:xMode val="edge"/>
          <c:yMode val="edge"/>
          <c:x val="0.11227583156404815"/>
          <c:y val="1.3071895424836602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CO"/>
        </a:p>
      </c:txPr>
    </c:title>
    <c:autoTitleDeleted val="0"/>
    <c:plotArea>
      <c:layout>
        <c:manualLayout>
          <c:layoutTarget val="inner"/>
          <c:xMode val="edge"/>
          <c:yMode val="edge"/>
          <c:x val="8.5208512032691142E-2"/>
          <c:y val="0.14817731116943716"/>
          <c:w val="0.90663155324678657"/>
          <c:h val="0.70549740106016168"/>
        </c:manualLayout>
      </c:layout>
      <c:lineChart>
        <c:grouping val="standard"/>
        <c:varyColors val="0"/>
        <c:ser>
          <c:idx val="0"/>
          <c:order val="0"/>
          <c:tx>
            <c:strRef>
              <c:f>'Ficha Municipal'!$A$13</c:f>
              <c:strCache>
                <c:ptCount val="1"/>
                <c:pt idx="0">
                  <c:v>Subregional</c:v>
                </c:pt>
              </c:strCache>
            </c:strRef>
          </c:tx>
          <c:spPr>
            <a:ln w="28575" cap="rnd">
              <a:solidFill>
                <a:schemeClr val="accent1"/>
              </a:solidFill>
              <a:round/>
            </a:ln>
            <a:effectLst/>
          </c:spPr>
          <c:marker>
            <c:symbol val="none"/>
          </c:marker>
          <c:dLbls>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Municipal'!$B$12:$I$12</c:f>
              <c:strCache>
                <c:ptCount val="8"/>
                <c:pt idx="0">
                  <c:v>2015</c:v>
                </c:pt>
                <c:pt idx="1">
                  <c:v>2016</c:v>
                </c:pt>
                <c:pt idx="2">
                  <c:v>2017</c:v>
                </c:pt>
                <c:pt idx="3">
                  <c:v>2018</c:v>
                </c:pt>
                <c:pt idx="4">
                  <c:v>2019</c:v>
                </c:pt>
                <c:pt idx="5">
                  <c:v>2020</c:v>
                </c:pt>
                <c:pt idx="6">
                  <c:v>2021p</c:v>
                </c:pt>
                <c:pt idx="7">
                  <c:v>2022pr</c:v>
                </c:pt>
              </c:strCache>
            </c:strRef>
          </c:cat>
          <c:val>
            <c:numRef>
              <c:f>'Ficha Municipal'!$B$13:$I$13</c:f>
              <c:numCache>
                <c:formatCode>0.00%</c:formatCode>
                <c:ptCount val="8"/>
                <c:pt idx="0">
                  <c:v>2.3652001905689148E-2</c:v>
                </c:pt>
                <c:pt idx="1">
                  <c:v>2.8388907738789888E-2</c:v>
                </c:pt>
                <c:pt idx="2">
                  <c:v>2.8195920481299364E-2</c:v>
                </c:pt>
                <c:pt idx="3">
                  <c:v>2.7888739990559245E-2</c:v>
                </c:pt>
                <c:pt idx="4">
                  <c:v>2.7130664177295746E-2</c:v>
                </c:pt>
                <c:pt idx="5">
                  <c:v>2.930516400675677E-2</c:v>
                </c:pt>
                <c:pt idx="6">
                  <c:v>2.8321146849624022E-2</c:v>
                </c:pt>
                <c:pt idx="7">
                  <c:v>2.7978368243111857E-2</c:v>
                </c:pt>
              </c:numCache>
            </c:numRef>
          </c:val>
          <c:smooth val="0"/>
          <c:extLst>
            <c:ext xmlns:c16="http://schemas.microsoft.com/office/drawing/2014/chart" uri="{C3380CC4-5D6E-409C-BE32-E72D297353CC}">
              <c16:uniqueId val="{00000000-2665-482B-87EF-C9A68D5005D6}"/>
            </c:ext>
          </c:extLst>
        </c:ser>
        <c:dLbls>
          <c:showLegendKey val="0"/>
          <c:showVal val="0"/>
          <c:showCatName val="0"/>
          <c:showSerName val="0"/>
          <c:showPercent val="0"/>
          <c:showBubbleSize val="0"/>
        </c:dLbls>
        <c:smooth val="0"/>
        <c:axId val="1414428047"/>
        <c:axId val="1414434703"/>
      </c:lineChart>
      <c:catAx>
        <c:axId val="141442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CO"/>
          </a:p>
        </c:txPr>
        <c:crossAx val="1414434703"/>
        <c:crosses val="autoZero"/>
        <c:auto val="1"/>
        <c:lblAlgn val="ctr"/>
        <c:lblOffset val="100"/>
        <c:noMultiLvlLbl val="0"/>
      </c:catAx>
      <c:valAx>
        <c:axId val="14144347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CO"/>
          </a:p>
        </c:txPr>
        <c:crossAx val="1414428047"/>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'Ficha Municipal'!$K$1</c:f>
          <c:strCache>
            <c:ptCount val="1"/>
            <c:pt idx="0">
              <c:v>Participación del municipio de Guatapé en el PIB Departamental Oriente 2015 - 2022</c:v>
            </c:pt>
          </c:strCache>
        </c:strRef>
      </c:tx>
      <c:layout>
        <c:manualLayout>
          <c:xMode val="edge"/>
          <c:yMode val="edge"/>
          <c:x val="0.12325796178343949"/>
          <c:y val="1.3071895424836602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CO"/>
        </a:p>
      </c:txPr>
    </c:title>
    <c:autoTitleDeleted val="0"/>
    <c:plotArea>
      <c:layout>
        <c:manualLayout>
          <c:layoutTarget val="inner"/>
          <c:xMode val="edge"/>
          <c:yMode val="edge"/>
          <c:x val="8.5208512032691142E-2"/>
          <c:y val="0.15286757945065785"/>
          <c:w val="0.90663155324678657"/>
          <c:h val="0.70080712840831194"/>
        </c:manualLayout>
      </c:layout>
      <c:lineChart>
        <c:grouping val="standard"/>
        <c:varyColors val="0"/>
        <c:ser>
          <c:idx val="0"/>
          <c:order val="0"/>
          <c:tx>
            <c:strRef>
              <c:f>'Ficha Municipal'!$A$14</c:f>
              <c:strCache>
                <c:ptCount val="1"/>
                <c:pt idx="0">
                  <c:v>Departamental</c:v>
                </c:pt>
              </c:strCache>
            </c:strRef>
          </c:tx>
          <c:spPr>
            <a:ln w="28575" cap="rnd">
              <a:solidFill>
                <a:srgbClr val="FF0000"/>
              </a:solidFill>
              <a:round/>
            </a:ln>
            <a:effectLst/>
          </c:spPr>
          <c:marker>
            <c:symbol val="none"/>
          </c:marker>
          <c:dLbls>
            <c:spPr>
              <a:solidFill>
                <a:srgbClr val="FF000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Municipal'!$B$12:$I$12</c:f>
              <c:strCache>
                <c:ptCount val="8"/>
                <c:pt idx="0">
                  <c:v>2015</c:v>
                </c:pt>
                <c:pt idx="1">
                  <c:v>2016</c:v>
                </c:pt>
                <c:pt idx="2">
                  <c:v>2017</c:v>
                </c:pt>
                <c:pt idx="3">
                  <c:v>2018</c:v>
                </c:pt>
                <c:pt idx="4">
                  <c:v>2019</c:v>
                </c:pt>
                <c:pt idx="5">
                  <c:v>2020</c:v>
                </c:pt>
                <c:pt idx="6">
                  <c:v>2021p</c:v>
                </c:pt>
                <c:pt idx="7">
                  <c:v>2022pr</c:v>
                </c:pt>
              </c:strCache>
            </c:strRef>
          </c:cat>
          <c:val>
            <c:numRef>
              <c:f>'Ficha Municipal'!$B$14:$I$14</c:f>
              <c:numCache>
                <c:formatCode>0.00%</c:formatCode>
                <c:ptCount val="8"/>
                <c:pt idx="0">
                  <c:v>2.1703677597968147E-3</c:v>
                </c:pt>
                <c:pt idx="1">
                  <c:v>2.5671044185286425E-3</c:v>
                </c:pt>
                <c:pt idx="2">
                  <c:v>2.5849574619944307E-3</c:v>
                </c:pt>
                <c:pt idx="3">
                  <c:v>2.6253360043416345E-3</c:v>
                </c:pt>
                <c:pt idx="4">
                  <c:v>2.674985962549864E-3</c:v>
                </c:pt>
                <c:pt idx="5">
                  <c:v>2.8462868853148162E-3</c:v>
                </c:pt>
                <c:pt idx="6">
                  <c:v>2.7515317420357529E-3</c:v>
                </c:pt>
                <c:pt idx="7">
                  <c:v>2.7225290767372533E-3</c:v>
                </c:pt>
              </c:numCache>
            </c:numRef>
          </c:val>
          <c:smooth val="0"/>
          <c:extLst>
            <c:ext xmlns:c16="http://schemas.microsoft.com/office/drawing/2014/chart" uri="{C3380CC4-5D6E-409C-BE32-E72D297353CC}">
              <c16:uniqueId val="{00000000-DE4D-4EA2-B74D-29CDAF7398E8}"/>
            </c:ext>
          </c:extLst>
        </c:ser>
        <c:dLbls>
          <c:showLegendKey val="0"/>
          <c:showVal val="0"/>
          <c:showCatName val="0"/>
          <c:showSerName val="0"/>
          <c:showPercent val="0"/>
          <c:showBubbleSize val="0"/>
        </c:dLbls>
        <c:smooth val="0"/>
        <c:axId val="1414428047"/>
        <c:axId val="1414434703"/>
      </c:lineChart>
      <c:catAx>
        <c:axId val="141442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CO"/>
          </a:p>
        </c:txPr>
        <c:crossAx val="1414434703"/>
        <c:crosses val="autoZero"/>
        <c:auto val="1"/>
        <c:lblAlgn val="ctr"/>
        <c:lblOffset val="100"/>
        <c:noMultiLvlLbl val="0"/>
      </c:catAx>
      <c:valAx>
        <c:axId val="14144347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CO"/>
          </a:p>
        </c:txPr>
        <c:crossAx val="1414428047"/>
        <c:crosses val="autoZero"/>
        <c:crossBetween val="between"/>
      </c:valAx>
      <c:spPr>
        <a:noFill/>
        <a:ln>
          <a:noFill/>
        </a:ln>
        <a:effectLst/>
      </c:spPr>
    </c:plotArea>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'Ficha Municipal'!$L$1</c:f>
          <c:strCache>
            <c:ptCount val="1"/>
            <c:pt idx="0">
              <c:v>Tasas de Crecimiento del PIB a precios constantes Municipio de Guatapé, Subregión Oriente y Departamental entre el 2016 - 2022</c:v>
            </c:pt>
          </c:strCache>
        </c:strRef>
      </c:tx>
      <c:layout>
        <c:manualLayout>
          <c:xMode val="edge"/>
          <c:yMode val="edge"/>
          <c:x val="0.12658894333123613"/>
          <c:y val="7.7609623593325574E-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CO"/>
        </a:p>
      </c:txPr>
    </c:title>
    <c:autoTitleDeleted val="0"/>
    <c:plotArea>
      <c:layout>
        <c:manualLayout>
          <c:layoutTarget val="inner"/>
          <c:xMode val="edge"/>
          <c:yMode val="edge"/>
          <c:x val="9.2954988643555433E-2"/>
          <c:y val="0.1392377757204098"/>
          <c:w val="0.89072787260221609"/>
          <c:h val="0.69106083800060503"/>
        </c:manualLayout>
      </c:layout>
      <c:barChart>
        <c:barDir val="col"/>
        <c:grouping val="clustered"/>
        <c:varyColors val="0"/>
        <c:ser>
          <c:idx val="2"/>
          <c:order val="0"/>
          <c:tx>
            <c:strRef>
              <c:f>'Ficha Municipal'!$A$32</c:f>
              <c:strCache>
                <c:ptCount val="1"/>
                <c:pt idx="0">
                  <c:v>Total Antioquia</c:v>
                </c:pt>
              </c:strCache>
            </c:strRef>
          </c:tx>
          <c:spPr>
            <a:solidFill>
              <a:srgbClr val="00B05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Municipal'!$B$29:$H$29</c:f>
              <c:strCache>
                <c:ptCount val="7"/>
                <c:pt idx="0">
                  <c:v>2016</c:v>
                </c:pt>
                <c:pt idx="1">
                  <c:v>2017</c:v>
                </c:pt>
                <c:pt idx="2">
                  <c:v>2018</c:v>
                </c:pt>
                <c:pt idx="3">
                  <c:v>2019</c:v>
                </c:pt>
                <c:pt idx="4">
                  <c:v>2020</c:v>
                </c:pt>
                <c:pt idx="5">
                  <c:v>2021p</c:v>
                </c:pt>
                <c:pt idx="6">
                  <c:v>2022pr</c:v>
                </c:pt>
              </c:strCache>
            </c:strRef>
          </c:cat>
          <c:val>
            <c:numRef>
              <c:f>'Ficha Municipal'!$B$32:$H$32</c:f>
              <c:numCache>
                <c:formatCode>0.00%</c:formatCode>
                <c:ptCount val="7"/>
                <c:pt idx="0">
                  <c:v>3.1184442230910835E-2</c:v>
                </c:pt>
                <c:pt idx="1">
                  <c:v>1.6185980614310955E-2</c:v>
                </c:pt>
                <c:pt idx="2">
                  <c:v>3.471585325936568E-2</c:v>
                </c:pt>
                <c:pt idx="3">
                  <c:v>3.5942459518845539E-2</c:v>
                </c:pt>
                <c:pt idx="4">
                  <c:v>-6.7065213765061998E-2</c:v>
                </c:pt>
                <c:pt idx="5">
                  <c:v>0.13743349732531918</c:v>
                </c:pt>
                <c:pt idx="6">
                  <c:v>6.8836065731290613E-2</c:v>
                </c:pt>
              </c:numCache>
            </c:numRef>
          </c:val>
          <c:extLst>
            <c:ext xmlns:c16="http://schemas.microsoft.com/office/drawing/2014/chart" uri="{C3380CC4-5D6E-409C-BE32-E72D297353CC}">
              <c16:uniqueId val="{00000002-3634-4F0D-ADD4-F85D5CA858E0}"/>
            </c:ext>
          </c:extLst>
        </c:ser>
        <c:ser>
          <c:idx val="1"/>
          <c:order val="1"/>
          <c:tx>
            <c:strRef>
              <c:f>'Ficha Municipal'!$A$31</c:f>
              <c:strCache>
                <c:ptCount val="1"/>
                <c:pt idx="0">
                  <c:v>PIB Subregión Oriente</c:v>
                </c:pt>
              </c:strCache>
            </c:strRef>
          </c:tx>
          <c:spPr>
            <a:solidFill>
              <a:schemeClr val="accent2"/>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Municipal'!$B$29:$H$29</c:f>
              <c:strCache>
                <c:ptCount val="7"/>
                <c:pt idx="0">
                  <c:v>2016</c:v>
                </c:pt>
                <c:pt idx="1">
                  <c:v>2017</c:v>
                </c:pt>
                <c:pt idx="2">
                  <c:v>2018</c:v>
                </c:pt>
                <c:pt idx="3">
                  <c:v>2019</c:v>
                </c:pt>
                <c:pt idx="4">
                  <c:v>2020</c:v>
                </c:pt>
                <c:pt idx="5">
                  <c:v>2021p</c:v>
                </c:pt>
                <c:pt idx="6">
                  <c:v>2022pr</c:v>
                </c:pt>
              </c:strCache>
            </c:strRef>
          </c:cat>
          <c:val>
            <c:numRef>
              <c:f>'Ficha Municipal'!$B$31:$H$31</c:f>
              <c:numCache>
                <c:formatCode>0.00%</c:formatCode>
                <c:ptCount val="7"/>
                <c:pt idx="0">
                  <c:v>1.1494505762450723E-2</c:v>
                </c:pt>
                <c:pt idx="1">
                  <c:v>3.7244541703920581E-2</c:v>
                </c:pt>
                <c:pt idx="2">
                  <c:v>6.3528108516829856E-2</c:v>
                </c:pt>
                <c:pt idx="3">
                  <c:v>8.1412737388173034E-2</c:v>
                </c:pt>
                <c:pt idx="4">
                  <c:v>-7.7781619391960238E-2</c:v>
                </c:pt>
                <c:pt idx="5">
                  <c:v>0.13446793418417496</c:v>
                </c:pt>
                <c:pt idx="6">
                  <c:v>5.2556567450491795E-2</c:v>
                </c:pt>
              </c:numCache>
            </c:numRef>
          </c:val>
          <c:extLst>
            <c:ext xmlns:c16="http://schemas.microsoft.com/office/drawing/2014/chart" uri="{C3380CC4-5D6E-409C-BE32-E72D297353CC}">
              <c16:uniqueId val="{00000001-3634-4F0D-ADD4-F85D5CA858E0}"/>
            </c:ext>
          </c:extLst>
        </c:ser>
        <c:ser>
          <c:idx val="0"/>
          <c:order val="2"/>
          <c:tx>
            <c:strRef>
              <c:f>'Ficha Municipal'!$A$30</c:f>
              <c:strCache>
                <c:ptCount val="1"/>
                <c:pt idx="0">
                  <c:v>PIB Municipal Guatapé</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Municipal'!$B$29:$H$29</c:f>
              <c:strCache>
                <c:ptCount val="7"/>
                <c:pt idx="0">
                  <c:v>2016</c:v>
                </c:pt>
                <c:pt idx="1">
                  <c:v>2017</c:v>
                </c:pt>
                <c:pt idx="2">
                  <c:v>2018</c:v>
                </c:pt>
                <c:pt idx="3">
                  <c:v>2019</c:v>
                </c:pt>
                <c:pt idx="4">
                  <c:v>2020</c:v>
                </c:pt>
                <c:pt idx="5">
                  <c:v>2021p</c:v>
                </c:pt>
                <c:pt idx="6">
                  <c:v>2022pr</c:v>
                </c:pt>
              </c:strCache>
            </c:strRef>
          </c:cat>
          <c:val>
            <c:numRef>
              <c:f>'Ficha Municipal'!$B$30:$H$30</c:f>
              <c:numCache>
                <c:formatCode>0.00%</c:formatCode>
                <c:ptCount val="7"/>
                <c:pt idx="0">
                  <c:v>0.2148595296857003</c:v>
                </c:pt>
                <c:pt idx="1">
                  <c:v>1.0616717597464196E-2</c:v>
                </c:pt>
                <c:pt idx="2">
                  <c:v>4.9479497735337913E-2</c:v>
                </c:pt>
                <c:pt idx="3">
                  <c:v>5.7870593583091219E-2</c:v>
                </c:pt>
                <c:pt idx="4">
                  <c:v>-3.40598307849057E-3</c:v>
                </c:pt>
                <c:pt idx="5">
                  <c:v>0.1277103996104082</c:v>
                </c:pt>
                <c:pt idx="6">
                  <c:v>7.3483137148096567E-2</c:v>
                </c:pt>
              </c:numCache>
            </c:numRef>
          </c:val>
          <c:extLst>
            <c:ext xmlns:c16="http://schemas.microsoft.com/office/drawing/2014/chart" uri="{C3380CC4-5D6E-409C-BE32-E72D297353CC}">
              <c16:uniqueId val="{00000000-3634-4F0D-ADD4-F85D5CA858E0}"/>
            </c:ext>
          </c:extLst>
        </c:ser>
        <c:dLbls>
          <c:showLegendKey val="0"/>
          <c:showVal val="0"/>
          <c:showCatName val="0"/>
          <c:showSerName val="0"/>
          <c:showPercent val="0"/>
          <c:showBubbleSize val="0"/>
        </c:dLbls>
        <c:gapWidth val="50"/>
        <c:axId val="2076387279"/>
        <c:axId val="2076387695"/>
      </c:barChart>
      <c:catAx>
        <c:axId val="207638727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CO"/>
          </a:p>
        </c:txPr>
        <c:crossAx val="2076387695"/>
        <c:crosses val="autoZero"/>
        <c:auto val="1"/>
        <c:lblAlgn val="ctr"/>
        <c:lblOffset val="100"/>
        <c:noMultiLvlLbl val="0"/>
      </c:catAx>
      <c:valAx>
        <c:axId val="20763876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CO"/>
          </a:p>
        </c:txPr>
        <c:crossAx val="2076387279"/>
        <c:crosses val="autoZero"/>
        <c:crossBetween val="between"/>
      </c:valAx>
      <c:spPr>
        <a:noFill/>
        <a:ln>
          <a:noFill/>
        </a:ln>
        <a:effectLst/>
      </c:spPr>
    </c:plotArea>
    <c:legend>
      <c:legendPos val="b"/>
      <c:layout>
        <c:manualLayout>
          <c:xMode val="edge"/>
          <c:yMode val="edge"/>
          <c:x val="2.2094184573960219E-2"/>
          <c:y val="0.90850892634404634"/>
          <c:w val="0.94312771405857376"/>
          <c:h val="6.4131240623034574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CO"/>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'Ficha Municipal'!$M$1</c:f>
          <c:strCache>
            <c:ptCount val="1"/>
            <c:pt idx="0">
              <c:v>Distribución porcentual del valor agregado por sector económico del Municipio de Guatapé</c:v>
            </c:pt>
          </c:strCache>
        </c:strRef>
      </c:tx>
      <c:layout>
        <c:manualLayout>
          <c:xMode val="edge"/>
          <c:yMode val="edge"/>
          <c:x val="0.15018087855297158"/>
          <c:y val="0"/>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CO"/>
        </a:p>
      </c:txPr>
    </c:title>
    <c:autoTitleDeleted val="0"/>
    <c:plotArea>
      <c:layout>
        <c:manualLayout>
          <c:layoutTarget val="inner"/>
          <c:xMode val="edge"/>
          <c:yMode val="edge"/>
          <c:x val="9.7122703412073491E-2"/>
          <c:y val="0.13930555555555554"/>
          <c:w val="0.87232174103237092"/>
          <c:h val="0.64180008748906392"/>
        </c:manualLayout>
      </c:layout>
      <c:barChart>
        <c:barDir val="col"/>
        <c:grouping val="percentStacked"/>
        <c:varyColors val="0"/>
        <c:ser>
          <c:idx val="0"/>
          <c:order val="0"/>
          <c:tx>
            <c:strRef>
              <c:f>'Ficha Municipal'!$A$47</c:f>
              <c:strCache>
                <c:ptCount val="1"/>
                <c:pt idx="0">
                  <c:v>Sector Primario</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Municipal'!$B$46:$I$46</c:f>
              <c:strCache>
                <c:ptCount val="8"/>
                <c:pt idx="0">
                  <c:v>2015</c:v>
                </c:pt>
                <c:pt idx="1">
                  <c:v>2016</c:v>
                </c:pt>
                <c:pt idx="2">
                  <c:v>2017</c:v>
                </c:pt>
                <c:pt idx="3">
                  <c:v>2018</c:v>
                </c:pt>
                <c:pt idx="4">
                  <c:v>2019</c:v>
                </c:pt>
                <c:pt idx="5">
                  <c:v>2020</c:v>
                </c:pt>
                <c:pt idx="6">
                  <c:v>2021p</c:v>
                </c:pt>
                <c:pt idx="7">
                  <c:v>2022pr</c:v>
                </c:pt>
              </c:strCache>
            </c:strRef>
          </c:cat>
          <c:val>
            <c:numRef>
              <c:f>'Ficha Municipal'!$B$47:$I$47</c:f>
              <c:numCache>
                <c:formatCode>0.0%</c:formatCode>
                <c:ptCount val="8"/>
                <c:pt idx="0">
                  <c:v>1.2725451820634068E-2</c:v>
                </c:pt>
                <c:pt idx="1">
                  <c:v>1.5613120041080918E-2</c:v>
                </c:pt>
                <c:pt idx="2">
                  <c:v>1.8790125591937719E-2</c:v>
                </c:pt>
                <c:pt idx="3">
                  <c:v>1.1886822268516938E-2</c:v>
                </c:pt>
                <c:pt idx="4">
                  <c:v>9.8190069240270354E-3</c:v>
                </c:pt>
                <c:pt idx="5">
                  <c:v>1.1954307622951282E-2</c:v>
                </c:pt>
                <c:pt idx="6">
                  <c:v>9.5926794039805953E-3</c:v>
                </c:pt>
                <c:pt idx="7">
                  <c:v>1.0827758565185421E-2</c:v>
                </c:pt>
              </c:numCache>
            </c:numRef>
          </c:val>
          <c:extLst>
            <c:ext xmlns:c16="http://schemas.microsoft.com/office/drawing/2014/chart" uri="{C3380CC4-5D6E-409C-BE32-E72D297353CC}">
              <c16:uniqueId val="{00000000-38FC-490C-919D-ED38C26CF14A}"/>
            </c:ext>
          </c:extLst>
        </c:ser>
        <c:ser>
          <c:idx val="1"/>
          <c:order val="1"/>
          <c:tx>
            <c:strRef>
              <c:f>'Ficha Municipal'!$A$48</c:f>
              <c:strCache>
                <c:ptCount val="1"/>
                <c:pt idx="0">
                  <c:v>Sector Secundario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Municipal'!$B$46:$I$46</c:f>
              <c:strCache>
                <c:ptCount val="8"/>
                <c:pt idx="0">
                  <c:v>2015</c:v>
                </c:pt>
                <c:pt idx="1">
                  <c:v>2016</c:v>
                </c:pt>
                <c:pt idx="2">
                  <c:v>2017</c:v>
                </c:pt>
                <c:pt idx="3">
                  <c:v>2018</c:v>
                </c:pt>
                <c:pt idx="4">
                  <c:v>2019</c:v>
                </c:pt>
                <c:pt idx="5">
                  <c:v>2020</c:v>
                </c:pt>
                <c:pt idx="6">
                  <c:v>2021p</c:v>
                </c:pt>
                <c:pt idx="7">
                  <c:v>2022pr</c:v>
                </c:pt>
              </c:strCache>
            </c:strRef>
          </c:cat>
          <c:val>
            <c:numRef>
              <c:f>'Ficha Municipal'!$B$48:$I$48</c:f>
              <c:numCache>
                <c:formatCode>0.0%</c:formatCode>
                <c:ptCount val="8"/>
                <c:pt idx="0">
                  <c:v>8.6449428409234183E-2</c:v>
                </c:pt>
                <c:pt idx="1">
                  <c:v>8.5510748328376796E-2</c:v>
                </c:pt>
                <c:pt idx="2">
                  <c:v>8.430558278691877E-2</c:v>
                </c:pt>
                <c:pt idx="3">
                  <c:v>8.6031686124241502E-2</c:v>
                </c:pt>
                <c:pt idx="4">
                  <c:v>8.2341688618198058E-2</c:v>
                </c:pt>
                <c:pt idx="5">
                  <c:v>6.0614586274646304E-2</c:v>
                </c:pt>
                <c:pt idx="6">
                  <c:v>6.2046910878877475E-2</c:v>
                </c:pt>
                <c:pt idx="7">
                  <c:v>6.0972996260293698E-2</c:v>
                </c:pt>
              </c:numCache>
            </c:numRef>
          </c:val>
          <c:extLst>
            <c:ext xmlns:c16="http://schemas.microsoft.com/office/drawing/2014/chart" uri="{C3380CC4-5D6E-409C-BE32-E72D297353CC}">
              <c16:uniqueId val="{00000001-38FC-490C-919D-ED38C26CF14A}"/>
            </c:ext>
          </c:extLst>
        </c:ser>
        <c:ser>
          <c:idx val="2"/>
          <c:order val="2"/>
          <c:tx>
            <c:strRef>
              <c:f>'Ficha Municipal'!$A$49</c:f>
              <c:strCache>
                <c:ptCount val="1"/>
                <c:pt idx="0">
                  <c:v>Sector Terciario</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Municipal'!$B$46:$I$46</c:f>
              <c:strCache>
                <c:ptCount val="8"/>
                <c:pt idx="0">
                  <c:v>2015</c:v>
                </c:pt>
                <c:pt idx="1">
                  <c:v>2016</c:v>
                </c:pt>
                <c:pt idx="2">
                  <c:v>2017</c:v>
                </c:pt>
                <c:pt idx="3">
                  <c:v>2018</c:v>
                </c:pt>
                <c:pt idx="4">
                  <c:v>2019</c:v>
                </c:pt>
                <c:pt idx="5">
                  <c:v>2020</c:v>
                </c:pt>
                <c:pt idx="6">
                  <c:v>2021p</c:v>
                </c:pt>
                <c:pt idx="7">
                  <c:v>2022pr</c:v>
                </c:pt>
              </c:strCache>
            </c:strRef>
          </c:cat>
          <c:val>
            <c:numRef>
              <c:f>'Ficha Municipal'!$B$49:$I$49</c:f>
              <c:numCache>
                <c:formatCode>0.0%</c:formatCode>
                <c:ptCount val="8"/>
                <c:pt idx="0">
                  <c:v>0.90082511977013169</c:v>
                </c:pt>
                <c:pt idx="1">
                  <c:v>0.89887613163054214</c:v>
                </c:pt>
                <c:pt idx="2">
                  <c:v>0.89690429162114349</c:v>
                </c:pt>
                <c:pt idx="3">
                  <c:v>0.9020814916072416</c:v>
                </c:pt>
                <c:pt idx="4">
                  <c:v>0.90783930445777494</c:v>
                </c:pt>
                <c:pt idx="5">
                  <c:v>0.92743110610240242</c:v>
                </c:pt>
                <c:pt idx="6">
                  <c:v>0.92836040971714195</c:v>
                </c:pt>
                <c:pt idx="7">
                  <c:v>0.92819924517452079</c:v>
                </c:pt>
              </c:numCache>
            </c:numRef>
          </c:val>
          <c:extLst>
            <c:ext xmlns:c16="http://schemas.microsoft.com/office/drawing/2014/chart" uri="{C3380CC4-5D6E-409C-BE32-E72D297353CC}">
              <c16:uniqueId val="{00000002-38FC-490C-919D-ED38C26CF14A}"/>
            </c:ext>
          </c:extLst>
        </c:ser>
        <c:dLbls>
          <c:showLegendKey val="0"/>
          <c:showVal val="0"/>
          <c:showCatName val="0"/>
          <c:showSerName val="0"/>
          <c:showPercent val="0"/>
          <c:showBubbleSize val="0"/>
        </c:dLbls>
        <c:gapWidth val="50"/>
        <c:overlap val="100"/>
        <c:axId val="713706112"/>
        <c:axId val="713717344"/>
      </c:barChart>
      <c:catAx>
        <c:axId val="71370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CO"/>
          </a:p>
        </c:txPr>
        <c:crossAx val="713717344"/>
        <c:crosses val="autoZero"/>
        <c:auto val="1"/>
        <c:lblAlgn val="ctr"/>
        <c:lblOffset val="100"/>
        <c:noMultiLvlLbl val="0"/>
      </c:catAx>
      <c:valAx>
        <c:axId val="7137173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CO"/>
          </a:p>
        </c:txPr>
        <c:crossAx val="713706112"/>
        <c:crosses val="autoZero"/>
        <c:crossBetween val="between"/>
      </c:valAx>
      <c:spPr>
        <a:noFill/>
        <a:ln>
          <a:noFill/>
        </a:ln>
        <a:effectLst/>
      </c:spPr>
    </c:plotArea>
    <c:legend>
      <c:legendPos val="b"/>
      <c:layout>
        <c:manualLayout>
          <c:xMode val="edge"/>
          <c:yMode val="edge"/>
          <c:x val="0.10711089238845144"/>
          <c:y val="0.9023939195100612"/>
          <c:w val="0.73990336615132157"/>
          <c:h val="7.931715949845547E-2"/>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CO"/>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C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'Ficha Municipal'!$N$1</c:f>
          <c:strCache>
            <c:ptCount val="1"/>
            <c:pt idx="0">
              <c:v>Distribución del Valor Agregado en precios corrientes por ramas de actividad económica del Municipio de Guatapé 2022pr</c:v>
            </c:pt>
          </c:strCache>
        </c:strRef>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CO"/>
        </a:p>
      </c:txPr>
    </c:title>
    <c:autoTitleDeleted val="0"/>
    <c:plotArea>
      <c:layout>
        <c:manualLayout>
          <c:layoutTarget val="inner"/>
          <c:xMode val="edge"/>
          <c:yMode val="edge"/>
          <c:x val="0.27060770002089163"/>
          <c:y val="0.24146695890855968"/>
          <c:w val="0.51771267211540006"/>
          <c:h val="0.63219288738406443"/>
        </c:manualLayout>
      </c:layout>
      <c:pie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2-045E-45E2-B0F7-27A33045E2A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5E-45E2-B0F7-27A33045E2A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045E-45E2-B0F7-27A33045E2A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448-4DC9-B61A-2D37BA38312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5-045E-45E2-B0F7-27A33045E2A6}"/>
              </c:ext>
            </c:extLst>
          </c:dPt>
          <c:dPt>
            <c:idx val="5"/>
            <c:bubble3D val="0"/>
            <c:spPr>
              <a:solidFill>
                <a:srgbClr val="40C8BE"/>
              </a:solidFill>
              <a:ln w="19050">
                <a:solidFill>
                  <a:schemeClr val="lt1"/>
                </a:solidFill>
              </a:ln>
              <a:effectLst/>
            </c:spPr>
            <c:extLst>
              <c:ext xmlns:c16="http://schemas.microsoft.com/office/drawing/2014/chart" uri="{C3380CC4-5D6E-409C-BE32-E72D297353CC}">
                <c16:uniqueId val="{00000006-045E-45E2-B0F7-27A33045E2A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045E-45E2-B0F7-27A33045E2A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9-045E-45E2-B0F7-27A33045E2A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8-045E-45E2-B0F7-27A33045E2A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A-045E-45E2-B0F7-27A33045E2A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045E-45E2-B0F7-27A33045E2A6}"/>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C-045E-45E2-B0F7-27A33045E2A6}"/>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CO"/>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'Ficha Municipal'!$A$106:$A$117</c:f>
              <c:strCache>
                <c:ptCount val="12"/>
                <c:pt idx="0">
                  <c:v>Agricultura, ganadería, caza, silvicultura y pesca  </c:v>
                </c:pt>
                <c:pt idx="1">
                  <c:v>Explotación de minas y canteras </c:v>
                </c:pt>
                <c:pt idx="2">
                  <c:v>Industrias manufactureras </c:v>
                </c:pt>
                <c:pt idx="3">
                  <c:v>Construcción</c:v>
                </c:pt>
                <c:pt idx="4">
                  <c:v>Suministro de electricidad, gas,  agua (1)</c:v>
                </c:pt>
                <c:pt idx="5">
                  <c:v>Comercio; reparación de automotores(2)</c:v>
                </c:pt>
                <c:pt idx="6">
                  <c:v>Información y comunicaciones </c:v>
                </c:pt>
                <c:pt idx="7">
                  <c:v>Actividades financieras y de seguros</c:v>
                </c:pt>
                <c:pt idx="8">
                  <c:v>Actividades inmobiliarias</c:v>
                </c:pt>
                <c:pt idx="9">
                  <c:v>Actividades profesionales, científicas  (3)</c:v>
                </c:pt>
                <c:pt idx="10">
                  <c:v>Administración pública,  educación; salud humana (4)</c:v>
                </c:pt>
                <c:pt idx="11">
                  <c:v>Actividades artísticas, entretenimiento y recreación (5)</c:v>
                </c:pt>
              </c:strCache>
            </c:strRef>
          </c:cat>
          <c:val>
            <c:numRef>
              <c:f>'Ficha Municipal'!$J$106:$J$117</c:f>
              <c:numCache>
                <c:formatCode>0.0%</c:formatCode>
                <c:ptCount val="12"/>
                <c:pt idx="0">
                  <c:v>1.0827758565185421E-2</c:v>
                </c:pt>
                <c:pt idx="1">
                  <c:v>0</c:v>
                </c:pt>
                <c:pt idx="2">
                  <c:v>2.2626948938733498E-2</c:v>
                </c:pt>
                <c:pt idx="3">
                  <c:v>3.8346047321560196E-2</c:v>
                </c:pt>
                <c:pt idx="4">
                  <c:v>6.1118966445374866E-2</c:v>
                </c:pt>
                <c:pt idx="5">
                  <c:v>0.35932637201479728</c:v>
                </c:pt>
                <c:pt idx="6">
                  <c:v>2.9453468673962684E-2</c:v>
                </c:pt>
                <c:pt idx="7">
                  <c:v>9.4552391056276757E-3</c:v>
                </c:pt>
                <c:pt idx="8">
                  <c:v>0.14866041586185219</c:v>
                </c:pt>
                <c:pt idx="9">
                  <c:v>0.11654194282998648</c:v>
                </c:pt>
                <c:pt idx="10">
                  <c:v>0.16034995070657054</c:v>
                </c:pt>
                <c:pt idx="11">
                  <c:v>4.3292889536349223E-2</c:v>
                </c:pt>
              </c:numCache>
            </c:numRef>
          </c:val>
          <c:extLst>
            <c:ext xmlns:c16="http://schemas.microsoft.com/office/drawing/2014/chart" uri="{C3380CC4-5D6E-409C-BE32-E72D297353CC}">
              <c16:uniqueId val="{00000001-045E-45E2-B0F7-27A33045E2A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lumMod val="95000"/>
        <a:alpha val="98000"/>
      </a:schemeClr>
    </a:solidFill>
    <a:ln w="19050" cap="flat" cmpd="sng" algn="ctr">
      <a:solidFill>
        <a:schemeClr val="tx1"/>
      </a:solidFill>
      <a:round/>
    </a:ln>
    <a:effectLst/>
  </c:spPr>
  <c:txPr>
    <a:bodyPr/>
    <a:lstStyle/>
    <a:p>
      <a:pPr>
        <a:defRPr>
          <a:solidFill>
            <a:sysClr val="windowText" lastClr="000000"/>
          </a:solidFill>
        </a:defRPr>
      </a:pPr>
      <a:endParaRPr lang="en-C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strRef>
          <c:f>'Ficha Municipal'!$S$1</c:f>
          <c:strCache>
            <c:ptCount val="1"/>
            <c:pt idx="0">
              <c:v>Tasa de variación del valor agregado por sectores económicos en precios constantes del Municipio de Guatapé 2015 - 2022</c:v>
            </c:pt>
          </c:strCache>
        </c:strRef>
      </c:tx>
      <c:layout>
        <c:manualLayout>
          <c:xMode val="edge"/>
          <c:yMode val="edge"/>
          <c:x val="0.12666074377371975"/>
          <c:y val="4.1588034172920429E-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CO"/>
        </a:p>
      </c:txPr>
    </c:title>
    <c:autoTitleDeleted val="0"/>
    <c:plotArea>
      <c:layout>
        <c:manualLayout>
          <c:layoutTarget val="inner"/>
          <c:xMode val="edge"/>
          <c:yMode val="edge"/>
          <c:x val="0.10162271492001956"/>
          <c:y val="0.15565345517474058"/>
          <c:w val="0.87035690582003533"/>
          <c:h val="0.67110420262313264"/>
        </c:manualLayout>
      </c:layout>
      <c:barChart>
        <c:barDir val="col"/>
        <c:grouping val="clustered"/>
        <c:varyColors val="0"/>
        <c:ser>
          <c:idx val="1"/>
          <c:order val="0"/>
          <c:tx>
            <c:strRef>
              <c:f>'Ficha Municipal'!$A$62</c:f>
              <c:strCache>
                <c:ptCount val="1"/>
                <c:pt idx="0">
                  <c:v>Sector Primario</c:v>
                </c:pt>
              </c:strCache>
            </c:strRef>
          </c:tx>
          <c:spPr>
            <a:solidFill>
              <a:schemeClr val="accent6">
                <a:lumMod val="75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Municipal'!$B$61:$H$61</c:f>
              <c:strCache>
                <c:ptCount val="7"/>
                <c:pt idx="0">
                  <c:v>2016</c:v>
                </c:pt>
                <c:pt idx="1">
                  <c:v>2017</c:v>
                </c:pt>
                <c:pt idx="2">
                  <c:v>2018</c:v>
                </c:pt>
                <c:pt idx="3">
                  <c:v>2019</c:v>
                </c:pt>
                <c:pt idx="4">
                  <c:v>2020</c:v>
                </c:pt>
                <c:pt idx="5">
                  <c:v>2021p</c:v>
                </c:pt>
                <c:pt idx="6">
                  <c:v>2022pr</c:v>
                </c:pt>
              </c:strCache>
            </c:strRef>
          </c:cat>
          <c:val>
            <c:numRef>
              <c:f>'Ficha Municipal'!$B$62:$H$62</c:f>
              <c:numCache>
                <c:formatCode>0.0%</c:formatCode>
                <c:ptCount val="7"/>
                <c:pt idx="0">
                  <c:v>0.36841138752248942</c:v>
                </c:pt>
                <c:pt idx="1">
                  <c:v>0.29613386819247844</c:v>
                </c:pt>
                <c:pt idx="2">
                  <c:v>-0.34324699912730067</c:v>
                </c:pt>
                <c:pt idx="3">
                  <c:v>-0.16056046707030749</c:v>
                </c:pt>
                <c:pt idx="4">
                  <c:v>0.16278720817676573</c:v>
                </c:pt>
                <c:pt idx="5">
                  <c:v>-0.20109106779731417</c:v>
                </c:pt>
                <c:pt idx="6">
                  <c:v>-4.5004845319370913E-2</c:v>
                </c:pt>
              </c:numCache>
            </c:numRef>
          </c:val>
          <c:extLst>
            <c:ext xmlns:c16="http://schemas.microsoft.com/office/drawing/2014/chart" uri="{C3380CC4-5D6E-409C-BE32-E72D297353CC}">
              <c16:uniqueId val="{00000001-10FE-4E47-9621-524818C9682E}"/>
            </c:ext>
          </c:extLst>
        </c:ser>
        <c:ser>
          <c:idx val="2"/>
          <c:order val="1"/>
          <c:tx>
            <c:strRef>
              <c:f>'Ficha Municipal'!$A$63</c:f>
              <c:strCache>
                <c:ptCount val="1"/>
                <c:pt idx="0">
                  <c:v>Sector Secundario</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Municipal'!$B$61:$H$61</c:f>
              <c:strCache>
                <c:ptCount val="7"/>
                <c:pt idx="0">
                  <c:v>2016</c:v>
                </c:pt>
                <c:pt idx="1">
                  <c:v>2017</c:v>
                </c:pt>
                <c:pt idx="2">
                  <c:v>2018</c:v>
                </c:pt>
                <c:pt idx="3">
                  <c:v>2019</c:v>
                </c:pt>
                <c:pt idx="4">
                  <c:v>2020</c:v>
                </c:pt>
                <c:pt idx="5">
                  <c:v>2021p</c:v>
                </c:pt>
                <c:pt idx="6">
                  <c:v>2022pr</c:v>
                </c:pt>
              </c:strCache>
            </c:strRef>
          </c:cat>
          <c:val>
            <c:numRef>
              <c:f>'Ficha Municipal'!$B$63:$H$63</c:f>
              <c:numCache>
                <c:formatCode>0.0%</c:formatCode>
                <c:ptCount val="7"/>
                <c:pt idx="0">
                  <c:v>0.22838110832782743</c:v>
                </c:pt>
                <c:pt idx="1">
                  <c:v>6.9447578771771046E-2</c:v>
                </c:pt>
                <c:pt idx="2">
                  <c:v>8.7952539710644831E-2</c:v>
                </c:pt>
                <c:pt idx="3">
                  <c:v>7.6718570107861426E-3</c:v>
                </c:pt>
                <c:pt idx="4">
                  <c:v>-0.27400132171770053</c:v>
                </c:pt>
                <c:pt idx="5">
                  <c:v>0.1238389705158638</c:v>
                </c:pt>
                <c:pt idx="6">
                  <c:v>3.3508463138721627E-2</c:v>
                </c:pt>
              </c:numCache>
            </c:numRef>
          </c:val>
          <c:extLst>
            <c:ext xmlns:c16="http://schemas.microsoft.com/office/drawing/2014/chart" uri="{C3380CC4-5D6E-409C-BE32-E72D297353CC}">
              <c16:uniqueId val="{00000002-10FE-4E47-9621-524818C9682E}"/>
            </c:ext>
          </c:extLst>
        </c:ser>
        <c:ser>
          <c:idx val="3"/>
          <c:order val="2"/>
          <c:tx>
            <c:strRef>
              <c:f>'Ficha Municipal'!$A$64</c:f>
              <c:strCache>
                <c:ptCount val="1"/>
                <c:pt idx="0">
                  <c:v>Sector Terciario</c:v>
                </c:pt>
              </c:strCache>
            </c:strRef>
          </c:tx>
          <c:spPr>
            <a:solidFill>
              <a:schemeClr val="accent5">
                <a:lumMod val="60000"/>
                <a:lumOff val="4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Municipal'!$B$61:$H$61</c:f>
              <c:strCache>
                <c:ptCount val="7"/>
                <c:pt idx="0">
                  <c:v>2016</c:v>
                </c:pt>
                <c:pt idx="1">
                  <c:v>2017</c:v>
                </c:pt>
                <c:pt idx="2">
                  <c:v>2018</c:v>
                </c:pt>
                <c:pt idx="3">
                  <c:v>2019</c:v>
                </c:pt>
                <c:pt idx="4">
                  <c:v>2020</c:v>
                </c:pt>
                <c:pt idx="5">
                  <c:v>2021p</c:v>
                </c:pt>
                <c:pt idx="6">
                  <c:v>2022pr</c:v>
                </c:pt>
              </c:strCache>
            </c:strRef>
          </c:cat>
          <c:val>
            <c:numRef>
              <c:f>'Ficha Municipal'!$B$64:$H$64</c:f>
              <c:numCache>
                <c:formatCode>0.0%</c:formatCode>
                <c:ptCount val="7"/>
                <c:pt idx="0">
                  <c:v>0.21393375525203698</c:v>
                </c:pt>
                <c:pt idx="1">
                  <c:v>-4.4843014521665813E-4</c:v>
                </c:pt>
                <c:pt idx="2">
                  <c:v>5.3441099073751872E-2</c:v>
                </c:pt>
                <c:pt idx="3">
                  <c:v>6.4834861787034015E-2</c:v>
                </c:pt>
                <c:pt idx="4">
                  <c:v>2.2089549891040082E-2</c:v>
                </c:pt>
                <c:pt idx="5">
                  <c:v>0.13165359550541861</c:v>
                </c:pt>
                <c:pt idx="6">
                  <c:v>7.4925343665037988E-2</c:v>
                </c:pt>
              </c:numCache>
            </c:numRef>
          </c:val>
          <c:extLst>
            <c:ext xmlns:c16="http://schemas.microsoft.com/office/drawing/2014/chart" uri="{C3380CC4-5D6E-409C-BE32-E72D297353CC}">
              <c16:uniqueId val="{00000003-10FE-4E47-9621-524818C9682E}"/>
            </c:ext>
          </c:extLst>
        </c:ser>
        <c:dLbls>
          <c:showLegendKey val="0"/>
          <c:showVal val="0"/>
          <c:showCatName val="0"/>
          <c:showSerName val="0"/>
          <c:showPercent val="0"/>
          <c:showBubbleSize val="0"/>
        </c:dLbls>
        <c:gapWidth val="150"/>
        <c:axId val="582751472"/>
        <c:axId val="582752720"/>
      </c:barChart>
      <c:catAx>
        <c:axId val="58275147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CO"/>
          </a:p>
        </c:txPr>
        <c:crossAx val="582752720"/>
        <c:crosses val="autoZero"/>
        <c:auto val="1"/>
        <c:lblAlgn val="ctr"/>
        <c:lblOffset val="100"/>
        <c:noMultiLvlLbl val="0"/>
      </c:catAx>
      <c:valAx>
        <c:axId val="58275272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CO"/>
          </a:p>
        </c:txPr>
        <c:crossAx val="582751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CO"/>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CO"/>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strRef>
          <c:f>'Ficha Municipal'!$R$1</c:f>
          <c:strCache>
            <c:ptCount val="1"/>
            <c:pt idx="0">
              <c:v>Valor agregado por sectores económicos en precios constantes del Municipio de Guatapé 2015 - 2022</c:v>
            </c:pt>
          </c:strCache>
        </c:strRef>
      </c:tx>
      <c:layout>
        <c:manualLayout>
          <c:xMode val="edge"/>
          <c:yMode val="edge"/>
          <c:x val="0.10417032781779743"/>
          <c:y val="8.3176068345840858E-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CO"/>
        </a:p>
      </c:txPr>
    </c:title>
    <c:autoTitleDeleted val="0"/>
    <c:plotArea>
      <c:layout>
        <c:manualLayout>
          <c:layoutTarget val="inner"/>
          <c:xMode val="edge"/>
          <c:yMode val="edge"/>
          <c:x val="0.10162271492001956"/>
          <c:y val="0.15565345517474058"/>
          <c:w val="0.87035690582003533"/>
          <c:h val="0.67110420262313264"/>
        </c:manualLayout>
      </c:layout>
      <c:lineChart>
        <c:grouping val="standard"/>
        <c:varyColors val="0"/>
        <c:ser>
          <c:idx val="1"/>
          <c:order val="0"/>
          <c:tx>
            <c:strRef>
              <c:f>'Ficha Municipal'!$A$54</c:f>
              <c:strCache>
                <c:ptCount val="1"/>
                <c:pt idx="0">
                  <c:v>Sector Primario</c:v>
                </c:pt>
              </c:strCache>
            </c:strRef>
          </c:tx>
          <c:spPr>
            <a:ln w="28575" cap="rnd">
              <a:solidFill>
                <a:schemeClr val="accent6">
                  <a:lumMod val="75000"/>
                </a:schemeClr>
              </a:solidFill>
              <a:round/>
            </a:ln>
            <a:effectLst/>
          </c:spPr>
          <c:marker>
            <c:symbol val="none"/>
          </c:marker>
          <c:dLbls>
            <c:spPr>
              <a:solidFill>
                <a:schemeClr val="accent6">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Municipal'!$B$53:$I$53</c:f>
              <c:strCache>
                <c:ptCount val="8"/>
                <c:pt idx="0">
                  <c:v>2015</c:v>
                </c:pt>
                <c:pt idx="1">
                  <c:v>2016</c:v>
                </c:pt>
                <c:pt idx="2">
                  <c:v>2017</c:v>
                </c:pt>
                <c:pt idx="3">
                  <c:v>2018</c:v>
                </c:pt>
                <c:pt idx="4">
                  <c:v>2019</c:v>
                </c:pt>
                <c:pt idx="5">
                  <c:v>2020</c:v>
                </c:pt>
                <c:pt idx="6">
                  <c:v>2021p</c:v>
                </c:pt>
                <c:pt idx="7">
                  <c:v>2022pr</c:v>
                </c:pt>
              </c:strCache>
            </c:strRef>
          </c:cat>
          <c:val>
            <c:numRef>
              <c:f>'Ficha Municipal'!$B$54:$I$54</c:f>
              <c:numCache>
                <c:formatCode>#,##0.00</c:formatCode>
                <c:ptCount val="8"/>
                <c:pt idx="0">
                  <c:v>2.8973141719562014</c:v>
                </c:pt>
                <c:pt idx="1">
                  <c:v>3.9647177061351582</c:v>
                </c:pt>
                <c:pt idx="2">
                  <c:v>5.1388048967441726</c:v>
                </c:pt>
                <c:pt idx="3">
                  <c:v>3.3749255368360571</c:v>
                </c:pt>
                <c:pt idx="4">
                  <c:v>2.8330459163141515</c:v>
                </c:pt>
                <c:pt idx="5">
                  <c:v>3.2942295516675193</c:v>
                </c:pt>
                <c:pt idx="6">
                  <c:v>2.6317894135532303</c:v>
                </c:pt>
                <c:pt idx="7">
                  <c:v>2.5133461380831092</c:v>
                </c:pt>
              </c:numCache>
            </c:numRef>
          </c:val>
          <c:smooth val="0"/>
          <c:extLst>
            <c:ext xmlns:c16="http://schemas.microsoft.com/office/drawing/2014/chart" uri="{C3380CC4-5D6E-409C-BE32-E72D297353CC}">
              <c16:uniqueId val="{00000001-27A3-4E36-9F06-A015BD29D918}"/>
            </c:ext>
          </c:extLst>
        </c:ser>
        <c:ser>
          <c:idx val="2"/>
          <c:order val="1"/>
          <c:tx>
            <c:strRef>
              <c:f>'Ficha Municipal'!$A$55</c:f>
              <c:strCache>
                <c:ptCount val="1"/>
                <c:pt idx="0">
                  <c:v>Sector Secundario</c:v>
                </c:pt>
              </c:strCache>
            </c:strRef>
          </c:tx>
          <c:spPr>
            <a:ln w="28575" cap="rnd">
              <a:solidFill>
                <a:schemeClr val="accent2"/>
              </a:solidFill>
              <a:round/>
            </a:ln>
            <a:effectLst/>
          </c:spPr>
          <c:marker>
            <c:symbol val="none"/>
          </c:marker>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Municipal'!$B$53:$I$53</c:f>
              <c:strCache>
                <c:ptCount val="8"/>
                <c:pt idx="0">
                  <c:v>2015</c:v>
                </c:pt>
                <c:pt idx="1">
                  <c:v>2016</c:v>
                </c:pt>
                <c:pt idx="2">
                  <c:v>2017</c:v>
                </c:pt>
                <c:pt idx="3">
                  <c:v>2018</c:v>
                </c:pt>
                <c:pt idx="4">
                  <c:v>2019</c:v>
                </c:pt>
                <c:pt idx="5">
                  <c:v>2020</c:v>
                </c:pt>
                <c:pt idx="6">
                  <c:v>2021p</c:v>
                </c:pt>
                <c:pt idx="7">
                  <c:v>2022pr</c:v>
                </c:pt>
              </c:strCache>
            </c:strRef>
          </c:cat>
          <c:val>
            <c:numRef>
              <c:f>'Ficha Municipal'!$B$55:$I$55</c:f>
              <c:numCache>
                <c:formatCode>#,##0.00</c:formatCode>
                <c:ptCount val="8"/>
                <c:pt idx="0">
                  <c:v>19.682692419726365</c:v>
                </c:pt>
                <c:pt idx="1">
                  <c:v>24.1778475294192</c:v>
                </c:pt>
                <c:pt idx="2">
                  <c:v>25.85694050025041</c:v>
                </c:pt>
                <c:pt idx="3">
                  <c:v>28.131124086394465</c:v>
                </c:pt>
                <c:pt idx="4">
                  <c:v>28.346942047937965</c:v>
                </c:pt>
                <c:pt idx="5">
                  <c:v>20.579842460147901</c:v>
                </c:pt>
                <c:pt idx="6">
                  <c:v>23.128428963791279</c:v>
                </c:pt>
                <c:pt idx="7">
                  <c:v>23.903427073181021</c:v>
                </c:pt>
              </c:numCache>
            </c:numRef>
          </c:val>
          <c:smooth val="0"/>
          <c:extLst>
            <c:ext xmlns:c16="http://schemas.microsoft.com/office/drawing/2014/chart" uri="{C3380CC4-5D6E-409C-BE32-E72D297353CC}">
              <c16:uniqueId val="{00000002-27A3-4E36-9F06-A015BD29D918}"/>
            </c:ext>
          </c:extLst>
        </c:ser>
        <c:ser>
          <c:idx val="3"/>
          <c:order val="2"/>
          <c:tx>
            <c:strRef>
              <c:f>'Ficha Municipal'!$A$56</c:f>
              <c:strCache>
                <c:ptCount val="1"/>
                <c:pt idx="0">
                  <c:v>Sector Terciario</c:v>
                </c:pt>
              </c:strCache>
            </c:strRef>
          </c:tx>
          <c:spPr>
            <a:ln w="28575" cap="rnd">
              <a:solidFill>
                <a:schemeClr val="accent5">
                  <a:lumMod val="60000"/>
                  <a:lumOff val="40000"/>
                </a:schemeClr>
              </a:solidFill>
              <a:round/>
            </a:ln>
            <a:effectLst/>
          </c:spPr>
          <c:marker>
            <c:symbol val="none"/>
          </c:marker>
          <c:dLbls>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Municipal'!$B$53:$I$53</c:f>
              <c:strCache>
                <c:ptCount val="8"/>
                <c:pt idx="0">
                  <c:v>2015</c:v>
                </c:pt>
                <c:pt idx="1">
                  <c:v>2016</c:v>
                </c:pt>
                <c:pt idx="2">
                  <c:v>2017</c:v>
                </c:pt>
                <c:pt idx="3">
                  <c:v>2018</c:v>
                </c:pt>
                <c:pt idx="4">
                  <c:v>2019</c:v>
                </c:pt>
                <c:pt idx="5">
                  <c:v>2020</c:v>
                </c:pt>
                <c:pt idx="6">
                  <c:v>2021p</c:v>
                </c:pt>
                <c:pt idx="7">
                  <c:v>2022pr</c:v>
                </c:pt>
              </c:strCache>
            </c:strRef>
          </c:cat>
          <c:val>
            <c:numRef>
              <c:f>'Ficha Municipal'!$B$56:$I$56</c:f>
              <c:numCache>
                <c:formatCode>#,##0.00</c:formatCode>
                <c:ptCount val="8"/>
                <c:pt idx="0">
                  <c:v>205.09868119040968</c:v>
                </c:pt>
                <c:pt idx="1">
                  <c:v>248.97621225471434</c:v>
                </c:pt>
                <c:pt idx="2">
                  <c:v>248.86456381569747</c:v>
                </c:pt>
                <c:pt idx="3">
                  <c:v>262.1641596265182</c:v>
                </c:pt>
                <c:pt idx="4">
                  <c:v>279.16153668141743</c:v>
                </c:pt>
                <c:pt idx="5">
                  <c:v>285.32808937360102</c:v>
                </c:pt>
                <c:pt idx="6">
                  <c:v>322.89255823832701</c:v>
                </c:pt>
                <c:pt idx="7">
                  <c:v>347.08539413121696</c:v>
                </c:pt>
              </c:numCache>
            </c:numRef>
          </c:val>
          <c:smooth val="0"/>
          <c:extLst>
            <c:ext xmlns:c16="http://schemas.microsoft.com/office/drawing/2014/chart" uri="{C3380CC4-5D6E-409C-BE32-E72D297353CC}">
              <c16:uniqueId val="{00000003-27A3-4E36-9F06-A015BD29D918}"/>
            </c:ext>
          </c:extLst>
        </c:ser>
        <c:dLbls>
          <c:showLegendKey val="0"/>
          <c:showVal val="0"/>
          <c:showCatName val="0"/>
          <c:showSerName val="0"/>
          <c:showPercent val="0"/>
          <c:showBubbleSize val="0"/>
        </c:dLbls>
        <c:smooth val="0"/>
        <c:axId val="582751472"/>
        <c:axId val="582752720"/>
      </c:lineChart>
      <c:catAx>
        <c:axId val="58275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CO"/>
          </a:p>
        </c:txPr>
        <c:crossAx val="582752720"/>
        <c:crosses val="autoZero"/>
        <c:auto val="1"/>
        <c:lblAlgn val="ctr"/>
        <c:lblOffset val="100"/>
        <c:noMultiLvlLbl val="0"/>
      </c:catAx>
      <c:valAx>
        <c:axId val="5827527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CO"/>
          </a:p>
        </c:txPr>
        <c:crossAx val="582751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CO"/>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CO"/>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strRef>
          <c:f>'Ficha Municipal'!$U$1</c:f>
          <c:strCache>
            <c:ptCount val="1"/>
            <c:pt idx="0">
              <c:v>Valor Agregado sector económico secundario en precios constantes,  por ramas de actividad económica del Municipio de Guatapé2015 - 2022 (miles de Millones de pesos)</c:v>
            </c:pt>
          </c:strCache>
        </c:strRef>
      </c:tx>
      <c:layout>
        <c:manualLayout>
          <c:xMode val="edge"/>
          <c:yMode val="edge"/>
          <c:x val="0.10181086008009085"/>
          <c:y val="6.6940754796542276E-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CO"/>
        </a:p>
      </c:txPr>
    </c:title>
    <c:autoTitleDeleted val="0"/>
    <c:plotArea>
      <c:layout>
        <c:manualLayout>
          <c:layoutTarget val="inner"/>
          <c:xMode val="edge"/>
          <c:yMode val="edge"/>
          <c:x val="9.4046666444512816E-2"/>
          <c:y val="0.16690163373199163"/>
          <c:w val="0.88580080618764812"/>
          <c:h val="0.67813319040750697"/>
        </c:manualLayout>
      </c:layout>
      <c:barChart>
        <c:barDir val="col"/>
        <c:grouping val="clustered"/>
        <c:varyColors val="0"/>
        <c:ser>
          <c:idx val="0"/>
          <c:order val="0"/>
          <c:tx>
            <c:strRef>
              <c:f>'Ficha Municipal'!$B$131</c:f>
              <c:strCache>
                <c:ptCount val="1"/>
                <c:pt idx="0">
                  <c:v>2015</c:v>
                </c:pt>
              </c:strCache>
            </c:strRef>
          </c:tx>
          <c:spPr>
            <a:solidFill>
              <a:schemeClr val="accent6">
                <a:shade val="45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Municipal'!$A$134:$A$135</c:f>
              <c:strCache>
                <c:ptCount val="2"/>
                <c:pt idx="0">
                  <c:v>Industrias manufactureras </c:v>
                </c:pt>
                <c:pt idx="1">
                  <c:v>Construcción</c:v>
                </c:pt>
              </c:strCache>
            </c:strRef>
          </c:cat>
          <c:val>
            <c:numRef>
              <c:f>'Ficha Municipal'!$B$134:$B$135</c:f>
              <c:numCache>
                <c:formatCode>#,##0.00</c:formatCode>
                <c:ptCount val="2"/>
                <c:pt idx="0">
                  <c:v>8.403219987394845</c:v>
                </c:pt>
                <c:pt idx="1">
                  <c:v>11.27947243233152</c:v>
                </c:pt>
              </c:numCache>
            </c:numRef>
          </c:val>
          <c:extLst>
            <c:ext xmlns:c16="http://schemas.microsoft.com/office/drawing/2014/chart" uri="{C3380CC4-5D6E-409C-BE32-E72D297353CC}">
              <c16:uniqueId val="{00000000-CBDE-4EC7-BEB4-764C34625B08}"/>
            </c:ext>
          </c:extLst>
        </c:ser>
        <c:ser>
          <c:idx val="1"/>
          <c:order val="1"/>
          <c:tx>
            <c:strRef>
              <c:f>'Ficha Municipal'!$C$131</c:f>
              <c:strCache>
                <c:ptCount val="1"/>
                <c:pt idx="0">
                  <c:v>2016</c:v>
                </c:pt>
              </c:strCache>
            </c:strRef>
          </c:tx>
          <c:spPr>
            <a:solidFill>
              <a:schemeClr val="accent6">
                <a:shade val="61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Municipal'!$A$134:$A$135</c:f>
              <c:strCache>
                <c:ptCount val="2"/>
                <c:pt idx="0">
                  <c:v>Industrias manufactureras </c:v>
                </c:pt>
                <c:pt idx="1">
                  <c:v>Construcción</c:v>
                </c:pt>
              </c:strCache>
            </c:strRef>
          </c:cat>
          <c:val>
            <c:numRef>
              <c:f>'Ficha Municipal'!$C$134:$C$135</c:f>
              <c:numCache>
                <c:formatCode>#,##0.00</c:formatCode>
                <c:ptCount val="2"/>
                <c:pt idx="0">
                  <c:v>2.7375417220238987</c:v>
                </c:pt>
                <c:pt idx="1">
                  <c:v>21.440305807395301</c:v>
                </c:pt>
              </c:numCache>
            </c:numRef>
          </c:val>
          <c:extLst>
            <c:ext xmlns:c16="http://schemas.microsoft.com/office/drawing/2014/chart" uri="{C3380CC4-5D6E-409C-BE32-E72D297353CC}">
              <c16:uniqueId val="{00000001-CBDE-4EC7-BEB4-764C34625B08}"/>
            </c:ext>
          </c:extLst>
        </c:ser>
        <c:ser>
          <c:idx val="2"/>
          <c:order val="2"/>
          <c:tx>
            <c:strRef>
              <c:f>'Ficha Municipal'!$D$131</c:f>
              <c:strCache>
                <c:ptCount val="1"/>
                <c:pt idx="0">
                  <c:v>2017</c:v>
                </c:pt>
              </c:strCache>
            </c:strRef>
          </c:tx>
          <c:spPr>
            <a:solidFill>
              <a:schemeClr val="accent6">
                <a:shade val="76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Municipal'!$A$134:$A$135</c:f>
              <c:strCache>
                <c:ptCount val="2"/>
                <c:pt idx="0">
                  <c:v>Industrias manufactureras </c:v>
                </c:pt>
                <c:pt idx="1">
                  <c:v>Construcción</c:v>
                </c:pt>
              </c:strCache>
            </c:strRef>
          </c:cat>
          <c:val>
            <c:numRef>
              <c:f>'Ficha Municipal'!$D$134:$D$135</c:f>
              <c:numCache>
                <c:formatCode>#,##0.00</c:formatCode>
                <c:ptCount val="2"/>
                <c:pt idx="0">
                  <c:v>2.4810971266782813</c:v>
                </c:pt>
                <c:pt idx="1">
                  <c:v>23.375843373572128</c:v>
                </c:pt>
              </c:numCache>
            </c:numRef>
          </c:val>
          <c:extLst>
            <c:ext xmlns:c16="http://schemas.microsoft.com/office/drawing/2014/chart" uri="{C3380CC4-5D6E-409C-BE32-E72D297353CC}">
              <c16:uniqueId val="{00000000-D839-4BDF-8B15-4203A03106CD}"/>
            </c:ext>
          </c:extLst>
        </c:ser>
        <c:ser>
          <c:idx val="3"/>
          <c:order val="3"/>
          <c:tx>
            <c:strRef>
              <c:f>'Ficha Municipal'!$E$131</c:f>
              <c:strCache>
                <c:ptCount val="1"/>
                <c:pt idx="0">
                  <c:v>2018</c:v>
                </c:pt>
              </c:strCache>
            </c:strRef>
          </c:tx>
          <c:spPr>
            <a:solidFill>
              <a:schemeClr val="accent6">
                <a:shade val="92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Municipal'!$A$134:$A$135</c:f>
              <c:strCache>
                <c:ptCount val="2"/>
                <c:pt idx="0">
                  <c:v>Industrias manufactureras </c:v>
                </c:pt>
                <c:pt idx="1">
                  <c:v>Construcción</c:v>
                </c:pt>
              </c:strCache>
            </c:strRef>
          </c:cat>
          <c:val>
            <c:numRef>
              <c:f>'Ficha Municipal'!$E$134:$E$135</c:f>
              <c:numCache>
                <c:formatCode>#,##0.00</c:formatCode>
                <c:ptCount val="2"/>
                <c:pt idx="0">
                  <c:v>6.7478114965900451</c:v>
                </c:pt>
                <c:pt idx="1">
                  <c:v>21.383312589804419</c:v>
                </c:pt>
              </c:numCache>
            </c:numRef>
          </c:val>
          <c:extLst>
            <c:ext xmlns:c16="http://schemas.microsoft.com/office/drawing/2014/chart" uri="{C3380CC4-5D6E-409C-BE32-E72D297353CC}">
              <c16:uniqueId val="{00000001-D839-4BDF-8B15-4203A03106CD}"/>
            </c:ext>
          </c:extLst>
        </c:ser>
        <c:ser>
          <c:idx val="4"/>
          <c:order val="4"/>
          <c:tx>
            <c:strRef>
              <c:f>'Ficha Municipal'!$F$131</c:f>
              <c:strCache>
                <c:ptCount val="1"/>
                <c:pt idx="0">
                  <c:v>2019</c:v>
                </c:pt>
              </c:strCache>
            </c:strRef>
          </c:tx>
          <c:spPr>
            <a:solidFill>
              <a:schemeClr val="accent6">
                <a:tint val="93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Municipal'!$A$134:$A$135</c:f>
              <c:strCache>
                <c:ptCount val="2"/>
                <c:pt idx="0">
                  <c:v>Industrias manufactureras </c:v>
                </c:pt>
                <c:pt idx="1">
                  <c:v>Construcción</c:v>
                </c:pt>
              </c:strCache>
            </c:strRef>
          </c:cat>
          <c:val>
            <c:numRef>
              <c:f>'Ficha Municipal'!$F$134:$F$135</c:f>
              <c:numCache>
                <c:formatCode>#,##0.00</c:formatCode>
                <c:ptCount val="2"/>
                <c:pt idx="0">
                  <c:v>6.9600172723774794</c:v>
                </c:pt>
                <c:pt idx="1">
                  <c:v>21.386924775560487</c:v>
                </c:pt>
              </c:numCache>
            </c:numRef>
          </c:val>
          <c:extLst>
            <c:ext xmlns:c16="http://schemas.microsoft.com/office/drawing/2014/chart" uri="{C3380CC4-5D6E-409C-BE32-E72D297353CC}">
              <c16:uniqueId val="{00000002-D839-4BDF-8B15-4203A03106CD}"/>
            </c:ext>
          </c:extLst>
        </c:ser>
        <c:ser>
          <c:idx val="5"/>
          <c:order val="5"/>
          <c:tx>
            <c:strRef>
              <c:f>'Ficha Municipal'!$G$131</c:f>
              <c:strCache>
                <c:ptCount val="1"/>
                <c:pt idx="0">
                  <c:v>2020</c:v>
                </c:pt>
              </c:strCache>
            </c:strRef>
          </c:tx>
          <c:spPr>
            <a:solidFill>
              <a:schemeClr val="accent6">
                <a:tint val="77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Municipal'!$A$134:$A$135</c:f>
              <c:strCache>
                <c:ptCount val="2"/>
                <c:pt idx="0">
                  <c:v>Industrias manufactureras </c:v>
                </c:pt>
                <c:pt idx="1">
                  <c:v>Construcción</c:v>
                </c:pt>
              </c:strCache>
            </c:strRef>
          </c:cat>
          <c:val>
            <c:numRef>
              <c:f>'Ficha Municipal'!$G$134:$G$135</c:f>
              <c:numCache>
                <c:formatCode>#,##0.00</c:formatCode>
                <c:ptCount val="2"/>
                <c:pt idx="0">
                  <c:v>6.3192683980475053</c:v>
                </c:pt>
                <c:pt idx="1">
                  <c:v>14.260574062100398</c:v>
                </c:pt>
              </c:numCache>
            </c:numRef>
          </c:val>
          <c:extLst>
            <c:ext xmlns:c16="http://schemas.microsoft.com/office/drawing/2014/chart" uri="{C3380CC4-5D6E-409C-BE32-E72D297353CC}">
              <c16:uniqueId val="{00000003-D839-4BDF-8B15-4203A03106CD}"/>
            </c:ext>
          </c:extLst>
        </c:ser>
        <c:ser>
          <c:idx val="6"/>
          <c:order val="6"/>
          <c:tx>
            <c:strRef>
              <c:f>'Ficha Municipal'!$H$131</c:f>
              <c:strCache>
                <c:ptCount val="1"/>
                <c:pt idx="0">
                  <c:v>2021p</c:v>
                </c:pt>
              </c:strCache>
            </c:strRef>
          </c:tx>
          <c:spPr>
            <a:solidFill>
              <a:schemeClr val="accent6">
                <a:tint val="62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Municipal'!$A$134:$A$135</c:f>
              <c:strCache>
                <c:ptCount val="2"/>
                <c:pt idx="0">
                  <c:v>Industrias manufactureras </c:v>
                </c:pt>
                <c:pt idx="1">
                  <c:v>Construcción</c:v>
                </c:pt>
              </c:strCache>
            </c:strRef>
          </c:cat>
          <c:val>
            <c:numRef>
              <c:f>'Ficha Municipal'!$H$134:$H$135</c:f>
              <c:numCache>
                <c:formatCode>#,##0.00</c:formatCode>
                <c:ptCount val="2"/>
                <c:pt idx="0">
                  <c:v>12.779664680412344</c:v>
                </c:pt>
                <c:pt idx="1">
                  <c:v>10.348764283378937</c:v>
                </c:pt>
              </c:numCache>
            </c:numRef>
          </c:val>
          <c:extLst>
            <c:ext xmlns:c16="http://schemas.microsoft.com/office/drawing/2014/chart" uri="{C3380CC4-5D6E-409C-BE32-E72D297353CC}">
              <c16:uniqueId val="{00000000-941F-4430-BC43-D213F5F34DB5}"/>
            </c:ext>
          </c:extLst>
        </c:ser>
        <c:ser>
          <c:idx val="7"/>
          <c:order val="7"/>
          <c:tx>
            <c:strRef>
              <c:f>'Ficha Municipal'!$I$131</c:f>
              <c:strCache>
                <c:ptCount val="1"/>
                <c:pt idx="0">
                  <c:v>2022pr</c:v>
                </c:pt>
              </c:strCache>
            </c:strRef>
          </c:tx>
          <c:spPr>
            <a:solidFill>
              <a:schemeClr val="accent6">
                <a:tint val="46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Municipal'!$A$134:$A$135</c:f>
              <c:strCache>
                <c:ptCount val="2"/>
                <c:pt idx="0">
                  <c:v>Industrias manufactureras </c:v>
                </c:pt>
                <c:pt idx="1">
                  <c:v>Construcción</c:v>
                </c:pt>
              </c:strCache>
            </c:strRef>
          </c:cat>
          <c:val>
            <c:numRef>
              <c:f>'Ficha Municipal'!$I$134:$I$135</c:f>
              <c:numCache>
                <c:formatCode>#,##0.00</c:formatCode>
                <c:ptCount val="2"/>
                <c:pt idx="0">
                  <c:v>8.7513062670212012</c:v>
                </c:pt>
                <c:pt idx="1">
                  <c:v>15.15212080615982</c:v>
                </c:pt>
              </c:numCache>
            </c:numRef>
          </c:val>
          <c:extLst>
            <c:ext xmlns:c16="http://schemas.microsoft.com/office/drawing/2014/chart" uri="{C3380CC4-5D6E-409C-BE32-E72D297353CC}">
              <c16:uniqueId val="{00000001-941F-4430-BC43-D213F5F34DB5}"/>
            </c:ext>
          </c:extLst>
        </c:ser>
        <c:dLbls>
          <c:showLegendKey val="0"/>
          <c:showVal val="0"/>
          <c:showCatName val="0"/>
          <c:showSerName val="0"/>
          <c:showPercent val="0"/>
          <c:showBubbleSize val="0"/>
        </c:dLbls>
        <c:gapWidth val="150"/>
        <c:axId val="186636767"/>
        <c:axId val="186649247"/>
      </c:barChart>
      <c:catAx>
        <c:axId val="18663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CO"/>
          </a:p>
        </c:txPr>
        <c:crossAx val="186649247"/>
        <c:crosses val="autoZero"/>
        <c:auto val="1"/>
        <c:lblAlgn val="ctr"/>
        <c:lblOffset val="100"/>
        <c:noMultiLvlLbl val="0"/>
      </c:catAx>
      <c:valAx>
        <c:axId val="186649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s-CO"/>
                  <a:t>miles de Millones de pesos</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CO"/>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CO"/>
          </a:p>
        </c:txPr>
        <c:crossAx val="186636767"/>
        <c:crosses val="autoZero"/>
        <c:crossBetween val="between"/>
      </c:valAx>
      <c:spPr>
        <a:noFill/>
        <a:ln>
          <a:noFill/>
        </a:ln>
        <a:effectLst/>
      </c:spPr>
    </c:plotArea>
    <c:legend>
      <c:legendPos val="b"/>
      <c:layout>
        <c:manualLayout>
          <c:xMode val="edge"/>
          <c:yMode val="edge"/>
          <c:x val="0.18540320023206844"/>
          <c:y val="0.92181180933994067"/>
          <c:w val="0.66647022689320146"/>
          <c:h val="6.9577238528507626E-2"/>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CO"/>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CO"/>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strRef>
          <c:f>'Ficha Municipal'!$V$1</c:f>
          <c:strCache>
            <c:ptCount val="1"/>
            <c:pt idx="0">
              <c:v>Valor Agregado sector económico terciario en precios constantes,  por ramas de actividad económica del Municipio de Guatapé2015 - 2022 (miles de Millones de pesos)</c:v>
            </c:pt>
          </c:strCache>
        </c:strRef>
      </c:tx>
      <c:layout>
        <c:manualLayout>
          <c:xMode val="edge"/>
          <c:yMode val="edge"/>
          <c:x val="0.11986318220615555"/>
          <c:y val="0"/>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CO"/>
        </a:p>
      </c:txPr>
    </c:title>
    <c:autoTitleDeleted val="0"/>
    <c:plotArea>
      <c:layout>
        <c:manualLayout>
          <c:layoutTarget val="inner"/>
          <c:xMode val="edge"/>
          <c:yMode val="edge"/>
          <c:x val="9.0382583597657981E-2"/>
          <c:y val="0.11720563140413547"/>
          <c:w val="0.90045717536827052"/>
          <c:h val="0.68305733836422311"/>
        </c:manualLayout>
      </c:layout>
      <c:barChart>
        <c:barDir val="col"/>
        <c:grouping val="clustered"/>
        <c:varyColors val="0"/>
        <c:ser>
          <c:idx val="0"/>
          <c:order val="0"/>
          <c:tx>
            <c:strRef>
              <c:f>'Ficha Municipal'!$B$131</c:f>
              <c:strCache>
                <c:ptCount val="1"/>
                <c:pt idx="0">
                  <c:v>2015</c:v>
                </c:pt>
              </c:strCache>
            </c:strRef>
          </c:tx>
          <c:spPr>
            <a:solidFill>
              <a:schemeClr val="accent6">
                <a:shade val="45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Municipal'!$A$136:$A$143</c:f>
              <c:strCache>
                <c:ptCount val="8"/>
                <c:pt idx="0">
                  <c:v>Suministro de electricidad, gas,  agua (1)</c:v>
                </c:pt>
                <c:pt idx="1">
                  <c:v>Comercio; reparación de automotores(2)</c:v>
                </c:pt>
                <c:pt idx="2">
                  <c:v>Información y comunicaciones </c:v>
                </c:pt>
                <c:pt idx="3">
                  <c:v>Actividades financieras y de seguros</c:v>
                </c:pt>
                <c:pt idx="4">
                  <c:v>Actividades inmobiliarias</c:v>
                </c:pt>
                <c:pt idx="5">
                  <c:v>Actividades profesionales, científicas  (3)</c:v>
                </c:pt>
                <c:pt idx="6">
                  <c:v>Administración pública,  educación; salud humana (4)</c:v>
                </c:pt>
                <c:pt idx="7">
                  <c:v>Actividades artísticas, entretenimiento y recreación (5)</c:v>
                </c:pt>
              </c:strCache>
            </c:strRef>
          </c:cat>
          <c:val>
            <c:numRef>
              <c:f>'Ficha Municipal'!$B$136:$B$143</c:f>
              <c:numCache>
                <c:formatCode>#,##0.00</c:formatCode>
                <c:ptCount val="8"/>
                <c:pt idx="0">
                  <c:v>9.2450920796395692</c:v>
                </c:pt>
                <c:pt idx="1">
                  <c:v>60.435786379290768</c:v>
                </c:pt>
                <c:pt idx="2">
                  <c:v>9.5657771470364779</c:v>
                </c:pt>
                <c:pt idx="3">
                  <c:v>4.6342596537508092</c:v>
                </c:pt>
                <c:pt idx="4">
                  <c:v>45.555366622671819</c:v>
                </c:pt>
                <c:pt idx="5">
                  <c:v>39.345208298227796</c:v>
                </c:pt>
                <c:pt idx="6">
                  <c:v>28.663156153813802</c:v>
                </c:pt>
                <c:pt idx="7">
                  <c:v>7.6540348559786606</c:v>
                </c:pt>
              </c:numCache>
            </c:numRef>
          </c:val>
          <c:extLst>
            <c:ext xmlns:c16="http://schemas.microsoft.com/office/drawing/2014/chart" uri="{C3380CC4-5D6E-409C-BE32-E72D297353CC}">
              <c16:uniqueId val="{00000000-2C51-49ED-AE19-0604967A6682}"/>
            </c:ext>
          </c:extLst>
        </c:ser>
        <c:ser>
          <c:idx val="1"/>
          <c:order val="1"/>
          <c:tx>
            <c:strRef>
              <c:f>'Ficha Municipal'!$C$131</c:f>
              <c:strCache>
                <c:ptCount val="1"/>
                <c:pt idx="0">
                  <c:v>2016</c:v>
                </c:pt>
              </c:strCache>
            </c:strRef>
          </c:tx>
          <c:spPr>
            <a:solidFill>
              <a:schemeClr val="accent6">
                <a:shade val="61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Municipal'!$A$136:$A$143</c:f>
              <c:strCache>
                <c:ptCount val="8"/>
                <c:pt idx="0">
                  <c:v>Suministro de electricidad, gas,  agua (1)</c:v>
                </c:pt>
                <c:pt idx="1">
                  <c:v>Comercio; reparación de automotores(2)</c:v>
                </c:pt>
                <c:pt idx="2">
                  <c:v>Información y comunicaciones </c:v>
                </c:pt>
                <c:pt idx="3">
                  <c:v>Actividades financieras y de seguros</c:v>
                </c:pt>
                <c:pt idx="4">
                  <c:v>Actividades inmobiliarias</c:v>
                </c:pt>
                <c:pt idx="5">
                  <c:v>Actividades profesionales, científicas  (3)</c:v>
                </c:pt>
                <c:pt idx="6">
                  <c:v>Administración pública,  educación; salud humana (4)</c:v>
                </c:pt>
                <c:pt idx="7">
                  <c:v>Actividades artísticas, entretenimiento y recreación (5)</c:v>
                </c:pt>
              </c:strCache>
            </c:strRef>
          </c:cat>
          <c:val>
            <c:numRef>
              <c:f>'Ficha Municipal'!$C$136:$C$143</c:f>
              <c:numCache>
                <c:formatCode>#,##0.00</c:formatCode>
                <c:ptCount val="8"/>
                <c:pt idx="0">
                  <c:v>7.9531293135195007</c:v>
                </c:pt>
                <c:pt idx="1">
                  <c:v>57.756553228494823</c:v>
                </c:pt>
                <c:pt idx="2">
                  <c:v>6.7621782793592491</c:v>
                </c:pt>
                <c:pt idx="3">
                  <c:v>3.8300780296964105</c:v>
                </c:pt>
                <c:pt idx="4">
                  <c:v>36.087183864048114</c:v>
                </c:pt>
                <c:pt idx="5">
                  <c:v>41.462283288202649</c:v>
                </c:pt>
                <c:pt idx="6">
                  <c:v>88.604289267078968</c:v>
                </c:pt>
                <c:pt idx="7">
                  <c:v>6.5205169843146331</c:v>
                </c:pt>
              </c:numCache>
            </c:numRef>
          </c:val>
          <c:extLst>
            <c:ext xmlns:c16="http://schemas.microsoft.com/office/drawing/2014/chart" uri="{C3380CC4-5D6E-409C-BE32-E72D297353CC}">
              <c16:uniqueId val="{00000001-2C51-49ED-AE19-0604967A6682}"/>
            </c:ext>
          </c:extLst>
        </c:ser>
        <c:ser>
          <c:idx val="2"/>
          <c:order val="2"/>
          <c:tx>
            <c:strRef>
              <c:f>'Ficha Municipal'!$D$131</c:f>
              <c:strCache>
                <c:ptCount val="1"/>
                <c:pt idx="0">
                  <c:v>2017</c:v>
                </c:pt>
              </c:strCache>
            </c:strRef>
          </c:tx>
          <c:spPr>
            <a:solidFill>
              <a:schemeClr val="accent6">
                <a:shade val="76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Municipal'!$A$136:$A$143</c:f>
              <c:strCache>
                <c:ptCount val="8"/>
                <c:pt idx="0">
                  <c:v>Suministro de electricidad, gas,  agua (1)</c:v>
                </c:pt>
                <c:pt idx="1">
                  <c:v>Comercio; reparación de automotores(2)</c:v>
                </c:pt>
                <c:pt idx="2">
                  <c:v>Información y comunicaciones </c:v>
                </c:pt>
                <c:pt idx="3">
                  <c:v>Actividades financieras y de seguros</c:v>
                </c:pt>
                <c:pt idx="4">
                  <c:v>Actividades inmobiliarias</c:v>
                </c:pt>
                <c:pt idx="5">
                  <c:v>Actividades profesionales, científicas  (3)</c:v>
                </c:pt>
                <c:pt idx="6">
                  <c:v>Administración pública,  educación; salud humana (4)</c:v>
                </c:pt>
                <c:pt idx="7">
                  <c:v>Actividades artísticas, entretenimiento y recreación (5)</c:v>
                </c:pt>
              </c:strCache>
            </c:strRef>
          </c:cat>
          <c:val>
            <c:numRef>
              <c:f>'Ficha Municipal'!$D$136:$D$143</c:f>
              <c:numCache>
                <c:formatCode>#,##0.00</c:formatCode>
                <c:ptCount val="8"/>
                <c:pt idx="0">
                  <c:v>11.58771302230333</c:v>
                </c:pt>
                <c:pt idx="1">
                  <c:v>80.440397906358243</c:v>
                </c:pt>
                <c:pt idx="2">
                  <c:v>9.3866570976015318</c:v>
                </c:pt>
                <c:pt idx="3">
                  <c:v>5.836701876169748</c:v>
                </c:pt>
                <c:pt idx="4">
                  <c:v>52.777064599889691</c:v>
                </c:pt>
                <c:pt idx="5">
                  <c:v>44.666204381466606</c:v>
                </c:pt>
                <c:pt idx="6">
                  <c:v>34.396862906931588</c:v>
                </c:pt>
                <c:pt idx="7">
                  <c:v>9.7729620249767066</c:v>
                </c:pt>
              </c:numCache>
            </c:numRef>
          </c:val>
          <c:extLst>
            <c:ext xmlns:c16="http://schemas.microsoft.com/office/drawing/2014/chart" uri="{C3380CC4-5D6E-409C-BE32-E72D297353CC}">
              <c16:uniqueId val="{00000002-2C51-49ED-AE19-0604967A6682}"/>
            </c:ext>
          </c:extLst>
        </c:ser>
        <c:ser>
          <c:idx val="3"/>
          <c:order val="3"/>
          <c:tx>
            <c:strRef>
              <c:f>'Ficha Municipal'!$E$131</c:f>
              <c:strCache>
                <c:ptCount val="1"/>
                <c:pt idx="0">
                  <c:v>2018</c:v>
                </c:pt>
              </c:strCache>
            </c:strRef>
          </c:tx>
          <c:spPr>
            <a:solidFill>
              <a:schemeClr val="accent6">
                <a:shade val="92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Municipal'!$A$136:$A$143</c:f>
              <c:strCache>
                <c:ptCount val="8"/>
                <c:pt idx="0">
                  <c:v>Suministro de electricidad, gas,  agua (1)</c:v>
                </c:pt>
                <c:pt idx="1">
                  <c:v>Comercio; reparación de automotores(2)</c:v>
                </c:pt>
                <c:pt idx="2">
                  <c:v>Información y comunicaciones </c:v>
                </c:pt>
                <c:pt idx="3">
                  <c:v>Actividades financieras y de seguros</c:v>
                </c:pt>
                <c:pt idx="4">
                  <c:v>Actividades inmobiliarias</c:v>
                </c:pt>
                <c:pt idx="5">
                  <c:v>Actividades profesionales, científicas  (3)</c:v>
                </c:pt>
                <c:pt idx="6">
                  <c:v>Administración pública,  educación; salud humana (4)</c:v>
                </c:pt>
                <c:pt idx="7">
                  <c:v>Actividades artísticas, entretenimiento y recreación (5)</c:v>
                </c:pt>
              </c:strCache>
            </c:strRef>
          </c:cat>
          <c:val>
            <c:numRef>
              <c:f>'Ficha Municipal'!$E$136:$E$143</c:f>
              <c:numCache>
                <c:formatCode>#,##0.00</c:formatCode>
                <c:ptCount val="8"/>
                <c:pt idx="0">
                  <c:v>11.168669979492</c:v>
                </c:pt>
                <c:pt idx="1">
                  <c:v>99.660708826691661</c:v>
                </c:pt>
                <c:pt idx="2">
                  <c:v>11.082745835159471</c:v>
                </c:pt>
                <c:pt idx="3">
                  <c:v>4.3869842793042846</c:v>
                </c:pt>
                <c:pt idx="4">
                  <c:v>53.07497010468127</c:v>
                </c:pt>
                <c:pt idx="5">
                  <c:v>37.424017131904634</c:v>
                </c:pt>
                <c:pt idx="6">
                  <c:v>34.085672071253164</c:v>
                </c:pt>
                <c:pt idx="7">
                  <c:v>11.280391398031721</c:v>
                </c:pt>
              </c:numCache>
            </c:numRef>
          </c:val>
          <c:extLst>
            <c:ext xmlns:c16="http://schemas.microsoft.com/office/drawing/2014/chart" uri="{C3380CC4-5D6E-409C-BE32-E72D297353CC}">
              <c16:uniqueId val="{00000003-2C51-49ED-AE19-0604967A6682}"/>
            </c:ext>
          </c:extLst>
        </c:ser>
        <c:ser>
          <c:idx val="4"/>
          <c:order val="4"/>
          <c:tx>
            <c:strRef>
              <c:f>'Ficha Municipal'!$F$131</c:f>
              <c:strCache>
                <c:ptCount val="1"/>
                <c:pt idx="0">
                  <c:v>2019</c:v>
                </c:pt>
              </c:strCache>
            </c:strRef>
          </c:tx>
          <c:spPr>
            <a:solidFill>
              <a:schemeClr val="accent6">
                <a:tint val="93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Municipal'!$A$136:$A$143</c:f>
              <c:strCache>
                <c:ptCount val="8"/>
                <c:pt idx="0">
                  <c:v>Suministro de electricidad, gas,  agua (1)</c:v>
                </c:pt>
                <c:pt idx="1">
                  <c:v>Comercio; reparación de automotores(2)</c:v>
                </c:pt>
                <c:pt idx="2">
                  <c:v>Información y comunicaciones </c:v>
                </c:pt>
                <c:pt idx="3">
                  <c:v>Actividades financieras y de seguros</c:v>
                </c:pt>
                <c:pt idx="4">
                  <c:v>Actividades inmobiliarias</c:v>
                </c:pt>
                <c:pt idx="5">
                  <c:v>Actividades profesionales, científicas  (3)</c:v>
                </c:pt>
                <c:pt idx="6">
                  <c:v>Administración pública,  educación; salud humana (4)</c:v>
                </c:pt>
                <c:pt idx="7">
                  <c:v>Actividades artísticas, entretenimiento y recreación (5)</c:v>
                </c:pt>
              </c:strCache>
            </c:strRef>
          </c:cat>
          <c:val>
            <c:numRef>
              <c:f>'Ficha Municipal'!$F$136:$F$143</c:f>
              <c:numCache>
                <c:formatCode>#,##0.00</c:formatCode>
                <c:ptCount val="8"/>
                <c:pt idx="0">
                  <c:v>12.008112494611829</c:v>
                </c:pt>
                <c:pt idx="1">
                  <c:v>121.82228994234993</c:v>
                </c:pt>
                <c:pt idx="2">
                  <c:v>10.586648775823431</c:v>
                </c:pt>
                <c:pt idx="3">
                  <c:v>5.9576121345030382</c:v>
                </c:pt>
                <c:pt idx="4">
                  <c:v>49.883886231542839</c:v>
                </c:pt>
                <c:pt idx="5">
                  <c:v>37.209555420563561</c:v>
                </c:pt>
                <c:pt idx="6">
                  <c:v>30.107611227340708</c:v>
                </c:pt>
                <c:pt idx="7">
                  <c:v>11.585820454682096</c:v>
                </c:pt>
              </c:numCache>
            </c:numRef>
          </c:val>
          <c:extLst>
            <c:ext xmlns:c16="http://schemas.microsoft.com/office/drawing/2014/chart" uri="{C3380CC4-5D6E-409C-BE32-E72D297353CC}">
              <c16:uniqueId val="{00000004-2C51-49ED-AE19-0604967A6682}"/>
            </c:ext>
          </c:extLst>
        </c:ser>
        <c:ser>
          <c:idx val="5"/>
          <c:order val="5"/>
          <c:tx>
            <c:strRef>
              <c:f>'Ficha Municipal'!$G$131</c:f>
              <c:strCache>
                <c:ptCount val="1"/>
                <c:pt idx="0">
                  <c:v>2020</c:v>
                </c:pt>
              </c:strCache>
            </c:strRef>
          </c:tx>
          <c:spPr>
            <a:solidFill>
              <a:schemeClr val="accent6">
                <a:tint val="77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Municipal'!$A$136:$A$143</c:f>
              <c:strCache>
                <c:ptCount val="8"/>
                <c:pt idx="0">
                  <c:v>Suministro de electricidad, gas,  agua (1)</c:v>
                </c:pt>
                <c:pt idx="1">
                  <c:v>Comercio; reparación de automotores(2)</c:v>
                </c:pt>
                <c:pt idx="2">
                  <c:v>Información y comunicaciones </c:v>
                </c:pt>
                <c:pt idx="3">
                  <c:v>Actividades financieras y de seguros</c:v>
                </c:pt>
                <c:pt idx="4">
                  <c:v>Actividades inmobiliarias</c:v>
                </c:pt>
                <c:pt idx="5">
                  <c:v>Actividades profesionales, científicas  (3)</c:v>
                </c:pt>
                <c:pt idx="6">
                  <c:v>Administración pública,  educación; salud humana (4)</c:v>
                </c:pt>
                <c:pt idx="7">
                  <c:v>Actividades artísticas, entretenimiento y recreación (5)</c:v>
                </c:pt>
              </c:strCache>
            </c:strRef>
          </c:cat>
          <c:val>
            <c:numRef>
              <c:f>'Ficha Municipal'!$G$136:$G$143</c:f>
              <c:numCache>
                <c:formatCode>#,##0.00</c:formatCode>
                <c:ptCount val="8"/>
                <c:pt idx="0">
                  <c:v>30.204277619367463</c:v>
                </c:pt>
                <c:pt idx="1">
                  <c:v>94.221073796610298</c:v>
                </c:pt>
                <c:pt idx="2">
                  <c:v>8.6517903958326894</c:v>
                </c:pt>
                <c:pt idx="3">
                  <c:v>15.578659131390209</c:v>
                </c:pt>
                <c:pt idx="4">
                  <c:v>45.33745165072564</c:v>
                </c:pt>
                <c:pt idx="5">
                  <c:v>39.220712963046765</c:v>
                </c:pt>
                <c:pt idx="6">
                  <c:v>42.825741584920856</c:v>
                </c:pt>
                <c:pt idx="7">
                  <c:v>9.2883822317070859</c:v>
                </c:pt>
              </c:numCache>
            </c:numRef>
          </c:val>
          <c:extLst>
            <c:ext xmlns:c16="http://schemas.microsoft.com/office/drawing/2014/chart" uri="{C3380CC4-5D6E-409C-BE32-E72D297353CC}">
              <c16:uniqueId val="{00000005-2C51-49ED-AE19-0604967A6682}"/>
            </c:ext>
          </c:extLst>
        </c:ser>
        <c:ser>
          <c:idx val="6"/>
          <c:order val="6"/>
          <c:tx>
            <c:strRef>
              <c:f>'Ficha Municipal'!$H$131</c:f>
              <c:strCache>
                <c:ptCount val="1"/>
                <c:pt idx="0">
                  <c:v>2021p</c:v>
                </c:pt>
              </c:strCache>
            </c:strRef>
          </c:tx>
          <c:spPr>
            <a:solidFill>
              <a:schemeClr val="accent6">
                <a:tint val="62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Municipal'!$A$136:$A$143</c:f>
              <c:strCache>
                <c:ptCount val="8"/>
                <c:pt idx="0">
                  <c:v>Suministro de electricidad, gas,  agua (1)</c:v>
                </c:pt>
                <c:pt idx="1">
                  <c:v>Comercio; reparación de automotores(2)</c:v>
                </c:pt>
                <c:pt idx="2">
                  <c:v>Información y comunicaciones </c:v>
                </c:pt>
                <c:pt idx="3">
                  <c:v>Actividades financieras y de seguros</c:v>
                </c:pt>
                <c:pt idx="4">
                  <c:v>Actividades inmobiliarias</c:v>
                </c:pt>
                <c:pt idx="5">
                  <c:v>Actividades profesionales, científicas  (3)</c:v>
                </c:pt>
                <c:pt idx="6">
                  <c:v>Administración pública,  educación; salud humana (4)</c:v>
                </c:pt>
                <c:pt idx="7">
                  <c:v>Actividades artísticas, entretenimiento y recreación (5)</c:v>
                </c:pt>
              </c:strCache>
            </c:strRef>
          </c:cat>
          <c:val>
            <c:numRef>
              <c:f>'Ficha Municipal'!$H$136:$H$143</c:f>
              <c:numCache>
                <c:formatCode>#,##0.00</c:formatCode>
                <c:ptCount val="8"/>
                <c:pt idx="0">
                  <c:v>6.7520844197048531</c:v>
                </c:pt>
                <c:pt idx="1">
                  <c:v>113.93313330527266</c:v>
                </c:pt>
                <c:pt idx="2">
                  <c:v>11.912335615929246</c:v>
                </c:pt>
                <c:pt idx="3">
                  <c:v>5.5958695993399958</c:v>
                </c:pt>
                <c:pt idx="4">
                  <c:v>62.410892273140398</c:v>
                </c:pt>
                <c:pt idx="5">
                  <c:v>43.097159646321074</c:v>
                </c:pt>
                <c:pt idx="6">
                  <c:v>66.886128948689546</c:v>
                </c:pt>
                <c:pt idx="7">
                  <c:v>12.304954429929227</c:v>
                </c:pt>
              </c:numCache>
            </c:numRef>
          </c:val>
          <c:extLst>
            <c:ext xmlns:c16="http://schemas.microsoft.com/office/drawing/2014/chart" uri="{C3380CC4-5D6E-409C-BE32-E72D297353CC}">
              <c16:uniqueId val="{00000000-DDF5-41E8-9ADD-EE0719E1579C}"/>
            </c:ext>
          </c:extLst>
        </c:ser>
        <c:ser>
          <c:idx val="7"/>
          <c:order val="7"/>
          <c:tx>
            <c:strRef>
              <c:f>'Ficha Municipal'!$I$131</c:f>
              <c:strCache>
                <c:ptCount val="1"/>
                <c:pt idx="0">
                  <c:v>2022pr</c:v>
                </c:pt>
              </c:strCache>
            </c:strRef>
          </c:tx>
          <c:spPr>
            <a:solidFill>
              <a:schemeClr val="accent6">
                <a:tint val="46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Municipal'!$A$136:$A$143</c:f>
              <c:strCache>
                <c:ptCount val="8"/>
                <c:pt idx="0">
                  <c:v>Suministro de electricidad, gas,  agua (1)</c:v>
                </c:pt>
                <c:pt idx="1">
                  <c:v>Comercio; reparación de automotores(2)</c:v>
                </c:pt>
                <c:pt idx="2">
                  <c:v>Información y comunicaciones </c:v>
                </c:pt>
                <c:pt idx="3">
                  <c:v>Actividades financieras y de seguros</c:v>
                </c:pt>
                <c:pt idx="4">
                  <c:v>Actividades inmobiliarias</c:v>
                </c:pt>
                <c:pt idx="5">
                  <c:v>Actividades profesionales, científicas  (3)</c:v>
                </c:pt>
                <c:pt idx="6">
                  <c:v>Administración pública,  educación; salud humana (4)</c:v>
                </c:pt>
                <c:pt idx="7">
                  <c:v>Actividades artísticas, entretenimiento y recreación (5)</c:v>
                </c:pt>
              </c:strCache>
            </c:strRef>
          </c:cat>
          <c:val>
            <c:numRef>
              <c:f>'Ficha Municipal'!$I$136:$I$143</c:f>
              <c:numCache>
                <c:formatCode>#,##0.00</c:formatCode>
                <c:ptCount val="8"/>
                <c:pt idx="0">
                  <c:v>17.247496410416606</c:v>
                </c:pt>
                <c:pt idx="1">
                  <c:v>123.89321756476258</c:v>
                </c:pt>
                <c:pt idx="2">
                  <c:v>13.386951974441022</c:v>
                </c:pt>
                <c:pt idx="3">
                  <c:v>4.0533259979125962</c:v>
                </c:pt>
                <c:pt idx="4">
                  <c:v>62.579755616350248</c:v>
                </c:pt>
                <c:pt idx="5">
                  <c:v>45.057463886456475</c:v>
                </c:pt>
                <c:pt idx="6">
                  <c:v>62.889011678329879</c:v>
                </c:pt>
                <c:pt idx="7">
                  <c:v>17.978171002547558</c:v>
                </c:pt>
              </c:numCache>
            </c:numRef>
          </c:val>
          <c:extLst>
            <c:ext xmlns:c16="http://schemas.microsoft.com/office/drawing/2014/chart" uri="{C3380CC4-5D6E-409C-BE32-E72D297353CC}">
              <c16:uniqueId val="{00000001-DDF5-41E8-9ADD-EE0719E1579C}"/>
            </c:ext>
          </c:extLst>
        </c:ser>
        <c:dLbls>
          <c:showLegendKey val="0"/>
          <c:showVal val="0"/>
          <c:showCatName val="0"/>
          <c:showSerName val="0"/>
          <c:showPercent val="0"/>
          <c:showBubbleSize val="0"/>
        </c:dLbls>
        <c:gapWidth val="50"/>
        <c:axId val="186634687"/>
        <c:axId val="186635103"/>
      </c:barChart>
      <c:catAx>
        <c:axId val="18663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CO"/>
          </a:p>
        </c:txPr>
        <c:crossAx val="186635103"/>
        <c:crosses val="autoZero"/>
        <c:auto val="1"/>
        <c:lblAlgn val="ctr"/>
        <c:lblOffset val="100"/>
        <c:noMultiLvlLbl val="0"/>
      </c:catAx>
      <c:valAx>
        <c:axId val="186635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s-CO"/>
                  <a:t>miles de Millones de pesos</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CO"/>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CO"/>
          </a:p>
        </c:txPr>
        <c:crossAx val="186634687"/>
        <c:crosses val="autoZero"/>
        <c:crossBetween val="between"/>
      </c:valAx>
      <c:spPr>
        <a:noFill/>
        <a:ln>
          <a:noFill/>
        </a:ln>
        <a:effectLst/>
      </c:spPr>
    </c:plotArea>
    <c:legend>
      <c:legendPos val="b"/>
      <c:layout>
        <c:manualLayout>
          <c:xMode val="edge"/>
          <c:yMode val="edge"/>
          <c:x val="0.30265840739067129"/>
          <c:y val="0.93541666666666667"/>
          <c:w val="0.47580265436924429"/>
          <c:h val="6.4583355565528064E-2"/>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CO"/>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CO"/>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strRef>
          <c:f>'Ficha Municipal'!$Q$1</c:f>
          <c:strCache>
            <c:ptCount val="1"/>
            <c:pt idx="0">
              <c:v>Proporción de las ramas de actividad económica del sector terciario en el valor agregado total en precios corrientes del Municipio de Guatapé 2015 - 2022</c:v>
            </c:pt>
          </c:strCache>
        </c:strRef>
      </c:tx>
      <c:layout>
        <c:manualLayout>
          <c:xMode val="edge"/>
          <c:yMode val="edge"/>
          <c:x val="0.11595811245854173"/>
          <c:y val="0"/>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CO"/>
        </a:p>
      </c:txPr>
    </c:title>
    <c:autoTitleDeleted val="0"/>
    <c:plotArea>
      <c:layout>
        <c:manualLayout>
          <c:layoutTarget val="inner"/>
          <c:xMode val="edge"/>
          <c:yMode val="edge"/>
          <c:x val="4.59060027181043E-2"/>
          <c:y val="0.10228082306997413"/>
          <c:w val="0.92356687302135743"/>
          <c:h val="0.68972928156078706"/>
        </c:manualLayout>
      </c:layout>
      <c:barChart>
        <c:barDir val="col"/>
        <c:grouping val="clustered"/>
        <c:varyColors val="0"/>
        <c:ser>
          <c:idx val="4"/>
          <c:order val="0"/>
          <c:tx>
            <c:strRef>
              <c:f>'Ficha Municipal'!$B$105</c:f>
              <c:strCache>
                <c:ptCount val="1"/>
                <c:pt idx="0">
                  <c:v>2015</c:v>
                </c:pt>
              </c:strCache>
            </c:strRef>
          </c:tx>
          <c:spPr>
            <a:solidFill>
              <a:schemeClr val="accent6">
                <a:shade val="93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Municipal'!$A$110:$A$117</c:f>
              <c:strCache>
                <c:ptCount val="8"/>
                <c:pt idx="0">
                  <c:v>Suministro de electricidad, gas,  agua (1)</c:v>
                </c:pt>
                <c:pt idx="1">
                  <c:v>Comercio; reparación de automotores(2)</c:v>
                </c:pt>
                <c:pt idx="2">
                  <c:v>Información y comunicaciones </c:v>
                </c:pt>
                <c:pt idx="3">
                  <c:v>Actividades financieras y de seguros</c:v>
                </c:pt>
                <c:pt idx="4">
                  <c:v>Actividades inmobiliarias</c:v>
                </c:pt>
                <c:pt idx="5">
                  <c:v>Actividades profesionales, científicas  (3)</c:v>
                </c:pt>
                <c:pt idx="6">
                  <c:v>Administración pública,  educación; salud humana (4)</c:v>
                </c:pt>
                <c:pt idx="7">
                  <c:v>Actividades artísticas, entretenimiento y recreación (5)</c:v>
                </c:pt>
              </c:strCache>
            </c:strRef>
          </c:cat>
          <c:val>
            <c:numRef>
              <c:f>'Ficha Municipal'!$B$110:$B$117</c:f>
              <c:numCache>
                <c:formatCode>0.0%</c:formatCode>
                <c:ptCount val="8"/>
                <c:pt idx="0">
                  <c:v>4.0605873872955139E-2</c:v>
                </c:pt>
                <c:pt idx="1">
                  <c:v>0.26544331824827155</c:v>
                </c:pt>
                <c:pt idx="2">
                  <c:v>4.2014372272699219E-2</c:v>
                </c:pt>
                <c:pt idx="3">
                  <c:v>2.0354384940000129E-2</c:v>
                </c:pt>
                <c:pt idx="4">
                  <c:v>0.200086213893995</c:v>
                </c:pt>
                <c:pt idx="5">
                  <c:v>0.17281023832974868</c:v>
                </c:pt>
                <c:pt idx="6">
                  <c:v>0.12589301367217501</c:v>
                </c:pt>
                <c:pt idx="7">
                  <c:v>3.361770454028714E-2</c:v>
                </c:pt>
              </c:numCache>
            </c:numRef>
          </c:val>
          <c:extLst>
            <c:ext xmlns:c16="http://schemas.microsoft.com/office/drawing/2014/chart" uri="{C3380CC4-5D6E-409C-BE32-E72D297353CC}">
              <c16:uniqueId val="{00000000-456B-47C3-87F5-FD903676CE81}"/>
            </c:ext>
          </c:extLst>
        </c:ser>
        <c:ser>
          <c:idx val="5"/>
          <c:order val="1"/>
          <c:tx>
            <c:strRef>
              <c:f>'Ficha Municipal'!$C$105</c:f>
              <c:strCache>
                <c:ptCount val="1"/>
                <c:pt idx="0">
                  <c:v>2016</c:v>
                </c:pt>
              </c:strCache>
            </c:strRef>
          </c:tx>
          <c:spPr>
            <a:solidFill>
              <a:schemeClr val="accent6">
                <a:tint val="94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Municipal'!$A$110:$A$117</c:f>
              <c:strCache>
                <c:ptCount val="8"/>
                <c:pt idx="0">
                  <c:v>Suministro de electricidad, gas,  agua (1)</c:v>
                </c:pt>
                <c:pt idx="1">
                  <c:v>Comercio; reparación de automotores(2)</c:v>
                </c:pt>
                <c:pt idx="2">
                  <c:v>Información y comunicaciones </c:v>
                </c:pt>
                <c:pt idx="3">
                  <c:v>Actividades financieras y de seguros</c:v>
                </c:pt>
                <c:pt idx="4">
                  <c:v>Actividades inmobiliarias</c:v>
                </c:pt>
                <c:pt idx="5">
                  <c:v>Actividades profesionales, científicas  (3)</c:v>
                </c:pt>
                <c:pt idx="6">
                  <c:v>Administración pública,  educación; salud humana (4)</c:v>
                </c:pt>
                <c:pt idx="7">
                  <c:v>Actividades artísticas, entretenimiento y recreación (5)</c:v>
                </c:pt>
              </c:strCache>
            </c:strRef>
          </c:cat>
          <c:val>
            <c:numRef>
              <c:f>'Ficha Municipal'!$C$110:$C$117</c:f>
              <c:numCache>
                <c:formatCode>0.0%</c:formatCode>
                <c:ptCount val="8"/>
                <c:pt idx="0">
                  <c:v>2.9492103782452473E-2</c:v>
                </c:pt>
                <c:pt idx="1">
                  <c:v>0.21520032267443359</c:v>
                </c:pt>
                <c:pt idx="2">
                  <c:v>2.4118853300186083E-2</c:v>
                </c:pt>
                <c:pt idx="3">
                  <c:v>1.2499687784980371E-2</c:v>
                </c:pt>
                <c:pt idx="4">
                  <c:v>0.12787084601600648</c:v>
                </c:pt>
                <c:pt idx="5">
                  <c:v>0.14927873514793394</c:v>
                </c:pt>
                <c:pt idx="6">
                  <c:v>0.3177440975407384</c:v>
                </c:pt>
                <c:pt idx="7">
                  <c:v>2.2671485383810915E-2</c:v>
                </c:pt>
              </c:numCache>
            </c:numRef>
          </c:val>
          <c:extLst>
            <c:ext xmlns:c16="http://schemas.microsoft.com/office/drawing/2014/chart" uri="{C3380CC4-5D6E-409C-BE32-E72D297353CC}">
              <c16:uniqueId val="{00000001-456B-47C3-87F5-FD903676CE81}"/>
            </c:ext>
          </c:extLst>
        </c:ser>
        <c:ser>
          <c:idx val="6"/>
          <c:order val="2"/>
          <c:tx>
            <c:strRef>
              <c:f>'Ficha Municipal'!$D$105</c:f>
              <c:strCache>
                <c:ptCount val="1"/>
                <c:pt idx="0">
                  <c:v>2017</c:v>
                </c:pt>
              </c:strCache>
            </c:strRef>
          </c:tx>
          <c:spPr>
            <a:solidFill>
              <a:schemeClr val="accent6">
                <a:tint val="81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Municipal'!$A$110:$A$117</c:f>
              <c:strCache>
                <c:ptCount val="8"/>
                <c:pt idx="0">
                  <c:v>Suministro de electricidad, gas,  agua (1)</c:v>
                </c:pt>
                <c:pt idx="1">
                  <c:v>Comercio; reparación de automotores(2)</c:v>
                </c:pt>
                <c:pt idx="2">
                  <c:v>Información y comunicaciones </c:v>
                </c:pt>
                <c:pt idx="3">
                  <c:v>Actividades financieras y de seguros</c:v>
                </c:pt>
                <c:pt idx="4">
                  <c:v>Actividades inmobiliarias</c:v>
                </c:pt>
                <c:pt idx="5">
                  <c:v>Actividades profesionales, científicas  (3)</c:v>
                </c:pt>
                <c:pt idx="6">
                  <c:v>Administración pública,  educación; salud humana (4)</c:v>
                </c:pt>
                <c:pt idx="7">
                  <c:v>Actividades artísticas, entretenimiento y recreación (5)</c:v>
                </c:pt>
              </c:strCache>
            </c:strRef>
          </c:cat>
          <c:val>
            <c:numRef>
              <c:f>'Ficha Municipal'!$D$110:$D$117</c:f>
              <c:numCache>
                <c:formatCode>0.0%</c:formatCode>
                <c:ptCount val="8"/>
                <c:pt idx="0">
                  <c:v>4.2374169545461651E-2</c:v>
                </c:pt>
                <c:pt idx="1">
                  <c:v>0.29870946840810503</c:v>
                </c:pt>
                <c:pt idx="2">
                  <c:v>3.4039511180795234E-2</c:v>
                </c:pt>
                <c:pt idx="3">
                  <c:v>1.9469824809773599E-2</c:v>
                </c:pt>
                <c:pt idx="4">
                  <c:v>0.18508967586582425</c:v>
                </c:pt>
                <c:pt idx="5">
                  <c:v>0.15885610411386189</c:v>
                </c:pt>
                <c:pt idx="6">
                  <c:v>0.1241623054198918</c:v>
                </c:pt>
                <c:pt idx="7">
                  <c:v>3.4203232277429982E-2</c:v>
                </c:pt>
              </c:numCache>
            </c:numRef>
          </c:val>
          <c:extLst>
            <c:ext xmlns:c16="http://schemas.microsoft.com/office/drawing/2014/chart" uri="{C3380CC4-5D6E-409C-BE32-E72D297353CC}">
              <c16:uniqueId val="{00000002-456B-47C3-87F5-FD903676CE81}"/>
            </c:ext>
          </c:extLst>
        </c:ser>
        <c:ser>
          <c:idx val="7"/>
          <c:order val="3"/>
          <c:tx>
            <c:strRef>
              <c:f>'Ficha Municipal'!$E$105</c:f>
              <c:strCache>
                <c:ptCount val="1"/>
                <c:pt idx="0">
                  <c:v>2018</c:v>
                </c:pt>
              </c:strCache>
            </c:strRef>
          </c:tx>
          <c:spPr>
            <a:solidFill>
              <a:schemeClr val="accent6">
                <a:tint val="69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Municipal'!$A$110:$A$117</c:f>
              <c:strCache>
                <c:ptCount val="8"/>
                <c:pt idx="0">
                  <c:v>Suministro de electricidad, gas,  agua (1)</c:v>
                </c:pt>
                <c:pt idx="1">
                  <c:v>Comercio; reparación de automotores(2)</c:v>
                </c:pt>
                <c:pt idx="2">
                  <c:v>Información y comunicaciones </c:v>
                </c:pt>
                <c:pt idx="3">
                  <c:v>Actividades financieras y de seguros</c:v>
                </c:pt>
                <c:pt idx="4">
                  <c:v>Actividades inmobiliarias</c:v>
                </c:pt>
                <c:pt idx="5">
                  <c:v>Actividades profesionales, científicas  (3)</c:v>
                </c:pt>
                <c:pt idx="6">
                  <c:v>Administración pública,  educación; salud humana (4)</c:v>
                </c:pt>
                <c:pt idx="7">
                  <c:v>Actividades artísticas, entretenimiento y recreación (5)</c:v>
                </c:pt>
              </c:strCache>
            </c:strRef>
          </c:cat>
          <c:val>
            <c:numRef>
              <c:f>'Ficha Municipal'!$E$110:$E$117</c:f>
              <c:numCache>
                <c:formatCode>0.0%</c:formatCode>
                <c:ptCount val="8"/>
                <c:pt idx="0">
                  <c:v>4.0096445038220116E-2</c:v>
                </c:pt>
                <c:pt idx="1">
                  <c:v>0.35295639899520159</c:v>
                </c:pt>
                <c:pt idx="2">
                  <c:v>3.7761281570987112E-2</c:v>
                </c:pt>
                <c:pt idx="3">
                  <c:v>1.4108704076188578E-2</c:v>
                </c:pt>
                <c:pt idx="4">
                  <c:v>0.17601153844412096</c:v>
                </c:pt>
                <c:pt idx="5">
                  <c:v>0.12659886348435107</c:v>
                </c:pt>
                <c:pt idx="6">
                  <c:v>0.11770731174357373</c:v>
                </c:pt>
                <c:pt idx="7">
                  <c:v>3.6840948254598382E-2</c:v>
                </c:pt>
              </c:numCache>
            </c:numRef>
          </c:val>
          <c:extLst>
            <c:ext xmlns:c16="http://schemas.microsoft.com/office/drawing/2014/chart" uri="{C3380CC4-5D6E-409C-BE32-E72D297353CC}">
              <c16:uniqueId val="{00000003-456B-47C3-87F5-FD903676CE81}"/>
            </c:ext>
          </c:extLst>
        </c:ser>
        <c:ser>
          <c:idx val="8"/>
          <c:order val="4"/>
          <c:tx>
            <c:strRef>
              <c:f>'Ficha Municipal'!$F$105</c:f>
              <c:strCache>
                <c:ptCount val="1"/>
                <c:pt idx="0">
                  <c:v>2019</c:v>
                </c:pt>
              </c:strCache>
            </c:strRef>
          </c:tx>
          <c:spPr>
            <a:solidFill>
              <a:schemeClr val="accent6">
                <a:tint val="56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Municipal'!$A$110:$A$117</c:f>
              <c:strCache>
                <c:ptCount val="8"/>
                <c:pt idx="0">
                  <c:v>Suministro de electricidad, gas,  agua (1)</c:v>
                </c:pt>
                <c:pt idx="1">
                  <c:v>Comercio; reparación de automotores(2)</c:v>
                </c:pt>
                <c:pt idx="2">
                  <c:v>Información y comunicaciones </c:v>
                </c:pt>
                <c:pt idx="3">
                  <c:v>Actividades financieras y de seguros</c:v>
                </c:pt>
                <c:pt idx="4">
                  <c:v>Actividades inmobiliarias</c:v>
                </c:pt>
                <c:pt idx="5">
                  <c:v>Actividades profesionales, científicas  (3)</c:v>
                </c:pt>
                <c:pt idx="6">
                  <c:v>Administración pública,  educación; salud humana (4)</c:v>
                </c:pt>
                <c:pt idx="7">
                  <c:v>Actividades artísticas, entretenimiento y recreación (5)</c:v>
                </c:pt>
              </c:strCache>
            </c:strRef>
          </c:cat>
          <c:val>
            <c:numRef>
              <c:f>'Ficha Municipal'!$F$110:$F$117</c:f>
              <c:numCache>
                <c:formatCode>0.0%</c:formatCode>
                <c:ptCount val="8"/>
                <c:pt idx="0">
                  <c:v>4.2270612037613932E-2</c:v>
                </c:pt>
                <c:pt idx="1">
                  <c:v>0.40887510463929849</c:v>
                </c:pt>
                <c:pt idx="2">
                  <c:v>3.3617120540336991E-2</c:v>
                </c:pt>
                <c:pt idx="3">
                  <c:v>1.8021734758369233E-2</c:v>
                </c:pt>
                <c:pt idx="4">
                  <c:v>0.15401876484903523</c:v>
                </c:pt>
                <c:pt idx="5">
                  <c:v>0.11829446700960702</c:v>
                </c:pt>
                <c:pt idx="6">
                  <c:v>9.7308447723143759E-2</c:v>
                </c:pt>
                <c:pt idx="7">
                  <c:v>3.5433052900370181E-2</c:v>
                </c:pt>
              </c:numCache>
            </c:numRef>
          </c:val>
          <c:extLst>
            <c:ext xmlns:c16="http://schemas.microsoft.com/office/drawing/2014/chart" uri="{C3380CC4-5D6E-409C-BE32-E72D297353CC}">
              <c16:uniqueId val="{00000004-456B-47C3-87F5-FD903676CE81}"/>
            </c:ext>
          </c:extLst>
        </c:ser>
        <c:ser>
          <c:idx val="9"/>
          <c:order val="5"/>
          <c:tx>
            <c:strRef>
              <c:f>'Ficha Municipal'!$G$105</c:f>
              <c:strCache>
                <c:ptCount val="1"/>
                <c:pt idx="0">
                  <c:v>2020</c:v>
                </c:pt>
              </c:strCache>
            </c:strRef>
          </c:tx>
          <c:spPr>
            <a:solidFill>
              <a:schemeClr val="accent6">
                <a:tint val="43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Municipal'!$A$110:$A$117</c:f>
              <c:strCache>
                <c:ptCount val="8"/>
                <c:pt idx="0">
                  <c:v>Suministro de electricidad, gas,  agua (1)</c:v>
                </c:pt>
                <c:pt idx="1">
                  <c:v>Comercio; reparación de automotores(2)</c:v>
                </c:pt>
                <c:pt idx="2">
                  <c:v>Información y comunicaciones </c:v>
                </c:pt>
                <c:pt idx="3">
                  <c:v>Actividades financieras y de seguros</c:v>
                </c:pt>
                <c:pt idx="4">
                  <c:v>Actividades inmobiliarias</c:v>
                </c:pt>
                <c:pt idx="5">
                  <c:v>Actividades profesionales, científicas  (3)</c:v>
                </c:pt>
                <c:pt idx="6">
                  <c:v>Administración pública,  educación; salud humana (4)</c:v>
                </c:pt>
                <c:pt idx="7">
                  <c:v>Actividades artísticas, entretenimiento y recreación (5)</c:v>
                </c:pt>
              </c:strCache>
            </c:strRef>
          </c:cat>
          <c:val>
            <c:numRef>
              <c:f>'Ficha Municipal'!$G$110:$G$117</c:f>
              <c:numCache>
                <c:formatCode>0.0%</c:formatCode>
                <c:ptCount val="8"/>
                <c:pt idx="0">
                  <c:v>0.11381911544850763</c:v>
                </c:pt>
                <c:pt idx="1">
                  <c:v>0.31553518312765211</c:v>
                </c:pt>
                <c:pt idx="2">
                  <c:v>2.6871235218975231E-2</c:v>
                </c:pt>
                <c:pt idx="3">
                  <c:v>4.6353917671842784E-2</c:v>
                </c:pt>
                <c:pt idx="4">
                  <c:v>0.13761153335489915</c:v>
                </c:pt>
                <c:pt idx="5">
                  <c:v>0.12245610191881326</c:v>
                </c:pt>
                <c:pt idx="6">
                  <c:v>0.13629954313547232</c:v>
                </c:pt>
                <c:pt idx="7">
                  <c:v>2.8484476226239834E-2</c:v>
                </c:pt>
              </c:numCache>
            </c:numRef>
          </c:val>
          <c:extLst>
            <c:ext xmlns:c16="http://schemas.microsoft.com/office/drawing/2014/chart" uri="{C3380CC4-5D6E-409C-BE32-E72D297353CC}">
              <c16:uniqueId val="{00000005-456B-47C3-87F5-FD903676CE81}"/>
            </c:ext>
          </c:extLst>
        </c:ser>
        <c:ser>
          <c:idx val="0"/>
          <c:order val="6"/>
          <c:tx>
            <c:strRef>
              <c:f>'Ficha Municipal'!$H$105</c:f>
              <c:strCache>
                <c:ptCount val="1"/>
                <c:pt idx="0">
                  <c:v>2021p</c:v>
                </c:pt>
              </c:strCache>
            </c:strRef>
          </c:tx>
          <c:spPr>
            <a:solidFill>
              <a:srgbClr val="CDE4BE"/>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Municipal'!$A$110:$A$117</c:f>
              <c:strCache>
                <c:ptCount val="8"/>
                <c:pt idx="0">
                  <c:v>Suministro de electricidad, gas,  agua (1)</c:v>
                </c:pt>
                <c:pt idx="1">
                  <c:v>Comercio; reparación de automotores(2)</c:v>
                </c:pt>
                <c:pt idx="2">
                  <c:v>Información y comunicaciones </c:v>
                </c:pt>
                <c:pt idx="3">
                  <c:v>Actividades financieras y de seguros</c:v>
                </c:pt>
                <c:pt idx="4">
                  <c:v>Actividades inmobiliarias</c:v>
                </c:pt>
                <c:pt idx="5">
                  <c:v>Actividades profesionales, científicas  (3)</c:v>
                </c:pt>
                <c:pt idx="6">
                  <c:v>Administración pública,  educación; salud humana (4)</c:v>
                </c:pt>
                <c:pt idx="7">
                  <c:v>Actividades artísticas, entretenimiento y recreación (5)</c:v>
                </c:pt>
              </c:strCache>
            </c:strRef>
          </c:cat>
          <c:val>
            <c:numRef>
              <c:f>'Ficha Municipal'!$H$110:$H$117</c:f>
              <c:numCache>
                <c:formatCode>0.0%</c:formatCode>
                <c:ptCount val="8"/>
                <c:pt idx="0">
                  <c:v>2.3946812279259145E-2</c:v>
                </c:pt>
                <c:pt idx="1">
                  <c:v>0.3484268618178985</c:v>
                </c:pt>
                <c:pt idx="2">
                  <c:v>3.1298828743177368E-2</c:v>
                </c:pt>
                <c:pt idx="3">
                  <c:v>1.494566635999502E-2</c:v>
                </c:pt>
                <c:pt idx="4">
                  <c:v>0.16735034630223125</c:v>
                </c:pt>
                <c:pt idx="5">
                  <c:v>0.12102417991934021</c:v>
                </c:pt>
                <c:pt idx="6">
                  <c:v>0.18820005578902668</c:v>
                </c:pt>
                <c:pt idx="7">
                  <c:v>3.3167658506213685E-2</c:v>
                </c:pt>
              </c:numCache>
            </c:numRef>
          </c:val>
          <c:extLst>
            <c:ext xmlns:c16="http://schemas.microsoft.com/office/drawing/2014/chart" uri="{C3380CC4-5D6E-409C-BE32-E72D297353CC}">
              <c16:uniqueId val="{00000000-AA88-4C7A-8642-50E2BE2CF820}"/>
            </c:ext>
          </c:extLst>
        </c:ser>
        <c:ser>
          <c:idx val="1"/>
          <c:order val="7"/>
          <c:tx>
            <c:strRef>
              <c:f>'Ficha Municipal'!$I$105</c:f>
              <c:strCache>
                <c:ptCount val="1"/>
                <c:pt idx="0">
                  <c:v>2022pr</c:v>
                </c:pt>
              </c:strCache>
            </c:strRef>
          </c:tx>
          <c:spPr>
            <a:solidFill>
              <a:schemeClr val="accent6">
                <a:lumMod val="20000"/>
                <a:lumOff val="8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Municipal'!$A$110:$A$117</c:f>
              <c:strCache>
                <c:ptCount val="8"/>
                <c:pt idx="0">
                  <c:v>Suministro de electricidad, gas,  agua (1)</c:v>
                </c:pt>
                <c:pt idx="1">
                  <c:v>Comercio; reparación de automotores(2)</c:v>
                </c:pt>
                <c:pt idx="2">
                  <c:v>Información y comunicaciones </c:v>
                </c:pt>
                <c:pt idx="3">
                  <c:v>Actividades financieras y de seguros</c:v>
                </c:pt>
                <c:pt idx="4">
                  <c:v>Actividades inmobiliarias</c:v>
                </c:pt>
                <c:pt idx="5">
                  <c:v>Actividades profesionales, científicas  (3)</c:v>
                </c:pt>
                <c:pt idx="6">
                  <c:v>Administración pública,  educación; salud humana (4)</c:v>
                </c:pt>
                <c:pt idx="7">
                  <c:v>Actividades artísticas, entretenimiento y recreación (5)</c:v>
                </c:pt>
              </c:strCache>
            </c:strRef>
          </c:cat>
          <c:val>
            <c:numRef>
              <c:f>'Ficha Municipal'!$I$110:$I$117</c:f>
              <c:numCache>
                <c:formatCode>0.0%</c:formatCode>
                <c:ptCount val="8"/>
                <c:pt idx="0">
                  <c:v>6.1118966445374866E-2</c:v>
                </c:pt>
                <c:pt idx="1">
                  <c:v>0.35932637201479728</c:v>
                </c:pt>
                <c:pt idx="2">
                  <c:v>2.9453468673962684E-2</c:v>
                </c:pt>
                <c:pt idx="3">
                  <c:v>9.4552391056276757E-3</c:v>
                </c:pt>
                <c:pt idx="4">
                  <c:v>0.14866041586185219</c:v>
                </c:pt>
                <c:pt idx="5">
                  <c:v>0.11654194282998648</c:v>
                </c:pt>
                <c:pt idx="6">
                  <c:v>0.16034995070657054</c:v>
                </c:pt>
                <c:pt idx="7">
                  <c:v>4.3292889536349223E-2</c:v>
                </c:pt>
              </c:numCache>
            </c:numRef>
          </c:val>
          <c:extLst>
            <c:ext xmlns:c16="http://schemas.microsoft.com/office/drawing/2014/chart" uri="{C3380CC4-5D6E-409C-BE32-E72D297353CC}">
              <c16:uniqueId val="{00000001-AA88-4C7A-8642-50E2BE2CF820}"/>
            </c:ext>
          </c:extLst>
        </c:ser>
        <c:dLbls>
          <c:showLegendKey val="0"/>
          <c:showVal val="0"/>
          <c:showCatName val="0"/>
          <c:showSerName val="0"/>
          <c:showPercent val="0"/>
          <c:showBubbleSize val="0"/>
        </c:dLbls>
        <c:gapWidth val="50"/>
        <c:axId val="713711104"/>
        <c:axId val="713711936"/>
      </c:barChart>
      <c:catAx>
        <c:axId val="71371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CO"/>
          </a:p>
        </c:txPr>
        <c:crossAx val="713711936"/>
        <c:crosses val="autoZero"/>
        <c:auto val="1"/>
        <c:lblAlgn val="ctr"/>
        <c:lblOffset val="100"/>
        <c:noMultiLvlLbl val="0"/>
      </c:catAx>
      <c:valAx>
        <c:axId val="7137119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CO"/>
          </a:p>
        </c:txPr>
        <c:crossAx val="713711104"/>
        <c:crosses val="autoZero"/>
        <c:crossBetween val="between"/>
      </c:valAx>
      <c:spPr>
        <a:noFill/>
        <a:ln>
          <a:noFill/>
        </a:ln>
        <a:effectLst/>
      </c:spPr>
    </c:plotArea>
    <c:legend>
      <c:legendPos val="b"/>
      <c:layout>
        <c:manualLayout>
          <c:xMode val="edge"/>
          <c:yMode val="edge"/>
          <c:x val="0.26933709409596263"/>
          <c:y val="0.92835361322117149"/>
          <c:w val="0.46993389518976042"/>
          <c:h val="6.8100040684115626E-2"/>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CO"/>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CO"/>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strRef>
          <c:f>'Ficha Municipal'!$P$1</c:f>
          <c:strCache>
            <c:ptCount val="1"/>
            <c:pt idx="0">
              <c:v>Proporción de las ramas de actividad económica del sector secundario en el valor agregado total en precios corrientes del Municipio de Guatapé 2015 - 2022</c:v>
            </c:pt>
          </c:strCache>
        </c:strRef>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CO"/>
        </a:p>
      </c:txPr>
    </c:title>
    <c:autoTitleDeleted val="0"/>
    <c:plotArea>
      <c:layout/>
      <c:barChart>
        <c:barDir val="col"/>
        <c:grouping val="clustered"/>
        <c:varyColors val="0"/>
        <c:ser>
          <c:idx val="0"/>
          <c:order val="0"/>
          <c:tx>
            <c:strRef>
              <c:f>'Ficha Municipal'!$B$105</c:f>
              <c:strCache>
                <c:ptCount val="1"/>
                <c:pt idx="0">
                  <c:v>2015</c:v>
                </c:pt>
              </c:strCache>
            </c:strRef>
          </c:tx>
          <c:spPr>
            <a:solidFill>
              <a:schemeClr val="accent6">
                <a:shade val="45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Municipal'!$A$108:$A$109</c:f>
              <c:strCache>
                <c:ptCount val="2"/>
                <c:pt idx="0">
                  <c:v>Industrias manufactureras </c:v>
                </c:pt>
                <c:pt idx="1">
                  <c:v>Construcción</c:v>
                </c:pt>
              </c:strCache>
            </c:strRef>
          </c:cat>
          <c:val>
            <c:numRef>
              <c:f>'Ficha Municipal'!$B$107:$B$108</c:f>
              <c:numCache>
                <c:formatCode>0.0%</c:formatCode>
                <c:ptCount val="2"/>
                <c:pt idx="0">
                  <c:v>0</c:v>
                </c:pt>
                <c:pt idx="1">
                  <c:v>3.690824147509774E-2</c:v>
                </c:pt>
              </c:numCache>
            </c:numRef>
          </c:val>
          <c:extLst>
            <c:ext xmlns:c16="http://schemas.microsoft.com/office/drawing/2014/chart" uri="{C3380CC4-5D6E-409C-BE32-E72D297353CC}">
              <c16:uniqueId val="{00000000-945D-4845-BBC8-0F1322290A12}"/>
            </c:ext>
          </c:extLst>
        </c:ser>
        <c:ser>
          <c:idx val="2"/>
          <c:order val="1"/>
          <c:tx>
            <c:strRef>
              <c:f>'Ficha Municipal'!$C$105</c:f>
              <c:strCache>
                <c:ptCount val="1"/>
                <c:pt idx="0">
                  <c:v>2016</c:v>
                </c:pt>
              </c:strCache>
            </c:strRef>
          </c:tx>
          <c:spPr>
            <a:solidFill>
              <a:schemeClr val="accent6">
                <a:shade val="76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Municipal'!$A$108:$A$109</c:f>
              <c:strCache>
                <c:ptCount val="2"/>
                <c:pt idx="0">
                  <c:v>Industrias manufactureras </c:v>
                </c:pt>
                <c:pt idx="1">
                  <c:v>Construcción</c:v>
                </c:pt>
              </c:strCache>
            </c:strRef>
          </c:cat>
          <c:val>
            <c:numRef>
              <c:f>'Ficha Municipal'!$C$107:$C$108</c:f>
              <c:numCache>
                <c:formatCode>0.0%</c:formatCode>
                <c:ptCount val="2"/>
                <c:pt idx="0">
                  <c:v>0</c:v>
                </c:pt>
                <c:pt idx="1">
                  <c:v>9.5218884219852359E-3</c:v>
                </c:pt>
              </c:numCache>
            </c:numRef>
          </c:val>
          <c:extLst>
            <c:ext xmlns:c16="http://schemas.microsoft.com/office/drawing/2014/chart" uri="{C3380CC4-5D6E-409C-BE32-E72D297353CC}">
              <c16:uniqueId val="{00000002-945D-4845-BBC8-0F1322290A12}"/>
            </c:ext>
          </c:extLst>
        </c:ser>
        <c:ser>
          <c:idx val="1"/>
          <c:order val="2"/>
          <c:tx>
            <c:strRef>
              <c:f>'Ficha Municipal'!$D$105</c:f>
              <c:strCache>
                <c:ptCount val="1"/>
                <c:pt idx="0">
                  <c:v>2017</c:v>
                </c:pt>
              </c:strCache>
            </c:strRef>
          </c:tx>
          <c:spPr>
            <a:solidFill>
              <a:schemeClr val="accent6">
                <a:shade val="61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Municipal'!$A$108:$A$109</c:f>
              <c:strCache>
                <c:ptCount val="2"/>
                <c:pt idx="0">
                  <c:v>Industrias manufactureras </c:v>
                </c:pt>
                <c:pt idx="1">
                  <c:v>Construcción</c:v>
                </c:pt>
              </c:strCache>
            </c:strRef>
          </c:cat>
          <c:val>
            <c:numRef>
              <c:f>'Ficha Municipal'!$D$108:$D$109</c:f>
              <c:numCache>
                <c:formatCode>0.0%</c:formatCode>
                <c:ptCount val="2"/>
                <c:pt idx="0">
                  <c:v>8.1357682977007111E-3</c:v>
                </c:pt>
                <c:pt idx="1">
                  <c:v>7.6169814489218071E-2</c:v>
                </c:pt>
              </c:numCache>
            </c:numRef>
          </c:val>
          <c:extLst>
            <c:ext xmlns:c16="http://schemas.microsoft.com/office/drawing/2014/chart" uri="{C3380CC4-5D6E-409C-BE32-E72D297353CC}">
              <c16:uniqueId val="{00000003-945D-4845-BBC8-0F1322290A12}"/>
            </c:ext>
          </c:extLst>
        </c:ser>
        <c:ser>
          <c:idx val="3"/>
          <c:order val="3"/>
          <c:tx>
            <c:strRef>
              <c:f>'Ficha Municipal'!$E$105</c:f>
              <c:strCache>
                <c:ptCount val="1"/>
                <c:pt idx="0">
                  <c:v>2018</c:v>
                </c:pt>
              </c:strCache>
            </c:strRef>
          </c:tx>
          <c:spPr>
            <a:solidFill>
              <a:schemeClr val="accent6">
                <a:shade val="92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Municipal'!$A$108:$A$109</c:f>
              <c:strCache>
                <c:ptCount val="2"/>
                <c:pt idx="0">
                  <c:v>Industrias manufactureras </c:v>
                </c:pt>
                <c:pt idx="1">
                  <c:v>Construcción</c:v>
                </c:pt>
              </c:strCache>
            </c:strRef>
          </c:cat>
          <c:val>
            <c:numRef>
              <c:f>'Ficha Municipal'!$E$108:$E$109</c:f>
              <c:numCache>
                <c:formatCode>0.0%</c:formatCode>
                <c:ptCount val="2"/>
                <c:pt idx="0">
                  <c:v>2.0759821994248914E-2</c:v>
                </c:pt>
                <c:pt idx="1">
                  <c:v>6.5271864129992571E-2</c:v>
                </c:pt>
              </c:numCache>
            </c:numRef>
          </c:val>
          <c:extLst>
            <c:ext xmlns:c16="http://schemas.microsoft.com/office/drawing/2014/chart" uri="{C3380CC4-5D6E-409C-BE32-E72D297353CC}">
              <c16:uniqueId val="{00000004-945D-4845-BBC8-0F1322290A12}"/>
            </c:ext>
          </c:extLst>
        </c:ser>
        <c:ser>
          <c:idx val="4"/>
          <c:order val="4"/>
          <c:tx>
            <c:strRef>
              <c:f>'Ficha Municipal'!$F$105</c:f>
              <c:strCache>
                <c:ptCount val="1"/>
                <c:pt idx="0">
                  <c:v>2019</c:v>
                </c:pt>
              </c:strCache>
            </c:strRef>
          </c:tx>
          <c:spPr>
            <a:solidFill>
              <a:schemeClr val="accent6">
                <a:tint val="93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Municipal'!$A$108:$A$109</c:f>
              <c:strCache>
                <c:ptCount val="2"/>
                <c:pt idx="0">
                  <c:v>Industrias manufactureras </c:v>
                </c:pt>
                <c:pt idx="1">
                  <c:v>Construcción</c:v>
                </c:pt>
              </c:strCache>
            </c:strRef>
          </c:cat>
          <c:val>
            <c:numRef>
              <c:f>'Ficha Municipal'!$F$108:$F$109</c:f>
              <c:numCache>
                <c:formatCode>0.0%</c:formatCode>
                <c:ptCount val="2"/>
                <c:pt idx="0">
                  <c:v>2.0176301427229495E-2</c:v>
                </c:pt>
                <c:pt idx="1">
                  <c:v>6.2165387190968563E-2</c:v>
                </c:pt>
              </c:numCache>
            </c:numRef>
          </c:val>
          <c:extLst>
            <c:ext xmlns:c16="http://schemas.microsoft.com/office/drawing/2014/chart" uri="{C3380CC4-5D6E-409C-BE32-E72D297353CC}">
              <c16:uniqueId val="{00000005-945D-4845-BBC8-0F1322290A12}"/>
            </c:ext>
          </c:extLst>
        </c:ser>
        <c:ser>
          <c:idx val="5"/>
          <c:order val="5"/>
          <c:tx>
            <c:strRef>
              <c:f>'Ficha Municipal'!$G$105</c:f>
              <c:strCache>
                <c:ptCount val="1"/>
                <c:pt idx="0">
                  <c:v>2020</c:v>
                </c:pt>
              </c:strCache>
            </c:strRef>
          </c:tx>
          <c:spPr>
            <a:solidFill>
              <a:schemeClr val="accent6">
                <a:tint val="77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Municipal'!$A$108:$A$109</c:f>
              <c:strCache>
                <c:ptCount val="2"/>
                <c:pt idx="0">
                  <c:v>Industrias manufactureras </c:v>
                </c:pt>
                <c:pt idx="1">
                  <c:v>Construcción</c:v>
                </c:pt>
              </c:strCache>
            </c:strRef>
          </c:cat>
          <c:val>
            <c:numRef>
              <c:f>'Ficha Municipal'!$G$108:$G$109</c:f>
              <c:numCache>
                <c:formatCode>0.0%</c:formatCode>
                <c:ptCount val="2"/>
                <c:pt idx="0">
                  <c:v>1.8478728419764456E-2</c:v>
                </c:pt>
                <c:pt idx="1">
                  <c:v>4.2135857854881838E-2</c:v>
                </c:pt>
              </c:numCache>
            </c:numRef>
          </c:val>
          <c:extLst>
            <c:ext xmlns:c16="http://schemas.microsoft.com/office/drawing/2014/chart" uri="{C3380CC4-5D6E-409C-BE32-E72D297353CC}">
              <c16:uniqueId val="{00000006-945D-4845-BBC8-0F1322290A12}"/>
            </c:ext>
          </c:extLst>
        </c:ser>
        <c:ser>
          <c:idx val="6"/>
          <c:order val="6"/>
          <c:tx>
            <c:strRef>
              <c:f>'Ficha Municipal'!$H$105</c:f>
              <c:strCache>
                <c:ptCount val="1"/>
                <c:pt idx="0">
                  <c:v>2021p</c:v>
                </c:pt>
              </c:strCache>
            </c:strRef>
          </c:tx>
          <c:spPr>
            <a:solidFill>
              <a:schemeClr val="accent6">
                <a:tint val="62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Municipal'!$A$108:$A$109</c:f>
              <c:strCache>
                <c:ptCount val="2"/>
                <c:pt idx="0">
                  <c:v>Industrias manufactureras </c:v>
                </c:pt>
                <c:pt idx="1">
                  <c:v>Construcción</c:v>
                </c:pt>
              </c:strCache>
            </c:strRef>
          </c:cat>
          <c:val>
            <c:numRef>
              <c:f>'Ficha Municipal'!$H$108:$H$109</c:f>
              <c:numCache>
                <c:formatCode>0.0%</c:formatCode>
                <c:ptCount val="2"/>
                <c:pt idx="0">
                  <c:v>3.4366894149943407E-2</c:v>
                </c:pt>
                <c:pt idx="1">
                  <c:v>2.7680016728934057E-2</c:v>
                </c:pt>
              </c:numCache>
            </c:numRef>
          </c:val>
          <c:extLst>
            <c:ext xmlns:c16="http://schemas.microsoft.com/office/drawing/2014/chart" uri="{C3380CC4-5D6E-409C-BE32-E72D297353CC}">
              <c16:uniqueId val="{00000000-6138-47DE-905A-44E71C594D8A}"/>
            </c:ext>
          </c:extLst>
        </c:ser>
        <c:ser>
          <c:idx val="7"/>
          <c:order val="7"/>
          <c:tx>
            <c:strRef>
              <c:f>'Ficha Municipal'!$I$105</c:f>
              <c:strCache>
                <c:ptCount val="1"/>
                <c:pt idx="0">
                  <c:v>2022pr</c:v>
                </c:pt>
              </c:strCache>
            </c:strRef>
          </c:tx>
          <c:spPr>
            <a:solidFill>
              <a:schemeClr val="accent6">
                <a:tint val="46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Municipal'!$A$108:$A$109</c:f>
              <c:strCache>
                <c:ptCount val="2"/>
                <c:pt idx="0">
                  <c:v>Industrias manufactureras </c:v>
                </c:pt>
                <c:pt idx="1">
                  <c:v>Construcción</c:v>
                </c:pt>
              </c:strCache>
            </c:strRef>
          </c:cat>
          <c:val>
            <c:numRef>
              <c:f>'Ficha Municipal'!$I$108:$I$109</c:f>
              <c:numCache>
                <c:formatCode>0.0%</c:formatCode>
                <c:ptCount val="2"/>
                <c:pt idx="0">
                  <c:v>2.2626948938733498E-2</c:v>
                </c:pt>
                <c:pt idx="1">
                  <c:v>3.8346047321560196E-2</c:v>
                </c:pt>
              </c:numCache>
            </c:numRef>
          </c:val>
          <c:extLst>
            <c:ext xmlns:c16="http://schemas.microsoft.com/office/drawing/2014/chart" uri="{C3380CC4-5D6E-409C-BE32-E72D297353CC}">
              <c16:uniqueId val="{00000001-6138-47DE-905A-44E71C594D8A}"/>
            </c:ext>
          </c:extLst>
        </c:ser>
        <c:dLbls>
          <c:showLegendKey val="0"/>
          <c:showVal val="0"/>
          <c:showCatName val="0"/>
          <c:showSerName val="0"/>
          <c:showPercent val="0"/>
          <c:showBubbleSize val="0"/>
        </c:dLbls>
        <c:gapWidth val="50"/>
        <c:axId val="1556308448"/>
        <c:axId val="1556301376"/>
      </c:barChart>
      <c:catAx>
        <c:axId val="155630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CO"/>
          </a:p>
        </c:txPr>
        <c:crossAx val="1556301376"/>
        <c:crosses val="autoZero"/>
        <c:auto val="1"/>
        <c:lblAlgn val="ctr"/>
        <c:lblOffset val="100"/>
        <c:noMultiLvlLbl val="0"/>
      </c:catAx>
      <c:valAx>
        <c:axId val="155630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CO"/>
          </a:p>
        </c:txPr>
        <c:crossAx val="1556308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CO"/>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CO"/>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strRef>
          <c:f>'Ficha Municipal'!$O$1</c:f>
          <c:strCache>
            <c:ptCount val="1"/>
            <c:pt idx="0">
              <c:v>Proporción de las ramas de actividad económica del sector primario en el valor agregado total en precios corrientes del Municipio de Guatapé 2015 - 2022</c:v>
            </c:pt>
          </c:strCache>
        </c:strRef>
      </c:tx>
      <c:layout>
        <c:manualLayout>
          <c:xMode val="edge"/>
          <c:yMode val="edge"/>
          <c:x val="0.11595811245854173"/>
          <c:y val="0"/>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CO"/>
        </a:p>
      </c:txPr>
    </c:title>
    <c:autoTitleDeleted val="0"/>
    <c:plotArea>
      <c:layout>
        <c:manualLayout>
          <c:layoutTarget val="inner"/>
          <c:xMode val="edge"/>
          <c:yMode val="edge"/>
          <c:x val="4.59060027181043E-2"/>
          <c:y val="0.11990410668824766"/>
          <c:w val="0.92874126265733115"/>
          <c:h val="0.73599337916518548"/>
        </c:manualLayout>
      </c:layout>
      <c:barChart>
        <c:barDir val="col"/>
        <c:grouping val="clustered"/>
        <c:varyColors val="0"/>
        <c:ser>
          <c:idx val="0"/>
          <c:order val="0"/>
          <c:tx>
            <c:strRef>
              <c:f>'Ficha Municipal'!$B$105</c:f>
              <c:strCache>
                <c:ptCount val="1"/>
                <c:pt idx="0">
                  <c:v>2015</c:v>
                </c:pt>
              </c:strCache>
            </c:strRef>
          </c:tx>
          <c:spPr>
            <a:solidFill>
              <a:schemeClr val="accent6">
                <a:shade val="45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Municipal'!$A$106:$A$107</c:f>
              <c:strCache>
                <c:ptCount val="2"/>
                <c:pt idx="0">
                  <c:v>Agricultura, ganadería, caza, silvicultura y pesca  </c:v>
                </c:pt>
                <c:pt idx="1">
                  <c:v>Explotación de minas y canteras </c:v>
                </c:pt>
              </c:strCache>
            </c:strRef>
          </c:cat>
          <c:val>
            <c:numRef>
              <c:f>'Ficha Municipal'!$B$106:$B$107</c:f>
              <c:numCache>
                <c:formatCode>0.0%</c:formatCode>
                <c:ptCount val="2"/>
                <c:pt idx="0">
                  <c:v>1.272545182063407E-2</c:v>
                </c:pt>
                <c:pt idx="1">
                  <c:v>0</c:v>
                </c:pt>
              </c:numCache>
            </c:numRef>
          </c:val>
          <c:extLst>
            <c:ext xmlns:c16="http://schemas.microsoft.com/office/drawing/2014/chart" uri="{C3380CC4-5D6E-409C-BE32-E72D297353CC}">
              <c16:uniqueId val="{00000000-1C01-4793-8139-B60A7FE4AECE}"/>
            </c:ext>
          </c:extLst>
        </c:ser>
        <c:ser>
          <c:idx val="1"/>
          <c:order val="1"/>
          <c:tx>
            <c:strRef>
              <c:f>'Ficha Municipal'!$C$105</c:f>
              <c:strCache>
                <c:ptCount val="1"/>
                <c:pt idx="0">
                  <c:v>2016</c:v>
                </c:pt>
              </c:strCache>
            </c:strRef>
          </c:tx>
          <c:spPr>
            <a:solidFill>
              <a:schemeClr val="accent6">
                <a:shade val="61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Municipal'!$A$106:$A$107</c:f>
              <c:strCache>
                <c:ptCount val="2"/>
                <c:pt idx="0">
                  <c:v>Agricultura, ganadería, caza, silvicultura y pesca  </c:v>
                </c:pt>
                <c:pt idx="1">
                  <c:v>Explotación de minas y canteras </c:v>
                </c:pt>
              </c:strCache>
            </c:strRef>
          </c:cat>
          <c:val>
            <c:numRef>
              <c:f>'Ficha Municipal'!$C$106:$C$107</c:f>
              <c:numCache>
                <c:formatCode>0.0%</c:formatCode>
                <c:ptCount val="2"/>
                <c:pt idx="0">
                  <c:v>1.5613120041080918E-2</c:v>
                </c:pt>
                <c:pt idx="1">
                  <c:v>0</c:v>
                </c:pt>
              </c:numCache>
            </c:numRef>
          </c:val>
          <c:extLst>
            <c:ext xmlns:c16="http://schemas.microsoft.com/office/drawing/2014/chart" uri="{C3380CC4-5D6E-409C-BE32-E72D297353CC}">
              <c16:uniqueId val="{00000001-1C01-4793-8139-B60A7FE4AECE}"/>
            </c:ext>
          </c:extLst>
        </c:ser>
        <c:ser>
          <c:idx val="2"/>
          <c:order val="2"/>
          <c:tx>
            <c:strRef>
              <c:f>'Ficha Municipal'!$D$105</c:f>
              <c:strCache>
                <c:ptCount val="1"/>
                <c:pt idx="0">
                  <c:v>2017</c:v>
                </c:pt>
              </c:strCache>
            </c:strRef>
          </c:tx>
          <c:spPr>
            <a:solidFill>
              <a:schemeClr val="accent6">
                <a:shade val="76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Municipal'!$A$106:$A$107</c:f>
              <c:strCache>
                <c:ptCount val="2"/>
                <c:pt idx="0">
                  <c:v>Agricultura, ganadería, caza, silvicultura y pesca  </c:v>
                </c:pt>
                <c:pt idx="1">
                  <c:v>Explotación de minas y canteras </c:v>
                </c:pt>
              </c:strCache>
            </c:strRef>
          </c:cat>
          <c:val>
            <c:numRef>
              <c:f>'Ficha Municipal'!$D$106:$D$107</c:f>
              <c:numCache>
                <c:formatCode>0.0%</c:formatCode>
                <c:ptCount val="2"/>
                <c:pt idx="0">
                  <c:v>1.8790125591937719E-2</c:v>
                </c:pt>
                <c:pt idx="1">
                  <c:v>0</c:v>
                </c:pt>
              </c:numCache>
            </c:numRef>
          </c:val>
          <c:extLst>
            <c:ext xmlns:c16="http://schemas.microsoft.com/office/drawing/2014/chart" uri="{C3380CC4-5D6E-409C-BE32-E72D297353CC}">
              <c16:uniqueId val="{00000002-1C01-4793-8139-B60A7FE4AECE}"/>
            </c:ext>
          </c:extLst>
        </c:ser>
        <c:ser>
          <c:idx val="3"/>
          <c:order val="3"/>
          <c:tx>
            <c:strRef>
              <c:f>'Ficha Municipal'!$E$105</c:f>
              <c:strCache>
                <c:ptCount val="1"/>
                <c:pt idx="0">
                  <c:v>2018</c:v>
                </c:pt>
              </c:strCache>
            </c:strRef>
          </c:tx>
          <c:spPr>
            <a:solidFill>
              <a:schemeClr val="accent6">
                <a:shade val="92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Municipal'!$A$106:$A$107</c:f>
              <c:strCache>
                <c:ptCount val="2"/>
                <c:pt idx="0">
                  <c:v>Agricultura, ganadería, caza, silvicultura y pesca  </c:v>
                </c:pt>
                <c:pt idx="1">
                  <c:v>Explotación de minas y canteras </c:v>
                </c:pt>
              </c:strCache>
            </c:strRef>
          </c:cat>
          <c:val>
            <c:numRef>
              <c:f>'Ficha Municipal'!$E$106:$E$107</c:f>
              <c:numCache>
                <c:formatCode>0.0%</c:formatCode>
                <c:ptCount val="2"/>
                <c:pt idx="0">
                  <c:v>1.1886822268516934E-2</c:v>
                </c:pt>
                <c:pt idx="1">
                  <c:v>0</c:v>
                </c:pt>
              </c:numCache>
            </c:numRef>
          </c:val>
          <c:extLst>
            <c:ext xmlns:c16="http://schemas.microsoft.com/office/drawing/2014/chart" uri="{C3380CC4-5D6E-409C-BE32-E72D297353CC}">
              <c16:uniqueId val="{00000003-1C01-4793-8139-B60A7FE4AECE}"/>
            </c:ext>
          </c:extLst>
        </c:ser>
        <c:ser>
          <c:idx val="4"/>
          <c:order val="4"/>
          <c:tx>
            <c:strRef>
              <c:f>'Ficha Municipal'!$F$105</c:f>
              <c:strCache>
                <c:ptCount val="1"/>
                <c:pt idx="0">
                  <c:v>2019</c:v>
                </c:pt>
              </c:strCache>
            </c:strRef>
          </c:tx>
          <c:spPr>
            <a:solidFill>
              <a:schemeClr val="accent6">
                <a:tint val="93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Municipal'!$A$106:$A$107</c:f>
              <c:strCache>
                <c:ptCount val="2"/>
                <c:pt idx="0">
                  <c:v>Agricultura, ganadería, caza, silvicultura y pesca  </c:v>
                </c:pt>
                <c:pt idx="1">
                  <c:v>Explotación de minas y canteras </c:v>
                </c:pt>
              </c:strCache>
            </c:strRef>
          </c:cat>
          <c:val>
            <c:numRef>
              <c:f>'Ficha Municipal'!$F$106:$F$107</c:f>
              <c:numCache>
                <c:formatCode>0.0%</c:formatCode>
                <c:ptCount val="2"/>
                <c:pt idx="0">
                  <c:v>9.8190069240270354E-3</c:v>
                </c:pt>
                <c:pt idx="1">
                  <c:v>0</c:v>
                </c:pt>
              </c:numCache>
            </c:numRef>
          </c:val>
          <c:extLst>
            <c:ext xmlns:c16="http://schemas.microsoft.com/office/drawing/2014/chart" uri="{C3380CC4-5D6E-409C-BE32-E72D297353CC}">
              <c16:uniqueId val="{00000004-1C01-4793-8139-B60A7FE4AECE}"/>
            </c:ext>
          </c:extLst>
        </c:ser>
        <c:ser>
          <c:idx val="5"/>
          <c:order val="5"/>
          <c:tx>
            <c:strRef>
              <c:f>'Ficha Municipal'!$G$105</c:f>
              <c:strCache>
                <c:ptCount val="1"/>
                <c:pt idx="0">
                  <c:v>2020</c:v>
                </c:pt>
              </c:strCache>
            </c:strRef>
          </c:tx>
          <c:spPr>
            <a:solidFill>
              <a:schemeClr val="accent6">
                <a:tint val="77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Municipal'!$A$106:$A$107</c:f>
              <c:strCache>
                <c:ptCount val="2"/>
                <c:pt idx="0">
                  <c:v>Agricultura, ganadería, caza, silvicultura y pesca  </c:v>
                </c:pt>
                <c:pt idx="1">
                  <c:v>Explotación de minas y canteras </c:v>
                </c:pt>
              </c:strCache>
            </c:strRef>
          </c:cat>
          <c:val>
            <c:numRef>
              <c:f>'Ficha Municipal'!$G$106:$G$107</c:f>
              <c:numCache>
                <c:formatCode>0.0%</c:formatCode>
                <c:ptCount val="2"/>
                <c:pt idx="0">
                  <c:v>1.195430762295128E-2</c:v>
                </c:pt>
                <c:pt idx="1">
                  <c:v>0</c:v>
                </c:pt>
              </c:numCache>
            </c:numRef>
          </c:val>
          <c:extLst>
            <c:ext xmlns:c16="http://schemas.microsoft.com/office/drawing/2014/chart" uri="{C3380CC4-5D6E-409C-BE32-E72D297353CC}">
              <c16:uniqueId val="{00000005-1C01-4793-8139-B60A7FE4AECE}"/>
            </c:ext>
          </c:extLst>
        </c:ser>
        <c:ser>
          <c:idx val="6"/>
          <c:order val="6"/>
          <c:tx>
            <c:strRef>
              <c:f>'Ficha Municipal'!$H$105</c:f>
              <c:strCache>
                <c:ptCount val="1"/>
                <c:pt idx="0">
                  <c:v>2021p</c:v>
                </c:pt>
              </c:strCache>
            </c:strRef>
          </c:tx>
          <c:spPr>
            <a:solidFill>
              <a:schemeClr val="accent6">
                <a:tint val="62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Municipal'!$A$106:$A$107</c:f>
              <c:strCache>
                <c:ptCount val="2"/>
                <c:pt idx="0">
                  <c:v>Agricultura, ganadería, caza, silvicultura y pesca  </c:v>
                </c:pt>
                <c:pt idx="1">
                  <c:v>Explotación de minas y canteras </c:v>
                </c:pt>
              </c:strCache>
            </c:strRef>
          </c:cat>
          <c:val>
            <c:numRef>
              <c:f>'Ficha Municipal'!$H$106:$H$107</c:f>
              <c:numCache>
                <c:formatCode>0.0%</c:formatCode>
                <c:ptCount val="2"/>
                <c:pt idx="0">
                  <c:v>9.5926794039805953E-3</c:v>
                </c:pt>
                <c:pt idx="1">
                  <c:v>0</c:v>
                </c:pt>
              </c:numCache>
            </c:numRef>
          </c:val>
          <c:extLst>
            <c:ext xmlns:c16="http://schemas.microsoft.com/office/drawing/2014/chart" uri="{C3380CC4-5D6E-409C-BE32-E72D297353CC}">
              <c16:uniqueId val="{00000000-24F5-406E-885D-D648069F1433}"/>
            </c:ext>
          </c:extLst>
        </c:ser>
        <c:ser>
          <c:idx val="7"/>
          <c:order val="7"/>
          <c:tx>
            <c:strRef>
              <c:f>'Ficha Municipal'!$I$105</c:f>
              <c:strCache>
                <c:ptCount val="1"/>
                <c:pt idx="0">
                  <c:v>2022pr</c:v>
                </c:pt>
              </c:strCache>
            </c:strRef>
          </c:tx>
          <c:spPr>
            <a:solidFill>
              <a:schemeClr val="accent6">
                <a:tint val="46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Municipal'!$A$106:$A$107</c:f>
              <c:strCache>
                <c:ptCount val="2"/>
                <c:pt idx="0">
                  <c:v>Agricultura, ganadería, caza, silvicultura y pesca  </c:v>
                </c:pt>
                <c:pt idx="1">
                  <c:v>Explotación de minas y canteras </c:v>
                </c:pt>
              </c:strCache>
            </c:strRef>
          </c:cat>
          <c:val>
            <c:numRef>
              <c:f>'Ficha Municipal'!$I$106:$I$107</c:f>
              <c:numCache>
                <c:formatCode>0.0%</c:formatCode>
                <c:ptCount val="2"/>
                <c:pt idx="0">
                  <c:v>1.0827758565185421E-2</c:v>
                </c:pt>
                <c:pt idx="1">
                  <c:v>0</c:v>
                </c:pt>
              </c:numCache>
            </c:numRef>
          </c:val>
          <c:extLst>
            <c:ext xmlns:c16="http://schemas.microsoft.com/office/drawing/2014/chart" uri="{C3380CC4-5D6E-409C-BE32-E72D297353CC}">
              <c16:uniqueId val="{00000001-24F5-406E-885D-D648069F1433}"/>
            </c:ext>
          </c:extLst>
        </c:ser>
        <c:dLbls>
          <c:showLegendKey val="0"/>
          <c:showVal val="0"/>
          <c:showCatName val="0"/>
          <c:showSerName val="0"/>
          <c:showPercent val="0"/>
          <c:showBubbleSize val="0"/>
        </c:dLbls>
        <c:gapWidth val="150"/>
        <c:axId val="713711104"/>
        <c:axId val="713711936"/>
      </c:barChart>
      <c:catAx>
        <c:axId val="71371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CO"/>
          </a:p>
        </c:txPr>
        <c:crossAx val="713711936"/>
        <c:crosses val="autoZero"/>
        <c:auto val="1"/>
        <c:lblAlgn val="ctr"/>
        <c:lblOffset val="100"/>
        <c:noMultiLvlLbl val="0"/>
      </c:catAx>
      <c:valAx>
        <c:axId val="7137119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CO"/>
          </a:p>
        </c:txPr>
        <c:crossAx val="713711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CO"/>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CO"/>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strRef>
          <c:f>'Ficha Municipal'!$T$1</c:f>
          <c:strCache>
            <c:ptCount val="1"/>
            <c:pt idx="0">
              <c:v>Valor Agregado sector económico primario en precios constantes,  por ramas de actividad económica del Municipio de Guatapé2015 - 2022 (miles de Millones de pesos)</c:v>
            </c:pt>
          </c:strCache>
        </c:strRef>
      </c:tx>
      <c:layout>
        <c:manualLayout>
          <c:xMode val="edge"/>
          <c:yMode val="edge"/>
          <c:x val="0.10151201362739824"/>
          <c:y val="0"/>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endParaRPr lang="en-CO"/>
        </a:p>
      </c:txPr>
    </c:title>
    <c:autoTitleDeleted val="0"/>
    <c:plotArea>
      <c:layout>
        <c:manualLayout>
          <c:layoutTarget val="inner"/>
          <c:xMode val="edge"/>
          <c:yMode val="edge"/>
          <c:x val="9.132415089809276E-2"/>
          <c:y val="0.15532792198499168"/>
          <c:w val="0.88854192173364499"/>
          <c:h val="0.70101374388192683"/>
        </c:manualLayout>
      </c:layout>
      <c:barChart>
        <c:barDir val="col"/>
        <c:grouping val="clustered"/>
        <c:varyColors val="0"/>
        <c:ser>
          <c:idx val="0"/>
          <c:order val="0"/>
          <c:tx>
            <c:strRef>
              <c:f>'Ficha Municipal'!$B$131</c:f>
              <c:strCache>
                <c:ptCount val="1"/>
                <c:pt idx="0">
                  <c:v>2015</c:v>
                </c:pt>
              </c:strCache>
            </c:strRef>
          </c:tx>
          <c:spPr>
            <a:solidFill>
              <a:schemeClr val="accent6">
                <a:shade val="45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Municipal'!$A$132:$A$133</c:f>
              <c:strCache>
                <c:ptCount val="2"/>
                <c:pt idx="0">
                  <c:v>Agricultura, ganadería, caza, silvicultura y pesca  </c:v>
                </c:pt>
                <c:pt idx="1">
                  <c:v>Explotación de minas y canteras </c:v>
                </c:pt>
              </c:strCache>
            </c:strRef>
          </c:cat>
          <c:val>
            <c:numRef>
              <c:f>'Ficha Municipal'!$B$132:$B$133</c:f>
              <c:numCache>
                <c:formatCode>#,##0.00</c:formatCode>
                <c:ptCount val="2"/>
                <c:pt idx="0">
                  <c:v>2.8973141719562014</c:v>
                </c:pt>
                <c:pt idx="1">
                  <c:v>0</c:v>
                </c:pt>
              </c:numCache>
            </c:numRef>
          </c:val>
          <c:extLst>
            <c:ext xmlns:c16="http://schemas.microsoft.com/office/drawing/2014/chart" uri="{C3380CC4-5D6E-409C-BE32-E72D297353CC}">
              <c16:uniqueId val="{00000000-3564-445F-BD93-E857FD8F44EB}"/>
            </c:ext>
          </c:extLst>
        </c:ser>
        <c:ser>
          <c:idx val="1"/>
          <c:order val="1"/>
          <c:tx>
            <c:strRef>
              <c:f>'Ficha Municipal'!$C$131</c:f>
              <c:strCache>
                <c:ptCount val="1"/>
                <c:pt idx="0">
                  <c:v>2016</c:v>
                </c:pt>
              </c:strCache>
            </c:strRef>
          </c:tx>
          <c:spPr>
            <a:solidFill>
              <a:schemeClr val="accent6">
                <a:shade val="61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Municipal'!$A$132:$A$133</c:f>
              <c:strCache>
                <c:ptCount val="2"/>
                <c:pt idx="0">
                  <c:v>Agricultura, ganadería, caza, silvicultura y pesca  </c:v>
                </c:pt>
                <c:pt idx="1">
                  <c:v>Explotación de minas y canteras </c:v>
                </c:pt>
              </c:strCache>
            </c:strRef>
          </c:cat>
          <c:val>
            <c:numRef>
              <c:f>'Ficha Municipal'!$C$132:$C$133</c:f>
              <c:numCache>
                <c:formatCode>#,##0.00</c:formatCode>
                <c:ptCount val="2"/>
                <c:pt idx="0">
                  <c:v>3.9647177061351582</c:v>
                </c:pt>
                <c:pt idx="1">
                  <c:v>0</c:v>
                </c:pt>
              </c:numCache>
            </c:numRef>
          </c:val>
          <c:extLst>
            <c:ext xmlns:c16="http://schemas.microsoft.com/office/drawing/2014/chart" uri="{C3380CC4-5D6E-409C-BE32-E72D297353CC}">
              <c16:uniqueId val="{00000001-3564-445F-BD93-E857FD8F44EB}"/>
            </c:ext>
          </c:extLst>
        </c:ser>
        <c:ser>
          <c:idx val="2"/>
          <c:order val="2"/>
          <c:tx>
            <c:strRef>
              <c:f>'Ficha Municipal'!$D$131</c:f>
              <c:strCache>
                <c:ptCount val="1"/>
                <c:pt idx="0">
                  <c:v>2017</c:v>
                </c:pt>
              </c:strCache>
            </c:strRef>
          </c:tx>
          <c:spPr>
            <a:solidFill>
              <a:schemeClr val="accent6">
                <a:shade val="76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Municipal'!$A$132:$A$133</c:f>
              <c:strCache>
                <c:ptCount val="2"/>
                <c:pt idx="0">
                  <c:v>Agricultura, ganadería, caza, silvicultura y pesca  </c:v>
                </c:pt>
                <c:pt idx="1">
                  <c:v>Explotación de minas y canteras </c:v>
                </c:pt>
              </c:strCache>
            </c:strRef>
          </c:cat>
          <c:val>
            <c:numRef>
              <c:f>'Ficha Municipal'!$D$132:$D$133</c:f>
              <c:numCache>
                <c:formatCode>#,##0.00</c:formatCode>
                <c:ptCount val="2"/>
                <c:pt idx="0">
                  <c:v>5.1388048967441726</c:v>
                </c:pt>
                <c:pt idx="1">
                  <c:v>0</c:v>
                </c:pt>
              </c:numCache>
            </c:numRef>
          </c:val>
          <c:extLst>
            <c:ext xmlns:c16="http://schemas.microsoft.com/office/drawing/2014/chart" uri="{C3380CC4-5D6E-409C-BE32-E72D297353CC}">
              <c16:uniqueId val="{00000002-3564-445F-BD93-E857FD8F44EB}"/>
            </c:ext>
          </c:extLst>
        </c:ser>
        <c:ser>
          <c:idx val="3"/>
          <c:order val="3"/>
          <c:tx>
            <c:strRef>
              <c:f>'Ficha Municipal'!$E$131</c:f>
              <c:strCache>
                <c:ptCount val="1"/>
                <c:pt idx="0">
                  <c:v>2018</c:v>
                </c:pt>
              </c:strCache>
            </c:strRef>
          </c:tx>
          <c:spPr>
            <a:solidFill>
              <a:schemeClr val="accent6">
                <a:shade val="92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Municipal'!$A$132:$A$133</c:f>
              <c:strCache>
                <c:ptCount val="2"/>
                <c:pt idx="0">
                  <c:v>Agricultura, ganadería, caza, silvicultura y pesca  </c:v>
                </c:pt>
                <c:pt idx="1">
                  <c:v>Explotación de minas y canteras </c:v>
                </c:pt>
              </c:strCache>
            </c:strRef>
          </c:cat>
          <c:val>
            <c:numRef>
              <c:f>'Ficha Municipal'!$E$132:$E$133</c:f>
              <c:numCache>
                <c:formatCode>#,##0.00</c:formatCode>
                <c:ptCount val="2"/>
                <c:pt idx="0">
                  <c:v>3.3749255368360571</c:v>
                </c:pt>
                <c:pt idx="1">
                  <c:v>0</c:v>
                </c:pt>
              </c:numCache>
            </c:numRef>
          </c:val>
          <c:extLst>
            <c:ext xmlns:c16="http://schemas.microsoft.com/office/drawing/2014/chart" uri="{C3380CC4-5D6E-409C-BE32-E72D297353CC}">
              <c16:uniqueId val="{00000003-3564-445F-BD93-E857FD8F44EB}"/>
            </c:ext>
          </c:extLst>
        </c:ser>
        <c:ser>
          <c:idx val="4"/>
          <c:order val="4"/>
          <c:tx>
            <c:strRef>
              <c:f>'Ficha Municipal'!$F$131</c:f>
              <c:strCache>
                <c:ptCount val="1"/>
                <c:pt idx="0">
                  <c:v>2019</c:v>
                </c:pt>
              </c:strCache>
            </c:strRef>
          </c:tx>
          <c:spPr>
            <a:solidFill>
              <a:schemeClr val="accent6">
                <a:tint val="93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Municipal'!$A$132:$A$133</c:f>
              <c:strCache>
                <c:ptCount val="2"/>
                <c:pt idx="0">
                  <c:v>Agricultura, ganadería, caza, silvicultura y pesca  </c:v>
                </c:pt>
                <c:pt idx="1">
                  <c:v>Explotación de minas y canteras </c:v>
                </c:pt>
              </c:strCache>
            </c:strRef>
          </c:cat>
          <c:val>
            <c:numRef>
              <c:f>'Ficha Municipal'!$F$132:$F$133</c:f>
              <c:numCache>
                <c:formatCode>#,##0.00</c:formatCode>
                <c:ptCount val="2"/>
                <c:pt idx="0">
                  <c:v>2.8330459163141515</c:v>
                </c:pt>
                <c:pt idx="1">
                  <c:v>0</c:v>
                </c:pt>
              </c:numCache>
            </c:numRef>
          </c:val>
          <c:extLst>
            <c:ext xmlns:c16="http://schemas.microsoft.com/office/drawing/2014/chart" uri="{C3380CC4-5D6E-409C-BE32-E72D297353CC}">
              <c16:uniqueId val="{00000004-3564-445F-BD93-E857FD8F44EB}"/>
            </c:ext>
          </c:extLst>
        </c:ser>
        <c:ser>
          <c:idx val="5"/>
          <c:order val="5"/>
          <c:tx>
            <c:strRef>
              <c:f>'Ficha Municipal'!$G$131</c:f>
              <c:strCache>
                <c:ptCount val="1"/>
                <c:pt idx="0">
                  <c:v>2020</c:v>
                </c:pt>
              </c:strCache>
            </c:strRef>
          </c:tx>
          <c:spPr>
            <a:solidFill>
              <a:schemeClr val="accent6">
                <a:tint val="77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Municipal'!$A$132:$A$133</c:f>
              <c:strCache>
                <c:ptCount val="2"/>
                <c:pt idx="0">
                  <c:v>Agricultura, ganadería, caza, silvicultura y pesca  </c:v>
                </c:pt>
                <c:pt idx="1">
                  <c:v>Explotación de minas y canteras </c:v>
                </c:pt>
              </c:strCache>
            </c:strRef>
          </c:cat>
          <c:val>
            <c:numRef>
              <c:f>'Ficha Municipal'!$G$132:$G$133</c:f>
              <c:numCache>
                <c:formatCode>#,##0.00</c:formatCode>
                <c:ptCount val="2"/>
                <c:pt idx="0">
                  <c:v>3.2942295516675193</c:v>
                </c:pt>
                <c:pt idx="1">
                  <c:v>0</c:v>
                </c:pt>
              </c:numCache>
            </c:numRef>
          </c:val>
          <c:extLst>
            <c:ext xmlns:c16="http://schemas.microsoft.com/office/drawing/2014/chart" uri="{C3380CC4-5D6E-409C-BE32-E72D297353CC}">
              <c16:uniqueId val="{00000005-3564-445F-BD93-E857FD8F44EB}"/>
            </c:ext>
          </c:extLst>
        </c:ser>
        <c:ser>
          <c:idx val="6"/>
          <c:order val="6"/>
          <c:tx>
            <c:strRef>
              <c:f>'Ficha Municipal'!$H$131</c:f>
              <c:strCache>
                <c:ptCount val="1"/>
                <c:pt idx="0">
                  <c:v>2021p</c:v>
                </c:pt>
              </c:strCache>
            </c:strRef>
          </c:tx>
          <c:spPr>
            <a:solidFill>
              <a:schemeClr val="accent6">
                <a:tint val="62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Municipal'!$A$132:$A$133</c:f>
              <c:strCache>
                <c:ptCount val="2"/>
                <c:pt idx="0">
                  <c:v>Agricultura, ganadería, caza, silvicultura y pesca  </c:v>
                </c:pt>
                <c:pt idx="1">
                  <c:v>Explotación de minas y canteras </c:v>
                </c:pt>
              </c:strCache>
            </c:strRef>
          </c:cat>
          <c:val>
            <c:numRef>
              <c:f>'Ficha Municipal'!$H$132:$H$133</c:f>
              <c:numCache>
                <c:formatCode>#,##0.00</c:formatCode>
                <c:ptCount val="2"/>
                <c:pt idx="0">
                  <c:v>2.6317894135532303</c:v>
                </c:pt>
                <c:pt idx="1">
                  <c:v>0</c:v>
                </c:pt>
              </c:numCache>
            </c:numRef>
          </c:val>
          <c:extLst>
            <c:ext xmlns:c16="http://schemas.microsoft.com/office/drawing/2014/chart" uri="{C3380CC4-5D6E-409C-BE32-E72D297353CC}">
              <c16:uniqueId val="{00000000-87FD-4AB3-8867-0FD5622F924C}"/>
            </c:ext>
          </c:extLst>
        </c:ser>
        <c:ser>
          <c:idx val="7"/>
          <c:order val="7"/>
          <c:tx>
            <c:strRef>
              <c:f>'Ficha Municipal'!$I$131</c:f>
              <c:strCache>
                <c:ptCount val="1"/>
                <c:pt idx="0">
                  <c:v>2022pr</c:v>
                </c:pt>
              </c:strCache>
            </c:strRef>
          </c:tx>
          <c:spPr>
            <a:solidFill>
              <a:schemeClr val="accent6">
                <a:tint val="46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C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'Ficha Municipal'!$A$132:$A$133</c:f>
              <c:strCache>
                <c:ptCount val="2"/>
                <c:pt idx="0">
                  <c:v>Agricultura, ganadería, caza, silvicultura y pesca  </c:v>
                </c:pt>
                <c:pt idx="1">
                  <c:v>Explotación de minas y canteras </c:v>
                </c:pt>
              </c:strCache>
            </c:strRef>
          </c:cat>
          <c:val>
            <c:numRef>
              <c:f>'Ficha Municipal'!$I$132:$I$133</c:f>
              <c:numCache>
                <c:formatCode>#,##0.00</c:formatCode>
                <c:ptCount val="2"/>
                <c:pt idx="0">
                  <c:v>2.5133461380831092</c:v>
                </c:pt>
                <c:pt idx="1">
                  <c:v>0</c:v>
                </c:pt>
              </c:numCache>
            </c:numRef>
          </c:val>
          <c:extLst>
            <c:ext xmlns:c16="http://schemas.microsoft.com/office/drawing/2014/chart" uri="{C3380CC4-5D6E-409C-BE32-E72D297353CC}">
              <c16:uniqueId val="{00000001-87FD-4AB3-8867-0FD5622F924C}"/>
            </c:ext>
          </c:extLst>
        </c:ser>
        <c:dLbls>
          <c:showLegendKey val="0"/>
          <c:showVal val="0"/>
          <c:showCatName val="0"/>
          <c:showSerName val="0"/>
          <c:showPercent val="0"/>
          <c:showBubbleSize val="0"/>
        </c:dLbls>
        <c:gapWidth val="150"/>
        <c:axId val="186647583"/>
        <c:axId val="186647167"/>
      </c:barChart>
      <c:catAx>
        <c:axId val="18664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CO"/>
          </a:p>
        </c:txPr>
        <c:crossAx val="186647167"/>
        <c:crosses val="autoZero"/>
        <c:auto val="1"/>
        <c:lblAlgn val="ctr"/>
        <c:lblOffset val="100"/>
        <c:noMultiLvlLbl val="0"/>
      </c:catAx>
      <c:valAx>
        <c:axId val="1866471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b" anchorCtr="1"/>
              <a:lstStyle/>
              <a:p>
                <a:pPr>
                  <a:defRPr sz="1000" b="0" i="0" u="none" strike="noStrike" kern="1200" baseline="0">
                    <a:solidFill>
                      <a:sysClr val="windowText" lastClr="000000"/>
                    </a:solidFill>
                    <a:latin typeface="+mn-lt"/>
                    <a:ea typeface="+mn-ea"/>
                    <a:cs typeface="+mn-cs"/>
                  </a:defRPr>
                </a:pPr>
                <a:r>
                  <a:rPr lang="es-CO"/>
                  <a:t>miles de Millones de pesos</a:t>
                </a:r>
              </a:p>
            </c:rich>
          </c:tx>
          <c:overlay val="0"/>
          <c:spPr>
            <a:noFill/>
            <a:ln>
              <a:noFill/>
            </a:ln>
            <a:effectLst/>
          </c:spPr>
          <c:txPr>
            <a:bodyPr rot="-5400000" spcFirstLastPara="1" vertOverflow="ellipsis" vert="horz" wrap="square" anchor="b" anchorCtr="1"/>
            <a:lstStyle/>
            <a:p>
              <a:pPr>
                <a:defRPr sz="1000" b="0" i="0" u="none" strike="noStrike" kern="1200" baseline="0">
                  <a:solidFill>
                    <a:sysClr val="windowText" lastClr="000000"/>
                  </a:solidFill>
                  <a:latin typeface="+mn-lt"/>
                  <a:ea typeface="+mn-ea"/>
                  <a:cs typeface="+mn-cs"/>
                </a:defRPr>
              </a:pPr>
              <a:endParaRPr lang="en-CO"/>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CO"/>
          </a:p>
        </c:txPr>
        <c:crossAx val="186647583"/>
        <c:crosses val="autoZero"/>
        <c:crossBetween val="between"/>
      </c:valAx>
      <c:spPr>
        <a:noFill/>
        <a:ln>
          <a:noFill/>
        </a:ln>
        <a:effectLst/>
      </c:spPr>
    </c:plotArea>
    <c:legend>
      <c:legendPos val="b"/>
      <c:layout>
        <c:manualLayout>
          <c:xMode val="edge"/>
          <c:yMode val="edge"/>
          <c:x val="0.17411757652154716"/>
          <c:y val="0.9320696751787928"/>
          <c:w val="0.65189915402758036"/>
          <c:h val="6.793043500974856E-2"/>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CO"/>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withinLinear" id="19">
  <a:schemeClr val="accent6"/>
</cs:colorStyle>
</file>

<file path=xl/charts/colors14.xml><?xml version="1.0" encoding="utf-8"?>
<cs:colorStyle xmlns:cs="http://schemas.microsoft.com/office/drawing/2012/chartStyle" xmlns:a="http://schemas.openxmlformats.org/drawingml/2006/main" meth="withinLinear" id="19">
  <a:schemeClr val="accent6"/>
</cs:colorStyle>
</file>

<file path=xl/charts/colors15.xml><?xml version="1.0" encoding="utf-8"?>
<cs:colorStyle xmlns:cs="http://schemas.microsoft.com/office/drawing/2012/chartStyle" xmlns:a="http://schemas.openxmlformats.org/drawingml/2006/main" meth="withinLinear" id="19">
  <a:schemeClr val="accent6"/>
</cs:colorStyle>
</file>

<file path=xl/charts/colors16.xml><?xml version="1.0" encoding="utf-8"?>
<cs:colorStyle xmlns:cs="http://schemas.microsoft.com/office/drawing/2012/chartStyle" xmlns:a="http://schemas.openxmlformats.org/drawingml/2006/main" meth="withinLinear" id="19">
  <a:schemeClr val="accent6"/>
</cs:colorStyle>
</file>

<file path=xl/charts/colors17.xml><?xml version="1.0" encoding="utf-8"?>
<cs:colorStyle xmlns:cs="http://schemas.microsoft.com/office/drawing/2012/chartStyle" xmlns:a="http://schemas.openxmlformats.org/drawingml/2006/main" meth="withinLinear" id="19">
  <a:schemeClr val="accent6"/>
</cs:colorStyle>
</file>

<file path=xl/charts/colors18.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7.xml"/><Relationship Id="rId3" Type="http://schemas.openxmlformats.org/officeDocument/2006/relationships/chart" Target="../charts/chart7.xml"/><Relationship Id="rId7" Type="http://schemas.openxmlformats.org/officeDocument/2006/relationships/chart" Target="../charts/chart11.xml"/><Relationship Id="rId12" Type="http://schemas.openxmlformats.org/officeDocument/2006/relationships/chart" Target="../charts/chart16.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11" Type="http://schemas.openxmlformats.org/officeDocument/2006/relationships/chart" Target="../charts/chart15.xml"/><Relationship Id="rId5" Type="http://schemas.openxmlformats.org/officeDocument/2006/relationships/chart" Target="../charts/chart9.xml"/><Relationship Id="rId10" Type="http://schemas.openxmlformats.org/officeDocument/2006/relationships/chart" Target="../charts/chart14.xml"/><Relationship Id="rId4" Type="http://schemas.openxmlformats.org/officeDocument/2006/relationships/chart" Target="../charts/chart8.xml"/><Relationship Id="rId9" Type="http://schemas.openxmlformats.org/officeDocument/2006/relationships/chart" Target="../charts/chart13.xml"/><Relationship Id="rId1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22</xdr:col>
      <xdr:colOff>742604</xdr:colOff>
      <xdr:row>0</xdr:row>
      <xdr:rowOff>85207</xdr:rowOff>
    </xdr:from>
    <xdr:to>
      <xdr:col>24</xdr:col>
      <xdr:colOff>734291</xdr:colOff>
      <xdr:row>3</xdr:row>
      <xdr:rowOff>33944</xdr:rowOff>
    </xdr:to>
    <xdr:sp macro="" textlink="">
      <xdr:nvSpPr>
        <xdr:cNvPr id="2" name="Flecha izquierda 1">
          <a:extLst>
            <a:ext uri="{FF2B5EF4-FFF2-40B4-BE49-F238E27FC236}">
              <a16:creationId xmlns:a16="http://schemas.microsoft.com/office/drawing/2014/main" id="{00000000-0008-0000-0100-000002000000}"/>
            </a:ext>
          </a:extLst>
        </xdr:cNvPr>
        <xdr:cNvSpPr/>
      </xdr:nvSpPr>
      <xdr:spPr>
        <a:xfrm>
          <a:off x="28964313" y="85207"/>
          <a:ext cx="1834342" cy="987828"/>
        </a:xfrm>
        <a:prstGeom prst="leftArrow">
          <a:avLst/>
        </a:prstGeom>
      </xdr:spPr>
      <xdr:style>
        <a:lnRef idx="1">
          <a:schemeClr val="accent6"/>
        </a:lnRef>
        <a:fillRef idx="3">
          <a:schemeClr val="accent6"/>
        </a:fillRef>
        <a:effectRef idx="2">
          <a:schemeClr val="accent6"/>
        </a:effectRef>
        <a:fontRef idx="minor">
          <a:schemeClr val="lt1"/>
        </a:fontRef>
      </xdr:style>
      <xdr:txBody>
        <a:bodyPr vertOverflow="clip" horzOverflow="clip" lIns="72000" tIns="36000" rIns="72000" bIns="36000" rtlCol="0" anchor="t"/>
        <a:lstStyle/>
        <a:p>
          <a:pPr algn="l"/>
          <a:r>
            <a:rPr lang="es-CO" sz="1100" b="1">
              <a:latin typeface="+mn-lt"/>
            </a:rPr>
            <a:t>Seleccione</a:t>
          </a:r>
          <a:r>
            <a:rPr lang="es-CO" sz="1100" b="1" baseline="0">
              <a:latin typeface="+mn-lt"/>
            </a:rPr>
            <a:t> aquí el año para ver los resultados</a:t>
          </a:r>
          <a:endParaRPr lang="es-CO" sz="1100" b="1">
            <a:latin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22</xdr:col>
      <xdr:colOff>757181</xdr:colOff>
      <xdr:row>0</xdr:row>
      <xdr:rowOff>79575</xdr:rowOff>
    </xdr:from>
    <xdr:to>
      <xdr:col>25</xdr:col>
      <xdr:colOff>235527</xdr:colOff>
      <xdr:row>2</xdr:row>
      <xdr:rowOff>138546</xdr:rowOff>
    </xdr:to>
    <xdr:sp macro="" textlink="">
      <xdr:nvSpPr>
        <xdr:cNvPr id="2" name="Flecha izquierda 1">
          <a:extLst>
            <a:ext uri="{FF2B5EF4-FFF2-40B4-BE49-F238E27FC236}">
              <a16:creationId xmlns:a16="http://schemas.microsoft.com/office/drawing/2014/main" id="{00000000-0008-0000-0200-000002000000}"/>
            </a:ext>
          </a:extLst>
        </xdr:cNvPr>
        <xdr:cNvSpPr/>
      </xdr:nvSpPr>
      <xdr:spPr>
        <a:xfrm>
          <a:off x="29158999" y="79575"/>
          <a:ext cx="2207692" cy="904098"/>
        </a:xfrm>
        <a:prstGeom prst="leftArrow">
          <a:avLst/>
        </a:prstGeom>
      </xdr:spPr>
      <xdr:style>
        <a:lnRef idx="1">
          <a:schemeClr val="accent6"/>
        </a:lnRef>
        <a:fillRef idx="3">
          <a:schemeClr val="accent6"/>
        </a:fillRef>
        <a:effectRef idx="2">
          <a:schemeClr val="accent6"/>
        </a:effectRef>
        <a:fontRef idx="minor">
          <a:schemeClr val="lt1"/>
        </a:fontRef>
      </xdr:style>
      <xdr:txBody>
        <a:bodyPr vertOverflow="clip" horzOverflow="clip" lIns="72000" tIns="36000" rIns="72000" bIns="36000" rtlCol="0" anchor="ctr"/>
        <a:lstStyle/>
        <a:p>
          <a:pPr algn="ctr"/>
          <a:r>
            <a:rPr lang="es-CO" sz="1100" b="1">
              <a:latin typeface="+mn-lt"/>
            </a:rPr>
            <a:t>Seleccione</a:t>
          </a:r>
          <a:r>
            <a:rPr lang="es-CO" sz="1100" b="1" baseline="0">
              <a:latin typeface="+mn-lt"/>
            </a:rPr>
            <a:t> aquí el año para ver los resultados</a:t>
          </a:r>
          <a:endParaRPr lang="es-CO" sz="1100" b="1">
            <a:latin typeface="+mn-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22</xdr:col>
      <xdr:colOff>30480</xdr:colOff>
      <xdr:row>0</xdr:row>
      <xdr:rowOff>160020</xdr:rowOff>
    </xdr:from>
    <xdr:to>
      <xdr:col>24</xdr:col>
      <xdr:colOff>260466</xdr:colOff>
      <xdr:row>2</xdr:row>
      <xdr:rowOff>111528</xdr:rowOff>
    </xdr:to>
    <xdr:sp macro="" textlink="">
      <xdr:nvSpPr>
        <xdr:cNvPr id="2" name="Flecha izquierda 1">
          <a:extLst>
            <a:ext uri="{FF2B5EF4-FFF2-40B4-BE49-F238E27FC236}">
              <a16:creationId xmlns:a16="http://schemas.microsoft.com/office/drawing/2014/main" id="{00000000-0008-0000-0300-000002000000}"/>
            </a:ext>
          </a:extLst>
        </xdr:cNvPr>
        <xdr:cNvSpPr/>
      </xdr:nvSpPr>
      <xdr:spPr>
        <a:xfrm>
          <a:off x="18257520" y="160020"/>
          <a:ext cx="1814946" cy="987828"/>
        </a:xfrm>
        <a:prstGeom prst="leftArrow">
          <a:avLst/>
        </a:prstGeom>
      </xdr:spPr>
      <xdr:style>
        <a:lnRef idx="1">
          <a:schemeClr val="accent6"/>
        </a:lnRef>
        <a:fillRef idx="3">
          <a:schemeClr val="accent6"/>
        </a:fillRef>
        <a:effectRef idx="2">
          <a:schemeClr val="accent6"/>
        </a:effectRef>
        <a:fontRef idx="minor">
          <a:schemeClr val="lt1"/>
        </a:fontRef>
      </xdr:style>
      <xdr:txBody>
        <a:bodyPr vertOverflow="clip" horzOverflow="clip" lIns="72000" tIns="36000" rIns="72000" bIns="36000" rtlCol="0" anchor="t"/>
        <a:lstStyle/>
        <a:p>
          <a:pPr algn="l"/>
          <a:r>
            <a:rPr lang="es-CO" sz="1100" b="1">
              <a:latin typeface="+mn-lt"/>
            </a:rPr>
            <a:t>Seleccione</a:t>
          </a:r>
          <a:r>
            <a:rPr lang="es-CO" sz="1100" b="1" baseline="0">
              <a:latin typeface="+mn-lt"/>
            </a:rPr>
            <a:t> aquí el año para ver los resultados</a:t>
          </a:r>
          <a:endParaRPr lang="es-CO" sz="1100" b="1">
            <a:latin typeface="+mn-lt"/>
          </a:endParaRPr>
        </a:p>
      </xdr:txBody>
    </xdr:sp>
    <xdr:clientData/>
  </xdr:twoCellAnchor>
  <xdr:twoCellAnchor>
    <xdr:from>
      <xdr:col>20</xdr:col>
      <xdr:colOff>512619</xdr:colOff>
      <xdr:row>3</xdr:row>
      <xdr:rowOff>200890</xdr:rowOff>
    </xdr:from>
    <xdr:to>
      <xdr:col>28</xdr:col>
      <xdr:colOff>498764</xdr:colOff>
      <xdr:row>13</xdr:row>
      <xdr:rowOff>13854</xdr:rowOff>
    </xdr:to>
    <xdr:graphicFrame macro="">
      <xdr:nvGraphicFramePr>
        <xdr:cNvPr id="7" name="Gráfico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526473</xdr:colOff>
      <xdr:row>3</xdr:row>
      <xdr:rowOff>180110</xdr:rowOff>
    </xdr:from>
    <xdr:to>
      <xdr:col>36</xdr:col>
      <xdr:colOff>775854</xdr:colOff>
      <xdr:row>12</xdr:row>
      <xdr:rowOff>187037</xdr:rowOff>
    </xdr:to>
    <xdr:graphicFrame macro="">
      <xdr:nvGraphicFramePr>
        <xdr:cNvPr id="5" name="Gráfico 4">
          <a:extLst>
            <a:ext uri="{FF2B5EF4-FFF2-40B4-BE49-F238E27FC236}">
              <a16:creationId xmlns:a16="http://schemas.microsoft.com/office/drawing/2014/main" i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36</xdr:col>
      <xdr:colOff>775853</xdr:colOff>
      <xdr:row>3</xdr:row>
      <xdr:rowOff>180111</xdr:rowOff>
    </xdr:from>
    <xdr:to>
      <xdr:col>45</xdr:col>
      <xdr:colOff>235526</xdr:colOff>
      <xdr:row>12</xdr:row>
      <xdr:rowOff>187038</xdr:rowOff>
    </xdr:to>
    <xdr:graphicFrame macro="">
      <xdr:nvGraphicFramePr>
        <xdr:cNvPr id="8" name="Gráfico 7">
          <a:extLst>
            <a:ext uri="{FF2B5EF4-FFF2-40B4-BE49-F238E27FC236}">
              <a16:creationId xmlns:a16="http://schemas.microsoft.com/office/drawing/2014/main" id="{00000000-0008-0000-03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230330</xdr:colOff>
      <xdr:row>15</xdr:row>
      <xdr:rowOff>43294</xdr:rowOff>
    </xdr:from>
    <xdr:to>
      <xdr:col>34</xdr:col>
      <xdr:colOff>299604</xdr:colOff>
      <xdr:row>21</xdr:row>
      <xdr:rowOff>178375</xdr:rowOff>
    </xdr:to>
    <xdr:graphicFrame macro="">
      <xdr:nvGraphicFramePr>
        <xdr:cNvPr id="9" name="Gráfico 8">
          <a:extLst>
            <a:ext uri="{FF2B5EF4-FFF2-40B4-BE49-F238E27FC236}">
              <a16:creationId xmlns:a16="http://schemas.microsoft.com/office/drawing/2014/main" id="{00000000-0008-0000-03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18</xdr:col>
      <xdr:colOff>290945</xdr:colOff>
      <xdr:row>49</xdr:row>
      <xdr:rowOff>166254</xdr:rowOff>
    </xdr:from>
    <xdr:ext cx="5902037" cy="2563091"/>
    <xdr:sp macro="" textlink="">
      <xdr:nvSpPr>
        <xdr:cNvPr id="3" name="CuadroTexto 2">
          <a:extLst>
            <a:ext uri="{FF2B5EF4-FFF2-40B4-BE49-F238E27FC236}">
              <a16:creationId xmlns:a16="http://schemas.microsoft.com/office/drawing/2014/main" id="{00000000-0008-0000-0300-000003000000}"/>
            </a:ext>
          </a:extLst>
        </xdr:cNvPr>
        <xdr:cNvSpPr txBox="1"/>
      </xdr:nvSpPr>
      <xdr:spPr>
        <a:xfrm>
          <a:off x="19285527" y="20366181"/>
          <a:ext cx="5902037" cy="2563091"/>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O" sz="1600" b="1">
              <a:latin typeface="+mn-lt"/>
            </a:rPr>
            <a:t>Coeficiente</a:t>
          </a:r>
          <a:r>
            <a:rPr lang="es-CO" sz="1600" b="1" baseline="0">
              <a:latin typeface="+mn-lt"/>
            </a:rPr>
            <a:t> de especialización regional</a:t>
          </a:r>
        </a:p>
        <a:p>
          <a:endParaRPr lang="es-CO" sz="1600" b="1">
            <a:latin typeface="+mn-lt"/>
          </a:endParaRPr>
        </a:p>
        <a:p>
          <a:r>
            <a:rPr lang="es-CO" sz="1600" b="0">
              <a:latin typeface="+mn-lt"/>
            </a:rPr>
            <a:t>El coeficiente de especialización (Cuadrado Roura &amp; Maroto</a:t>
          </a:r>
          <a:r>
            <a:rPr lang="es-CO" sz="1600" b="0" baseline="0">
              <a:latin typeface="+mn-lt"/>
            </a:rPr>
            <a:t> Sánchez 2012) Compara el peso relativo de un sector denro de una zona, subregión o provincia en relación con la participación porcentual de dicho sector en el Departamento, </a:t>
          </a:r>
          <a:r>
            <a:rPr lang="es-ES_tradnl" sz="1600" b="0">
              <a:solidFill>
                <a:schemeClr val="tx1"/>
              </a:solidFill>
              <a:effectLst/>
              <a:latin typeface="+mn-lt"/>
              <a:ea typeface="+mn-ea"/>
              <a:cs typeface="+mn-cs"/>
            </a:rPr>
            <a:t>permite aproximarse a una mirada sobre la especialización productiva de las diferentes subregiones.</a:t>
          </a:r>
          <a:r>
            <a:rPr lang="es-CO" sz="1600" b="0" baseline="0">
              <a:solidFill>
                <a:schemeClr val="tx1"/>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s-ES_tradnl" sz="1600">
              <a:solidFill>
                <a:schemeClr val="tx1"/>
              </a:solidFill>
              <a:effectLst/>
              <a:latin typeface="+mn-lt"/>
              <a:ea typeface="+mn-ea"/>
              <a:cs typeface="+mn-cs"/>
            </a:rPr>
            <a:t>Un valor de este coeficiente mayor que 1 muestra los sectores en que está especializada la subregión. </a:t>
          </a:r>
          <a:endParaRPr lang="es-CO" sz="1600">
            <a:effectLst/>
            <a:latin typeface="+mn-lt"/>
          </a:endParaRPr>
        </a:p>
        <a:p>
          <a:endParaRPr lang="es-CO" sz="1600" b="0" baseline="0">
            <a:solidFill>
              <a:schemeClr val="tx1"/>
            </a:solidFill>
            <a:effectLst/>
            <a:latin typeface="+mn-lt"/>
            <a:ea typeface="+mn-ea"/>
            <a:cs typeface="+mn-cs"/>
          </a:endParaRPr>
        </a:p>
        <a:p>
          <a:endParaRPr lang="es-CO" sz="1600" b="1">
            <a:latin typeface="+mn-lt"/>
          </a:endParaRP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1</xdr:col>
      <xdr:colOff>824303</xdr:colOff>
      <xdr:row>0</xdr:row>
      <xdr:rowOff>0</xdr:rowOff>
    </xdr:from>
    <xdr:to>
      <xdr:col>4</xdr:col>
      <xdr:colOff>462643</xdr:colOff>
      <xdr:row>0</xdr:row>
      <xdr:rowOff>653142</xdr:rowOff>
    </xdr:to>
    <xdr:sp macro="" textlink="">
      <xdr:nvSpPr>
        <xdr:cNvPr id="2" name="Flecha izquierda 1">
          <a:extLst>
            <a:ext uri="{FF2B5EF4-FFF2-40B4-BE49-F238E27FC236}">
              <a16:creationId xmlns:a16="http://schemas.microsoft.com/office/drawing/2014/main" id="{00000000-0008-0000-0400-000002000000}"/>
            </a:ext>
          </a:extLst>
        </xdr:cNvPr>
        <xdr:cNvSpPr/>
      </xdr:nvSpPr>
      <xdr:spPr>
        <a:xfrm>
          <a:off x="2974232" y="0"/>
          <a:ext cx="2033197" cy="653142"/>
        </a:xfrm>
        <a:prstGeom prst="leftArrow">
          <a:avLst/>
        </a:prstGeom>
      </xdr:spPr>
      <xdr:style>
        <a:lnRef idx="1">
          <a:schemeClr val="accent6"/>
        </a:lnRef>
        <a:fillRef idx="3">
          <a:schemeClr val="accent6"/>
        </a:fillRef>
        <a:effectRef idx="2">
          <a:schemeClr val="accent6"/>
        </a:effectRef>
        <a:fontRef idx="minor">
          <a:schemeClr val="lt1"/>
        </a:fontRef>
      </xdr:style>
      <xdr:txBody>
        <a:bodyPr vertOverflow="clip" horzOverflow="clip" lIns="72000" tIns="36000" rIns="72000" bIns="36000" rtlCol="0" anchor="ctr"/>
        <a:lstStyle/>
        <a:p>
          <a:pPr algn="ctr"/>
          <a:r>
            <a:rPr lang="es-CO" sz="1100" b="1">
              <a:latin typeface="+mn-lt"/>
            </a:rPr>
            <a:t>Seleccione</a:t>
          </a:r>
          <a:r>
            <a:rPr lang="es-CO" sz="1100" b="1" baseline="0">
              <a:latin typeface="+mn-lt"/>
            </a:rPr>
            <a:t> aquí el municipio</a:t>
          </a:r>
        </a:p>
      </xdr:txBody>
    </xdr:sp>
    <xdr:clientData/>
  </xdr:twoCellAnchor>
  <xdr:twoCellAnchor>
    <xdr:from>
      <xdr:col>16</xdr:col>
      <xdr:colOff>434067</xdr:colOff>
      <xdr:row>1</xdr:row>
      <xdr:rowOff>75112</xdr:rowOff>
    </xdr:from>
    <xdr:to>
      <xdr:col>25</xdr:col>
      <xdr:colOff>440872</xdr:colOff>
      <xdr:row>19</xdr:row>
      <xdr:rowOff>78922</xdr:rowOff>
    </xdr:to>
    <xdr:graphicFrame macro="">
      <xdr:nvGraphicFramePr>
        <xdr:cNvPr id="3" name="Gráfico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474345</xdr:colOff>
      <xdr:row>19</xdr:row>
      <xdr:rowOff>158115</xdr:rowOff>
    </xdr:from>
    <xdr:to>
      <xdr:col>19</xdr:col>
      <xdr:colOff>636135</xdr:colOff>
      <xdr:row>34</xdr:row>
      <xdr:rowOff>161925</xdr:rowOff>
    </xdr:to>
    <xdr:graphicFrame macro="">
      <xdr:nvGraphicFramePr>
        <xdr:cNvPr id="5" name="Gráfico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693148</xdr:colOff>
      <xdr:row>19</xdr:row>
      <xdr:rowOff>140970</xdr:rowOff>
    </xdr:from>
    <xdr:to>
      <xdr:col>27</xdr:col>
      <xdr:colOff>3131</xdr:colOff>
      <xdr:row>34</xdr:row>
      <xdr:rowOff>152400</xdr:rowOff>
    </xdr:to>
    <xdr:graphicFrame macro="">
      <xdr:nvGraphicFramePr>
        <xdr:cNvPr id="6" name="Gráfico 5">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401782</xdr:colOff>
      <xdr:row>35</xdr:row>
      <xdr:rowOff>3810</xdr:rowOff>
    </xdr:from>
    <xdr:to>
      <xdr:col>24</xdr:col>
      <xdr:colOff>221673</xdr:colOff>
      <xdr:row>53</xdr:row>
      <xdr:rowOff>0</xdr:rowOff>
    </xdr:to>
    <xdr:graphicFrame macro="">
      <xdr:nvGraphicFramePr>
        <xdr:cNvPr id="4" name="Gráfico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371252</xdr:colOff>
      <xdr:row>53</xdr:row>
      <xdr:rowOff>107372</xdr:rowOff>
    </xdr:from>
    <xdr:to>
      <xdr:col>24</xdr:col>
      <xdr:colOff>235528</xdr:colOff>
      <xdr:row>69</xdr:row>
      <xdr:rowOff>30677</xdr:rowOff>
    </xdr:to>
    <xdr:graphicFrame macro="">
      <xdr:nvGraphicFramePr>
        <xdr:cNvPr id="7" name="Gráfico 6">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1199</xdr:colOff>
      <xdr:row>87</xdr:row>
      <xdr:rowOff>173765</xdr:rowOff>
    </xdr:from>
    <xdr:to>
      <xdr:col>20</xdr:col>
      <xdr:colOff>55418</xdr:colOff>
      <xdr:row>104</xdr:row>
      <xdr:rowOff>110836</xdr:rowOff>
    </xdr:to>
    <xdr:graphicFrame macro="">
      <xdr:nvGraphicFramePr>
        <xdr:cNvPr id="12" name="Gráfico 11">
          <a:extLst>
            <a:ext uri="{FF2B5EF4-FFF2-40B4-BE49-F238E27FC236}">
              <a16:creationId xmlns:a16="http://schemas.microsoft.com/office/drawing/2014/main" id="{00000000-0008-0000-04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718457</xdr:colOff>
      <xdr:row>85</xdr:row>
      <xdr:rowOff>261257</xdr:rowOff>
    </xdr:from>
    <xdr:to>
      <xdr:col>12</xdr:col>
      <xdr:colOff>19049</xdr:colOff>
      <xdr:row>88</xdr:row>
      <xdr:rowOff>50748</xdr:rowOff>
    </xdr:to>
    <xdr:sp macro="" textlink="">
      <xdr:nvSpPr>
        <xdr:cNvPr id="8" name="Llamada de flecha hacia abajo 7">
          <a:extLst>
            <a:ext uri="{FF2B5EF4-FFF2-40B4-BE49-F238E27FC236}">
              <a16:creationId xmlns:a16="http://schemas.microsoft.com/office/drawing/2014/main" id="{00000000-0008-0000-0400-000008000000}"/>
            </a:ext>
          </a:extLst>
        </xdr:cNvPr>
        <xdr:cNvSpPr/>
      </xdr:nvSpPr>
      <xdr:spPr>
        <a:xfrm>
          <a:off x="10080171" y="13411200"/>
          <a:ext cx="889907" cy="693005"/>
        </a:xfrm>
        <a:prstGeom prst="downArrowCallout">
          <a:avLst/>
        </a:prstGeom>
      </xdr:spPr>
      <xdr:style>
        <a:lnRef idx="1">
          <a:schemeClr val="accent6"/>
        </a:lnRef>
        <a:fillRef idx="3">
          <a:schemeClr val="accent6"/>
        </a:fillRef>
        <a:effectRef idx="2">
          <a:schemeClr val="accent6"/>
        </a:effectRef>
        <a:fontRef idx="minor">
          <a:schemeClr val="lt1"/>
        </a:fontRef>
      </xdr:style>
      <xdr:txBody>
        <a:bodyPr vertOverflow="clip" horzOverflow="clip" lIns="72000" tIns="36000" rIns="72000" bIns="36000" rtlCol="0" anchor="ctr"/>
        <a:lstStyle/>
        <a:p>
          <a:pPr algn="ctr"/>
          <a:r>
            <a:rPr lang="es-CO" sz="1100" b="1"/>
            <a:t>Seleccione el año</a:t>
          </a:r>
        </a:p>
      </xdr:txBody>
    </xdr:sp>
    <xdr:clientData/>
  </xdr:twoCellAnchor>
  <xdr:twoCellAnchor>
    <xdr:from>
      <xdr:col>19</xdr:col>
      <xdr:colOff>620734</xdr:colOff>
      <xdr:row>69</xdr:row>
      <xdr:rowOff>166550</xdr:rowOff>
    </xdr:from>
    <xdr:to>
      <xdr:col>27</xdr:col>
      <xdr:colOff>522761</xdr:colOff>
      <xdr:row>86</xdr:row>
      <xdr:rowOff>54427</xdr:rowOff>
    </xdr:to>
    <xdr:graphicFrame macro="">
      <xdr:nvGraphicFramePr>
        <xdr:cNvPr id="18" name="Gráfico 17">
          <a:extLst>
            <a:ext uri="{FF2B5EF4-FFF2-40B4-BE49-F238E27FC236}">
              <a16:creationId xmlns:a16="http://schemas.microsoft.com/office/drawing/2014/main" id="{00000000-0008-0000-04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573232</xdr:colOff>
      <xdr:row>70</xdr:row>
      <xdr:rowOff>15586</xdr:rowOff>
    </xdr:from>
    <xdr:to>
      <xdr:col>19</xdr:col>
      <xdr:colOff>637310</xdr:colOff>
      <xdr:row>86</xdr:row>
      <xdr:rowOff>71103</xdr:rowOff>
    </xdr:to>
    <xdr:graphicFrame macro="">
      <xdr:nvGraphicFramePr>
        <xdr:cNvPr id="19" name="Gráfico 18">
          <a:extLst>
            <a:ext uri="{FF2B5EF4-FFF2-40B4-BE49-F238E27FC236}">
              <a16:creationId xmlns:a16="http://schemas.microsoft.com/office/drawing/2014/main" id="{00000000-0008-0000-04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659674</xdr:colOff>
      <xdr:row>126</xdr:row>
      <xdr:rowOff>97973</xdr:rowOff>
    </xdr:from>
    <xdr:to>
      <xdr:col>28</xdr:col>
      <xdr:colOff>202337</xdr:colOff>
      <xdr:row>141</xdr:row>
      <xdr:rowOff>308793</xdr:rowOff>
    </xdr:to>
    <xdr:graphicFrame macro="">
      <xdr:nvGraphicFramePr>
        <xdr:cNvPr id="10" name="Gráfico 9">
          <a:extLst>
            <a:ext uri="{FF2B5EF4-FFF2-40B4-BE49-F238E27FC236}">
              <a16:creationId xmlns:a16="http://schemas.microsoft.com/office/drawing/2014/main" id="{00000000-0008-0000-0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28</xdr:col>
      <xdr:colOff>269966</xdr:colOff>
      <xdr:row>126</xdr:row>
      <xdr:rowOff>119744</xdr:rowOff>
    </xdr:from>
    <xdr:to>
      <xdr:col>39</xdr:col>
      <xdr:colOff>783772</xdr:colOff>
      <xdr:row>141</xdr:row>
      <xdr:rowOff>308796</xdr:rowOff>
    </xdr:to>
    <xdr:graphicFrame macro="">
      <xdr:nvGraphicFramePr>
        <xdr:cNvPr id="11" name="Gráfico 10">
          <a:extLst>
            <a:ext uri="{FF2B5EF4-FFF2-40B4-BE49-F238E27FC236}">
              <a16:creationId xmlns:a16="http://schemas.microsoft.com/office/drawing/2014/main" id="{00000000-0008-0000-04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28</xdr:col>
      <xdr:colOff>229342</xdr:colOff>
      <xdr:row>105</xdr:row>
      <xdr:rowOff>164276</xdr:rowOff>
    </xdr:from>
    <xdr:to>
      <xdr:col>40</xdr:col>
      <xdr:colOff>124691</xdr:colOff>
      <xdr:row>120</xdr:row>
      <xdr:rowOff>94247</xdr:rowOff>
    </xdr:to>
    <xdr:graphicFrame macro="">
      <xdr:nvGraphicFramePr>
        <xdr:cNvPr id="20" name="Gráfico 19">
          <a:extLst>
            <a:ext uri="{FF2B5EF4-FFF2-40B4-BE49-F238E27FC236}">
              <a16:creationId xmlns:a16="http://schemas.microsoft.com/office/drawing/2014/main" id="{00000000-0008-0000-04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452748</xdr:colOff>
      <xdr:row>105</xdr:row>
      <xdr:rowOff>133844</xdr:rowOff>
    </xdr:from>
    <xdr:to>
      <xdr:col>27</xdr:col>
      <xdr:colOff>783948</xdr:colOff>
      <xdr:row>120</xdr:row>
      <xdr:rowOff>63644</xdr:rowOff>
    </xdr:to>
    <xdr:graphicFrame macro="">
      <xdr:nvGraphicFramePr>
        <xdr:cNvPr id="14" name="Gráfico 13">
          <a:extLst>
            <a:ext uri="{FF2B5EF4-FFF2-40B4-BE49-F238E27FC236}">
              <a16:creationId xmlns:a16="http://schemas.microsoft.com/office/drawing/2014/main" id="{00000000-0008-0000-04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100445</xdr:colOff>
      <xdr:row>105</xdr:row>
      <xdr:rowOff>108610</xdr:rowOff>
    </xdr:from>
    <xdr:to>
      <xdr:col>19</xdr:col>
      <xdr:colOff>433377</xdr:colOff>
      <xdr:row>120</xdr:row>
      <xdr:rowOff>38410</xdr:rowOff>
    </xdr:to>
    <xdr:graphicFrame macro="">
      <xdr:nvGraphicFramePr>
        <xdr:cNvPr id="22" name="Gráfico 21">
          <a:extLst>
            <a:ext uri="{FF2B5EF4-FFF2-40B4-BE49-F238E27FC236}">
              <a16:creationId xmlns:a16="http://schemas.microsoft.com/office/drawing/2014/main" id="{00000000-0008-0000-04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143691</xdr:colOff>
      <xdr:row>126</xdr:row>
      <xdr:rowOff>97973</xdr:rowOff>
    </xdr:from>
    <xdr:to>
      <xdr:col>19</xdr:col>
      <xdr:colOff>624703</xdr:colOff>
      <xdr:row>141</xdr:row>
      <xdr:rowOff>308795</xdr:rowOff>
    </xdr:to>
    <xdr:graphicFrame macro="">
      <xdr:nvGraphicFramePr>
        <xdr:cNvPr id="23" name="Gráfico 22">
          <a:extLst>
            <a:ext uri="{FF2B5EF4-FFF2-40B4-BE49-F238E27FC236}">
              <a16:creationId xmlns:a16="http://schemas.microsoft.com/office/drawing/2014/main" id="{00000000-0008-0000-04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showGridLines="0" zoomScale="85" zoomScaleNormal="85" workbookViewId="0">
      <selection activeCell="B14" sqref="B14"/>
    </sheetView>
  </sheetViews>
  <sheetFormatPr baseColWidth="10" defaultColWidth="10.83203125" defaultRowHeight="15" x14ac:dyDescent="0.2"/>
  <cols>
    <col min="1" max="1" width="13.1640625" customWidth="1"/>
    <col min="2" max="2" width="91.33203125" customWidth="1"/>
  </cols>
  <sheetData>
    <row r="1" spans="1:2" ht="16" x14ac:dyDescent="0.2">
      <c r="A1" s="417" t="s">
        <v>0</v>
      </c>
      <c r="B1" s="417"/>
    </row>
    <row r="2" spans="1:2" x14ac:dyDescent="0.2">
      <c r="A2" s="418" t="s">
        <v>1</v>
      </c>
      <c r="B2" s="418"/>
    </row>
    <row r="3" spans="1:2" ht="35" customHeight="1" x14ac:dyDescent="0.2">
      <c r="A3" s="419" t="s">
        <v>2</v>
      </c>
      <c r="B3" s="419"/>
    </row>
    <row r="4" spans="1:2" ht="16" thickBot="1" x14ac:dyDescent="0.25"/>
    <row r="5" spans="1:2" ht="16" thickBot="1" x14ac:dyDescent="0.25">
      <c r="A5" s="297" t="s">
        <v>3</v>
      </c>
      <c r="B5" s="298" t="s">
        <v>4</v>
      </c>
    </row>
    <row r="6" spans="1:2" ht="32" x14ac:dyDescent="0.2">
      <c r="A6" s="299" t="s">
        <v>5</v>
      </c>
      <c r="B6" s="305" t="s">
        <v>6</v>
      </c>
    </row>
    <row r="7" spans="1:2" ht="48" x14ac:dyDescent="0.2">
      <c r="A7" s="300" t="s">
        <v>7</v>
      </c>
      <c r="B7" s="306" t="s">
        <v>8</v>
      </c>
    </row>
    <row r="8" spans="1:2" ht="32" x14ac:dyDescent="0.2">
      <c r="A8" s="300" t="s">
        <v>9</v>
      </c>
      <c r="B8" s="306" t="s">
        <v>10</v>
      </c>
    </row>
    <row r="9" spans="1:2" ht="32" x14ac:dyDescent="0.2">
      <c r="A9" s="300" t="s">
        <v>11</v>
      </c>
      <c r="B9" s="307" t="s">
        <v>12</v>
      </c>
    </row>
    <row r="10" spans="1:2" ht="32" x14ac:dyDescent="0.2">
      <c r="A10" s="300" t="s">
        <v>13</v>
      </c>
      <c r="B10" s="306" t="s">
        <v>14</v>
      </c>
    </row>
    <row r="11" spans="1:2" ht="32" x14ac:dyDescent="0.2">
      <c r="A11" s="300" t="s">
        <v>15</v>
      </c>
      <c r="B11" s="306" t="s">
        <v>16</v>
      </c>
    </row>
    <row r="12" spans="1:2" ht="32" x14ac:dyDescent="0.2">
      <c r="A12" s="300" t="s">
        <v>17</v>
      </c>
      <c r="B12" s="306" t="s">
        <v>18</v>
      </c>
    </row>
    <row r="13" spans="1:2" ht="30" customHeight="1" x14ac:dyDescent="0.2">
      <c r="A13" s="300" t="s">
        <v>19</v>
      </c>
      <c r="B13" s="306" t="s">
        <v>20</v>
      </c>
    </row>
    <row r="14" spans="1:2" ht="38" customHeight="1" x14ac:dyDescent="0.2">
      <c r="A14" s="300" t="s">
        <v>21</v>
      </c>
      <c r="B14" s="306" t="s">
        <v>22</v>
      </c>
    </row>
    <row r="15" spans="1:2" ht="32" x14ac:dyDescent="0.2">
      <c r="A15" s="300" t="s">
        <v>23</v>
      </c>
      <c r="B15" s="306" t="s">
        <v>24</v>
      </c>
    </row>
    <row r="16" spans="1:2" ht="16" x14ac:dyDescent="0.2">
      <c r="A16" s="300" t="s">
        <v>25</v>
      </c>
      <c r="B16" s="306" t="s">
        <v>26</v>
      </c>
    </row>
    <row r="17" spans="1:2" ht="32" x14ac:dyDescent="0.2">
      <c r="A17" s="300" t="s">
        <v>27</v>
      </c>
      <c r="B17" s="306" t="s">
        <v>28</v>
      </c>
    </row>
    <row r="18" spans="1:2" ht="32" x14ac:dyDescent="0.2">
      <c r="A18" s="304" t="s">
        <v>29</v>
      </c>
      <c r="B18" s="306" t="s">
        <v>30</v>
      </c>
    </row>
    <row r="19" spans="1:2" ht="32" x14ac:dyDescent="0.2">
      <c r="A19" s="300" t="s">
        <v>31</v>
      </c>
      <c r="B19" s="306" t="s">
        <v>32</v>
      </c>
    </row>
    <row r="20" spans="1:2" ht="16" x14ac:dyDescent="0.2">
      <c r="A20" s="300" t="s">
        <v>33</v>
      </c>
      <c r="B20" s="306" t="s">
        <v>34</v>
      </c>
    </row>
    <row r="21" spans="1:2" ht="16" x14ac:dyDescent="0.2">
      <c r="A21" s="300" t="s">
        <v>35</v>
      </c>
      <c r="B21" s="306" t="s">
        <v>36</v>
      </c>
    </row>
    <row r="22" spans="1:2" ht="32" x14ac:dyDescent="0.2">
      <c r="A22" s="300" t="s">
        <v>37</v>
      </c>
      <c r="B22" s="306" t="s">
        <v>38</v>
      </c>
    </row>
    <row r="23" spans="1:2" ht="32" x14ac:dyDescent="0.2">
      <c r="A23" s="300" t="s">
        <v>39</v>
      </c>
      <c r="B23" s="306" t="s">
        <v>40</v>
      </c>
    </row>
    <row r="24" spans="1:2" ht="32" x14ac:dyDescent="0.2">
      <c r="A24" s="300" t="s">
        <v>41</v>
      </c>
      <c r="B24" s="306" t="s">
        <v>42</v>
      </c>
    </row>
    <row r="25" spans="1:2" ht="48" x14ac:dyDescent="0.2">
      <c r="A25" s="300" t="s">
        <v>43</v>
      </c>
      <c r="B25" s="306" t="s">
        <v>44</v>
      </c>
    </row>
    <row r="26" spans="1:2" ht="16" x14ac:dyDescent="0.2">
      <c r="A26" s="300" t="s">
        <v>45</v>
      </c>
      <c r="B26" s="306" t="s">
        <v>46</v>
      </c>
    </row>
    <row r="27" spans="1:2" ht="33" thickBot="1" x14ac:dyDescent="0.25">
      <c r="A27" s="301" t="s">
        <v>47</v>
      </c>
      <c r="B27" s="308" t="s">
        <v>48</v>
      </c>
    </row>
    <row r="28" spans="1:2" ht="17" thickBot="1" x14ac:dyDescent="0.25">
      <c r="A28" s="302"/>
      <c r="B28" s="303"/>
    </row>
    <row r="29" spans="1:2" ht="16" x14ac:dyDescent="0.2">
      <c r="A29" s="422" t="s">
        <v>49</v>
      </c>
      <c r="B29" s="423"/>
    </row>
    <row r="30" spans="1:2" ht="68" customHeight="1" x14ac:dyDescent="0.2">
      <c r="A30" s="420" t="s">
        <v>50</v>
      </c>
      <c r="B30" s="421"/>
    </row>
    <row r="31" spans="1:2" ht="64.25" customHeight="1" x14ac:dyDescent="0.2">
      <c r="A31" s="415" t="s">
        <v>51</v>
      </c>
      <c r="B31" s="416"/>
    </row>
    <row r="32" spans="1:2" ht="47" customHeight="1" x14ac:dyDescent="0.2">
      <c r="A32" s="415" t="s">
        <v>52</v>
      </c>
      <c r="B32" s="416"/>
    </row>
    <row r="33" spans="1:2" ht="33" customHeight="1" x14ac:dyDescent="0.2">
      <c r="A33" s="415" t="s">
        <v>53</v>
      </c>
      <c r="B33" s="416"/>
    </row>
    <row r="34" spans="1:2" ht="65" customHeight="1" x14ac:dyDescent="0.2">
      <c r="A34" s="415" t="s">
        <v>54</v>
      </c>
      <c r="B34" s="416"/>
    </row>
    <row r="35" spans="1:2" ht="52.25" customHeight="1" x14ac:dyDescent="0.2">
      <c r="A35" s="415" t="s">
        <v>55</v>
      </c>
      <c r="B35" s="416"/>
    </row>
    <row r="36" spans="1:2" ht="50" customHeight="1" thickBot="1" x14ac:dyDescent="0.25">
      <c r="A36" s="413" t="s">
        <v>56</v>
      </c>
      <c r="B36" s="414"/>
    </row>
  </sheetData>
  <mergeCells count="11">
    <mergeCell ref="A36:B36"/>
    <mergeCell ref="A35:B35"/>
    <mergeCell ref="A33:B33"/>
    <mergeCell ref="A34:B34"/>
    <mergeCell ref="A1:B1"/>
    <mergeCell ref="A2:B2"/>
    <mergeCell ref="A3:B3"/>
    <mergeCell ref="A30:B30"/>
    <mergeCell ref="A29:B29"/>
    <mergeCell ref="A31:B31"/>
    <mergeCell ref="A32:B32"/>
  </mergeCells>
  <hyperlinks>
    <hyperlink ref="B6" location="'PIB-MPAL CORRRIENTES ANUAL'!A1" display="Valor Agregado por grandes ramas de actividad, sector Económico y PIB para los 125 municipios de Antioquia anual Cifras a precios corrientes ,  Miles de  millones de pesos" xr:uid="{00000000-0004-0000-0000-000000000000}"/>
    <hyperlink ref="B7" location="'PIB-MPAL CONSTANTES ANUAL'!A1" display="Valor Agregado por grandes ramas de actividad, sector Económico y PIB para los 125 municipios de Antioquia anual Cifras a precios constantes, Series encadenadas de volumen con año de referencia 2015 Miles de  millones de pesos" xr:uid="{00000000-0004-0000-0000-000001000000}"/>
    <hyperlink ref="B8" location="'SUBREGIONAL CORRRIENTES ANUAL'!A1" display="Valor Agregado por grandes ramas de actividad, sector Económico y PIB para los 9 subregiones de Antioquia anual Cifras a precios corrientes ,  Miles de  millones de pesos" xr:uid="{00000000-0004-0000-0000-000002000000}"/>
    <hyperlink ref="B9" location="'SUBREGIONAL CORRRIENTES ANUAL'!A18" display="Participación porcentual del Valor Agregado por grandes ramas de actividad, sector Económico y PIB para los 9 subregiones de Antioquia en el total Departamental anual" xr:uid="{00000000-0004-0000-0000-000003000000}"/>
    <hyperlink ref="B10" location="'SUBREGIONAL CORRRIENTES ANUAL'!A38" display="Distribución porcentual de las actividades y ramas de económicas en el  valor Agregado, en las 9 subregiones de Antioquia anual" xr:uid="{00000000-0004-0000-0000-000004000000}"/>
    <hyperlink ref="B11" location="'SUBREGIONAL CORRRIENTES ANUAL'!A52" display="Coeficiente de especialización regional por actividades y ramas de económicas, en las 9 subregiones de Antioquia anual" xr:uid="{00000000-0004-0000-0000-000005000000}"/>
    <hyperlink ref="B12" location="'Ficha Municipal'!A7" display="Producto Interno Bruto a precios corrientes municipal, subregional y Departamental (miles de Millones de pesos) 2015 - 2020" xr:uid="{00000000-0004-0000-0000-000006000000}"/>
    <hyperlink ref="B13" location="'Ficha Municipal'!A10" display="Participación % municipal en la subregión y Departamento 2015 - 2020" xr:uid="{00000000-0004-0000-0000-000007000000}"/>
    <hyperlink ref="B14" location="'Ficha Municipal'!A19" display="Producto Interno Bruto  municipal, Subregional y Departamental en precios constantes, Series encadenadas de volumen con año de referencia 2015,  Años 2015 - 2020 (miles de Millones de pesos)" xr:uid="{00000000-0004-0000-0000-000008000000}"/>
    <hyperlink ref="B15" location="'Ficha Municipal'!A27" display="Tasa de variación del Producto Interno Bruto a precios constantes municipal, Subregional y Departamental, Series encadenadas de volumen con año de referencia 2015,  2016 - 2020" xr:uid="{00000000-0004-0000-0000-000009000000}"/>
    <hyperlink ref="B16" location="'Ficha Municipal'!A27" display="Valor Agregado municipal en precios corrientes por sectores 2015 - 2020" xr:uid="{00000000-0004-0000-0000-00000A000000}"/>
    <hyperlink ref="B17" location="'Ficha Municipal'!A44" display="Distribución porcentual del Valor Agregado municipal en precios corrientes por sectores Económicos 2015 - 2020" xr:uid="{00000000-0004-0000-0000-00000B000000}"/>
    <hyperlink ref="B18" location="'Ficha Municipal'!A51" display="Valor Agregado municipal en precios constantes, Series encadenadas de volumen con año de referencia 2015 por sectores Económicos  2015 - 2020" xr:uid="{00000000-0004-0000-0000-00000C000000}"/>
    <hyperlink ref="B19" location="'Ficha Municipal'!A59" display="Tasas de variación valor Agregado municipal en precios constantes, Series encadenadas de volumen con año de referencia 2015 por sectores Económicos  2016 - 2020" xr:uid="{00000000-0004-0000-0000-00000D000000}"/>
    <hyperlink ref="B20" location="'Ficha Municipal'!A89" display="Valor Agregado municipal en precios corrientes por ramas de actividad económica 2015 - 2020" xr:uid="{00000000-0004-0000-0000-00000E000000}"/>
    <hyperlink ref="B21" location="'Ficha Municipal'!A116" display="Distribución del Valor Agregado municipal en precios corrientes por ramas de actividad económica  2015 - 2020" xr:uid="{00000000-0004-0000-0000-00000F000000}"/>
    <hyperlink ref="B22" location="'Ficha Municipal'!A143" display="Valor Agregado municipal en precios constantes, Series encadenadas de volumen con año de referencia 2015, por ramas de actividad 2015 - 2020" xr:uid="{00000000-0004-0000-0000-000010000000}"/>
    <hyperlink ref="B23" location="'Ficha Municipal'!A161" display="Tasas de variación del valor Agregado municipal a precios constantes, Series encadenadas de volumen con año de referencia 2015, por ramas de actividad" xr:uid="{00000000-0004-0000-0000-000011000000}"/>
    <hyperlink ref="B24" location="'PIB-Mpal 2015-2020 Corrient '!A1" display="Valor Agregado por grandes ramas de actividad, sector Económico para los 125 municipios de Antioquia, y PIB entre los años 2015 - 2020 Cifras a precios corrientes en miles de millones de pesos" xr:uid="{00000000-0004-0000-0000-000012000000}"/>
    <hyperlink ref="B25" location="'PIB Mpal 2015-2020 Cons'!A1" display="Valor Agregado por grandes ramas de actividad, sector Económico y PIB para los 125 municipios de Antioquia entre los años 2015 - 2020 Cifras a precios constantes, Series encadenadas de volumen con año de referencia 2015 Miles de  millones de pesos" xr:uid="{00000000-0004-0000-0000-000013000000}"/>
    <hyperlink ref="B26" location="PIB_DEPTAL_DANE!A1" display="Producto Interno Bruto por departamento de Antioquia - Base 2015" xr:uid="{00000000-0004-0000-0000-000014000000}"/>
    <hyperlink ref="B27" location="POBLACION!A1" display="POBLACIÓN TOTAL POR MUNICIPIOS DEPARTAMENTO DE ANTIOQUIA 1985 -2035 (Fuente: Retroproyecciones y proyecciones DANE publicadas 22/03/2023)" xr:uid="{00000000-0004-0000-0000-000015000000}"/>
  </hyperlinks>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161"/>
  <sheetViews>
    <sheetView showGridLines="0" topLeftCell="B1" zoomScale="93" zoomScaleNormal="100" workbookViewId="0">
      <selection activeCell="G13" sqref="G13"/>
    </sheetView>
  </sheetViews>
  <sheetFormatPr baseColWidth="10" defaultColWidth="10.83203125" defaultRowHeight="15" x14ac:dyDescent="0.2"/>
  <cols>
    <col min="1" max="1" width="12.5" customWidth="1"/>
    <col min="2" max="2" width="31.83203125" customWidth="1"/>
    <col min="3" max="3" width="53.6640625" customWidth="1"/>
    <col min="4" max="4" width="57.6640625" customWidth="1"/>
    <col min="5" max="5" width="12.33203125" bestFit="1" customWidth="1"/>
    <col min="6" max="6" width="11.6640625" bestFit="1" customWidth="1"/>
    <col min="7" max="7" width="13.33203125" bestFit="1" customWidth="1"/>
    <col min="8" max="8" width="12.1640625" bestFit="1" customWidth="1"/>
    <col min="9" max="9" width="19.6640625" bestFit="1" customWidth="1"/>
    <col min="10" max="10" width="17.1640625" bestFit="1" customWidth="1"/>
    <col min="11" max="11" width="11.6640625" bestFit="1" customWidth="1"/>
    <col min="12" max="12" width="11.33203125" bestFit="1" customWidth="1"/>
    <col min="13" max="13" width="12.5" bestFit="1" customWidth="1"/>
    <col min="14" max="14" width="12.83203125" customWidth="1"/>
    <col min="15" max="15" width="17.1640625" bestFit="1" customWidth="1"/>
    <col min="16" max="16" width="27.5" bestFit="1" customWidth="1"/>
    <col min="17" max="17" width="12.5" bestFit="1" customWidth="1"/>
    <col min="18" max="18" width="12.83203125" bestFit="1" customWidth="1"/>
    <col min="19" max="20" width="13.6640625" bestFit="1" customWidth="1"/>
    <col min="21" max="21" width="12.5" bestFit="1" customWidth="1"/>
    <col min="22" max="22" width="14.33203125" bestFit="1" customWidth="1"/>
    <col min="24" max="24" width="15.5" bestFit="1" customWidth="1"/>
    <col min="25" max="26" width="12.83203125" bestFit="1" customWidth="1"/>
    <col min="35" max="35" width="13.33203125" bestFit="1" customWidth="1"/>
  </cols>
  <sheetData>
    <row r="1" spans="1:36" ht="24" x14ac:dyDescent="0.25">
      <c r="A1" s="436" t="s">
        <v>57</v>
      </c>
      <c r="B1" s="436"/>
      <c r="C1" s="436"/>
      <c r="D1" s="436"/>
      <c r="E1" s="436"/>
      <c r="F1" s="436"/>
      <c r="G1" s="436"/>
      <c r="H1" s="436"/>
      <c r="I1" s="436"/>
      <c r="J1" s="436"/>
      <c r="K1" s="436"/>
      <c r="L1" s="436"/>
      <c r="M1" s="436"/>
      <c r="N1" s="436"/>
      <c r="O1" s="436"/>
      <c r="P1" s="436"/>
      <c r="Q1" s="436"/>
      <c r="R1" s="436"/>
      <c r="S1" s="436"/>
      <c r="T1" s="436"/>
      <c r="U1" s="436"/>
      <c r="V1" s="436"/>
      <c r="W1" s="84" t="s">
        <v>58</v>
      </c>
    </row>
    <row r="2" spans="1:36" ht="43.25" customHeight="1" thickBot="1" x14ac:dyDescent="0.25">
      <c r="A2" s="437" t="str">
        <f>"Valor Agregado por grandes ramas de actividad, sector Económico y PIB para los 125 municipios de Antioquia año: "&amp;W2&amp;IF(OR(W2=2021,W2=2020)," provisional ",IF(W2=2022," preliminar ",""))&amp;"
Cifras a precios corrientes ,  Miles de  millones de pesos"</f>
        <v>Valor Agregado por grandes ramas de actividad, sector Económico y PIB para los 125 municipios de Antioquia año: 2019
Cifras a precios corrientes ,  Miles de  millones de pesos</v>
      </c>
      <c r="B2" s="437"/>
      <c r="C2" s="437"/>
      <c r="D2" s="437"/>
      <c r="E2" s="437"/>
      <c r="F2" s="437"/>
      <c r="G2" s="437"/>
      <c r="H2" s="437"/>
      <c r="I2" s="437"/>
      <c r="J2" s="437"/>
      <c r="K2" s="437"/>
      <c r="L2" s="437"/>
      <c r="M2" s="437"/>
      <c r="N2" s="437"/>
      <c r="O2" s="437"/>
      <c r="P2" s="437"/>
      <c r="Q2" s="437"/>
      <c r="R2" s="437"/>
      <c r="S2" s="437"/>
      <c r="T2" s="437"/>
      <c r="U2" s="437"/>
      <c r="V2" s="437"/>
      <c r="W2" s="85">
        <v>2019</v>
      </c>
    </row>
    <row r="3" spans="1:36" ht="16" thickBot="1" x14ac:dyDescent="0.25"/>
    <row r="4" spans="1:36" ht="193.25" customHeight="1" thickBot="1" x14ac:dyDescent="0.25">
      <c r="A4" s="41" t="s">
        <v>59</v>
      </c>
      <c r="B4" s="42" t="s">
        <v>60</v>
      </c>
      <c r="C4" s="42" t="s">
        <v>61</v>
      </c>
      <c r="D4" s="43" t="s">
        <v>62</v>
      </c>
      <c r="E4" s="1" t="s">
        <v>63</v>
      </c>
      <c r="F4" s="1" t="s">
        <v>64</v>
      </c>
      <c r="G4" s="1" t="s">
        <v>65</v>
      </c>
      <c r="H4" s="1" t="s">
        <v>66</v>
      </c>
      <c r="I4" s="1" t="s">
        <v>67</v>
      </c>
      <c r="J4" s="1" t="s">
        <v>68</v>
      </c>
      <c r="K4" s="1" t="s">
        <v>69</v>
      </c>
      <c r="L4" s="1" t="s">
        <v>70</v>
      </c>
      <c r="M4" s="1" t="s">
        <v>71</v>
      </c>
      <c r="N4" s="1" t="s">
        <v>72</v>
      </c>
      <c r="O4" s="1" t="s">
        <v>73</v>
      </c>
      <c r="P4" s="158" t="s">
        <v>74</v>
      </c>
      <c r="Q4" s="166" t="s">
        <v>75</v>
      </c>
      <c r="R4" s="44" t="s">
        <v>76</v>
      </c>
      <c r="S4" s="48" t="s">
        <v>77</v>
      </c>
      <c r="T4" s="204" t="s">
        <v>78</v>
      </c>
      <c r="U4" s="202" t="s">
        <v>79</v>
      </c>
      <c r="V4" s="90" t="s">
        <v>80</v>
      </c>
      <c r="W4" s="91" t="s">
        <v>81</v>
      </c>
      <c r="X4" s="2" t="s">
        <v>82</v>
      </c>
      <c r="Y4" s="204" t="s">
        <v>83</v>
      </c>
      <c r="Z4" s="275" t="s">
        <v>84</v>
      </c>
      <c r="AA4" s="204" t="s">
        <v>85</v>
      </c>
      <c r="AB4" s="204" t="s">
        <v>86</v>
      </c>
      <c r="AE4" s="426" t="s">
        <v>87</v>
      </c>
      <c r="AF4" s="426"/>
      <c r="AG4" s="426"/>
      <c r="AH4" s="426"/>
      <c r="AI4" s="426"/>
      <c r="AJ4" s="426"/>
    </row>
    <row r="5" spans="1:36" x14ac:dyDescent="0.2">
      <c r="A5" s="54"/>
      <c r="B5" s="55"/>
      <c r="C5" s="45"/>
      <c r="D5" s="46" t="s">
        <v>88</v>
      </c>
      <c r="E5" s="49">
        <f>E6+E17+E24+E31+E42+E60+E80+E104+E128</f>
        <v>8918.4641327922218</v>
      </c>
      <c r="F5" s="49">
        <f t="shared" ref="F5:V5" si="0">F6+F17+F24+F31+F42+F60+F80+F104+F128</f>
        <v>3175.2932223956377</v>
      </c>
      <c r="G5" s="49">
        <f t="shared" si="0"/>
        <v>22127.442830199019</v>
      </c>
      <c r="H5" s="49">
        <f t="shared" si="0"/>
        <v>11048.784309694989</v>
      </c>
      <c r="I5" s="49">
        <f t="shared" si="0"/>
        <v>7053.783627599074</v>
      </c>
      <c r="J5" s="49">
        <f t="shared" si="0"/>
        <v>26342.510799766551</v>
      </c>
      <c r="K5" s="49">
        <f t="shared" si="0"/>
        <v>4286.9798798570364</v>
      </c>
      <c r="L5" s="49">
        <f t="shared" si="0"/>
        <v>7515.7040420033354</v>
      </c>
      <c r="M5" s="49">
        <f t="shared" si="0"/>
        <v>13376.223965885003</v>
      </c>
      <c r="N5" s="49">
        <f t="shared" si="0"/>
        <v>13715.350984625702</v>
      </c>
      <c r="O5" s="49">
        <f t="shared" si="0"/>
        <v>18056.663328380193</v>
      </c>
      <c r="P5" s="86">
        <f t="shared" si="0"/>
        <v>3848.0158314909359</v>
      </c>
      <c r="Q5" s="189">
        <f t="shared" si="0"/>
        <v>12093.75735518786</v>
      </c>
      <c r="R5" s="49">
        <f t="shared" si="0"/>
        <v>33176.227139894007</v>
      </c>
      <c r="S5" s="190">
        <f t="shared" si="0"/>
        <v>94195.23245960784</v>
      </c>
      <c r="T5" s="205">
        <f t="shared" si="0"/>
        <v>139465.21695468973</v>
      </c>
      <c r="U5" s="184">
        <f t="shared" si="0"/>
        <v>14094.231983888647</v>
      </c>
      <c r="V5" s="86">
        <f t="shared" si="0"/>
        <v>153559.44893857834</v>
      </c>
      <c r="W5" s="92">
        <f>V5/$V$5</f>
        <v>1</v>
      </c>
      <c r="X5" s="205">
        <f t="shared" ref="X5" si="1">X6+X17+X24+X31+X42+X60+X80+X104+X128</f>
        <v>6550206</v>
      </c>
      <c r="Y5" s="260">
        <f>(T5/X5)*1000000</f>
        <v>21291.729902035102</v>
      </c>
      <c r="Z5" s="265">
        <f>(V5/X5)*1000000</f>
        <v>23443.453372089112</v>
      </c>
      <c r="AA5" s="276">
        <f>LOG(Y5)</f>
        <v>4.328210948257821</v>
      </c>
      <c r="AB5" s="276">
        <f>LOG(Z5)</f>
        <v>4.3700215864404717</v>
      </c>
      <c r="AE5" s="427" t="s">
        <v>89</v>
      </c>
      <c r="AF5" s="428"/>
      <c r="AG5" s="428"/>
      <c r="AH5" s="428"/>
      <c r="AI5" s="428"/>
      <c r="AJ5" s="429"/>
    </row>
    <row r="6" spans="1:36" x14ac:dyDescent="0.2">
      <c r="A6" s="56" t="s">
        <v>90</v>
      </c>
      <c r="B6" s="47" t="s">
        <v>91</v>
      </c>
      <c r="C6" s="47"/>
      <c r="D6" s="47"/>
      <c r="E6" s="50">
        <f>SUM(E7:E16)</f>
        <v>452.01105249422085</v>
      </c>
      <c r="F6" s="50">
        <f t="shared" ref="F6:V6" si="2">SUM(F7:F16)</f>
        <v>53.569415586225553</v>
      </c>
      <c r="G6" s="50">
        <f t="shared" si="2"/>
        <v>17463.329714704418</v>
      </c>
      <c r="H6" s="50">
        <f t="shared" si="2"/>
        <v>7822.5484318957569</v>
      </c>
      <c r="I6" s="50">
        <f t="shared" si="2"/>
        <v>3891.6286968246927</v>
      </c>
      <c r="J6" s="50">
        <f t="shared" si="2"/>
        <v>19502.664654583336</v>
      </c>
      <c r="K6" s="50">
        <f t="shared" si="2"/>
        <v>3163.5246428527453</v>
      </c>
      <c r="L6" s="50">
        <f t="shared" si="2"/>
        <v>6677.4648964324979</v>
      </c>
      <c r="M6" s="50">
        <f t="shared" si="2"/>
        <v>10497.773121185193</v>
      </c>
      <c r="N6" s="50">
        <f t="shared" si="2"/>
        <v>9915.750663207029</v>
      </c>
      <c r="O6" s="50">
        <f t="shared" si="2"/>
        <v>12086.912637128646</v>
      </c>
      <c r="P6" s="87">
        <f t="shared" si="2"/>
        <v>2820.9150405634946</v>
      </c>
      <c r="Q6" s="191">
        <f t="shared" si="2"/>
        <v>505.58046808044645</v>
      </c>
      <c r="R6" s="50">
        <f t="shared" si="2"/>
        <v>25285.878146600175</v>
      </c>
      <c r="S6" s="192">
        <f t="shared" si="2"/>
        <v>68556.634352777633</v>
      </c>
      <c r="T6" s="206">
        <f t="shared" si="2"/>
        <v>94348.092967458258</v>
      </c>
      <c r="U6" s="185">
        <f t="shared" si="2"/>
        <v>9534.7351730924529</v>
      </c>
      <c r="V6" s="87">
        <f t="shared" si="2"/>
        <v>103882.8281405507</v>
      </c>
      <c r="W6" s="92">
        <f t="shared" ref="W6:W69" si="3">V6/$V$5</f>
        <v>0.67649909438072031</v>
      </c>
      <c r="X6" s="206">
        <f t="shared" ref="X6" si="4">SUM(X7:X16)</f>
        <v>3969222</v>
      </c>
      <c r="Y6" s="258">
        <f t="shared" ref="Y6:Y69" si="5">(T6/X6)*1000000</f>
        <v>23769.920898215885</v>
      </c>
      <c r="Z6" s="270">
        <f t="shared" ref="Z6:Z69" si="6">(V6/X6)*1000000</f>
        <v>26172.088167542832</v>
      </c>
      <c r="AA6" s="273">
        <f t="shared" ref="AA6:AA69" si="7">LOG(Y6)</f>
        <v>4.3760277364809985</v>
      </c>
      <c r="AB6" s="273">
        <f t="shared" ref="AB6:AB69" si="8">LOG(Z6)</f>
        <v>4.4178383746636491</v>
      </c>
      <c r="AE6" s="430" t="s">
        <v>92</v>
      </c>
      <c r="AF6" s="431"/>
      <c r="AG6" s="431"/>
      <c r="AH6" s="431"/>
      <c r="AI6" s="431"/>
      <c r="AJ6" s="432"/>
    </row>
    <row r="7" spans="1:36" x14ac:dyDescent="0.2">
      <c r="A7" s="35" t="s">
        <v>93</v>
      </c>
      <c r="B7" s="32" t="s">
        <v>94</v>
      </c>
      <c r="C7" s="33" t="s">
        <v>95</v>
      </c>
      <c r="D7" s="32" t="s">
        <v>96</v>
      </c>
      <c r="E7" s="51">
        <f>SUMIFS('PIB-Mpal 2015-2022 Corrient '!H$5:H$1012,'PIB-Mpal 2015-2022 Corrient '!$A$5:$A$1012,$W$2,'PIB-Mpal 2015-2022 Corrient '!$E$5:$E$1012,$A7)</f>
        <v>156.61361844364188</v>
      </c>
      <c r="F7" s="51">
        <f>SUMIFS('PIB-Mpal 2015-2022 Corrient '!I$5:I$1012,'PIB-Mpal 2015-2022 Corrient '!$A$5:$A$1012,$W$2,'PIB-Mpal 2015-2022 Corrient '!$E$5:$E$1012,$A7)</f>
        <v>2.2789547562339862</v>
      </c>
      <c r="G7" s="51">
        <f>SUMIFS('PIB-Mpal 2015-2022 Corrient '!K$5:K$1012,'PIB-Mpal 2015-2022 Corrient '!$A$5:$A$1012,$W$2,'PIB-Mpal 2015-2022 Corrient '!$E$5:$E$1012,$A7)</f>
        <v>7876.9209251015609</v>
      </c>
      <c r="H7" s="51">
        <f>SUMIFS('PIB-Mpal 2015-2022 Corrient '!L$5:L$1012,'PIB-Mpal 2015-2022 Corrient '!$A$5:$A$1012,$W$2,'PIB-Mpal 2015-2022 Corrient '!$E$5:$E$1012,$A7)</f>
        <v>5138.961785280776</v>
      </c>
      <c r="I7" s="51">
        <f>SUMIFS('PIB-Mpal 2015-2022 Corrient '!N$5:N$1012,'PIB-Mpal 2015-2022 Corrient '!$A$5:$A$1012,$W$2,'PIB-Mpal 2015-2022 Corrient '!$E$5:$E$1012,$A7)</f>
        <v>2380.4576184851749</v>
      </c>
      <c r="J7" s="51">
        <f>SUMIFS('PIB-Mpal 2015-2022 Corrient '!O$5:O$1012,'PIB-Mpal 2015-2022 Corrient '!$A$5:$A$1012,$W$2,'PIB-Mpal 2015-2022 Corrient '!$E$5:$E$1012,$A7)</f>
        <v>12722.867450373189</v>
      </c>
      <c r="K7" s="51">
        <f>SUMIFS('PIB-Mpal 2015-2022 Corrient '!P$5:P$1012,'PIB-Mpal 2015-2022 Corrient '!$A$5:$A$1012,$W$2,'PIB-Mpal 2015-2022 Corrient '!$E$5:$E$1012,$A7)</f>
        <v>1962.1236325474997</v>
      </c>
      <c r="L7" s="51">
        <f>SUMIFS('PIB-Mpal 2015-2022 Corrient '!Q$5:Q$1012,'PIB-Mpal 2015-2022 Corrient '!$A$5:$A$1012,$W$2,'PIB-Mpal 2015-2022 Corrient '!$E$5:$E$1012,$A7)</f>
        <v>5558.0038760728248</v>
      </c>
      <c r="M7" s="51">
        <f>SUMIFS('PIB-Mpal 2015-2022 Corrient '!R$5:R$1012,'PIB-Mpal 2015-2022 Corrient '!$A$5:$A$1012,$W$2,'PIB-Mpal 2015-2022 Corrient '!$E$5:$E$1012,$A7)</f>
        <v>6770.7309203497098</v>
      </c>
      <c r="N7" s="51">
        <f>SUMIFS('PIB-Mpal 2015-2022 Corrient '!S$5:S$1012,'PIB-Mpal 2015-2022 Corrient '!$A$5:$A$1012,$W$2,'PIB-Mpal 2015-2022 Corrient '!$E$5:$E$1012,$A7)</f>
        <v>6471.2998806885953</v>
      </c>
      <c r="O7" s="51">
        <f>SUMIFS('PIB-Mpal 2015-2022 Corrient '!T$5:T$1012,'PIB-Mpal 2015-2022 Corrient '!$A$5:$A$1012,$W$2,'PIB-Mpal 2015-2022 Corrient '!$E$5:$E$1012,$A7)</f>
        <v>8627.5187725156557</v>
      </c>
      <c r="P7" s="150">
        <f>SUMIFS('PIB-Mpal 2015-2022 Corrient '!U$5:U$1012,'PIB-Mpal 2015-2022 Corrient '!$A$5:$A$1012,$W$2,'PIB-Mpal 2015-2022 Corrient '!$E$5:$E$1012,$A7)</f>
        <v>1767.1887756736362</v>
      </c>
      <c r="Q7" s="156">
        <f>SUMIFS('PIB-Mpal 2015-2022 Corrient '!J$5:J$1012,'PIB-Mpal 2015-2022 Corrient '!$A$5:$A$1012,$W$2,'PIB-Mpal 2015-2022 Corrient '!$E$5:$E$1012,$A7)</f>
        <v>158.89257319987587</v>
      </c>
      <c r="R7" s="52">
        <f>SUMIFS('PIB-Mpal 2015-2022 Corrient '!M$5:M$1012,'PIB-Mpal 2015-2022 Corrient '!$A$5:$A$1012,$W$2,'PIB-Mpal 2015-2022 Corrient '!$E$5:$E$1012,$A7)</f>
        <v>13015.882710382337</v>
      </c>
      <c r="S7" s="53">
        <f>SUMIFS('PIB-Mpal 2015-2022 Corrient '!V$5:V$1012,'PIB-Mpal 2015-2022 Corrient '!$A$5:$A$1012,$W$2,'PIB-Mpal 2015-2022 Corrient '!$E$5:$E$1012,$A7)</f>
        <v>46260.190926706287</v>
      </c>
      <c r="T7" s="207">
        <f>SUMIFS('PIB-Mpal 2015-2022 Corrient '!W$5:W$1012,'PIB-Mpal 2015-2022 Corrient '!$A$5:$A$1012,$W$2,'PIB-Mpal 2015-2022 Corrient '!$E$5:$E$1012,$A7)</f>
        <v>59434.966210288498</v>
      </c>
      <c r="U7" s="203">
        <f>SUMIFS('PIB-Mpal 2015-2022 Corrient '!X$5:X$1012,'PIB-Mpal 2015-2022 Corrient '!$A$5:$A$1012,$W$2,'PIB-Mpal 2015-2022 Corrient '!$E$5:$E$1012,$A7)</f>
        <v>6006.4453346424216</v>
      </c>
      <c r="V7" s="88">
        <f>SUMIFS('PIB-Mpal 2015-2022 Corrient '!Y$5:Y$1012,'PIB-Mpal 2015-2022 Corrient '!$A$5:$A$1012,$W$2,'PIB-Mpal 2015-2022 Corrient '!$E$5:$E$1012,$A7)</f>
        <v>65441.411544930917</v>
      </c>
      <c r="W7" s="92">
        <f t="shared" si="3"/>
        <v>0.42616336537588501</v>
      </c>
      <c r="X7" s="268">
        <f>INDEX(POBLACION!$C$4:$W$128,MATCH(A7,POBLACION!$A$4:$A$128,0),MATCH($W$2,POBLACION!$C$3:$W$3,0))</f>
        <v>2483545</v>
      </c>
      <c r="Y7" s="258">
        <f t="shared" si="5"/>
        <v>23931.503641080995</v>
      </c>
      <c r="Z7" s="270">
        <f t="shared" si="6"/>
        <v>26350.000320079129</v>
      </c>
      <c r="AA7" s="273">
        <f t="shared" si="7"/>
        <v>4.3789699866413834</v>
      </c>
      <c r="AB7" s="273">
        <f t="shared" si="8"/>
        <v>4.420780624824034</v>
      </c>
      <c r="AE7" s="433" t="s">
        <v>97</v>
      </c>
      <c r="AF7" s="434"/>
      <c r="AG7" s="434"/>
      <c r="AH7" s="434"/>
      <c r="AI7" s="434"/>
      <c r="AJ7" s="435"/>
    </row>
    <row r="8" spans="1:36" x14ac:dyDescent="0.2">
      <c r="A8" s="35" t="s">
        <v>98</v>
      </c>
      <c r="B8" s="32" t="s">
        <v>94</v>
      </c>
      <c r="C8" s="33" t="s">
        <v>95</v>
      </c>
      <c r="D8" s="32" t="s">
        <v>99</v>
      </c>
      <c r="E8" s="51">
        <f>SUMIFS('PIB-Mpal 2015-2022 Corrient '!H$5:H$1012,'PIB-Mpal 2015-2022 Corrient '!$A$5:$A$1012,$W$2,'PIB-Mpal 2015-2022 Corrient '!$E$5:$E$1012,$A8)</f>
        <v>94.782431807993049</v>
      </c>
      <c r="F8" s="51">
        <f>SUMIFS('PIB-Mpal 2015-2022 Corrient '!I$5:I$1012,'PIB-Mpal 2015-2022 Corrient '!$A$5:$A$1012,$W$2,'PIB-Mpal 2015-2022 Corrient '!$E$5:$E$1012,$A8)</f>
        <v>3.3560322994729574</v>
      </c>
      <c r="G8" s="51">
        <f>SUMIFS('PIB-Mpal 2015-2022 Corrient '!K$5:K$1012,'PIB-Mpal 2015-2022 Corrient '!$A$5:$A$1012,$W$2,'PIB-Mpal 2015-2022 Corrient '!$E$5:$E$1012,$A8)</f>
        <v>368.83379100838238</v>
      </c>
      <c r="H8" s="51">
        <f>SUMIFS('PIB-Mpal 2015-2022 Corrient '!L$5:L$1012,'PIB-Mpal 2015-2022 Corrient '!$A$5:$A$1012,$W$2,'PIB-Mpal 2015-2022 Corrient '!$E$5:$E$1012,$A8)</f>
        <v>93.970492015508569</v>
      </c>
      <c r="I8" s="51">
        <f>SUMIFS('PIB-Mpal 2015-2022 Corrient '!N$5:N$1012,'PIB-Mpal 2015-2022 Corrient '!$A$5:$A$1012,$W$2,'PIB-Mpal 2015-2022 Corrient '!$E$5:$E$1012,$A8)</f>
        <v>140.46508683436869</v>
      </c>
      <c r="J8" s="51">
        <f>SUMIFS('PIB-Mpal 2015-2022 Corrient '!O$5:O$1012,'PIB-Mpal 2015-2022 Corrient '!$A$5:$A$1012,$W$2,'PIB-Mpal 2015-2022 Corrient '!$E$5:$E$1012,$A8)</f>
        <v>101.78784380199336</v>
      </c>
      <c r="K8" s="51">
        <f>SUMIFS('PIB-Mpal 2015-2022 Corrient '!P$5:P$1012,'PIB-Mpal 2015-2022 Corrient '!$A$5:$A$1012,$W$2,'PIB-Mpal 2015-2022 Corrient '!$E$5:$E$1012,$A8)</f>
        <v>16.388756452389579</v>
      </c>
      <c r="L8" s="51">
        <f>SUMIFS('PIB-Mpal 2015-2022 Corrient '!Q$5:Q$1012,'PIB-Mpal 2015-2022 Corrient '!$A$5:$A$1012,$W$2,'PIB-Mpal 2015-2022 Corrient '!$E$5:$E$1012,$A8)</f>
        <v>10.183371460145391</v>
      </c>
      <c r="M8" s="51">
        <f>SUMIFS('PIB-Mpal 2015-2022 Corrient '!R$5:R$1012,'PIB-Mpal 2015-2022 Corrient '!$A$5:$A$1012,$W$2,'PIB-Mpal 2015-2022 Corrient '!$E$5:$E$1012,$A8)</f>
        <v>56.385601283083126</v>
      </c>
      <c r="N8" s="51">
        <f>SUMIFS('PIB-Mpal 2015-2022 Corrient '!S$5:S$1012,'PIB-Mpal 2015-2022 Corrient '!$A$5:$A$1012,$W$2,'PIB-Mpal 2015-2022 Corrient '!$E$5:$E$1012,$A8)</f>
        <v>63.177791177376314</v>
      </c>
      <c r="O8" s="51">
        <f>SUMIFS('PIB-Mpal 2015-2022 Corrient '!T$5:T$1012,'PIB-Mpal 2015-2022 Corrient '!$A$5:$A$1012,$W$2,'PIB-Mpal 2015-2022 Corrient '!$E$5:$E$1012,$A8)</f>
        <v>58.464028411625186</v>
      </c>
      <c r="P8" s="150">
        <f>SUMIFS('PIB-Mpal 2015-2022 Corrient '!U$5:U$1012,'PIB-Mpal 2015-2022 Corrient '!$A$5:$A$1012,$W$2,'PIB-Mpal 2015-2022 Corrient '!$E$5:$E$1012,$A8)</f>
        <v>20.200567242734973</v>
      </c>
      <c r="Q8" s="156">
        <f>SUMIFS('PIB-Mpal 2015-2022 Corrient '!J$5:J$1012,'PIB-Mpal 2015-2022 Corrient '!$A$5:$A$1012,$W$2,'PIB-Mpal 2015-2022 Corrient '!$E$5:$E$1012,$A8)</f>
        <v>98.138464107466007</v>
      </c>
      <c r="R8" s="52">
        <f>SUMIFS('PIB-Mpal 2015-2022 Corrient '!M$5:M$1012,'PIB-Mpal 2015-2022 Corrient '!$A$5:$A$1012,$W$2,'PIB-Mpal 2015-2022 Corrient '!$E$5:$E$1012,$A8)</f>
        <v>462.80428302389095</v>
      </c>
      <c r="S8" s="53">
        <f>SUMIFS('PIB-Mpal 2015-2022 Corrient '!V$5:V$1012,'PIB-Mpal 2015-2022 Corrient '!$A$5:$A$1012,$W$2,'PIB-Mpal 2015-2022 Corrient '!$E$5:$E$1012,$A8)</f>
        <v>467.05304666371666</v>
      </c>
      <c r="T8" s="207">
        <f>SUMIFS('PIB-Mpal 2015-2022 Corrient '!W$5:W$1012,'PIB-Mpal 2015-2022 Corrient '!$A$5:$A$1012,$W$2,'PIB-Mpal 2015-2022 Corrient '!$E$5:$E$1012,$A8)</f>
        <v>1027.9957937950735</v>
      </c>
      <c r="U8" s="203">
        <f>SUMIFS('PIB-Mpal 2015-2022 Corrient '!X$5:X$1012,'PIB-Mpal 2015-2022 Corrient '!$A$5:$A$1012,$W$2,'PIB-Mpal 2015-2022 Corrient '!$E$5:$E$1012,$A8)</f>
        <v>103.88834945789196</v>
      </c>
      <c r="V8" s="88">
        <f>SUMIFS('PIB-Mpal 2015-2022 Corrient '!Y$5:Y$1012,'PIB-Mpal 2015-2022 Corrient '!$A$5:$A$1012,$W$2,'PIB-Mpal 2015-2022 Corrient '!$E$5:$E$1012,$A8)</f>
        <v>1131.8841432529655</v>
      </c>
      <c r="W8" s="92">
        <f t="shared" si="3"/>
        <v>7.3709833623178964E-3</v>
      </c>
      <c r="X8" s="268">
        <f>INDEX(POBLACION!$C$4:$W$128,MATCH(A8,POBLACION!$A$4:$A$128,0),MATCH($W$2,POBLACION!$C$3:$W$3,0))</f>
        <v>53242</v>
      </c>
      <c r="Y8" s="258">
        <f t="shared" si="5"/>
        <v>19307.986059785009</v>
      </c>
      <c r="Z8" s="270">
        <f t="shared" si="6"/>
        <v>21259.234124431194</v>
      </c>
      <c r="AA8" s="273">
        <f t="shared" si="7"/>
        <v>4.285736976589547</v>
      </c>
      <c r="AB8" s="273">
        <f t="shared" si="8"/>
        <v>4.3275476147721976</v>
      </c>
      <c r="AE8" s="427" t="s">
        <v>100</v>
      </c>
      <c r="AF8" s="428"/>
      <c r="AG8" s="428"/>
      <c r="AH8" s="428"/>
      <c r="AI8" s="428"/>
      <c r="AJ8" s="429"/>
    </row>
    <row r="9" spans="1:36" x14ac:dyDescent="0.2">
      <c r="A9" s="35" t="s">
        <v>101</v>
      </c>
      <c r="B9" s="32" t="s">
        <v>94</v>
      </c>
      <c r="C9" s="33" t="s">
        <v>95</v>
      </c>
      <c r="D9" s="32" t="s">
        <v>102</v>
      </c>
      <c r="E9" s="51">
        <f>SUMIFS('PIB-Mpal 2015-2022 Corrient '!H$5:H$1012,'PIB-Mpal 2015-2022 Corrient '!$A$5:$A$1012,$W$2,'PIB-Mpal 2015-2022 Corrient '!$E$5:$E$1012,$A9)</f>
        <v>32.765663989137231</v>
      </c>
      <c r="F9" s="51">
        <f>SUMIFS('PIB-Mpal 2015-2022 Corrient '!I$5:I$1012,'PIB-Mpal 2015-2022 Corrient '!$A$5:$A$1012,$W$2,'PIB-Mpal 2015-2022 Corrient '!$E$5:$E$1012,$A9)</f>
        <v>1.0753017361886776</v>
      </c>
      <c r="G9" s="51">
        <f>SUMIFS('PIB-Mpal 2015-2022 Corrient '!K$5:K$1012,'PIB-Mpal 2015-2022 Corrient '!$A$5:$A$1012,$W$2,'PIB-Mpal 2015-2022 Corrient '!$E$5:$E$1012,$A9)</f>
        <v>680.90773908715425</v>
      </c>
      <c r="H9" s="51">
        <f>SUMIFS('PIB-Mpal 2015-2022 Corrient '!L$5:L$1012,'PIB-Mpal 2015-2022 Corrient '!$A$5:$A$1012,$W$2,'PIB-Mpal 2015-2022 Corrient '!$E$5:$E$1012,$A9)</f>
        <v>528.90776412727416</v>
      </c>
      <c r="I9" s="51">
        <f>SUMIFS('PIB-Mpal 2015-2022 Corrient '!N$5:N$1012,'PIB-Mpal 2015-2022 Corrient '!$A$5:$A$1012,$W$2,'PIB-Mpal 2015-2022 Corrient '!$E$5:$E$1012,$A9)</f>
        <v>275.13426879636773</v>
      </c>
      <c r="J9" s="51">
        <f>SUMIFS('PIB-Mpal 2015-2022 Corrient '!O$5:O$1012,'PIB-Mpal 2015-2022 Corrient '!$A$5:$A$1012,$W$2,'PIB-Mpal 2015-2022 Corrient '!$E$5:$E$1012,$A9)</f>
        <v>1651.8668630193963</v>
      </c>
      <c r="K9" s="51">
        <f>SUMIFS('PIB-Mpal 2015-2022 Corrient '!P$5:P$1012,'PIB-Mpal 2015-2022 Corrient '!$A$5:$A$1012,$W$2,'PIB-Mpal 2015-2022 Corrient '!$E$5:$E$1012,$A9)</f>
        <v>304.79771025392512</v>
      </c>
      <c r="L9" s="51">
        <f>SUMIFS('PIB-Mpal 2015-2022 Corrient '!Q$5:Q$1012,'PIB-Mpal 2015-2022 Corrient '!$A$5:$A$1012,$W$2,'PIB-Mpal 2015-2022 Corrient '!$E$5:$E$1012,$A9)</f>
        <v>212.36819691569673</v>
      </c>
      <c r="M9" s="51">
        <f>SUMIFS('PIB-Mpal 2015-2022 Corrient '!R$5:R$1012,'PIB-Mpal 2015-2022 Corrient '!$A$5:$A$1012,$W$2,'PIB-Mpal 2015-2022 Corrient '!$E$5:$E$1012,$A9)</f>
        <v>752.29485147722846</v>
      </c>
      <c r="N9" s="51">
        <f>SUMIFS('PIB-Mpal 2015-2022 Corrient '!S$5:S$1012,'PIB-Mpal 2015-2022 Corrient '!$A$5:$A$1012,$W$2,'PIB-Mpal 2015-2022 Corrient '!$E$5:$E$1012,$A9)</f>
        <v>645.00039056366393</v>
      </c>
      <c r="O9" s="51">
        <f>SUMIFS('PIB-Mpal 2015-2022 Corrient '!T$5:T$1012,'PIB-Mpal 2015-2022 Corrient '!$A$5:$A$1012,$W$2,'PIB-Mpal 2015-2022 Corrient '!$E$5:$E$1012,$A9)</f>
        <v>833.96157470449555</v>
      </c>
      <c r="P9" s="150">
        <f>SUMIFS('PIB-Mpal 2015-2022 Corrient '!U$5:U$1012,'PIB-Mpal 2015-2022 Corrient '!$A$5:$A$1012,$W$2,'PIB-Mpal 2015-2022 Corrient '!$E$5:$E$1012,$A9)</f>
        <v>292.89695797314221</v>
      </c>
      <c r="Q9" s="156">
        <f>SUMIFS('PIB-Mpal 2015-2022 Corrient '!J$5:J$1012,'PIB-Mpal 2015-2022 Corrient '!$A$5:$A$1012,$W$2,'PIB-Mpal 2015-2022 Corrient '!$E$5:$E$1012,$A9)</f>
        <v>33.840965725325908</v>
      </c>
      <c r="R9" s="52">
        <f>SUMIFS('PIB-Mpal 2015-2022 Corrient '!M$5:M$1012,'PIB-Mpal 2015-2022 Corrient '!$A$5:$A$1012,$W$2,'PIB-Mpal 2015-2022 Corrient '!$E$5:$E$1012,$A9)</f>
        <v>1209.8155032144284</v>
      </c>
      <c r="S9" s="53">
        <f>SUMIFS('PIB-Mpal 2015-2022 Corrient '!V$5:V$1012,'PIB-Mpal 2015-2022 Corrient '!$A$5:$A$1012,$W$2,'PIB-Mpal 2015-2022 Corrient '!$E$5:$E$1012,$A9)</f>
        <v>4968.3208137039164</v>
      </c>
      <c r="T9" s="207">
        <f>SUMIFS('PIB-Mpal 2015-2022 Corrient '!W$5:W$1012,'PIB-Mpal 2015-2022 Corrient '!$A$5:$A$1012,$W$2,'PIB-Mpal 2015-2022 Corrient '!$E$5:$E$1012,$A9)</f>
        <v>6211.9772826436711</v>
      </c>
      <c r="U9" s="203">
        <f>SUMIFS('PIB-Mpal 2015-2022 Corrient '!X$5:X$1012,'PIB-Mpal 2015-2022 Corrient '!$A$5:$A$1012,$W$2,'PIB-Mpal 2015-2022 Corrient '!$E$5:$E$1012,$A9)</f>
        <v>627.77695264813508</v>
      </c>
      <c r="V9" s="88">
        <f>SUMIFS('PIB-Mpal 2015-2022 Corrient '!Y$5:Y$1012,'PIB-Mpal 2015-2022 Corrient '!$A$5:$A$1012,$W$2,'PIB-Mpal 2015-2022 Corrient '!$E$5:$E$1012,$A9)</f>
        <v>6839.7542352918063</v>
      </c>
      <c r="W9" s="92">
        <f t="shared" si="3"/>
        <v>4.4541409093149416E-2</v>
      </c>
      <c r="X9" s="268">
        <f>INDEX(POBLACION!$C$4:$W$128,MATCH(A9,POBLACION!$A$4:$A$128,0),MATCH($W$2,POBLACION!$C$3:$W$3,0))</f>
        <v>538527</v>
      </c>
      <c r="Y9" s="258">
        <f t="shared" si="5"/>
        <v>11535.126897339727</v>
      </c>
      <c r="Z9" s="270">
        <f t="shared" si="6"/>
        <v>12700.856661396378</v>
      </c>
      <c r="AA9" s="273">
        <f t="shared" si="7"/>
        <v>4.0620223765347259</v>
      </c>
      <c r="AB9" s="273">
        <f t="shared" si="8"/>
        <v>4.1038330147173765</v>
      </c>
      <c r="AE9" s="430" t="s">
        <v>103</v>
      </c>
      <c r="AF9" s="431"/>
      <c r="AG9" s="431"/>
      <c r="AH9" s="431"/>
      <c r="AI9" s="431"/>
      <c r="AJ9" s="432"/>
    </row>
    <row r="10" spans="1:36" x14ac:dyDescent="0.2">
      <c r="A10" s="35" t="s">
        <v>104</v>
      </c>
      <c r="B10" s="32" t="s">
        <v>94</v>
      </c>
      <c r="C10" s="33" t="s">
        <v>95</v>
      </c>
      <c r="D10" s="32" t="s">
        <v>105</v>
      </c>
      <c r="E10" s="51">
        <f>SUMIFS('PIB-Mpal 2015-2022 Corrient '!H$5:H$1012,'PIB-Mpal 2015-2022 Corrient '!$A$5:$A$1012,$W$2,'PIB-Mpal 2015-2022 Corrient '!$E$5:$E$1012,$A10)</f>
        <v>65.221423463330851</v>
      </c>
      <c r="F10" s="51">
        <f>SUMIFS('PIB-Mpal 2015-2022 Corrient '!I$5:I$1012,'PIB-Mpal 2015-2022 Corrient '!$A$5:$A$1012,$W$2,'PIB-Mpal 2015-2022 Corrient '!$E$5:$E$1012,$A10)</f>
        <v>0</v>
      </c>
      <c r="G10" s="51">
        <f>SUMIFS('PIB-Mpal 2015-2022 Corrient '!K$5:K$1012,'PIB-Mpal 2015-2022 Corrient '!$A$5:$A$1012,$W$2,'PIB-Mpal 2015-2022 Corrient '!$E$5:$E$1012,$A10)</f>
        <v>262.55302622820454</v>
      </c>
      <c r="H10" s="51">
        <f>SUMIFS('PIB-Mpal 2015-2022 Corrient '!L$5:L$1012,'PIB-Mpal 2015-2022 Corrient '!$A$5:$A$1012,$W$2,'PIB-Mpal 2015-2022 Corrient '!$E$5:$E$1012,$A10)</f>
        <v>76.471002798056588</v>
      </c>
      <c r="I10" s="51">
        <f>SUMIFS('PIB-Mpal 2015-2022 Corrient '!N$5:N$1012,'PIB-Mpal 2015-2022 Corrient '!$A$5:$A$1012,$W$2,'PIB-Mpal 2015-2022 Corrient '!$E$5:$E$1012,$A10)</f>
        <v>40.617618909713215</v>
      </c>
      <c r="J10" s="51">
        <f>SUMIFS('PIB-Mpal 2015-2022 Corrient '!O$5:O$1012,'PIB-Mpal 2015-2022 Corrient '!$A$5:$A$1012,$W$2,'PIB-Mpal 2015-2022 Corrient '!$E$5:$E$1012,$A10)</f>
        <v>244.29051667008233</v>
      </c>
      <c r="K10" s="51">
        <f>SUMIFS('PIB-Mpal 2015-2022 Corrient '!P$5:P$1012,'PIB-Mpal 2015-2022 Corrient '!$A$5:$A$1012,$W$2,'PIB-Mpal 2015-2022 Corrient '!$E$5:$E$1012,$A10)</f>
        <v>48.97591046085514</v>
      </c>
      <c r="L10" s="51">
        <f>SUMIFS('PIB-Mpal 2015-2022 Corrient '!Q$5:Q$1012,'PIB-Mpal 2015-2022 Corrient '!$A$5:$A$1012,$W$2,'PIB-Mpal 2015-2022 Corrient '!$E$5:$E$1012,$A10)</f>
        <v>37.27905220755121</v>
      </c>
      <c r="M10" s="51">
        <f>SUMIFS('PIB-Mpal 2015-2022 Corrient '!R$5:R$1012,'PIB-Mpal 2015-2022 Corrient '!$A$5:$A$1012,$W$2,'PIB-Mpal 2015-2022 Corrient '!$E$5:$E$1012,$A10)</f>
        <v>127.80908726471348</v>
      </c>
      <c r="N10" s="51">
        <f>SUMIFS('PIB-Mpal 2015-2022 Corrient '!S$5:S$1012,'PIB-Mpal 2015-2022 Corrient '!$A$5:$A$1012,$W$2,'PIB-Mpal 2015-2022 Corrient '!$E$5:$E$1012,$A10)</f>
        <v>108.36784597149531</v>
      </c>
      <c r="O10" s="51">
        <f>SUMIFS('PIB-Mpal 2015-2022 Corrient '!T$5:T$1012,'PIB-Mpal 2015-2022 Corrient '!$A$5:$A$1012,$W$2,'PIB-Mpal 2015-2022 Corrient '!$E$5:$E$1012,$A10)</f>
        <v>137.43932309210845</v>
      </c>
      <c r="P10" s="150">
        <f>SUMIFS('PIB-Mpal 2015-2022 Corrient '!U$5:U$1012,'PIB-Mpal 2015-2022 Corrient '!$A$5:$A$1012,$W$2,'PIB-Mpal 2015-2022 Corrient '!$E$5:$E$1012,$A10)</f>
        <v>34.913718449759749</v>
      </c>
      <c r="Q10" s="156">
        <f>SUMIFS('PIB-Mpal 2015-2022 Corrient '!J$5:J$1012,'PIB-Mpal 2015-2022 Corrient '!$A$5:$A$1012,$W$2,'PIB-Mpal 2015-2022 Corrient '!$E$5:$E$1012,$A10)</f>
        <v>65.221423463330851</v>
      </c>
      <c r="R10" s="52">
        <f>SUMIFS('PIB-Mpal 2015-2022 Corrient '!M$5:M$1012,'PIB-Mpal 2015-2022 Corrient '!$A$5:$A$1012,$W$2,'PIB-Mpal 2015-2022 Corrient '!$E$5:$E$1012,$A10)</f>
        <v>339.02402902626113</v>
      </c>
      <c r="S10" s="53">
        <f>SUMIFS('PIB-Mpal 2015-2022 Corrient '!V$5:V$1012,'PIB-Mpal 2015-2022 Corrient '!$A$5:$A$1012,$W$2,'PIB-Mpal 2015-2022 Corrient '!$E$5:$E$1012,$A10)</f>
        <v>779.69307302627885</v>
      </c>
      <c r="T10" s="207">
        <f>SUMIFS('PIB-Mpal 2015-2022 Corrient '!W$5:W$1012,'PIB-Mpal 2015-2022 Corrient '!$A$5:$A$1012,$W$2,'PIB-Mpal 2015-2022 Corrient '!$E$5:$E$1012,$A10)</f>
        <v>1183.9385255158709</v>
      </c>
      <c r="U10" s="203">
        <f>SUMIFS('PIB-Mpal 2015-2022 Corrient '!X$5:X$1012,'PIB-Mpal 2015-2022 Corrient '!$A$5:$A$1012,$W$2,'PIB-Mpal 2015-2022 Corrient '!$E$5:$E$1012,$A10)</f>
        <v>119.64778457057882</v>
      </c>
      <c r="V10" s="88">
        <f>SUMIFS('PIB-Mpal 2015-2022 Corrient '!Y$5:Y$1012,'PIB-Mpal 2015-2022 Corrient '!$A$5:$A$1012,$W$2,'PIB-Mpal 2015-2022 Corrient '!$E$5:$E$1012,$A10)</f>
        <v>1303.5863100864497</v>
      </c>
      <c r="W10" s="92">
        <f t="shared" si="3"/>
        <v>8.4891312068192306E-3</v>
      </c>
      <c r="X10" s="268">
        <f>INDEX(POBLACION!$C$4:$W$128,MATCH(A10,POBLACION!$A$4:$A$128,0),MATCH($W$2,POBLACION!$C$3:$W$3,0))</f>
        <v>81658</v>
      </c>
      <c r="Y10" s="258">
        <f t="shared" si="5"/>
        <v>14498.74507722294</v>
      </c>
      <c r="Z10" s="270">
        <f t="shared" si="6"/>
        <v>15963.975484171173</v>
      </c>
      <c r="AA10" s="273">
        <f t="shared" si="7"/>
        <v>4.1613304139851257</v>
      </c>
      <c r="AB10" s="273">
        <f t="shared" si="8"/>
        <v>4.2031410521677763</v>
      </c>
      <c r="AE10" s="433" t="s">
        <v>66</v>
      </c>
      <c r="AF10" s="434"/>
      <c r="AG10" s="434"/>
      <c r="AH10" s="434"/>
      <c r="AI10" s="434"/>
      <c r="AJ10" s="435"/>
    </row>
    <row r="11" spans="1:36" x14ac:dyDescent="0.2">
      <c r="A11" s="35" t="s">
        <v>106</v>
      </c>
      <c r="B11" s="32" t="s">
        <v>94</v>
      </c>
      <c r="C11" s="33" t="s">
        <v>95</v>
      </c>
      <c r="D11" s="32" t="s">
        <v>107</v>
      </c>
      <c r="E11" s="51">
        <f>SUMIFS('PIB-Mpal 2015-2022 Corrient '!H$5:H$1012,'PIB-Mpal 2015-2022 Corrient '!$A$5:$A$1012,$W$2,'PIB-Mpal 2015-2022 Corrient '!$E$5:$E$1012,$A11)</f>
        <v>10.114863648397614</v>
      </c>
      <c r="F11" s="51">
        <f>SUMIFS('PIB-Mpal 2015-2022 Corrient '!I$5:I$1012,'PIB-Mpal 2015-2022 Corrient '!$A$5:$A$1012,$W$2,'PIB-Mpal 2015-2022 Corrient '!$E$5:$E$1012,$A11)</f>
        <v>0.12092897821590398</v>
      </c>
      <c r="G11" s="51">
        <f>SUMIFS('PIB-Mpal 2015-2022 Corrient '!K$5:K$1012,'PIB-Mpal 2015-2022 Corrient '!$A$5:$A$1012,$W$2,'PIB-Mpal 2015-2022 Corrient '!$E$5:$E$1012,$A11)</f>
        <v>412.11604242492177</v>
      </c>
      <c r="H11" s="51">
        <f>SUMIFS('PIB-Mpal 2015-2022 Corrient '!L$5:L$1012,'PIB-Mpal 2015-2022 Corrient '!$A$5:$A$1012,$W$2,'PIB-Mpal 2015-2022 Corrient '!$E$5:$E$1012,$A11)</f>
        <v>165.3794951495866</v>
      </c>
      <c r="I11" s="51">
        <f>SUMIFS('PIB-Mpal 2015-2022 Corrient '!N$5:N$1012,'PIB-Mpal 2015-2022 Corrient '!$A$5:$A$1012,$W$2,'PIB-Mpal 2015-2022 Corrient '!$E$5:$E$1012,$A11)</f>
        <v>52.146455883452539</v>
      </c>
      <c r="J11" s="51">
        <f>SUMIFS('PIB-Mpal 2015-2022 Corrient '!O$5:O$1012,'PIB-Mpal 2015-2022 Corrient '!$A$5:$A$1012,$W$2,'PIB-Mpal 2015-2022 Corrient '!$E$5:$E$1012,$A11)</f>
        <v>249.99130051434213</v>
      </c>
      <c r="K11" s="51">
        <f>SUMIFS('PIB-Mpal 2015-2022 Corrient '!P$5:P$1012,'PIB-Mpal 2015-2022 Corrient '!$A$5:$A$1012,$W$2,'PIB-Mpal 2015-2022 Corrient '!$E$5:$E$1012,$A11)</f>
        <v>52.499780563889004</v>
      </c>
      <c r="L11" s="51">
        <f>SUMIFS('PIB-Mpal 2015-2022 Corrient '!Q$5:Q$1012,'PIB-Mpal 2015-2022 Corrient '!$A$5:$A$1012,$W$2,'PIB-Mpal 2015-2022 Corrient '!$E$5:$E$1012,$A11)</f>
        <v>30.459109931225989</v>
      </c>
      <c r="M11" s="51">
        <f>SUMIFS('PIB-Mpal 2015-2022 Corrient '!R$5:R$1012,'PIB-Mpal 2015-2022 Corrient '!$A$5:$A$1012,$W$2,'PIB-Mpal 2015-2022 Corrient '!$E$5:$E$1012,$A11)</f>
        <v>150.60507114590465</v>
      </c>
      <c r="N11" s="51">
        <f>SUMIFS('PIB-Mpal 2015-2022 Corrient '!S$5:S$1012,'PIB-Mpal 2015-2022 Corrient '!$A$5:$A$1012,$W$2,'PIB-Mpal 2015-2022 Corrient '!$E$5:$E$1012,$A11)</f>
        <v>114.80496399711535</v>
      </c>
      <c r="O11" s="51">
        <f>SUMIFS('PIB-Mpal 2015-2022 Corrient '!T$5:T$1012,'PIB-Mpal 2015-2022 Corrient '!$A$5:$A$1012,$W$2,'PIB-Mpal 2015-2022 Corrient '!$E$5:$E$1012,$A11)</f>
        <v>101.13064472754276</v>
      </c>
      <c r="P11" s="150">
        <f>SUMIFS('PIB-Mpal 2015-2022 Corrient '!U$5:U$1012,'PIB-Mpal 2015-2022 Corrient '!$A$5:$A$1012,$W$2,'PIB-Mpal 2015-2022 Corrient '!$E$5:$E$1012,$A11)</f>
        <v>40.654311621864764</v>
      </c>
      <c r="Q11" s="156">
        <f>SUMIFS('PIB-Mpal 2015-2022 Corrient '!J$5:J$1012,'PIB-Mpal 2015-2022 Corrient '!$A$5:$A$1012,$W$2,'PIB-Mpal 2015-2022 Corrient '!$E$5:$E$1012,$A11)</f>
        <v>10.235792626613518</v>
      </c>
      <c r="R11" s="52">
        <f>SUMIFS('PIB-Mpal 2015-2022 Corrient '!M$5:M$1012,'PIB-Mpal 2015-2022 Corrient '!$A$5:$A$1012,$W$2,'PIB-Mpal 2015-2022 Corrient '!$E$5:$E$1012,$A11)</f>
        <v>577.49553757450838</v>
      </c>
      <c r="S11" s="53">
        <f>SUMIFS('PIB-Mpal 2015-2022 Corrient '!V$5:V$1012,'PIB-Mpal 2015-2022 Corrient '!$A$5:$A$1012,$W$2,'PIB-Mpal 2015-2022 Corrient '!$E$5:$E$1012,$A11)</f>
        <v>792.29163838533714</v>
      </c>
      <c r="T11" s="207">
        <f>SUMIFS('PIB-Mpal 2015-2022 Corrient '!W$5:W$1012,'PIB-Mpal 2015-2022 Corrient '!$A$5:$A$1012,$W$2,'PIB-Mpal 2015-2022 Corrient '!$E$5:$E$1012,$A11)</f>
        <v>1380.0229685864592</v>
      </c>
      <c r="U11" s="203">
        <f>SUMIFS('PIB-Mpal 2015-2022 Corrient '!X$5:X$1012,'PIB-Mpal 2015-2022 Corrient '!$A$5:$A$1012,$W$2,'PIB-Mpal 2015-2022 Corrient '!$E$5:$E$1012,$A11)</f>
        <v>139.46390567528664</v>
      </c>
      <c r="V11" s="88">
        <f>SUMIFS('PIB-Mpal 2015-2022 Corrient '!Y$5:Y$1012,'PIB-Mpal 2015-2022 Corrient '!$A$5:$A$1012,$W$2,'PIB-Mpal 2015-2022 Corrient '!$E$5:$E$1012,$A11)</f>
        <v>1519.4868742617459</v>
      </c>
      <c r="W11" s="92">
        <f t="shared" si="3"/>
        <v>9.8951050213101494E-3</v>
      </c>
      <c r="X11" s="268">
        <f>INDEX(POBLACION!$C$4:$W$128,MATCH(A11,POBLACION!$A$4:$A$128,0),MATCH($W$2,POBLACION!$C$3:$W$3,0))</f>
        <v>80000</v>
      </c>
      <c r="Y11" s="258">
        <f t="shared" si="5"/>
        <v>17250.28710733074</v>
      </c>
      <c r="Z11" s="270">
        <f t="shared" si="6"/>
        <v>18993.585928271823</v>
      </c>
      <c r="AA11" s="273">
        <f t="shared" si="7"/>
        <v>4.2367963277044707</v>
      </c>
      <c r="AB11" s="273">
        <f t="shared" si="8"/>
        <v>4.2786069658871204</v>
      </c>
      <c r="AE11" s="427" t="s">
        <v>108</v>
      </c>
      <c r="AF11" s="428"/>
      <c r="AG11" s="428"/>
      <c r="AH11" s="428"/>
      <c r="AI11" s="428"/>
      <c r="AJ11" s="429"/>
    </row>
    <row r="12" spans="1:36" x14ac:dyDescent="0.2">
      <c r="A12" s="35" t="s">
        <v>109</v>
      </c>
      <c r="B12" s="32" t="s">
        <v>94</v>
      </c>
      <c r="C12" s="33" t="s">
        <v>95</v>
      </c>
      <c r="D12" s="32" t="s">
        <v>110</v>
      </c>
      <c r="E12" s="51">
        <f>SUMIFS('PIB-Mpal 2015-2022 Corrient '!H$5:H$1012,'PIB-Mpal 2015-2022 Corrient '!$A$5:$A$1012,$W$2,'PIB-Mpal 2015-2022 Corrient '!$E$5:$E$1012,$A12)</f>
        <v>19.17738980485084</v>
      </c>
      <c r="F12" s="51">
        <f>SUMIFS('PIB-Mpal 2015-2022 Corrient '!I$5:I$1012,'PIB-Mpal 2015-2022 Corrient '!$A$5:$A$1012,$W$2,'PIB-Mpal 2015-2022 Corrient '!$E$5:$E$1012,$A12)</f>
        <v>0</v>
      </c>
      <c r="G12" s="51">
        <f>SUMIFS('PIB-Mpal 2015-2022 Corrient '!K$5:K$1012,'PIB-Mpal 2015-2022 Corrient '!$A$5:$A$1012,$W$2,'PIB-Mpal 2015-2022 Corrient '!$E$5:$E$1012,$A12)</f>
        <v>2111.7556215173895</v>
      </c>
      <c r="H12" s="51">
        <f>SUMIFS('PIB-Mpal 2015-2022 Corrient '!L$5:L$1012,'PIB-Mpal 2015-2022 Corrient '!$A$5:$A$1012,$W$2,'PIB-Mpal 2015-2022 Corrient '!$E$5:$E$1012,$A12)</f>
        <v>586.36593190156509</v>
      </c>
      <c r="I12" s="51">
        <f>SUMIFS('PIB-Mpal 2015-2022 Corrient '!N$5:N$1012,'PIB-Mpal 2015-2022 Corrient '!$A$5:$A$1012,$W$2,'PIB-Mpal 2015-2022 Corrient '!$E$5:$E$1012,$A12)</f>
        <v>371.66603857867847</v>
      </c>
      <c r="J12" s="51">
        <f>SUMIFS('PIB-Mpal 2015-2022 Corrient '!O$5:O$1012,'PIB-Mpal 2015-2022 Corrient '!$A$5:$A$1012,$W$2,'PIB-Mpal 2015-2022 Corrient '!$E$5:$E$1012,$A12)</f>
        <v>1724.8721949890689</v>
      </c>
      <c r="K12" s="51">
        <f>SUMIFS('PIB-Mpal 2015-2022 Corrient '!P$5:P$1012,'PIB-Mpal 2015-2022 Corrient '!$A$5:$A$1012,$W$2,'PIB-Mpal 2015-2022 Corrient '!$E$5:$E$1012,$A12)</f>
        <v>323.2337333992408</v>
      </c>
      <c r="L12" s="51">
        <f>SUMIFS('PIB-Mpal 2015-2022 Corrient '!Q$5:Q$1012,'PIB-Mpal 2015-2022 Corrient '!$A$5:$A$1012,$W$2,'PIB-Mpal 2015-2022 Corrient '!$E$5:$E$1012,$A12)</f>
        <v>437.11450422183242</v>
      </c>
      <c r="M12" s="51">
        <f>SUMIFS('PIB-Mpal 2015-2022 Corrient '!R$5:R$1012,'PIB-Mpal 2015-2022 Corrient '!$A$5:$A$1012,$W$2,'PIB-Mpal 2015-2022 Corrient '!$E$5:$E$1012,$A12)</f>
        <v>1282.2303216814062</v>
      </c>
      <c r="N12" s="51">
        <f>SUMIFS('PIB-Mpal 2015-2022 Corrient '!S$5:S$1012,'PIB-Mpal 2015-2022 Corrient '!$A$5:$A$1012,$W$2,'PIB-Mpal 2015-2022 Corrient '!$E$5:$E$1012,$A12)</f>
        <v>1039.2970460749434</v>
      </c>
      <c r="O12" s="51">
        <f>SUMIFS('PIB-Mpal 2015-2022 Corrient '!T$5:T$1012,'PIB-Mpal 2015-2022 Corrient '!$A$5:$A$1012,$W$2,'PIB-Mpal 2015-2022 Corrient '!$E$5:$E$1012,$A12)</f>
        <v>1034.944386412423</v>
      </c>
      <c r="P12" s="150">
        <f>SUMIFS('PIB-Mpal 2015-2022 Corrient '!U$5:U$1012,'PIB-Mpal 2015-2022 Corrient '!$A$5:$A$1012,$W$2,'PIB-Mpal 2015-2022 Corrient '!$E$5:$E$1012,$A12)</f>
        <v>298.50785164682418</v>
      </c>
      <c r="Q12" s="156">
        <f>SUMIFS('PIB-Mpal 2015-2022 Corrient '!J$5:J$1012,'PIB-Mpal 2015-2022 Corrient '!$A$5:$A$1012,$W$2,'PIB-Mpal 2015-2022 Corrient '!$E$5:$E$1012,$A12)</f>
        <v>19.17738980485084</v>
      </c>
      <c r="R12" s="52">
        <f>SUMIFS('PIB-Mpal 2015-2022 Corrient '!M$5:M$1012,'PIB-Mpal 2015-2022 Corrient '!$A$5:$A$1012,$W$2,'PIB-Mpal 2015-2022 Corrient '!$E$5:$E$1012,$A12)</f>
        <v>2698.1215534189546</v>
      </c>
      <c r="S12" s="53">
        <f>SUMIFS('PIB-Mpal 2015-2022 Corrient '!V$5:V$1012,'PIB-Mpal 2015-2022 Corrient '!$A$5:$A$1012,$W$2,'PIB-Mpal 2015-2022 Corrient '!$E$5:$E$1012,$A12)</f>
        <v>6511.866077004418</v>
      </c>
      <c r="T12" s="207">
        <f>SUMIFS('PIB-Mpal 2015-2022 Corrient '!W$5:W$1012,'PIB-Mpal 2015-2022 Corrient '!$A$5:$A$1012,$W$2,'PIB-Mpal 2015-2022 Corrient '!$E$5:$E$1012,$A12)</f>
        <v>9229.1650202282235</v>
      </c>
      <c r="U12" s="203">
        <f>SUMIFS('PIB-Mpal 2015-2022 Corrient '!X$5:X$1012,'PIB-Mpal 2015-2022 Corrient '!$A$5:$A$1012,$W$2,'PIB-Mpal 2015-2022 Corrient '!$E$5:$E$1012,$A12)</f>
        <v>932.69128785672376</v>
      </c>
      <c r="V12" s="88">
        <f>SUMIFS('PIB-Mpal 2015-2022 Corrient '!Y$5:Y$1012,'PIB-Mpal 2015-2022 Corrient '!$A$5:$A$1012,$W$2,'PIB-Mpal 2015-2022 Corrient '!$E$5:$E$1012,$A12)</f>
        <v>10161.856308084947</v>
      </c>
      <c r="W12" s="92">
        <f t="shared" si="3"/>
        <v>6.6175389260152595E-2</v>
      </c>
      <c r="X12" s="268">
        <f>INDEX(POBLACION!$C$4:$W$128,MATCH(A12,POBLACION!$A$4:$A$128,0),MATCH($W$2,POBLACION!$C$3:$W$3,0))</f>
        <v>236114</v>
      </c>
      <c r="Y12" s="258">
        <f t="shared" si="5"/>
        <v>39087.75007084808</v>
      </c>
      <c r="Z12" s="270">
        <f t="shared" si="6"/>
        <v>43037.923664352587</v>
      </c>
      <c r="AA12" s="273">
        <f t="shared" si="7"/>
        <v>4.5920406727362346</v>
      </c>
      <c r="AB12" s="273">
        <f t="shared" si="8"/>
        <v>4.6338513109188844</v>
      </c>
      <c r="AE12" s="430" t="s">
        <v>111</v>
      </c>
      <c r="AF12" s="431"/>
      <c r="AG12" s="431"/>
      <c r="AH12" s="431"/>
      <c r="AI12" s="431"/>
      <c r="AJ12" s="432"/>
    </row>
    <row r="13" spans="1:36" x14ac:dyDescent="0.2">
      <c r="A13" s="35" t="s">
        <v>112</v>
      </c>
      <c r="B13" s="32" t="s">
        <v>94</v>
      </c>
      <c r="C13" s="33" t="s">
        <v>95</v>
      </c>
      <c r="D13" s="32" t="s">
        <v>113</v>
      </c>
      <c r="E13" s="51">
        <f>SUMIFS('PIB-Mpal 2015-2022 Corrient '!H$5:H$1012,'PIB-Mpal 2015-2022 Corrient '!$A$5:$A$1012,$W$2,'PIB-Mpal 2015-2022 Corrient '!$E$5:$E$1012,$A13)</f>
        <v>57.517625377547859</v>
      </c>
      <c r="F13" s="51">
        <f>SUMIFS('PIB-Mpal 2015-2022 Corrient '!I$5:I$1012,'PIB-Mpal 2015-2022 Corrient '!$A$5:$A$1012,$W$2,'PIB-Mpal 2015-2022 Corrient '!$E$5:$E$1012,$A13)</f>
        <v>46.450931357638638</v>
      </c>
      <c r="G13" s="51">
        <f>SUMIFS('PIB-Mpal 2015-2022 Corrient '!K$5:K$1012,'PIB-Mpal 2015-2022 Corrient '!$A$5:$A$1012,$W$2,'PIB-Mpal 2015-2022 Corrient '!$E$5:$E$1012,$A13)</f>
        <v>1267.2729989969073</v>
      </c>
      <c r="H13" s="51">
        <f>SUMIFS('PIB-Mpal 2015-2022 Corrient '!L$5:L$1012,'PIB-Mpal 2015-2022 Corrient '!$A$5:$A$1012,$W$2,'PIB-Mpal 2015-2022 Corrient '!$E$5:$E$1012,$A13)</f>
        <v>200.54086610404693</v>
      </c>
      <c r="I13" s="51">
        <f>SUMIFS('PIB-Mpal 2015-2022 Corrient '!N$5:N$1012,'PIB-Mpal 2015-2022 Corrient '!$A$5:$A$1012,$W$2,'PIB-Mpal 2015-2022 Corrient '!$E$5:$E$1012,$A13)</f>
        <v>63.030287952713621</v>
      </c>
      <c r="J13" s="51">
        <f>SUMIFS('PIB-Mpal 2015-2022 Corrient '!O$5:O$1012,'PIB-Mpal 2015-2022 Corrient '!$A$5:$A$1012,$W$2,'PIB-Mpal 2015-2022 Corrient '!$E$5:$E$1012,$A13)</f>
        <v>220.183860009928</v>
      </c>
      <c r="K13" s="51">
        <f>SUMIFS('PIB-Mpal 2015-2022 Corrient '!P$5:P$1012,'PIB-Mpal 2015-2022 Corrient '!$A$5:$A$1012,$W$2,'PIB-Mpal 2015-2022 Corrient '!$E$5:$E$1012,$A13)</f>
        <v>29.58570070755567</v>
      </c>
      <c r="L13" s="51">
        <f>SUMIFS('PIB-Mpal 2015-2022 Corrient '!Q$5:Q$1012,'PIB-Mpal 2015-2022 Corrient '!$A$5:$A$1012,$W$2,'PIB-Mpal 2015-2022 Corrient '!$E$5:$E$1012,$A13)</f>
        <v>19.492200137731121</v>
      </c>
      <c r="M13" s="51">
        <f>SUMIFS('PIB-Mpal 2015-2022 Corrient '!R$5:R$1012,'PIB-Mpal 2015-2022 Corrient '!$A$5:$A$1012,$W$2,'PIB-Mpal 2015-2022 Corrient '!$E$5:$E$1012,$A13)</f>
        <v>88.402780754888283</v>
      </c>
      <c r="N13" s="51">
        <f>SUMIFS('PIB-Mpal 2015-2022 Corrient '!S$5:S$1012,'PIB-Mpal 2015-2022 Corrient '!$A$5:$A$1012,$W$2,'PIB-Mpal 2015-2022 Corrient '!$E$5:$E$1012,$A13)</f>
        <v>165.66758994609353</v>
      </c>
      <c r="O13" s="51">
        <f>SUMIFS('PIB-Mpal 2015-2022 Corrient '!T$5:T$1012,'PIB-Mpal 2015-2022 Corrient '!$A$5:$A$1012,$W$2,'PIB-Mpal 2015-2022 Corrient '!$E$5:$E$1012,$A13)</f>
        <v>101.09505635069152</v>
      </c>
      <c r="P13" s="150">
        <f>SUMIFS('PIB-Mpal 2015-2022 Corrient '!U$5:U$1012,'PIB-Mpal 2015-2022 Corrient '!$A$5:$A$1012,$W$2,'PIB-Mpal 2015-2022 Corrient '!$E$5:$E$1012,$A13)</f>
        <v>25.538342693478338</v>
      </c>
      <c r="Q13" s="156">
        <f>SUMIFS('PIB-Mpal 2015-2022 Corrient '!J$5:J$1012,'PIB-Mpal 2015-2022 Corrient '!$A$5:$A$1012,$W$2,'PIB-Mpal 2015-2022 Corrient '!$E$5:$E$1012,$A13)</f>
        <v>103.9685567351865</v>
      </c>
      <c r="R13" s="52">
        <f>SUMIFS('PIB-Mpal 2015-2022 Corrient '!M$5:M$1012,'PIB-Mpal 2015-2022 Corrient '!$A$5:$A$1012,$W$2,'PIB-Mpal 2015-2022 Corrient '!$E$5:$E$1012,$A13)</f>
        <v>1467.8138651009542</v>
      </c>
      <c r="S13" s="53">
        <f>SUMIFS('PIB-Mpal 2015-2022 Corrient '!V$5:V$1012,'PIB-Mpal 2015-2022 Corrient '!$A$5:$A$1012,$W$2,'PIB-Mpal 2015-2022 Corrient '!$E$5:$E$1012,$A13)</f>
        <v>712.99581855307997</v>
      </c>
      <c r="T13" s="207">
        <f>SUMIFS('PIB-Mpal 2015-2022 Corrient '!W$5:W$1012,'PIB-Mpal 2015-2022 Corrient '!$A$5:$A$1012,$W$2,'PIB-Mpal 2015-2022 Corrient '!$E$5:$E$1012,$A13)</f>
        <v>2284.7782403892211</v>
      </c>
      <c r="U13" s="203">
        <f>SUMIFS('PIB-Mpal 2015-2022 Corrient '!X$5:X$1012,'PIB-Mpal 2015-2022 Corrient '!$A$5:$A$1012,$W$2,'PIB-Mpal 2015-2022 Corrient '!$E$5:$E$1012,$A13)</f>
        <v>230.89767653140794</v>
      </c>
      <c r="V13" s="88">
        <f>SUMIFS('PIB-Mpal 2015-2022 Corrient '!Y$5:Y$1012,'PIB-Mpal 2015-2022 Corrient '!$A$5:$A$1012,$W$2,'PIB-Mpal 2015-2022 Corrient '!$E$5:$E$1012,$A13)</f>
        <v>2515.6759169206289</v>
      </c>
      <c r="W13" s="92">
        <f t="shared" si="3"/>
        <v>1.6382423447787082E-2</v>
      </c>
      <c r="X13" s="268">
        <f>INDEX(POBLACION!$C$4:$W$128,MATCH(A13,POBLACION!$A$4:$A$128,0),MATCH($W$2,POBLACION!$C$3:$W$3,0))</f>
        <v>53162</v>
      </c>
      <c r="Y13" s="258">
        <f t="shared" si="5"/>
        <v>42977.657732764397</v>
      </c>
      <c r="Z13" s="270">
        <f t="shared" si="6"/>
        <v>47320.941968335072</v>
      </c>
      <c r="AA13" s="273">
        <f t="shared" si="7"/>
        <v>4.633242742903807</v>
      </c>
      <c r="AB13" s="273">
        <f t="shared" si="8"/>
        <v>4.6750533810864576</v>
      </c>
      <c r="AE13" s="430" t="s">
        <v>114</v>
      </c>
      <c r="AF13" s="431"/>
      <c r="AG13" s="431"/>
      <c r="AH13" s="431"/>
      <c r="AI13" s="431"/>
      <c r="AJ13" s="432"/>
    </row>
    <row r="14" spans="1:36" x14ac:dyDescent="0.2">
      <c r="A14" s="35" t="s">
        <v>115</v>
      </c>
      <c r="B14" s="32" t="s">
        <v>94</v>
      </c>
      <c r="C14" s="33" t="s">
        <v>95</v>
      </c>
      <c r="D14" s="32" t="s">
        <v>116</v>
      </c>
      <c r="E14" s="51">
        <f>SUMIFS('PIB-Mpal 2015-2022 Corrient '!H$5:H$1012,'PIB-Mpal 2015-2022 Corrient '!$A$5:$A$1012,$W$2,'PIB-Mpal 2015-2022 Corrient '!$E$5:$E$1012,$A14)</f>
        <v>0.28967670625915143</v>
      </c>
      <c r="F14" s="51">
        <f>SUMIFS('PIB-Mpal 2015-2022 Corrient '!I$5:I$1012,'PIB-Mpal 2015-2022 Corrient '!$A$5:$A$1012,$W$2,'PIB-Mpal 2015-2022 Corrient '!$E$5:$E$1012,$A14)</f>
        <v>0.28726645847539323</v>
      </c>
      <c r="G14" s="51">
        <f>SUMIFS('PIB-Mpal 2015-2022 Corrient '!K$5:K$1012,'PIB-Mpal 2015-2022 Corrient '!$A$5:$A$1012,$W$2,'PIB-Mpal 2015-2022 Corrient '!$E$5:$E$1012,$A14)</f>
        <v>2535.0013243432272</v>
      </c>
      <c r="H14" s="51">
        <f>SUMIFS('PIB-Mpal 2015-2022 Corrient '!L$5:L$1012,'PIB-Mpal 2015-2022 Corrient '!$A$5:$A$1012,$W$2,'PIB-Mpal 2015-2022 Corrient '!$E$5:$E$1012,$A14)</f>
        <v>630.62727142427912</v>
      </c>
      <c r="I14" s="51">
        <f>SUMIFS('PIB-Mpal 2015-2022 Corrient '!N$5:N$1012,'PIB-Mpal 2015-2022 Corrient '!$A$5:$A$1012,$W$2,'PIB-Mpal 2015-2022 Corrient '!$E$5:$E$1012,$A14)</f>
        <v>359.46392288953115</v>
      </c>
      <c r="J14" s="51">
        <f>SUMIFS('PIB-Mpal 2015-2022 Corrient '!O$5:O$1012,'PIB-Mpal 2015-2022 Corrient '!$A$5:$A$1012,$W$2,'PIB-Mpal 2015-2022 Corrient '!$E$5:$E$1012,$A14)</f>
        <v>1685.997159532561</v>
      </c>
      <c r="K14" s="51">
        <f>SUMIFS('PIB-Mpal 2015-2022 Corrient '!P$5:P$1012,'PIB-Mpal 2015-2022 Corrient '!$A$5:$A$1012,$W$2,'PIB-Mpal 2015-2022 Corrient '!$E$5:$E$1012,$A14)</f>
        <v>270.18830332329514</v>
      </c>
      <c r="L14" s="51">
        <f>SUMIFS('PIB-Mpal 2015-2022 Corrient '!Q$5:Q$1012,'PIB-Mpal 2015-2022 Corrient '!$A$5:$A$1012,$W$2,'PIB-Mpal 2015-2022 Corrient '!$E$5:$E$1012,$A14)</f>
        <v>268.32345805215584</v>
      </c>
      <c r="M14" s="51">
        <f>SUMIFS('PIB-Mpal 2015-2022 Corrient '!R$5:R$1012,'PIB-Mpal 2015-2022 Corrient '!$A$5:$A$1012,$W$2,'PIB-Mpal 2015-2022 Corrient '!$E$5:$E$1012,$A14)</f>
        <v>750.04984569512692</v>
      </c>
      <c r="N14" s="51">
        <f>SUMIFS('PIB-Mpal 2015-2022 Corrient '!S$5:S$1012,'PIB-Mpal 2015-2022 Corrient '!$A$5:$A$1012,$W$2,'PIB-Mpal 2015-2022 Corrient '!$E$5:$E$1012,$A14)</f>
        <v>807.18368854803566</v>
      </c>
      <c r="O14" s="51">
        <f>SUMIFS('PIB-Mpal 2015-2022 Corrient '!T$5:T$1012,'PIB-Mpal 2015-2022 Corrient '!$A$5:$A$1012,$W$2,'PIB-Mpal 2015-2022 Corrient '!$E$5:$E$1012,$A14)</f>
        <v>690.12367440472281</v>
      </c>
      <c r="P14" s="150">
        <f>SUMIFS('PIB-Mpal 2015-2022 Corrient '!U$5:U$1012,'PIB-Mpal 2015-2022 Corrient '!$A$5:$A$1012,$W$2,'PIB-Mpal 2015-2022 Corrient '!$E$5:$E$1012,$A14)</f>
        <v>230.38861570141174</v>
      </c>
      <c r="Q14" s="156">
        <f>SUMIFS('PIB-Mpal 2015-2022 Corrient '!J$5:J$1012,'PIB-Mpal 2015-2022 Corrient '!$A$5:$A$1012,$W$2,'PIB-Mpal 2015-2022 Corrient '!$E$5:$E$1012,$A14)</f>
        <v>0.57694316473454466</v>
      </c>
      <c r="R14" s="52">
        <f>SUMIFS('PIB-Mpal 2015-2022 Corrient '!M$5:M$1012,'PIB-Mpal 2015-2022 Corrient '!$A$5:$A$1012,$W$2,'PIB-Mpal 2015-2022 Corrient '!$E$5:$E$1012,$A14)</f>
        <v>3165.6285957675063</v>
      </c>
      <c r="S14" s="53">
        <f>SUMIFS('PIB-Mpal 2015-2022 Corrient '!V$5:V$1012,'PIB-Mpal 2015-2022 Corrient '!$A$5:$A$1012,$W$2,'PIB-Mpal 2015-2022 Corrient '!$E$5:$E$1012,$A14)</f>
        <v>5061.7186681468411</v>
      </c>
      <c r="T14" s="207">
        <f>SUMIFS('PIB-Mpal 2015-2022 Corrient '!W$5:W$1012,'PIB-Mpal 2015-2022 Corrient '!$A$5:$A$1012,$W$2,'PIB-Mpal 2015-2022 Corrient '!$E$5:$E$1012,$A14)</f>
        <v>8227.9242070790824</v>
      </c>
      <c r="U14" s="203">
        <f>SUMIFS('PIB-Mpal 2015-2022 Corrient '!X$5:X$1012,'PIB-Mpal 2015-2022 Corrient '!$A$5:$A$1012,$W$2,'PIB-Mpal 2015-2022 Corrient '!$E$5:$E$1012,$A14)</f>
        <v>831.50677317700968</v>
      </c>
      <c r="V14" s="88">
        <f>SUMIFS('PIB-Mpal 2015-2022 Corrient '!Y$5:Y$1012,'PIB-Mpal 2015-2022 Corrient '!$A$5:$A$1012,$W$2,'PIB-Mpal 2015-2022 Corrient '!$E$5:$E$1012,$A14)</f>
        <v>9059.4309802560929</v>
      </c>
      <c r="W14" s="92">
        <f t="shared" si="3"/>
        <v>5.899624570728787E-2</v>
      </c>
      <c r="X14" s="268">
        <f>INDEX(POBLACION!$C$4:$W$128,MATCH(A14,POBLACION!$A$4:$A$128,0),MATCH($W$2,POBLACION!$C$3:$W$3,0))</f>
        <v>283794</v>
      </c>
      <c r="Y14" s="258">
        <f t="shared" si="5"/>
        <v>28992.593948706042</v>
      </c>
      <c r="Z14" s="270">
        <f t="shared" si="6"/>
        <v>31922.559956363042</v>
      </c>
      <c r="AA14" s="273">
        <f t="shared" si="7"/>
        <v>4.4622870731408746</v>
      </c>
      <c r="AB14" s="273">
        <f t="shared" si="8"/>
        <v>4.5040977113235252</v>
      </c>
      <c r="AE14" s="430" t="s">
        <v>117</v>
      </c>
      <c r="AF14" s="431"/>
      <c r="AG14" s="431"/>
      <c r="AH14" s="431"/>
      <c r="AI14" s="431"/>
      <c r="AJ14" s="432"/>
    </row>
    <row r="15" spans="1:36" x14ac:dyDescent="0.2">
      <c r="A15" s="35" t="s">
        <v>118</v>
      </c>
      <c r="B15" s="32" t="s">
        <v>94</v>
      </c>
      <c r="C15" s="33" t="s">
        <v>95</v>
      </c>
      <c r="D15" s="32" t="s">
        <v>119</v>
      </c>
      <c r="E15" s="51">
        <f>SUMIFS('PIB-Mpal 2015-2022 Corrient '!H$5:H$1012,'PIB-Mpal 2015-2022 Corrient '!$A$5:$A$1012,$W$2,'PIB-Mpal 2015-2022 Corrient '!$E$5:$E$1012,$A15)</f>
        <v>6.94513152937163</v>
      </c>
      <c r="F15" s="51">
        <f>SUMIFS('PIB-Mpal 2015-2022 Corrient '!I$5:I$1012,'PIB-Mpal 2015-2022 Corrient '!$A$5:$A$1012,$W$2,'PIB-Mpal 2015-2022 Corrient '!$E$5:$E$1012,$A15)</f>
        <v>0</v>
      </c>
      <c r="G15" s="51">
        <f>SUMIFS('PIB-Mpal 2015-2022 Corrient '!K$5:K$1012,'PIB-Mpal 2015-2022 Corrient '!$A$5:$A$1012,$W$2,'PIB-Mpal 2015-2022 Corrient '!$E$5:$E$1012,$A15)</f>
        <v>858.61339396158007</v>
      </c>
      <c r="H15" s="51">
        <f>SUMIFS('PIB-Mpal 2015-2022 Corrient '!L$5:L$1012,'PIB-Mpal 2015-2022 Corrient '!$A$5:$A$1012,$W$2,'PIB-Mpal 2015-2022 Corrient '!$E$5:$E$1012,$A15)</f>
        <v>177.21964383239458</v>
      </c>
      <c r="I15" s="51">
        <f>SUMIFS('PIB-Mpal 2015-2022 Corrient '!N$5:N$1012,'PIB-Mpal 2015-2022 Corrient '!$A$5:$A$1012,$W$2,'PIB-Mpal 2015-2022 Corrient '!$E$5:$E$1012,$A15)</f>
        <v>84.743604049353806</v>
      </c>
      <c r="J15" s="51">
        <f>SUMIFS('PIB-Mpal 2015-2022 Corrient '!O$5:O$1012,'PIB-Mpal 2015-2022 Corrient '!$A$5:$A$1012,$W$2,'PIB-Mpal 2015-2022 Corrient '!$E$5:$E$1012,$A15)</f>
        <v>259.59899345869769</v>
      </c>
      <c r="K15" s="51">
        <f>SUMIFS('PIB-Mpal 2015-2022 Corrient '!P$5:P$1012,'PIB-Mpal 2015-2022 Corrient '!$A$5:$A$1012,$W$2,'PIB-Mpal 2015-2022 Corrient '!$E$5:$E$1012,$A15)</f>
        <v>60.972988620528696</v>
      </c>
      <c r="L15" s="51">
        <f>SUMIFS('PIB-Mpal 2015-2022 Corrient '!Q$5:Q$1012,'PIB-Mpal 2015-2022 Corrient '!$A$5:$A$1012,$W$2,'PIB-Mpal 2015-2022 Corrient '!$E$5:$E$1012,$A15)</f>
        <v>30.423979002082234</v>
      </c>
      <c r="M15" s="51">
        <f>SUMIFS('PIB-Mpal 2015-2022 Corrient '!R$5:R$1012,'PIB-Mpal 2015-2022 Corrient '!$A$5:$A$1012,$W$2,'PIB-Mpal 2015-2022 Corrient '!$E$5:$E$1012,$A15)</f>
        <v>163.9291419228023</v>
      </c>
      <c r="N15" s="51">
        <f>SUMIFS('PIB-Mpal 2015-2022 Corrient '!S$5:S$1012,'PIB-Mpal 2015-2022 Corrient '!$A$5:$A$1012,$W$2,'PIB-Mpal 2015-2022 Corrient '!$E$5:$E$1012,$A15)</f>
        <v>170.91700843158864</v>
      </c>
      <c r="O15" s="51">
        <f>SUMIFS('PIB-Mpal 2015-2022 Corrient '!T$5:T$1012,'PIB-Mpal 2015-2022 Corrient '!$A$5:$A$1012,$W$2,'PIB-Mpal 2015-2022 Corrient '!$E$5:$E$1012,$A15)</f>
        <v>115.40729182835058</v>
      </c>
      <c r="P15" s="150">
        <f>SUMIFS('PIB-Mpal 2015-2022 Corrient '!U$5:U$1012,'PIB-Mpal 2015-2022 Corrient '!$A$5:$A$1012,$W$2,'PIB-Mpal 2015-2022 Corrient '!$E$5:$E$1012,$A15)</f>
        <v>39.896097406397608</v>
      </c>
      <c r="Q15" s="156">
        <f>SUMIFS('PIB-Mpal 2015-2022 Corrient '!J$5:J$1012,'PIB-Mpal 2015-2022 Corrient '!$A$5:$A$1012,$W$2,'PIB-Mpal 2015-2022 Corrient '!$E$5:$E$1012,$A15)</f>
        <v>6.94513152937163</v>
      </c>
      <c r="R15" s="52">
        <f>SUMIFS('PIB-Mpal 2015-2022 Corrient '!M$5:M$1012,'PIB-Mpal 2015-2022 Corrient '!$A$5:$A$1012,$W$2,'PIB-Mpal 2015-2022 Corrient '!$E$5:$E$1012,$A15)</f>
        <v>1035.8330377939747</v>
      </c>
      <c r="S15" s="53">
        <f>SUMIFS('PIB-Mpal 2015-2022 Corrient '!V$5:V$1012,'PIB-Mpal 2015-2022 Corrient '!$A$5:$A$1012,$W$2,'PIB-Mpal 2015-2022 Corrient '!$E$5:$E$1012,$A15)</f>
        <v>925.88910471980159</v>
      </c>
      <c r="T15" s="207">
        <f>SUMIFS('PIB-Mpal 2015-2022 Corrient '!W$5:W$1012,'PIB-Mpal 2015-2022 Corrient '!$A$5:$A$1012,$W$2,'PIB-Mpal 2015-2022 Corrient '!$E$5:$E$1012,$A15)</f>
        <v>1968.6672740431479</v>
      </c>
      <c r="U15" s="203">
        <f>SUMIFS('PIB-Mpal 2015-2022 Corrient '!X$5:X$1012,'PIB-Mpal 2015-2022 Corrient '!$A$5:$A$1012,$W$2,'PIB-Mpal 2015-2022 Corrient '!$E$5:$E$1012,$A15)</f>
        <v>198.95178070434847</v>
      </c>
      <c r="V15" s="88">
        <f>SUMIFS('PIB-Mpal 2015-2022 Corrient '!Y$5:Y$1012,'PIB-Mpal 2015-2022 Corrient '!$A$5:$A$1012,$W$2,'PIB-Mpal 2015-2022 Corrient '!$E$5:$E$1012,$A15)</f>
        <v>2167.6190547474962</v>
      </c>
      <c r="W15" s="92">
        <f t="shared" si="3"/>
        <v>1.4115829860880225E-2</v>
      </c>
      <c r="X15" s="268">
        <f>INDEX(POBLACION!$C$4:$W$128,MATCH(A15,POBLACION!$A$4:$A$128,0),MATCH($W$2,POBLACION!$C$3:$W$3,0))</f>
        <v>73696</v>
      </c>
      <c r="Y15" s="258">
        <f t="shared" si="5"/>
        <v>26713.353154080927</v>
      </c>
      <c r="Z15" s="270">
        <f t="shared" si="6"/>
        <v>29412.981094598028</v>
      </c>
      <c r="AA15" s="273">
        <f t="shared" si="7"/>
        <v>4.426728405614532</v>
      </c>
      <c r="AB15" s="273">
        <f t="shared" si="8"/>
        <v>4.4685390437971826</v>
      </c>
      <c r="AE15" s="430" t="s">
        <v>70</v>
      </c>
      <c r="AF15" s="431"/>
      <c r="AG15" s="431"/>
      <c r="AH15" s="431"/>
      <c r="AI15" s="431"/>
      <c r="AJ15" s="432"/>
    </row>
    <row r="16" spans="1:36" ht="16" thickBot="1" x14ac:dyDescent="0.25">
      <c r="A16" s="120" t="s">
        <v>120</v>
      </c>
      <c r="B16" s="63" t="s">
        <v>94</v>
      </c>
      <c r="C16" s="62" t="s">
        <v>95</v>
      </c>
      <c r="D16" s="63" t="s">
        <v>121</v>
      </c>
      <c r="E16" s="51">
        <f>SUMIFS('PIB-Mpal 2015-2022 Corrient '!H$5:H$1012,'PIB-Mpal 2015-2022 Corrient '!$A$5:$A$1012,$W$2,'PIB-Mpal 2015-2022 Corrient '!$E$5:$E$1012,$A16)</f>
        <v>8.5832277236907437</v>
      </c>
      <c r="F16" s="51">
        <f>SUMIFS('PIB-Mpal 2015-2022 Corrient '!I$5:I$1012,'PIB-Mpal 2015-2022 Corrient '!$A$5:$A$1012,$W$2,'PIB-Mpal 2015-2022 Corrient '!$E$5:$E$1012,$A16)</f>
        <v>0</v>
      </c>
      <c r="G16" s="51">
        <f>SUMIFS('PIB-Mpal 2015-2022 Corrient '!K$5:K$1012,'PIB-Mpal 2015-2022 Corrient '!$A$5:$A$1012,$W$2,'PIB-Mpal 2015-2022 Corrient '!$E$5:$E$1012,$A16)</f>
        <v>1089.3548520350914</v>
      </c>
      <c r="H16" s="51">
        <f>SUMIFS('PIB-Mpal 2015-2022 Corrient '!L$5:L$1012,'PIB-Mpal 2015-2022 Corrient '!$A$5:$A$1012,$W$2,'PIB-Mpal 2015-2022 Corrient '!$E$5:$E$1012,$A16)</f>
        <v>224.10417926227001</v>
      </c>
      <c r="I16" s="51">
        <f>SUMIFS('PIB-Mpal 2015-2022 Corrient '!N$5:N$1012,'PIB-Mpal 2015-2022 Corrient '!$A$5:$A$1012,$W$2,'PIB-Mpal 2015-2022 Corrient '!$E$5:$E$1012,$A16)</f>
        <v>123.90379444533819</v>
      </c>
      <c r="J16" s="51">
        <f>SUMIFS('PIB-Mpal 2015-2022 Corrient '!O$5:O$1012,'PIB-Mpal 2015-2022 Corrient '!$A$5:$A$1012,$W$2,'PIB-Mpal 2015-2022 Corrient '!$E$5:$E$1012,$A16)</f>
        <v>641.20847221407405</v>
      </c>
      <c r="K16" s="51">
        <f>SUMIFS('PIB-Mpal 2015-2022 Corrient '!P$5:P$1012,'PIB-Mpal 2015-2022 Corrient '!$A$5:$A$1012,$W$2,'PIB-Mpal 2015-2022 Corrient '!$E$5:$E$1012,$A16)</f>
        <v>94.758126523566233</v>
      </c>
      <c r="L16" s="51">
        <f>SUMIFS('PIB-Mpal 2015-2022 Corrient '!Q$5:Q$1012,'PIB-Mpal 2015-2022 Corrient '!$A$5:$A$1012,$W$2,'PIB-Mpal 2015-2022 Corrient '!$E$5:$E$1012,$A16)</f>
        <v>73.817148431252974</v>
      </c>
      <c r="M16" s="51">
        <f>SUMIFS('PIB-Mpal 2015-2022 Corrient '!R$5:R$1012,'PIB-Mpal 2015-2022 Corrient '!$A$5:$A$1012,$W$2,'PIB-Mpal 2015-2022 Corrient '!$E$5:$E$1012,$A16)</f>
        <v>355.3354996103302</v>
      </c>
      <c r="N16" s="51">
        <f>SUMIFS('PIB-Mpal 2015-2022 Corrient '!S$5:S$1012,'PIB-Mpal 2015-2022 Corrient '!$A$5:$A$1012,$W$2,'PIB-Mpal 2015-2022 Corrient '!$E$5:$E$1012,$A16)</f>
        <v>330.0344578081216</v>
      </c>
      <c r="O16" s="51">
        <f>SUMIFS('PIB-Mpal 2015-2022 Corrient '!T$5:T$1012,'PIB-Mpal 2015-2022 Corrient '!$A$5:$A$1012,$W$2,'PIB-Mpal 2015-2022 Corrient '!$E$5:$E$1012,$A16)</f>
        <v>386.82788468103195</v>
      </c>
      <c r="P16" s="150">
        <f>SUMIFS('PIB-Mpal 2015-2022 Corrient '!U$5:U$1012,'PIB-Mpal 2015-2022 Corrient '!$A$5:$A$1012,$W$2,'PIB-Mpal 2015-2022 Corrient '!$E$5:$E$1012,$A16)</f>
        <v>70.729802154244481</v>
      </c>
      <c r="Q16" s="156">
        <f>SUMIFS('PIB-Mpal 2015-2022 Corrient '!J$5:J$1012,'PIB-Mpal 2015-2022 Corrient '!$A$5:$A$1012,$W$2,'PIB-Mpal 2015-2022 Corrient '!$E$5:$E$1012,$A16)</f>
        <v>8.5832277236907437</v>
      </c>
      <c r="R16" s="52">
        <f>SUMIFS('PIB-Mpal 2015-2022 Corrient '!M$5:M$1012,'PIB-Mpal 2015-2022 Corrient '!$A$5:$A$1012,$W$2,'PIB-Mpal 2015-2022 Corrient '!$E$5:$E$1012,$A16)</f>
        <v>1313.4590312973614</v>
      </c>
      <c r="S16" s="53">
        <f>SUMIFS('PIB-Mpal 2015-2022 Corrient '!V$5:V$1012,'PIB-Mpal 2015-2022 Corrient '!$A$5:$A$1012,$W$2,'PIB-Mpal 2015-2022 Corrient '!$E$5:$E$1012,$A16)</f>
        <v>2076.61518586796</v>
      </c>
      <c r="T16" s="207">
        <f>SUMIFS('PIB-Mpal 2015-2022 Corrient '!W$5:W$1012,'PIB-Mpal 2015-2022 Corrient '!$A$5:$A$1012,$W$2,'PIB-Mpal 2015-2022 Corrient '!$E$5:$E$1012,$A16)</f>
        <v>3398.6574448890124</v>
      </c>
      <c r="U16" s="203">
        <f>SUMIFS('PIB-Mpal 2015-2022 Corrient '!X$5:X$1012,'PIB-Mpal 2015-2022 Corrient '!$A$5:$A$1012,$W$2,'PIB-Mpal 2015-2022 Corrient '!$E$5:$E$1012,$A16)</f>
        <v>343.46532782864773</v>
      </c>
      <c r="V16" s="88">
        <f>SUMIFS('PIB-Mpal 2015-2022 Corrient '!Y$5:Y$1012,'PIB-Mpal 2015-2022 Corrient '!$A$5:$A$1012,$W$2,'PIB-Mpal 2015-2022 Corrient '!$E$5:$E$1012,$A16)</f>
        <v>3742.1227727176602</v>
      </c>
      <c r="W16" s="98">
        <f t="shared" si="3"/>
        <v>2.4369212045130859E-2</v>
      </c>
      <c r="X16" s="268">
        <f>INDEX(POBLACION!$C$4:$W$128,MATCH(A16,POBLACION!$A$4:$A$128,0),MATCH($W$2,POBLACION!$C$3:$W$3,0))</f>
        <v>85484</v>
      </c>
      <c r="Y16" s="258">
        <f t="shared" si="5"/>
        <v>39757.819532181602</v>
      </c>
      <c r="Z16" s="270">
        <f t="shared" si="6"/>
        <v>43775.70975524847</v>
      </c>
      <c r="AA16" s="273">
        <f t="shared" si="7"/>
        <v>4.5994225580414581</v>
      </c>
      <c r="AB16" s="273">
        <f t="shared" si="8"/>
        <v>4.6412331962241087</v>
      </c>
      <c r="AE16" s="430" t="s">
        <v>71</v>
      </c>
      <c r="AF16" s="431"/>
      <c r="AG16" s="431"/>
      <c r="AH16" s="431"/>
      <c r="AI16" s="431"/>
      <c r="AJ16" s="432"/>
    </row>
    <row r="17" spans="1:39" ht="16" thickBot="1" x14ac:dyDescent="0.25">
      <c r="A17" s="122" t="s">
        <v>122</v>
      </c>
      <c r="B17" s="112" t="s">
        <v>123</v>
      </c>
      <c r="C17" s="117"/>
      <c r="D17" s="118"/>
      <c r="E17" s="113">
        <f>SUM(E18:E23)</f>
        <v>220.37683069708822</v>
      </c>
      <c r="F17" s="113">
        <f t="shared" ref="F17:X17" si="9">SUM(F18:F23)</f>
        <v>960.10777924937247</v>
      </c>
      <c r="G17" s="113">
        <f t="shared" si="9"/>
        <v>48.362137941277552</v>
      </c>
      <c r="H17" s="113">
        <f t="shared" si="9"/>
        <v>172.56224978317812</v>
      </c>
      <c r="I17" s="113">
        <f t="shared" si="9"/>
        <v>182.51372266224652</v>
      </c>
      <c r="J17" s="113">
        <f t="shared" si="9"/>
        <v>672.9220140606235</v>
      </c>
      <c r="K17" s="113">
        <f t="shared" si="9"/>
        <v>97.300627461532812</v>
      </c>
      <c r="L17" s="113">
        <f t="shared" si="9"/>
        <v>69.493035662127909</v>
      </c>
      <c r="M17" s="113">
        <f t="shared" si="9"/>
        <v>161.60337087049686</v>
      </c>
      <c r="N17" s="113">
        <f t="shared" si="9"/>
        <v>362.76195859213192</v>
      </c>
      <c r="O17" s="113">
        <f t="shared" si="9"/>
        <v>590.3399348006958</v>
      </c>
      <c r="P17" s="123">
        <f t="shared" si="9"/>
        <v>68.528385532320385</v>
      </c>
      <c r="Q17" s="193">
        <f t="shared" si="9"/>
        <v>1180.4846099464608</v>
      </c>
      <c r="R17" s="113">
        <f t="shared" si="9"/>
        <v>220.9243877244557</v>
      </c>
      <c r="S17" s="114">
        <f t="shared" si="9"/>
        <v>2205.4630496421755</v>
      </c>
      <c r="T17" s="208">
        <f t="shared" si="9"/>
        <v>3606.872047313092</v>
      </c>
      <c r="U17" s="186">
        <f t="shared" si="9"/>
        <v>364.50731215332382</v>
      </c>
      <c r="V17" s="123">
        <f t="shared" si="9"/>
        <v>3971.3793594664162</v>
      </c>
      <c r="W17" s="115">
        <f t="shared" si="3"/>
        <v>2.5862162093684728E-2</v>
      </c>
      <c r="X17" s="208">
        <f t="shared" si="9"/>
        <v>255064</v>
      </c>
      <c r="Y17" s="258">
        <f t="shared" si="5"/>
        <v>14141.047138416601</v>
      </c>
      <c r="Z17" s="270">
        <f t="shared" si="6"/>
        <v>15570.128906730924</v>
      </c>
      <c r="AA17" s="273">
        <f t="shared" si="7"/>
        <v>4.150481569969938</v>
      </c>
      <c r="AB17" s="273">
        <f t="shared" si="8"/>
        <v>4.1922922081525886</v>
      </c>
      <c r="AE17" s="430" t="s">
        <v>124</v>
      </c>
      <c r="AF17" s="431"/>
      <c r="AG17" s="431"/>
      <c r="AH17" s="431"/>
      <c r="AI17" s="431"/>
      <c r="AJ17" s="432"/>
    </row>
    <row r="18" spans="1:39" x14ac:dyDescent="0.2">
      <c r="A18" s="121" t="s">
        <v>125</v>
      </c>
      <c r="B18" s="101" t="s">
        <v>126</v>
      </c>
      <c r="C18" s="108" t="s">
        <v>127</v>
      </c>
      <c r="D18" s="101" t="s">
        <v>128</v>
      </c>
      <c r="E18" s="51">
        <f>SUMIFS('PIB-Mpal 2015-2022 Corrient '!H$5:H$1012,'PIB-Mpal 2015-2022 Corrient '!$A$5:$A$1012,$W$2,'PIB-Mpal 2015-2022 Corrient '!$E$5:$E$1012,$A18)</f>
        <v>46.549861539511667</v>
      </c>
      <c r="F18" s="51">
        <f>SUMIFS('PIB-Mpal 2015-2022 Corrient '!I$5:I$1012,'PIB-Mpal 2015-2022 Corrient '!$A$5:$A$1012,$W$2,'PIB-Mpal 2015-2022 Corrient '!$E$5:$E$1012,$A18)</f>
        <v>56.143362909398348</v>
      </c>
      <c r="G18" s="51">
        <f>SUMIFS('PIB-Mpal 2015-2022 Corrient '!K$5:K$1012,'PIB-Mpal 2015-2022 Corrient '!$A$5:$A$1012,$W$2,'PIB-Mpal 2015-2022 Corrient '!$E$5:$E$1012,$A18)</f>
        <v>2.7428705831092515</v>
      </c>
      <c r="H18" s="51">
        <f>SUMIFS('PIB-Mpal 2015-2022 Corrient '!L$5:L$1012,'PIB-Mpal 2015-2022 Corrient '!$A$5:$A$1012,$W$2,'PIB-Mpal 2015-2022 Corrient '!$E$5:$E$1012,$A18)</f>
        <v>26.281870274992535</v>
      </c>
      <c r="I18" s="51">
        <f>SUMIFS('PIB-Mpal 2015-2022 Corrient '!N$5:N$1012,'PIB-Mpal 2015-2022 Corrient '!$A$5:$A$1012,$W$2,'PIB-Mpal 2015-2022 Corrient '!$E$5:$E$1012,$A18)</f>
        <v>26.84166519636813</v>
      </c>
      <c r="J18" s="51">
        <f>SUMIFS('PIB-Mpal 2015-2022 Corrient '!O$5:O$1012,'PIB-Mpal 2015-2022 Corrient '!$A$5:$A$1012,$W$2,'PIB-Mpal 2015-2022 Corrient '!$E$5:$E$1012,$A18)</f>
        <v>87.963078004856527</v>
      </c>
      <c r="K18" s="51">
        <f>SUMIFS('PIB-Mpal 2015-2022 Corrient '!P$5:P$1012,'PIB-Mpal 2015-2022 Corrient '!$A$5:$A$1012,$W$2,'PIB-Mpal 2015-2022 Corrient '!$E$5:$E$1012,$A18)</f>
        <v>13.090873605813563</v>
      </c>
      <c r="L18" s="51">
        <f>SUMIFS('PIB-Mpal 2015-2022 Corrient '!Q$5:Q$1012,'PIB-Mpal 2015-2022 Corrient '!$A$5:$A$1012,$W$2,'PIB-Mpal 2015-2022 Corrient '!$E$5:$E$1012,$A18)</f>
        <v>5.0951842816444382</v>
      </c>
      <c r="M18" s="51">
        <f>SUMIFS('PIB-Mpal 2015-2022 Corrient '!R$5:R$1012,'PIB-Mpal 2015-2022 Corrient '!$A$5:$A$1012,$W$2,'PIB-Mpal 2015-2022 Corrient '!$E$5:$E$1012,$A18)</f>
        <v>16.245560654235955</v>
      </c>
      <c r="N18" s="51">
        <f>SUMIFS('PIB-Mpal 2015-2022 Corrient '!S$5:S$1012,'PIB-Mpal 2015-2022 Corrient '!$A$5:$A$1012,$W$2,'PIB-Mpal 2015-2022 Corrient '!$E$5:$E$1012,$A18)</f>
        <v>45.031681789074227</v>
      </c>
      <c r="O18" s="51">
        <f>SUMIFS('PIB-Mpal 2015-2022 Corrient '!T$5:T$1012,'PIB-Mpal 2015-2022 Corrient '!$A$5:$A$1012,$W$2,'PIB-Mpal 2015-2022 Corrient '!$E$5:$E$1012,$A18)</f>
        <v>77.680411819744251</v>
      </c>
      <c r="P18" s="150">
        <f>SUMIFS('PIB-Mpal 2015-2022 Corrient '!U$5:U$1012,'PIB-Mpal 2015-2022 Corrient '!$A$5:$A$1012,$W$2,'PIB-Mpal 2015-2022 Corrient '!$E$5:$E$1012,$A18)</f>
        <v>9.3334674573415466</v>
      </c>
      <c r="Q18" s="156">
        <f>SUMIFS('PIB-Mpal 2015-2022 Corrient '!J$5:J$1012,'PIB-Mpal 2015-2022 Corrient '!$A$5:$A$1012,$W$2,'PIB-Mpal 2015-2022 Corrient '!$E$5:$E$1012,$A18)</f>
        <v>102.69322444891002</v>
      </c>
      <c r="R18" s="52">
        <f>SUMIFS('PIB-Mpal 2015-2022 Corrient '!M$5:M$1012,'PIB-Mpal 2015-2022 Corrient '!$A$5:$A$1012,$W$2,'PIB-Mpal 2015-2022 Corrient '!$E$5:$E$1012,$A18)</f>
        <v>29.024740858101787</v>
      </c>
      <c r="S18" s="53">
        <f>SUMIFS('PIB-Mpal 2015-2022 Corrient '!V$5:V$1012,'PIB-Mpal 2015-2022 Corrient '!$A$5:$A$1012,$W$2,'PIB-Mpal 2015-2022 Corrient '!$E$5:$E$1012,$A18)</f>
        <v>281.28192280907859</v>
      </c>
      <c r="T18" s="207">
        <f>SUMIFS('PIB-Mpal 2015-2022 Corrient '!W$5:W$1012,'PIB-Mpal 2015-2022 Corrient '!$A$5:$A$1012,$W$2,'PIB-Mpal 2015-2022 Corrient '!$E$5:$E$1012,$A18)</f>
        <v>412.9998881160904</v>
      </c>
      <c r="U18" s="203">
        <f>SUMIFS('PIB-Mpal 2015-2022 Corrient '!X$5:X$1012,'PIB-Mpal 2015-2022 Corrient '!$A$5:$A$1012,$W$2,'PIB-Mpal 2015-2022 Corrient '!$E$5:$E$1012,$A18)</f>
        <v>41.737404920965837</v>
      </c>
      <c r="V18" s="88">
        <f>SUMIFS('PIB-Mpal 2015-2022 Corrient '!Y$5:Y$1012,'PIB-Mpal 2015-2022 Corrient '!$A$5:$A$1012,$W$2,'PIB-Mpal 2015-2022 Corrient '!$E$5:$E$1012,$A18)</f>
        <v>454.73729303705625</v>
      </c>
      <c r="W18" s="100">
        <f t="shared" si="3"/>
        <v>2.9613110504124358E-3</v>
      </c>
      <c r="X18" s="268">
        <f>INDEX(POBLACION!$C$4:$W$128,MATCH(A18,POBLACION!$A$4:$A$128,0),MATCH($W$2,POBLACION!$C$3:$W$3,0))</f>
        <v>29716</v>
      </c>
      <c r="Y18" s="258">
        <f t="shared" si="5"/>
        <v>13898.232875087173</v>
      </c>
      <c r="Z18" s="270">
        <f t="shared" si="6"/>
        <v>15302.776047821249</v>
      </c>
      <c r="AA18" s="273">
        <f t="shared" si="7"/>
        <v>4.1429595843270279</v>
      </c>
      <c r="AB18" s="273">
        <f t="shared" si="8"/>
        <v>4.1847702225096786</v>
      </c>
      <c r="AE18" s="430" t="s">
        <v>129</v>
      </c>
      <c r="AF18" s="431"/>
      <c r="AG18" s="431"/>
      <c r="AH18" s="431"/>
      <c r="AI18" s="431"/>
      <c r="AJ18" s="432"/>
    </row>
    <row r="19" spans="1:39" x14ac:dyDescent="0.2">
      <c r="A19" s="35" t="s">
        <v>130</v>
      </c>
      <c r="B19" s="32" t="s">
        <v>126</v>
      </c>
      <c r="C19" s="33" t="s">
        <v>127</v>
      </c>
      <c r="D19" s="32" t="s">
        <v>131</v>
      </c>
      <c r="E19" s="51">
        <f>SUMIFS('PIB-Mpal 2015-2022 Corrient '!H$5:H$1012,'PIB-Mpal 2015-2022 Corrient '!$A$5:$A$1012,$W$2,'PIB-Mpal 2015-2022 Corrient '!$E$5:$E$1012,$A19)</f>
        <v>37.11834542268992</v>
      </c>
      <c r="F19" s="51">
        <f>SUMIFS('PIB-Mpal 2015-2022 Corrient '!I$5:I$1012,'PIB-Mpal 2015-2022 Corrient '!$A$5:$A$1012,$W$2,'PIB-Mpal 2015-2022 Corrient '!$E$5:$E$1012,$A19)</f>
        <v>340.74257904230552</v>
      </c>
      <c r="G19" s="51">
        <f>SUMIFS('PIB-Mpal 2015-2022 Corrient '!K$5:K$1012,'PIB-Mpal 2015-2022 Corrient '!$A$5:$A$1012,$W$2,'PIB-Mpal 2015-2022 Corrient '!$E$5:$E$1012,$A19)</f>
        <v>20.509929358966396</v>
      </c>
      <c r="H19" s="51">
        <f>SUMIFS('PIB-Mpal 2015-2022 Corrient '!L$5:L$1012,'PIB-Mpal 2015-2022 Corrient '!$A$5:$A$1012,$W$2,'PIB-Mpal 2015-2022 Corrient '!$E$5:$E$1012,$A19)</f>
        <v>65.554046623768841</v>
      </c>
      <c r="I19" s="51">
        <f>SUMIFS('PIB-Mpal 2015-2022 Corrient '!N$5:N$1012,'PIB-Mpal 2015-2022 Corrient '!$A$5:$A$1012,$W$2,'PIB-Mpal 2015-2022 Corrient '!$E$5:$E$1012,$A19)</f>
        <v>60.715109202635823</v>
      </c>
      <c r="J19" s="51">
        <f>SUMIFS('PIB-Mpal 2015-2022 Corrient '!O$5:O$1012,'PIB-Mpal 2015-2022 Corrient '!$A$5:$A$1012,$W$2,'PIB-Mpal 2015-2022 Corrient '!$E$5:$E$1012,$A19)</f>
        <v>297.9449125226854</v>
      </c>
      <c r="K19" s="51">
        <f>SUMIFS('PIB-Mpal 2015-2022 Corrient '!P$5:P$1012,'PIB-Mpal 2015-2022 Corrient '!$A$5:$A$1012,$W$2,'PIB-Mpal 2015-2022 Corrient '!$E$5:$E$1012,$A19)</f>
        <v>36.662801153849244</v>
      </c>
      <c r="L19" s="51">
        <f>SUMIFS('PIB-Mpal 2015-2022 Corrient '!Q$5:Q$1012,'PIB-Mpal 2015-2022 Corrient '!$A$5:$A$1012,$W$2,'PIB-Mpal 2015-2022 Corrient '!$E$5:$E$1012,$A19)</f>
        <v>34.059351567411809</v>
      </c>
      <c r="M19" s="51">
        <f>SUMIFS('PIB-Mpal 2015-2022 Corrient '!R$5:R$1012,'PIB-Mpal 2015-2022 Corrient '!$A$5:$A$1012,$W$2,'PIB-Mpal 2015-2022 Corrient '!$E$5:$E$1012,$A19)</f>
        <v>70.717159233818279</v>
      </c>
      <c r="N19" s="51">
        <f>SUMIFS('PIB-Mpal 2015-2022 Corrient '!S$5:S$1012,'PIB-Mpal 2015-2022 Corrient '!$A$5:$A$1012,$W$2,'PIB-Mpal 2015-2022 Corrient '!$E$5:$E$1012,$A19)</f>
        <v>139.30737732903447</v>
      </c>
      <c r="O19" s="51">
        <f>SUMIFS('PIB-Mpal 2015-2022 Corrient '!T$5:T$1012,'PIB-Mpal 2015-2022 Corrient '!$A$5:$A$1012,$W$2,'PIB-Mpal 2015-2022 Corrient '!$E$5:$E$1012,$A19)</f>
        <v>224.61825322935556</v>
      </c>
      <c r="P19" s="150">
        <f>SUMIFS('PIB-Mpal 2015-2022 Corrient '!U$5:U$1012,'PIB-Mpal 2015-2022 Corrient '!$A$5:$A$1012,$W$2,'PIB-Mpal 2015-2022 Corrient '!$E$5:$E$1012,$A19)</f>
        <v>24.743604068066048</v>
      </c>
      <c r="Q19" s="156">
        <f>SUMIFS('PIB-Mpal 2015-2022 Corrient '!J$5:J$1012,'PIB-Mpal 2015-2022 Corrient '!$A$5:$A$1012,$W$2,'PIB-Mpal 2015-2022 Corrient '!$E$5:$E$1012,$A19)</f>
        <v>377.86092446499543</v>
      </c>
      <c r="R19" s="52">
        <f>SUMIFS('PIB-Mpal 2015-2022 Corrient '!M$5:M$1012,'PIB-Mpal 2015-2022 Corrient '!$A$5:$A$1012,$W$2,'PIB-Mpal 2015-2022 Corrient '!$E$5:$E$1012,$A19)</f>
        <v>86.063975982735229</v>
      </c>
      <c r="S19" s="53">
        <f>SUMIFS('PIB-Mpal 2015-2022 Corrient '!V$5:V$1012,'PIB-Mpal 2015-2022 Corrient '!$A$5:$A$1012,$W$2,'PIB-Mpal 2015-2022 Corrient '!$E$5:$E$1012,$A19)</f>
        <v>888.76856830685654</v>
      </c>
      <c r="T19" s="207">
        <f>SUMIFS('PIB-Mpal 2015-2022 Corrient '!W$5:W$1012,'PIB-Mpal 2015-2022 Corrient '!$A$5:$A$1012,$W$2,'PIB-Mpal 2015-2022 Corrient '!$E$5:$E$1012,$A19)</f>
        <v>1352.6934687545872</v>
      </c>
      <c r="U19" s="203">
        <f>SUMIFS('PIB-Mpal 2015-2022 Corrient '!X$5:X$1012,'PIB-Mpal 2015-2022 Corrient '!$A$5:$A$1012,$W$2,'PIB-Mpal 2015-2022 Corrient '!$E$5:$E$1012,$A19)</f>
        <v>136.70201049421655</v>
      </c>
      <c r="V19" s="88">
        <f>SUMIFS('PIB-Mpal 2015-2022 Corrient '!Y$5:Y$1012,'PIB-Mpal 2015-2022 Corrient '!$A$5:$A$1012,$W$2,'PIB-Mpal 2015-2022 Corrient '!$E$5:$E$1012,$A19)</f>
        <v>1489.3954792488039</v>
      </c>
      <c r="W19" s="92">
        <f t="shared" si="3"/>
        <v>9.6991457676078377E-3</v>
      </c>
      <c r="X19" s="268">
        <f>INDEX(POBLACION!$C$4:$W$128,MATCH(A19,POBLACION!$A$4:$A$128,0),MATCH($W$2,POBLACION!$C$3:$W$3,0))</f>
        <v>93044</v>
      </c>
      <c r="Y19" s="258">
        <f t="shared" si="5"/>
        <v>14538.212767664623</v>
      </c>
      <c r="Z19" s="270">
        <f t="shared" si="6"/>
        <v>16007.431744645588</v>
      </c>
      <c r="AA19" s="273">
        <f t="shared" si="7"/>
        <v>4.1625110204949083</v>
      </c>
      <c r="AB19" s="273">
        <f t="shared" si="8"/>
        <v>4.2043216586775589</v>
      </c>
      <c r="AE19" s="433" t="s">
        <v>132</v>
      </c>
      <c r="AF19" s="434"/>
      <c r="AG19" s="434"/>
      <c r="AH19" s="434"/>
      <c r="AI19" s="434"/>
      <c r="AJ19" s="435"/>
    </row>
    <row r="20" spans="1:39" x14ac:dyDescent="0.2">
      <c r="A20" s="35" t="s">
        <v>133</v>
      </c>
      <c r="B20" s="32" t="s">
        <v>126</v>
      </c>
      <c r="C20" s="33" t="s">
        <v>127</v>
      </c>
      <c r="D20" s="32" t="s">
        <v>134</v>
      </c>
      <c r="E20" s="51">
        <f>SUMIFS('PIB-Mpal 2015-2022 Corrient '!H$5:H$1012,'PIB-Mpal 2015-2022 Corrient '!$A$5:$A$1012,$W$2,'PIB-Mpal 2015-2022 Corrient '!$E$5:$E$1012,$A20)</f>
        <v>25.948993316127702</v>
      </c>
      <c r="F20" s="51">
        <f>SUMIFS('PIB-Mpal 2015-2022 Corrient '!I$5:I$1012,'PIB-Mpal 2015-2022 Corrient '!$A$5:$A$1012,$W$2,'PIB-Mpal 2015-2022 Corrient '!$E$5:$E$1012,$A20)</f>
        <v>307.035312213917</v>
      </c>
      <c r="G20" s="51">
        <f>SUMIFS('PIB-Mpal 2015-2022 Corrient '!K$5:K$1012,'PIB-Mpal 2015-2022 Corrient '!$A$5:$A$1012,$W$2,'PIB-Mpal 2015-2022 Corrient '!$E$5:$E$1012,$A20)</f>
        <v>2.7200067074940946</v>
      </c>
      <c r="H20" s="51">
        <f>SUMIFS('PIB-Mpal 2015-2022 Corrient '!L$5:L$1012,'PIB-Mpal 2015-2022 Corrient '!$A$5:$A$1012,$W$2,'PIB-Mpal 2015-2022 Corrient '!$E$5:$E$1012,$A20)</f>
        <v>37.185969448191869</v>
      </c>
      <c r="I20" s="51">
        <f>SUMIFS('PIB-Mpal 2015-2022 Corrient '!N$5:N$1012,'PIB-Mpal 2015-2022 Corrient '!$A$5:$A$1012,$W$2,'PIB-Mpal 2015-2022 Corrient '!$E$5:$E$1012,$A20)</f>
        <v>28.554517774633311</v>
      </c>
      <c r="J20" s="51">
        <f>SUMIFS('PIB-Mpal 2015-2022 Corrient '!O$5:O$1012,'PIB-Mpal 2015-2022 Corrient '!$A$5:$A$1012,$W$2,'PIB-Mpal 2015-2022 Corrient '!$E$5:$E$1012,$A20)</f>
        <v>133.27433848004327</v>
      </c>
      <c r="K20" s="51">
        <f>SUMIFS('PIB-Mpal 2015-2022 Corrient '!P$5:P$1012,'PIB-Mpal 2015-2022 Corrient '!$A$5:$A$1012,$W$2,'PIB-Mpal 2015-2022 Corrient '!$E$5:$E$1012,$A20)</f>
        <v>20.854131415705293</v>
      </c>
      <c r="L20" s="51">
        <f>SUMIFS('PIB-Mpal 2015-2022 Corrient '!Q$5:Q$1012,'PIB-Mpal 2015-2022 Corrient '!$A$5:$A$1012,$W$2,'PIB-Mpal 2015-2022 Corrient '!$E$5:$E$1012,$A20)</f>
        <v>13.801788328616565</v>
      </c>
      <c r="M20" s="51">
        <f>SUMIFS('PIB-Mpal 2015-2022 Corrient '!R$5:R$1012,'PIB-Mpal 2015-2022 Corrient '!$A$5:$A$1012,$W$2,'PIB-Mpal 2015-2022 Corrient '!$E$5:$E$1012,$A20)</f>
        <v>28.19116208543069</v>
      </c>
      <c r="N20" s="51">
        <f>SUMIFS('PIB-Mpal 2015-2022 Corrient '!S$5:S$1012,'PIB-Mpal 2015-2022 Corrient '!$A$5:$A$1012,$W$2,'PIB-Mpal 2015-2022 Corrient '!$E$5:$E$1012,$A20)</f>
        <v>75.476661295806551</v>
      </c>
      <c r="O20" s="51">
        <f>SUMIFS('PIB-Mpal 2015-2022 Corrient '!T$5:T$1012,'PIB-Mpal 2015-2022 Corrient '!$A$5:$A$1012,$W$2,'PIB-Mpal 2015-2022 Corrient '!$E$5:$E$1012,$A20)</f>
        <v>98.036700408115593</v>
      </c>
      <c r="P20" s="150">
        <f>SUMIFS('PIB-Mpal 2015-2022 Corrient '!U$5:U$1012,'PIB-Mpal 2015-2022 Corrient '!$A$5:$A$1012,$W$2,'PIB-Mpal 2015-2022 Corrient '!$E$5:$E$1012,$A20)</f>
        <v>13.164174231531739</v>
      </c>
      <c r="Q20" s="156">
        <f>SUMIFS('PIB-Mpal 2015-2022 Corrient '!J$5:J$1012,'PIB-Mpal 2015-2022 Corrient '!$A$5:$A$1012,$W$2,'PIB-Mpal 2015-2022 Corrient '!$E$5:$E$1012,$A20)</f>
        <v>332.98430553004471</v>
      </c>
      <c r="R20" s="52">
        <f>SUMIFS('PIB-Mpal 2015-2022 Corrient '!M$5:M$1012,'PIB-Mpal 2015-2022 Corrient '!$A$5:$A$1012,$W$2,'PIB-Mpal 2015-2022 Corrient '!$E$5:$E$1012,$A20)</f>
        <v>39.905976155685963</v>
      </c>
      <c r="S20" s="53">
        <f>SUMIFS('PIB-Mpal 2015-2022 Corrient '!V$5:V$1012,'PIB-Mpal 2015-2022 Corrient '!$A$5:$A$1012,$W$2,'PIB-Mpal 2015-2022 Corrient '!$E$5:$E$1012,$A20)</f>
        <v>411.35347401988298</v>
      </c>
      <c r="T20" s="207">
        <f>SUMIFS('PIB-Mpal 2015-2022 Corrient '!W$5:W$1012,'PIB-Mpal 2015-2022 Corrient '!$A$5:$A$1012,$W$2,'PIB-Mpal 2015-2022 Corrient '!$E$5:$E$1012,$A20)</f>
        <v>784.24375570561369</v>
      </c>
      <c r="U20" s="203">
        <f>SUMIFS('PIB-Mpal 2015-2022 Corrient '!X$5:X$1012,'PIB-Mpal 2015-2022 Corrient '!$A$5:$A$1012,$W$2,'PIB-Mpal 2015-2022 Corrient '!$E$5:$E$1012,$A20)</f>
        <v>79.254983186396075</v>
      </c>
      <c r="V20" s="88">
        <f>SUMIFS('PIB-Mpal 2015-2022 Corrient '!Y$5:Y$1012,'PIB-Mpal 2015-2022 Corrient '!$A$5:$A$1012,$W$2,'PIB-Mpal 2015-2022 Corrient '!$E$5:$E$1012,$A20)</f>
        <v>863.49873889200978</v>
      </c>
      <c r="W20" s="92">
        <f t="shared" si="3"/>
        <v>5.6232211359223969E-3</v>
      </c>
      <c r="X20" s="268">
        <f>INDEX(POBLACION!$C$4:$W$128,MATCH(A20,POBLACION!$A$4:$A$128,0),MATCH($W$2,POBLACION!$C$3:$W$3,0))</f>
        <v>52925</v>
      </c>
      <c r="Y20" s="258">
        <f t="shared" si="5"/>
        <v>14818.020891934128</v>
      </c>
      <c r="Z20" s="270">
        <f t="shared" si="6"/>
        <v>16315.517031497588</v>
      </c>
      <c r="AA20" s="273">
        <f t="shared" si="7"/>
        <v>4.1707902027588029</v>
      </c>
      <c r="AB20" s="273">
        <f t="shared" si="8"/>
        <v>4.2126008409414535</v>
      </c>
    </row>
    <row r="21" spans="1:39" x14ac:dyDescent="0.2">
      <c r="A21" s="35" t="s">
        <v>135</v>
      </c>
      <c r="B21" s="32" t="s">
        <v>126</v>
      </c>
      <c r="C21" s="33" t="s">
        <v>127</v>
      </c>
      <c r="D21" s="32" t="s">
        <v>136</v>
      </c>
      <c r="E21" s="51">
        <f>SUMIFS('PIB-Mpal 2015-2022 Corrient '!H$5:H$1012,'PIB-Mpal 2015-2022 Corrient '!$A$5:$A$1012,$W$2,'PIB-Mpal 2015-2022 Corrient '!$E$5:$E$1012,$A21)</f>
        <v>45.075792257572786</v>
      </c>
      <c r="F21" s="51">
        <f>SUMIFS('PIB-Mpal 2015-2022 Corrient '!I$5:I$1012,'PIB-Mpal 2015-2022 Corrient '!$A$5:$A$1012,$W$2,'PIB-Mpal 2015-2022 Corrient '!$E$5:$E$1012,$A21)</f>
        <v>41.440664373581114</v>
      </c>
      <c r="G21" s="51">
        <f>SUMIFS('PIB-Mpal 2015-2022 Corrient '!K$5:K$1012,'PIB-Mpal 2015-2022 Corrient '!$A$5:$A$1012,$W$2,'PIB-Mpal 2015-2022 Corrient '!$E$5:$E$1012,$A21)</f>
        <v>10.269331291828522</v>
      </c>
      <c r="H21" s="51">
        <f>SUMIFS('PIB-Mpal 2015-2022 Corrient '!L$5:L$1012,'PIB-Mpal 2015-2022 Corrient '!$A$5:$A$1012,$W$2,'PIB-Mpal 2015-2022 Corrient '!$E$5:$E$1012,$A21)</f>
        <v>11.828223479280354</v>
      </c>
      <c r="I21" s="51">
        <f>SUMIFS('PIB-Mpal 2015-2022 Corrient '!N$5:N$1012,'PIB-Mpal 2015-2022 Corrient '!$A$5:$A$1012,$W$2,'PIB-Mpal 2015-2022 Corrient '!$E$5:$E$1012,$A21)</f>
        <v>20.723823926912246</v>
      </c>
      <c r="J21" s="51">
        <f>SUMIFS('PIB-Mpal 2015-2022 Corrient '!O$5:O$1012,'PIB-Mpal 2015-2022 Corrient '!$A$5:$A$1012,$W$2,'PIB-Mpal 2015-2022 Corrient '!$E$5:$E$1012,$A21)</f>
        <v>56.863828737575162</v>
      </c>
      <c r="K21" s="51">
        <f>SUMIFS('PIB-Mpal 2015-2022 Corrient '!P$5:P$1012,'PIB-Mpal 2015-2022 Corrient '!$A$5:$A$1012,$W$2,'PIB-Mpal 2015-2022 Corrient '!$E$5:$E$1012,$A21)</f>
        <v>8.4259202303733929</v>
      </c>
      <c r="L21" s="51">
        <f>SUMIFS('PIB-Mpal 2015-2022 Corrient '!Q$5:Q$1012,'PIB-Mpal 2015-2022 Corrient '!$A$5:$A$1012,$W$2,'PIB-Mpal 2015-2022 Corrient '!$E$5:$E$1012,$A21)</f>
        <v>5.2944818738399517</v>
      </c>
      <c r="M21" s="51">
        <f>SUMIFS('PIB-Mpal 2015-2022 Corrient '!R$5:R$1012,'PIB-Mpal 2015-2022 Corrient '!$A$5:$A$1012,$W$2,'PIB-Mpal 2015-2022 Corrient '!$E$5:$E$1012,$A21)</f>
        <v>14.517611538459402</v>
      </c>
      <c r="N21" s="51">
        <f>SUMIFS('PIB-Mpal 2015-2022 Corrient '!S$5:S$1012,'PIB-Mpal 2015-2022 Corrient '!$A$5:$A$1012,$W$2,'PIB-Mpal 2015-2022 Corrient '!$E$5:$E$1012,$A21)</f>
        <v>29.988519483325355</v>
      </c>
      <c r="O21" s="51">
        <f>SUMIFS('PIB-Mpal 2015-2022 Corrient '!T$5:T$1012,'PIB-Mpal 2015-2022 Corrient '!$A$5:$A$1012,$W$2,'PIB-Mpal 2015-2022 Corrient '!$E$5:$E$1012,$A21)</f>
        <v>54.04473093833851</v>
      </c>
      <c r="P21" s="150">
        <f>SUMIFS('PIB-Mpal 2015-2022 Corrient '!U$5:U$1012,'PIB-Mpal 2015-2022 Corrient '!$A$5:$A$1012,$W$2,'PIB-Mpal 2015-2022 Corrient '!$E$5:$E$1012,$A21)</f>
        <v>6.8018294988567067</v>
      </c>
      <c r="Q21" s="156">
        <f>SUMIFS('PIB-Mpal 2015-2022 Corrient '!J$5:J$1012,'PIB-Mpal 2015-2022 Corrient '!$A$5:$A$1012,$W$2,'PIB-Mpal 2015-2022 Corrient '!$E$5:$E$1012,$A21)</f>
        <v>86.516456631153901</v>
      </c>
      <c r="R21" s="52">
        <f>SUMIFS('PIB-Mpal 2015-2022 Corrient '!M$5:M$1012,'PIB-Mpal 2015-2022 Corrient '!$A$5:$A$1012,$W$2,'PIB-Mpal 2015-2022 Corrient '!$E$5:$E$1012,$A21)</f>
        <v>22.097554771108875</v>
      </c>
      <c r="S21" s="53">
        <f>SUMIFS('PIB-Mpal 2015-2022 Corrient '!V$5:V$1012,'PIB-Mpal 2015-2022 Corrient '!$A$5:$A$1012,$W$2,'PIB-Mpal 2015-2022 Corrient '!$E$5:$E$1012,$A21)</f>
        <v>196.66074622768073</v>
      </c>
      <c r="T21" s="207">
        <f>SUMIFS('PIB-Mpal 2015-2022 Corrient '!W$5:W$1012,'PIB-Mpal 2015-2022 Corrient '!$A$5:$A$1012,$W$2,'PIB-Mpal 2015-2022 Corrient '!$E$5:$E$1012,$A21)</f>
        <v>305.27475762994351</v>
      </c>
      <c r="U21" s="203">
        <f>SUMIFS('PIB-Mpal 2015-2022 Corrient '!X$5:X$1012,'PIB-Mpal 2015-2022 Corrient '!$A$5:$A$1012,$W$2,'PIB-Mpal 2015-2022 Corrient '!$E$5:$E$1012,$A21)</f>
        <v>30.850798118785871</v>
      </c>
      <c r="V21" s="88">
        <f>SUMIFS('PIB-Mpal 2015-2022 Corrient '!Y$5:Y$1012,'PIB-Mpal 2015-2022 Corrient '!$A$5:$A$1012,$W$2,'PIB-Mpal 2015-2022 Corrient '!$E$5:$E$1012,$A21)</f>
        <v>336.12555574872937</v>
      </c>
      <c r="W21" s="92">
        <f t="shared" si="3"/>
        <v>2.1888952980234706E-3</v>
      </c>
      <c r="X21" s="268">
        <f>INDEX(POBLACION!$C$4:$W$128,MATCH(A21,POBLACION!$A$4:$A$128,0),MATCH($W$2,POBLACION!$C$3:$W$3,0))</f>
        <v>26652</v>
      </c>
      <c r="Y21" s="258">
        <f t="shared" si="5"/>
        <v>11454.103167865209</v>
      </c>
      <c r="Z21" s="270">
        <f t="shared" si="6"/>
        <v>12611.644745187203</v>
      </c>
      <c r="AA21" s="273">
        <f t="shared" si="7"/>
        <v>4.0589610905140647</v>
      </c>
      <c r="AB21" s="273">
        <f t="shared" si="8"/>
        <v>4.1007717286967154</v>
      </c>
    </row>
    <row r="22" spans="1:39" x14ac:dyDescent="0.2">
      <c r="A22" s="35" t="s">
        <v>137</v>
      </c>
      <c r="B22" s="32" t="s">
        <v>126</v>
      </c>
      <c r="C22" s="33" t="s">
        <v>127</v>
      </c>
      <c r="D22" s="32" t="s">
        <v>138</v>
      </c>
      <c r="E22" s="51">
        <f>SUMIFS('PIB-Mpal 2015-2022 Corrient '!H$5:H$1012,'PIB-Mpal 2015-2022 Corrient '!$A$5:$A$1012,$W$2,'PIB-Mpal 2015-2022 Corrient '!$E$5:$E$1012,$A22)</f>
        <v>21.16565792138563</v>
      </c>
      <c r="F22" s="51">
        <f>SUMIFS('PIB-Mpal 2015-2022 Corrient '!I$5:I$1012,'PIB-Mpal 2015-2022 Corrient '!$A$5:$A$1012,$W$2,'PIB-Mpal 2015-2022 Corrient '!$E$5:$E$1012,$A22)</f>
        <v>44.323460268884247</v>
      </c>
      <c r="G22" s="51">
        <f>SUMIFS('PIB-Mpal 2015-2022 Corrient '!K$5:K$1012,'PIB-Mpal 2015-2022 Corrient '!$A$5:$A$1012,$W$2,'PIB-Mpal 2015-2022 Corrient '!$E$5:$E$1012,$A22)</f>
        <v>3.8739713688575987</v>
      </c>
      <c r="H22" s="51">
        <f>SUMIFS('PIB-Mpal 2015-2022 Corrient '!L$5:L$1012,'PIB-Mpal 2015-2022 Corrient '!$A$5:$A$1012,$W$2,'PIB-Mpal 2015-2022 Corrient '!$E$5:$E$1012,$A22)</f>
        <v>19.454324068999938</v>
      </c>
      <c r="I22" s="51">
        <f>SUMIFS('PIB-Mpal 2015-2022 Corrient '!N$5:N$1012,'PIB-Mpal 2015-2022 Corrient '!$A$5:$A$1012,$W$2,'PIB-Mpal 2015-2022 Corrient '!$E$5:$E$1012,$A22)</f>
        <v>10.155264915293234</v>
      </c>
      <c r="J22" s="51">
        <f>SUMIFS('PIB-Mpal 2015-2022 Corrient '!O$5:O$1012,'PIB-Mpal 2015-2022 Corrient '!$A$5:$A$1012,$W$2,'PIB-Mpal 2015-2022 Corrient '!$E$5:$E$1012,$A22)</f>
        <v>54.222573745603327</v>
      </c>
      <c r="K22" s="51">
        <f>SUMIFS('PIB-Mpal 2015-2022 Corrient '!P$5:P$1012,'PIB-Mpal 2015-2022 Corrient '!$A$5:$A$1012,$W$2,'PIB-Mpal 2015-2022 Corrient '!$E$5:$E$1012,$A22)</f>
        <v>11.738258277867459</v>
      </c>
      <c r="L22" s="51">
        <f>SUMIFS('PIB-Mpal 2015-2022 Corrient '!Q$5:Q$1012,'PIB-Mpal 2015-2022 Corrient '!$A$5:$A$1012,$W$2,'PIB-Mpal 2015-2022 Corrient '!$E$5:$E$1012,$A22)</f>
        <v>7.5671263005039737</v>
      </c>
      <c r="M22" s="51">
        <f>SUMIFS('PIB-Mpal 2015-2022 Corrient '!R$5:R$1012,'PIB-Mpal 2015-2022 Corrient '!$A$5:$A$1012,$W$2,'PIB-Mpal 2015-2022 Corrient '!$E$5:$E$1012,$A22)</f>
        <v>18.951007992490659</v>
      </c>
      <c r="N22" s="51">
        <f>SUMIFS('PIB-Mpal 2015-2022 Corrient '!S$5:S$1012,'PIB-Mpal 2015-2022 Corrient '!$A$5:$A$1012,$W$2,'PIB-Mpal 2015-2022 Corrient '!$E$5:$E$1012,$A22)</f>
        <v>36.76859343967427</v>
      </c>
      <c r="O22" s="51">
        <f>SUMIFS('PIB-Mpal 2015-2022 Corrient '!T$5:T$1012,'PIB-Mpal 2015-2022 Corrient '!$A$5:$A$1012,$W$2,'PIB-Mpal 2015-2022 Corrient '!$E$5:$E$1012,$A22)</f>
        <v>83.890510484990131</v>
      </c>
      <c r="P22" s="150">
        <f>SUMIFS('PIB-Mpal 2015-2022 Corrient '!U$5:U$1012,'PIB-Mpal 2015-2022 Corrient '!$A$5:$A$1012,$W$2,'PIB-Mpal 2015-2022 Corrient '!$E$5:$E$1012,$A22)</f>
        <v>9.2380154976252165</v>
      </c>
      <c r="Q22" s="156">
        <f>SUMIFS('PIB-Mpal 2015-2022 Corrient '!J$5:J$1012,'PIB-Mpal 2015-2022 Corrient '!$A$5:$A$1012,$W$2,'PIB-Mpal 2015-2022 Corrient '!$E$5:$E$1012,$A22)</f>
        <v>65.489118190269878</v>
      </c>
      <c r="R22" s="52">
        <f>SUMIFS('PIB-Mpal 2015-2022 Corrient '!M$5:M$1012,'PIB-Mpal 2015-2022 Corrient '!$A$5:$A$1012,$W$2,'PIB-Mpal 2015-2022 Corrient '!$E$5:$E$1012,$A22)</f>
        <v>23.328295437857538</v>
      </c>
      <c r="S22" s="53">
        <f>SUMIFS('PIB-Mpal 2015-2022 Corrient '!V$5:V$1012,'PIB-Mpal 2015-2022 Corrient '!$A$5:$A$1012,$W$2,'PIB-Mpal 2015-2022 Corrient '!$E$5:$E$1012,$A22)</f>
        <v>232.53135065404825</v>
      </c>
      <c r="T22" s="207">
        <f>SUMIFS('PIB-Mpal 2015-2022 Corrient '!W$5:W$1012,'PIB-Mpal 2015-2022 Corrient '!$A$5:$A$1012,$W$2,'PIB-Mpal 2015-2022 Corrient '!$E$5:$E$1012,$A22)</f>
        <v>321.34876428217569</v>
      </c>
      <c r="U22" s="203">
        <f>SUMIFS('PIB-Mpal 2015-2022 Corrient '!X$5:X$1012,'PIB-Mpal 2015-2022 Corrient '!$A$5:$A$1012,$W$2,'PIB-Mpal 2015-2022 Corrient '!$E$5:$E$1012,$A22)</f>
        <v>32.475223073007491</v>
      </c>
      <c r="V22" s="88">
        <f>SUMIFS('PIB-Mpal 2015-2022 Corrient '!Y$5:Y$1012,'PIB-Mpal 2015-2022 Corrient '!$A$5:$A$1012,$W$2,'PIB-Mpal 2015-2022 Corrient '!$E$5:$E$1012,$A22)</f>
        <v>353.82398735518319</v>
      </c>
      <c r="W22" s="92">
        <f t="shared" si="3"/>
        <v>2.3041498898365279E-3</v>
      </c>
      <c r="X22" s="268">
        <f>INDEX(POBLACION!$C$4:$W$128,MATCH(A22,POBLACION!$A$4:$A$128,0),MATCH($W$2,POBLACION!$C$3:$W$3,0))</f>
        <v>27517</v>
      </c>
      <c r="Y22" s="258">
        <f t="shared" si="5"/>
        <v>11678.190365307833</v>
      </c>
      <c r="Z22" s="270">
        <f t="shared" si="6"/>
        <v>12858.377997426434</v>
      </c>
      <c r="AA22" s="273">
        <f t="shared" si="7"/>
        <v>4.0673755503748419</v>
      </c>
      <c r="AB22" s="273">
        <f t="shared" si="8"/>
        <v>4.1091861885574925</v>
      </c>
    </row>
    <row r="23" spans="1:39" ht="16" thickBot="1" x14ac:dyDescent="0.25">
      <c r="A23" s="120" t="s">
        <v>139</v>
      </c>
      <c r="B23" s="63" t="s">
        <v>126</v>
      </c>
      <c r="C23" s="62" t="s">
        <v>127</v>
      </c>
      <c r="D23" s="63" t="s">
        <v>140</v>
      </c>
      <c r="E23" s="51">
        <f>SUMIFS('PIB-Mpal 2015-2022 Corrient '!H$5:H$1012,'PIB-Mpal 2015-2022 Corrient '!$A$5:$A$1012,$W$2,'PIB-Mpal 2015-2022 Corrient '!$E$5:$E$1012,$A23)</f>
        <v>44.518180239800536</v>
      </c>
      <c r="F23" s="51">
        <f>SUMIFS('PIB-Mpal 2015-2022 Corrient '!I$5:I$1012,'PIB-Mpal 2015-2022 Corrient '!$A$5:$A$1012,$W$2,'PIB-Mpal 2015-2022 Corrient '!$E$5:$E$1012,$A23)</f>
        <v>170.42240044128633</v>
      </c>
      <c r="G23" s="51">
        <f>SUMIFS('PIB-Mpal 2015-2022 Corrient '!K$5:K$1012,'PIB-Mpal 2015-2022 Corrient '!$A$5:$A$1012,$W$2,'PIB-Mpal 2015-2022 Corrient '!$E$5:$E$1012,$A23)</f>
        <v>8.2460286310216944</v>
      </c>
      <c r="H23" s="51">
        <f>SUMIFS('PIB-Mpal 2015-2022 Corrient '!L$5:L$1012,'PIB-Mpal 2015-2022 Corrient '!$A$5:$A$1012,$W$2,'PIB-Mpal 2015-2022 Corrient '!$E$5:$E$1012,$A23)</f>
        <v>12.257815887944584</v>
      </c>
      <c r="I23" s="51">
        <f>SUMIFS('PIB-Mpal 2015-2022 Corrient '!N$5:N$1012,'PIB-Mpal 2015-2022 Corrient '!$A$5:$A$1012,$W$2,'PIB-Mpal 2015-2022 Corrient '!$E$5:$E$1012,$A23)</f>
        <v>35.523341646403793</v>
      </c>
      <c r="J23" s="51">
        <f>SUMIFS('PIB-Mpal 2015-2022 Corrient '!O$5:O$1012,'PIB-Mpal 2015-2022 Corrient '!$A$5:$A$1012,$W$2,'PIB-Mpal 2015-2022 Corrient '!$E$5:$E$1012,$A23)</f>
        <v>42.653282569859769</v>
      </c>
      <c r="K23" s="51">
        <f>SUMIFS('PIB-Mpal 2015-2022 Corrient '!P$5:P$1012,'PIB-Mpal 2015-2022 Corrient '!$A$5:$A$1012,$W$2,'PIB-Mpal 2015-2022 Corrient '!$E$5:$E$1012,$A23)</f>
        <v>6.5286427779238583</v>
      </c>
      <c r="L23" s="51">
        <f>SUMIFS('PIB-Mpal 2015-2022 Corrient '!Q$5:Q$1012,'PIB-Mpal 2015-2022 Corrient '!$A$5:$A$1012,$W$2,'PIB-Mpal 2015-2022 Corrient '!$E$5:$E$1012,$A23)</f>
        <v>3.6751033101111688</v>
      </c>
      <c r="M23" s="51">
        <f>SUMIFS('PIB-Mpal 2015-2022 Corrient '!R$5:R$1012,'PIB-Mpal 2015-2022 Corrient '!$A$5:$A$1012,$W$2,'PIB-Mpal 2015-2022 Corrient '!$E$5:$E$1012,$A23)</f>
        <v>12.980869366061873</v>
      </c>
      <c r="N23" s="51">
        <f>SUMIFS('PIB-Mpal 2015-2022 Corrient '!S$5:S$1012,'PIB-Mpal 2015-2022 Corrient '!$A$5:$A$1012,$W$2,'PIB-Mpal 2015-2022 Corrient '!$E$5:$E$1012,$A23)</f>
        <v>36.189125255217036</v>
      </c>
      <c r="O23" s="51">
        <f>SUMIFS('PIB-Mpal 2015-2022 Corrient '!T$5:T$1012,'PIB-Mpal 2015-2022 Corrient '!$A$5:$A$1012,$W$2,'PIB-Mpal 2015-2022 Corrient '!$E$5:$E$1012,$A23)</f>
        <v>52.069327920151807</v>
      </c>
      <c r="P23" s="150">
        <f>SUMIFS('PIB-Mpal 2015-2022 Corrient '!U$5:U$1012,'PIB-Mpal 2015-2022 Corrient '!$A$5:$A$1012,$W$2,'PIB-Mpal 2015-2022 Corrient '!$E$5:$E$1012,$A23)</f>
        <v>5.2472947788991346</v>
      </c>
      <c r="Q23" s="156">
        <f>SUMIFS('PIB-Mpal 2015-2022 Corrient '!J$5:J$1012,'PIB-Mpal 2015-2022 Corrient '!$A$5:$A$1012,$W$2,'PIB-Mpal 2015-2022 Corrient '!$E$5:$E$1012,$A23)</f>
        <v>214.94058068108686</v>
      </c>
      <c r="R23" s="52">
        <f>SUMIFS('PIB-Mpal 2015-2022 Corrient '!M$5:M$1012,'PIB-Mpal 2015-2022 Corrient '!$A$5:$A$1012,$W$2,'PIB-Mpal 2015-2022 Corrient '!$E$5:$E$1012,$A23)</f>
        <v>20.503844518966279</v>
      </c>
      <c r="S23" s="53">
        <f>SUMIFS('PIB-Mpal 2015-2022 Corrient '!V$5:V$1012,'PIB-Mpal 2015-2022 Corrient '!$A$5:$A$1012,$W$2,'PIB-Mpal 2015-2022 Corrient '!$E$5:$E$1012,$A23)</f>
        <v>194.86698762462845</v>
      </c>
      <c r="T23" s="207">
        <f>SUMIFS('PIB-Mpal 2015-2022 Corrient '!W$5:W$1012,'PIB-Mpal 2015-2022 Corrient '!$A$5:$A$1012,$W$2,'PIB-Mpal 2015-2022 Corrient '!$E$5:$E$1012,$A23)</f>
        <v>430.31141282468161</v>
      </c>
      <c r="U23" s="203">
        <f>SUMIFS('PIB-Mpal 2015-2022 Corrient '!X$5:X$1012,'PIB-Mpal 2015-2022 Corrient '!$A$5:$A$1012,$W$2,'PIB-Mpal 2015-2022 Corrient '!$E$5:$E$1012,$A23)</f>
        <v>43.486892359951952</v>
      </c>
      <c r="V23" s="88">
        <f>SUMIFS('PIB-Mpal 2015-2022 Corrient '!Y$5:Y$1012,'PIB-Mpal 2015-2022 Corrient '!$A$5:$A$1012,$W$2,'PIB-Mpal 2015-2022 Corrient '!$E$5:$E$1012,$A23)</f>
        <v>473.79830518463359</v>
      </c>
      <c r="W23" s="98">
        <f t="shared" si="3"/>
        <v>3.0854389518820582E-3</v>
      </c>
      <c r="X23" s="268">
        <f>INDEX(POBLACION!$C$4:$W$128,MATCH(A23,POBLACION!$A$4:$A$128,0),MATCH($W$2,POBLACION!$C$3:$W$3,0))</f>
        <v>25210</v>
      </c>
      <c r="Y23" s="258">
        <f t="shared" si="5"/>
        <v>17069.076272299946</v>
      </c>
      <c r="Z23" s="270">
        <f t="shared" si="6"/>
        <v>18794.062085864087</v>
      </c>
      <c r="AA23" s="273">
        <f t="shared" si="7"/>
        <v>4.2322100190234755</v>
      </c>
      <c r="AB23" s="273">
        <f t="shared" si="8"/>
        <v>4.2740206572061261</v>
      </c>
    </row>
    <row r="24" spans="1:39" ht="16" thickBot="1" x14ac:dyDescent="0.25">
      <c r="A24" s="122" t="s">
        <v>141</v>
      </c>
      <c r="B24" s="112" t="s">
        <v>142</v>
      </c>
      <c r="C24" s="117"/>
      <c r="D24" s="118"/>
      <c r="E24" s="113">
        <f>SUM(E25:E30)</f>
        <v>119.87380664099132</v>
      </c>
      <c r="F24" s="113">
        <f t="shared" ref="F24:X24" si="10">SUM(F25:F30)</f>
        <v>922.86612499572084</v>
      </c>
      <c r="G24" s="113">
        <f t="shared" si="10"/>
        <v>133.59263783871856</v>
      </c>
      <c r="H24" s="113">
        <f t="shared" si="10"/>
        <v>59.349644510026636</v>
      </c>
      <c r="I24" s="113">
        <f t="shared" si="10"/>
        <v>152.07413465033099</v>
      </c>
      <c r="J24" s="113">
        <f t="shared" si="10"/>
        <v>333.55075952087566</v>
      </c>
      <c r="K24" s="113">
        <f t="shared" si="10"/>
        <v>42.289071875401262</v>
      </c>
      <c r="L24" s="113">
        <f t="shared" si="10"/>
        <v>34.539103352857978</v>
      </c>
      <c r="M24" s="113">
        <f t="shared" si="10"/>
        <v>110.37022830102164</v>
      </c>
      <c r="N24" s="113">
        <f t="shared" si="10"/>
        <v>225.30132682823307</v>
      </c>
      <c r="O24" s="113">
        <f t="shared" si="10"/>
        <v>249.02508257386305</v>
      </c>
      <c r="P24" s="123">
        <f t="shared" si="10"/>
        <v>55.023631350659947</v>
      </c>
      <c r="Q24" s="193">
        <f t="shared" si="10"/>
        <v>1042.7399316367121</v>
      </c>
      <c r="R24" s="113">
        <f t="shared" si="10"/>
        <v>192.94228234874521</v>
      </c>
      <c r="S24" s="114">
        <f t="shared" si="10"/>
        <v>1202.1733384532436</v>
      </c>
      <c r="T24" s="208">
        <f t="shared" si="10"/>
        <v>2437.8555524387011</v>
      </c>
      <c r="U24" s="186">
        <f t="shared" si="10"/>
        <v>246.36753485598524</v>
      </c>
      <c r="V24" s="123">
        <f t="shared" si="10"/>
        <v>2684.2230872946861</v>
      </c>
      <c r="W24" s="115">
        <f t="shared" si="3"/>
        <v>1.748002552658507E-2</v>
      </c>
      <c r="X24" s="208">
        <f t="shared" si="10"/>
        <v>105361</v>
      </c>
      <c r="Y24" s="258">
        <f t="shared" si="5"/>
        <v>23138.120864823806</v>
      </c>
      <c r="Z24" s="270">
        <f t="shared" si="6"/>
        <v>25476.438979268289</v>
      </c>
      <c r="AA24" s="273">
        <f t="shared" si="7"/>
        <v>4.3643280853341366</v>
      </c>
      <c r="AB24" s="273">
        <f t="shared" si="8"/>
        <v>4.4061387235167864</v>
      </c>
    </row>
    <row r="25" spans="1:39" x14ac:dyDescent="0.2">
      <c r="A25" s="121" t="s">
        <v>143</v>
      </c>
      <c r="B25" s="101" t="s">
        <v>144</v>
      </c>
      <c r="C25" s="108" t="s">
        <v>145</v>
      </c>
      <c r="D25" s="101" t="s">
        <v>146</v>
      </c>
      <c r="E25" s="51">
        <f>SUMIFS('PIB-Mpal 2015-2022 Corrient '!H$5:H$1012,'PIB-Mpal 2015-2022 Corrient '!$A$5:$A$1012,$W$2,'PIB-Mpal 2015-2022 Corrient '!$E$5:$E$1012,$A25)</f>
        <v>7.4331896938256437</v>
      </c>
      <c r="F25" s="51">
        <f>SUMIFS('PIB-Mpal 2015-2022 Corrient '!I$5:I$1012,'PIB-Mpal 2015-2022 Corrient '!$A$5:$A$1012,$W$2,'PIB-Mpal 2015-2022 Corrient '!$E$5:$E$1012,$A25)</f>
        <v>0.24167523559023874</v>
      </c>
      <c r="G25" s="51">
        <f>SUMIFS('PIB-Mpal 2015-2022 Corrient '!K$5:K$1012,'PIB-Mpal 2015-2022 Corrient '!$A$5:$A$1012,$W$2,'PIB-Mpal 2015-2022 Corrient '!$E$5:$E$1012,$A25)</f>
        <v>0.83444902542892652</v>
      </c>
      <c r="H25" s="51">
        <f>SUMIFS('PIB-Mpal 2015-2022 Corrient '!L$5:L$1012,'PIB-Mpal 2015-2022 Corrient '!$A$5:$A$1012,$W$2,'PIB-Mpal 2015-2022 Corrient '!$E$5:$E$1012,$A25)</f>
        <v>3.7908870935164183</v>
      </c>
      <c r="I25" s="51">
        <f>SUMIFS('PIB-Mpal 2015-2022 Corrient '!N$5:N$1012,'PIB-Mpal 2015-2022 Corrient '!$A$5:$A$1012,$W$2,'PIB-Mpal 2015-2022 Corrient '!$E$5:$E$1012,$A25)</f>
        <v>3.4472160602619475</v>
      </c>
      <c r="J25" s="51">
        <f>SUMIFS('PIB-Mpal 2015-2022 Corrient '!O$5:O$1012,'PIB-Mpal 2015-2022 Corrient '!$A$5:$A$1012,$W$2,'PIB-Mpal 2015-2022 Corrient '!$E$5:$E$1012,$A25)</f>
        <v>7.643512353469462</v>
      </c>
      <c r="K25" s="51">
        <f>SUMIFS('PIB-Mpal 2015-2022 Corrient '!P$5:P$1012,'PIB-Mpal 2015-2022 Corrient '!$A$5:$A$1012,$W$2,'PIB-Mpal 2015-2022 Corrient '!$E$5:$E$1012,$A25)</f>
        <v>1.7216538827588301</v>
      </c>
      <c r="L25" s="51">
        <f>SUMIFS('PIB-Mpal 2015-2022 Corrient '!Q$5:Q$1012,'PIB-Mpal 2015-2022 Corrient '!$A$5:$A$1012,$W$2,'PIB-Mpal 2015-2022 Corrient '!$E$5:$E$1012,$A25)</f>
        <v>1.2681900978562659</v>
      </c>
      <c r="M25" s="51">
        <f>SUMIFS('PIB-Mpal 2015-2022 Corrient '!R$5:R$1012,'PIB-Mpal 2015-2022 Corrient '!$A$5:$A$1012,$W$2,'PIB-Mpal 2015-2022 Corrient '!$E$5:$E$1012,$A25)</f>
        <v>4.0572009272757876</v>
      </c>
      <c r="N25" s="51">
        <f>SUMIFS('PIB-Mpal 2015-2022 Corrient '!S$5:S$1012,'PIB-Mpal 2015-2022 Corrient '!$A$5:$A$1012,$W$2,'PIB-Mpal 2015-2022 Corrient '!$E$5:$E$1012,$A25)</f>
        <v>6.5827379408179576</v>
      </c>
      <c r="O25" s="51">
        <f>SUMIFS('PIB-Mpal 2015-2022 Corrient '!T$5:T$1012,'PIB-Mpal 2015-2022 Corrient '!$A$5:$A$1012,$W$2,'PIB-Mpal 2015-2022 Corrient '!$E$5:$E$1012,$A25)</f>
        <v>14.45063547008448</v>
      </c>
      <c r="P25" s="150">
        <f>SUMIFS('PIB-Mpal 2015-2022 Corrient '!U$5:U$1012,'PIB-Mpal 2015-2022 Corrient '!$A$5:$A$1012,$W$2,'PIB-Mpal 2015-2022 Corrient '!$E$5:$E$1012,$A25)</f>
        <v>1.7905143380263251</v>
      </c>
      <c r="Q25" s="156">
        <f>SUMIFS('PIB-Mpal 2015-2022 Corrient '!J$5:J$1012,'PIB-Mpal 2015-2022 Corrient '!$A$5:$A$1012,$W$2,'PIB-Mpal 2015-2022 Corrient '!$E$5:$E$1012,$A25)</f>
        <v>7.6748649294158824</v>
      </c>
      <c r="R25" s="52">
        <f>SUMIFS('PIB-Mpal 2015-2022 Corrient '!M$5:M$1012,'PIB-Mpal 2015-2022 Corrient '!$A$5:$A$1012,$W$2,'PIB-Mpal 2015-2022 Corrient '!$E$5:$E$1012,$A25)</f>
        <v>4.625336118945345</v>
      </c>
      <c r="S25" s="53">
        <f>SUMIFS('PIB-Mpal 2015-2022 Corrient '!V$5:V$1012,'PIB-Mpal 2015-2022 Corrient '!$A$5:$A$1012,$W$2,'PIB-Mpal 2015-2022 Corrient '!$E$5:$E$1012,$A25)</f>
        <v>40.961661070551052</v>
      </c>
      <c r="T25" s="207">
        <f>SUMIFS('PIB-Mpal 2015-2022 Corrient '!W$5:W$1012,'PIB-Mpal 2015-2022 Corrient '!$A$5:$A$1012,$W$2,'PIB-Mpal 2015-2022 Corrient '!$E$5:$E$1012,$A25)</f>
        <v>53.261862118912283</v>
      </c>
      <c r="U25" s="203">
        <f>SUMIFS('PIB-Mpal 2015-2022 Corrient '!X$5:X$1012,'PIB-Mpal 2015-2022 Corrient '!$A$5:$A$1012,$W$2,'PIB-Mpal 2015-2022 Corrient '!$E$5:$E$1012,$A25)</f>
        <v>5.3825968724641049</v>
      </c>
      <c r="V25" s="88">
        <f>SUMIFS('PIB-Mpal 2015-2022 Corrient '!Y$5:Y$1012,'PIB-Mpal 2015-2022 Corrient '!$A$5:$A$1012,$W$2,'PIB-Mpal 2015-2022 Corrient '!$E$5:$E$1012,$A25)</f>
        <v>58.644458991376389</v>
      </c>
      <c r="W25" s="100">
        <f t="shared" si="3"/>
        <v>3.819006866508968E-4</v>
      </c>
      <c r="X25" s="268">
        <f>INDEX(POBLACION!$C$4:$W$128,MATCH(A25,POBLACION!$A$4:$A$128,0),MATCH($W$2,POBLACION!$C$3:$W$3,0))</f>
        <v>4537</v>
      </c>
      <c r="Y25" s="258">
        <f t="shared" si="5"/>
        <v>11739.445033923801</v>
      </c>
      <c r="Z25" s="270">
        <f t="shared" si="6"/>
        <v>12925.823008899359</v>
      </c>
      <c r="AA25" s="273">
        <f t="shared" si="7"/>
        <v>4.0696475667240861</v>
      </c>
      <c r="AB25" s="273">
        <f t="shared" si="8"/>
        <v>4.1114582049067367</v>
      </c>
    </row>
    <row r="26" spans="1:39" x14ac:dyDescent="0.2">
      <c r="A26" s="35" t="s">
        <v>147</v>
      </c>
      <c r="B26" s="32" t="s">
        <v>144</v>
      </c>
      <c r="C26" s="33" t="s">
        <v>145</v>
      </c>
      <c r="D26" s="32" t="s">
        <v>148</v>
      </c>
      <c r="E26" s="51">
        <f>SUMIFS('PIB-Mpal 2015-2022 Corrient '!H$5:H$1012,'PIB-Mpal 2015-2022 Corrient '!$A$5:$A$1012,$W$2,'PIB-Mpal 2015-2022 Corrient '!$E$5:$E$1012,$A26)</f>
        <v>22.466512007782242</v>
      </c>
      <c r="F26" s="51">
        <f>SUMIFS('PIB-Mpal 2015-2022 Corrient '!I$5:I$1012,'PIB-Mpal 2015-2022 Corrient '!$A$5:$A$1012,$W$2,'PIB-Mpal 2015-2022 Corrient '!$E$5:$E$1012,$A26)</f>
        <v>0</v>
      </c>
      <c r="G26" s="51">
        <f>SUMIFS('PIB-Mpal 2015-2022 Corrient '!K$5:K$1012,'PIB-Mpal 2015-2022 Corrient '!$A$5:$A$1012,$W$2,'PIB-Mpal 2015-2022 Corrient '!$E$5:$E$1012,$A26)</f>
        <v>1.1623717601789529</v>
      </c>
      <c r="H26" s="51">
        <f>SUMIFS('PIB-Mpal 2015-2022 Corrient '!L$5:L$1012,'PIB-Mpal 2015-2022 Corrient '!$A$5:$A$1012,$W$2,'PIB-Mpal 2015-2022 Corrient '!$E$5:$E$1012,$A26)</f>
        <v>7.9410801654651966</v>
      </c>
      <c r="I26" s="51">
        <f>SUMIFS('PIB-Mpal 2015-2022 Corrient '!N$5:N$1012,'PIB-Mpal 2015-2022 Corrient '!$A$5:$A$1012,$W$2,'PIB-Mpal 2015-2022 Corrient '!$E$5:$E$1012,$A26)</f>
        <v>3.170154082334999</v>
      </c>
      <c r="J26" s="51">
        <f>SUMIFS('PIB-Mpal 2015-2022 Corrient '!O$5:O$1012,'PIB-Mpal 2015-2022 Corrient '!$A$5:$A$1012,$W$2,'PIB-Mpal 2015-2022 Corrient '!$E$5:$E$1012,$A26)</f>
        <v>22.899056552218408</v>
      </c>
      <c r="K26" s="51">
        <f>SUMIFS('PIB-Mpal 2015-2022 Corrient '!P$5:P$1012,'PIB-Mpal 2015-2022 Corrient '!$A$5:$A$1012,$W$2,'PIB-Mpal 2015-2022 Corrient '!$E$5:$E$1012,$A26)</f>
        <v>2.757042309773678</v>
      </c>
      <c r="L26" s="51">
        <f>SUMIFS('PIB-Mpal 2015-2022 Corrient '!Q$5:Q$1012,'PIB-Mpal 2015-2022 Corrient '!$A$5:$A$1012,$W$2,'PIB-Mpal 2015-2022 Corrient '!$E$5:$E$1012,$A26)</f>
        <v>1.8223585958441193</v>
      </c>
      <c r="M26" s="51">
        <f>SUMIFS('PIB-Mpal 2015-2022 Corrient '!R$5:R$1012,'PIB-Mpal 2015-2022 Corrient '!$A$5:$A$1012,$W$2,'PIB-Mpal 2015-2022 Corrient '!$E$5:$E$1012,$A26)</f>
        <v>7.5237620220163315</v>
      </c>
      <c r="N26" s="51">
        <f>SUMIFS('PIB-Mpal 2015-2022 Corrient '!S$5:S$1012,'PIB-Mpal 2015-2022 Corrient '!$A$5:$A$1012,$W$2,'PIB-Mpal 2015-2022 Corrient '!$E$5:$E$1012,$A26)</f>
        <v>10.293329587241084</v>
      </c>
      <c r="O26" s="51">
        <f>SUMIFS('PIB-Mpal 2015-2022 Corrient '!T$5:T$1012,'PIB-Mpal 2015-2022 Corrient '!$A$5:$A$1012,$W$2,'PIB-Mpal 2015-2022 Corrient '!$E$5:$E$1012,$A26)</f>
        <v>20.569367765976125</v>
      </c>
      <c r="P26" s="150">
        <f>SUMIFS('PIB-Mpal 2015-2022 Corrient '!U$5:U$1012,'PIB-Mpal 2015-2022 Corrient '!$A$5:$A$1012,$W$2,'PIB-Mpal 2015-2022 Corrient '!$E$5:$E$1012,$A26)</f>
        <v>3.6244369504378851</v>
      </c>
      <c r="Q26" s="156">
        <f>SUMIFS('PIB-Mpal 2015-2022 Corrient '!J$5:J$1012,'PIB-Mpal 2015-2022 Corrient '!$A$5:$A$1012,$W$2,'PIB-Mpal 2015-2022 Corrient '!$E$5:$E$1012,$A26)</f>
        <v>22.466512007782242</v>
      </c>
      <c r="R26" s="52">
        <f>SUMIFS('PIB-Mpal 2015-2022 Corrient '!M$5:M$1012,'PIB-Mpal 2015-2022 Corrient '!$A$5:$A$1012,$W$2,'PIB-Mpal 2015-2022 Corrient '!$E$5:$E$1012,$A26)</f>
        <v>9.1034519256441495</v>
      </c>
      <c r="S26" s="53">
        <f>SUMIFS('PIB-Mpal 2015-2022 Corrient '!V$5:V$1012,'PIB-Mpal 2015-2022 Corrient '!$A$5:$A$1012,$W$2,'PIB-Mpal 2015-2022 Corrient '!$E$5:$E$1012,$A26)</f>
        <v>72.659507865842613</v>
      </c>
      <c r="T26" s="207">
        <f>SUMIFS('PIB-Mpal 2015-2022 Corrient '!W$5:W$1012,'PIB-Mpal 2015-2022 Corrient '!$A$5:$A$1012,$W$2,'PIB-Mpal 2015-2022 Corrient '!$E$5:$E$1012,$A26)</f>
        <v>104.22947179926901</v>
      </c>
      <c r="U26" s="203">
        <f>SUMIFS('PIB-Mpal 2015-2022 Corrient '!X$5:X$1012,'PIB-Mpal 2015-2022 Corrient '!$A$5:$A$1012,$W$2,'PIB-Mpal 2015-2022 Corrient '!$E$5:$E$1012,$A26)</f>
        <v>10.533338614275026</v>
      </c>
      <c r="V26" s="88">
        <f>SUMIFS('PIB-Mpal 2015-2022 Corrient '!Y$5:Y$1012,'PIB-Mpal 2015-2022 Corrient '!$A$5:$A$1012,$W$2,'PIB-Mpal 2015-2022 Corrient '!$E$5:$E$1012,$A26)</f>
        <v>114.76281041354403</v>
      </c>
      <c r="W26" s="92">
        <f t="shared" si="3"/>
        <v>7.473510175166594E-4</v>
      </c>
      <c r="X26" s="268">
        <f>INDEX(POBLACION!$C$4:$W$128,MATCH(A26,POBLACION!$A$4:$A$128,0),MATCH($W$2,POBLACION!$C$3:$W$3,0))</f>
        <v>8218</v>
      </c>
      <c r="Y26" s="258">
        <f t="shared" si="5"/>
        <v>12683.070308988685</v>
      </c>
      <c r="Z26" s="270">
        <f t="shared" si="6"/>
        <v>13964.810223113169</v>
      </c>
      <c r="AA26" s="273">
        <f t="shared" si="7"/>
        <v>4.1032243999843585</v>
      </c>
      <c r="AB26" s="273">
        <f t="shared" si="8"/>
        <v>4.1450350381670082</v>
      </c>
    </row>
    <row r="27" spans="1:39" x14ac:dyDescent="0.2">
      <c r="A27" s="35" t="s">
        <v>149</v>
      </c>
      <c r="B27" s="32" t="s">
        <v>144</v>
      </c>
      <c r="C27" s="33" t="s">
        <v>145</v>
      </c>
      <c r="D27" s="32" t="s">
        <v>150</v>
      </c>
      <c r="E27" s="51">
        <f>SUMIFS('PIB-Mpal 2015-2022 Corrient '!H$5:H$1012,'PIB-Mpal 2015-2022 Corrient '!$A$5:$A$1012,$W$2,'PIB-Mpal 2015-2022 Corrient '!$E$5:$E$1012,$A27)</f>
        <v>27.739725827113322</v>
      </c>
      <c r="F27" s="51">
        <f>SUMIFS('PIB-Mpal 2015-2022 Corrient '!I$5:I$1012,'PIB-Mpal 2015-2022 Corrient '!$A$5:$A$1012,$W$2,'PIB-Mpal 2015-2022 Corrient '!$E$5:$E$1012,$A27)</f>
        <v>74.995430178058385</v>
      </c>
      <c r="G27" s="51">
        <f>SUMIFS('PIB-Mpal 2015-2022 Corrient '!K$5:K$1012,'PIB-Mpal 2015-2022 Corrient '!$A$5:$A$1012,$W$2,'PIB-Mpal 2015-2022 Corrient '!$E$5:$E$1012,$A27)</f>
        <v>51.421946943922592</v>
      </c>
      <c r="H27" s="51">
        <f>SUMIFS('PIB-Mpal 2015-2022 Corrient '!L$5:L$1012,'PIB-Mpal 2015-2022 Corrient '!$A$5:$A$1012,$W$2,'PIB-Mpal 2015-2022 Corrient '!$E$5:$E$1012,$A27)</f>
        <v>13.996081843267007</v>
      </c>
      <c r="I27" s="51">
        <f>SUMIFS('PIB-Mpal 2015-2022 Corrient '!N$5:N$1012,'PIB-Mpal 2015-2022 Corrient '!$A$5:$A$1012,$W$2,'PIB-Mpal 2015-2022 Corrient '!$E$5:$E$1012,$A27)</f>
        <v>48.317594330372039</v>
      </c>
      <c r="J27" s="51">
        <f>SUMIFS('PIB-Mpal 2015-2022 Corrient '!O$5:O$1012,'PIB-Mpal 2015-2022 Corrient '!$A$5:$A$1012,$W$2,'PIB-Mpal 2015-2022 Corrient '!$E$5:$E$1012,$A27)</f>
        <v>170.19069236015454</v>
      </c>
      <c r="K27" s="51">
        <f>SUMIFS('PIB-Mpal 2015-2022 Corrient '!P$5:P$1012,'PIB-Mpal 2015-2022 Corrient '!$A$5:$A$1012,$W$2,'PIB-Mpal 2015-2022 Corrient '!$E$5:$E$1012,$A27)</f>
        <v>18.524163176423855</v>
      </c>
      <c r="L27" s="51">
        <f>SUMIFS('PIB-Mpal 2015-2022 Corrient '!Q$5:Q$1012,'PIB-Mpal 2015-2022 Corrient '!$A$5:$A$1012,$W$2,'PIB-Mpal 2015-2022 Corrient '!$E$5:$E$1012,$A27)</f>
        <v>23.908466935213344</v>
      </c>
      <c r="M27" s="51">
        <f>SUMIFS('PIB-Mpal 2015-2022 Corrient '!R$5:R$1012,'PIB-Mpal 2015-2022 Corrient '!$A$5:$A$1012,$W$2,'PIB-Mpal 2015-2022 Corrient '!$E$5:$E$1012,$A27)</f>
        <v>52.049924163619536</v>
      </c>
      <c r="N27" s="51">
        <f>SUMIFS('PIB-Mpal 2015-2022 Corrient '!S$5:S$1012,'PIB-Mpal 2015-2022 Corrient '!$A$5:$A$1012,$W$2,'PIB-Mpal 2015-2022 Corrient '!$E$5:$E$1012,$A27)</f>
        <v>72.365483742923686</v>
      </c>
      <c r="O27" s="51">
        <f>SUMIFS('PIB-Mpal 2015-2022 Corrient '!T$5:T$1012,'PIB-Mpal 2015-2022 Corrient '!$A$5:$A$1012,$W$2,'PIB-Mpal 2015-2022 Corrient '!$E$5:$E$1012,$A27)</f>
        <v>89.840899559380176</v>
      </c>
      <c r="P27" s="150">
        <f>SUMIFS('PIB-Mpal 2015-2022 Corrient '!U$5:U$1012,'PIB-Mpal 2015-2022 Corrient '!$A$5:$A$1012,$W$2,'PIB-Mpal 2015-2022 Corrient '!$E$5:$E$1012,$A27)</f>
        <v>20.569974080187979</v>
      </c>
      <c r="Q27" s="156">
        <f>SUMIFS('PIB-Mpal 2015-2022 Corrient '!J$5:J$1012,'PIB-Mpal 2015-2022 Corrient '!$A$5:$A$1012,$W$2,'PIB-Mpal 2015-2022 Corrient '!$E$5:$E$1012,$A27)</f>
        <v>102.7351560051717</v>
      </c>
      <c r="R27" s="52">
        <f>SUMIFS('PIB-Mpal 2015-2022 Corrient '!M$5:M$1012,'PIB-Mpal 2015-2022 Corrient '!$A$5:$A$1012,$W$2,'PIB-Mpal 2015-2022 Corrient '!$E$5:$E$1012,$A27)</f>
        <v>65.418028787189598</v>
      </c>
      <c r="S27" s="53">
        <f>SUMIFS('PIB-Mpal 2015-2022 Corrient '!V$5:V$1012,'PIB-Mpal 2015-2022 Corrient '!$A$5:$A$1012,$W$2,'PIB-Mpal 2015-2022 Corrient '!$E$5:$E$1012,$A27)</f>
        <v>495.7671983482752</v>
      </c>
      <c r="T27" s="207">
        <f>SUMIFS('PIB-Mpal 2015-2022 Corrient '!W$5:W$1012,'PIB-Mpal 2015-2022 Corrient '!$A$5:$A$1012,$W$2,'PIB-Mpal 2015-2022 Corrient '!$E$5:$E$1012,$A27)</f>
        <v>663.92038314063655</v>
      </c>
      <c r="U27" s="203">
        <f>SUMIFS('PIB-Mpal 2015-2022 Corrient '!X$5:X$1012,'PIB-Mpal 2015-2022 Corrient '!$A$5:$A$1012,$W$2,'PIB-Mpal 2015-2022 Corrient '!$E$5:$E$1012,$A27)</f>
        <v>67.095209136314367</v>
      </c>
      <c r="V27" s="88">
        <f>SUMIFS('PIB-Mpal 2015-2022 Corrient '!Y$5:Y$1012,'PIB-Mpal 2015-2022 Corrient '!$A$5:$A$1012,$W$2,'PIB-Mpal 2015-2022 Corrient '!$E$5:$E$1012,$A27)</f>
        <v>731.01559227695088</v>
      </c>
      <c r="W27" s="92">
        <f t="shared" si="3"/>
        <v>4.7604728808928395E-3</v>
      </c>
      <c r="X27" s="268">
        <f>INDEX(POBLACION!$C$4:$W$128,MATCH(A27,POBLACION!$A$4:$A$128,0),MATCH($W$2,POBLACION!$C$3:$W$3,0))</f>
        <v>40048</v>
      </c>
      <c r="Y27" s="258">
        <f t="shared" si="5"/>
        <v>16578.1158395085</v>
      </c>
      <c r="Z27" s="270">
        <f t="shared" si="6"/>
        <v>18253.485624174762</v>
      </c>
      <c r="AA27" s="273">
        <f t="shared" si="7"/>
        <v>4.2195351699414605</v>
      </c>
      <c r="AB27" s="273">
        <f t="shared" si="8"/>
        <v>4.2613458081241111</v>
      </c>
    </row>
    <row r="28" spans="1:39" x14ac:dyDescent="0.2">
      <c r="A28" s="35" t="s">
        <v>151</v>
      </c>
      <c r="B28" s="32" t="s">
        <v>144</v>
      </c>
      <c r="C28" s="33" t="s">
        <v>145</v>
      </c>
      <c r="D28" s="32" t="s">
        <v>152</v>
      </c>
      <c r="E28" s="51">
        <f>SUMIFS('PIB-Mpal 2015-2022 Corrient '!H$5:H$1012,'PIB-Mpal 2015-2022 Corrient '!$A$5:$A$1012,$W$2,'PIB-Mpal 2015-2022 Corrient '!$E$5:$E$1012,$A28)</f>
        <v>7.8555077344782687</v>
      </c>
      <c r="F28" s="51">
        <f>SUMIFS('PIB-Mpal 2015-2022 Corrient '!I$5:I$1012,'PIB-Mpal 2015-2022 Corrient '!$A$5:$A$1012,$W$2,'PIB-Mpal 2015-2022 Corrient '!$E$5:$E$1012,$A28)</f>
        <v>124.09048668058747</v>
      </c>
      <c r="G28" s="51">
        <f>SUMIFS('PIB-Mpal 2015-2022 Corrient '!K$5:K$1012,'PIB-Mpal 2015-2022 Corrient '!$A$5:$A$1012,$W$2,'PIB-Mpal 2015-2022 Corrient '!$E$5:$E$1012,$A28)</f>
        <v>55.745029189344763</v>
      </c>
      <c r="H28" s="51">
        <f>SUMIFS('PIB-Mpal 2015-2022 Corrient '!L$5:L$1012,'PIB-Mpal 2015-2022 Corrient '!$A$5:$A$1012,$W$2,'PIB-Mpal 2015-2022 Corrient '!$E$5:$E$1012,$A28)</f>
        <v>7.3087461888727461</v>
      </c>
      <c r="I28" s="51">
        <f>SUMIFS('PIB-Mpal 2015-2022 Corrient '!N$5:N$1012,'PIB-Mpal 2015-2022 Corrient '!$A$5:$A$1012,$W$2,'PIB-Mpal 2015-2022 Corrient '!$E$5:$E$1012,$A28)</f>
        <v>65.753859517208042</v>
      </c>
      <c r="J28" s="51">
        <f>SUMIFS('PIB-Mpal 2015-2022 Corrient '!O$5:O$1012,'PIB-Mpal 2015-2022 Corrient '!$A$5:$A$1012,$W$2,'PIB-Mpal 2015-2022 Corrient '!$E$5:$E$1012,$A28)</f>
        <v>42.634964031256885</v>
      </c>
      <c r="K28" s="51">
        <f>SUMIFS('PIB-Mpal 2015-2022 Corrient '!P$5:P$1012,'PIB-Mpal 2015-2022 Corrient '!$A$5:$A$1012,$W$2,'PIB-Mpal 2015-2022 Corrient '!$E$5:$E$1012,$A28)</f>
        <v>9.3191940970357638</v>
      </c>
      <c r="L28" s="51">
        <f>SUMIFS('PIB-Mpal 2015-2022 Corrient '!Q$5:Q$1012,'PIB-Mpal 2015-2022 Corrient '!$A$5:$A$1012,$W$2,'PIB-Mpal 2015-2022 Corrient '!$E$5:$E$1012,$A28)</f>
        <v>4.0413913452455441</v>
      </c>
      <c r="M28" s="51">
        <f>SUMIFS('PIB-Mpal 2015-2022 Corrient '!R$5:R$1012,'PIB-Mpal 2015-2022 Corrient '!$A$5:$A$1012,$W$2,'PIB-Mpal 2015-2022 Corrient '!$E$5:$E$1012,$A28)</f>
        <v>20.700150101691325</v>
      </c>
      <c r="N28" s="51">
        <f>SUMIFS('PIB-Mpal 2015-2022 Corrient '!S$5:S$1012,'PIB-Mpal 2015-2022 Corrient '!$A$5:$A$1012,$W$2,'PIB-Mpal 2015-2022 Corrient '!$E$5:$E$1012,$A28)</f>
        <v>57.525037004200392</v>
      </c>
      <c r="O28" s="51">
        <f>SUMIFS('PIB-Mpal 2015-2022 Corrient '!T$5:T$1012,'PIB-Mpal 2015-2022 Corrient '!$A$5:$A$1012,$W$2,'PIB-Mpal 2015-2022 Corrient '!$E$5:$E$1012,$A28)</f>
        <v>69.568643176097524</v>
      </c>
      <c r="P28" s="150">
        <f>SUMIFS('PIB-Mpal 2015-2022 Corrient '!U$5:U$1012,'PIB-Mpal 2015-2022 Corrient '!$A$5:$A$1012,$W$2,'PIB-Mpal 2015-2022 Corrient '!$E$5:$E$1012,$A28)</f>
        <v>16.82327261931967</v>
      </c>
      <c r="Q28" s="156">
        <f>SUMIFS('PIB-Mpal 2015-2022 Corrient '!J$5:J$1012,'PIB-Mpal 2015-2022 Corrient '!$A$5:$A$1012,$W$2,'PIB-Mpal 2015-2022 Corrient '!$E$5:$E$1012,$A28)</f>
        <v>131.94599441506574</v>
      </c>
      <c r="R28" s="52">
        <f>SUMIFS('PIB-Mpal 2015-2022 Corrient '!M$5:M$1012,'PIB-Mpal 2015-2022 Corrient '!$A$5:$A$1012,$W$2,'PIB-Mpal 2015-2022 Corrient '!$E$5:$E$1012,$A28)</f>
        <v>63.053775378217509</v>
      </c>
      <c r="S28" s="53">
        <f>SUMIFS('PIB-Mpal 2015-2022 Corrient '!V$5:V$1012,'PIB-Mpal 2015-2022 Corrient '!$A$5:$A$1012,$W$2,'PIB-Mpal 2015-2022 Corrient '!$E$5:$E$1012,$A28)</f>
        <v>286.36651189205514</v>
      </c>
      <c r="T28" s="207">
        <f>SUMIFS('PIB-Mpal 2015-2022 Corrient '!W$5:W$1012,'PIB-Mpal 2015-2022 Corrient '!$A$5:$A$1012,$W$2,'PIB-Mpal 2015-2022 Corrient '!$E$5:$E$1012,$A28)</f>
        <v>481.36628168533838</v>
      </c>
      <c r="U28" s="203">
        <f>SUMIFS('PIB-Mpal 2015-2022 Corrient '!X$5:X$1012,'PIB-Mpal 2015-2022 Corrient '!$A$5:$A$1012,$W$2,'PIB-Mpal 2015-2022 Corrient '!$E$5:$E$1012,$A28)</f>
        <v>48.646452437665751</v>
      </c>
      <c r="V28" s="88">
        <f>SUMIFS('PIB-Mpal 2015-2022 Corrient '!Y$5:Y$1012,'PIB-Mpal 2015-2022 Corrient '!$A$5:$A$1012,$W$2,'PIB-Mpal 2015-2022 Corrient '!$E$5:$E$1012,$A28)</f>
        <v>530.01273412300418</v>
      </c>
      <c r="W28" s="92">
        <f t="shared" si="3"/>
        <v>3.4515149525901332E-3</v>
      </c>
      <c r="X28" s="268">
        <f>INDEX(POBLACION!$C$4:$W$128,MATCH(A28,POBLACION!$A$4:$A$128,0),MATCH($W$2,POBLACION!$C$3:$W$3,0))</f>
        <v>14384</v>
      </c>
      <c r="Y28" s="258">
        <f t="shared" si="5"/>
        <v>33465.39778123876</v>
      </c>
      <c r="Z28" s="270">
        <f t="shared" si="6"/>
        <v>36847.381404547014</v>
      </c>
      <c r="AA28" s="273">
        <f t="shared" si="7"/>
        <v>4.5245959915439204</v>
      </c>
      <c r="AB28" s="273">
        <f t="shared" si="8"/>
        <v>4.5664066297265711</v>
      </c>
      <c r="AG28" s="277"/>
      <c r="AH28" s="278"/>
      <c r="AI28" s="279"/>
      <c r="AJ28" s="280"/>
      <c r="AK28" s="280"/>
      <c r="AL28" s="280"/>
      <c r="AM28" s="280"/>
    </row>
    <row r="29" spans="1:39" x14ac:dyDescent="0.2">
      <c r="A29" s="35" t="s">
        <v>153</v>
      </c>
      <c r="B29" s="32" t="s">
        <v>144</v>
      </c>
      <c r="C29" s="33" t="s">
        <v>145</v>
      </c>
      <c r="D29" s="32" t="s">
        <v>154</v>
      </c>
      <c r="E29" s="51">
        <f>SUMIFS('PIB-Mpal 2015-2022 Corrient '!H$5:H$1012,'PIB-Mpal 2015-2022 Corrient '!$A$5:$A$1012,$W$2,'PIB-Mpal 2015-2022 Corrient '!$E$5:$E$1012,$A29)</f>
        <v>11.61995996403976</v>
      </c>
      <c r="F29" s="51">
        <f>SUMIFS('PIB-Mpal 2015-2022 Corrient '!I$5:I$1012,'PIB-Mpal 2015-2022 Corrient '!$A$5:$A$1012,$W$2,'PIB-Mpal 2015-2022 Corrient '!$E$5:$E$1012,$A29)</f>
        <v>8.9491031784446289</v>
      </c>
      <c r="G29" s="51">
        <f>SUMIFS('PIB-Mpal 2015-2022 Corrient '!K$5:K$1012,'PIB-Mpal 2015-2022 Corrient '!$A$5:$A$1012,$W$2,'PIB-Mpal 2015-2022 Corrient '!$E$5:$E$1012,$A29)</f>
        <v>21.285387967833056</v>
      </c>
      <c r="H29" s="51">
        <f>SUMIFS('PIB-Mpal 2015-2022 Corrient '!L$5:L$1012,'PIB-Mpal 2015-2022 Corrient '!$A$5:$A$1012,$W$2,'PIB-Mpal 2015-2022 Corrient '!$E$5:$E$1012,$A29)</f>
        <v>7.0626009980175688</v>
      </c>
      <c r="I29" s="51">
        <f>SUMIFS('PIB-Mpal 2015-2022 Corrient '!N$5:N$1012,'PIB-Mpal 2015-2022 Corrient '!$A$5:$A$1012,$W$2,'PIB-Mpal 2015-2022 Corrient '!$E$5:$E$1012,$A29)</f>
        <v>14.868532680797239</v>
      </c>
      <c r="J29" s="51">
        <f>SUMIFS('PIB-Mpal 2015-2022 Corrient '!O$5:O$1012,'PIB-Mpal 2015-2022 Corrient '!$A$5:$A$1012,$W$2,'PIB-Mpal 2015-2022 Corrient '!$E$5:$E$1012,$A29)</f>
        <v>65.029330096191245</v>
      </c>
      <c r="K29" s="51">
        <f>SUMIFS('PIB-Mpal 2015-2022 Corrient '!P$5:P$1012,'PIB-Mpal 2015-2022 Corrient '!$A$5:$A$1012,$W$2,'PIB-Mpal 2015-2022 Corrient '!$E$5:$E$1012,$A29)</f>
        <v>5.3669234121022997</v>
      </c>
      <c r="L29" s="51">
        <f>SUMIFS('PIB-Mpal 2015-2022 Corrient '!Q$5:Q$1012,'PIB-Mpal 2015-2022 Corrient '!$A$5:$A$1012,$W$2,'PIB-Mpal 2015-2022 Corrient '!$E$5:$E$1012,$A29)</f>
        <v>1.7211888319831883</v>
      </c>
      <c r="M29" s="51">
        <f>SUMIFS('PIB-Mpal 2015-2022 Corrient '!R$5:R$1012,'PIB-Mpal 2015-2022 Corrient '!$A$5:$A$1012,$W$2,'PIB-Mpal 2015-2022 Corrient '!$E$5:$E$1012,$A29)</f>
        <v>14.598440715509472</v>
      </c>
      <c r="N29" s="51">
        <f>SUMIFS('PIB-Mpal 2015-2022 Corrient '!S$5:S$1012,'PIB-Mpal 2015-2022 Corrient '!$A$5:$A$1012,$W$2,'PIB-Mpal 2015-2022 Corrient '!$E$5:$E$1012,$A29)</f>
        <v>18.529699033830219</v>
      </c>
      <c r="O29" s="51">
        <f>SUMIFS('PIB-Mpal 2015-2022 Corrient '!T$5:T$1012,'PIB-Mpal 2015-2022 Corrient '!$A$5:$A$1012,$W$2,'PIB-Mpal 2015-2022 Corrient '!$E$5:$E$1012,$A29)</f>
        <v>25.323644691695161</v>
      </c>
      <c r="P29" s="150">
        <f>SUMIFS('PIB-Mpal 2015-2022 Corrient '!U$5:U$1012,'PIB-Mpal 2015-2022 Corrient '!$A$5:$A$1012,$W$2,'PIB-Mpal 2015-2022 Corrient '!$E$5:$E$1012,$A29)</f>
        <v>4.9503434664488735</v>
      </c>
      <c r="Q29" s="156">
        <f>SUMIFS('PIB-Mpal 2015-2022 Corrient '!J$5:J$1012,'PIB-Mpal 2015-2022 Corrient '!$A$5:$A$1012,$W$2,'PIB-Mpal 2015-2022 Corrient '!$E$5:$E$1012,$A29)</f>
        <v>20.569063142484389</v>
      </c>
      <c r="R29" s="52">
        <f>SUMIFS('PIB-Mpal 2015-2022 Corrient '!M$5:M$1012,'PIB-Mpal 2015-2022 Corrient '!$A$5:$A$1012,$W$2,'PIB-Mpal 2015-2022 Corrient '!$E$5:$E$1012,$A29)</f>
        <v>28.347988965850625</v>
      </c>
      <c r="S29" s="53">
        <f>SUMIFS('PIB-Mpal 2015-2022 Corrient '!V$5:V$1012,'PIB-Mpal 2015-2022 Corrient '!$A$5:$A$1012,$W$2,'PIB-Mpal 2015-2022 Corrient '!$E$5:$E$1012,$A29)</f>
        <v>150.38810292855771</v>
      </c>
      <c r="T29" s="207">
        <f>SUMIFS('PIB-Mpal 2015-2022 Corrient '!W$5:W$1012,'PIB-Mpal 2015-2022 Corrient '!$A$5:$A$1012,$W$2,'PIB-Mpal 2015-2022 Corrient '!$E$5:$E$1012,$A29)</f>
        <v>199.30515503689273</v>
      </c>
      <c r="U29" s="203">
        <f>SUMIFS('PIB-Mpal 2015-2022 Corrient '!X$5:X$1012,'PIB-Mpal 2015-2022 Corrient '!$A$5:$A$1012,$W$2,'PIB-Mpal 2015-2022 Corrient '!$E$5:$E$1012,$A29)</f>
        <v>20.141603419205815</v>
      </c>
      <c r="V29" s="88">
        <f>SUMIFS('PIB-Mpal 2015-2022 Corrient '!Y$5:Y$1012,'PIB-Mpal 2015-2022 Corrient '!$A$5:$A$1012,$W$2,'PIB-Mpal 2015-2022 Corrient '!$E$5:$E$1012,$A29)</f>
        <v>219.44675845609854</v>
      </c>
      <c r="W29" s="92">
        <f t="shared" si="3"/>
        <v>1.4290671135702903E-3</v>
      </c>
      <c r="X29" s="268">
        <f>INDEX(POBLACION!$C$4:$W$128,MATCH(A29,POBLACION!$A$4:$A$128,0),MATCH($W$2,POBLACION!$C$3:$W$3,0))</f>
        <v>18550</v>
      </c>
      <c r="Y29" s="258">
        <f t="shared" si="5"/>
        <v>10744.213209535998</v>
      </c>
      <c r="Z29" s="270">
        <f t="shared" si="6"/>
        <v>11830.013932943317</v>
      </c>
      <c r="AA29" s="273">
        <f t="shared" si="7"/>
        <v>4.0311746179412085</v>
      </c>
      <c r="AB29" s="273">
        <f t="shared" si="8"/>
        <v>4.0729852561238591</v>
      </c>
      <c r="AG29" s="281"/>
      <c r="AH29" s="282"/>
      <c r="AI29" s="282"/>
    </row>
    <row r="30" spans="1:39" ht="16" thickBot="1" x14ac:dyDescent="0.25">
      <c r="A30" s="120" t="s">
        <v>155</v>
      </c>
      <c r="B30" s="63" t="s">
        <v>144</v>
      </c>
      <c r="C30" s="62" t="s">
        <v>145</v>
      </c>
      <c r="D30" s="63" t="s">
        <v>156</v>
      </c>
      <c r="E30" s="51">
        <f>SUMIFS('PIB-Mpal 2015-2022 Corrient '!H$5:H$1012,'PIB-Mpal 2015-2022 Corrient '!$A$5:$A$1012,$W$2,'PIB-Mpal 2015-2022 Corrient '!$E$5:$E$1012,$A30)</f>
        <v>42.758911413752081</v>
      </c>
      <c r="F30" s="51">
        <f>SUMIFS('PIB-Mpal 2015-2022 Corrient '!I$5:I$1012,'PIB-Mpal 2015-2022 Corrient '!$A$5:$A$1012,$W$2,'PIB-Mpal 2015-2022 Corrient '!$E$5:$E$1012,$A30)</f>
        <v>714.5894297230401</v>
      </c>
      <c r="G30" s="51">
        <f>SUMIFS('PIB-Mpal 2015-2022 Corrient '!K$5:K$1012,'PIB-Mpal 2015-2022 Corrient '!$A$5:$A$1012,$W$2,'PIB-Mpal 2015-2022 Corrient '!$E$5:$E$1012,$A30)</f>
        <v>3.1434529520102892</v>
      </c>
      <c r="H30" s="51">
        <f>SUMIFS('PIB-Mpal 2015-2022 Corrient '!L$5:L$1012,'PIB-Mpal 2015-2022 Corrient '!$A$5:$A$1012,$W$2,'PIB-Mpal 2015-2022 Corrient '!$E$5:$E$1012,$A30)</f>
        <v>19.250248220887695</v>
      </c>
      <c r="I30" s="51">
        <f>SUMIFS('PIB-Mpal 2015-2022 Corrient '!N$5:N$1012,'PIB-Mpal 2015-2022 Corrient '!$A$5:$A$1012,$W$2,'PIB-Mpal 2015-2022 Corrient '!$E$5:$E$1012,$A30)</f>
        <v>16.516777979356728</v>
      </c>
      <c r="J30" s="51">
        <f>SUMIFS('PIB-Mpal 2015-2022 Corrient '!O$5:O$1012,'PIB-Mpal 2015-2022 Corrient '!$A$5:$A$1012,$W$2,'PIB-Mpal 2015-2022 Corrient '!$E$5:$E$1012,$A30)</f>
        <v>25.153204127585109</v>
      </c>
      <c r="K30" s="51">
        <f>SUMIFS('PIB-Mpal 2015-2022 Corrient '!P$5:P$1012,'PIB-Mpal 2015-2022 Corrient '!$A$5:$A$1012,$W$2,'PIB-Mpal 2015-2022 Corrient '!$E$5:$E$1012,$A30)</f>
        <v>4.6000949973068295</v>
      </c>
      <c r="L30" s="51">
        <f>SUMIFS('PIB-Mpal 2015-2022 Corrient '!Q$5:Q$1012,'PIB-Mpal 2015-2022 Corrient '!$A$5:$A$1012,$W$2,'PIB-Mpal 2015-2022 Corrient '!$E$5:$E$1012,$A30)</f>
        <v>1.7775075467155181</v>
      </c>
      <c r="M30" s="51">
        <f>SUMIFS('PIB-Mpal 2015-2022 Corrient '!R$5:R$1012,'PIB-Mpal 2015-2022 Corrient '!$A$5:$A$1012,$W$2,'PIB-Mpal 2015-2022 Corrient '!$E$5:$E$1012,$A30)</f>
        <v>11.440750370909202</v>
      </c>
      <c r="N30" s="51">
        <f>SUMIFS('PIB-Mpal 2015-2022 Corrient '!S$5:S$1012,'PIB-Mpal 2015-2022 Corrient '!$A$5:$A$1012,$W$2,'PIB-Mpal 2015-2022 Corrient '!$E$5:$E$1012,$A30)</f>
        <v>60.00503951921975</v>
      </c>
      <c r="O30" s="51">
        <f>SUMIFS('PIB-Mpal 2015-2022 Corrient '!T$5:T$1012,'PIB-Mpal 2015-2022 Corrient '!$A$5:$A$1012,$W$2,'PIB-Mpal 2015-2022 Corrient '!$E$5:$E$1012,$A30)</f>
        <v>29.271891910629595</v>
      </c>
      <c r="P30" s="150">
        <f>SUMIFS('PIB-Mpal 2015-2022 Corrient '!U$5:U$1012,'PIB-Mpal 2015-2022 Corrient '!$A$5:$A$1012,$W$2,'PIB-Mpal 2015-2022 Corrient '!$E$5:$E$1012,$A30)</f>
        <v>7.2650898962392194</v>
      </c>
      <c r="Q30" s="156">
        <f>SUMIFS('PIB-Mpal 2015-2022 Corrient '!J$5:J$1012,'PIB-Mpal 2015-2022 Corrient '!$A$5:$A$1012,$W$2,'PIB-Mpal 2015-2022 Corrient '!$E$5:$E$1012,$A30)</f>
        <v>757.34834113679221</v>
      </c>
      <c r="R30" s="52">
        <f>SUMIFS('PIB-Mpal 2015-2022 Corrient '!M$5:M$1012,'PIB-Mpal 2015-2022 Corrient '!$A$5:$A$1012,$W$2,'PIB-Mpal 2015-2022 Corrient '!$E$5:$E$1012,$A30)</f>
        <v>22.393701172897984</v>
      </c>
      <c r="S30" s="53">
        <f>SUMIFS('PIB-Mpal 2015-2022 Corrient '!V$5:V$1012,'PIB-Mpal 2015-2022 Corrient '!$A$5:$A$1012,$W$2,'PIB-Mpal 2015-2022 Corrient '!$E$5:$E$1012,$A30)</f>
        <v>156.03035634796197</v>
      </c>
      <c r="T30" s="207">
        <f>SUMIFS('PIB-Mpal 2015-2022 Corrient '!W$5:W$1012,'PIB-Mpal 2015-2022 Corrient '!$A$5:$A$1012,$W$2,'PIB-Mpal 2015-2022 Corrient '!$E$5:$E$1012,$A30)</f>
        <v>935.77239865765216</v>
      </c>
      <c r="U30" s="203">
        <f>SUMIFS('PIB-Mpal 2015-2022 Corrient '!X$5:X$1012,'PIB-Mpal 2015-2022 Corrient '!$A$5:$A$1012,$W$2,'PIB-Mpal 2015-2022 Corrient '!$E$5:$E$1012,$A30)</f>
        <v>94.568334376060193</v>
      </c>
      <c r="V30" s="88">
        <f>SUMIFS('PIB-Mpal 2015-2022 Corrient '!Y$5:Y$1012,'PIB-Mpal 2015-2022 Corrient '!$A$5:$A$1012,$W$2,'PIB-Mpal 2015-2022 Corrient '!$E$5:$E$1012,$A30)</f>
        <v>1030.3407330337122</v>
      </c>
      <c r="W30" s="98">
        <f t="shared" si="3"/>
        <v>6.7097188753642524E-3</v>
      </c>
      <c r="X30" s="268">
        <f>INDEX(POBLACION!$C$4:$W$128,MATCH(A30,POBLACION!$A$4:$A$128,0),MATCH($W$2,POBLACION!$C$3:$W$3,0))</f>
        <v>19624</v>
      </c>
      <c r="Y30" s="258">
        <f t="shared" si="5"/>
        <v>47685.099809297404</v>
      </c>
      <c r="Z30" s="270">
        <f t="shared" si="6"/>
        <v>52504.113994787622</v>
      </c>
      <c r="AA30" s="273">
        <f t="shared" si="7"/>
        <v>4.6783826959896793</v>
      </c>
      <c r="AB30" s="273">
        <f t="shared" si="8"/>
        <v>4.720193334172329</v>
      </c>
      <c r="AG30" s="281"/>
      <c r="AH30" s="282"/>
      <c r="AI30" s="282"/>
    </row>
    <row r="31" spans="1:39" ht="16" thickBot="1" x14ac:dyDescent="0.25">
      <c r="A31" s="122" t="s">
        <v>157</v>
      </c>
      <c r="B31" s="117" t="s">
        <v>158</v>
      </c>
      <c r="C31" s="117"/>
      <c r="D31" s="112"/>
      <c r="E31" s="113">
        <f>SUM(E32:E41)</f>
        <v>312.26393572325435</v>
      </c>
      <c r="F31" s="113">
        <f t="shared" ref="F31:X31" si="11">SUM(F32:F41)</f>
        <v>1086.3313005653531</v>
      </c>
      <c r="G31" s="113">
        <f t="shared" si="11"/>
        <v>84.895789491362464</v>
      </c>
      <c r="H31" s="113">
        <f t="shared" si="11"/>
        <v>139.52069433098831</v>
      </c>
      <c r="I31" s="113">
        <f t="shared" si="11"/>
        <v>658.34222635765946</v>
      </c>
      <c r="J31" s="113">
        <f t="shared" si="11"/>
        <v>365.20713001396183</v>
      </c>
      <c r="K31" s="113">
        <f t="shared" si="11"/>
        <v>66.057804460630209</v>
      </c>
      <c r="L31" s="113">
        <f t="shared" si="11"/>
        <v>36.378424828457398</v>
      </c>
      <c r="M31" s="113">
        <f t="shared" si="11"/>
        <v>153.81781604519963</v>
      </c>
      <c r="N31" s="113">
        <f t="shared" si="11"/>
        <v>298.47114300496276</v>
      </c>
      <c r="O31" s="113">
        <f t="shared" si="11"/>
        <v>384.77911773446999</v>
      </c>
      <c r="P31" s="123">
        <f t="shared" si="11"/>
        <v>87.38083807312087</v>
      </c>
      <c r="Q31" s="193">
        <f t="shared" si="11"/>
        <v>1398.5952362886076</v>
      </c>
      <c r="R31" s="113">
        <f t="shared" si="11"/>
        <v>224.41648382235076</v>
      </c>
      <c r="S31" s="114">
        <f t="shared" si="11"/>
        <v>2050.4345005184623</v>
      </c>
      <c r="T31" s="208">
        <f t="shared" si="11"/>
        <v>3673.4462206294197</v>
      </c>
      <c r="U31" s="186">
        <f t="shared" si="11"/>
        <v>371.23523946985875</v>
      </c>
      <c r="V31" s="123">
        <f t="shared" si="11"/>
        <v>4044.6814600992789</v>
      </c>
      <c r="W31" s="115">
        <f t="shared" si="3"/>
        <v>2.6339515334657757E-2</v>
      </c>
      <c r="X31" s="208">
        <f t="shared" si="11"/>
        <v>199335</v>
      </c>
      <c r="Y31" s="258">
        <f t="shared" si="5"/>
        <v>18428.50588521544</v>
      </c>
      <c r="Z31" s="270">
        <f t="shared" si="6"/>
        <v>20290.874458069477</v>
      </c>
      <c r="AA31" s="273">
        <f t="shared" si="7"/>
        <v>4.2654901256634483</v>
      </c>
      <c r="AB31" s="273">
        <f t="shared" si="8"/>
        <v>4.3073007638460989</v>
      </c>
      <c r="AG31" s="281"/>
      <c r="AH31" s="282"/>
      <c r="AI31" s="282"/>
    </row>
    <row r="32" spans="1:39" x14ac:dyDescent="0.2">
      <c r="A32" s="121" t="s">
        <v>159</v>
      </c>
      <c r="B32" s="101" t="s">
        <v>160</v>
      </c>
      <c r="C32" s="108" t="s">
        <v>145</v>
      </c>
      <c r="D32" s="101" t="s">
        <v>161</v>
      </c>
      <c r="E32" s="51">
        <f>SUMIFS('PIB-Mpal 2015-2022 Corrient '!H$5:H$1012,'PIB-Mpal 2015-2022 Corrient '!$A$5:$A$1012,$W$2,'PIB-Mpal 2015-2022 Corrient '!$E$5:$E$1012,$A32)</f>
        <v>40.737508981680868</v>
      </c>
      <c r="F32" s="51">
        <f>SUMIFS('PIB-Mpal 2015-2022 Corrient '!I$5:I$1012,'PIB-Mpal 2015-2022 Corrient '!$A$5:$A$1012,$W$2,'PIB-Mpal 2015-2022 Corrient '!$E$5:$E$1012,$A32)</f>
        <v>17.768132549762896</v>
      </c>
      <c r="G32" s="51">
        <f>SUMIFS('PIB-Mpal 2015-2022 Corrient '!K$5:K$1012,'PIB-Mpal 2015-2022 Corrient '!$A$5:$A$1012,$W$2,'PIB-Mpal 2015-2022 Corrient '!$E$5:$E$1012,$A32)</f>
        <v>12.291131074388016</v>
      </c>
      <c r="H32" s="51">
        <f>SUMIFS('PIB-Mpal 2015-2022 Corrient '!L$5:L$1012,'PIB-Mpal 2015-2022 Corrient '!$A$5:$A$1012,$W$2,'PIB-Mpal 2015-2022 Corrient '!$E$5:$E$1012,$A32)</f>
        <v>51.459796870333435</v>
      </c>
      <c r="I32" s="51">
        <f>SUMIFS('PIB-Mpal 2015-2022 Corrient '!N$5:N$1012,'PIB-Mpal 2015-2022 Corrient '!$A$5:$A$1012,$W$2,'PIB-Mpal 2015-2022 Corrient '!$E$5:$E$1012,$A32)</f>
        <v>447.43020722232961</v>
      </c>
      <c r="J32" s="51">
        <f>SUMIFS('PIB-Mpal 2015-2022 Corrient '!O$5:O$1012,'PIB-Mpal 2015-2022 Corrient '!$A$5:$A$1012,$W$2,'PIB-Mpal 2015-2022 Corrient '!$E$5:$E$1012,$A32)</f>
        <v>50.122330189151555</v>
      </c>
      <c r="K32" s="51">
        <f>SUMIFS('PIB-Mpal 2015-2022 Corrient '!P$5:P$1012,'PIB-Mpal 2015-2022 Corrient '!$A$5:$A$1012,$W$2,'PIB-Mpal 2015-2022 Corrient '!$E$5:$E$1012,$A32)</f>
        <v>8.9115511104402945</v>
      </c>
      <c r="L32" s="51">
        <f>SUMIFS('PIB-Mpal 2015-2022 Corrient '!Q$5:Q$1012,'PIB-Mpal 2015-2022 Corrient '!$A$5:$A$1012,$W$2,'PIB-Mpal 2015-2022 Corrient '!$E$5:$E$1012,$A32)</f>
        <v>4.8283124370561499</v>
      </c>
      <c r="M32" s="51">
        <f>SUMIFS('PIB-Mpal 2015-2022 Corrient '!R$5:R$1012,'PIB-Mpal 2015-2022 Corrient '!$A$5:$A$1012,$W$2,'PIB-Mpal 2015-2022 Corrient '!$E$5:$E$1012,$A32)</f>
        <v>21.933921413455245</v>
      </c>
      <c r="N32" s="51">
        <f>SUMIFS('PIB-Mpal 2015-2022 Corrient '!S$5:S$1012,'PIB-Mpal 2015-2022 Corrient '!$A$5:$A$1012,$W$2,'PIB-Mpal 2015-2022 Corrient '!$E$5:$E$1012,$A32)</f>
        <v>58.855339529415062</v>
      </c>
      <c r="O32" s="51">
        <f>SUMIFS('PIB-Mpal 2015-2022 Corrient '!T$5:T$1012,'PIB-Mpal 2015-2022 Corrient '!$A$5:$A$1012,$W$2,'PIB-Mpal 2015-2022 Corrient '!$E$5:$E$1012,$A32)</f>
        <v>70.889249722046031</v>
      </c>
      <c r="P32" s="150">
        <f>SUMIFS('PIB-Mpal 2015-2022 Corrient '!U$5:U$1012,'PIB-Mpal 2015-2022 Corrient '!$A$5:$A$1012,$W$2,'PIB-Mpal 2015-2022 Corrient '!$E$5:$E$1012,$A32)</f>
        <v>11.794817033994056</v>
      </c>
      <c r="Q32" s="156">
        <f>SUMIFS('PIB-Mpal 2015-2022 Corrient '!J$5:J$1012,'PIB-Mpal 2015-2022 Corrient '!$A$5:$A$1012,$W$2,'PIB-Mpal 2015-2022 Corrient '!$E$5:$E$1012,$A32)</f>
        <v>58.505641531443764</v>
      </c>
      <c r="R32" s="52">
        <f>SUMIFS('PIB-Mpal 2015-2022 Corrient '!M$5:M$1012,'PIB-Mpal 2015-2022 Corrient '!$A$5:$A$1012,$W$2,'PIB-Mpal 2015-2022 Corrient '!$E$5:$E$1012,$A32)</f>
        <v>63.750927944721454</v>
      </c>
      <c r="S32" s="53">
        <f>SUMIFS('PIB-Mpal 2015-2022 Corrient '!V$5:V$1012,'PIB-Mpal 2015-2022 Corrient '!$A$5:$A$1012,$W$2,'PIB-Mpal 2015-2022 Corrient '!$E$5:$E$1012,$A32)</f>
        <v>674.76572865788796</v>
      </c>
      <c r="T32" s="207">
        <f>SUMIFS('PIB-Mpal 2015-2022 Corrient '!W$5:W$1012,'PIB-Mpal 2015-2022 Corrient '!$A$5:$A$1012,$W$2,'PIB-Mpal 2015-2022 Corrient '!$E$5:$E$1012,$A32)</f>
        <v>797.02229813405313</v>
      </c>
      <c r="U32" s="203">
        <f>SUMIFS('PIB-Mpal 2015-2022 Corrient '!X$5:X$1012,'PIB-Mpal 2015-2022 Corrient '!$A$5:$A$1012,$W$2,'PIB-Mpal 2015-2022 Corrient '!$E$5:$E$1012,$A32)</f>
        <v>80.546371428820038</v>
      </c>
      <c r="V32" s="88">
        <f>SUMIFS('PIB-Mpal 2015-2022 Corrient '!Y$5:Y$1012,'PIB-Mpal 2015-2022 Corrient '!$A$5:$A$1012,$W$2,'PIB-Mpal 2015-2022 Corrient '!$E$5:$E$1012,$A32)</f>
        <v>877.5686695628732</v>
      </c>
      <c r="W32" s="100">
        <f t="shared" si="3"/>
        <v>5.7148464365347424E-3</v>
      </c>
      <c r="X32" s="268">
        <f>INDEX(POBLACION!$C$4:$W$128,MATCH(A32,POBLACION!$A$4:$A$128,0),MATCH($W$2,POBLACION!$C$3:$W$3,0))</f>
        <v>26552</v>
      </c>
      <c r="Y32" s="258">
        <f t="shared" si="5"/>
        <v>30017.411047531379</v>
      </c>
      <c r="Z32" s="270">
        <f t="shared" si="6"/>
        <v>33050.944168532435</v>
      </c>
      <c r="AA32" s="273">
        <f t="shared" si="7"/>
        <v>4.4773732323357303</v>
      </c>
      <c r="AB32" s="273">
        <f t="shared" si="8"/>
        <v>4.5191838705183809</v>
      </c>
      <c r="AG32" s="281"/>
      <c r="AH32" s="282"/>
      <c r="AI32" s="282"/>
    </row>
    <row r="33" spans="1:35" x14ac:dyDescent="0.2">
      <c r="A33" s="35" t="s">
        <v>162</v>
      </c>
      <c r="B33" s="32" t="s">
        <v>160</v>
      </c>
      <c r="C33" s="33" t="s">
        <v>145</v>
      </c>
      <c r="D33" s="32" t="s">
        <v>163</v>
      </c>
      <c r="E33" s="51">
        <f>SUMIFS('PIB-Mpal 2015-2022 Corrient '!H$5:H$1012,'PIB-Mpal 2015-2022 Corrient '!$A$5:$A$1012,$W$2,'PIB-Mpal 2015-2022 Corrient '!$E$5:$E$1012,$A33)</f>
        <v>14.048039747367548</v>
      </c>
      <c r="F33" s="51">
        <f>SUMIFS('PIB-Mpal 2015-2022 Corrient '!I$5:I$1012,'PIB-Mpal 2015-2022 Corrient '!$A$5:$A$1012,$W$2,'PIB-Mpal 2015-2022 Corrient '!$E$5:$E$1012,$A33)</f>
        <v>1.1596123809231216</v>
      </c>
      <c r="G33" s="51">
        <f>SUMIFS('PIB-Mpal 2015-2022 Corrient '!K$5:K$1012,'PIB-Mpal 2015-2022 Corrient '!$A$5:$A$1012,$W$2,'PIB-Mpal 2015-2022 Corrient '!$E$5:$E$1012,$A33)</f>
        <v>1.1971046482457233</v>
      </c>
      <c r="H33" s="51">
        <f>SUMIFS('PIB-Mpal 2015-2022 Corrient '!L$5:L$1012,'PIB-Mpal 2015-2022 Corrient '!$A$5:$A$1012,$W$2,'PIB-Mpal 2015-2022 Corrient '!$E$5:$E$1012,$A33)</f>
        <v>11.958544581313289</v>
      </c>
      <c r="I33" s="51">
        <f>SUMIFS('PIB-Mpal 2015-2022 Corrient '!N$5:N$1012,'PIB-Mpal 2015-2022 Corrient '!$A$5:$A$1012,$W$2,'PIB-Mpal 2015-2022 Corrient '!$E$5:$E$1012,$A33)</f>
        <v>86.243174615987826</v>
      </c>
      <c r="J33" s="51">
        <f>SUMIFS('PIB-Mpal 2015-2022 Corrient '!O$5:O$1012,'PIB-Mpal 2015-2022 Corrient '!$A$5:$A$1012,$W$2,'PIB-Mpal 2015-2022 Corrient '!$E$5:$E$1012,$A33)</f>
        <v>11.312111402155624</v>
      </c>
      <c r="K33" s="51">
        <f>SUMIFS('PIB-Mpal 2015-2022 Corrient '!P$5:P$1012,'PIB-Mpal 2015-2022 Corrient '!$A$5:$A$1012,$W$2,'PIB-Mpal 2015-2022 Corrient '!$E$5:$E$1012,$A33)</f>
        <v>2.1324824355524417</v>
      </c>
      <c r="L33" s="51">
        <f>SUMIFS('PIB-Mpal 2015-2022 Corrient '!Q$5:Q$1012,'PIB-Mpal 2015-2022 Corrient '!$A$5:$A$1012,$W$2,'PIB-Mpal 2015-2022 Corrient '!$E$5:$E$1012,$A33)</f>
        <v>1.0334290534358934</v>
      </c>
      <c r="M33" s="51">
        <f>SUMIFS('PIB-Mpal 2015-2022 Corrient '!R$5:R$1012,'PIB-Mpal 2015-2022 Corrient '!$A$5:$A$1012,$W$2,'PIB-Mpal 2015-2022 Corrient '!$E$5:$E$1012,$A33)</f>
        <v>4.062124956483637</v>
      </c>
      <c r="N33" s="51">
        <f>SUMIFS('PIB-Mpal 2015-2022 Corrient '!S$5:S$1012,'PIB-Mpal 2015-2022 Corrient '!$A$5:$A$1012,$W$2,'PIB-Mpal 2015-2022 Corrient '!$E$5:$E$1012,$A33)</f>
        <v>11.683116438340171</v>
      </c>
      <c r="O33" s="51">
        <f>SUMIFS('PIB-Mpal 2015-2022 Corrient '!T$5:T$1012,'PIB-Mpal 2015-2022 Corrient '!$A$5:$A$1012,$W$2,'PIB-Mpal 2015-2022 Corrient '!$E$5:$E$1012,$A33)</f>
        <v>16.249775349355321</v>
      </c>
      <c r="P33" s="150">
        <f>SUMIFS('PIB-Mpal 2015-2022 Corrient '!U$5:U$1012,'PIB-Mpal 2015-2022 Corrient '!$A$5:$A$1012,$W$2,'PIB-Mpal 2015-2022 Corrient '!$E$5:$E$1012,$A33)</f>
        <v>2.555390373585495</v>
      </c>
      <c r="Q33" s="156">
        <f>SUMIFS('PIB-Mpal 2015-2022 Corrient '!J$5:J$1012,'PIB-Mpal 2015-2022 Corrient '!$A$5:$A$1012,$W$2,'PIB-Mpal 2015-2022 Corrient '!$E$5:$E$1012,$A33)</f>
        <v>15.20765212829067</v>
      </c>
      <c r="R33" s="52">
        <f>SUMIFS('PIB-Mpal 2015-2022 Corrient '!M$5:M$1012,'PIB-Mpal 2015-2022 Corrient '!$A$5:$A$1012,$W$2,'PIB-Mpal 2015-2022 Corrient '!$E$5:$E$1012,$A33)</f>
        <v>13.155649229559012</v>
      </c>
      <c r="S33" s="53">
        <f>SUMIFS('PIB-Mpal 2015-2022 Corrient '!V$5:V$1012,'PIB-Mpal 2015-2022 Corrient '!$A$5:$A$1012,$W$2,'PIB-Mpal 2015-2022 Corrient '!$E$5:$E$1012,$A33)</f>
        <v>135.27160462489641</v>
      </c>
      <c r="T33" s="207">
        <f>SUMIFS('PIB-Mpal 2015-2022 Corrient '!W$5:W$1012,'PIB-Mpal 2015-2022 Corrient '!$A$5:$A$1012,$W$2,'PIB-Mpal 2015-2022 Corrient '!$E$5:$E$1012,$A33)</f>
        <v>163.63490598274609</v>
      </c>
      <c r="U33" s="203">
        <f>SUMIFS('PIB-Mpal 2015-2022 Corrient '!X$5:X$1012,'PIB-Mpal 2015-2022 Corrient '!$A$5:$A$1012,$W$2,'PIB-Mpal 2015-2022 Corrient '!$E$5:$E$1012,$A33)</f>
        <v>16.536799468299819</v>
      </c>
      <c r="V33" s="88">
        <f>SUMIFS('PIB-Mpal 2015-2022 Corrient '!Y$5:Y$1012,'PIB-Mpal 2015-2022 Corrient '!$A$5:$A$1012,$W$2,'PIB-Mpal 2015-2022 Corrient '!$E$5:$E$1012,$A33)</f>
        <v>180.17170545104591</v>
      </c>
      <c r="W33" s="92">
        <f t="shared" si="3"/>
        <v>1.1733026309772192E-3</v>
      </c>
      <c r="X33" s="268">
        <f>INDEX(POBLACION!$C$4:$W$128,MATCH(A33,POBLACION!$A$4:$A$128,0),MATCH($W$2,POBLACION!$C$3:$W$3,0))</f>
        <v>18737</v>
      </c>
      <c r="Y33" s="258">
        <f t="shared" si="5"/>
        <v>8733.2500391069043</v>
      </c>
      <c r="Z33" s="270">
        <f t="shared" si="6"/>
        <v>9615.8245957755189</v>
      </c>
      <c r="AA33" s="273">
        <f t="shared" si="7"/>
        <v>3.9411758944937372</v>
      </c>
      <c r="AB33" s="273">
        <f t="shared" si="8"/>
        <v>3.9829865326763878</v>
      </c>
      <c r="AG33" s="281"/>
      <c r="AH33" s="282"/>
      <c r="AI33" s="282"/>
    </row>
    <row r="34" spans="1:35" x14ac:dyDescent="0.2">
      <c r="A34" s="35" t="s">
        <v>164</v>
      </c>
      <c r="B34" s="32" t="s">
        <v>160</v>
      </c>
      <c r="C34" s="33" t="s">
        <v>145</v>
      </c>
      <c r="D34" s="32" t="s">
        <v>165</v>
      </c>
      <c r="E34" s="51">
        <f>SUMIFS('PIB-Mpal 2015-2022 Corrient '!H$5:H$1012,'PIB-Mpal 2015-2022 Corrient '!$A$5:$A$1012,$W$2,'PIB-Mpal 2015-2022 Corrient '!$E$5:$E$1012,$A34)</f>
        <v>4.5541773483040888</v>
      </c>
      <c r="F34" s="51">
        <f>SUMIFS('PIB-Mpal 2015-2022 Corrient '!I$5:I$1012,'PIB-Mpal 2015-2022 Corrient '!$A$5:$A$1012,$W$2,'PIB-Mpal 2015-2022 Corrient '!$E$5:$E$1012,$A34)</f>
        <v>5.765370762041222E-2</v>
      </c>
      <c r="G34" s="51">
        <f>SUMIFS('PIB-Mpal 2015-2022 Corrient '!K$5:K$1012,'PIB-Mpal 2015-2022 Corrient '!$A$5:$A$1012,$W$2,'PIB-Mpal 2015-2022 Corrient '!$E$5:$E$1012,$A34)</f>
        <v>7.5603211817008313</v>
      </c>
      <c r="H34" s="51">
        <f>SUMIFS('PIB-Mpal 2015-2022 Corrient '!L$5:L$1012,'PIB-Mpal 2015-2022 Corrient '!$A$5:$A$1012,$W$2,'PIB-Mpal 2015-2022 Corrient '!$E$5:$E$1012,$A34)</f>
        <v>4.0020622868464999</v>
      </c>
      <c r="I34" s="51">
        <f>SUMIFS('PIB-Mpal 2015-2022 Corrient '!N$5:N$1012,'PIB-Mpal 2015-2022 Corrient '!$A$5:$A$1012,$W$2,'PIB-Mpal 2015-2022 Corrient '!$E$5:$E$1012,$A34)</f>
        <v>11.832432270025963</v>
      </c>
      <c r="J34" s="51">
        <f>SUMIFS('PIB-Mpal 2015-2022 Corrient '!O$5:O$1012,'PIB-Mpal 2015-2022 Corrient '!$A$5:$A$1012,$W$2,'PIB-Mpal 2015-2022 Corrient '!$E$5:$E$1012,$A34)</f>
        <v>28.71749668776847</v>
      </c>
      <c r="K34" s="51">
        <f>SUMIFS('PIB-Mpal 2015-2022 Corrient '!P$5:P$1012,'PIB-Mpal 2015-2022 Corrient '!$A$5:$A$1012,$W$2,'PIB-Mpal 2015-2022 Corrient '!$E$5:$E$1012,$A34)</f>
        <v>4.9520586178349983</v>
      </c>
      <c r="L34" s="51">
        <f>SUMIFS('PIB-Mpal 2015-2022 Corrient '!Q$5:Q$1012,'PIB-Mpal 2015-2022 Corrient '!$A$5:$A$1012,$W$2,'PIB-Mpal 2015-2022 Corrient '!$E$5:$E$1012,$A34)</f>
        <v>3.5075283101164407</v>
      </c>
      <c r="M34" s="51">
        <f>SUMIFS('PIB-Mpal 2015-2022 Corrient '!R$5:R$1012,'PIB-Mpal 2015-2022 Corrient '!$A$5:$A$1012,$W$2,'PIB-Mpal 2015-2022 Corrient '!$E$5:$E$1012,$A34)</f>
        <v>12.70604538136695</v>
      </c>
      <c r="N34" s="51">
        <f>SUMIFS('PIB-Mpal 2015-2022 Corrient '!S$5:S$1012,'PIB-Mpal 2015-2022 Corrient '!$A$5:$A$1012,$W$2,'PIB-Mpal 2015-2022 Corrient '!$E$5:$E$1012,$A34)</f>
        <v>13.971916662556044</v>
      </c>
      <c r="O34" s="51">
        <f>SUMIFS('PIB-Mpal 2015-2022 Corrient '!T$5:T$1012,'PIB-Mpal 2015-2022 Corrient '!$A$5:$A$1012,$W$2,'PIB-Mpal 2015-2022 Corrient '!$E$5:$E$1012,$A34)</f>
        <v>23.098842759158895</v>
      </c>
      <c r="P34" s="150">
        <f>SUMIFS('PIB-Mpal 2015-2022 Corrient '!U$5:U$1012,'PIB-Mpal 2015-2022 Corrient '!$A$5:$A$1012,$W$2,'PIB-Mpal 2015-2022 Corrient '!$E$5:$E$1012,$A34)</f>
        <v>5.4993554535636902</v>
      </c>
      <c r="Q34" s="156">
        <f>SUMIFS('PIB-Mpal 2015-2022 Corrient '!J$5:J$1012,'PIB-Mpal 2015-2022 Corrient '!$A$5:$A$1012,$W$2,'PIB-Mpal 2015-2022 Corrient '!$E$5:$E$1012,$A34)</f>
        <v>4.611831055924501</v>
      </c>
      <c r="R34" s="52">
        <f>SUMIFS('PIB-Mpal 2015-2022 Corrient '!M$5:M$1012,'PIB-Mpal 2015-2022 Corrient '!$A$5:$A$1012,$W$2,'PIB-Mpal 2015-2022 Corrient '!$E$5:$E$1012,$A34)</f>
        <v>11.562383468547331</v>
      </c>
      <c r="S34" s="53">
        <f>SUMIFS('PIB-Mpal 2015-2022 Corrient '!V$5:V$1012,'PIB-Mpal 2015-2022 Corrient '!$A$5:$A$1012,$W$2,'PIB-Mpal 2015-2022 Corrient '!$E$5:$E$1012,$A34)</f>
        <v>104.28567614239147</v>
      </c>
      <c r="T34" s="207">
        <f>SUMIFS('PIB-Mpal 2015-2022 Corrient '!W$5:W$1012,'PIB-Mpal 2015-2022 Corrient '!$A$5:$A$1012,$W$2,'PIB-Mpal 2015-2022 Corrient '!$E$5:$E$1012,$A34)</f>
        <v>120.4598906668633</v>
      </c>
      <c r="U34" s="203">
        <f>SUMIFS('PIB-Mpal 2015-2022 Corrient '!X$5:X$1012,'PIB-Mpal 2015-2022 Corrient '!$A$5:$A$1012,$W$2,'PIB-Mpal 2015-2022 Corrient '!$E$5:$E$1012,$A34)</f>
        <v>12.173570449212594</v>
      </c>
      <c r="V34" s="88">
        <f>SUMIFS('PIB-Mpal 2015-2022 Corrient '!Y$5:Y$1012,'PIB-Mpal 2015-2022 Corrient '!$A$5:$A$1012,$W$2,'PIB-Mpal 2015-2022 Corrient '!$E$5:$E$1012,$A34)</f>
        <v>132.63346111607589</v>
      </c>
      <c r="W34" s="92">
        <f t="shared" si="3"/>
        <v>8.6372712348770835E-4</v>
      </c>
      <c r="X34" s="268">
        <f>INDEX(POBLACION!$C$4:$W$128,MATCH(A34,POBLACION!$A$4:$A$128,0),MATCH($W$2,POBLACION!$C$3:$W$3,0))</f>
        <v>9844</v>
      </c>
      <c r="Y34" s="258">
        <f t="shared" si="5"/>
        <v>12236.884464329876</v>
      </c>
      <c r="Z34" s="270">
        <f t="shared" si="6"/>
        <v>13473.533229995519</v>
      </c>
      <c r="AA34" s="273">
        <f t="shared" si="7"/>
        <v>4.0876708596248204</v>
      </c>
      <c r="AB34" s="273">
        <f t="shared" si="8"/>
        <v>4.129481497807471</v>
      </c>
      <c r="AG34" s="281"/>
      <c r="AH34" s="282"/>
      <c r="AI34" s="282"/>
    </row>
    <row r="35" spans="1:35" x14ac:dyDescent="0.2">
      <c r="A35" s="35" t="s">
        <v>166</v>
      </c>
      <c r="B35" s="32" t="s">
        <v>160</v>
      </c>
      <c r="C35" s="33" t="s">
        <v>167</v>
      </c>
      <c r="D35" s="32" t="s">
        <v>168</v>
      </c>
      <c r="E35" s="51">
        <f>SUMIFS('PIB-Mpal 2015-2022 Corrient '!H$5:H$1012,'PIB-Mpal 2015-2022 Corrient '!$A$5:$A$1012,$W$2,'PIB-Mpal 2015-2022 Corrient '!$E$5:$E$1012,$A35)</f>
        <v>62.081573788921801</v>
      </c>
      <c r="F35" s="51">
        <f>SUMIFS('PIB-Mpal 2015-2022 Corrient '!I$5:I$1012,'PIB-Mpal 2015-2022 Corrient '!$A$5:$A$1012,$W$2,'PIB-Mpal 2015-2022 Corrient '!$E$5:$E$1012,$A35)</f>
        <v>477.12865409066399</v>
      </c>
      <c r="G35" s="51">
        <f>SUMIFS('PIB-Mpal 2015-2022 Corrient '!K$5:K$1012,'PIB-Mpal 2015-2022 Corrient '!$A$5:$A$1012,$W$2,'PIB-Mpal 2015-2022 Corrient '!$E$5:$E$1012,$A35)</f>
        <v>16.262422535441516</v>
      </c>
      <c r="H35" s="51">
        <f>SUMIFS('PIB-Mpal 2015-2022 Corrient '!L$5:L$1012,'PIB-Mpal 2015-2022 Corrient '!$A$5:$A$1012,$W$2,'PIB-Mpal 2015-2022 Corrient '!$E$5:$E$1012,$A35)</f>
        <v>7.3376166171819861</v>
      </c>
      <c r="I35" s="51">
        <f>SUMIFS('PIB-Mpal 2015-2022 Corrient '!N$5:N$1012,'PIB-Mpal 2015-2022 Corrient '!$A$5:$A$1012,$W$2,'PIB-Mpal 2015-2022 Corrient '!$E$5:$E$1012,$A35)</f>
        <v>15.389799029258699</v>
      </c>
      <c r="J35" s="51">
        <f>SUMIFS('PIB-Mpal 2015-2022 Corrient '!O$5:O$1012,'PIB-Mpal 2015-2022 Corrient '!$A$5:$A$1012,$W$2,'PIB-Mpal 2015-2022 Corrient '!$E$5:$E$1012,$A35)</f>
        <v>58.778693544333478</v>
      </c>
      <c r="K35" s="51">
        <f>SUMIFS('PIB-Mpal 2015-2022 Corrient '!P$5:P$1012,'PIB-Mpal 2015-2022 Corrient '!$A$5:$A$1012,$W$2,'PIB-Mpal 2015-2022 Corrient '!$E$5:$E$1012,$A35)</f>
        <v>8.0025527168803823</v>
      </c>
      <c r="L35" s="51">
        <f>SUMIFS('PIB-Mpal 2015-2022 Corrient '!Q$5:Q$1012,'PIB-Mpal 2015-2022 Corrient '!$A$5:$A$1012,$W$2,'PIB-Mpal 2015-2022 Corrient '!$E$5:$E$1012,$A35)</f>
        <v>4.2599306288716337</v>
      </c>
      <c r="M35" s="51">
        <f>SUMIFS('PIB-Mpal 2015-2022 Corrient '!R$5:R$1012,'PIB-Mpal 2015-2022 Corrient '!$A$5:$A$1012,$W$2,'PIB-Mpal 2015-2022 Corrient '!$E$5:$E$1012,$A35)</f>
        <v>20.676984771832615</v>
      </c>
      <c r="N35" s="51">
        <f>SUMIFS('PIB-Mpal 2015-2022 Corrient '!S$5:S$1012,'PIB-Mpal 2015-2022 Corrient '!$A$5:$A$1012,$W$2,'PIB-Mpal 2015-2022 Corrient '!$E$5:$E$1012,$A35)</f>
        <v>55.343321622607135</v>
      </c>
      <c r="O35" s="51">
        <f>SUMIFS('PIB-Mpal 2015-2022 Corrient '!T$5:T$1012,'PIB-Mpal 2015-2022 Corrient '!$A$5:$A$1012,$W$2,'PIB-Mpal 2015-2022 Corrient '!$E$5:$E$1012,$A35)</f>
        <v>45.232423250450893</v>
      </c>
      <c r="P35" s="150">
        <f>SUMIFS('PIB-Mpal 2015-2022 Corrient '!U$5:U$1012,'PIB-Mpal 2015-2022 Corrient '!$A$5:$A$1012,$W$2,'PIB-Mpal 2015-2022 Corrient '!$E$5:$E$1012,$A35)</f>
        <v>12.418523609465588</v>
      </c>
      <c r="Q35" s="156">
        <f>SUMIFS('PIB-Mpal 2015-2022 Corrient '!J$5:J$1012,'PIB-Mpal 2015-2022 Corrient '!$A$5:$A$1012,$W$2,'PIB-Mpal 2015-2022 Corrient '!$E$5:$E$1012,$A35)</f>
        <v>539.21022787958577</v>
      </c>
      <c r="R35" s="52">
        <f>SUMIFS('PIB-Mpal 2015-2022 Corrient '!M$5:M$1012,'PIB-Mpal 2015-2022 Corrient '!$A$5:$A$1012,$W$2,'PIB-Mpal 2015-2022 Corrient '!$E$5:$E$1012,$A35)</f>
        <v>23.600039152623502</v>
      </c>
      <c r="S35" s="53">
        <f>SUMIFS('PIB-Mpal 2015-2022 Corrient '!V$5:V$1012,'PIB-Mpal 2015-2022 Corrient '!$A$5:$A$1012,$W$2,'PIB-Mpal 2015-2022 Corrient '!$E$5:$E$1012,$A35)</f>
        <v>220.10222917370041</v>
      </c>
      <c r="T35" s="207">
        <f>SUMIFS('PIB-Mpal 2015-2022 Corrient '!W$5:W$1012,'PIB-Mpal 2015-2022 Corrient '!$A$5:$A$1012,$W$2,'PIB-Mpal 2015-2022 Corrient '!$E$5:$E$1012,$A35)</f>
        <v>782.91249620590975</v>
      </c>
      <c r="U35" s="203">
        <f>SUMIFS('PIB-Mpal 2015-2022 Corrient '!X$5:X$1012,'PIB-Mpal 2015-2022 Corrient '!$A$5:$A$1012,$W$2,'PIB-Mpal 2015-2022 Corrient '!$E$5:$E$1012,$A35)</f>
        <v>79.120447273934985</v>
      </c>
      <c r="V35" s="88">
        <f>SUMIFS('PIB-Mpal 2015-2022 Corrient '!Y$5:Y$1012,'PIB-Mpal 2015-2022 Corrient '!$A$5:$A$1012,$W$2,'PIB-Mpal 2015-2022 Corrient '!$E$5:$E$1012,$A35)</f>
        <v>862.03294347984479</v>
      </c>
      <c r="W35" s="92">
        <f t="shared" si="3"/>
        <v>5.6136756769988548E-3</v>
      </c>
      <c r="X35" s="268">
        <f>INDEX(POBLACION!$C$4:$W$128,MATCH(A35,POBLACION!$A$4:$A$128,0),MATCH($W$2,POBLACION!$C$3:$W$3,0))</f>
        <v>29061</v>
      </c>
      <c r="Y35" s="258">
        <f t="shared" si="5"/>
        <v>26940.315068507956</v>
      </c>
      <c r="Z35" s="270">
        <f t="shared" si="6"/>
        <v>29662.879580188048</v>
      </c>
      <c r="AA35" s="273">
        <f t="shared" si="7"/>
        <v>4.4304026705151882</v>
      </c>
      <c r="AB35" s="273">
        <f t="shared" si="8"/>
        <v>4.4722133086978388</v>
      </c>
      <c r="AG35" s="281"/>
      <c r="AH35" s="282"/>
      <c r="AI35" s="282"/>
    </row>
    <row r="36" spans="1:35" x14ac:dyDescent="0.2">
      <c r="A36" s="35" t="s">
        <v>169</v>
      </c>
      <c r="B36" s="32" t="s">
        <v>160</v>
      </c>
      <c r="C36" s="33" t="s">
        <v>145</v>
      </c>
      <c r="D36" s="32" t="s">
        <v>170</v>
      </c>
      <c r="E36" s="51">
        <f>SUMIFS('PIB-Mpal 2015-2022 Corrient '!H$5:H$1012,'PIB-Mpal 2015-2022 Corrient '!$A$5:$A$1012,$W$2,'PIB-Mpal 2015-2022 Corrient '!$E$5:$E$1012,$A36)</f>
        <v>29.075024498967746</v>
      </c>
      <c r="F36" s="51">
        <f>SUMIFS('PIB-Mpal 2015-2022 Corrient '!I$5:I$1012,'PIB-Mpal 2015-2022 Corrient '!$A$5:$A$1012,$W$2,'PIB-Mpal 2015-2022 Corrient '!$E$5:$E$1012,$A36)</f>
        <v>0.60272081915803355</v>
      </c>
      <c r="G36" s="51">
        <f>SUMIFS('PIB-Mpal 2015-2022 Corrient '!K$5:K$1012,'PIB-Mpal 2015-2022 Corrient '!$A$5:$A$1012,$W$2,'PIB-Mpal 2015-2022 Corrient '!$E$5:$E$1012,$A36)</f>
        <v>3.8833218384736572</v>
      </c>
      <c r="H36" s="51">
        <f>SUMIFS('PIB-Mpal 2015-2022 Corrient '!L$5:L$1012,'PIB-Mpal 2015-2022 Corrient '!$A$5:$A$1012,$W$2,'PIB-Mpal 2015-2022 Corrient '!$E$5:$E$1012,$A36)</f>
        <v>16.740568856773706</v>
      </c>
      <c r="I36" s="51">
        <f>SUMIFS('PIB-Mpal 2015-2022 Corrient '!N$5:N$1012,'PIB-Mpal 2015-2022 Corrient '!$A$5:$A$1012,$W$2,'PIB-Mpal 2015-2022 Corrient '!$E$5:$E$1012,$A36)</f>
        <v>22.892696702154797</v>
      </c>
      <c r="J36" s="51">
        <f>SUMIFS('PIB-Mpal 2015-2022 Corrient '!O$5:O$1012,'PIB-Mpal 2015-2022 Corrient '!$A$5:$A$1012,$W$2,'PIB-Mpal 2015-2022 Corrient '!$E$5:$E$1012,$A36)</f>
        <v>34.349502355357593</v>
      </c>
      <c r="K36" s="51">
        <f>SUMIFS('PIB-Mpal 2015-2022 Corrient '!P$5:P$1012,'PIB-Mpal 2015-2022 Corrient '!$A$5:$A$1012,$W$2,'PIB-Mpal 2015-2022 Corrient '!$E$5:$E$1012,$A36)</f>
        <v>7.3067790587109904</v>
      </c>
      <c r="L36" s="51">
        <f>SUMIFS('PIB-Mpal 2015-2022 Corrient '!Q$5:Q$1012,'PIB-Mpal 2015-2022 Corrient '!$A$5:$A$1012,$W$2,'PIB-Mpal 2015-2022 Corrient '!$E$5:$E$1012,$A36)</f>
        <v>3.447712309878654</v>
      </c>
      <c r="M36" s="51">
        <f>SUMIFS('PIB-Mpal 2015-2022 Corrient '!R$5:R$1012,'PIB-Mpal 2015-2022 Corrient '!$A$5:$A$1012,$W$2,'PIB-Mpal 2015-2022 Corrient '!$E$5:$E$1012,$A36)</f>
        <v>13.160374638762805</v>
      </c>
      <c r="N36" s="51">
        <f>SUMIFS('PIB-Mpal 2015-2022 Corrient '!S$5:S$1012,'PIB-Mpal 2015-2022 Corrient '!$A$5:$A$1012,$W$2,'PIB-Mpal 2015-2022 Corrient '!$E$5:$E$1012,$A36)</f>
        <v>21.052437951882965</v>
      </c>
      <c r="O36" s="51">
        <f>SUMIFS('PIB-Mpal 2015-2022 Corrient '!T$5:T$1012,'PIB-Mpal 2015-2022 Corrient '!$A$5:$A$1012,$W$2,'PIB-Mpal 2015-2022 Corrient '!$E$5:$E$1012,$A36)</f>
        <v>41.160908957334151</v>
      </c>
      <c r="P36" s="150">
        <f>SUMIFS('PIB-Mpal 2015-2022 Corrient '!U$5:U$1012,'PIB-Mpal 2015-2022 Corrient '!$A$5:$A$1012,$W$2,'PIB-Mpal 2015-2022 Corrient '!$E$5:$E$1012,$A36)</f>
        <v>7.1697811231851185</v>
      </c>
      <c r="Q36" s="156">
        <f>SUMIFS('PIB-Mpal 2015-2022 Corrient '!J$5:J$1012,'PIB-Mpal 2015-2022 Corrient '!$A$5:$A$1012,$W$2,'PIB-Mpal 2015-2022 Corrient '!$E$5:$E$1012,$A36)</f>
        <v>29.67774531812578</v>
      </c>
      <c r="R36" s="52">
        <f>SUMIFS('PIB-Mpal 2015-2022 Corrient '!M$5:M$1012,'PIB-Mpal 2015-2022 Corrient '!$A$5:$A$1012,$W$2,'PIB-Mpal 2015-2022 Corrient '!$E$5:$E$1012,$A36)</f>
        <v>20.623890695247361</v>
      </c>
      <c r="S36" s="53">
        <f>SUMIFS('PIB-Mpal 2015-2022 Corrient '!V$5:V$1012,'PIB-Mpal 2015-2022 Corrient '!$A$5:$A$1012,$W$2,'PIB-Mpal 2015-2022 Corrient '!$E$5:$E$1012,$A36)</f>
        <v>150.54019309726706</v>
      </c>
      <c r="T36" s="207">
        <f>SUMIFS('PIB-Mpal 2015-2022 Corrient '!W$5:W$1012,'PIB-Mpal 2015-2022 Corrient '!$A$5:$A$1012,$W$2,'PIB-Mpal 2015-2022 Corrient '!$E$5:$E$1012,$A36)</f>
        <v>200.84182911064019</v>
      </c>
      <c r="U36" s="203">
        <f>SUMIFS('PIB-Mpal 2015-2022 Corrient '!X$5:X$1012,'PIB-Mpal 2015-2022 Corrient '!$A$5:$A$1012,$W$2,'PIB-Mpal 2015-2022 Corrient '!$E$5:$E$1012,$A36)</f>
        <v>20.296898347589721</v>
      </c>
      <c r="V36" s="88">
        <f>SUMIFS('PIB-Mpal 2015-2022 Corrient '!Y$5:Y$1012,'PIB-Mpal 2015-2022 Corrient '!$A$5:$A$1012,$W$2,'PIB-Mpal 2015-2022 Corrient '!$E$5:$E$1012,$A36)</f>
        <v>221.13872745822991</v>
      </c>
      <c r="W36" s="92">
        <f t="shared" si="3"/>
        <v>1.4400854456483648E-3</v>
      </c>
      <c r="X36" s="268">
        <f>INDEX(POBLACION!$C$4:$W$128,MATCH(A36,POBLACION!$A$4:$A$128,0),MATCH($W$2,POBLACION!$C$3:$W$3,0))</f>
        <v>21533</v>
      </c>
      <c r="Y36" s="258">
        <f t="shared" si="5"/>
        <v>9327.1643110871773</v>
      </c>
      <c r="Z36" s="270">
        <f t="shared" si="6"/>
        <v>10269.759320959918</v>
      </c>
      <c r="AA36" s="273">
        <f t="shared" si="7"/>
        <v>3.969749627536943</v>
      </c>
      <c r="AB36" s="273">
        <f t="shared" si="8"/>
        <v>4.0115602657195932</v>
      </c>
      <c r="AG36" s="281"/>
      <c r="AH36" s="282"/>
      <c r="AI36" s="282"/>
    </row>
    <row r="37" spans="1:35" x14ac:dyDescent="0.2">
      <c r="A37" s="35" t="s">
        <v>171</v>
      </c>
      <c r="B37" s="32" t="s">
        <v>160</v>
      </c>
      <c r="C37" s="33" t="s">
        <v>145</v>
      </c>
      <c r="D37" s="32" t="s">
        <v>172</v>
      </c>
      <c r="E37" s="51">
        <f>SUMIFS('PIB-Mpal 2015-2022 Corrient '!H$5:H$1012,'PIB-Mpal 2015-2022 Corrient '!$A$5:$A$1012,$W$2,'PIB-Mpal 2015-2022 Corrient '!$E$5:$E$1012,$A37)</f>
        <v>58.328910681107104</v>
      </c>
      <c r="F37" s="51">
        <f>SUMIFS('PIB-Mpal 2015-2022 Corrient '!I$5:I$1012,'PIB-Mpal 2015-2022 Corrient '!$A$5:$A$1012,$W$2,'PIB-Mpal 2015-2022 Corrient '!$E$5:$E$1012,$A37)</f>
        <v>19.332825803778476</v>
      </c>
      <c r="G37" s="51">
        <f>SUMIFS('PIB-Mpal 2015-2022 Corrient '!K$5:K$1012,'PIB-Mpal 2015-2022 Corrient '!$A$5:$A$1012,$W$2,'PIB-Mpal 2015-2022 Corrient '!$E$5:$E$1012,$A37)</f>
        <v>8.5244290977506019</v>
      </c>
      <c r="H37" s="51">
        <f>SUMIFS('PIB-Mpal 2015-2022 Corrient '!L$5:L$1012,'PIB-Mpal 2015-2022 Corrient '!$A$5:$A$1012,$W$2,'PIB-Mpal 2015-2022 Corrient '!$E$5:$E$1012,$A37)</f>
        <v>4.9353475692247599</v>
      </c>
      <c r="I37" s="51">
        <f>SUMIFS('PIB-Mpal 2015-2022 Corrient '!N$5:N$1012,'PIB-Mpal 2015-2022 Corrient '!$A$5:$A$1012,$W$2,'PIB-Mpal 2015-2022 Corrient '!$E$5:$E$1012,$A37)</f>
        <v>30.532357154776289</v>
      </c>
      <c r="J37" s="51">
        <f>SUMIFS('PIB-Mpal 2015-2022 Corrient '!O$5:O$1012,'PIB-Mpal 2015-2022 Corrient '!$A$5:$A$1012,$W$2,'PIB-Mpal 2015-2022 Corrient '!$E$5:$E$1012,$A37)</f>
        <v>14.553229211691107</v>
      </c>
      <c r="K37" s="51">
        <f>SUMIFS('PIB-Mpal 2015-2022 Corrient '!P$5:P$1012,'PIB-Mpal 2015-2022 Corrient '!$A$5:$A$1012,$W$2,'PIB-Mpal 2015-2022 Corrient '!$E$5:$E$1012,$A37)</f>
        <v>2.3774788149929957</v>
      </c>
      <c r="L37" s="51">
        <f>SUMIFS('PIB-Mpal 2015-2022 Corrient '!Q$5:Q$1012,'PIB-Mpal 2015-2022 Corrient '!$A$5:$A$1012,$W$2,'PIB-Mpal 2015-2022 Corrient '!$E$5:$E$1012,$A37)</f>
        <v>0.97561686488959054</v>
      </c>
      <c r="M37" s="51">
        <f>SUMIFS('PIB-Mpal 2015-2022 Corrient '!R$5:R$1012,'PIB-Mpal 2015-2022 Corrient '!$A$5:$A$1012,$W$2,'PIB-Mpal 2015-2022 Corrient '!$E$5:$E$1012,$A37)</f>
        <v>6.2116552294790015</v>
      </c>
      <c r="N37" s="51">
        <f>SUMIFS('PIB-Mpal 2015-2022 Corrient '!S$5:S$1012,'PIB-Mpal 2015-2022 Corrient '!$A$5:$A$1012,$W$2,'PIB-Mpal 2015-2022 Corrient '!$E$5:$E$1012,$A37)</f>
        <v>12.207605348424432</v>
      </c>
      <c r="O37" s="51">
        <f>SUMIFS('PIB-Mpal 2015-2022 Corrient '!T$5:T$1012,'PIB-Mpal 2015-2022 Corrient '!$A$5:$A$1012,$W$2,'PIB-Mpal 2015-2022 Corrient '!$E$5:$E$1012,$A37)</f>
        <v>19.088638267350937</v>
      </c>
      <c r="P37" s="150">
        <f>SUMIFS('PIB-Mpal 2015-2022 Corrient '!U$5:U$1012,'PIB-Mpal 2015-2022 Corrient '!$A$5:$A$1012,$W$2,'PIB-Mpal 2015-2022 Corrient '!$E$5:$E$1012,$A37)</f>
        <v>3.1757763612536714</v>
      </c>
      <c r="Q37" s="156">
        <f>SUMIFS('PIB-Mpal 2015-2022 Corrient '!J$5:J$1012,'PIB-Mpal 2015-2022 Corrient '!$A$5:$A$1012,$W$2,'PIB-Mpal 2015-2022 Corrient '!$E$5:$E$1012,$A37)</f>
        <v>77.66173648488558</v>
      </c>
      <c r="R37" s="52">
        <f>SUMIFS('PIB-Mpal 2015-2022 Corrient '!M$5:M$1012,'PIB-Mpal 2015-2022 Corrient '!$A$5:$A$1012,$W$2,'PIB-Mpal 2015-2022 Corrient '!$E$5:$E$1012,$A37)</f>
        <v>13.459776666975362</v>
      </c>
      <c r="S37" s="53">
        <f>SUMIFS('PIB-Mpal 2015-2022 Corrient '!V$5:V$1012,'PIB-Mpal 2015-2022 Corrient '!$A$5:$A$1012,$W$2,'PIB-Mpal 2015-2022 Corrient '!$E$5:$E$1012,$A37)</f>
        <v>89.122357252858023</v>
      </c>
      <c r="T37" s="207">
        <f>SUMIFS('PIB-Mpal 2015-2022 Corrient '!W$5:W$1012,'PIB-Mpal 2015-2022 Corrient '!$A$5:$A$1012,$W$2,'PIB-Mpal 2015-2022 Corrient '!$E$5:$E$1012,$A37)</f>
        <v>180.24387040471896</v>
      </c>
      <c r="U37" s="203">
        <f>SUMIFS('PIB-Mpal 2015-2022 Corrient '!X$5:X$1012,'PIB-Mpal 2015-2022 Corrient '!$A$5:$A$1012,$W$2,'PIB-Mpal 2015-2022 Corrient '!$E$5:$E$1012,$A37)</f>
        <v>18.215286783538367</v>
      </c>
      <c r="V37" s="88">
        <f>SUMIFS('PIB-Mpal 2015-2022 Corrient '!Y$5:Y$1012,'PIB-Mpal 2015-2022 Corrient '!$A$5:$A$1012,$W$2,'PIB-Mpal 2015-2022 Corrient '!$E$5:$E$1012,$A37)</f>
        <v>198.45915718825734</v>
      </c>
      <c r="W37" s="92">
        <f t="shared" si="3"/>
        <v>1.2923930019287727E-3</v>
      </c>
      <c r="X37" s="268">
        <f>INDEX(POBLACION!$C$4:$W$128,MATCH(A37,POBLACION!$A$4:$A$128,0),MATCH($W$2,POBLACION!$C$3:$W$3,0))</f>
        <v>12326</v>
      </c>
      <c r="Y37" s="258">
        <f t="shared" si="5"/>
        <v>14623.06266466972</v>
      </c>
      <c r="Z37" s="270">
        <f t="shared" si="6"/>
        <v>16100.856497505871</v>
      </c>
      <c r="AA37" s="273">
        <f t="shared" si="7"/>
        <v>4.1650383410943368</v>
      </c>
      <c r="AB37" s="273">
        <f t="shared" si="8"/>
        <v>4.2068489792769874</v>
      </c>
      <c r="AG37" s="281"/>
      <c r="AH37" s="282"/>
      <c r="AI37" s="282"/>
    </row>
    <row r="38" spans="1:35" x14ac:dyDescent="0.2">
      <c r="A38" s="35" t="s">
        <v>173</v>
      </c>
      <c r="B38" s="32" t="s">
        <v>160</v>
      </c>
      <c r="C38" s="33" t="s">
        <v>167</v>
      </c>
      <c r="D38" s="32" t="s">
        <v>174</v>
      </c>
      <c r="E38" s="51">
        <f>SUMIFS('PIB-Mpal 2015-2022 Corrient '!H$5:H$1012,'PIB-Mpal 2015-2022 Corrient '!$A$5:$A$1012,$W$2,'PIB-Mpal 2015-2022 Corrient '!$E$5:$E$1012,$A38)</f>
        <v>24.811085503328197</v>
      </c>
      <c r="F38" s="51">
        <f>SUMIFS('PIB-Mpal 2015-2022 Corrient '!I$5:I$1012,'PIB-Mpal 2015-2022 Corrient '!$A$5:$A$1012,$W$2,'PIB-Mpal 2015-2022 Corrient '!$E$5:$E$1012,$A38)</f>
        <v>567.25977186880789</v>
      </c>
      <c r="G38" s="51">
        <f>SUMIFS('PIB-Mpal 2015-2022 Corrient '!K$5:K$1012,'PIB-Mpal 2015-2022 Corrient '!$A$5:$A$1012,$W$2,'PIB-Mpal 2015-2022 Corrient '!$E$5:$E$1012,$A38)</f>
        <v>28.782946537919571</v>
      </c>
      <c r="H38" s="51">
        <f>SUMIFS('PIB-Mpal 2015-2022 Corrient '!L$5:L$1012,'PIB-Mpal 2015-2022 Corrient '!$A$5:$A$1012,$W$2,'PIB-Mpal 2015-2022 Corrient '!$E$5:$E$1012,$A38)</f>
        <v>6.424653662939761</v>
      </c>
      <c r="I38" s="51">
        <f>SUMIFS('PIB-Mpal 2015-2022 Corrient '!N$5:N$1012,'PIB-Mpal 2015-2022 Corrient '!$A$5:$A$1012,$W$2,'PIB-Mpal 2015-2022 Corrient '!$E$5:$E$1012,$A38)</f>
        <v>27.679336990776459</v>
      </c>
      <c r="J38" s="51">
        <f>SUMIFS('PIB-Mpal 2015-2022 Corrient '!O$5:O$1012,'PIB-Mpal 2015-2022 Corrient '!$A$5:$A$1012,$W$2,'PIB-Mpal 2015-2022 Corrient '!$E$5:$E$1012,$A38)</f>
        <v>97.813483819002087</v>
      </c>
      <c r="K38" s="51">
        <f>SUMIFS('PIB-Mpal 2015-2022 Corrient '!P$5:P$1012,'PIB-Mpal 2015-2022 Corrient '!$A$5:$A$1012,$W$2,'PIB-Mpal 2015-2022 Corrient '!$E$5:$E$1012,$A38)</f>
        <v>17.23103755964781</v>
      </c>
      <c r="L38" s="51">
        <f>SUMIFS('PIB-Mpal 2015-2022 Corrient '!Q$5:Q$1012,'PIB-Mpal 2015-2022 Corrient '!$A$5:$A$1012,$W$2,'PIB-Mpal 2015-2022 Corrient '!$E$5:$E$1012,$A38)</f>
        <v>8.791345321571189</v>
      </c>
      <c r="M38" s="51">
        <f>SUMIFS('PIB-Mpal 2015-2022 Corrient '!R$5:R$1012,'PIB-Mpal 2015-2022 Corrient '!$A$5:$A$1012,$W$2,'PIB-Mpal 2015-2022 Corrient '!$E$5:$E$1012,$A38)</f>
        <v>46.662299432117671</v>
      </c>
      <c r="N38" s="51">
        <f>SUMIFS('PIB-Mpal 2015-2022 Corrient '!S$5:S$1012,'PIB-Mpal 2015-2022 Corrient '!$A$5:$A$1012,$W$2,'PIB-Mpal 2015-2022 Corrient '!$E$5:$E$1012,$A38)</f>
        <v>80.774777918281657</v>
      </c>
      <c r="O38" s="51">
        <f>SUMIFS('PIB-Mpal 2015-2022 Corrient '!T$5:T$1012,'PIB-Mpal 2015-2022 Corrient '!$A$5:$A$1012,$W$2,'PIB-Mpal 2015-2022 Corrient '!$E$5:$E$1012,$A38)</f>
        <v>59.488495537859066</v>
      </c>
      <c r="P38" s="150">
        <f>SUMIFS('PIB-Mpal 2015-2022 Corrient '!U$5:U$1012,'PIB-Mpal 2015-2022 Corrient '!$A$5:$A$1012,$W$2,'PIB-Mpal 2015-2022 Corrient '!$E$5:$E$1012,$A38)</f>
        <v>19.557972704794036</v>
      </c>
      <c r="Q38" s="156">
        <f>SUMIFS('PIB-Mpal 2015-2022 Corrient '!J$5:J$1012,'PIB-Mpal 2015-2022 Corrient '!$A$5:$A$1012,$W$2,'PIB-Mpal 2015-2022 Corrient '!$E$5:$E$1012,$A38)</f>
        <v>592.07085737213606</v>
      </c>
      <c r="R38" s="52">
        <f>SUMIFS('PIB-Mpal 2015-2022 Corrient '!M$5:M$1012,'PIB-Mpal 2015-2022 Corrient '!$A$5:$A$1012,$W$2,'PIB-Mpal 2015-2022 Corrient '!$E$5:$E$1012,$A38)</f>
        <v>35.207600200859332</v>
      </c>
      <c r="S38" s="53">
        <f>SUMIFS('PIB-Mpal 2015-2022 Corrient '!V$5:V$1012,'PIB-Mpal 2015-2022 Corrient '!$A$5:$A$1012,$W$2,'PIB-Mpal 2015-2022 Corrient '!$E$5:$E$1012,$A38)</f>
        <v>357.99874928405001</v>
      </c>
      <c r="T38" s="207">
        <f>SUMIFS('PIB-Mpal 2015-2022 Corrient '!W$5:W$1012,'PIB-Mpal 2015-2022 Corrient '!$A$5:$A$1012,$W$2,'PIB-Mpal 2015-2022 Corrient '!$E$5:$E$1012,$A38)</f>
        <v>985.27720685704537</v>
      </c>
      <c r="U38" s="203">
        <f>SUMIFS('PIB-Mpal 2015-2022 Corrient '!X$5:X$1012,'PIB-Mpal 2015-2022 Corrient '!$A$5:$A$1012,$W$2,'PIB-Mpal 2015-2022 Corrient '!$E$5:$E$1012,$A38)</f>
        <v>99.571246688646667</v>
      </c>
      <c r="V38" s="88">
        <f>SUMIFS('PIB-Mpal 2015-2022 Corrient '!Y$5:Y$1012,'PIB-Mpal 2015-2022 Corrient '!$A$5:$A$1012,$W$2,'PIB-Mpal 2015-2022 Corrient '!$E$5:$E$1012,$A38)</f>
        <v>1084.8484535456921</v>
      </c>
      <c r="W38" s="92">
        <f t="shared" si="3"/>
        <v>7.0646805588604096E-3</v>
      </c>
      <c r="X38" s="268">
        <f>INDEX(POBLACION!$C$4:$W$128,MATCH(A38,POBLACION!$A$4:$A$128,0),MATCH($W$2,POBLACION!$C$3:$W$3,0))</f>
        <v>38692</v>
      </c>
      <c r="Y38" s="258">
        <f t="shared" si="5"/>
        <v>25464.623355139185</v>
      </c>
      <c r="Z38" s="270">
        <f t="shared" si="6"/>
        <v>28038.055762061722</v>
      </c>
      <c r="AA38" s="273">
        <f t="shared" si="7"/>
        <v>4.4059372569506658</v>
      </c>
      <c r="AB38" s="273">
        <f t="shared" si="8"/>
        <v>4.4477478951333165</v>
      </c>
      <c r="AG38" s="281"/>
      <c r="AH38" s="282"/>
      <c r="AI38" s="282"/>
    </row>
    <row r="39" spans="1:35" x14ac:dyDescent="0.2">
      <c r="A39" s="35" t="s">
        <v>175</v>
      </c>
      <c r="B39" s="32" t="s">
        <v>160</v>
      </c>
      <c r="C39" s="33" t="s">
        <v>167</v>
      </c>
      <c r="D39" s="32" t="s">
        <v>176</v>
      </c>
      <c r="E39" s="51">
        <f>SUMIFS('PIB-Mpal 2015-2022 Corrient '!H$5:H$1012,'PIB-Mpal 2015-2022 Corrient '!$A$5:$A$1012,$W$2,'PIB-Mpal 2015-2022 Corrient '!$E$5:$E$1012,$A39)</f>
        <v>16.233907051968288</v>
      </c>
      <c r="F39" s="51">
        <f>SUMIFS('PIB-Mpal 2015-2022 Corrient '!I$5:I$1012,'PIB-Mpal 2015-2022 Corrient '!$A$5:$A$1012,$W$2,'PIB-Mpal 2015-2022 Corrient '!$E$5:$E$1012,$A39)</f>
        <v>1.2010346895434338</v>
      </c>
      <c r="G39" s="51">
        <f>SUMIFS('PIB-Mpal 2015-2022 Corrient '!K$5:K$1012,'PIB-Mpal 2015-2022 Corrient '!$A$5:$A$1012,$W$2,'PIB-Mpal 2015-2022 Corrient '!$E$5:$E$1012,$A39)</f>
        <v>0.51149278052058111</v>
      </c>
      <c r="H39" s="51">
        <f>SUMIFS('PIB-Mpal 2015-2022 Corrient '!L$5:L$1012,'PIB-Mpal 2015-2022 Corrient '!$A$5:$A$1012,$W$2,'PIB-Mpal 2015-2022 Corrient '!$E$5:$E$1012,$A39)</f>
        <v>11.942299959115712</v>
      </c>
      <c r="I39" s="51">
        <f>SUMIFS('PIB-Mpal 2015-2022 Corrient '!N$5:N$1012,'PIB-Mpal 2015-2022 Corrient '!$A$5:$A$1012,$W$2,'PIB-Mpal 2015-2022 Corrient '!$E$5:$E$1012,$A39)</f>
        <v>5.5312416287332447</v>
      </c>
      <c r="J39" s="51">
        <f>SUMIFS('PIB-Mpal 2015-2022 Corrient '!O$5:O$1012,'PIB-Mpal 2015-2022 Corrient '!$A$5:$A$1012,$W$2,'PIB-Mpal 2015-2022 Corrient '!$E$5:$E$1012,$A39)</f>
        <v>26.110803340578904</v>
      </c>
      <c r="K39" s="51">
        <f>SUMIFS('PIB-Mpal 2015-2022 Corrient '!P$5:P$1012,'PIB-Mpal 2015-2022 Corrient '!$A$5:$A$1012,$W$2,'PIB-Mpal 2015-2022 Corrient '!$E$5:$E$1012,$A39)</f>
        <v>5.5146434982133883</v>
      </c>
      <c r="L39" s="51">
        <f>SUMIFS('PIB-Mpal 2015-2022 Corrient '!Q$5:Q$1012,'PIB-Mpal 2015-2022 Corrient '!$A$5:$A$1012,$W$2,'PIB-Mpal 2015-2022 Corrient '!$E$5:$E$1012,$A39)</f>
        <v>4.3737471658185241</v>
      </c>
      <c r="M39" s="51">
        <f>SUMIFS('PIB-Mpal 2015-2022 Corrient '!R$5:R$1012,'PIB-Mpal 2015-2022 Corrient '!$A$5:$A$1012,$W$2,'PIB-Mpal 2015-2022 Corrient '!$E$5:$E$1012,$A39)</f>
        <v>9.8981155283630677</v>
      </c>
      <c r="N39" s="51">
        <f>SUMIFS('PIB-Mpal 2015-2022 Corrient '!S$5:S$1012,'PIB-Mpal 2015-2022 Corrient '!$A$5:$A$1012,$W$2,'PIB-Mpal 2015-2022 Corrient '!$E$5:$E$1012,$A39)</f>
        <v>13.599321532317539</v>
      </c>
      <c r="O39" s="51">
        <f>SUMIFS('PIB-Mpal 2015-2022 Corrient '!T$5:T$1012,'PIB-Mpal 2015-2022 Corrient '!$A$5:$A$1012,$W$2,'PIB-Mpal 2015-2022 Corrient '!$E$5:$E$1012,$A39)</f>
        <v>28.389166303088498</v>
      </c>
      <c r="P39" s="150">
        <f>SUMIFS('PIB-Mpal 2015-2022 Corrient '!U$5:U$1012,'PIB-Mpal 2015-2022 Corrient '!$A$5:$A$1012,$W$2,'PIB-Mpal 2015-2022 Corrient '!$E$5:$E$1012,$A39)</f>
        <v>7.6695543819040068</v>
      </c>
      <c r="Q39" s="156">
        <f>SUMIFS('PIB-Mpal 2015-2022 Corrient '!J$5:J$1012,'PIB-Mpal 2015-2022 Corrient '!$A$5:$A$1012,$W$2,'PIB-Mpal 2015-2022 Corrient '!$E$5:$E$1012,$A39)</f>
        <v>17.434941741511722</v>
      </c>
      <c r="R39" s="52">
        <f>SUMIFS('PIB-Mpal 2015-2022 Corrient '!M$5:M$1012,'PIB-Mpal 2015-2022 Corrient '!$A$5:$A$1012,$W$2,'PIB-Mpal 2015-2022 Corrient '!$E$5:$E$1012,$A39)</f>
        <v>12.453792739636292</v>
      </c>
      <c r="S39" s="53">
        <f>SUMIFS('PIB-Mpal 2015-2022 Corrient '!V$5:V$1012,'PIB-Mpal 2015-2022 Corrient '!$A$5:$A$1012,$W$2,'PIB-Mpal 2015-2022 Corrient '!$E$5:$E$1012,$A39)</f>
        <v>101.08659337901717</v>
      </c>
      <c r="T39" s="207">
        <f>SUMIFS('PIB-Mpal 2015-2022 Corrient '!W$5:W$1012,'PIB-Mpal 2015-2022 Corrient '!$A$5:$A$1012,$W$2,'PIB-Mpal 2015-2022 Corrient '!$E$5:$E$1012,$A39)</f>
        <v>130.97532786016518</v>
      </c>
      <c r="U39" s="203">
        <f>SUMIFS('PIB-Mpal 2015-2022 Corrient '!X$5:X$1012,'PIB-Mpal 2015-2022 Corrient '!$A$5:$A$1012,$W$2,'PIB-Mpal 2015-2022 Corrient '!$E$5:$E$1012,$A39)</f>
        <v>13.236251269926184</v>
      </c>
      <c r="V39" s="88">
        <f>SUMIFS('PIB-Mpal 2015-2022 Corrient '!Y$5:Y$1012,'PIB-Mpal 2015-2022 Corrient '!$A$5:$A$1012,$W$2,'PIB-Mpal 2015-2022 Corrient '!$E$5:$E$1012,$A39)</f>
        <v>144.21157913009137</v>
      </c>
      <c r="W39" s="92">
        <f t="shared" si="3"/>
        <v>9.3912540144484369E-4</v>
      </c>
      <c r="X39" s="268">
        <f>INDEX(POBLACION!$C$4:$W$128,MATCH(A39,POBLACION!$A$4:$A$128,0),MATCH($W$2,POBLACION!$C$3:$W$3,0))</f>
        <v>11910</v>
      </c>
      <c r="Y39" s="258">
        <f t="shared" si="5"/>
        <v>10997.08882117256</v>
      </c>
      <c r="Z39" s="270">
        <f t="shared" si="6"/>
        <v>12108.444931157965</v>
      </c>
      <c r="AA39" s="273">
        <f t="shared" si="7"/>
        <v>4.0412777327735485</v>
      </c>
      <c r="AB39" s="273">
        <f t="shared" si="8"/>
        <v>4.0830883709561983</v>
      </c>
      <c r="AG39" s="281"/>
      <c r="AH39" s="282"/>
      <c r="AI39" s="282"/>
    </row>
    <row r="40" spans="1:35" x14ac:dyDescent="0.2">
      <c r="A40" s="35" t="s">
        <v>177</v>
      </c>
      <c r="B40" s="32" t="s">
        <v>160</v>
      </c>
      <c r="C40" s="33" t="s">
        <v>167</v>
      </c>
      <c r="D40" s="32" t="s">
        <v>178</v>
      </c>
      <c r="E40" s="51">
        <f>SUMIFS('PIB-Mpal 2015-2022 Corrient '!H$5:H$1012,'PIB-Mpal 2015-2022 Corrient '!$A$5:$A$1012,$W$2,'PIB-Mpal 2015-2022 Corrient '!$E$5:$E$1012,$A40)</f>
        <v>14.401551404322179</v>
      </c>
      <c r="F40" s="51">
        <f>SUMIFS('PIB-Mpal 2015-2022 Corrient '!I$5:I$1012,'PIB-Mpal 2015-2022 Corrient '!$A$5:$A$1012,$W$2,'PIB-Mpal 2015-2022 Corrient '!$E$5:$E$1012,$A40)</f>
        <v>0.84263702856348388</v>
      </c>
      <c r="G40" s="51">
        <f>SUMIFS('PIB-Mpal 2015-2022 Corrient '!K$5:K$1012,'PIB-Mpal 2015-2022 Corrient '!$A$5:$A$1012,$W$2,'PIB-Mpal 2015-2022 Corrient '!$E$5:$E$1012,$A40)</f>
        <v>1.9199297013942629</v>
      </c>
      <c r="H40" s="51">
        <f>SUMIFS('PIB-Mpal 2015-2022 Corrient '!L$5:L$1012,'PIB-Mpal 2015-2022 Corrient '!$A$5:$A$1012,$W$2,'PIB-Mpal 2015-2022 Corrient '!$E$5:$E$1012,$A40)</f>
        <v>4.2002065124162655</v>
      </c>
      <c r="I40" s="51">
        <f>SUMIFS('PIB-Mpal 2015-2022 Corrient '!N$5:N$1012,'PIB-Mpal 2015-2022 Corrient '!$A$5:$A$1012,$W$2,'PIB-Mpal 2015-2022 Corrient '!$E$5:$E$1012,$A40)</f>
        <v>4.5976101750938581</v>
      </c>
      <c r="J40" s="51">
        <f>SUMIFS('PIB-Mpal 2015-2022 Corrient '!O$5:O$1012,'PIB-Mpal 2015-2022 Corrient '!$A$5:$A$1012,$W$2,'PIB-Mpal 2015-2022 Corrient '!$E$5:$E$1012,$A40)</f>
        <v>11.227281411365485</v>
      </c>
      <c r="K40" s="51">
        <f>SUMIFS('PIB-Mpal 2015-2022 Corrient '!P$5:P$1012,'PIB-Mpal 2015-2022 Corrient '!$A$5:$A$1012,$W$2,'PIB-Mpal 2015-2022 Corrient '!$E$5:$E$1012,$A40)</f>
        <v>2.6765409539881833</v>
      </c>
      <c r="L40" s="51">
        <f>SUMIFS('PIB-Mpal 2015-2022 Corrient '!Q$5:Q$1012,'PIB-Mpal 2015-2022 Corrient '!$A$5:$A$1012,$W$2,'PIB-Mpal 2015-2022 Corrient '!$E$5:$E$1012,$A40)</f>
        <v>1.334056573086511</v>
      </c>
      <c r="M40" s="51">
        <f>SUMIFS('PIB-Mpal 2015-2022 Corrient '!R$5:R$1012,'PIB-Mpal 2015-2022 Corrient '!$A$5:$A$1012,$W$2,'PIB-Mpal 2015-2022 Corrient '!$E$5:$E$1012,$A40)</f>
        <v>4.9573761879878839</v>
      </c>
      <c r="N40" s="51">
        <f>SUMIFS('PIB-Mpal 2015-2022 Corrient '!S$5:S$1012,'PIB-Mpal 2015-2022 Corrient '!$A$5:$A$1012,$W$2,'PIB-Mpal 2015-2022 Corrient '!$E$5:$E$1012,$A40)</f>
        <v>8.4852768727156942</v>
      </c>
      <c r="O40" s="51">
        <f>SUMIFS('PIB-Mpal 2015-2022 Corrient '!T$5:T$1012,'PIB-Mpal 2015-2022 Corrient '!$A$5:$A$1012,$W$2,'PIB-Mpal 2015-2022 Corrient '!$E$5:$E$1012,$A40)</f>
        <v>18.910627065277936</v>
      </c>
      <c r="P40" s="150">
        <f>SUMIFS('PIB-Mpal 2015-2022 Corrient '!U$5:U$1012,'PIB-Mpal 2015-2022 Corrient '!$A$5:$A$1012,$W$2,'PIB-Mpal 2015-2022 Corrient '!$E$5:$E$1012,$A40)</f>
        <v>3.9338566919231051</v>
      </c>
      <c r="Q40" s="156">
        <f>SUMIFS('PIB-Mpal 2015-2022 Corrient '!J$5:J$1012,'PIB-Mpal 2015-2022 Corrient '!$A$5:$A$1012,$W$2,'PIB-Mpal 2015-2022 Corrient '!$E$5:$E$1012,$A40)</f>
        <v>15.244188432885663</v>
      </c>
      <c r="R40" s="52">
        <f>SUMIFS('PIB-Mpal 2015-2022 Corrient '!M$5:M$1012,'PIB-Mpal 2015-2022 Corrient '!$A$5:$A$1012,$W$2,'PIB-Mpal 2015-2022 Corrient '!$E$5:$E$1012,$A40)</f>
        <v>6.1201362138105289</v>
      </c>
      <c r="S40" s="53">
        <f>SUMIFS('PIB-Mpal 2015-2022 Corrient '!V$5:V$1012,'PIB-Mpal 2015-2022 Corrient '!$A$5:$A$1012,$W$2,'PIB-Mpal 2015-2022 Corrient '!$E$5:$E$1012,$A40)</f>
        <v>56.122625931438655</v>
      </c>
      <c r="T40" s="207">
        <f>SUMIFS('PIB-Mpal 2015-2022 Corrient '!W$5:W$1012,'PIB-Mpal 2015-2022 Corrient '!$A$5:$A$1012,$W$2,'PIB-Mpal 2015-2022 Corrient '!$E$5:$E$1012,$A40)</f>
        <v>77.486950578134852</v>
      </c>
      <c r="U40" s="203">
        <f>SUMIFS('PIB-Mpal 2015-2022 Corrient '!X$5:X$1012,'PIB-Mpal 2015-2022 Corrient '!$A$5:$A$1012,$W$2,'PIB-Mpal 2015-2022 Corrient '!$E$5:$E$1012,$A40)</f>
        <v>7.8307629745928775</v>
      </c>
      <c r="V40" s="88">
        <f>SUMIFS('PIB-Mpal 2015-2022 Corrient '!Y$5:Y$1012,'PIB-Mpal 2015-2022 Corrient '!$A$5:$A$1012,$W$2,'PIB-Mpal 2015-2022 Corrient '!$E$5:$E$1012,$A40)</f>
        <v>85.317713552727724</v>
      </c>
      <c r="W40" s="92">
        <f t="shared" si="3"/>
        <v>5.5560054521199562E-4</v>
      </c>
      <c r="X40" s="268">
        <f>INDEX(POBLACION!$C$4:$W$128,MATCH(A40,POBLACION!$A$4:$A$128,0),MATCH($W$2,POBLACION!$C$3:$W$3,0))</f>
        <v>7630</v>
      </c>
      <c r="Y40" s="258">
        <f t="shared" si="5"/>
        <v>10155.563640646769</v>
      </c>
      <c r="Z40" s="270">
        <f t="shared" si="6"/>
        <v>11181.875957107171</v>
      </c>
      <c r="AA40" s="273">
        <f t="shared" si="7"/>
        <v>4.0067040320470442</v>
      </c>
      <c r="AB40" s="273">
        <f t="shared" si="8"/>
        <v>4.0485146702296939</v>
      </c>
      <c r="AG40" s="281"/>
      <c r="AH40" s="282"/>
      <c r="AI40" s="282"/>
    </row>
    <row r="41" spans="1:35" ht="16" thickBot="1" x14ac:dyDescent="0.25">
      <c r="A41" s="120" t="s">
        <v>179</v>
      </c>
      <c r="B41" s="63" t="s">
        <v>160</v>
      </c>
      <c r="C41" s="62" t="s">
        <v>167</v>
      </c>
      <c r="D41" s="63" t="s">
        <v>180</v>
      </c>
      <c r="E41" s="51">
        <f>SUMIFS('PIB-Mpal 2015-2022 Corrient '!H$5:H$1012,'PIB-Mpal 2015-2022 Corrient '!$A$5:$A$1012,$W$2,'PIB-Mpal 2015-2022 Corrient '!$E$5:$E$1012,$A41)</f>
        <v>47.992156717286534</v>
      </c>
      <c r="F41" s="51">
        <f>SUMIFS('PIB-Mpal 2015-2022 Corrient '!I$5:I$1012,'PIB-Mpal 2015-2022 Corrient '!$A$5:$A$1012,$W$2,'PIB-Mpal 2015-2022 Corrient '!$E$5:$E$1012,$A41)</f>
        <v>0.97825762653138071</v>
      </c>
      <c r="G41" s="51">
        <f>SUMIFS('PIB-Mpal 2015-2022 Corrient '!K$5:K$1012,'PIB-Mpal 2015-2022 Corrient '!$A$5:$A$1012,$W$2,'PIB-Mpal 2015-2022 Corrient '!$E$5:$E$1012,$A41)</f>
        <v>3.962690095527694</v>
      </c>
      <c r="H41" s="51">
        <f>SUMIFS('PIB-Mpal 2015-2022 Corrient '!L$5:L$1012,'PIB-Mpal 2015-2022 Corrient '!$A$5:$A$1012,$W$2,'PIB-Mpal 2015-2022 Corrient '!$E$5:$E$1012,$A41)</f>
        <v>20.519597414842899</v>
      </c>
      <c r="I41" s="51">
        <f>SUMIFS('PIB-Mpal 2015-2022 Corrient '!N$5:N$1012,'PIB-Mpal 2015-2022 Corrient '!$A$5:$A$1012,$W$2,'PIB-Mpal 2015-2022 Corrient '!$E$5:$E$1012,$A41)</f>
        <v>6.2133705685225786</v>
      </c>
      <c r="J41" s="51">
        <f>SUMIFS('PIB-Mpal 2015-2022 Corrient '!O$5:O$1012,'PIB-Mpal 2015-2022 Corrient '!$A$5:$A$1012,$W$2,'PIB-Mpal 2015-2022 Corrient '!$E$5:$E$1012,$A41)</f>
        <v>32.22219805255753</v>
      </c>
      <c r="K41" s="51">
        <f>SUMIFS('PIB-Mpal 2015-2022 Corrient '!P$5:P$1012,'PIB-Mpal 2015-2022 Corrient '!$A$5:$A$1012,$W$2,'PIB-Mpal 2015-2022 Corrient '!$E$5:$E$1012,$A41)</f>
        <v>6.9526796943687295</v>
      </c>
      <c r="L41" s="51">
        <f>SUMIFS('PIB-Mpal 2015-2022 Corrient '!Q$5:Q$1012,'PIB-Mpal 2015-2022 Corrient '!$A$5:$A$1012,$W$2,'PIB-Mpal 2015-2022 Corrient '!$E$5:$E$1012,$A41)</f>
        <v>3.8267461637328073</v>
      </c>
      <c r="M41" s="51">
        <f>SUMIFS('PIB-Mpal 2015-2022 Corrient '!R$5:R$1012,'PIB-Mpal 2015-2022 Corrient '!$A$5:$A$1012,$W$2,'PIB-Mpal 2015-2022 Corrient '!$E$5:$E$1012,$A41)</f>
        <v>13.548918505350759</v>
      </c>
      <c r="N41" s="51">
        <f>SUMIFS('PIB-Mpal 2015-2022 Corrient '!S$5:S$1012,'PIB-Mpal 2015-2022 Corrient '!$A$5:$A$1012,$W$2,'PIB-Mpal 2015-2022 Corrient '!$E$5:$E$1012,$A41)</f>
        <v>22.498029128422043</v>
      </c>
      <c r="O41" s="51">
        <f>SUMIFS('PIB-Mpal 2015-2022 Corrient '!T$5:T$1012,'PIB-Mpal 2015-2022 Corrient '!$A$5:$A$1012,$W$2,'PIB-Mpal 2015-2022 Corrient '!$E$5:$E$1012,$A41)</f>
        <v>62.270990522548317</v>
      </c>
      <c r="P41" s="150">
        <f>SUMIFS('PIB-Mpal 2015-2022 Corrient '!U$5:U$1012,'PIB-Mpal 2015-2022 Corrient '!$A$5:$A$1012,$W$2,'PIB-Mpal 2015-2022 Corrient '!$E$5:$E$1012,$A41)</f>
        <v>13.605810339452095</v>
      </c>
      <c r="Q41" s="156">
        <f>SUMIFS('PIB-Mpal 2015-2022 Corrient '!J$5:J$1012,'PIB-Mpal 2015-2022 Corrient '!$A$5:$A$1012,$W$2,'PIB-Mpal 2015-2022 Corrient '!$E$5:$E$1012,$A41)</f>
        <v>48.970414343817914</v>
      </c>
      <c r="R41" s="52">
        <f>SUMIFS('PIB-Mpal 2015-2022 Corrient '!M$5:M$1012,'PIB-Mpal 2015-2022 Corrient '!$A$5:$A$1012,$W$2,'PIB-Mpal 2015-2022 Corrient '!$E$5:$E$1012,$A41)</f>
        <v>24.482287510370593</v>
      </c>
      <c r="S41" s="53">
        <f>SUMIFS('PIB-Mpal 2015-2022 Corrient '!V$5:V$1012,'PIB-Mpal 2015-2022 Corrient '!$A$5:$A$1012,$W$2,'PIB-Mpal 2015-2022 Corrient '!$E$5:$E$1012,$A41)</f>
        <v>161.13874297495485</v>
      </c>
      <c r="T41" s="207">
        <f>SUMIFS('PIB-Mpal 2015-2022 Corrient '!W$5:W$1012,'PIB-Mpal 2015-2022 Corrient '!$A$5:$A$1012,$W$2,'PIB-Mpal 2015-2022 Corrient '!$E$5:$E$1012,$A41)</f>
        <v>234.59144482914334</v>
      </c>
      <c r="U41" s="203">
        <f>SUMIFS('PIB-Mpal 2015-2022 Corrient '!X$5:X$1012,'PIB-Mpal 2015-2022 Corrient '!$A$5:$A$1012,$W$2,'PIB-Mpal 2015-2022 Corrient '!$E$5:$E$1012,$A41)</f>
        <v>23.707604785297541</v>
      </c>
      <c r="V41" s="88">
        <f>SUMIFS('PIB-Mpal 2015-2022 Corrient '!Y$5:Y$1012,'PIB-Mpal 2015-2022 Corrient '!$A$5:$A$1012,$W$2,'PIB-Mpal 2015-2022 Corrient '!$E$5:$E$1012,$A41)</f>
        <v>258.29904961444089</v>
      </c>
      <c r="W41" s="98">
        <f t="shared" si="3"/>
        <v>1.6820785135648472E-3</v>
      </c>
      <c r="X41" s="268">
        <f>INDEX(POBLACION!$C$4:$W$128,MATCH(A41,POBLACION!$A$4:$A$128,0),MATCH($W$2,POBLACION!$C$3:$W$3,0))</f>
        <v>23050</v>
      </c>
      <c r="Y41" s="258">
        <f t="shared" si="5"/>
        <v>10177.50302946392</v>
      </c>
      <c r="Z41" s="270">
        <f t="shared" si="6"/>
        <v>11206.032521233878</v>
      </c>
      <c r="AA41" s="273">
        <f t="shared" si="7"/>
        <v>4.0076412403247623</v>
      </c>
      <c r="AB41" s="273">
        <f t="shared" si="8"/>
        <v>4.0494518785074129</v>
      </c>
      <c r="AG41" s="281"/>
      <c r="AH41" s="282"/>
      <c r="AI41" s="282"/>
    </row>
    <row r="42" spans="1:35" ht="16" thickBot="1" x14ac:dyDescent="0.25">
      <c r="A42" s="122" t="s">
        <v>181</v>
      </c>
      <c r="B42" s="117" t="s">
        <v>182</v>
      </c>
      <c r="C42" s="117"/>
      <c r="D42" s="112"/>
      <c r="E42" s="113">
        <f>SUM(E43:E59)</f>
        <v>853.00310419984407</v>
      </c>
      <c r="F42" s="113">
        <f t="shared" ref="F42:X42" si="12">SUM(F43:F59)</f>
        <v>12.029339081214875</v>
      </c>
      <c r="G42" s="113">
        <f t="shared" si="12"/>
        <v>856.93140929047536</v>
      </c>
      <c r="H42" s="113">
        <f t="shared" si="12"/>
        <v>403.2671293984468</v>
      </c>
      <c r="I42" s="113">
        <f t="shared" si="12"/>
        <v>268.06735541665654</v>
      </c>
      <c r="J42" s="113">
        <f t="shared" si="12"/>
        <v>616.26103303693105</v>
      </c>
      <c r="K42" s="113">
        <f t="shared" si="12"/>
        <v>111.28058752297903</v>
      </c>
      <c r="L42" s="113">
        <f t="shared" si="12"/>
        <v>91.240431978221721</v>
      </c>
      <c r="M42" s="113">
        <f t="shared" si="12"/>
        <v>253.05212862646439</v>
      </c>
      <c r="N42" s="113">
        <f t="shared" si="12"/>
        <v>395.8217482041361</v>
      </c>
      <c r="O42" s="113">
        <f t="shared" si="12"/>
        <v>659.32135529256573</v>
      </c>
      <c r="P42" s="123">
        <f t="shared" si="12"/>
        <v>105.64397259309899</v>
      </c>
      <c r="Q42" s="193">
        <f t="shared" si="12"/>
        <v>865.03244328105893</v>
      </c>
      <c r="R42" s="113">
        <f t="shared" si="12"/>
        <v>1260.1985386889221</v>
      </c>
      <c r="S42" s="114">
        <f t="shared" si="12"/>
        <v>2500.6886126710533</v>
      </c>
      <c r="T42" s="208">
        <f t="shared" si="12"/>
        <v>4625.9195946410346</v>
      </c>
      <c r="U42" s="186">
        <f t="shared" si="12"/>
        <v>467.49135970490079</v>
      </c>
      <c r="V42" s="123">
        <f t="shared" si="12"/>
        <v>5093.4109543459354</v>
      </c>
      <c r="W42" s="115">
        <f t="shared" si="3"/>
        <v>3.3168984322047353E-2</v>
      </c>
      <c r="X42" s="208">
        <f t="shared" si="12"/>
        <v>244995</v>
      </c>
      <c r="Y42" s="258">
        <f t="shared" si="5"/>
        <v>18881.689808530926</v>
      </c>
      <c r="Z42" s="270">
        <f t="shared" si="6"/>
        <v>20789.856749508908</v>
      </c>
      <c r="AA42" s="273">
        <f t="shared" si="7"/>
        <v>4.276040858695132</v>
      </c>
      <c r="AB42" s="273">
        <f t="shared" si="8"/>
        <v>4.3178514968777826</v>
      </c>
      <c r="AG42" s="281"/>
      <c r="AH42" s="282"/>
      <c r="AI42" s="282"/>
    </row>
    <row r="43" spans="1:35" x14ac:dyDescent="0.2">
      <c r="A43" s="121" t="s">
        <v>183</v>
      </c>
      <c r="B43" s="101" t="s">
        <v>184</v>
      </c>
      <c r="C43" s="108" t="s">
        <v>145</v>
      </c>
      <c r="D43" s="101" t="s">
        <v>185</v>
      </c>
      <c r="E43" s="51">
        <f>SUMIFS('PIB-Mpal 2015-2022 Corrient '!H$5:H$1012,'PIB-Mpal 2015-2022 Corrient '!$A$5:$A$1012,$W$2,'PIB-Mpal 2015-2022 Corrient '!$E$5:$E$1012,$A43)</f>
        <v>30.471873025627765</v>
      </c>
      <c r="F43" s="51">
        <f>SUMIFS('PIB-Mpal 2015-2022 Corrient '!I$5:I$1012,'PIB-Mpal 2015-2022 Corrient '!$A$5:$A$1012,$W$2,'PIB-Mpal 2015-2022 Corrient '!$E$5:$E$1012,$A43)</f>
        <v>0</v>
      </c>
      <c r="G43" s="51">
        <f>SUMIFS('PIB-Mpal 2015-2022 Corrient '!K$5:K$1012,'PIB-Mpal 2015-2022 Corrient '!$A$5:$A$1012,$W$2,'PIB-Mpal 2015-2022 Corrient '!$E$5:$E$1012,$A43)</f>
        <v>1.2151708944902069</v>
      </c>
      <c r="H43" s="51">
        <f>SUMIFS('PIB-Mpal 2015-2022 Corrient '!L$5:L$1012,'PIB-Mpal 2015-2022 Corrient '!$A$5:$A$1012,$W$2,'PIB-Mpal 2015-2022 Corrient '!$E$5:$E$1012,$A43)</f>
        <v>19.371850848552668</v>
      </c>
      <c r="I43" s="51">
        <f>SUMIFS('PIB-Mpal 2015-2022 Corrient '!N$5:N$1012,'PIB-Mpal 2015-2022 Corrient '!$A$5:$A$1012,$W$2,'PIB-Mpal 2015-2022 Corrient '!$E$5:$E$1012,$A43)</f>
        <v>6.2499179563669358</v>
      </c>
      <c r="J43" s="51">
        <f>SUMIFS('PIB-Mpal 2015-2022 Corrient '!O$5:O$1012,'PIB-Mpal 2015-2022 Corrient '!$A$5:$A$1012,$W$2,'PIB-Mpal 2015-2022 Corrient '!$E$5:$E$1012,$A43)</f>
        <v>20.855421457451154</v>
      </c>
      <c r="K43" s="51">
        <f>SUMIFS('PIB-Mpal 2015-2022 Corrient '!P$5:P$1012,'PIB-Mpal 2015-2022 Corrient '!$A$5:$A$1012,$W$2,'PIB-Mpal 2015-2022 Corrient '!$E$5:$E$1012,$A43)</f>
        <v>4.5880151860235312</v>
      </c>
      <c r="L43" s="51">
        <f>SUMIFS('PIB-Mpal 2015-2022 Corrient '!Q$5:Q$1012,'PIB-Mpal 2015-2022 Corrient '!$A$5:$A$1012,$W$2,'PIB-Mpal 2015-2022 Corrient '!$E$5:$E$1012,$A43)</f>
        <v>2.5315637981071322</v>
      </c>
      <c r="M43" s="51">
        <f>SUMIFS('PIB-Mpal 2015-2022 Corrient '!R$5:R$1012,'PIB-Mpal 2015-2022 Corrient '!$A$5:$A$1012,$W$2,'PIB-Mpal 2015-2022 Corrient '!$E$5:$E$1012,$A43)</f>
        <v>9.10377850687901</v>
      </c>
      <c r="N43" s="51">
        <f>SUMIFS('PIB-Mpal 2015-2022 Corrient '!S$5:S$1012,'PIB-Mpal 2015-2022 Corrient '!$A$5:$A$1012,$W$2,'PIB-Mpal 2015-2022 Corrient '!$E$5:$E$1012,$A43)</f>
        <v>11.28448719936638</v>
      </c>
      <c r="O43" s="51">
        <f>SUMIFS('PIB-Mpal 2015-2022 Corrient '!T$5:T$1012,'PIB-Mpal 2015-2022 Corrient '!$A$5:$A$1012,$W$2,'PIB-Mpal 2015-2022 Corrient '!$E$5:$E$1012,$A43)</f>
        <v>26.736154154724289</v>
      </c>
      <c r="P43" s="150">
        <f>SUMIFS('PIB-Mpal 2015-2022 Corrient '!U$5:U$1012,'PIB-Mpal 2015-2022 Corrient '!$A$5:$A$1012,$W$2,'PIB-Mpal 2015-2022 Corrient '!$E$5:$E$1012,$A43)</f>
        <v>3.7097990764188591</v>
      </c>
      <c r="Q43" s="156">
        <f>SUMIFS('PIB-Mpal 2015-2022 Corrient '!J$5:J$1012,'PIB-Mpal 2015-2022 Corrient '!$A$5:$A$1012,$W$2,'PIB-Mpal 2015-2022 Corrient '!$E$5:$E$1012,$A43)</f>
        <v>30.471873025627765</v>
      </c>
      <c r="R43" s="52">
        <f>SUMIFS('PIB-Mpal 2015-2022 Corrient '!M$5:M$1012,'PIB-Mpal 2015-2022 Corrient '!$A$5:$A$1012,$W$2,'PIB-Mpal 2015-2022 Corrient '!$E$5:$E$1012,$A43)</f>
        <v>20.587021743042875</v>
      </c>
      <c r="S43" s="53">
        <f>SUMIFS('PIB-Mpal 2015-2022 Corrient '!V$5:V$1012,'PIB-Mpal 2015-2022 Corrient '!$A$5:$A$1012,$W$2,'PIB-Mpal 2015-2022 Corrient '!$E$5:$E$1012,$A43)</f>
        <v>85.059137335337297</v>
      </c>
      <c r="T43" s="207">
        <f>SUMIFS('PIB-Mpal 2015-2022 Corrient '!W$5:W$1012,'PIB-Mpal 2015-2022 Corrient '!$A$5:$A$1012,$W$2,'PIB-Mpal 2015-2022 Corrient '!$E$5:$E$1012,$A43)</f>
        <v>136.11803210400794</v>
      </c>
      <c r="U43" s="203">
        <f>SUMIFS('PIB-Mpal 2015-2022 Corrient '!X$5:X$1012,'PIB-Mpal 2015-2022 Corrient '!$A$5:$A$1012,$W$2,'PIB-Mpal 2015-2022 Corrient '!$E$5:$E$1012,$A43)</f>
        <v>13.755968431093304</v>
      </c>
      <c r="V43" s="88">
        <f>SUMIFS('PIB-Mpal 2015-2022 Corrient '!Y$5:Y$1012,'PIB-Mpal 2015-2022 Corrient '!$A$5:$A$1012,$W$2,'PIB-Mpal 2015-2022 Corrient '!$E$5:$E$1012,$A43)</f>
        <v>149.87400053510123</v>
      </c>
      <c r="W43" s="100">
        <f t="shared" si="3"/>
        <v>9.7599985914933031E-4</v>
      </c>
      <c r="X43" s="268">
        <f>INDEX(POBLACION!$C$4:$W$128,MATCH(A43,POBLACION!$A$4:$A$128,0),MATCH($W$2,POBLACION!$C$3:$W$3,0))</f>
        <v>11462</v>
      </c>
      <c r="Y43" s="258">
        <f t="shared" si="5"/>
        <v>11875.591703368342</v>
      </c>
      <c r="Z43" s="270">
        <f t="shared" si="6"/>
        <v>13075.728540839404</v>
      </c>
      <c r="AA43" s="273">
        <f t="shared" si="7"/>
        <v>4.0746552576321307</v>
      </c>
      <c r="AB43" s="273">
        <f t="shared" si="8"/>
        <v>4.1164658958147813</v>
      </c>
      <c r="AG43" s="281"/>
      <c r="AH43" s="282"/>
      <c r="AI43" s="282"/>
    </row>
    <row r="44" spans="1:35" x14ac:dyDescent="0.2">
      <c r="A44" s="35" t="s">
        <v>186</v>
      </c>
      <c r="B44" s="32" t="s">
        <v>184</v>
      </c>
      <c r="C44" s="33" t="s">
        <v>145</v>
      </c>
      <c r="D44" s="32" t="s">
        <v>187</v>
      </c>
      <c r="E44" s="51">
        <f>SUMIFS('PIB-Mpal 2015-2022 Corrient '!H$5:H$1012,'PIB-Mpal 2015-2022 Corrient '!$A$5:$A$1012,$W$2,'PIB-Mpal 2015-2022 Corrient '!$E$5:$E$1012,$A44)</f>
        <v>23.067583516188641</v>
      </c>
      <c r="F44" s="51">
        <f>SUMIFS('PIB-Mpal 2015-2022 Corrient '!I$5:I$1012,'PIB-Mpal 2015-2022 Corrient '!$A$5:$A$1012,$W$2,'PIB-Mpal 2015-2022 Corrient '!$E$5:$E$1012,$A44)</f>
        <v>0.2723101531489398</v>
      </c>
      <c r="G44" s="51">
        <f>SUMIFS('PIB-Mpal 2015-2022 Corrient '!K$5:K$1012,'PIB-Mpal 2015-2022 Corrient '!$A$5:$A$1012,$W$2,'PIB-Mpal 2015-2022 Corrient '!$E$5:$E$1012,$A44)</f>
        <v>2.5595746947060465</v>
      </c>
      <c r="H44" s="51">
        <f>SUMIFS('PIB-Mpal 2015-2022 Corrient '!L$5:L$1012,'PIB-Mpal 2015-2022 Corrient '!$A$5:$A$1012,$W$2,'PIB-Mpal 2015-2022 Corrient '!$E$5:$E$1012,$A44)</f>
        <v>4.2120714328613591</v>
      </c>
      <c r="I44" s="51">
        <f>SUMIFS('PIB-Mpal 2015-2022 Corrient '!N$5:N$1012,'PIB-Mpal 2015-2022 Corrient '!$A$5:$A$1012,$W$2,'PIB-Mpal 2015-2022 Corrient '!$E$5:$E$1012,$A44)</f>
        <v>2.3265196030834074</v>
      </c>
      <c r="J44" s="51">
        <f>SUMIFS('PIB-Mpal 2015-2022 Corrient '!O$5:O$1012,'PIB-Mpal 2015-2022 Corrient '!$A$5:$A$1012,$W$2,'PIB-Mpal 2015-2022 Corrient '!$E$5:$E$1012,$A44)</f>
        <v>6.8563900729680967</v>
      </c>
      <c r="K44" s="51">
        <f>SUMIFS('PIB-Mpal 2015-2022 Corrient '!P$5:P$1012,'PIB-Mpal 2015-2022 Corrient '!$A$5:$A$1012,$W$2,'PIB-Mpal 2015-2022 Corrient '!$E$5:$E$1012,$A44)</f>
        <v>1.339843222360418</v>
      </c>
      <c r="L44" s="51">
        <f>SUMIFS('PIB-Mpal 2015-2022 Corrient '!Q$5:Q$1012,'PIB-Mpal 2015-2022 Corrient '!$A$5:$A$1012,$W$2,'PIB-Mpal 2015-2022 Corrient '!$E$5:$E$1012,$A44)</f>
        <v>0.42825643533451674</v>
      </c>
      <c r="M44" s="51">
        <f>SUMIFS('PIB-Mpal 2015-2022 Corrient '!R$5:R$1012,'PIB-Mpal 2015-2022 Corrient '!$A$5:$A$1012,$W$2,'PIB-Mpal 2015-2022 Corrient '!$E$5:$E$1012,$A44)</f>
        <v>4.5016875904040345</v>
      </c>
      <c r="N44" s="51">
        <f>SUMIFS('PIB-Mpal 2015-2022 Corrient '!S$5:S$1012,'PIB-Mpal 2015-2022 Corrient '!$A$5:$A$1012,$W$2,'PIB-Mpal 2015-2022 Corrient '!$E$5:$E$1012,$A44)</f>
        <v>6.5745999328050919</v>
      </c>
      <c r="O44" s="51">
        <f>SUMIFS('PIB-Mpal 2015-2022 Corrient '!T$5:T$1012,'PIB-Mpal 2015-2022 Corrient '!$A$5:$A$1012,$W$2,'PIB-Mpal 2015-2022 Corrient '!$E$5:$E$1012,$A44)</f>
        <v>27.704887809959374</v>
      </c>
      <c r="P44" s="150">
        <f>SUMIFS('PIB-Mpal 2015-2022 Corrient '!U$5:U$1012,'PIB-Mpal 2015-2022 Corrient '!$A$5:$A$1012,$W$2,'PIB-Mpal 2015-2022 Corrient '!$E$5:$E$1012,$A44)</f>
        <v>1.6061260708923704</v>
      </c>
      <c r="Q44" s="156">
        <f>SUMIFS('PIB-Mpal 2015-2022 Corrient '!J$5:J$1012,'PIB-Mpal 2015-2022 Corrient '!$A$5:$A$1012,$W$2,'PIB-Mpal 2015-2022 Corrient '!$E$5:$E$1012,$A44)</f>
        <v>23.339893669337581</v>
      </c>
      <c r="R44" s="52">
        <f>SUMIFS('PIB-Mpal 2015-2022 Corrient '!M$5:M$1012,'PIB-Mpal 2015-2022 Corrient '!$A$5:$A$1012,$W$2,'PIB-Mpal 2015-2022 Corrient '!$E$5:$E$1012,$A44)</f>
        <v>6.771646127567406</v>
      </c>
      <c r="S44" s="53">
        <f>SUMIFS('PIB-Mpal 2015-2022 Corrient '!V$5:V$1012,'PIB-Mpal 2015-2022 Corrient '!$A$5:$A$1012,$W$2,'PIB-Mpal 2015-2022 Corrient '!$E$5:$E$1012,$A44)</f>
        <v>51.338310737807312</v>
      </c>
      <c r="T44" s="207">
        <f>SUMIFS('PIB-Mpal 2015-2022 Corrient '!W$5:W$1012,'PIB-Mpal 2015-2022 Corrient '!$A$5:$A$1012,$W$2,'PIB-Mpal 2015-2022 Corrient '!$E$5:$E$1012,$A44)</f>
        <v>81.449850534712297</v>
      </c>
      <c r="U44" s="203">
        <f>SUMIFS('PIB-Mpal 2015-2022 Corrient '!X$5:X$1012,'PIB-Mpal 2015-2022 Corrient '!$A$5:$A$1012,$W$2,'PIB-Mpal 2015-2022 Corrient '!$E$5:$E$1012,$A44)</f>
        <v>8.231250153665572</v>
      </c>
      <c r="V44" s="88">
        <f>SUMIFS('PIB-Mpal 2015-2022 Corrient '!Y$5:Y$1012,'PIB-Mpal 2015-2022 Corrient '!$A$5:$A$1012,$W$2,'PIB-Mpal 2015-2022 Corrient '!$E$5:$E$1012,$A44)</f>
        <v>89.681100688377867</v>
      </c>
      <c r="W44" s="92">
        <f t="shared" si="3"/>
        <v>5.8401551521749129E-4</v>
      </c>
      <c r="X44" s="268">
        <f>INDEX(POBLACION!$C$4:$W$128,MATCH(A44,POBLACION!$A$4:$A$128,0),MATCH($W$2,POBLACION!$C$3:$W$3,0))</f>
        <v>6054</v>
      </c>
      <c r="Y44" s="258">
        <f t="shared" si="5"/>
        <v>13453.890078413</v>
      </c>
      <c r="Z44" s="270">
        <f t="shared" si="6"/>
        <v>14813.528359494196</v>
      </c>
      <c r="AA44" s="273">
        <f t="shared" si="7"/>
        <v>4.128847875068673</v>
      </c>
      <c r="AB44" s="273">
        <f t="shared" si="8"/>
        <v>4.1706585132513236</v>
      </c>
      <c r="AG44" s="281"/>
      <c r="AH44" s="282"/>
      <c r="AI44" s="282"/>
    </row>
    <row r="45" spans="1:35" x14ac:dyDescent="0.2">
      <c r="A45" s="35" t="s">
        <v>188</v>
      </c>
      <c r="B45" s="32" t="s">
        <v>184</v>
      </c>
      <c r="C45" s="33" t="s">
        <v>145</v>
      </c>
      <c r="D45" s="32" t="s">
        <v>189</v>
      </c>
      <c r="E45" s="51">
        <f>SUMIFS('PIB-Mpal 2015-2022 Corrient '!H$5:H$1012,'PIB-Mpal 2015-2022 Corrient '!$A$5:$A$1012,$W$2,'PIB-Mpal 2015-2022 Corrient '!$E$5:$E$1012,$A45)</f>
        <v>10.129819531871407</v>
      </c>
      <c r="F45" s="51">
        <f>SUMIFS('PIB-Mpal 2015-2022 Corrient '!I$5:I$1012,'PIB-Mpal 2015-2022 Corrient '!$A$5:$A$1012,$W$2,'PIB-Mpal 2015-2022 Corrient '!$E$5:$E$1012,$A45)</f>
        <v>0.92711628873756702</v>
      </c>
      <c r="G45" s="51">
        <f>SUMIFS('PIB-Mpal 2015-2022 Corrient '!K$5:K$1012,'PIB-Mpal 2015-2022 Corrient '!$A$5:$A$1012,$W$2,'PIB-Mpal 2015-2022 Corrient '!$E$5:$E$1012,$A45)</f>
        <v>0.56356478172768265</v>
      </c>
      <c r="H45" s="51">
        <f>SUMIFS('PIB-Mpal 2015-2022 Corrient '!L$5:L$1012,'PIB-Mpal 2015-2022 Corrient '!$A$5:$A$1012,$W$2,'PIB-Mpal 2015-2022 Corrient '!$E$5:$E$1012,$A45)</f>
        <v>5.4619705994446779</v>
      </c>
      <c r="I45" s="51">
        <f>SUMIFS('PIB-Mpal 2015-2022 Corrient '!N$5:N$1012,'PIB-Mpal 2015-2022 Corrient '!$A$5:$A$1012,$W$2,'PIB-Mpal 2015-2022 Corrient '!$E$5:$E$1012,$A45)</f>
        <v>2.3089484028488192</v>
      </c>
      <c r="J45" s="51">
        <f>SUMIFS('PIB-Mpal 2015-2022 Corrient '!O$5:O$1012,'PIB-Mpal 2015-2022 Corrient '!$A$5:$A$1012,$W$2,'PIB-Mpal 2015-2022 Corrient '!$E$5:$E$1012,$A45)</f>
        <v>6.8300702321271531</v>
      </c>
      <c r="K45" s="51">
        <f>SUMIFS('PIB-Mpal 2015-2022 Corrient '!P$5:P$1012,'PIB-Mpal 2015-2022 Corrient '!$A$5:$A$1012,$W$2,'PIB-Mpal 2015-2022 Corrient '!$E$5:$E$1012,$A45)</f>
        <v>2.8251230758127486</v>
      </c>
      <c r="L45" s="51">
        <f>SUMIFS('PIB-Mpal 2015-2022 Corrient '!Q$5:Q$1012,'PIB-Mpal 2015-2022 Corrient '!$A$5:$A$1012,$W$2,'PIB-Mpal 2015-2022 Corrient '!$E$5:$E$1012,$A45)</f>
        <v>1.2223891852852582</v>
      </c>
      <c r="M45" s="51">
        <f>SUMIFS('PIB-Mpal 2015-2022 Corrient '!R$5:R$1012,'PIB-Mpal 2015-2022 Corrient '!$A$5:$A$1012,$W$2,'PIB-Mpal 2015-2022 Corrient '!$E$5:$E$1012,$A45)</f>
        <v>4.8711156631632724</v>
      </c>
      <c r="N45" s="51">
        <f>SUMIFS('PIB-Mpal 2015-2022 Corrient '!S$5:S$1012,'PIB-Mpal 2015-2022 Corrient '!$A$5:$A$1012,$W$2,'PIB-Mpal 2015-2022 Corrient '!$E$5:$E$1012,$A45)</f>
        <v>9.8930115100563647</v>
      </c>
      <c r="O45" s="51">
        <f>SUMIFS('PIB-Mpal 2015-2022 Corrient '!T$5:T$1012,'PIB-Mpal 2015-2022 Corrient '!$A$5:$A$1012,$W$2,'PIB-Mpal 2015-2022 Corrient '!$E$5:$E$1012,$A45)</f>
        <v>25.460311031039179</v>
      </c>
      <c r="P45" s="150">
        <f>SUMIFS('PIB-Mpal 2015-2022 Corrient '!U$5:U$1012,'PIB-Mpal 2015-2022 Corrient '!$A$5:$A$1012,$W$2,'PIB-Mpal 2015-2022 Corrient '!$E$5:$E$1012,$A45)</f>
        <v>2.7003507552555659</v>
      </c>
      <c r="Q45" s="156">
        <f>SUMIFS('PIB-Mpal 2015-2022 Corrient '!J$5:J$1012,'PIB-Mpal 2015-2022 Corrient '!$A$5:$A$1012,$W$2,'PIB-Mpal 2015-2022 Corrient '!$E$5:$E$1012,$A45)</f>
        <v>11.056935820608974</v>
      </c>
      <c r="R45" s="52">
        <f>SUMIFS('PIB-Mpal 2015-2022 Corrient '!M$5:M$1012,'PIB-Mpal 2015-2022 Corrient '!$A$5:$A$1012,$W$2,'PIB-Mpal 2015-2022 Corrient '!$E$5:$E$1012,$A45)</f>
        <v>6.0255353811723609</v>
      </c>
      <c r="S45" s="53">
        <f>SUMIFS('PIB-Mpal 2015-2022 Corrient '!V$5:V$1012,'PIB-Mpal 2015-2022 Corrient '!$A$5:$A$1012,$W$2,'PIB-Mpal 2015-2022 Corrient '!$E$5:$E$1012,$A45)</f>
        <v>56.111319855588356</v>
      </c>
      <c r="T45" s="207">
        <f>SUMIFS('PIB-Mpal 2015-2022 Corrient '!W$5:W$1012,'PIB-Mpal 2015-2022 Corrient '!$A$5:$A$1012,$W$2,'PIB-Mpal 2015-2022 Corrient '!$E$5:$E$1012,$A45)</f>
        <v>73.193791057369694</v>
      </c>
      <c r="U45" s="203">
        <f>SUMIFS('PIB-Mpal 2015-2022 Corrient '!X$5:X$1012,'PIB-Mpal 2015-2022 Corrient '!$A$5:$A$1012,$W$2,'PIB-Mpal 2015-2022 Corrient '!$E$5:$E$1012,$A45)</f>
        <v>7.3969000548573947</v>
      </c>
      <c r="V45" s="88">
        <f>SUMIFS('PIB-Mpal 2015-2022 Corrient '!Y$5:Y$1012,'PIB-Mpal 2015-2022 Corrient '!$A$5:$A$1012,$W$2,'PIB-Mpal 2015-2022 Corrient '!$E$5:$E$1012,$A45)</f>
        <v>80.590691112227091</v>
      </c>
      <c r="W45" s="92">
        <f t="shared" si="3"/>
        <v>5.2481753268378978E-4</v>
      </c>
      <c r="X45" s="268">
        <f>INDEX(POBLACION!$C$4:$W$128,MATCH(A45,POBLACION!$A$4:$A$128,0),MATCH($W$2,POBLACION!$C$3:$W$3,0))</f>
        <v>8065</v>
      </c>
      <c r="Y45" s="258">
        <f t="shared" si="5"/>
        <v>9075.4855619801237</v>
      </c>
      <c r="Z45" s="270">
        <f t="shared" si="6"/>
        <v>9992.6461391478097</v>
      </c>
      <c r="AA45" s="273">
        <f t="shared" si="7"/>
        <v>3.9578698702092256</v>
      </c>
      <c r="AB45" s="273">
        <f t="shared" si="8"/>
        <v>3.9996805083918758</v>
      </c>
      <c r="AG45" s="281"/>
      <c r="AH45" s="282"/>
      <c r="AI45" s="282"/>
    </row>
    <row r="46" spans="1:35" x14ac:dyDescent="0.2">
      <c r="A46" s="35" t="s">
        <v>190</v>
      </c>
      <c r="B46" s="32" t="s">
        <v>184</v>
      </c>
      <c r="C46" s="33" t="s">
        <v>145</v>
      </c>
      <c r="D46" s="32" t="s">
        <v>191</v>
      </c>
      <c r="E46" s="51">
        <f>SUMIFS('PIB-Mpal 2015-2022 Corrient '!H$5:H$1012,'PIB-Mpal 2015-2022 Corrient '!$A$5:$A$1012,$W$2,'PIB-Mpal 2015-2022 Corrient '!$E$5:$E$1012,$A46)</f>
        <v>5.7003127473751691</v>
      </c>
      <c r="F46" s="51">
        <f>SUMIFS('PIB-Mpal 2015-2022 Corrient '!I$5:I$1012,'PIB-Mpal 2015-2022 Corrient '!$A$5:$A$1012,$W$2,'PIB-Mpal 2015-2022 Corrient '!$E$5:$E$1012,$A46)</f>
        <v>0</v>
      </c>
      <c r="G46" s="51">
        <f>SUMIFS('PIB-Mpal 2015-2022 Corrient '!K$5:K$1012,'PIB-Mpal 2015-2022 Corrient '!$A$5:$A$1012,$W$2,'PIB-Mpal 2015-2022 Corrient '!$E$5:$E$1012,$A46)</f>
        <v>1.1531709926718536</v>
      </c>
      <c r="H46" s="51">
        <f>SUMIFS('PIB-Mpal 2015-2022 Corrient '!L$5:L$1012,'PIB-Mpal 2015-2022 Corrient '!$A$5:$A$1012,$W$2,'PIB-Mpal 2015-2022 Corrient '!$E$5:$E$1012,$A46)</f>
        <v>5.6936815652322181</v>
      </c>
      <c r="I46" s="51">
        <f>SUMIFS('PIB-Mpal 2015-2022 Corrient '!N$5:N$1012,'PIB-Mpal 2015-2022 Corrient '!$A$5:$A$1012,$W$2,'PIB-Mpal 2015-2022 Corrient '!$E$5:$E$1012,$A46)</f>
        <v>4.191804867177968</v>
      </c>
      <c r="J46" s="51">
        <f>SUMIFS('PIB-Mpal 2015-2022 Corrient '!O$5:O$1012,'PIB-Mpal 2015-2022 Corrient '!$A$5:$A$1012,$W$2,'PIB-Mpal 2015-2022 Corrient '!$E$5:$E$1012,$A46)</f>
        <v>12.034804307913763</v>
      </c>
      <c r="K46" s="51">
        <f>SUMIFS('PIB-Mpal 2015-2022 Corrient '!P$5:P$1012,'PIB-Mpal 2015-2022 Corrient '!$A$5:$A$1012,$W$2,'PIB-Mpal 2015-2022 Corrient '!$E$5:$E$1012,$A46)</f>
        <v>3.4876822656892448</v>
      </c>
      <c r="L46" s="51">
        <f>SUMIFS('PIB-Mpal 2015-2022 Corrient '!Q$5:Q$1012,'PIB-Mpal 2015-2022 Corrient '!$A$5:$A$1012,$W$2,'PIB-Mpal 2015-2022 Corrient '!$E$5:$E$1012,$A46)</f>
        <v>1.8975690284974411</v>
      </c>
      <c r="M46" s="51">
        <f>SUMIFS('PIB-Mpal 2015-2022 Corrient '!R$5:R$1012,'PIB-Mpal 2015-2022 Corrient '!$A$5:$A$1012,$W$2,'PIB-Mpal 2015-2022 Corrient '!$E$5:$E$1012,$A46)</f>
        <v>5.7352246198310652</v>
      </c>
      <c r="N46" s="51">
        <f>SUMIFS('PIB-Mpal 2015-2022 Corrient '!S$5:S$1012,'PIB-Mpal 2015-2022 Corrient '!$A$5:$A$1012,$W$2,'PIB-Mpal 2015-2022 Corrient '!$E$5:$E$1012,$A46)</f>
        <v>9.5178699539282814</v>
      </c>
      <c r="O46" s="51">
        <f>SUMIFS('PIB-Mpal 2015-2022 Corrient '!T$5:T$1012,'PIB-Mpal 2015-2022 Corrient '!$A$5:$A$1012,$W$2,'PIB-Mpal 2015-2022 Corrient '!$E$5:$E$1012,$A46)</f>
        <v>22.062891608907108</v>
      </c>
      <c r="P46" s="150">
        <f>SUMIFS('PIB-Mpal 2015-2022 Corrient '!U$5:U$1012,'PIB-Mpal 2015-2022 Corrient '!$A$5:$A$1012,$W$2,'PIB-Mpal 2015-2022 Corrient '!$E$5:$E$1012,$A46)</f>
        <v>3.0662917963638803</v>
      </c>
      <c r="Q46" s="156">
        <f>SUMIFS('PIB-Mpal 2015-2022 Corrient '!J$5:J$1012,'PIB-Mpal 2015-2022 Corrient '!$A$5:$A$1012,$W$2,'PIB-Mpal 2015-2022 Corrient '!$E$5:$E$1012,$A46)</f>
        <v>5.7003127473751691</v>
      </c>
      <c r="R46" s="52">
        <f>SUMIFS('PIB-Mpal 2015-2022 Corrient '!M$5:M$1012,'PIB-Mpal 2015-2022 Corrient '!$A$5:$A$1012,$W$2,'PIB-Mpal 2015-2022 Corrient '!$E$5:$E$1012,$A46)</f>
        <v>6.8468525579040715</v>
      </c>
      <c r="S46" s="53">
        <f>SUMIFS('PIB-Mpal 2015-2022 Corrient '!V$5:V$1012,'PIB-Mpal 2015-2022 Corrient '!$A$5:$A$1012,$W$2,'PIB-Mpal 2015-2022 Corrient '!$E$5:$E$1012,$A46)</f>
        <v>61.994138448308746</v>
      </c>
      <c r="T46" s="207">
        <f>SUMIFS('PIB-Mpal 2015-2022 Corrient '!W$5:W$1012,'PIB-Mpal 2015-2022 Corrient '!$A$5:$A$1012,$W$2,'PIB-Mpal 2015-2022 Corrient '!$E$5:$E$1012,$A46)</f>
        <v>74.541303753587982</v>
      </c>
      <c r="U46" s="203">
        <f>SUMIFS('PIB-Mpal 2015-2022 Corrient '!X$5:X$1012,'PIB-Mpal 2015-2022 Corrient '!$A$5:$A$1012,$W$2,'PIB-Mpal 2015-2022 Corrient '!$E$5:$E$1012,$A46)</f>
        <v>7.5330785010423407</v>
      </c>
      <c r="V46" s="88">
        <f>SUMIFS('PIB-Mpal 2015-2022 Corrient '!Y$5:Y$1012,'PIB-Mpal 2015-2022 Corrient '!$A$5:$A$1012,$W$2,'PIB-Mpal 2015-2022 Corrient '!$E$5:$E$1012,$A46)</f>
        <v>82.074382254630322</v>
      </c>
      <c r="W46" s="92">
        <f t="shared" si="3"/>
        <v>5.3447953103464793E-4</v>
      </c>
      <c r="X46" s="268">
        <f>INDEX(POBLACION!$C$4:$W$128,MATCH(A46,POBLACION!$A$4:$A$128,0),MATCH($W$2,POBLACION!$C$3:$W$3,0))</f>
        <v>9202</v>
      </c>
      <c r="Y46" s="258">
        <f t="shared" si="5"/>
        <v>8100.5546352518995</v>
      </c>
      <c r="Z46" s="270">
        <f t="shared" si="6"/>
        <v>8919.1895516877121</v>
      </c>
      <c r="AA46" s="273">
        <f t="shared" si="7"/>
        <v>3.9085147555185222</v>
      </c>
      <c r="AB46" s="273">
        <f t="shared" si="8"/>
        <v>3.9503253937011729</v>
      </c>
      <c r="AG46" s="281"/>
      <c r="AH46" s="282"/>
      <c r="AI46" s="282"/>
    </row>
    <row r="47" spans="1:35" x14ac:dyDescent="0.2">
      <c r="A47" s="35" t="s">
        <v>192</v>
      </c>
      <c r="B47" s="32" t="s">
        <v>184</v>
      </c>
      <c r="C47" s="33" t="s">
        <v>145</v>
      </c>
      <c r="D47" s="32" t="s">
        <v>193</v>
      </c>
      <c r="E47" s="51">
        <f>SUMIFS('PIB-Mpal 2015-2022 Corrient '!H$5:H$1012,'PIB-Mpal 2015-2022 Corrient '!$A$5:$A$1012,$W$2,'PIB-Mpal 2015-2022 Corrient '!$E$5:$E$1012,$A47)</f>
        <v>7.0065373129466177</v>
      </c>
      <c r="F47" s="51">
        <f>SUMIFS('PIB-Mpal 2015-2022 Corrient '!I$5:I$1012,'PIB-Mpal 2015-2022 Corrient '!$A$5:$A$1012,$W$2,'PIB-Mpal 2015-2022 Corrient '!$E$5:$E$1012,$A47)</f>
        <v>0</v>
      </c>
      <c r="G47" s="51">
        <f>SUMIFS('PIB-Mpal 2015-2022 Corrient '!K$5:K$1012,'PIB-Mpal 2015-2022 Corrient '!$A$5:$A$1012,$W$2,'PIB-Mpal 2015-2022 Corrient '!$E$5:$E$1012,$A47)</f>
        <v>0.61275373308984837</v>
      </c>
      <c r="H47" s="51">
        <f>SUMIFS('PIB-Mpal 2015-2022 Corrient '!L$5:L$1012,'PIB-Mpal 2015-2022 Corrient '!$A$5:$A$1012,$W$2,'PIB-Mpal 2015-2022 Corrient '!$E$5:$E$1012,$A47)</f>
        <v>3.0909552296874629</v>
      </c>
      <c r="I47" s="51">
        <f>SUMIFS('PIB-Mpal 2015-2022 Corrient '!N$5:N$1012,'PIB-Mpal 2015-2022 Corrient '!$A$5:$A$1012,$W$2,'PIB-Mpal 2015-2022 Corrient '!$E$5:$E$1012,$A47)</f>
        <v>23.663862717475336</v>
      </c>
      <c r="J47" s="51">
        <f>SUMIFS('PIB-Mpal 2015-2022 Corrient '!O$5:O$1012,'PIB-Mpal 2015-2022 Corrient '!$A$5:$A$1012,$W$2,'PIB-Mpal 2015-2022 Corrient '!$E$5:$E$1012,$A47)</f>
        <v>1.5947098630449905</v>
      </c>
      <c r="K47" s="51">
        <f>SUMIFS('PIB-Mpal 2015-2022 Corrient '!P$5:P$1012,'PIB-Mpal 2015-2022 Corrient '!$A$5:$A$1012,$W$2,'PIB-Mpal 2015-2022 Corrient '!$E$5:$E$1012,$A47)</f>
        <v>0.46924708539058635</v>
      </c>
      <c r="L47" s="51">
        <f>SUMIFS('PIB-Mpal 2015-2022 Corrient '!Q$5:Q$1012,'PIB-Mpal 2015-2022 Corrient '!$A$5:$A$1012,$W$2,'PIB-Mpal 2015-2022 Corrient '!$E$5:$E$1012,$A47)</f>
        <v>0.24156402775345226</v>
      </c>
      <c r="M47" s="51">
        <f>SUMIFS('PIB-Mpal 2015-2022 Corrient '!R$5:R$1012,'PIB-Mpal 2015-2022 Corrient '!$A$5:$A$1012,$W$2,'PIB-Mpal 2015-2022 Corrient '!$E$5:$E$1012,$A47)</f>
        <v>0.98385697784383164</v>
      </c>
      <c r="N47" s="51">
        <f>SUMIFS('PIB-Mpal 2015-2022 Corrient '!S$5:S$1012,'PIB-Mpal 2015-2022 Corrient '!$A$5:$A$1012,$W$2,'PIB-Mpal 2015-2022 Corrient '!$E$5:$E$1012,$A47)</f>
        <v>2.7390697291015798</v>
      </c>
      <c r="O47" s="51">
        <f>SUMIFS('PIB-Mpal 2015-2022 Corrient '!T$5:T$1012,'PIB-Mpal 2015-2022 Corrient '!$A$5:$A$1012,$W$2,'PIB-Mpal 2015-2022 Corrient '!$E$5:$E$1012,$A47)</f>
        <v>3.4115565425602474</v>
      </c>
      <c r="P47" s="150">
        <f>SUMIFS('PIB-Mpal 2015-2022 Corrient '!U$5:U$1012,'PIB-Mpal 2015-2022 Corrient '!$A$5:$A$1012,$W$2,'PIB-Mpal 2015-2022 Corrient '!$E$5:$E$1012,$A47)</f>
        <v>0.40653779042044108</v>
      </c>
      <c r="Q47" s="156">
        <f>SUMIFS('PIB-Mpal 2015-2022 Corrient '!J$5:J$1012,'PIB-Mpal 2015-2022 Corrient '!$A$5:$A$1012,$W$2,'PIB-Mpal 2015-2022 Corrient '!$E$5:$E$1012,$A47)</f>
        <v>7.0065373129466177</v>
      </c>
      <c r="R47" s="52">
        <f>SUMIFS('PIB-Mpal 2015-2022 Corrient '!M$5:M$1012,'PIB-Mpal 2015-2022 Corrient '!$A$5:$A$1012,$W$2,'PIB-Mpal 2015-2022 Corrient '!$E$5:$E$1012,$A47)</f>
        <v>3.7037089627773114</v>
      </c>
      <c r="S47" s="53">
        <f>SUMIFS('PIB-Mpal 2015-2022 Corrient '!V$5:V$1012,'PIB-Mpal 2015-2022 Corrient '!$A$5:$A$1012,$W$2,'PIB-Mpal 2015-2022 Corrient '!$E$5:$E$1012,$A47)</f>
        <v>33.51040473359047</v>
      </c>
      <c r="T47" s="207">
        <f>SUMIFS('PIB-Mpal 2015-2022 Corrient '!W$5:W$1012,'PIB-Mpal 2015-2022 Corrient '!$A$5:$A$1012,$W$2,'PIB-Mpal 2015-2022 Corrient '!$E$5:$E$1012,$A47)</f>
        <v>44.220651009314402</v>
      </c>
      <c r="U47" s="203">
        <f>SUMIFS('PIB-Mpal 2015-2022 Corrient '!X$5:X$1012,'PIB-Mpal 2015-2022 Corrient '!$A$5:$A$1012,$W$2,'PIB-Mpal 2015-2022 Corrient '!$E$5:$E$1012,$A47)</f>
        <v>4.4689000412650843</v>
      </c>
      <c r="V47" s="88">
        <f>SUMIFS('PIB-Mpal 2015-2022 Corrient '!Y$5:Y$1012,'PIB-Mpal 2015-2022 Corrient '!$A$5:$A$1012,$W$2,'PIB-Mpal 2015-2022 Corrient '!$E$5:$E$1012,$A47)</f>
        <v>48.689551050579489</v>
      </c>
      <c r="W47" s="92">
        <f t="shared" si="3"/>
        <v>3.1707297328251443E-4</v>
      </c>
      <c r="X47" s="268">
        <f>INDEX(POBLACION!$C$4:$W$128,MATCH(A47,POBLACION!$A$4:$A$128,0),MATCH($W$2,POBLACION!$C$3:$W$3,0))</f>
        <v>3954</v>
      </c>
      <c r="Y47" s="258">
        <f t="shared" si="5"/>
        <v>11183.776178379971</v>
      </c>
      <c r="Z47" s="270">
        <f t="shared" si="6"/>
        <v>12313.998748249745</v>
      </c>
      <c r="AA47" s="273">
        <f t="shared" si="7"/>
        <v>4.0485884669256418</v>
      </c>
      <c r="AB47" s="273">
        <f t="shared" si="8"/>
        <v>4.0903991051082924</v>
      </c>
      <c r="AG47" s="281"/>
      <c r="AH47" s="282"/>
      <c r="AI47" s="282"/>
    </row>
    <row r="48" spans="1:35" x14ac:dyDescent="0.2">
      <c r="A48" s="35" t="s">
        <v>194</v>
      </c>
      <c r="B48" s="32" t="s">
        <v>184</v>
      </c>
      <c r="C48" s="33" t="s">
        <v>145</v>
      </c>
      <c r="D48" s="32" t="s">
        <v>195</v>
      </c>
      <c r="E48" s="51">
        <f>SUMIFS('PIB-Mpal 2015-2022 Corrient '!H$5:H$1012,'PIB-Mpal 2015-2022 Corrient '!$A$5:$A$1012,$W$2,'PIB-Mpal 2015-2022 Corrient '!$E$5:$E$1012,$A48)</f>
        <v>165.71939150568619</v>
      </c>
      <c r="F48" s="51">
        <f>SUMIFS('PIB-Mpal 2015-2022 Corrient '!I$5:I$1012,'PIB-Mpal 2015-2022 Corrient '!$A$5:$A$1012,$W$2,'PIB-Mpal 2015-2022 Corrient '!$E$5:$E$1012,$A48)</f>
        <v>0</v>
      </c>
      <c r="G48" s="51">
        <f>SUMIFS('PIB-Mpal 2015-2022 Corrient '!K$5:K$1012,'PIB-Mpal 2015-2022 Corrient '!$A$5:$A$1012,$W$2,'PIB-Mpal 2015-2022 Corrient '!$E$5:$E$1012,$A48)</f>
        <v>28.110979988701718</v>
      </c>
      <c r="H48" s="51">
        <f>SUMIFS('PIB-Mpal 2015-2022 Corrient '!L$5:L$1012,'PIB-Mpal 2015-2022 Corrient '!$A$5:$A$1012,$W$2,'PIB-Mpal 2015-2022 Corrient '!$E$5:$E$1012,$A48)</f>
        <v>20.776508909488552</v>
      </c>
      <c r="I48" s="51">
        <f>SUMIFS('PIB-Mpal 2015-2022 Corrient '!N$5:N$1012,'PIB-Mpal 2015-2022 Corrient '!$A$5:$A$1012,$W$2,'PIB-Mpal 2015-2022 Corrient '!$E$5:$E$1012,$A48)</f>
        <v>28.555861067382686</v>
      </c>
      <c r="J48" s="51">
        <f>SUMIFS('PIB-Mpal 2015-2022 Corrient '!O$5:O$1012,'PIB-Mpal 2015-2022 Corrient '!$A$5:$A$1012,$W$2,'PIB-Mpal 2015-2022 Corrient '!$E$5:$E$1012,$A48)</f>
        <v>77.091170202269367</v>
      </c>
      <c r="K48" s="51">
        <f>SUMIFS('PIB-Mpal 2015-2022 Corrient '!P$5:P$1012,'PIB-Mpal 2015-2022 Corrient '!$A$5:$A$1012,$W$2,'PIB-Mpal 2015-2022 Corrient '!$E$5:$E$1012,$A48)</f>
        <v>9.7451039349229145</v>
      </c>
      <c r="L48" s="51">
        <f>SUMIFS('PIB-Mpal 2015-2022 Corrient '!Q$5:Q$1012,'PIB-Mpal 2015-2022 Corrient '!$A$5:$A$1012,$W$2,'PIB-Mpal 2015-2022 Corrient '!$E$5:$E$1012,$A48)</f>
        <v>11.335839914561227</v>
      </c>
      <c r="M48" s="51">
        <f>SUMIFS('PIB-Mpal 2015-2022 Corrient '!R$5:R$1012,'PIB-Mpal 2015-2022 Corrient '!$A$5:$A$1012,$W$2,'PIB-Mpal 2015-2022 Corrient '!$E$5:$E$1012,$A48)</f>
        <v>22.052717050084251</v>
      </c>
      <c r="N48" s="51">
        <f>SUMIFS('PIB-Mpal 2015-2022 Corrient '!S$5:S$1012,'PIB-Mpal 2015-2022 Corrient '!$A$5:$A$1012,$W$2,'PIB-Mpal 2015-2022 Corrient '!$E$5:$E$1012,$A48)</f>
        <v>30.053698226230527</v>
      </c>
      <c r="O48" s="51">
        <f>SUMIFS('PIB-Mpal 2015-2022 Corrient '!T$5:T$1012,'PIB-Mpal 2015-2022 Corrient '!$A$5:$A$1012,$W$2,'PIB-Mpal 2015-2022 Corrient '!$E$5:$E$1012,$A48)</f>
        <v>28.715200701005696</v>
      </c>
      <c r="P48" s="150">
        <f>SUMIFS('PIB-Mpal 2015-2022 Corrient '!U$5:U$1012,'PIB-Mpal 2015-2022 Corrient '!$A$5:$A$1012,$W$2,'PIB-Mpal 2015-2022 Corrient '!$E$5:$E$1012,$A48)</f>
        <v>9.1814501616469641</v>
      </c>
      <c r="Q48" s="156">
        <f>SUMIFS('PIB-Mpal 2015-2022 Corrient '!J$5:J$1012,'PIB-Mpal 2015-2022 Corrient '!$A$5:$A$1012,$W$2,'PIB-Mpal 2015-2022 Corrient '!$E$5:$E$1012,$A48)</f>
        <v>165.71939150568619</v>
      </c>
      <c r="R48" s="52">
        <f>SUMIFS('PIB-Mpal 2015-2022 Corrient '!M$5:M$1012,'PIB-Mpal 2015-2022 Corrient '!$A$5:$A$1012,$W$2,'PIB-Mpal 2015-2022 Corrient '!$E$5:$E$1012,$A48)</f>
        <v>48.88748889819027</v>
      </c>
      <c r="S48" s="53">
        <f>SUMIFS('PIB-Mpal 2015-2022 Corrient '!V$5:V$1012,'PIB-Mpal 2015-2022 Corrient '!$A$5:$A$1012,$W$2,'PIB-Mpal 2015-2022 Corrient '!$E$5:$E$1012,$A48)</f>
        <v>216.73104125810363</v>
      </c>
      <c r="T48" s="207">
        <f>SUMIFS('PIB-Mpal 2015-2022 Corrient '!W$5:W$1012,'PIB-Mpal 2015-2022 Corrient '!$A$5:$A$1012,$W$2,'PIB-Mpal 2015-2022 Corrient '!$E$5:$E$1012,$A48)</f>
        <v>431.33792166198009</v>
      </c>
      <c r="U48" s="203">
        <f>SUMIFS('PIB-Mpal 2015-2022 Corrient '!X$5:X$1012,'PIB-Mpal 2015-2022 Corrient '!$A$5:$A$1012,$W$2,'PIB-Mpal 2015-2022 Corrient '!$E$5:$E$1012,$A48)</f>
        <v>43.590630438896028</v>
      </c>
      <c r="V48" s="88">
        <f>SUMIFS('PIB-Mpal 2015-2022 Corrient '!Y$5:Y$1012,'PIB-Mpal 2015-2022 Corrient '!$A$5:$A$1012,$W$2,'PIB-Mpal 2015-2022 Corrient '!$E$5:$E$1012,$A48)</f>
        <v>474.92855210087612</v>
      </c>
      <c r="W48" s="92">
        <f t="shared" si="3"/>
        <v>3.0927992733995875E-3</v>
      </c>
      <c r="X48" s="268">
        <f>INDEX(POBLACION!$C$4:$W$128,MATCH(A48,POBLACION!$A$4:$A$128,0),MATCH($W$2,POBLACION!$C$3:$W$3,0))</f>
        <v>19332</v>
      </c>
      <c r="Y48" s="258">
        <f t="shared" si="5"/>
        <v>22312.120921890135</v>
      </c>
      <c r="Z48" s="270">
        <f t="shared" si="6"/>
        <v>24566.964209645983</v>
      </c>
      <c r="AA48" s="273">
        <f t="shared" si="7"/>
        <v>4.3485408549496087</v>
      </c>
      <c r="AB48" s="273">
        <f t="shared" si="8"/>
        <v>4.3903514931322594</v>
      </c>
      <c r="AG48" s="281"/>
      <c r="AH48" s="282"/>
      <c r="AI48" s="282"/>
    </row>
    <row r="49" spans="1:35" x14ac:dyDescent="0.2">
      <c r="A49" s="35" t="s">
        <v>196</v>
      </c>
      <c r="B49" s="32" t="s">
        <v>184</v>
      </c>
      <c r="C49" s="33" t="s">
        <v>145</v>
      </c>
      <c r="D49" s="32" t="s">
        <v>197</v>
      </c>
      <c r="E49" s="51">
        <f>SUMIFS('PIB-Mpal 2015-2022 Corrient '!H$5:H$1012,'PIB-Mpal 2015-2022 Corrient '!$A$5:$A$1012,$W$2,'PIB-Mpal 2015-2022 Corrient '!$E$5:$E$1012,$A49)</f>
        <v>74.60063386614965</v>
      </c>
      <c r="F49" s="51">
        <f>SUMIFS('PIB-Mpal 2015-2022 Corrient '!I$5:I$1012,'PIB-Mpal 2015-2022 Corrient '!$A$5:$A$1012,$W$2,'PIB-Mpal 2015-2022 Corrient '!$E$5:$E$1012,$A49)</f>
        <v>0</v>
      </c>
      <c r="G49" s="51">
        <f>SUMIFS('PIB-Mpal 2015-2022 Corrient '!K$5:K$1012,'PIB-Mpal 2015-2022 Corrient '!$A$5:$A$1012,$W$2,'PIB-Mpal 2015-2022 Corrient '!$E$5:$E$1012,$A49)</f>
        <v>150.53228087880996</v>
      </c>
      <c r="H49" s="51">
        <f>SUMIFS('PIB-Mpal 2015-2022 Corrient '!L$5:L$1012,'PIB-Mpal 2015-2022 Corrient '!$A$5:$A$1012,$W$2,'PIB-Mpal 2015-2022 Corrient '!$E$5:$E$1012,$A49)</f>
        <v>52.403084560023757</v>
      </c>
      <c r="I49" s="51">
        <f>SUMIFS('PIB-Mpal 2015-2022 Corrient '!N$5:N$1012,'PIB-Mpal 2015-2022 Corrient '!$A$5:$A$1012,$W$2,'PIB-Mpal 2015-2022 Corrient '!$E$5:$E$1012,$A49)</f>
        <v>11.632157718076853</v>
      </c>
      <c r="J49" s="51">
        <f>SUMIFS('PIB-Mpal 2015-2022 Corrient '!O$5:O$1012,'PIB-Mpal 2015-2022 Corrient '!$A$5:$A$1012,$W$2,'PIB-Mpal 2015-2022 Corrient '!$E$5:$E$1012,$A49)</f>
        <v>38.752614603632743</v>
      </c>
      <c r="K49" s="51">
        <f>SUMIFS('PIB-Mpal 2015-2022 Corrient '!P$5:P$1012,'PIB-Mpal 2015-2022 Corrient '!$A$5:$A$1012,$W$2,'PIB-Mpal 2015-2022 Corrient '!$E$5:$E$1012,$A49)</f>
        <v>5.0334752689691804</v>
      </c>
      <c r="L49" s="51">
        <f>SUMIFS('PIB-Mpal 2015-2022 Corrient '!Q$5:Q$1012,'PIB-Mpal 2015-2022 Corrient '!$A$5:$A$1012,$W$2,'PIB-Mpal 2015-2022 Corrient '!$E$5:$E$1012,$A49)</f>
        <v>4.7258328288253022</v>
      </c>
      <c r="M49" s="51">
        <f>SUMIFS('PIB-Mpal 2015-2022 Corrient '!R$5:R$1012,'PIB-Mpal 2015-2022 Corrient '!$A$5:$A$1012,$W$2,'PIB-Mpal 2015-2022 Corrient '!$E$5:$E$1012,$A49)</f>
        <v>12.761165916862751</v>
      </c>
      <c r="N49" s="51">
        <f>SUMIFS('PIB-Mpal 2015-2022 Corrient '!S$5:S$1012,'PIB-Mpal 2015-2022 Corrient '!$A$5:$A$1012,$W$2,'PIB-Mpal 2015-2022 Corrient '!$E$5:$E$1012,$A49)</f>
        <v>23.784592410406518</v>
      </c>
      <c r="O49" s="51">
        <f>SUMIFS('PIB-Mpal 2015-2022 Corrient '!T$5:T$1012,'PIB-Mpal 2015-2022 Corrient '!$A$5:$A$1012,$W$2,'PIB-Mpal 2015-2022 Corrient '!$E$5:$E$1012,$A49)</f>
        <v>18.627095760605837</v>
      </c>
      <c r="P49" s="150">
        <f>SUMIFS('PIB-Mpal 2015-2022 Corrient '!U$5:U$1012,'PIB-Mpal 2015-2022 Corrient '!$A$5:$A$1012,$W$2,'PIB-Mpal 2015-2022 Corrient '!$E$5:$E$1012,$A49)</f>
        <v>5.5789386940012635</v>
      </c>
      <c r="Q49" s="156">
        <f>SUMIFS('PIB-Mpal 2015-2022 Corrient '!J$5:J$1012,'PIB-Mpal 2015-2022 Corrient '!$A$5:$A$1012,$W$2,'PIB-Mpal 2015-2022 Corrient '!$E$5:$E$1012,$A49)</f>
        <v>74.60063386614965</v>
      </c>
      <c r="R49" s="52">
        <f>SUMIFS('PIB-Mpal 2015-2022 Corrient '!M$5:M$1012,'PIB-Mpal 2015-2022 Corrient '!$A$5:$A$1012,$W$2,'PIB-Mpal 2015-2022 Corrient '!$E$5:$E$1012,$A49)</f>
        <v>202.93536543883371</v>
      </c>
      <c r="S49" s="53">
        <f>SUMIFS('PIB-Mpal 2015-2022 Corrient '!V$5:V$1012,'PIB-Mpal 2015-2022 Corrient '!$A$5:$A$1012,$W$2,'PIB-Mpal 2015-2022 Corrient '!$E$5:$E$1012,$A49)</f>
        <v>120.89587320138045</v>
      </c>
      <c r="T49" s="207">
        <f>SUMIFS('PIB-Mpal 2015-2022 Corrient '!W$5:W$1012,'PIB-Mpal 2015-2022 Corrient '!$A$5:$A$1012,$W$2,'PIB-Mpal 2015-2022 Corrient '!$E$5:$E$1012,$A49)</f>
        <v>398.43187250636379</v>
      </c>
      <c r="U49" s="203">
        <f>SUMIFS('PIB-Mpal 2015-2022 Corrient '!X$5:X$1012,'PIB-Mpal 2015-2022 Corrient '!$A$5:$A$1012,$W$2,'PIB-Mpal 2015-2022 Corrient '!$E$5:$E$1012,$A49)</f>
        <v>40.265174095016562</v>
      </c>
      <c r="V49" s="88">
        <f>SUMIFS('PIB-Mpal 2015-2022 Corrient '!Y$5:Y$1012,'PIB-Mpal 2015-2022 Corrient '!$A$5:$A$1012,$W$2,'PIB-Mpal 2015-2022 Corrient '!$E$5:$E$1012,$A49)</f>
        <v>438.69704660138035</v>
      </c>
      <c r="W49" s="92">
        <f t="shared" si="3"/>
        <v>2.8568547857765049E-3</v>
      </c>
      <c r="X49" s="268">
        <f>INDEX(POBLACION!$C$4:$W$128,MATCH(A49,POBLACION!$A$4:$A$128,0),MATCH($W$2,POBLACION!$C$3:$W$3,0))</f>
        <v>11465</v>
      </c>
      <c r="Y49" s="258">
        <f t="shared" si="5"/>
        <v>34752.016790786198</v>
      </c>
      <c r="Z49" s="270">
        <f t="shared" si="6"/>
        <v>38264.02499793985</v>
      </c>
      <c r="AA49" s="273">
        <f t="shared" si="7"/>
        <v>4.5409800134065286</v>
      </c>
      <c r="AB49" s="273">
        <f t="shared" si="8"/>
        <v>4.5827906515891792</v>
      </c>
      <c r="AG49" s="281"/>
      <c r="AH49" s="282"/>
      <c r="AI49" s="282"/>
    </row>
    <row r="50" spans="1:35" x14ac:dyDescent="0.2">
      <c r="A50" s="35" t="s">
        <v>198</v>
      </c>
      <c r="B50" s="32" t="s">
        <v>184</v>
      </c>
      <c r="C50" s="33" t="s">
        <v>145</v>
      </c>
      <c r="D50" s="32" t="s">
        <v>199</v>
      </c>
      <c r="E50" s="51">
        <f>SUMIFS('PIB-Mpal 2015-2022 Corrient '!H$5:H$1012,'PIB-Mpal 2015-2022 Corrient '!$A$5:$A$1012,$W$2,'PIB-Mpal 2015-2022 Corrient '!$E$5:$E$1012,$A50)</f>
        <v>26.310642595741616</v>
      </c>
      <c r="F50" s="51">
        <f>SUMIFS('PIB-Mpal 2015-2022 Corrient '!I$5:I$1012,'PIB-Mpal 2015-2022 Corrient '!$A$5:$A$1012,$W$2,'PIB-Mpal 2015-2022 Corrient '!$E$5:$E$1012,$A50)</f>
        <v>1.1615964457502201</v>
      </c>
      <c r="G50" s="51">
        <f>SUMIFS('PIB-Mpal 2015-2022 Corrient '!K$5:K$1012,'PIB-Mpal 2015-2022 Corrient '!$A$5:$A$1012,$W$2,'PIB-Mpal 2015-2022 Corrient '!$E$5:$E$1012,$A50)</f>
        <v>14.713292739210038</v>
      </c>
      <c r="H50" s="51">
        <f>SUMIFS('PIB-Mpal 2015-2022 Corrient '!L$5:L$1012,'PIB-Mpal 2015-2022 Corrient '!$A$5:$A$1012,$W$2,'PIB-Mpal 2015-2022 Corrient '!$E$5:$E$1012,$A50)</f>
        <v>14.808307350306476</v>
      </c>
      <c r="I50" s="51">
        <f>SUMIFS('PIB-Mpal 2015-2022 Corrient '!N$5:N$1012,'PIB-Mpal 2015-2022 Corrient '!$A$5:$A$1012,$W$2,'PIB-Mpal 2015-2022 Corrient '!$E$5:$E$1012,$A50)</f>
        <v>29.51611768209635</v>
      </c>
      <c r="J50" s="51">
        <f>SUMIFS('PIB-Mpal 2015-2022 Corrient '!O$5:O$1012,'PIB-Mpal 2015-2022 Corrient '!$A$5:$A$1012,$W$2,'PIB-Mpal 2015-2022 Corrient '!$E$5:$E$1012,$A50)</f>
        <v>55.044358424809921</v>
      </c>
      <c r="K50" s="51">
        <f>SUMIFS('PIB-Mpal 2015-2022 Corrient '!P$5:P$1012,'PIB-Mpal 2015-2022 Corrient '!$A$5:$A$1012,$W$2,'PIB-Mpal 2015-2022 Corrient '!$E$5:$E$1012,$A50)</f>
        <v>14.187379237670182</v>
      </c>
      <c r="L50" s="51">
        <f>SUMIFS('PIB-Mpal 2015-2022 Corrient '!Q$5:Q$1012,'PIB-Mpal 2015-2022 Corrient '!$A$5:$A$1012,$W$2,'PIB-Mpal 2015-2022 Corrient '!$E$5:$E$1012,$A50)</f>
        <v>6.4972484296780451</v>
      </c>
      <c r="M50" s="51">
        <f>SUMIFS('PIB-Mpal 2015-2022 Corrient '!R$5:R$1012,'PIB-Mpal 2015-2022 Corrient '!$A$5:$A$1012,$W$2,'PIB-Mpal 2015-2022 Corrient '!$E$5:$E$1012,$A50)</f>
        <v>35.950941452834741</v>
      </c>
      <c r="N50" s="51">
        <f>SUMIFS('PIB-Mpal 2015-2022 Corrient '!S$5:S$1012,'PIB-Mpal 2015-2022 Corrient '!$A$5:$A$1012,$W$2,'PIB-Mpal 2015-2022 Corrient '!$E$5:$E$1012,$A50)</f>
        <v>46.819382780127974</v>
      </c>
      <c r="O50" s="51">
        <f>SUMIFS('PIB-Mpal 2015-2022 Corrient '!T$5:T$1012,'PIB-Mpal 2015-2022 Corrient '!$A$5:$A$1012,$W$2,'PIB-Mpal 2015-2022 Corrient '!$E$5:$E$1012,$A50)</f>
        <v>87.840007492142519</v>
      </c>
      <c r="P50" s="150">
        <f>SUMIFS('PIB-Mpal 2015-2022 Corrient '!U$5:U$1012,'PIB-Mpal 2015-2022 Corrient '!$A$5:$A$1012,$W$2,'PIB-Mpal 2015-2022 Corrient '!$E$5:$E$1012,$A50)</f>
        <v>17.233798616864718</v>
      </c>
      <c r="Q50" s="156">
        <f>SUMIFS('PIB-Mpal 2015-2022 Corrient '!J$5:J$1012,'PIB-Mpal 2015-2022 Corrient '!$A$5:$A$1012,$W$2,'PIB-Mpal 2015-2022 Corrient '!$E$5:$E$1012,$A50)</f>
        <v>27.472239041491836</v>
      </c>
      <c r="R50" s="52">
        <f>SUMIFS('PIB-Mpal 2015-2022 Corrient '!M$5:M$1012,'PIB-Mpal 2015-2022 Corrient '!$A$5:$A$1012,$W$2,'PIB-Mpal 2015-2022 Corrient '!$E$5:$E$1012,$A50)</f>
        <v>29.521600089516514</v>
      </c>
      <c r="S50" s="53">
        <f>SUMIFS('PIB-Mpal 2015-2022 Corrient '!V$5:V$1012,'PIB-Mpal 2015-2022 Corrient '!$A$5:$A$1012,$W$2,'PIB-Mpal 2015-2022 Corrient '!$E$5:$E$1012,$A50)</f>
        <v>293.08923411622442</v>
      </c>
      <c r="T50" s="207">
        <f>SUMIFS('PIB-Mpal 2015-2022 Corrient '!W$5:W$1012,'PIB-Mpal 2015-2022 Corrient '!$A$5:$A$1012,$W$2,'PIB-Mpal 2015-2022 Corrient '!$E$5:$E$1012,$A50)</f>
        <v>350.08307324723279</v>
      </c>
      <c r="U50" s="203">
        <f>SUMIFS('PIB-Mpal 2015-2022 Corrient '!X$5:X$1012,'PIB-Mpal 2015-2022 Corrient '!$A$5:$A$1012,$W$2,'PIB-Mpal 2015-2022 Corrient '!$E$5:$E$1012,$A50)</f>
        <v>35.379087027715428</v>
      </c>
      <c r="V50" s="88">
        <f>SUMIFS('PIB-Mpal 2015-2022 Corrient '!Y$5:Y$1012,'PIB-Mpal 2015-2022 Corrient '!$A$5:$A$1012,$W$2,'PIB-Mpal 2015-2022 Corrient '!$E$5:$E$1012,$A50)</f>
        <v>385.46216027494825</v>
      </c>
      <c r="W50" s="92">
        <f t="shared" si="3"/>
        <v>2.5101819714730012E-3</v>
      </c>
      <c r="X50" s="268">
        <f>INDEX(POBLACION!$C$4:$W$128,MATCH(A50,POBLACION!$A$4:$A$128,0),MATCH($W$2,POBLACION!$C$3:$W$3,0))</f>
        <v>9828</v>
      </c>
      <c r="Y50" s="258">
        <f t="shared" si="5"/>
        <v>35620.988323894257</v>
      </c>
      <c r="Z50" s="270">
        <f t="shared" si="6"/>
        <v>39220.81402879001</v>
      </c>
      <c r="AA50" s="273">
        <f t="shared" si="7"/>
        <v>4.5517059650334302</v>
      </c>
      <c r="AB50" s="273">
        <f t="shared" si="8"/>
        <v>4.5935166032160808</v>
      </c>
      <c r="AG50" s="281"/>
      <c r="AH50" s="282"/>
      <c r="AI50" s="282"/>
    </row>
    <row r="51" spans="1:35" x14ac:dyDescent="0.2">
      <c r="A51" s="35" t="s">
        <v>200</v>
      </c>
      <c r="B51" s="32" t="s">
        <v>184</v>
      </c>
      <c r="C51" s="33" t="s">
        <v>145</v>
      </c>
      <c r="D51" s="32" t="s">
        <v>201</v>
      </c>
      <c r="E51" s="51">
        <f>SUMIFS('PIB-Mpal 2015-2022 Corrient '!H$5:H$1012,'PIB-Mpal 2015-2022 Corrient '!$A$5:$A$1012,$W$2,'PIB-Mpal 2015-2022 Corrient '!$E$5:$E$1012,$A51)</f>
        <v>7.5452652013440353</v>
      </c>
      <c r="F51" s="51">
        <f>SUMIFS('PIB-Mpal 2015-2022 Corrient '!I$5:I$1012,'PIB-Mpal 2015-2022 Corrient '!$A$5:$A$1012,$W$2,'PIB-Mpal 2015-2022 Corrient '!$E$5:$E$1012,$A51)</f>
        <v>0</v>
      </c>
      <c r="G51" s="51">
        <f>SUMIFS('PIB-Mpal 2015-2022 Corrient '!K$5:K$1012,'PIB-Mpal 2015-2022 Corrient '!$A$5:$A$1012,$W$2,'PIB-Mpal 2015-2022 Corrient '!$E$5:$E$1012,$A51)</f>
        <v>0.2031207106906078</v>
      </c>
      <c r="H51" s="51">
        <f>SUMIFS('PIB-Mpal 2015-2022 Corrient '!L$5:L$1012,'PIB-Mpal 2015-2022 Corrient '!$A$5:$A$1012,$W$2,'PIB-Mpal 2015-2022 Corrient '!$E$5:$E$1012,$A51)</f>
        <v>6.1381470073838544</v>
      </c>
      <c r="I51" s="51">
        <f>SUMIFS('PIB-Mpal 2015-2022 Corrient '!N$5:N$1012,'PIB-Mpal 2015-2022 Corrient '!$A$5:$A$1012,$W$2,'PIB-Mpal 2015-2022 Corrient '!$E$5:$E$1012,$A51)</f>
        <v>32.672737173133143</v>
      </c>
      <c r="J51" s="51">
        <f>SUMIFS('PIB-Mpal 2015-2022 Corrient '!O$5:O$1012,'PIB-Mpal 2015-2022 Corrient '!$A$5:$A$1012,$W$2,'PIB-Mpal 2015-2022 Corrient '!$E$5:$E$1012,$A51)</f>
        <v>3.65558945112332</v>
      </c>
      <c r="K51" s="51">
        <f>SUMIFS('PIB-Mpal 2015-2022 Corrient '!P$5:P$1012,'PIB-Mpal 2015-2022 Corrient '!$A$5:$A$1012,$W$2,'PIB-Mpal 2015-2022 Corrient '!$E$5:$E$1012,$A51)</f>
        <v>1.087230578456355</v>
      </c>
      <c r="L51" s="51">
        <f>SUMIFS('PIB-Mpal 2015-2022 Corrient '!Q$5:Q$1012,'PIB-Mpal 2015-2022 Corrient '!$A$5:$A$1012,$W$2,'PIB-Mpal 2015-2022 Corrient '!$E$5:$E$1012,$A51)</f>
        <v>0.62922402141466127</v>
      </c>
      <c r="M51" s="51">
        <f>SUMIFS('PIB-Mpal 2015-2022 Corrient '!R$5:R$1012,'PIB-Mpal 2015-2022 Corrient '!$A$5:$A$1012,$W$2,'PIB-Mpal 2015-2022 Corrient '!$E$5:$E$1012,$A51)</f>
        <v>1.6280996660992622</v>
      </c>
      <c r="N51" s="51">
        <f>SUMIFS('PIB-Mpal 2015-2022 Corrient '!S$5:S$1012,'PIB-Mpal 2015-2022 Corrient '!$A$5:$A$1012,$W$2,'PIB-Mpal 2015-2022 Corrient '!$E$5:$E$1012,$A51)</f>
        <v>5.1329925815458042</v>
      </c>
      <c r="O51" s="51">
        <f>SUMIFS('PIB-Mpal 2015-2022 Corrient '!T$5:T$1012,'PIB-Mpal 2015-2022 Corrient '!$A$5:$A$1012,$W$2,'PIB-Mpal 2015-2022 Corrient '!$E$5:$E$1012,$A51)</f>
        <v>8.4380182364612022</v>
      </c>
      <c r="P51" s="150">
        <f>SUMIFS('PIB-Mpal 2015-2022 Corrient '!U$5:U$1012,'PIB-Mpal 2015-2022 Corrient '!$A$5:$A$1012,$W$2,'PIB-Mpal 2015-2022 Corrient '!$E$5:$E$1012,$A51)</f>
        <v>1.2445406987894698</v>
      </c>
      <c r="Q51" s="156">
        <f>SUMIFS('PIB-Mpal 2015-2022 Corrient '!J$5:J$1012,'PIB-Mpal 2015-2022 Corrient '!$A$5:$A$1012,$W$2,'PIB-Mpal 2015-2022 Corrient '!$E$5:$E$1012,$A51)</f>
        <v>7.5452652013440353</v>
      </c>
      <c r="R51" s="52">
        <f>SUMIFS('PIB-Mpal 2015-2022 Corrient '!M$5:M$1012,'PIB-Mpal 2015-2022 Corrient '!$A$5:$A$1012,$W$2,'PIB-Mpal 2015-2022 Corrient '!$E$5:$E$1012,$A51)</f>
        <v>6.3412677180744623</v>
      </c>
      <c r="S51" s="53">
        <f>SUMIFS('PIB-Mpal 2015-2022 Corrient '!V$5:V$1012,'PIB-Mpal 2015-2022 Corrient '!$A$5:$A$1012,$W$2,'PIB-Mpal 2015-2022 Corrient '!$E$5:$E$1012,$A51)</f>
        <v>54.488432407023225</v>
      </c>
      <c r="T51" s="207">
        <f>SUMIFS('PIB-Mpal 2015-2022 Corrient '!W$5:W$1012,'PIB-Mpal 2015-2022 Corrient '!$A$5:$A$1012,$W$2,'PIB-Mpal 2015-2022 Corrient '!$E$5:$E$1012,$A51)</f>
        <v>68.374965326441725</v>
      </c>
      <c r="U51" s="203">
        <f>SUMIFS('PIB-Mpal 2015-2022 Corrient '!X$5:X$1012,'PIB-Mpal 2015-2022 Corrient '!$A$5:$A$1012,$W$2,'PIB-Mpal 2015-2022 Corrient '!$E$5:$E$1012,$A51)</f>
        <v>6.9099137709318752</v>
      </c>
      <c r="V51" s="88">
        <f>SUMIFS('PIB-Mpal 2015-2022 Corrient '!Y$5:Y$1012,'PIB-Mpal 2015-2022 Corrient '!$A$5:$A$1012,$W$2,'PIB-Mpal 2015-2022 Corrient '!$E$5:$E$1012,$A51)</f>
        <v>75.284879097373604</v>
      </c>
      <c r="W51" s="92">
        <f t="shared" si="3"/>
        <v>4.9026536379071352E-4</v>
      </c>
      <c r="X51" s="268">
        <f>INDEX(POBLACION!$C$4:$W$128,MATCH(A51,POBLACION!$A$4:$A$128,0),MATCH($W$2,POBLACION!$C$3:$W$3,0))</f>
        <v>6607</v>
      </c>
      <c r="Y51" s="258">
        <f t="shared" si="5"/>
        <v>10348.867160048694</v>
      </c>
      <c r="Z51" s="270">
        <f t="shared" si="6"/>
        <v>11394.7145599173</v>
      </c>
      <c r="AA51" s="273">
        <f t="shared" si="7"/>
        <v>4.0148928122985978</v>
      </c>
      <c r="AB51" s="273">
        <f t="shared" si="8"/>
        <v>4.0567034504812476</v>
      </c>
      <c r="AG51" s="281"/>
      <c r="AH51" s="282"/>
      <c r="AI51" s="282"/>
    </row>
    <row r="52" spans="1:35" x14ac:dyDescent="0.2">
      <c r="A52" s="35" t="s">
        <v>202</v>
      </c>
      <c r="B52" s="32" t="s">
        <v>184</v>
      </c>
      <c r="C52" s="33" t="s">
        <v>145</v>
      </c>
      <c r="D52" s="32" t="s">
        <v>203</v>
      </c>
      <c r="E52" s="51">
        <f>SUMIFS('PIB-Mpal 2015-2022 Corrient '!H$5:H$1012,'PIB-Mpal 2015-2022 Corrient '!$A$5:$A$1012,$W$2,'PIB-Mpal 2015-2022 Corrient '!$E$5:$E$1012,$A52)</f>
        <v>43.89383002946817</v>
      </c>
      <c r="F52" s="51">
        <f>SUMIFS('PIB-Mpal 2015-2022 Corrient '!I$5:I$1012,'PIB-Mpal 2015-2022 Corrient '!$A$5:$A$1012,$W$2,'PIB-Mpal 2015-2022 Corrient '!$E$5:$E$1012,$A52)</f>
        <v>0</v>
      </c>
      <c r="G52" s="51">
        <f>SUMIFS('PIB-Mpal 2015-2022 Corrient '!K$5:K$1012,'PIB-Mpal 2015-2022 Corrient '!$A$5:$A$1012,$W$2,'PIB-Mpal 2015-2022 Corrient '!$E$5:$E$1012,$A52)</f>
        <v>6.0311933940100451</v>
      </c>
      <c r="H52" s="51">
        <f>SUMIFS('PIB-Mpal 2015-2022 Corrient '!L$5:L$1012,'PIB-Mpal 2015-2022 Corrient '!$A$5:$A$1012,$W$2,'PIB-Mpal 2015-2022 Corrient '!$E$5:$E$1012,$A52)</f>
        <v>14.941614045234999</v>
      </c>
      <c r="I52" s="51">
        <f>SUMIFS('PIB-Mpal 2015-2022 Corrient '!N$5:N$1012,'PIB-Mpal 2015-2022 Corrient '!$A$5:$A$1012,$W$2,'PIB-Mpal 2015-2022 Corrient '!$E$5:$E$1012,$A52)</f>
        <v>10.316214471136943</v>
      </c>
      <c r="J52" s="51">
        <f>SUMIFS('PIB-Mpal 2015-2022 Corrient '!O$5:O$1012,'PIB-Mpal 2015-2022 Corrient '!$A$5:$A$1012,$W$2,'PIB-Mpal 2015-2022 Corrient '!$E$5:$E$1012,$A52)</f>
        <v>33.064436591941501</v>
      </c>
      <c r="K52" s="51">
        <f>SUMIFS('PIB-Mpal 2015-2022 Corrient '!P$5:P$1012,'PIB-Mpal 2015-2022 Corrient '!$A$5:$A$1012,$W$2,'PIB-Mpal 2015-2022 Corrient '!$E$5:$E$1012,$A52)</f>
        <v>10.195366731996595</v>
      </c>
      <c r="L52" s="51">
        <f>SUMIFS('PIB-Mpal 2015-2022 Corrient '!Q$5:Q$1012,'PIB-Mpal 2015-2022 Corrient '!$A$5:$A$1012,$W$2,'PIB-Mpal 2015-2022 Corrient '!$E$5:$E$1012,$A52)</f>
        <v>5.1538231727357022</v>
      </c>
      <c r="M52" s="51">
        <f>SUMIFS('PIB-Mpal 2015-2022 Corrient '!R$5:R$1012,'PIB-Mpal 2015-2022 Corrient '!$A$5:$A$1012,$W$2,'PIB-Mpal 2015-2022 Corrient '!$E$5:$E$1012,$A52)</f>
        <v>17.553702446906208</v>
      </c>
      <c r="N52" s="51">
        <f>SUMIFS('PIB-Mpal 2015-2022 Corrient '!S$5:S$1012,'PIB-Mpal 2015-2022 Corrient '!$A$5:$A$1012,$W$2,'PIB-Mpal 2015-2022 Corrient '!$E$5:$E$1012,$A52)</f>
        <v>29.71608378097509</v>
      </c>
      <c r="O52" s="51">
        <f>SUMIFS('PIB-Mpal 2015-2022 Corrient '!T$5:T$1012,'PIB-Mpal 2015-2022 Corrient '!$A$5:$A$1012,$W$2,'PIB-Mpal 2015-2022 Corrient '!$E$5:$E$1012,$A52)</f>
        <v>72.448164131997785</v>
      </c>
      <c r="P52" s="150">
        <f>SUMIFS('PIB-Mpal 2015-2022 Corrient '!U$5:U$1012,'PIB-Mpal 2015-2022 Corrient '!$A$5:$A$1012,$W$2,'PIB-Mpal 2015-2022 Corrient '!$E$5:$E$1012,$A52)</f>
        <v>7.6002738734283968</v>
      </c>
      <c r="Q52" s="156">
        <f>SUMIFS('PIB-Mpal 2015-2022 Corrient '!J$5:J$1012,'PIB-Mpal 2015-2022 Corrient '!$A$5:$A$1012,$W$2,'PIB-Mpal 2015-2022 Corrient '!$E$5:$E$1012,$A52)</f>
        <v>43.89383002946817</v>
      </c>
      <c r="R52" s="52">
        <f>SUMIFS('PIB-Mpal 2015-2022 Corrient '!M$5:M$1012,'PIB-Mpal 2015-2022 Corrient '!$A$5:$A$1012,$W$2,'PIB-Mpal 2015-2022 Corrient '!$E$5:$E$1012,$A52)</f>
        <v>20.972807439245045</v>
      </c>
      <c r="S52" s="53">
        <f>SUMIFS('PIB-Mpal 2015-2022 Corrient '!V$5:V$1012,'PIB-Mpal 2015-2022 Corrient '!$A$5:$A$1012,$W$2,'PIB-Mpal 2015-2022 Corrient '!$E$5:$E$1012,$A52)</f>
        <v>186.04806520111819</v>
      </c>
      <c r="T52" s="207">
        <f>SUMIFS('PIB-Mpal 2015-2022 Corrient '!W$5:W$1012,'PIB-Mpal 2015-2022 Corrient '!$A$5:$A$1012,$W$2,'PIB-Mpal 2015-2022 Corrient '!$E$5:$E$1012,$A52)</f>
        <v>250.9147026698314</v>
      </c>
      <c r="U52" s="203">
        <f>SUMIFS('PIB-Mpal 2015-2022 Corrient '!X$5:X$1012,'PIB-Mpal 2015-2022 Corrient '!$A$5:$A$1012,$W$2,'PIB-Mpal 2015-2022 Corrient '!$E$5:$E$1012,$A52)</f>
        <v>25.357218845083011</v>
      </c>
      <c r="V52" s="88">
        <f>SUMIFS('PIB-Mpal 2015-2022 Corrient '!Y$5:Y$1012,'PIB-Mpal 2015-2022 Corrient '!$A$5:$A$1012,$W$2,'PIB-Mpal 2015-2022 Corrient '!$E$5:$E$1012,$A52)</f>
        <v>276.27192151491442</v>
      </c>
      <c r="W52" s="92">
        <f t="shared" si="3"/>
        <v>1.7991202978686084E-3</v>
      </c>
      <c r="X52" s="268">
        <f>INDEX(POBLACION!$C$4:$W$128,MATCH(A52,POBLACION!$A$4:$A$128,0),MATCH($W$2,POBLACION!$C$3:$W$3,0))</f>
        <v>27419</v>
      </c>
      <c r="Y52" s="258">
        <f t="shared" si="5"/>
        <v>9151.1252295791746</v>
      </c>
      <c r="Z52" s="270">
        <f t="shared" si="6"/>
        <v>10075.929884930683</v>
      </c>
      <c r="AA52" s="273">
        <f t="shared" si="7"/>
        <v>3.9614744985420307</v>
      </c>
      <c r="AB52" s="273">
        <f t="shared" si="8"/>
        <v>4.0032851367246813</v>
      </c>
      <c r="AG52" s="281"/>
      <c r="AH52" s="282"/>
      <c r="AI52" s="282"/>
    </row>
    <row r="53" spans="1:35" x14ac:dyDescent="0.2">
      <c r="A53" s="35" t="s">
        <v>204</v>
      </c>
      <c r="B53" s="32" t="s">
        <v>184</v>
      </c>
      <c r="C53" s="33" t="s">
        <v>145</v>
      </c>
      <c r="D53" s="32" t="s">
        <v>205</v>
      </c>
      <c r="E53" s="51">
        <f>SUMIFS('PIB-Mpal 2015-2022 Corrient '!H$5:H$1012,'PIB-Mpal 2015-2022 Corrient '!$A$5:$A$1012,$W$2,'PIB-Mpal 2015-2022 Corrient '!$E$5:$E$1012,$A53)</f>
        <v>16.708859211052097</v>
      </c>
      <c r="F53" s="51">
        <f>SUMIFS('PIB-Mpal 2015-2022 Corrient '!I$5:I$1012,'PIB-Mpal 2015-2022 Corrient '!$A$5:$A$1012,$W$2,'PIB-Mpal 2015-2022 Corrient '!$E$5:$E$1012,$A53)</f>
        <v>0</v>
      </c>
      <c r="G53" s="51">
        <f>SUMIFS('PIB-Mpal 2015-2022 Corrient '!K$5:K$1012,'PIB-Mpal 2015-2022 Corrient '!$A$5:$A$1012,$W$2,'PIB-Mpal 2015-2022 Corrient '!$E$5:$E$1012,$A53)</f>
        <v>0.66302055019788875</v>
      </c>
      <c r="H53" s="51">
        <f>SUMIFS('PIB-Mpal 2015-2022 Corrient '!L$5:L$1012,'PIB-Mpal 2015-2022 Corrient '!$A$5:$A$1012,$W$2,'PIB-Mpal 2015-2022 Corrient '!$E$5:$E$1012,$A53)</f>
        <v>5.6678014254937157</v>
      </c>
      <c r="I53" s="51">
        <f>SUMIFS('PIB-Mpal 2015-2022 Corrient '!N$5:N$1012,'PIB-Mpal 2015-2022 Corrient '!$A$5:$A$1012,$W$2,'PIB-Mpal 2015-2022 Corrient '!$E$5:$E$1012,$A53)</f>
        <v>2.1997622439983502</v>
      </c>
      <c r="J53" s="51">
        <f>SUMIFS('PIB-Mpal 2015-2022 Corrient '!O$5:O$1012,'PIB-Mpal 2015-2022 Corrient '!$A$5:$A$1012,$W$2,'PIB-Mpal 2015-2022 Corrient '!$E$5:$E$1012,$A53)</f>
        <v>7.6531182862467064</v>
      </c>
      <c r="K53" s="51">
        <f>SUMIFS('PIB-Mpal 2015-2022 Corrient '!P$5:P$1012,'PIB-Mpal 2015-2022 Corrient '!$A$5:$A$1012,$W$2,'PIB-Mpal 2015-2022 Corrient '!$E$5:$E$1012,$A53)</f>
        <v>2.6505946933222715</v>
      </c>
      <c r="L53" s="51">
        <f>SUMIFS('PIB-Mpal 2015-2022 Corrient '!Q$5:Q$1012,'PIB-Mpal 2015-2022 Corrient '!$A$5:$A$1012,$W$2,'PIB-Mpal 2015-2022 Corrient '!$E$5:$E$1012,$A53)</f>
        <v>2.1859463075075882</v>
      </c>
      <c r="M53" s="51">
        <f>SUMIFS('PIB-Mpal 2015-2022 Corrient '!R$5:R$1012,'PIB-Mpal 2015-2022 Corrient '!$A$5:$A$1012,$W$2,'PIB-Mpal 2015-2022 Corrient '!$E$5:$E$1012,$A53)</f>
        <v>8.2016727079142058</v>
      </c>
      <c r="N53" s="51">
        <f>SUMIFS('PIB-Mpal 2015-2022 Corrient '!S$5:S$1012,'PIB-Mpal 2015-2022 Corrient '!$A$5:$A$1012,$W$2,'PIB-Mpal 2015-2022 Corrient '!$E$5:$E$1012,$A53)</f>
        <v>8.1224461769426135</v>
      </c>
      <c r="O53" s="51">
        <f>SUMIFS('PIB-Mpal 2015-2022 Corrient '!T$5:T$1012,'PIB-Mpal 2015-2022 Corrient '!$A$5:$A$1012,$W$2,'PIB-Mpal 2015-2022 Corrient '!$E$5:$E$1012,$A53)</f>
        <v>18.894496961114228</v>
      </c>
      <c r="P53" s="150">
        <f>SUMIFS('PIB-Mpal 2015-2022 Corrient '!U$5:U$1012,'PIB-Mpal 2015-2022 Corrient '!$A$5:$A$1012,$W$2,'PIB-Mpal 2015-2022 Corrient '!$E$5:$E$1012,$A53)</f>
        <v>2.9378282525666832</v>
      </c>
      <c r="Q53" s="156">
        <f>SUMIFS('PIB-Mpal 2015-2022 Corrient '!J$5:J$1012,'PIB-Mpal 2015-2022 Corrient '!$A$5:$A$1012,$W$2,'PIB-Mpal 2015-2022 Corrient '!$E$5:$E$1012,$A53)</f>
        <v>16.708859211052097</v>
      </c>
      <c r="R53" s="52">
        <f>SUMIFS('PIB-Mpal 2015-2022 Corrient '!M$5:M$1012,'PIB-Mpal 2015-2022 Corrient '!$A$5:$A$1012,$W$2,'PIB-Mpal 2015-2022 Corrient '!$E$5:$E$1012,$A53)</f>
        <v>6.3308219756916042</v>
      </c>
      <c r="S53" s="53">
        <f>SUMIFS('PIB-Mpal 2015-2022 Corrient '!V$5:V$1012,'PIB-Mpal 2015-2022 Corrient '!$A$5:$A$1012,$W$2,'PIB-Mpal 2015-2022 Corrient '!$E$5:$E$1012,$A53)</f>
        <v>52.845865629612646</v>
      </c>
      <c r="T53" s="207">
        <f>SUMIFS('PIB-Mpal 2015-2022 Corrient '!W$5:W$1012,'PIB-Mpal 2015-2022 Corrient '!$A$5:$A$1012,$W$2,'PIB-Mpal 2015-2022 Corrient '!$E$5:$E$1012,$A53)</f>
        <v>75.885546816356353</v>
      </c>
      <c r="U53" s="203">
        <f>SUMIFS('PIB-Mpal 2015-2022 Corrient '!X$5:X$1012,'PIB-Mpal 2015-2022 Corrient '!$A$5:$A$1012,$W$2,'PIB-Mpal 2015-2022 Corrient '!$E$5:$E$1012,$A53)</f>
        <v>7.668926520950742</v>
      </c>
      <c r="V53" s="88">
        <f>SUMIFS('PIB-Mpal 2015-2022 Corrient '!Y$5:Y$1012,'PIB-Mpal 2015-2022 Corrient '!$A$5:$A$1012,$W$2,'PIB-Mpal 2015-2022 Corrient '!$E$5:$E$1012,$A53)</f>
        <v>83.554473337307101</v>
      </c>
      <c r="W53" s="92">
        <f t="shared" si="3"/>
        <v>5.4411808530732447E-4</v>
      </c>
      <c r="X53" s="268">
        <f>INDEX(POBLACION!$C$4:$W$128,MATCH(A53,POBLACION!$A$4:$A$128,0),MATCH($W$2,POBLACION!$C$3:$W$3,0))</f>
        <v>7240</v>
      </c>
      <c r="Y53" s="258">
        <f t="shared" si="5"/>
        <v>10481.429118281263</v>
      </c>
      <c r="Z53" s="270">
        <f t="shared" si="6"/>
        <v>11540.673112887722</v>
      </c>
      <c r="AA53" s="273">
        <f t="shared" si="7"/>
        <v>4.0204205017191743</v>
      </c>
      <c r="AB53" s="273">
        <f t="shared" si="8"/>
        <v>4.0622311399018249</v>
      </c>
      <c r="AG53" s="281"/>
      <c r="AH53" s="282"/>
      <c r="AI53" s="282"/>
    </row>
    <row r="54" spans="1:35" x14ac:dyDescent="0.2">
      <c r="A54" s="35" t="s">
        <v>206</v>
      </c>
      <c r="B54" s="32" t="s">
        <v>184</v>
      </c>
      <c r="C54" s="33" t="s">
        <v>145</v>
      </c>
      <c r="D54" s="32" t="s">
        <v>207</v>
      </c>
      <c r="E54" s="51">
        <f>SUMIFS('PIB-Mpal 2015-2022 Corrient '!H$5:H$1012,'PIB-Mpal 2015-2022 Corrient '!$A$5:$A$1012,$W$2,'PIB-Mpal 2015-2022 Corrient '!$E$5:$E$1012,$A54)</f>
        <v>4.2463869299752703</v>
      </c>
      <c r="F54" s="51">
        <f>SUMIFS('PIB-Mpal 2015-2022 Corrient '!I$5:I$1012,'PIB-Mpal 2015-2022 Corrient '!$A$5:$A$1012,$W$2,'PIB-Mpal 2015-2022 Corrient '!$E$5:$E$1012,$A54)</f>
        <v>0</v>
      </c>
      <c r="G54" s="51">
        <f>SUMIFS('PIB-Mpal 2015-2022 Corrient '!K$5:K$1012,'PIB-Mpal 2015-2022 Corrient '!$A$5:$A$1012,$W$2,'PIB-Mpal 2015-2022 Corrient '!$E$5:$E$1012,$A54)</f>
        <v>1.3729094111871873</v>
      </c>
      <c r="H54" s="51">
        <f>SUMIFS('PIB-Mpal 2015-2022 Corrient '!L$5:L$1012,'PIB-Mpal 2015-2022 Corrient '!$A$5:$A$1012,$W$2,'PIB-Mpal 2015-2022 Corrient '!$E$5:$E$1012,$A54)</f>
        <v>2.0516488702321674</v>
      </c>
      <c r="I54" s="51">
        <f>SUMIFS('PIB-Mpal 2015-2022 Corrient '!N$5:N$1012,'PIB-Mpal 2015-2022 Corrient '!$A$5:$A$1012,$W$2,'PIB-Mpal 2015-2022 Corrient '!$E$5:$E$1012,$A54)</f>
        <v>3.3496131271693752</v>
      </c>
      <c r="J54" s="51">
        <f>SUMIFS('PIB-Mpal 2015-2022 Corrient '!O$5:O$1012,'PIB-Mpal 2015-2022 Corrient '!$A$5:$A$1012,$W$2,'PIB-Mpal 2015-2022 Corrient '!$E$5:$E$1012,$A54)</f>
        <v>6.3772089462591985</v>
      </c>
      <c r="K54" s="51">
        <f>SUMIFS('PIB-Mpal 2015-2022 Corrient '!P$5:P$1012,'PIB-Mpal 2015-2022 Corrient '!$A$5:$A$1012,$W$2,'PIB-Mpal 2015-2022 Corrient '!$E$5:$E$1012,$A54)</f>
        <v>1.4219889277129216</v>
      </c>
      <c r="L54" s="51">
        <f>SUMIFS('PIB-Mpal 2015-2022 Corrient '!Q$5:Q$1012,'PIB-Mpal 2015-2022 Corrient '!$A$5:$A$1012,$W$2,'PIB-Mpal 2015-2022 Corrient '!$E$5:$E$1012,$A54)</f>
        <v>0.90990199423900253</v>
      </c>
      <c r="M54" s="51">
        <f>SUMIFS('PIB-Mpal 2015-2022 Corrient '!R$5:R$1012,'PIB-Mpal 2015-2022 Corrient '!$A$5:$A$1012,$W$2,'PIB-Mpal 2015-2022 Corrient '!$E$5:$E$1012,$A54)</f>
        <v>3.1386723991238177</v>
      </c>
      <c r="N54" s="51">
        <f>SUMIFS('PIB-Mpal 2015-2022 Corrient '!S$5:S$1012,'PIB-Mpal 2015-2022 Corrient '!$A$5:$A$1012,$W$2,'PIB-Mpal 2015-2022 Corrient '!$E$5:$E$1012,$A54)</f>
        <v>4.6029523493291462</v>
      </c>
      <c r="O54" s="51">
        <f>SUMIFS('PIB-Mpal 2015-2022 Corrient '!T$5:T$1012,'PIB-Mpal 2015-2022 Corrient '!$A$5:$A$1012,$W$2,'PIB-Mpal 2015-2022 Corrient '!$E$5:$E$1012,$A54)</f>
        <v>9.3496243282625819</v>
      </c>
      <c r="P54" s="150">
        <f>SUMIFS('PIB-Mpal 2015-2022 Corrient '!U$5:U$1012,'PIB-Mpal 2015-2022 Corrient '!$A$5:$A$1012,$W$2,'PIB-Mpal 2015-2022 Corrient '!$E$5:$E$1012,$A54)</f>
        <v>1.950954508858679</v>
      </c>
      <c r="Q54" s="156">
        <f>SUMIFS('PIB-Mpal 2015-2022 Corrient '!J$5:J$1012,'PIB-Mpal 2015-2022 Corrient '!$A$5:$A$1012,$W$2,'PIB-Mpal 2015-2022 Corrient '!$E$5:$E$1012,$A54)</f>
        <v>4.2463869299752703</v>
      </c>
      <c r="R54" s="52">
        <f>SUMIFS('PIB-Mpal 2015-2022 Corrient '!M$5:M$1012,'PIB-Mpal 2015-2022 Corrient '!$A$5:$A$1012,$W$2,'PIB-Mpal 2015-2022 Corrient '!$E$5:$E$1012,$A54)</f>
        <v>3.4245582814193547</v>
      </c>
      <c r="S54" s="53">
        <f>SUMIFS('PIB-Mpal 2015-2022 Corrient '!V$5:V$1012,'PIB-Mpal 2015-2022 Corrient '!$A$5:$A$1012,$W$2,'PIB-Mpal 2015-2022 Corrient '!$E$5:$E$1012,$A54)</f>
        <v>31.100916580954724</v>
      </c>
      <c r="T54" s="207">
        <f>SUMIFS('PIB-Mpal 2015-2022 Corrient '!W$5:W$1012,'PIB-Mpal 2015-2022 Corrient '!$A$5:$A$1012,$W$2,'PIB-Mpal 2015-2022 Corrient '!$E$5:$E$1012,$A54)</f>
        <v>38.771861792349355</v>
      </c>
      <c r="U54" s="203">
        <f>SUMIFS('PIB-Mpal 2015-2022 Corrient '!X$5:X$1012,'PIB-Mpal 2015-2022 Corrient '!$A$5:$A$1012,$W$2,'PIB-Mpal 2015-2022 Corrient '!$E$5:$E$1012,$A54)</f>
        <v>3.9182502023151584</v>
      </c>
      <c r="V54" s="88">
        <f>SUMIFS('PIB-Mpal 2015-2022 Corrient '!Y$5:Y$1012,'PIB-Mpal 2015-2022 Corrient '!$A$5:$A$1012,$W$2,'PIB-Mpal 2015-2022 Corrient '!$E$5:$E$1012,$A54)</f>
        <v>42.690111994664512</v>
      </c>
      <c r="W54" s="92">
        <f t="shared" si="3"/>
        <v>2.7800381083511159E-4</v>
      </c>
      <c r="X54" s="268">
        <f>INDEX(POBLACION!$C$4:$W$128,MATCH(A54,POBLACION!$A$4:$A$128,0),MATCH($W$2,POBLACION!$C$3:$W$3,0))</f>
        <v>3706</v>
      </c>
      <c r="Y54" s="258">
        <f t="shared" si="5"/>
        <v>10461.91629583091</v>
      </c>
      <c r="Z54" s="270">
        <f t="shared" si="6"/>
        <v>11519.188341787509</v>
      </c>
      <c r="AA54" s="273">
        <f t="shared" si="7"/>
        <v>4.0196112409825497</v>
      </c>
      <c r="AB54" s="273">
        <f t="shared" si="8"/>
        <v>4.0614218791652004</v>
      </c>
      <c r="AG54" s="281"/>
      <c r="AH54" s="282"/>
      <c r="AI54" s="282"/>
    </row>
    <row r="55" spans="1:35" x14ac:dyDescent="0.2">
      <c r="A55" s="35" t="s">
        <v>208</v>
      </c>
      <c r="B55" s="32" t="s">
        <v>184</v>
      </c>
      <c r="C55" s="33" t="s">
        <v>145</v>
      </c>
      <c r="D55" s="32" t="s">
        <v>209</v>
      </c>
      <c r="E55" s="51">
        <f>SUMIFS('PIB-Mpal 2015-2022 Corrient '!H$5:H$1012,'PIB-Mpal 2015-2022 Corrient '!$A$5:$A$1012,$W$2,'PIB-Mpal 2015-2022 Corrient '!$E$5:$E$1012,$A55)</f>
        <v>104.79428678204698</v>
      </c>
      <c r="F55" s="51">
        <f>SUMIFS('PIB-Mpal 2015-2022 Corrient '!I$5:I$1012,'PIB-Mpal 2015-2022 Corrient '!$A$5:$A$1012,$W$2,'PIB-Mpal 2015-2022 Corrient '!$E$5:$E$1012,$A55)</f>
        <v>1.2305656406302035</v>
      </c>
      <c r="G55" s="51">
        <f>SUMIFS('PIB-Mpal 2015-2022 Corrient '!K$5:K$1012,'PIB-Mpal 2015-2022 Corrient '!$A$5:$A$1012,$W$2,'PIB-Mpal 2015-2022 Corrient '!$E$5:$E$1012,$A55)</f>
        <v>395.47901576160552</v>
      </c>
      <c r="H55" s="51">
        <f>SUMIFS('PIB-Mpal 2015-2022 Corrient '!L$5:L$1012,'PIB-Mpal 2015-2022 Corrient '!$A$5:$A$1012,$W$2,'PIB-Mpal 2015-2022 Corrient '!$E$5:$E$1012,$A55)</f>
        <v>71.438629717253605</v>
      </c>
      <c r="I55" s="51">
        <f>SUMIFS('PIB-Mpal 2015-2022 Corrient '!N$5:N$1012,'PIB-Mpal 2015-2022 Corrient '!$A$5:$A$1012,$W$2,'PIB-Mpal 2015-2022 Corrient '!$E$5:$E$1012,$A55)</f>
        <v>20.880298296251169</v>
      </c>
      <c r="J55" s="51">
        <f>SUMIFS('PIB-Mpal 2015-2022 Corrient '!O$5:O$1012,'PIB-Mpal 2015-2022 Corrient '!$A$5:$A$1012,$W$2,'PIB-Mpal 2015-2022 Corrient '!$E$5:$E$1012,$A55)</f>
        <v>75.431199131033225</v>
      </c>
      <c r="K55" s="51">
        <f>SUMIFS('PIB-Mpal 2015-2022 Corrient '!P$5:P$1012,'PIB-Mpal 2015-2022 Corrient '!$A$5:$A$1012,$W$2,'PIB-Mpal 2015-2022 Corrient '!$E$5:$E$1012,$A55)</f>
        <v>10.938526677564809</v>
      </c>
      <c r="L55" s="51">
        <f>SUMIFS('PIB-Mpal 2015-2022 Corrient '!Q$5:Q$1012,'PIB-Mpal 2015-2022 Corrient '!$A$5:$A$1012,$W$2,'PIB-Mpal 2015-2022 Corrient '!$E$5:$E$1012,$A55)</f>
        <v>12.349918564824792</v>
      </c>
      <c r="M55" s="51">
        <f>SUMIFS('PIB-Mpal 2015-2022 Corrient '!R$5:R$1012,'PIB-Mpal 2015-2022 Corrient '!$A$5:$A$1012,$W$2,'PIB-Mpal 2015-2022 Corrient '!$E$5:$E$1012,$A55)</f>
        <v>30.512981254600039</v>
      </c>
      <c r="N55" s="51">
        <f>SUMIFS('PIB-Mpal 2015-2022 Corrient '!S$5:S$1012,'PIB-Mpal 2015-2022 Corrient '!$A$5:$A$1012,$W$2,'PIB-Mpal 2015-2022 Corrient '!$E$5:$E$1012,$A55)</f>
        <v>53.781045352625313</v>
      </c>
      <c r="O55" s="51">
        <f>SUMIFS('PIB-Mpal 2015-2022 Corrient '!T$5:T$1012,'PIB-Mpal 2015-2022 Corrient '!$A$5:$A$1012,$W$2,'PIB-Mpal 2015-2022 Corrient '!$E$5:$E$1012,$A55)</f>
        <v>36.244465296932155</v>
      </c>
      <c r="P55" s="150">
        <f>SUMIFS('PIB-Mpal 2015-2022 Corrient '!U$5:U$1012,'PIB-Mpal 2015-2022 Corrient '!$A$5:$A$1012,$W$2,'PIB-Mpal 2015-2022 Corrient '!$E$5:$E$1012,$A55)</f>
        <v>10.142980645659552</v>
      </c>
      <c r="Q55" s="156">
        <f>SUMIFS('PIB-Mpal 2015-2022 Corrient '!J$5:J$1012,'PIB-Mpal 2015-2022 Corrient '!$A$5:$A$1012,$W$2,'PIB-Mpal 2015-2022 Corrient '!$E$5:$E$1012,$A55)</f>
        <v>106.02485242267718</v>
      </c>
      <c r="R55" s="52">
        <f>SUMIFS('PIB-Mpal 2015-2022 Corrient '!M$5:M$1012,'PIB-Mpal 2015-2022 Corrient '!$A$5:$A$1012,$W$2,'PIB-Mpal 2015-2022 Corrient '!$E$5:$E$1012,$A55)</f>
        <v>466.91764547885913</v>
      </c>
      <c r="S55" s="53">
        <f>SUMIFS('PIB-Mpal 2015-2022 Corrient '!V$5:V$1012,'PIB-Mpal 2015-2022 Corrient '!$A$5:$A$1012,$W$2,'PIB-Mpal 2015-2022 Corrient '!$E$5:$E$1012,$A55)</f>
        <v>250.28141521949107</v>
      </c>
      <c r="T55" s="207">
        <f>SUMIFS('PIB-Mpal 2015-2022 Corrient '!W$5:W$1012,'PIB-Mpal 2015-2022 Corrient '!$A$5:$A$1012,$W$2,'PIB-Mpal 2015-2022 Corrient '!$E$5:$E$1012,$A55)</f>
        <v>823.22391312102741</v>
      </c>
      <c r="U55" s="203">
        <f>SUMIFS('PIB-Mpal 2015-2022 Corrient '!X$5:X$1012,'PIB-Mpal 2015-2022 Corrient '!$A$5:$A$1012,$W$2,'PIB-Mpal 2015-2022 Corrient '!$E$5:$E$1012,$A55)</f>
        <v>83.194283560910449</v>
      </c>
      <c r="V55" s="88">
        <f>SUMIFS('PIB-Mpal 2015-2022 Corrient '!Y$5:Y$1012,'PIB-Mpal 2015-2022 Corrient '!$A$5:$A$1012,$W$2,'PIB-Mpal 2015-2022 Corrient '!$E$5:$E$1012,$A55)</f>
        <v>906.41819668193784</v>
      </c>
      <c r="W55" s="92">
        <f t="shared" si="3"/>
        <v>5.9027184777440339E-3</v>
      </c>
      <c r="X55" s="268">
        <f>INDEX(POBLACION!$C$4:$W$128,MATCH(A55,POBLACION!$A$4:$A$128,0),MATCH($W$2,POBLACION!$C$3:$W$3,0))</f>
        <v>22447</v>
      </c>
      <c r="Y55" s="258">
        <f t="shared" si="5"/>
        <v>36674.117393015877</v>
      </c>
      <c r="Z55" s="270">
        <f t="shared" si="6"/>
        <v>40380.371394036527</v>
      </c>
      <c r="AA55" s="273">
        <f t="shared" si="7"/>
        <v>4.564359670819198</v>
      </c>
      <c r="AB55" s="273">
        <f t="shared" si="8"/>
        <v>4.6061703090018487</v>
      </c>
      <c r="AG55" s="281"/>
      <c r="AH55" s="282"/>
      <c r="AI55" s="282"/>
    </row>
    <row r="56" spans="1:35" x14ac:dyDescent="0.2">
      <c r="A56" s="35" t="s">
        <v>210</v>
      </c>
      <c r="B56" s="32" t="s">
        <v>184</v>
      </c>
      <c r="C56" s="33" t="s">
        <v>145</v>
      </c>
      <c r="D56" s="32" t="s">
        <v>211</v>
      </c>
      <c r="E56" s="51">
        <f>SUMIFS('PIB-Mpal 2015-2022 Corrient '!H$5:H$1012,'PIB-Mpal 2015-2022 Corrient '!$A$5:$A$1012,$W$2,'PIB-Mpal 2015-2022 Corrient '!$E$5:$E$1012,$A56)</f>
        <v>256.54391405149943</v>
      </c>
      <c r="F56" s="51">
        <f>SUMIFS('PIB-Mpal 2015-2022 Corrient '!I$5:I$1012,'PIB-Mpal 2015-2022 Corrient '!$A$5:$A$1012,$W$2,'PIB-Mpal 2015-2022 Corrient '!$E$5:$E$1012,$A56)</f>
        <v>5.9040076152840015</v>
      </c>
      <c r="G56" s="51">
        <f>SUMIFS('PIB-Mpal 2015-2022 Corrient '!K$5:K$1012,'PIB-Mpal 2015-2022 Corrient '!$A$5:$A$1012,$W$2,'PIB-Mpal 2015-2022 Corrient '!$E$5:$E$1012,$A56)</f>
        <v>164.92185755830329</v>
      </c>
      <c r="H56" s="51">
        <f>SUMIFS('PIB-Mpal 2015-2022 Corrient '!L$5:L$1012,'PIB-Mpal 2015-2022 Corrient '!$A$5:$A$1012,$W$2,'PIB-Mpal 2015-2022 Corrient '!$E$5:$E$1012,$A56)</f>
        <v>112.54582764468151</v>
      </c>
      <c r="I56" s="51">
        <f>SUMIFS('PIB-Mpal 2015-2022 Corrient '!N$5:N$1012,'PIB-Mpal 2015-2022 Corrient '!$A$5:$A$1012,$W$2,'PIB-Mpal 2015-2022 Corrient '!$E$5:$E$1012,$A56)</f>
        <v>46.832151401573071</v>
      </c>
      <c r="J56" s="51">
        <f>SUMIFS('PIB-Mpal 2015-2022 Corrient '!O$5:O$1012,'PIB-Mpal 2015-2022 Corrient '!$A$5:$A$1012,$W$2,'PIB-Mpal 2015-2022 Corrient '!$E$5:$E$1012,$A56)</f>
        <v>106.0153528489479</v>
      </c>
      <c r="K56" s="51">
        <f>SUMIFS('PIB-Mpal 2015-2022 Corrient '!P$5:P$1012,'PIB-Mpal 2015-2022 Corrient '!$A$5:$A$1012,$W$2,'PIB-Mpal 2015-2022 Corrient '!$E$5:$E$1012,$A56)</f>
        <v>15.753571998118408</v>
      </c>
      <c r="L56" s="51">
        <f>SUMIFS('PIB-Mpal 2015-2022 Corrient '!Q$5:Q$1012,'PIB-Mpal 2015-2022 Corrient '!$A$5:$A$1012,$W$2,'PIB-Mpal 2015-2022 Corrient '!$E$5:$E$1012,$A56)</f>
        <v>15.335502722252247</v>
      </c>
      <c r="M56" s="51">
        <f>SUMIFS('PIB-Mpal 2015-2022 Corrient '!R$5:R$1012,'PIB-Mpal 2015-2022 Corrient '!$A$5:$A$1012,$W$2,'PIB-Mpal 2015-2022 Corrient '!$E$5:$E$1012,$A56)</f>
        <v>36.439677062047217</v>
      </c>
      <c r="N56" s="51">
        <f>SUMIFS('PIB-Mpal 2015-2022 Corrient '!S$5:S$1012,'PIB-Mpal 2015-2022 Corrient '!$A$5:$A$1012,$W$2,'PIB-Mpal 2015-2022 Corrient '!$E$5:$E$1012,$A56)</f>
        <v>69.534218386432087</v>
      </c>
      <c r="O56" s="51">
        <f>SUMIFS('PIB-Mpal 2015-2022 Corrient '!T$5:T$1012,'PIB-Mpal 2015-2022 Corrient '!$A$5:$A$1012,$W$2,'PIB-Mpal 2015-2022 Corrient '!$E$5:$E$1012,$A56)</f>
        <v>112.08006204072056</v>
      </c>
      <c r="P56" s="150">
        <f>SUMIFS('PIB-Mpal 2015-2022 Corrient '!U$5:U$1012,'PIB-Mpal 2015-2022 Corrient '!$A$5:$A$1012,$W$2,'PIB-Mpal 2015-2022 Corrient '!$E$5:$E$1012,$A56)</f>
        <v>13.921830163285131</v>
      </c>
      <c r="Q56" s="156">
        <f>SUMIFS('PIB-Mpal 2015-2022 Corrient '!J$5:J$1012,'PIB-Mpal 2015-2022 Corrient '!$A$5:$A$1012,$W$2,'PIB-Mpal 2015-2022 Corrient '!$E$5:$E$1012,$A56)</f>
        <v>262.44792166678343</v>
      </c>
      <c r="R56" s="52">
        <f>SUMIFS('PIB-Mpal 2015-2022 Corrient '!M$5:M$1012,'PIB-Mpal 2015-2022 Corrient '!$A$5:$A$1012,$W$2,'PIB-Mpal 2015-2022 Corrient '!$E$5:$E$1012,$A56)</f>
        <v>277.4676852029848</v>
      </c>
      <c r="S56" s="53">
        <f>SUMIFS('PIB-Mpal 2015-2022 Corrient '!V$5:V$1012,'PIB-Mpal 2015-2022 Corrient '!$A$5:$A$1012,$W$2,'PIB-Mpal 2015-2022 Corrient '!$E$5:$E$1012,$A56)</f>
        <v>415.91236662337661</v>
      </c>
      <c r="T56" s="207">
        <f>SUMIFS('PIB-Mpal 2015-2022 Corrient '!W$5:W$1012,'PIB-Mpal 2015-2022 Corrient '!$A$5:$A$1012,$W$2,'PIB-Mpal 2015-2022 Corrient '!$E$5:$E$1012,$A56)</f>
        <v>955.82797349314478</v>
      </c>
      <c r="U56" s="203">
        <f>SUMIFS('PIB-Mpal 2015-2022 Corrient '!X$5:X$1012,'PIB-Mpal 2015-2022 Corrient '!$A$5:$A$1012,$W$2,'PIB-Mpal 2015-2022 Corrient '!$E$5:$E$1012,$A56)</f>
        <v>96.595133103900054</v>
      </c>
      <c r="V56" s="88">
        <f>SUMIFS('PIB-Mpal 2015-2022 Corrient '!Y$5:Y$1012,'PIB-Mpal 2015-2022 Corrient '!$A$5:$A$1012,$W$2,'PIB-Mpal 2015-2022 Corrient '!$E$5:$E$1012,$A56)</f>
        <v>1052.4231065970448</v>
      </c>
      <c r="W56" s="92">
        <f t="shared" si="3"/>
        <v>6.8535222929720172E-3</v>
      </c>
      <c r="X56" s="268">
        <f>INDEX(POBLACION!$C$4:$W$128,MATCH(A56,POBLACION!$A$4:$A$128,0),MATCH($W$2,POBLACION!$C$3:$W$3,0))</f>
        <v>37143</v>
      </c>
      <c r="Y56" s="258">
        <f t="shared" si="5"/>
        <v>25733.731079695899</v>
      </c>
      <c r="Z56" s="270">
        <f t="shared" si="6"/>
        <v>28334.359276230913</v>
      </c>
      <c r="AA56" s="273">
        <f t="shared" si="7"/>
        <v>4.4105027582215985</v>
      </c>
      <c r="AB56" s="273">
        <f t="shared" si="8"/>
        <v>4.4523133964042492</v>
      </c>
      <c r="AG56" s="281"/>
      <c r="AH56" s="282"/>
      <c r="AI56" s="282"/>
    </row>
    <row r="57" spans="1:35" x14ac:dyDescent="0.2">
      <c r="A57" s="35" t="s">
        <v>212</v>
      </c>
      <c r="B57" s="32" t="s">
        <v>184</v>
      </c>
      <c r="C57" s="33" t="s">
        <v>145</v>
      </c>
      <c r="D57" s="32" t="s">
        <v>213</v>
      </c>
      <c r="E57" s="51">
        <f>SUMIFS('PIB-Mpal 2015-2022 Corrient '!H$5:H$1012,'PIB-Mpal 2015-2022 Corrient '!$A$5:$A$1012,$W$2,'PIB-Mpal 2015-2022 Corrient '!$E$5:$E$1012,$A57)</f>
        <v>10.127520112825211</v>
      </c>
      <c r="F57" s="51">
        <f>SUMIFS('PIB-Mpal 2015-2022 Corrient '!I$5:I$1012,'PIB-Mpal 2015-2022 Corrient '!$A$5:$A$1012,$W$2,'PIB-Mpal 2015-2022 Corrient '!$E$5:$E$1012,$A57)</f>
        <v>0.64551687951453118</v>
      </c>
      <c r="G57" s="51">
        <f>SUMIFS('PIB-Mpal 2015-2022 Corrient '!K$5:K$1012,'PIB-Mpal 2015-2022 Corrient '!$A$5:$A$1012,$W$2,'PIB-Mpal 2015-2022 Corrient '!$E$5:$E$1012,$A57)</f>
        <v>6.1348416357459854</v>
      </c>
      <c r="H57" s="51">
        <f>SUMIFS('PIB-Mpal 2015-2022 Corrient '!L$5:L$1012,'PIB-Mpal 2015-2022 Corrient '!$A$5:$A$1012,$W$2,'PIB-Mpal 2015-2022 Corrient '!$E$5:$E$1012,$A57)</f>
        <v>0.7494508496747736</v>
      </c>
      <c r="I57" s="51">
        <f>SUMIFS('PIB-Mpal 2015-2022 Corrient '!N$5:N$1012,'PIB-Mpal 2015-2022 Corrient '!$A$5:$A$1012,$W$2,'PIB-Mpal 2015-2022 Corrient '!$E$5:$E$1012,$A57)</f>
        <v>10.017150224883586</v>
      </c>
      <c r="J57" s="51">
        <f>SUMIFS('PIB-Mpal 2015-2022 Corrient '!O$5:O$1012,'PIB-Mpal 2015-2022 Corrient '!$A$5:$A$1012,$W$2,'PIB-Mpal 2015-2022 Corrient '!$E$5:$E$1012,$A57)</f>
        <v>14.252579587315459</v>
      </c>
      <c r="K57" s="51">
        <f>SUMIFS('PIB-Mpal 2015-2022 Corrient '!P$5:P$1012,'PIB-Mpal 2015-2022 Corrient '!$A$5:$A$1012,$W$2,'PIB-Mpal 2015-2022 Corrient '!$E$5:$E$1012,$A57)</f>
        <v>2.2376128061799516</v>
      </c>
      <c r="L57" s="51">
        <f>SUMIFS('PIB-Mpal 2015-2022 Corrient '!Q$5:Q$1012,'PIB-Mpal 2015-2022 Corrient '!$A$5:$A$1012,$W$2,'PIB-Mpal 2015-2022 Corrient '!$E$5:$E$1012,$A57)</f>
        <v>1.5531194293506472</v>
      </c>
      <c r="M57" s="51">
        <f>SUMIFS('PIB-Mpal 2015-2022 Corrient '!R$5:R$1012,'PIB-Mpal 2015-2022 Corrient '!$A$5:$A$1012,$W$2,'PIB-Mpal 2015-2022 Corrient '!$E$5:$E$1012,$A57)</f>
        <v>5.7473964165723599</v>
      </c>
      <c r="N57" s="51">
        <f>SUMIFS('PIB-Mpal 2015-2022 Corrient '!S$5:S$1012,'PIB-Mpal 2015-2022 Corrient '!$A$5:$A$1012,$W$2,'PIB-Mpal 2015-2022 Corrient '!$E$5:$E$1012,$A57)</f>
        <v>9.2480131299012616</v>
      </c>
      <c r="O57" s="51">
        <f>SUMIFS('PIB-Mpal 2015-2022 Corrient '!T$5:T$1012,'PIB-Mpal 2015-2022 Corrient '!$A$5:$A$1012,$W$2,'PIB-Mpal 2015-2022 Corrient '!$E$5:$E$1012,$A57)</f>
        <v>18.630660666315855</v>
      </c>
      <c r="P57" s="150">
        <f>SUMIFS('PIB-Mpal 2015-2022 Corrient '!U$5:U$1012,'PIB-Mpal 2015-2022 Corrient '!$A$5:$A$1012,$W$2,'PIB-Mpal 2015-2022 Corrient '!$E$5:$E$1012,$A57)</f>
        <v>2.3823458236611099</v>
      </c>
      <c r="Q57" s="156">
        <f>SUMIFS('PIB-Mpal 2015-2022 Corrient '!J$5:J$1012,'PIB-Mpal 2015-2022 Corrient '!$A$5:$A$1012,$W$2,'PIB-Mpal 2015-2022 Corrient '!$E$5:$E$1012,$A57)</f>
        <v>10.773036992339742</v>
      </c>
      <c r="R57" s="52">
        <f>SUMIFS('PIB-Mpal 2015-2022 Corrient '!M$5:M$1012,'PIB-Mpal 2015-2022 Corrient '!$A$5:$A$1012,$W$2,'PIB-Mpal 2015-2022 Corrient '!$E$5:$E$1012,$A57)</f>
        <v>6.884292485420759</v>
      </c>
      <c r="S57" s="53">
        <f>SUMIFS('PIB-Mpal 2015-2022 Corrient '!V$5:V$1012,'PIB-Mpal 2015-2022 Corrient '!$A$5:$A$1012,$W$2,'PIB-Mpal 2015-2022 Corrient '!$E$5:$E$1012,$A57)</f>
        <v>64.068878084180227</v>
      </c>
      <c r="T57" s="207">
        <f>SUMIFS('PIB-Mpal 2015-2022 Corrient '!W$5:W$1012,'PIB-Mpal 2015-2022 Corrient '!$A$5:$A$1012,$W$2,'PIB-Mpal 2015-2022 Corrient '!$E$5:$E$1012,$A57)</f>
        <v>81.726207561940726</v>
      </c>
      <c r="U57" s="203">
        <f>SUMIFS('PIB-Mpal 2015-2022 Corrient '!X$5:X$1012,'PIB-Mpal 2015-2022 Corrient '!$A$5:$A$1012,$W$2,'PIB-Mpal 2015-2022 Corrient '!$E$5:$E$1012,$A57)</f>
        <v>8.25917855142084</v>
      </c>
      <c r="V57" s="88">
        <f>SUMIFS('PIB-Mpal 2015-2022 Corrient '!Y$5:Y$1012,'PIB-Mpal 2015-2022 Corrient '!$A$5:$A$1012,$W$2,'PIB-Mpal 2015-2022 Corrient '!$E$5:$E$1012,$A57)</f>
        <v>89.985386113361571</v>
      </c>
      <c r="W57" s="92">
        <f t="shared" si="3"/>
        <v>5.8599706325694416E-4</v>
      </c>
      <c r="X57" s="268">
        <f>INDEX(POBLACION!$C$4:$W$128,MATCH(A57,POBLACION!$A$4:$A$128,0),MATCH($W$2,POBLACION!$C$3:$W$3,0))</f>
        <v>5005</v>
      </c>
      <c r="Y57" s="258">
        <f t="shared" si="5"/>
        <v>16328.912599788355</v>
      </c>
      <c r="Z57" s="270">
        <f t="shared" si="6"/>
        <v>17979.098124547767</v>
      </c>
      <c r="AA57" s="273">
        <f t="shared" si="7"/>
        <v>4.2129572644895372</v>
      </c>
      <c r="AB57" s="273">
        <f t="shared" si="8"/>
        <v>4.2547679026721879</v>
      </c>
      <c r="AG57" s="281"/>
      <c r="AH57" s="282"/>
      <c r="AI57" s="282"/>
    </row>
    <row r="58" spans="1:35" x14ac:dyDescent="0.2">
      <c r="A58" s="35" t="s">
        <v>214</v>
      </c>
      <c r="B58" s="32" t="s">
        <v>184</v>
      </c>
      <c r="C58" s="33" t="s">
        <v>145</v>
      </c>
      <c r="D58" s="32" t="s">
        <v>215</v>
      </c>
      <c r="E58" s="51">
        <f>SUMIFS('PIB-Mpal 2015-2022 Corrient '!H$5:H$1012,'PIB-Mpal 2015-2022 Corrient '!$A$5:$A$1012,$W$2,'PIB-Mpal 2015-2022 Corrient '!$E$5:$E$1012,$A58)</f>
        <v>14.108377139338081</v>
      </c>
      <c r="F58" s="51">
        <f>SUMIFS('PIB-Mpal 2015-2022 Corrient '!I$5:I$1012,'PIB-Mpal 2015-2022 Corrient '!$A$5:$A$1012,$W$2,'PIB-Mpal 2015-2022 Corrient '!$E$5:$E$1012,$A58)</f>
        <v>0.60243652894803823</v>
      </c>
      <c r="G58" s="51">
        <f>SUMIFS('PIB-Mpal 2015-2022 Corrient '!K$5:K$1012,'PIB-Mpal 2015-2022 Corrient '!$A$5:$A$1012,$W$2,'PIB-Mpal 2015-2022 Corrient '!$E$5:$E$1012,$A58)</f>
        <v>0.39880341616095588</v>
      </c>
      <c r="H58" s="51">
        <f>SUMIFS('PIB-Mpal 2015-2022 Corrient '!L$5:L$1012,'PIB-Mpal 2015-2022 Corrient '!$A$5:$A$1012,$W$2,'PIB-Mpal 2015-2022 Corrient '!$E$5:$E$1012,$A58)</f>
        <v>10.372397430970979</v>
      </c>
      <c r="I58" s="51">
        <f>SUMIFS('PIB-Mpal 2015-2022 Corrient '!N$5:N$1012,'PIB-Mpal 2015-2022 Corrient '!$A$5:$A$1012,$W$2,'PIB-Mpal 2015-2022 Corrient '!$E$5:$E$1012,$A58)</f>
        <v>5.429505754005775</v>
      </c>
      <c r="J58" s="51">
        <f>SUMIFS('PIB-Mpal 2015-2022 Corrient '!O$5:O$1012,'PIB-Mpal 2015-2022 Corrient '!$A$5:$A$1012,$W$2,'PIB-Mpal 2015-2022 Corrient '!$E$5:$E$1012,$A58)</f>
        <v>27.520468740910715</v>
      </c>
      <c r="K58" s="51">
        <f>SUMIFS('PIB-Mpal 2015-2022 Corrient '!P$5:P$1012,'PIB-Mpal 2015-2022 Corrient '!$A$5:$A$1012,$W$2,'PIB-Mpal 2015-2022 Corrient '!$E$5:$E$1012,$A58)</f>
        <v>4.7358826296511634</v>
      </c>
      <c r="L58" s="51">
        <f>SUMIFS('PIB-Mpal 2015-2022 Corrient '!Q$5:Q$1012,'PIB-Mpal 2015-2022 Corrient '!$A$5:$A$1012,$W$2,'PIB-Mpal 2015-2022 Corrient '!$E$5:$E$1012,$A58)</f>
        <v>2.6743211235962301</v>
      </c>
      <c r="M58" s="51">
        <f>SUMIFS('PIB-Mpal 2015-2022 Corrient '!R$5:R$1012,'PIB-Mpal 2015-2022 Corrient '!$A$5:$A$1012,$W$2,'PIB-Mpal 2015-2022 Corrient '!$E$5:$E$1012,$A58)</f>
        <v>9.1797975906854461</v>
      </c>
      <c r="N58" s="51">
        <f>SUMIFS('PIB-Mpal 2015-2022 Corrient '!S$5:S$1012,'PIB-Mpal 2015-2022 Corrient '!$A$5:$A$1012,$W$2,'PIB-Mpal 2015-2022 Corrient '!$E$5:$E$1012,$A58)</f>
        <v>14.712792924245814</v>
      </c>
      <c r="O58" s="51">
        <f>SUMIFS('PIB-Mpal 2015-2022 Corrient '!T$5:T$1012,'PIB-Mpal 2015-2022 Corrient '!$A$5:$A$1012,$W$2,'PIB-Mpal 2015-2022 Corrient '!$E$5:$E$1012,$A58)</f>
        <v>36.194096642958534</v>
      </c>
      <c r="P58" s="150">
        <f>SUMIFS('PIB-Mpal 2015-2022 Corrient '!U$5:U$1012,'PIB-Mpal 2015-2022 Corrient '!$A$5:$A$1012,$W$2,'PIB-Mpal 2015-2022 Corrient '!$E$5:$E$1012,$A58)</f>
        <v>4.5870094069818865</v>
      </c>
      <c r="Q58" s="156">
        <f>SUMIFS('PIB-Mpal 2015-2022 Corrient '!J$5:J$1012,'PIB-Mpal 2015-2022 Corrient '!$A$5:$A$1012,$W$2,'PIB-Mpal 2015-2022 Corrient '!$E$5:$E$1012,$A58)</f>
        <v>14.71081366828612</v>
      </c>
      <c r="R58" s="52">
        <f>SUMIFS('PIB-Mpal 2015-2022 Corrient '!M$5:M$1012,'PIB-Mpal 2015-2022 Corrient '!$A$5:$A$1012,$W$2,'PIB-Mpal 2015-2022 Corrient '!$E$5:$E$1012,$A58)</f>
        <v>10.771200847131935</v>
      </c>
      <c r="S58" s="53">
        <f>SUMIFS('PIB-Mpal 2015-2022 Corrient '!V$5:V$1012,'PIB-Mpal 2015-2022 Corrient '!$A$5:$A$1012,$W$2,'PIB-Mpal 2015-2022 Corrient '!$E$5:$E$1012,$A58)</f>
        <v>105.03387481303558</v>
      </c>
      <c r="T58" s="207">
        <f>SUMIFS('PIB-Mpal 2015-2022 Corrient '!W$5:W$1012,'PIB-Mpal 2015-2022 Corrient '!$A$5:$A$1012,$W$2,'PIB-Mpal 2015-2022 Corrient '!$E$5:$E$1012,$A58)</f>
        <v>130.51588932845362</v>
      </c>
      <c r="U58" s="203">
        <f>SUMIFS('PIB-Mpal 2015-2022 Corrient '!X$5:X$1012,'PIB-Mpal 2015-2022 Corrient '!$A$5:$A$1012,$W$2,'PIB-Mpal 2015-2022 Corrient '!$E$5:$E$1012,$A58)</f>
        <v>13.189820816586812</v>
      </c>
      <c r="V58" s="88">
        <f>SUMIFS('PIB-Mpal 2015-2022 Corrient '!Y$5:Y$1012,'PIB-Mpal 2015-2022 Corrient '!$A$5:$A$1012,$W$2,'PIB-Mpal 2015-2022 Corrient '!$E$5:$E$1012,$A58)</f>
        <v>143.70571014504043</v>
      </c>
      <c r="W58" s="92">
        <f t="shared" si="3"/>
        <v>9.3583111386731231E-4</v>
      </c>
      <c r="X58" s="268">
        <f>INDEX(POBLACION!$C$4:$W$128,MATCH(A58,POBLACION!$A$4:$A$128,0),MATCH($W$2,POBLACION!$C$3:$W$3,0))</f>
        <v>13950</v>
      </c>
      <c r="Y58" s="258">
        <f t="shared" si="5"/>
        <v>9355.9777296382526</v>
      </c>
      <c r="Z58" s="270">
        <f t="shared" si="6"/>
        <v>10301.484598210782</v>
      </c>
      <c r="AA58" s="273">
        <f t="shared" si="7"/>
        <v>3.9710891793719671</v>
      </c>
      <c r="AB58" s="273">
        <f t="shared" si="8"/>
        <v>4.0128998175546178</v>
      </c>
      <c r="AG58" s="281"/>
      <c r="AH58" s="282"/>
      <c r="AI58" s="282"/>
    </row>
    <row r="59" spans="1:35" ht="16" thickBot="1" x14ac:dyDescent="0.25">
      <c r="A59" s="120" t="s">
        <v>216</v>
      </c>
      <c r="B59" s="63" t="s">
        <v>184</v>
      </c>
      <c r="C59" s="62" t="s">
        <v>145</v>
      </c>
      <c r="D59" s="63" t="s">
        <v>217</v>
      </c>
      <c r="E59" s="51">
        <f>SUMIFS('PIB-Mpal 2015-2022 Corrient '!H$5:H$1012,'PIB-Mpal 2015-2022 Corrient '!$A$5:$A$1012,$W$2,'PIB-Mpal 2015-2022 Corrient '!$E$5:$E$1012,$A59)</f>
        <v>52.02787064070769</v>
      </c>
      <c r="F59" s="51">
        <f>SUMIFS('PIB-Mpal 2015-2022 Corrient '!I$5:I$1012,'PIB-Mpal 2015-2022 Corrient '!$A$5:$A$1012,$W$2,'PIB-Mpal 2015-2022 Corrient '!$E$5:$E$1012,$A59)</f>
        <v>1.2857895292013737</v>
      </c>
      <c r="G59" s="51">
        <f>SUMIFS('PIB-Mpal 2015-2022 Corrient '!K$5:K$1012,'PIB-Mpal 2015-2022 Corrient '!$A$5:$A$1012,$W$2,'PIB-Mpal 2015-2022 Corrient '!$E$5:$E$1012,$A59)</f>
        <v>82.265858149166618</v>
      </c>
      <c r="H59" s="51">
        <f>SUMIFS('PIB-Mpal 2015-2022 Corrient '!L$5:L$1012,'PIB-Mpal 2015-2022 Corrient '!$A$5:$A$1012,$W$2,'PIB-Mpal 2015-2022 Corrient '!$E$5:$E$1012,$A59)</f>
        <v>53.543181911924094</v>
      </c>
      <c r="I59" s="51">
        <f>SUMIFS('PIB-Mpal 2015-2022 Corrient '!N$5:N$1012,'PIB-Mpal 2015-2022 Corrient '!$A$5:$A$1012,$W$2,'PIB-Mpal 2015-2022 Corrient '!$E$5:$E$1012,$A59)</f>
        <v>27.924732709996782</v>
      </c>
      <c r="J59" s="51">
        <f>SUMIFS('PIB-Mpal 2015-2022 Corrient '!O$5:O$1012,'PIB-Mpal 2015-2022 Corrient '!$A$5:$A$1012,$W$2,'PIB-Mpal 2015-2022 Corrient '!$E$5:$E$1012,$A59)</f>
        <v>123.23154028893592</v>
      </c>
      <c r="K59" s="51">
        <f>SUMIFS('PIB-Mpal 2015-2022 Corrient '!P$5:P$1012,'PIB-Mpal 2015-2022 Corrient '!$A$5:$A$1012,$W$2,'PIB-Mpal 2015-2022 Corrient '!$E$5:$E$1012,$A59)</f>
        <v>20.583943203137757</v>
      </c>
      <c r="L59" s="51">
        <f>SUMIFS('PIB-Mpal 2015-2022 Corrient '!Q$5:Q$1012,'PIB-Mpal 2015-2022 Corrient '!$A$5:$A$1012,$W$2,'PIB-Mpal 2015-2022 Corrient '!$E$5:$E$1012,$A59)</f>
        <v>21.568410994258482</v>
      </c>
      <c r="M59" s="51">
        <f>SUMIFS('PIB-Mpal 2015-2022 Corrient '!R$5:R$1012,'PIB-Mpal 2015-2022 Corrient '!$A$5:$A$1012,$W$2,'PIB-Mpal 2015-2022 Corrient '!$E$5:$E$1012,$A59)</f>
        <v>44.689641304612877</v>
      </c>
      <c r="N59" s="51">
        <f>SUMIFS('PIB-Mpal 2015-2022 Corrient '!S$5:S$1012,'PIB-Mpal 2015-2022 Corrient '!$A$5:$A$1012,$W$2,'PIB-Mpal 2015-2022 Corrient '!$E$5:$E$1012,$A59)</f>
        <v>60.304491780116216</v>
      </c>
      <c r="O59" s="51">
        <f>SUMIFS('PIB-Mpal 2015-2022 Corrient '!T$5:T$1012,'PIB-Mpal 2015-2022 Corrient '!$A$5:$A$1012,$W$2,'PIB-Mpal 2015-2022 Corrient '!$E$5:$E$1012,$A59)</f>
        <v>106.48366188685851</v>
      </c>
      <c r="P59" s="150">
        <f>SUMIFS('PIB-Mpal 2015-2022 Corrient '!U$5:U$1012,'PIB-Mpal 2015-2022 Corrient '!$A$5:$A$1012,$W$2,'PIB-Mpal 2015-2022 Corrient '!$E$5:$E$1012,$A59)</f>
        <v>17.392916258004004</v>
      </c>
      <c r="Q59" s="156">
        <f>SUMIFS('PIB-Mpal 2015-2022 Corrient '!J$5:J$1012,'PIB-Mpal 2015-2022 Corrient '!$A$5:$A$1012,$W$2,'PIB-Mpal 2015-2022 Corrient '!$E$5:$E$1012,$A59)</f>
        <v>53.313660169909063</v>
      </c>
      <c r="R59" s="52">
        <f>SUMIFS('PIB-Mpal 2015-2022 Corrient '!M$5:M$1012,'PIB-Mpal 2015-2022 Corrient '!$A$5:$A$1012,$W$2,'PIB-Mpal 2015-2022 Corrient '!$E$5:$E$1012,$A59)</f>
        <v>135.80904006109071</v>
      </c>
      <c r="S59" s="53">
        <f>SUMIFS('PIB-Mpal 2015-2022 Corrient '!V$5:V$1012,'PIB-Mpal 2015-2022 Corrient '!$A$5:$A$1012,$W$2,'PIB-Mpal 2015-2022 Corrient '!$E$5:$E$1012,$A59)</f>
        <v>422.17933842592049</v>
      </c>
      <c r="T59" s="207">
        <f>SUMIFS('PIB-Mpal 2015-2022 Corrient '!W$5:W$1012,'PIB-Mpal 2015-2022 Corrient '!$A$5:$A$1012,$W$2,'PIB-Mpal 2015-2022 Corrient '!$E$5:$E$1012,$A59)</f>
        <v>611.30203865692033</v>
      </c>
      <c r="U59" s="203">
        <f>SUMIFS('PIB-Mpal 2015-2022 Corrient '!X$5:X$1012,'PIB-Mpal 2015-2022 Corrient '!$A$5:$A$1012,$W$2,'PIB-Mpal 2015-2022 Corrient '!$E$5:$E$1012,$A59)</f>
        <v>61.777645589250156</v>
      </c>
      <c r="V59" s="88">
        <f>SUMIFS('PIB-Mpal 2015-2022 Corrient '!Y$5:Y$1012,'PIB-Mpal 2015-2022 Corrient '!$A$5:$A$1012,$W$2,'PIB-Mpal 2015-2022 Corrient '!$E$5:$E$1012,$A59)</f>
        <v>673.07968424617047</v>
      </c>
      <c r="W59" s="98">
        <f t="shared" si="3"/>
        <v>4.3831863743884168E-3</v>
      </c>
      <c r="X59" s="268">
        <f>INDEX(POBLACION!$C$4:$W$128,MATCH(A59,POBLACION!$A$4:$A$128,0),MATCH($W$2,POBLACION!$C$3:$W$3,0))</f>
        <v>42116</v>
      </c>
      <c r="Y59" s="258">
        <f t="shared" si="5"/>
        <v>14514.722163950051</v>
      </c>
      <c r="Z59" s="270">
        <f t="shared" si="6"/>
        <v>15981.567201210242</v>
      </c>
      <c r="AA59" s="273">
        <f t="shared" si="7"/>
        <v>4.1618087271247575</v>
      </c>
      <c r="AB59" s="273">
        <f t="shared" si="8"/>
        <v>4.2036193653074081</v>
      </c>
      <c r="AG59" s="281"/>
      <c r="AH59" s="282"/>
      <c r="AI59" s="282"/>
    </row>
    <row r="60" spans="1:35" ht="16" thickBot="1" x14ac:dyDescent="0.25">
      <c r="A60" s="122" t="s">
        <v>218</v>
      </c>
      <c r="B60" s="117" t="s">
        <v>219</v>
      </c>
      <c r="C60" s="117"/>
      <c r="D60" s="112"/>
      <c r="E60" s="113">
        <f>SUM(E61:E79)</f>
        <v>623.3007719694773</v>
      </c>
      <c r="F60" s="113">
        <f t="shared" ref="F60:X60" si="13">SUM(F61:F79)</f>
        <v>46.92031780049237</v>
      </c>
      <c r="G60" s="113">
        <f t="shared" si="13"/>
        <v>44.742348164935372</v>
      </c>
      <c r="H60" s="113">
        <f t="shared" si="13"/>
        <v>181.13396584161976</v>
      </c>
      <c r="I60" s="113">
        <f t="shared" si="13"/>
        <v>108.97806733301915</v>
      </c>
      <c r="J60" s="113">
        <f t="shared" si="13"/>
        <v>424.89841947923316</v>
      </c>
      <c r="K60" s="113">
        <f t="shared" si="13"/>
        <v>78.491275151973966</v>
      </c>
      <c r="L60" s="113">
        <f t="shared" si="13"/>
        <v>55.254422150226162</v>
      </c>
      <c r="M60" s="113">
        <f t="shared" si="13"/>
        <v>200.66808352834687</v>
      </c>
      <c r="N60" s="113">
        <f t="shared" si="13"/>
        <v>256.64337874913377</v>
      </c>
      <c r="O60" s="113">
        <f t="shared" si="13"/>
        <v>516.01293007880281</v>
      </c>
      <c r="P60" s="123">
        <f t="shared" si="13"/>
        <v>82.486466238616174</v>
      </c>
      <c r="Q60" s="193">
        <f t="shared" si="13"/>
        <v>670.22108976996969</v>
      </c>
      <c r="R60" s="113">
        <f t="shared" si="13"/>
        <v>225.87631400655513</v>
      </c>
      <c r="S60" s="114">
        <f t="shared" si="13"/>
        <v>1723.4330427093523</v>
      </c>
      <c r="T60" s="208">
        <f t="shared" si="13"/>
        <v>2619.5304464858768</v>
      </c>
      <c r="U60" s="186">
        <f t="shared" si="13"/>
        <v>264.7274396283787</v>
      </c>
      <c r="V60" s="123">
        <f t="shared" si="13"/>
        <v>2884.2578861142556</v>
      </c>
      <c r="W60" s="115">
        <f t="shared" si="3"/>
        <v>1.8782679320944417E-2</v>
      </c>
      <c r="X60" s="208">
        <f t="shared" si="13"/>
        <v>210371</v>
      </c>
      <c r="Y60" s="258">
        <f t="shared" si="5"/>
        <v>12451.956051384823</v>
      </c>
      <c r="Z60" s="270">
        <f t="shared" si="6"/>
        <v>13710.339762202279</v>
      </c>
      <c r="AA60" s="273">
        <f t="shared" si="7"/>
        <v>4.0952375791904698</v>
      </c>
      <c r="AB60" s="273">
        <f t="shared" si="8"/>
        <v>4.1370482173731205</v>
      </c>
      <c r="AG60" s="281"/>
      <c r="AH60" s="282"/>
      <c r="AI60" s="282"/>
    </row>
    <row r="61" spans="1:35" x14ac:dyDescent="0.2">
      <c r="A61" s="121" t="s">
        <v>220</v>
      </c>
      <c r="B61" s="101" t="s">
        <v>221</v>
      </c>
      <c r="C61" s="108" t="s">
        <v>222</v>
      </c>
      <c r="D61" s="101" t="s">
        <v>223</v>
      </c>
      <c r="E61" s="51">
        <f>SUMIFS('PIB-Mpal 2015-2022 Corrient '!H$5:H$1012,'PIB-Mpal 2015-2022 Corrient '!$A$5:$A$1012,$W$2,'PIB-Mpal 2015-2022 Corrient '!$E$5:$E$1012,$A61)</f>
        <v>8.5519575956464688</v>
      </c>
      <c r="F61" s="51">
        <f>SUMIFS('PIB-Mpal 2015-2022 Corrient '!I$5:I$1012,'PIB-Mpal 2015-2022 Corrient '!$A$5:$A$1012,$W$2,'PIB-Mpal 2015-2022 Corrient '!$E$5:$E$1012,$A61)</f>
        <v>0.48826919733412488</v>
      </c>
      <c r="G61" s="51">
        <f>SUMIFS('PIB-Mpal 2015-2022 Corrient '!K$5:K$1012,'PIB-Mpal 2015-2022 Corrient '!$A$5:$A$1012,$W$2,'PIB-Mpal 2015-2022 Corrient '!$E$5:$E$1012,$A61)</f>
        <v>0.37308017098343021</v>
      </c>
      <c r="H61" s="51">
        <f>SUMIFS('PIB-Mpal 2015-2022 Corrient '!L$5:L$1012,'PIB-Mpal 2015-2022 Corrient '!$A$5:$A$1012,$W$2,'PIB-Mpal 2015-2022 Corrient '!$E$5:$E$1012,$A61)</f>
        <v>2.3274810462918492</v>
      </c>
      <c r="I61" s="51">
        <f>SUMIFS('PIB-Mpal 2015-2022 Corrient '!N$5:N$1012,'PIB-Mpal 2015-2022 Corrient '!$A$5:$A$1012,$W$2,'PIB-Mpal 2015-2022 Corrient '!$E$5:$E$1012,$A61)</f>
        <v>3.0963368022566375</v>
      </c>
      <c r="J61" s="51">
        <f>SUMIFS('PIB-Mpal 2015-2022 Corrient '!O$5:O$1012,'PIB-Mpal 2015-2022 Corrient '!$A$5:$A$1012,$W$2,'PIB-Mpal 2015-2022 Corrient '!$E$5:$E$1012,$A61)</f>
        <v>2.0866387300887554</v>
      </c>
      <c r="K61" s="51">
        <f>SUMIFS('PIB-Mpal 2015-2022 Corrient '!P$5:P$1012,'PIB-Mpal 2015-2022 Corrient '!$A$5:$A$1012,$W$2,'PIB-Mpal 2015-2022 Corrient '!$E$5:$E$1012,$A61)</f>
        <v>0.68594365090165466</v>
      </c>
      <c r="L61" s="51">
        <f>SUMIFS('PIB-Mpal 2015-2022 Corrient '!Q$5:Q$1012,'PIB-Mpal 2015-2022 Corrient '!$A$5:$A$1012,$W$2,'PIB-Mpal 2015-2022 Corrient '!$E$5:$E$1012,$A61)</f>
        <v>0.24557630042008485</v>
      </c>
      <c r="M61" s="51">
        <f>SUMIFS('PIB-Mpal 2015-2022 Corrient '!R$5:R$1012,'PIB-Mpal 2015-2022 Corrient '!$A$5:$A$1012,$W$2,'PIB-Mpal 2015-2022 Corrient '!$E$5:$E$1012,$A61)</f>
        <v>1.3690227215066051</v>
      </c>
      <c r="N61" s="51">
        <f>SUMIFS('PIB-Mpal 2015-2022 Corrient '!S$5:S$1012,'PIB-Mpal 2015-2022 Corrient '!$A$5:$A$1012,$W$2,'PIB-Mpal 2015-2022 Corrient '!$E$5:$E$1012,$A61)</f>
        <v>2.9655125539025611</v>
      </c>
      <c r="O61" s="51">
        <f>SUMIFS('PIB-Mpal 2015-2022 Corrient '!T$5:T$1012,'PIB-Mpal 2015-2022 Corrient '!$A$5:$A$1012,$W$2,'PIB-Mpal 2015-2022 Corrient '!$E$5:$E$1012,$A61)</f>
        <v>8.8053917218295599</v>
      </c>
      <c r="P61" s="150">
        <f>SUMIFS('PIB-Mpal 2015-2022 Corrient '!U$5:U$1012,'PIB-Mpal 2015-2022 Corrient '!$A$5:$A$1012,$W$2,'PIB-Mpal 2015-2022 Corrient '!$E$5:$E$1012,$A61)</f>
        <v>0.82207292030384693</v>
      </c>
      <c r="Q61" s="156">
        <f>SUMIFS('PIB-Mpal 2015-2022 Corrient '!J$5:J$1012,'PIB-Mpal 2015-2022 Corrient '!$A$5:$A$1012,$W$2,'PIB-Mpal 2015-2022 Corrient '!$E$5:$E$1012,$A61)</f>
        <v>9.0402267929805937</v>
      </c>
      <c r="R61" s="52">
        <f>SUMIFS('PIB-Mpal 2015-2022 Corrient '!M$5:M$1012,'PIB-Mpal 2015-2022 Corrient '!$A$5:$A$1012,$W$2,'PIB-Mpal 2015-2022 Corrient '!$E$5:$E$1012,$A61)</f>
        <v>2.7005612172752795</v>
      </c>
      <c r="S61" s="53">
        <f>SUMIFS('PIB-Mpal 2015-2022 Corrient '!V$5:V$1012,'PIB-Mpal 2015-2022 Corrient '!$A$5:$A$1012,$W$2,'PIB-Mpal 2015-2022 Corrient '!$E$5:$E$1012,$A61)</f>
        <v>20.076495401209705</v>
      </c>
      <c r="T61" s="207">
        <f>SUMIFS('PIB-Mpal 2015-2022 Corrient '!W$5:W$1012,'PIB-Mpal 2015-2022 Corrient '!$A$5:$A$1012,$W$2,'PIB-Mpal 2015-2022 Corrient '!$E$5:$E$1012,$A61)</f>
        <v>31.817283411465578</v>
      </c>
      <c r="U61" s="203">
        <f>SUMIFS('PIB-Mpal 2015-2022 Corrient '!X$5:X$1012,'PIB-Mpal 2015-2022 Corrient '!$A$5:$A$1012,$W$2,'PIB-Mpal 2015-2022 Corrient '!$E$5:$E$1012,$A61)</f>
        <v>3.2154266367650632</v>
      </c>
      <c r="V61" s="88">
        <f>SUMIFS('PIB-Mpal 2015-2022 Corrient '!Y$5:Y$1012,'PIB-Mpal 2015-2022 Corrient '!$A$5:$A$1012,$W$2,'PIB-Mpal 2015-2022 Corrient '!$E$5:$E$1012,$A61)</f>
        <v>35.032710048230641</v>
      </c>
      <c r="W61" s="100">
        <f t="shared" si="3"/>
        <v>2.2813776872983727E-4</v>
      </c>
      <c r="X61" s="268">
        <f>INDEX(POBLACION!$C$4:$W$128,MATCH(A61,POBLACION!$A$4:$A$128,0),MATCH($W$2,POBLACION!$C$3:$W$3,0))</f>
        <v>2710</v>
      </c>
      <c r="Y61" s="258">
        <f t="shared" si="5"/>
        <v>11740.694985780656</v>
      </c>
      <c r="Z61" s="270">
        <f t="shared" si="6"/>
        <v>12927.199279789906</v>
      </c>
      <c r="AA61" s="273">
        <f t="shared" si="7"/>
        <v>4.069693805562026</v>
      </c>
      <c r="AB61" s="273">
        <f t="shared" si="8"/>
        <v>4.1115044437446766</v>
      </c>
      <c r="AG61" s="281"/>
      <c r="AH61" s="282"/>
      <c r="AI61" s="282"/>
    </row>
    <row r="62" spans="1:35" x14ac:dyDescent="0.2">
      <c r="A62" s="35" t="s">
        <v>224</v>
      </c>
      <c r="B62" s="32" t="s">
        <v>221</v>
      </c>
      <c r="C62" s="33" t="s">
        <v>225</v>
      </c>
      <c r="D62" s="32" t="s">
        <v>226</v>
      </c>
      <c r="E62" s="51">
        <f>SUMIFS('PIB-Mpal 2015-2022 Corrient '!H$5:H$1012,'PIB-Mpal 2015-2022 Corrient '!$A$5:$A$1012,$W$2,'PIB-Mpal 2015-2022 Corrient '!$E$5:$E$1012,$A62)</f>
        <v>50.461948999946081</v>
      </c>
      <c r="F62" s="51">
        <f>SUMIFS('PIB-Mpal 2015-2022 Corrient '!I$5:I$1012,'PIB-Mpal 2015-2022 Corrient '!$A$5:$A$1012,$W$2,'PIB-Mpal 2015-2022 Corrient '!$E$5:$E$1012,$A62)</f>
        <v>0.689871550905373</v>
      </c>
      <c r="G62" s="51">
        <f>SUMIFS('PIB-Mpal 2015-2022 Corrient '!K$5:K$1012,'PIB-Mpal 2015-2022 Corrient '!$A$5:$A$1012,$W$2,'PIB-Mpal 2015-2022 Corrient '!$E$5:$E$1012,$A62)</f>
        <v>0.70085353150731866</v>
      </c>
      <c r="H62" s="51">
        <f>SUMIFS('PIB-Mpal 2015-2022 Corrient '!L$5:L$1012,'PIB-Mpal 2015-2022 Corrient '!$A$5:$A$1012,$W$2,'PIB-Mpal 2015-2022 Corrient '!$E$5:$E$1012,$A62)</f>
        <v>8.9613542459784661</v>
      </c>
      <c r="I62" s="51">
        <f>SUMIFS('PIB-Mpal 2015-2022 Corrient '!N$5:N$1012,'PIB-Mpal 2015-2022 Corrient '!$A$5:$A$1012,$W$2,'PIB-Mpal 2015-2022 Corrient '!$E$5:$E$1012,$A62)</f>
        <v>1.7895421220881422</v>
      </c>
      <c r="J62" s="51">
        <f>SUMIFS('PIB-Mpal 2015-2022 Corrient '!O$5:O$1012,'PIB-Mpal 2015-2022 Corrient '!$A$5:$A$1012,$W$2,'PIB-Mpal 2015-2022 Corrient '!$E$5:$E$1012,$A62)</f>
        <v>9.4834274511770147</v>
      </c>
      <c r="K62" s="51">
        <f>SUMIFS('PIB-Mpal 2015-2022 Corrient '!P$5:P$1012,'PIB-Mpal 2015-2022 Corrient '!$A$5:$A$1012,$W$2,'PIB-Mpal 2015-2022 Corrient '!$E$5:$E$1012,$A62)</f>
        <v>2.3716376230466327</v>
      </c>
      <c r="L62" s="51">
        <f>SUMIFS('PIB-Mpal 2015-2022 Corrient '!Q$5:Q$1012,'PIB-Mpal 2015-2022 Corrient '!$A$5:$A$1012,$W$2,'PIB-Mpal 2015-2022 Corrient '!$E$5:$E$1012,$A62)</f>
        <v>1.5885825580764177</v>
      </c>
      <c r="M62" s="51">
        <f>SUMIFS('PIB-Mpal 2015-2022 Corrient '!R$5:R$1012,'PIB-Mpal 2015-2022 Corrient '!$A$5:$A$1012,$W$2,'PIB-Mpal 2015-2022 Corrient '!$E$5:$E$1012,$A62)</f>
        <v>5.4655964276628914</v>
      </c>
      <c r="N62" s="51">
        <f>SUMIFS('PIB-Mpal 2015-2022 Corrient '!S$5:S$1012,'PIB-Mpal 2015-2022 Corrient '!$A$5:$A$1012,$W$2,'PIB-Mpal 2015-2022 Corrient '!$E$5:$E$1012,$A62)</f>
        <v>9.4729429712652333</v>
      </c>
      <c r="O62" s="51">
        <f>SUMIFS('PIB-Mpal 2015-2022 Corrient '!T$5:T$1012,'PIB-Mpal 2015-2022 Corrient '!$A$5:$A$1012,$W$2,'PIB-Mpal 2015-2022 Corrient '!$E$5:$E$1012,$A62)</f>
        <v>16.477379676582686</v>
      </c>
      <c r="P62" s="150">
        <f>SUMIFS('PIB-Mpal 2015-2022 Corrient '!U$5:U$1012,'PIB-Mpal 2015-2022 Corrient '!$A$5:$A$1012,$W$2,'PIB-Mpal 2015-2022 Corrient '!$E$5:$E$1012,$A62)</f>
        <v>2.8783616658449795</v>
      </c>
      <c r="Q62" s="156">
        <f>SUMIFS('PIB-Mpal 2015-2022 Corrient '!J$5:J$1012,'PIB-Mpal 2015-2022 Corrient '!$A$5:$A$1012,$W$2,'PIB-Mpal 2015-2022 Corrient '!$E$5:$E$1012,$A62)</f>
        <v>51.151820550851454</v>
      </c>
      <c r="R62" s="52">
        <f>SUMIFS('PIB-Mpal 2015-2022 Corrient '!M$5:M$1012,'PIB-Mpal 2015-2022 Corrient '!$A$5:$A$1012,$W$2,'PIB-Mpal 2015-2022 Corrient '!$E$5:$E$1012,$A62)</f>
        <v>9.6622077774857846</v>
      </c>
      <c r="S62" s="53">
        <f>SUMIFS('PIB-Mpal 2015-2022 Corrient '!V$5:V$1012,'PIB-Mpal 2015-2022 Corrient '!$A$5:$A$1012,$W$2,'PIB-Mpal 2015-2022 Corrient '!$E$5:$E$1012,$A62)</f>
        <v>49.527470495743998</v>
      </c>
      <c r="T62" s="207">
        <f>SUMIFS('PIB-Mpal 2015-2022 Corrient '!W$5:W$1012,'PIB-Mpal 2015-2022 Corrient '!$A$5:$A$1012,$W$2,'PIB-Mpal 2015-2022 Corrient '!$E$5:$E$1012,$A62)</f>
        <v>110.34149882408124</v>
      </c>
      <c r="U62" s="203">
        <f>SUMIFS('PIB-Mpal 2015-2022 Corrient '!X$5:X$1012,'PIB-Mpal 2015-2022 Corrient '!$A$5:$A$1012,$W$2,'PIB-Mpal 2015-2022 Corrient '!$E$5:$E$1012,$A62)</f>
        <v>11.151014681903323</v>
      </c>
      <c r="V62" s="88">
        <f>SUMIFS('PIB-Mpal 2015-2022 Corrient '!Y$5:Y$1012,'PIB-Mpal 2015-2022 Corrient '!$A$5:$A$1012,$W$2,'PIB-Mpal 2015-2022 Corrient '!$E$5:$E$1012,$A62)</f>
        <v>121.49251350598456</v>
      </c>
      <c r="W62" s="92">
        <f t="shared" si="3"/>
        <v>7.9117575861176669E-4</v>
      </c>
      <c r="X62" s="268">
        <f>INDEX(POBLACION!$C$4:$W$128,MATCH(A62,POBLACION!$A$4:$A$128,0),MATCH($W$2,POBLACION!$C$3:$W$3,0))</f>
        <v>7085</v>
      </c>
      <c r="Y62" s="258">
        <f t="shared" si="5"/>
        <v>15573.958902481474</v>
      </c>
      <c r="Z62" s="270">
        <f t="shared" si="6"/>
        <v>17147.849471557452</v>
      </c>
      <c r="AA62" s="273">
        <f t="shared" si="7"/>
        <v>4.1923990243187097</v>
      </c>
      <c r="AB62" s="273">
        <f t="shared" si="8"/>
        <v>4.2342096625013603</v>
      </c>
      <c r="AG62" s="281"/>
      <c r="AH62" s="282"/>
      <c r="AI62" s="282"/>
    </row>
    <row r="63" spans="1:35" x14ac:dyDescent="0.2">
      <c r="A63" s="35" t="s">
        <v>227</v>
      </c>
      <c r="B63" s="32" t="s">
        <v>221</v>
      </c>
      <c r="C63" s="33" t="s">
        <v>222</v>
      </c>
      <c r="D63" s="32" t="s">
        <v>228</v>
      </c>
      <c r="E63" s="51">
        <f>SUMIFS('PIB-Mpal 2015-2022 Corrient '!H$5:H$1012,'PIB-Mpal 2015-2022 Corrient '!$A$5:$A$1012,$W$2,'PIB-Mpal 2015-2022 Corrient '!$E$5:$E$1012,$A63)</f>
        <v>13.812102036343921</v>
      </c>
      <c r="F63" s="51">
        <f>SUMIFS('PIB-Mpal 2015-2022 Corrient '!I$5:I$1012,'PIB-Mpal 2015-2022 Corrient '!$A$5:$A$1012,$W$2,'PIB-Mpal 2015-2022 Corrient '!$E$5:$E$1012,$A63)</f>
        <v>0</v>
      </c>
      <c r="G63" s="51">
        <f>SUMIFS('PIB-Mpal 2015-2022 Corrient '!K$5:K$1012,'PIB-Mpal 2015-2022 Corrient '!$A$5:$A$1012,$W$2,'PIB-Mpal 2015-2022 Corrient '!$E$5:$E$1012,$A63)</f>
        <v>1.3711537909519229</v>
      </c>
      <c r="H63" s="51">
        <f>SUMIFS('PIB-Mpal 2015-2022 Corrient '!L$5:L$1012,'PIB-Mpal 2015-2022 Corrient '!$A$5:$A$1012,$W$2,'PIB-Mpal 2015-2022 Corrient '!$E$5:$E$1012,$A63)</f>
        <v>3.252318423071503</v>
      </c>
      <c r="I63" s="51">
        <f>SUMIFS('PIB-Mpal 2015-2022 Corrient '!N$5:N$1012,'PIB-Mpal 2015-2022 Corrient '!$A$5:$A$1012,$W$2,'PIB-Mpal 2015-2022 Corrient '!$E$5:$E$1012,$A63)</f>
        <v>1.3342379404195324</v>
      </c>
      <c r="J63" s="51">
        <f>SUMIFS('PIB-Mpal 2015-2022 Corrient '!O$5:O$1012,'PIB-Mpal 2015-2022 Corrient '!$A$5:$A$1012,$W$2,'PIB-Mpal 2015-2022 Corrient '!$E$5:$E$1012,$A63)</f>
        <v>7.4499960039894519</v>
      </c>
      <c r="K63" s="51">
        <f>SUMIFS('PIB-Mpal 2015-2022 Corrient '!P$5:P$1012,'PIB-Mpal 2015-2022 Corrient '!$A$5:$A$1012,$W$2,'PIB-Mpal 2015-2022 Corrient '!$E$5:$E$1012,$A63)</f>
        <v>1.7524499132734879</v>
      </c>
      <c r="L63" s="51">
        <f>SUMIFS('PIB-Mpal 2015-2022 Corrient '!Q$5:Q$1012,'PIB-Mpal 2015-2022 Corrient '!$A$5:$A$1012,$W$2,'PIB-Mpal 2015-2022 Corrient '!$E$5:$E$1012,$A63)</f>
        <v>1.0062170134141397</v>
      </c>
      <c r="M63" s="51">
        <f>SUMIFS('PIB-Mpal 2015-2022 Corrient '!R$5:R$1012,'PIB-Mpal 2015-2022 Corrient '!$A$5:$A$1012,$W$2,'PIB-Mpal 2015-2022 Corrient '!$E$5:$E$1012,$A63)</f>
        <v>4.8353820655331399</v>
      </c>
      <c r="N63" s="51">
        <f>SUMIFS('PIB-Mpal 2015-2022 Corrient '!S$5:S$1012,'PIB-Mpal 2015-2022 Corrient '!$A$5:$A$1012,$W$2,'PIB-Mpal 2015-2022 Corrient '!$E$5:$E$1012,$A63)</f>
        <v>5.7037028472534992</v>
      </c>
      <c r="O63" s="51">
        <f>SUMIFS('PIB-Mpal 2015-2022 Corrient '!T$5:T$1012,'PIB-Mpal 2015-2022 Corrient '!$A$5:$A$1012,$W$2,'PIB-Mpal 2015-2022 Corrient '!$E$5:$E$1012,$A63)</f>
        <v>12.887425713036166</v>
      </c>
      <c r="P63" s="150">
        <f>SUMIFS('PIB-Mpal 2015-2022 Corrient '!U$5:U$1012,'PIB-Mpal 2015-2022 Corrient '!$A$5:$A$1012,$W$2,'PIB-Mpal 2015-2022 Corrient '!$E$5:$E$1012,$A63)</f>
        <v>2.6562739234221393</v>
      </c>
      <c r="Q63" s="156">
        <f>SUMIFS('PIB-Mpal 2015-2022 Corrient '!J$5:J$1012,'PIB-Mpal 2015-2022 Corrient '!$A$5:$A$1012,$W$2,'PIB-Mpal 2015-2022 Corrient '!$E$5:$E$1012,$A63)</f>
        <v>13.812102036343921</v>
      </c>
      <c r="R63" s="52">
        <f>SUMIFS('PIB-Mpal 2015-2022 Corrient '!M$5:M$1012,'PIB-Mpal 2015-2022 Corrient '!$A$5:$A$1012,$W$2,'PIB-Mpal 2015-2022 Corrient '!$E$5:$E$1012,$A63)</f>
        <v>4.6234722140234261</v>
      </c>
      <c r="S63" s="53">
        <f>SUMIFS('PIB-Mpal 2015-2022 Corrient '!V$5:V$1012,'PIB-Mpal 2015-2022 Corrient '!$A$5:$A$1012,$W$2,'PIB-Mpal 2015-2022 Corrient '!$E$5:$E$1012,$A63)</f>
        <v>37.625685420341561</v>
      </c>
      <c r="T63" s="207">
        <f>SUMIFS('PIB-Mpal 2015-2022 Corrient '!W$5:W$1012,'PIB-Mpal 2015-2022 Corrient '!$A$5:$A$1012,$W$2,'PIB-Mpal 2015-2022 Corrient '!$E$5:$E$1012,$A63)</f>
        <v>56.061259670708914</v>
      </c>
      <c r="U63" s="203">
        <f>SUMIFS('PIB-Mpal 2015-2022 Corrient '!X$5:X$1012,'PIB-Mpal 2015-2022 Corrient '!$A$5:$A$1012,$W$2,'PIB-Mpal 2015-2022 Corrient '!$E$5:$E$1012,$A63)</f>
        <v>5.6655015233274808</v>
      </c>
      <c r="V63" s="88">
        <f>SUMIFS('PIB-Mpal 2015-2022 Corrient '!Y$5:Y$1012,'PIB-Mpal 2015-2022 Corrient '!$A$5:$A$1012,$W$2,'PIB-Mpal 2015-2022 Corrient '!$E$5:$E$1012,$A63)</f>
        <v>61.726761194036392</v>
      </c>
      <c r="W63" s="92">
        <f t="shared" si="3"/>
        <v>4.0197305747512966E-4</v>
      </c>
      <c r="X63" s="268">
        <f>INDEX(POBLACION!$C$4:$W$128,MATCH(A63,POBLACION!$A$4:$A$128,0),MATCH($W$2,POBLACION!$C$3:$W$3,0))</f>
        <v>5085</v>
      </c>
      <c r="Y63" s="258">
        <f t="shared" si="5"/>
        <v>11024.829827081399</v>
      </c>
      <c r="Z63" s="270">
        <f t="shared" si="6"/>
        <v>12138.989418689556</v>
      </c>
      <c r="AA63" s="273">
        <f t="shared" si="7"/>
        <v>4.0423718946723124</v>
      </c>
      <c r="AB63" s="273">
        <f t="shared" si="8"/>
        <v>4.0841825328549621</v>
      </c>
      <c r="AG63" s="281"/>
      <c r="AH63" s="282"/>
      <c r="AI63" s="282"/>
    </row>
    <row r="64" spans="1:35" x14ac:dyDescent="0.2">
      <c r="A64" s="35" t="s">
        <v>229</v>
      </c>
      <c r="B64" s="32" t="s">
        <v>221</v>
      </c>
      <c r="C64" s="33" t="s">
        <v>222</v>
      </c>
      <c r="D64" s="32" t="s">
        <v>230</v>
      </c>
      <c r="E64" s="51">
        <f>SUMIFS('PIB-Mpal 2015-2022 Corrient '!H$5:H$1012,'PIB-Mpal 2015-2022 Corrient '!$A$5:$A$1012,$W$2,'PIB-Mpal 2015-2022 Corrient '!$E$5:$E$1012,$A64)</f>
        <v>6.1476924483816093</v>
      </c>
      <c r="F64" s="51">
        <f>SUMIFS('PIB-Mpal 2015-2022 Corrient '!I$5:I$1012,'PIB-Mpal 2015-2022 Corrient '!$A$5:$A$1012,$W$2,'PIB-Mpal 2015-2022 Corrient '!$E$5:$E$1012,$A64)</f>
        <v>10.998251050019253</v>
      </c>
      <c r="G64" s="51">
        <f>SUMIFS('PIB-Mpal 2015-2022 Corrient '!K$5:K$1012,'PIB-Mpal 2015-2022 Corrient '!$A$5:$A$1012,$W$2,'PIB-Mpal 2015-2022 Corrient '!$E$5:$E$1012,$A64)</f>
        <v>5.3351559178874313</v>
      </c>
      <c r="H64" s="51">
        <f>SUMIFS('PIB-Mpal 2015-2022 Corrient '!L$5:L$1012,'PIB-Mpal 2015-2022 Corrient '!$A$5:$A$1012,$W$2,'PIB-Mpal 2015-2022 Corrient '!$E$5:$E$1012,$A64)</f>
        <v>1.302170889188857</v>
      </c>
      <c r="I64" s="51">
        <f>SUMIFS('PIB-Mpal 2015-2022 Corrient '!N$5:N$1012,'PIB-Mpal 2015-2022 Corrient '!$A$5:$A$1012,$W$2,'PIB-Mpal 2015-2022 Corrient '!$E$5:$E$1012,$A64)</f>
        <v>8.2483423811324315</v>
      </c>
      <c r="J64" s="51">
        <f>SUMIFS('PIB-Mpal 2015-2022 Corrient '!O$5:O$1012,'PIB-Mpal 2015-2022 Corrient '!$A$5:$A$1012,$W$2,'PIB-Mpal 2015-2022 Corrient '!$E$5:$E$1012,$A64)</f>
        <v>12.034074412203134</v>
      </c>
      <c r="K64" s="51">
        <f>SUMIFS('PIB-Mpal 2015-2022 Corrient '!P$5:P$1012,'PIB-Mpal 2015-2022 Corrient '!$A$5:$A$1012,$W$2,'PIB-Mpal 2015-2022 Corrient '!$E$5:$E$1012,$A64)</f>
        <v>2.8958944734030019</v>
      </c>
      <c r="L64" s="51">
        <f>SUMIFS('PIB-Mpal 2015-2022 Corrient '!Q$5:Q$1012,'PIB-Mpal 2015-2022 Corrient '!$A$5:$A$1012,$W$2,'PIB-Mpal 2015-2022 Corrient '!$E$5:$E$1012,$A64)</f>
        <v>1.1883216883710159</v>
      </c>
      <c r="M64" s="51">
        <f>SUMIFS('PIB-Mpal 2015-2022 Corrient '!R$5:R$1012,'PIB-Mpal 2015-2022 Corrient '!$A$5:$A$1012,$W$2,'PIB-Mpal 2015-2022 Corrient '!$E$5:$E$1012,$A64)</f>
        <v>8.9330595663221928</v>
      </c>
      <c r="N64" s="51">
        <f>SUMIFS('PIB-Mpal 2015-2022 Corrient '!S$5:S$1012,'PIB-Mpal 2015-2022 Corrient '!$A$5:$A$1012,$W$2,'PIB-Mpal 2015-2022 Corrient '!$E$5:$E$1012,$A64)</f>
        <v>8.9940969718832395</v>
      </c>
      <c r="O64" s="51">
        <f>SUMIFS('PIB-Mpal 2015-2022 Corrient '!T$5:T$1012,'PIB-Mpal 2015-2022 Corrient '!$A$5:$A$1012,$W$2,'PIB-Mpal 2015-2022 Corrient '!$E$5:$E$1012,$A64)</f>
        <v>17.226364240551419</v>
      </c>
      <c r="P64" s="150">
        <f>SUMIFS('PIB-Mpal 2015-2022 Corrient '!U$5:U$1012,'PIB-Mpal 2015-2022 Corrient '!$A$5:$A$1012,$W$2,'PIB-Mpal 2015-2022 Corrient '!$E$5:$E$1012,$A64)</f>
        <v>3.6861145814516347</v>
      </c>
      <c r="Q64" s="156">
        <f>SUMIFS('PIB-Mpal 2015-2022 Corrient '!J$5:J$1012,'PIB-Mpal 2015-2022 Corrient '!$A$5:$A$1012,$W$2,'PIB-Mpal 2015-2022 Corrient '!$E$5:$E$1012,$A64)</f>
        <v>17.145943498400861</v>
      </c>
      <c r="R64" s="52">
        <f>SUMIFS('PIB-Mpal 2015-2022 Corrient '!M$5:M$1012,'PIB-Mpal 2015-2022 Corrient '!$A$5:$A$1012,$W$2,'PIB-Mpal 2015-2022 Corrient '!$E$5:$E$1012,$A64)</f>
        <v>6.6373268070762883</v>
      </c>
      <c r="S64" s="53">
        <f>SUMIFS('PIB-Mpal 2015-2022 Corrient '!V$5:V$1012,'PIB-Mpal 2015-2022 Corrient '!$A$5:$A$1012,$W$2,'PIB-Mpal 2015-2022 Corrient '!$E$5:$E$1012,$A64)</f>
        <v>63.206268315318063</v>
      </c>
      <c r="T64" s="207">
        <f>SUMIFS('PIB-Mpal 2015-2022 Corrient '!W$5:W$1012,'PIB-Mpal 2015-2022 Corrient '!$A$5:$A$1012,$W$2,'PIB-Mpal 2015-2022 Corrient '!$E$5:$E$1012,$A64)</f>
        <v>86.989538620795201</v>
      </c>
      <c r="U64" s="203">
        <f>SUMIFS('PIB-Mpal 2015-2022 Corrient '!X$5:X$1012,'PIB-Mpal 2015-2022 Corrient '!$A$5:$A$1012,$W$2,'PIB-Mpal 2015-2022 Corrient '!$E$5:$E$1012,$A64)</f>
        <v>8.791086152264441</v>
      </c>
      <c r="V64" s="88">
        <f>SUMIFS('PIB-Mpal 2015-2022 Corrient '!Y$5:Y$1012,'PIB-Mpal 2015-2022 Corrient '!$A$5:$A$1012,$W$2,'PIB-Mpal 2015-2022 Corrient '!$E$5:$E$1012,$A64)</f>
        <v>95.780624773059643</v>
      </c>
      <c r="W64" s="92">
        <f t="shared" si="3"/>
        <v>6.2373644497363732E-4</v>
      </c>
      <c r="X64" s="268">
        <f>INDEX(POBLACION!$C$4:$W$128,MATCH(A64,POBLACION!$A$4:$A$128,0),MATCH($W$2,POBLACION!$C$3:$W$3,0))</f>
        <v>9502</v>
      </c>
      <c r="Y64" s="258">
        <f t="shared" si="5"/>
        <v>9154.8661987787</v>
      </c>
      <c r="Z64" s="270">
        <f t="shared" si="6"/>
        <v>10080.048913182451</v>
      </c>
      <c r="AA64" s="273">
        <f t="shared" si="7"/>
        <v>3.9616520013349601</v>
      </c>
      <c r="AB64" s="273">
        <f t="shared" si="8"/>
        <v>4.0034626395176103</v>
      </c>
      <c r="AG64" s="281"/>
      <c r="AH64" s="282"/>
      <c r="AI64" s="282"/>
    </row>
    <row r="65" spans="1:35" x14ac:dyDescent="0.2">
      <c r="A65" s="35" t="s">
        <v>231</v>
      </c>
      <c r="B65" s="32" t="s">
        <v>221</v>
      </c>
      <c r="C65" s="33" t="s">
        <v>225</v>
      </c>
      <c r="D65" s="32" t="s">
        <v>232</v>
      </c>
      <c r="E65" s="51">
        <f>SUMIFS('PIB-Mpal 2015-2022 Corrient '!H$5:H$1012,'PIB-Mpal 2015-2022 Corrient '!$A$5:$A$1012,$W$2,'PIB-Mpal 2015-2022 Corrient '!$E$5:$E$1012,$A65)</f>
        <v>30.710176342806196</v>
      </c>
      <c r="F65" s="51">
        <f>SUMIFS('PIB-Mpal 2015-2022 Corrient '!I$5:I$1012,'PIB-Mpal 2015-2022 Corrient '!$A$5:$A$1012,$W$2,'PIB-Mpal 2015-2022 Corrient '!$E$5:$E$1012,$A65)</f>
        <v>0</v>
      </c>
      <c r="G65" s="51">
        <f>SUMIFS('PIB-Mpal 2015-2022 Corrient '!K$5:K$1012,'PIB-Mpal 2015-2022 Corrient '!$A$5:$A$1012,$W$2,'PIB-Mpal 2015-2022 Corrient '!$E$5:$E$1012,$A65)</f>
        <v>2.3350668869571685</v>
      </c>
      <c r="H65" s="51">
        <f>SUMIFS('PIB-Mpal 2015-2022 Corrient '!L$5:L$1012,'PIB-Mpal 2015-2022 Corrient '!$A$5:$A$1012,$W$2,'PIB-Mpal 2015-2022 Corrient '!$E$5:$E$1012,$A65)</f>
        <v>5.8415546414079067</v>
      </c>
      <c r="I65" s="51">
        <f>SUMIFS('PIB-Mpal 2015-2022 Corrient '!N$5:N$1012,'PIB-Mpal 2015-2022 Corrient '!$A$5:$A$1012,$W$2,'PIB-Mpal 2015-2022 Corrient '!$E$5:$E$1012,$A65)</f>
        <v>1.8110477789634951</v>
      </c>
      <c r="J65" s="51">
        <f>SUMIFS('PIB-Mpal 2015-2022 Corrient '!O$5:O$1012,'PIB-Mpal 2015-2022 Corrient '!$A$5:$A$1012,$W$2,'PIB-Mpal 2015-2022 Corrient '!$E$5:$E$1012,$A65)</f>
        <v>10.198034594215352</v>
      </c>
      <c r="K65" s="51">
        <f>SUMIFS('PIB-Mpal 2015-2022 Corrient '!P$5:P$1012,'PIB-Mpal 2015-2022 Corrient '!$A$5:$A$1012,$W$2,'PIB-Mpal 2015-2022 Corrient '!$E$5:$E$1012,$A65)</f>
        <v>3.2106508993474892</v>
      </c>
      <c r="L65" s="51">
        <f>SUMIFS('PIB-Mpal 2015-2022 Corrient '!Q$5:Q$1012,'PIB-Mpal 2015-2022 Corrient '!$A$5:$A$1012,$W$2,'PIB-Mpal 2015-2022 Corrient '!$E$5:$E$1012,$A65)</f>
        <v>2.1353217720123814</v>
      </c>
      <c r="M65" s="51">
        <f>SUMIFS('PIB-Mpal 2015-2022 Corrient '!R$5:R$1012,'PIB-Mpal 2015-2022 Corrient '!$A$5:$A$1012,$W$2,'PIB-Mpal 2015-2022 Corrient '!$E$5:$E$1012,$A65)</f>
        <v>6.9927732886688343</v>
      </c>
      <c r="N65" s="51">
        <f>SUMIFS('PIB-Mpal 2015-2022 Corrient '!S$5:S$1012,'PIB-Mpal 2015-2022 Corrient '!$A$5:$A$1012,$W$2,'PIB-Mpal 2015-2022 Corrient '!$E$5:$E$1012,$A65)</f>
        <v>9.8227805635737617</v>
      </c>
      <c r="O65" s="51">
        <f>SUMIFS('PIB-Mpal 2015-2022 Corrient '!T$5:T$1012,'PIB-Mpal 2015-2022 Corrient '!$A$5:$A$1012,$W$2,'PIB-Mpal 2015-2022 Corrient '!$E$5:$E$1012,$A65)</f>
        <v>22.426232952353196</v>
      </c>
      <c r="P65" s="150">
        <f>SUMIFS('PIB-Mpal 2015-2022 Corrient '!U$5:U$1012,'PIB-Mpal 2015-2022 Corrient '!$A$5:$A$1012,$W$2,'PIB-Mpal 2015-2022 Corrient '!$E$5:$E$1012,$A65)</f>
        <v>3.5173749192523713</v>
      </c>
      <c r="Q65" s="156">
        <f>SUMIFS('PIB-Mpal 2015-2022 Corrient '!J$5:J$1012,'PIB-Mpal 2015-2022 Corrient '!$A$5:$A$1012,$W$2,'PIB-Mpal 2015-2022 Corrient '!$E$5:$E$1012,$A65)</f>
        <v>30.710176342806196</v>
      </c>
      <c r="R65" s="52">
        <f>SUMIFS('PIB-Mpal 2015-2022 Corrient '!M$5:M$1012,'PIB-Mpal 2015-2022 Corrient '!$A$5:$A$1012,$W$2,'PIB-Mpal 2015-2022 Corrient '!$E$5:$E$1012,$A65)</f>
        <v>8.1766215283650752</v>
      </c>
      <c r="S65" s="53">
        <f>SUMIFS('PIB-Mpal 2015-2022 Corrient '!V$5:V$1012,'PIB-Mpal 2015-2022 Corrient '!$A$5:$A$1012,$W$2,'PIB-Mpal 2015-2022 Corrient '!$E$5:$E$1012,$A65)</f>
        <v>60.114216768386882</v>
      </c>
      <c r="T65" s="207">
        <f>SUMIFS('PIB-Mpal 2015-2022 Corrient '!W$5:W$1012,'PIB-Mpal 2015-2022 Corrient '!$A$5:$A$1012,$W$2,'PIB-Mpal 2015-2022 Corrient '!$E$5:$E$1012,$A65)</f>
        <v>99.00101463955815</v>
      </c>
      <c r="U65" s="203">
        <f>SUMIFS('PIB-Mpal 2015-2022 Corrient '!X$5:X$1012,'PIB-Mpal 2015-2022 Corrient '!$A$5:$A$1012,$W$2,'PIB-Mpal 2015-2022 Corrient '!$E$5:$E$1012,$A65)</f>
        <v>10.004955338961802</v>
      </c>
      <c r="V65" s="88">
        <f>SUMIFS('PIB-Mpal 2015-2022 Corrient '!Y$5:Y$1012,'PIB-Mpal 2015-2022 Corrient '!$A$5:$A$1012,$W$2,'PIB-Mpal 2015-2022 Corrient '!$E$5:$E$1012,$A65)</f>
        <v>109.00596997851996</v>
      </c>
      <c r="W65" s="92">
        <f t="shared" si="3"/>
        <v>7.0986169025730769E-4</v>
      </c>
      <c r="X65" s="268">
        <f>INDEX(POBLACION!$C$4:$W$128,MATCH(A65,POBLACION!$A$4:$A$128,0),MATCH($W$2,POBLACION!$C$3:$W$3,0))</f>
        <v>8420</v>
      </c>
      <c r="Y65" s="258">
        <f t="shared" si="5"/>
        <v>11757.840218474839</v>
      </c>
      <c r="Z65" s="270">
        <f t="shared" si="6"/>
        <v>12946.077194598571</v>
      </c>
      <c r="AA65" s="273">
        <f t="shared" si="7"/>
        <v>4.0703275541090429</v>
      </c>
      <c r="AB65" s="273">
        <f t="shared" si="8"/>
        <v>4.1121381922916935</v>
      </c>
      <c r="AG65" s="281"/>
      <c r="AH65" s="282"/>
      <c r="AI65" s="282"/>
    </row>
    <row r="66" spans="1:35" x14ac:dyDescent="0.2">
      <c r="A66" s="35" t="s">
        <v>233</v>
      </c>
      <c r="B66" s="32" t="s">
        <v>221</v>
      </c>
      <c r="C66" s="33" t="s">
        <v>222</v>
      </c>
      <c r="D66" s="32" t="s">
        <v>234</v>
      </c>
      <c r="E66" s="51">
        <f>SUMIFS('PIB-Mpal 2015-2022 Corrient '!H$5:H$1012,'PIB-Mpal 2015-2022 Corrient '!$A$5:$A$1012,$W$2,'PIB-Mpal 2015-2022 Corrient '!$E$5:$E$1012,$A66)</f>
        <v>33.232940588612884</v>
      </c>
      <c r="F66" s="51">
        <f>SUMIFS('PIB-Mpal 2015-2022 Corrient '!I$5:I$1012,'PIB-Mpal 2015-2022 Corrient '!$A$5:$A$1012,$W$2,'PIB-Mpal 2015-2022 Corrient '!$E$5:$E$1012,$A66)</f>
        <v>0</v>
      </c>
      <c r="G66" s="51">
        <f>SUMIFS('PIB-Mpal 2015-2022 Corrient '!K$5:K$1012,'PIB-Mpal 2015-2022 Corrient '!$A$5:$A$1012,$W$2,'PIB-Mpal 2015-2022 Corrient '!$E$5:$E$1012,$A66)</f>
        <v>1.8469565335620384</v>
      </c>
      <c r="H66" s="51">
        <f>SUMIFS('PIB-Mpal 2015-2022 Corrient '!L$5:L$1012,'PIB-Mpal 2015-2022 Corrient '!$A$5:$A$1012,$W$2,'PIB-Mpal 2015-2022 Corrient '!$E$5:$E$1012,$A66)</f>
        <v>17.949310915265187</v>
      </c>
      <c r="I66" s="51">
        <f>SUMIFS('PIB-Mpal 2015-2022 Corrient '!N$5:N$1012,'PIB-Mpal 2015-2022 Corrient '!$A$5:$A$1012,$W$2,'PIB-Mpal 2015-2022 Corrient '!$E$5:$E$1012,$A66)</f>
        <v>9.0065389532655225</v>
      </c>
      <c r="J66" s="51">
        <f>SUMIFS('PIB-Mpal 2015-2022 Corrient '!O$5:O$1012,'PIB-Mpal 2015-2022 Corrient '!$A$5:$A$1012,$W$2,'PIB-Mpal 2015-2022 Corrient '!$E$5:$E$1012,$A66)</f>
        <v>24.89942940657367</v>
      </c>
      <c r="K66" s="51">
        <f>SUMIFS('PIB-Mpal 2015-2022 Corrient '!P$5:P$1012,'PIB-Mpal 2015-2022 Corrient '!$A$5:$A$1012,$W$2,'PIB-Mpal 2015-2022 Corrient '!$E$5:$E$1012,$A66)</f>
        <v>4.7709871286133003</v>
      </c>
      <c r="L66" s="51">
        <f>SUMIFS('PIB-Mpal 2015-2022 Corrient '!Q$5:Q$1012,'PIB-Mpal 2015-2022 Corrient '!$A$5:$A$1012,$W$2,'PIB-Mpal 2015-2022 Corrient '!$E$5:$E$1012,$A66)</f>
        <v>2.5771751422283682</v>
      </c>
      <c r="M66" s="51">
        <f>SUMIFS('PIB-Mpal 2015-2022 Corrient '!R$5:R$1012,'PIB-Mpal 2015-2022 Corrient '!$A$5:$A$1012,$W$2,'PIB-Mpal 2015-2022 Corrient '!$E$5:$E$1012,$A66)</f>
        <v>11.468099989412845</v>
      </c>
      <c r="N66" s="51">
        <f>SUMIFS('PIB-Mpal 2015-2022 Corrient '!S$5:S$1012,'PIB-Mpal 2015-2022 Corrient '!$A$5:$A$1012,$W$2,'PIB-Mpal 2015-2022 Corrient '!$E$5:$E$1012,$A66)</f>
        <v>17.093471342151751</v>
      </c>
      <c r="O66" s="51">
        <f>SUMIFS('PIB-Mpal 2015-2022 Corrient '!T$5:T$1012,'PIB-Mpal 2015-2022 Corrient '!$A$5:$A$1012,$W$2,'PIB-Mpal 2015-2022 Corrient '!$E$5:$E$1012,$A66)</f>
        <v>40.299857938572465</v>
      </c>
      <c r="P66" s="150">
        <f>SUMIFS('PIB-Mpal 2015-2022 Corrient '!U$5:U$1012,'PIB-Mpal 2015-2022 Corrient '!$A$5:$A$1012,$W$2,'PIB-Mpal 2015-2022 Corrient '!$E$5:$E$1012,$A66)</f>
        <v>5.2926053184330861</v>
      </c>
      <c r="Q66" s="156">
        <f>SUMIFS('PIB-Mpal 2015-2022 Corrient '!J$5:J$1012,'PIB-Mpal 2015-2022 Corrient '!$A$5:$A$1012,$W$2,'PIB-Mpal 2015-2022 Corrient '!$E$5:$E$1012,$A66)</f>
        <v>33.232940588612884</v>
      </c>
      <c r="R66" s="52">
        <f>SUMIFS('PIB-Mpal 2015-2022 Corrient '!M$5:M$1012,'PIB-Mpal 2015-2022 Corrient '!$A$5:$A$1012,$W$2,'PIB-Mpal 2015-2022 Corrient '!$E$5:$E$1012,$A66)</f>
        <v>19.796267448827226</v>
      </c>
      <c r="S66" s="53">
        <f>SUMIFS('PIB-Mpal 2015-2022 Corrient '!V$5:V$1012,'PIB-Mpal 2015-2022 Corrient '!$A$5:$A$1012,$W$2,'PIB-Mpal 2015-2022 Corrient '!$E$5:$E$1012,$A66)</f>
        <v>115.40816521925103</v>
      </c>
      <c r="T66" s="207">
        <f>SUMIFS('PIB-Mpal 2015-2022 Corrient '!W$5:W$1012,'PIB-Mpal 2015-2022 Corrient '!$A$5:$A$1012,$W$2,'PIB-Mpal 2015-2022 Corrient '!$E$5:$E$1012,$A66)</f>
        <v>168.43737325669113</v>
      </c>
      <c r="U66" s="203">
        <f>SUMIFS('PIB-Mpal 2015-2022 Corrient '!X$5:X$1012,'PIB-Mpal 2015-2022 Corrient '!$A$5:$A$1012,$W$2,'PIB-Mpal 2015-2022 Corrient '!$E$5:$E$1012,$A66)</f>
        <v>17.022132580971242</v>
      </c>
      <c r="V66" s="88">
        <f>SUMIFS('PIB-Mpal 2015-2022 Corrient '!Y$5:Y$1012,'PIB-Mpal 2015-2022 Corrient '!$A$5:$A$1012,$W$2,'PIB-Mpal 2015-2022 Corrient '!$E$5:$E$1012,$A66)</f>
        <v>185.45950583766236</v>
      </c>
      <c r="W66" s="92">
        <f t="shared" si="3"/>
        <v>1.2077375056994612E-3</v>
      </c>
      <c r="X66" s="268">
        <f>INDEX(POBLACION!$C$4:$W$128,MATCH(A66,POBLACION!$A$4:$A$128,0),MATCH($W$2,POBLACION!$C$3:$W$3,0))</f>
        <v>15490</v>
      </c>
      <c r="Y66" s="258">
        <f t="shared" si="5"/>
        <v>10873.942753821248</v>
      </c>
      <c r="Z66" s="270">
        <f t="shared" si="6"/>
        <v>11972.853830707707</v>
      </c>
      <c r="AA66" s="273">
        <f t="shared" si="7"/>
        <v>4.0363870423161439</v>
      </c>
      <c r="AB66" s="273">
        <f t="shared" si="8"/>
        <v>4.0781976804987945</v>
      </c>
      <c r="AG66" s="281"/>
      <c r="AH66" s="282"/>
      <c r="AI66" s="282"/>
    </row>
    <row r="67" spans="1:35" x14ac:dyDescent="0.2">
      <c r="A67" s="35" t="s">
        <v>235</v>
      </c>
      <c r="B67" s="32" t="s">
        <v>221</v>
      </c>
      <c r="C67" s="33" t="s">
        <v>222</v>
      </c>
      <c r="D67" s="32" t="s">
        <v>236</v>
      </c>
      <c r="E67" s="51">
        <f>SUMIFS('PIB-Mpal 2015-2022 Corrient '!H$5:H$1012,'PIB-Mpal 2015-2022 Corrient '!$A$5:$A$1012,$W$2,'PIB-Mpal 2015-2022 Corrient '!$E$5:$E$1012,$A67)</f>
        <v>73.052079159780931</v>
      </c>
      <c r="F67" s="51">
        <f>SUMIFS('PIB-Mpal 2015-2022 Corrient '!I$5:I$1012,'PIB-Mpal 2015-2022 Corrient '!$A$5:$A$1012,$W$2,'PIB-Mpal 2015-2022 Corrient '!$E$5:$E$1012,$A67)</f>
        <v>27.593418637101394</v>
      </c>
      <c r="G67" s="51">
        <f>SUMIFS('PIB-Mpal 2015-2022 Corrient '!K$5:K$1012,'PIB-Mpal 2015-2022 Corrient '!$A$5:$A$1012,$W$2,'PIB-Mpal 2015-2022 Corrient '!$E$5:$E$1012,$A67)</f>
        <v>2.2654443616686488</v>
      </c>
      <c r="H67" s="51">
        <f>SUMIFS('PIB-Mpal 2015-2022 Corrient '!L$5:L$1012,'PIB-Mpal 2015-2022 Corrient '!$A$5:$A$1012,$W$2,'PIB-Mpal 2015-2022 Corrient '!$E$5:$E$1012,$A67)</f>
        <v>21.053879944479977</v>
      </c>
      <c r="I67" s="51">
        <f>SUMIFS('PIB-Mpal 2015-2022 Corrient '!N$5:N$1012,'PIB-Mpal 2015-2022 Corrient '!$A$5:$A$1012,$W$2,'PIB-Mpal 2015-2022 Corrient '!$E$5:$E$1012,$A67)</f>
        <v>6.5931832882196311</v>
      </c>
      <c r="J67" s="51">
        <f>SUMIFS('PIB-Mpal 2015-2022 Corrient '!O$5:O$1012,'PIB-Mpal 2015-2022 Corrient '!$A$5:$A$1012,$W$2,'PIB-Mpal 2015-2022 Corrient '!$E$5:$E$1012,$A67)</f>
        <v>49.07639896408056</v>
      </c>
      <c r="K67" s="51">
        <f>SUMIFS('PIB-Mpal 2015-2022 Corrient '!P$5:P$1012,'PIB-Mpal 2015-2022 Corrient '!$A$5:$A$1012,$W$2,'PIB-Mpal 2015-2022 Corrient '!$E$5:$E$1012,$A67)</f>
        <v>8.8479683947443064</v>
      </c>
      <c r="L67" s="51">
        <f>SUMIFS('PIB-Mpal 2015-2022 Corrient '!Q$5:Q$1012,'PIB-Mpal 2015-2022 Corrient '!$A$5:$A$1012,$W$2,'PIB-Mpal 2015-2022 Corrient '!$E$5:$E$1012,$A67)</f>
        <v>5.8393263638638864</v>
      </c>
      <c r="M67" s="51">
        <f>SUMIFS('PIB-Mpal 2015-2022 Corrient '!R$5:R$1012,'PIB-Mpal 2015-2022 Corrient '!$A$5:$A$1012,$W$2,'PIB-Mpal 2015-2022 Corrient '!$E$5:$E$1012,$A67)</f>
        <v>16.332630999126906</v>
      </c>
      <c r="N67" s="51">
        <f>SUMIFS('PIB-Mpal 2015-2022 Corrient '!S$5:S$1012,'PIB-Mpal 2015-2022 Corrient '!$A$5:$A$1012,$W$2,'PIB-Mpal 2015-2022 Corrient '!$E$5:$E$1012,$A67)</f>
        <v>28.995064728370405</v>
      </c>
      <c r="O67" s="51">
        <f>SUMIFS('PIB-Mpal 2015-2022 Corrient '!T$5:T$1012,'PIB-Mpal 2015-2022 Corrient '!$A$5:$A$1012,$W$2,'PIB-Mpal 2015-2022 Corrient '!$E$5:$E$1012,$A67)</f>
        <v>52.32720286734483</v>
      </c>
      <c r="P67" s="150">
        <f>SUMIFS('PIB-Mpal 2015-2022 Corrient '!U$5:U$1012,'PIB-Mpal 2015-2022 Corrient '!$A$5:$A$1012,$W$2,'PIB-Mpal 2015-2022 Corrient '!$E$5:$E$1012,$A67)</f>
        <v>6.4498711075144941</v>
      </c>
      <c r="Q67" s="156">
        <f>SUMIFS('PIB-Mpal 2015-2022 Corrient '!J$5:J$1012,'PIB-Mpal 2015-2022 Corrient '!$A$5:$A$1012,$W$2,'PIB-Mpal 2015-2022 Corrient '!$E$5:$E$1012,$A67)</f>
        <v>100.64549779688232</v>
      </c>
      <c r="R67" s="52">
        <f>SUMIFS('PIB-Mpal 2015-2022 Corrient '!M$5:M$1012,'PIB-Mpal 2015-2022 Corrient '!$A$5:$A$1012,$W$2,'PIB-Mpal 2015-2022 Corrient '!$E$5:$E$1012,$A67)</f>
        <v>23.319324306148626</v>
      </c>
      <c r="S67" s="53">
        <f>SUMIFS('PIB-Mpal 2015-2022 Corrient '!V$5:V$1012,'PIB-Mpal 2015-2022 Corrient '!$A$5:$A$1012,$W$2,'PIB-Mpal 2015-2022 Corrient '!$E$5:$E$1012,$A67)</f>
        <v>174.46164671326503</v>
      </c>
      <c r="T67" s="207">
        <f>SUMIFS('PIB-Mpal 2015-2022 Corrient '!W$5:W$1012,'PIB-Mpal 2015-2022 Corrient '!$A$5:$A$1012,$W$2,'PIB-Mpal 2015-2022 Corrient '!$E$5:$E$1012,$A67)</f>
        <v>298.42646881629594</v>
      </c>
      <c r="U67" s="203">
        <f>SUMIFS('PIB-Mpal 2015-2022 Corrient '!X$5:X$1012,'PIB-Mpal 2015-2022 Corrient '!$A$5:$A$1012,$W$2,'PIB-Mpal 2015-2022 Corrient '!$E$5:$E$1012,$A67)</f>
        <v>30.158716083280371</v>
      </c>
      <c r="V67" s="88">
        <f>SUMIFS('PIB-Mpal 2015-2022 Corrient '!Y$5:Y$1012,'PIB-Mpal 2015-2022 Corrient '!$A$5:$A$1012,$W$2,'PIB-Mpal 2015-2022 Corrient '!$E$5:$E$1012,$A67)</f>
        <v>328.58518489957629</v>
      </c>
      <c r="W67" s="92">
        <f t="shared" si="3"/>
        <v>2.1397913783280497E-3</v>
      </c>
      <c r="X67" s="268">
        <f>INDEX(POBLACION!$C$4:$W$128,MATCH(A67,POBLACION!$A$4:$A$128,0),MATCH($W$2,POBLACION!$C$3:$W$3,0))</f>
        <v>23255</v>
      </c>
      <c r="Y67" s="258">
        <f t="shared" si="5"/>
        <v>12832.787306656459</v>
      </c>
      <c r="Z67" s="270">
        <f t="shared" si="6"/>
        <v>14129.657488693885</v>
      </c>
      <c r="AA67" s="273">
        <f t="shared" si="7"/>
        <v>4.1083209962368121</v>
      </c>
      <c r="AB67" s="273">
        <f t="shared" si="8"/>
        <v>4.1501316344194628</v>
      </c>
      <c r="AG67" s="281"/>
      <c r="AH67" s="282"/>
      <c r="AI67" s="282"/>
    </row>
    <row r="68" spans="1:35" x14ac:dyDescent="0.2">
      <c r="A68" s="35" t="s">
        <v>237</v>
      </c>
      <c r="B68" s="32" t="s">
        <v>221</v>
      </c>
      <c r="C68" s="33" t="s">
        <v>145</v>
      </c>
      <c r="D68" s="32" t="s">
        <v>238</v>
      </c>
      <c r="E68" s="51">
        <f>SUMIFS('PIB-Mpal 2015-2022 Corrient '!H$5:H$1012,'PIB-Mpal 2015-2022 Corrient '!$A$5:$A$1012,$W$2,'PIB-Mpal 2015-2022 Corrient '!$E$5:$E$1012,$A68)</f>
        <v>124.83257327688594</v>
      </c>
      <c r="F68" s="51">
        <f>SUMIFS('PIB-Mpal 2015-2022 Corrient '!I$5:I$1012,'PIB-Mpal 2015-2022 Corrient '!$A$5:$A$1012,$W$2,'PIB-Mpal 2015-2022 Corrient '!$E$5:$E$1012,$A68)</f>
        <v>0</v>
      </c>
      <c r="G68" s="51">
        <f>SUMIFS('PIB-Mpal 2015-2022 Corrient '!K$5:K$1012,'PIB-Mpal 2015-2022 Corrient '!$A$5:$A$1012,$W$2,'PIB-Mpal 2015-2022 Corrient '!$E$5:$E$1012,$A68)</f>
        <v>8.5771848954622598</v>
      </c>
      <c r="H68" s="51">
        <f>SUMIFS('PIB-Mpal 2015-2022 Corrient '!L$5:L$1012,'PIB-Mpal 2015-2022 Corrient '!$A$5:$A$1012,$W$2,'PIB-Mpal 2015-2022 Corrient '!$E$5:$E$1012,$A68)</f>
        <v>12.337384775632295</v>
      </c>
      <c r="I68" s="51">
        <f>SUMIFS('PIB-Mpal 2015-2022 Corrient '!N$5:N$1012,'PIB-Mpal 2015-2022 Corrient '!$A$5:$A$1012,$W$2,'PIB-Mpal 2015-2022 Corrient '!$E$5:$E$1012,$A68)</f>
        <v>4.2362448141351798</v>
      </c>
      <c r="J68" s="51">
        <f>SUMIFS('PIB-Mpal 2015-2022 Corrient '!O$5:O$1012,'PIB-Mpal 2015-2022 Corrient '!$A$5:$A$1012,$W$2,'PIB-Mpal 2015-2022 Corrient '!$E$5:$E$1012,$A68)</f>
        <v>19.317575031622173</v>
      </c>
      <c r="K68" s="51">
        <f>SUMIFS('PIB-Mpal 2015-2022 Corrient '!P$5:P$1012,'PIB-Mpal 2015-2022 Corrient '!$A$5:$A$1012,$W$2,'PIB-Mpal 2015-2022 Corrient '!$E$5:$E$1012,$A68)</f>
        <v>5.6429693975782014</v>
      </c>
      <c r="L68" s="51">
        <f>SUMIFS('PIB-Mpal 2015-2022 Corrient '!Q$5:Q$1012,'PIB-Mpal 2015-2022 Corrient '!$A$5:$A$1012,$W$2,'PIB-Mpal 2015-2022 Corrient '!$E$5:$E$1012,$A68)</f>
        <v>2.3512068239001231</v>
      </c>
      <c r="M68" s="51">
        <f>SUMIFS('PIB-Mpal 2015-2022 Corrient '!R$5:R$1012,'PIB-Mpal 2015-2022 Corrient '!$A$5:$A$1012,$W$2,'PIB-Mpal 2015-2022 Corrient '!$E$5:$E$1012,$A68)</f>
        <v>13.522514989603916</v>
      </c>
      <c r="N68" s="51">
        <f>SUMIFS('PIB-Mpal 2015-2022 Corrient '!S$5:S$1012,'PIB-Mpal 2015-2022 Corrient '!$A$5:$A$1012,$W$2,'PIB-Mpal 2015-2022 Corrient '!$E$5:$E$1012,$A68)</f>
        <v>15.276326263939957</v>
      </c>
      <c r="O68" s="51">
        <f>SUMIFS('PIB-Mpal 2015-2022 Corrient '!T$5:T$1012,'PIB-Mpal 2015-2022 Corrient '!$A$5:$A$1012,$W$2,'PIB-Mpal 2015-2022 Corrient '!$E$5:$E$1012,$A68)</f>
        <v>26.562057600314223</v>
      </c>
      <c r="P68" s="150">
        <f>SUMIFS('PIB-Mpal 2015-2022 Corrient '!U$5:U$1012,'PIB-Mpal 2015-2022 Corrient '!$A$5:$A$1012,$W$2,'PIB-Mpal 2015-2022 Corrient '!$E$5:$E$1012,$A68)</f>
        <v>6.0700172218094961</v>
      </c>
      <c r="Q68" s="156">
        <f>SUMIFS('PIB-Mpal 2015-2022 Corrient '!J$5:J$1012,'PIB-Mpal 2015-2022 Corrient '!$A$5:$A$1012,$W$2,'PIB-Mpal 2015-2022 Corrient '!$E$5:$E$1012,$A68)</f>
        <v>124.83257327688594</v>
      </c>
      <c r="R68" s="52">
        <f>SUMIFS('PIB-Mpal 2015-2022 Corrient '!M$5:M$1012,'PIB-Mpal 2015-2022 Corrient '!$A$5:$A$1012,$W$2,'PIB-Mpal 2015-2022 Corrient '!$E$5:$E$1012,$A68)</f>
        <v>20.914569671094554</v>
      </c>
      <c r="S68" s="53">
        <f>SUMIFS('PIB-Mpal 2015-2022 Corrient '!V$5:V$1012,'PIB-Mpal 2015-2022 Corrient '!$A$5:$A$1012,$W$2,'PIB-Mpal 2015-2022 Corrient '!$E$5:$E$1012,$A68)</f>
        <v>92.978912142903269</v>
      </c>
      <c r="T68" s="207">
        <f>SUMIFS('PIB-Mpal 2015-2022 Corrient '!W$5:W$1012,'PIB-Mpal 2015-2022 Corrient '!$A$5:$A$1012,$W$2,'PIB-Mpal 2015-2022 Corrient '!$E$5:$E$1012,$A68)</f>
        <v>238.72605509088376</v>
      </c>
      <c r="U68" s="203">
        <f>SUMIFS('PIB-Mpal 2015-2022 Corrient '!X$5:X$1012,'PIB-Mpal 2015-2022 Corrient '!$A$5:$A$1012,$W$2,'PIB-Mpal 2015-2022 Corrient '!$E$5:$E$1012,$A68)</f>
        <v>24.125444856566833</v>
      </c>
      <c r="V68" s="88">
        <f>SUMIFS('PIB-Mpal 2015-2022 Corrient '!Y$5:Y$1012,'PIB-Mpal 2015-2022 Corrient '!$A$5:$A$1012,$W$2,'PIB-Mpal 2015-2022 Corrient '!$E$5:$E$1012,$A68)</f>
        <v>262.85149994745058</v>
      </c>
      <c r="W68" s="92">
        <f t="shared" si="3"/>
        <v>1.7117246888049692E-3</v>
      </c>
      <c r="X68" s="268">
        <f>INDEX(POBLACION!$C$4:$W$128,MATCH(A68,POBLACION!$A$4:$A$128,0),MATCH($W$2,POBLACION!$C$3:$W$3,0))</f>
        <v>12108</v>
      </c>
      <c r="Y68" s="258">
        <f t="shared" si="5"/>
        <v>19716.390410545402</v>
      </c>
      <c r="Z68" s="270">
        <f t="shared" si="6"/>
        <v>21708.911459155152</v>
      </c>
      <c r="AA68" s="273">
        <f t="shared" si="7"/>
        <v>4.2948274091716119</v>
      </c>
      <c r="AB68" s="273">
        <f t="shared" si="8"/>
        <v>4.3366380473542616</v>
      </c>
      <c r="AG68" s="281"/>
      <c r="AH68" s="282"/>
      <c r="AI68" s="282"/>
    </row>
    <row r="69" spans="1:35" x14ac:dyDescent="0.2">
      <c r="A69" s="35" t="s">
        <v>239</v>
      </c>
      <c r="B69" s="32" t="s">
        <v>221</v>
      </c>
      <c r="C69" s="33" t="s">
        <v>222</v>
      </c>
      <c r="D69" s="32" t="s">
        <v>240</v>
      </c>
      <c r="E69" s="51">
        <f>SUMIFS('PIB-Mpal 2015-2022 Corrient '!H$5:H$1012,'PIB-Mpal 2015-2022 Corrient '!$A$5:$A$1012,$W$2,'PIB-Mpal 2015-2022 Corrient '!$E$5:$E$1012,$A69)</f>
        <v>33.815007763077617</v>
      </c>
      <c r="F69" s="51">
        <f>SUMIFS('PIB-Mpal 2015-2022 Corrient '!I$5:I$1012,'PIB-Mpal 2015-2022 Corrient '!$A$5:$A$1012,$W$2,'PIB-Mpal 2015-2022 Corrient '!$E$5:$E$1012,$A69)</f>
        <v>4.3557534158322539</v>
      </c>
      <c r="G69" s="51">
        <f>SUMIFS('PIB-Mpal 2015-2022 Corrient '!K$5:K$1012,'PIB-Mpal 2015-2022 Corrient '!$A$5:$A$1012,$W$2,'PIB-Mpal 2015-2022 Corrient '!$E$5:$E$1012,$A69)</f>
        <v>2.9963412506229461</v>
      </c>
      <c r="H69" s="51">
        <f>SUMIFS('PIB-Mpal 2015-2022 Corrient '!L$5:L$1012,'PIB-Mpal 2015-2022 Corrient '!$A$5:$A$1012,$W$2,'PIB-Mpal 2015-2022 Corrient '!$E$5:$E$1012,$A69)</f>
        <v>18.46322274017399</v>
      </c>
      <c r="I69" s="51">
        <f>SUMIFS('PIB-Mpal 2015-2022 Corrient '!N$5:N$1012,'PIB-Mpal 2015-2022 Corrient '!$A$5:$A$1012,$W$2,'PIB-Mpal 2015-2022 Corrient '!$E$5:$E$1012,$A69)</f>
        <v>15.239271225682058</v>
      </c>
      <c r="J69" s="51">
        <f>SUMIFS('PIB-Mpal 2015-2022 Corrient '!O$5:O$1012,'PIB-Mpal 2015-2022 Corrient '!$A$5:$A$1012,$W$2,'PIB-Mpal 2015-2022 Corrient '!$E$5:$E$1012,$A69)</f>
        <v>44.615402171932359</v>
      </c>
      <c r="K69" s="51">
        <f>SUMIFS('PIB-Mpal 2015-2022 Corrient '!P$5:P$1012,'PIB-Mpal 2015-2022 Corrient '!$A$5:$A$1012,$W$2,'PIB-Mpal 2015-2022 Corrient '!$E$5:$E$1012,$A69)</f>
        <v>8.3221402635975519</v>
      </c>
      <c r="L69" s="51">
        <f>SUMIFS('PIB-Mpal 2015-2022 Corrient '!Q$5:Q$1012,'PIB-Mpal 2015-2022 Corrient '!$A$5:$A$1012,$W$2,'PIB-Mpal 2015-2022 Corrient '!$E$5:$E$1012,$A69)</f>
        <v>6.0491038042698122</v>
      </c>
      <c r="M69" s="51">
        <f>SUMIFS('PIB-Mpal 2015-2022 Corrient '!R$5:R$1012,'PIB-Mpal 2015-2022 Corrient '!$A$5:$A$1012,$W$2,'PIB-Mpal 2015-2022 Corrient '!$E$5:$E$1012,$A69)</f>
        <v>12.476505553894853</v>
      </c>
      <c r="N69" s="51">
        <f>SUMIFS('PIB-Mpal 2015-2022 Corrient '!S$5:S$1012,'PIB-Mpal 2015-2022 Corrient '!$A$5:$A$1012,$W$2,'PIB-Mpal 2015-2022 Corrient '!$E$5:$E$1012,$A69)</f>
        <v>21.351538239450786</v>
      </c>
      <c r="O69" s="51">
        <f>SUMIFS('PIB-Mpal 2015-2022 Corrient '!T$5:T$1012,'PIB-Mpal 2015-2022 Corrient '!$A$5:$A$1012,$W$2,'PIB-Mpal 2015-2022 Corrient '!$E$5:$E$1012,$A69)</f>
        <v>45.312491945621787</v>
      </c>
      <c r="P69" s="150">
        <f>SUMIFS('PIB-Mpal 2015-2022 Corrient '!U$5:U$1012,'PIB-Mpal 2015-2022 Corrient '!$A$5:$A$1012,$W$2,'PIB-Mpal 2015-2022 Corrient '!$E$5:$E$1012,$A69)</f>
        <v>5.9644977697137547</v>
      </c>
      <c r="Q69" s="156">
        <f>SUMIFS('PIB-Mpal 2015-2022 Corrient '!J$5:J$1012,'PIB-Mpal 2015-2022 Corrient '!$A$5:$A$1012,$W$2,'PIB-Mpal 2015-2022 Corrient '!$E$5:$E$1012,$A69)</f>
        <v>38.170761178909871</v>
      </c>
      <c r="R69" s="52">
        <f>SUMIFS('PIB-Mpal 2015-2022 Corrient '!M$5:M$1012,'PIB-Mpal 2015-2022 Corrient '!$A$5:$A$1012,$W$2,'PIB-Mpal 2015-2022 Corrient '!$E$5:$E$1012,$A69)</f>
        <v>21.459563990796937</v>
      </c>
      <c r="S69" s="53">
        <f>SUMIFS('PIB-Mpal 2015-2022 Corrient '!V$5:V$1012,'PIB-Mpal 2015-2022 Corrient '!$A$5:$A$1012,$W$2,'PIB-Mpal 2015-2022 Corrient '!$E$5:$E$1012,$A69)</f>
        <v>159.33095097416296</v>
      </c>
      <c r="T69" s="207">
        <f>SUMIFS('PIB-Mpal 2015-2022 Corrient '!W$5:W$1012,'PIB-Mpal 2015-2022 Corrient '!$A$5:$A$1012,$W$2,'PIB-Mpal 2015-2022 Corrient '!$E$5:$E$1012,$A69)</f>
        <v>218.96127614386978</v>
      </c>
      <c r="U69" s="203">
        <f>SUMIFS('PIB-Mpal 2015-2022 Corrient '!X$5:X$1012,'PIB-Mpal 2015-2022 Corrient '!$A$5:$A$1012,$W$2,'PIB-Mpal 2015-2022 Corrient '!$E$5:$E$1012,$A69)</f>
        <v>22.128033705082402</v>
      </c>
      <c r="V69" s="88">
        <f>SUMIFS('PIB-Mpal 2015-2022 Corrient '!Y$5:Y$1012,'PIB-Mpal 2015-2022 Corrient '!$A$5:$A$1012,$W$2,'PIB-Mpal 2015-2022 Corrient '!$E$5:$E$1012,$A69)</f>
        <v>241.08930984895218</v>
      </c>
      <c r="W69" s="92">
        <f t="shared" si="3"/>
        <v>1.5700063494326851E-3</v>
      </c>
      <c r="X69" s="268">
        <f>INDEX(POBLACION!$C$4:$W$128,MATCH(A69,POBLACION!$A$4:$A$128,0),MATCH($W$2,POBLACION!$C$3:$W$3,0))</f>
        <v>20657</v>
      </c>
      <c r="Y69" s="258">
        <f t="shared" si="5"/>
        <v>10599.858456884822</v>
      </c>
      <c r="Z69" s="270">
        <f t="shared" si="6"/>
        <v>11671.070816137493</v>
      </c>
      <c r="AA69" s="273">
        <f t="shared" si="7"/>
        <v>4.0253000660379499</v>
      </c>
      <c r="AB69" s="273">
        <f t="shared" si="8"/>
        <v>4.0671107042206005</v>
      </c>
      <c r="AG69" s="281"/>
      <c r="AH69" s="282"/>
      <c r="AI69" s="282"/>
    </row>
    <row r="70" spans="1:35" x14ac:dyDescent="0.2">
      <c r="A70" s="35" t="s">
        <v>241</v>
      </c>
      <c r="B70" s="32" t="s">
        <v>221</v>
      </c>
      <c r="C70" s="33" t="s">
        <v>145</v>
      </c>
      <c r="D70" s="32" t="s">
        <v>242</v>
      </c>
      <c r="E70" s="51">
        <f>SUMIFS('PIB-Mpal 2015-2022 Corrient '!H$5:H$1012,'PIB-Mpal 2015-2022 Corrient '!$A$5:$A$1012,$W$2,'PIB-Mpal 2015-2022 Corrient '!$E$5:$E$1012,$A70)</f>
        <v>11.691237223495669</v>
      </c>
      <c r="F70" s="51">
        <f>SUMIFS('PIB-Mpal 2015-2022 Corrient '!I$5:I$1012,'PIB-Mpal 2015-2022 Corrient '!$A$5:$A$1012,$W$2,'PIB-Mpal 2015-2022 Corrient '!$E$5:$E$1012,$A70)</f>
        <v>0</v>
      </c>
      <c r="G70" s="51">
        <f>SUMIFS('PIB-Mpal 2015-2022 Corrient '!K$5:K$1012,'PIB-Mpal 2015-2022 Corrient '!$A$5:$A$1012,$W$2,'PIB-Mpal 2015-2022 Corrient '!$E$5:$E$1012,$A70)</f>
        <v>0.85934811022148472</v>
      </c>
      <c r="H70" s="51">
        <f>SUMIFS('PIB-Mpal 2015-2022 Corrient '!L$5:L$1012,'PIB-Mpal 2015-2022 Corrient '!$A$5:$A$1012,$W$2,'PIB-Mpal 2015-2022 Corrient '!$E$5:$E$1012,$A70)</f>
        <v>3.8346247889607086</v>
      </c>
      <c r="I70" s="51">
        <f>SUMIFS('PIB-Mpal 2015-2022 Corrient '!N$5:N$1012,'PIB-Mpal 2015-2022 Corrient '!$A$5:$A$1012,$W$2,'PIB-Mpal 2015-2022 Corrient '!$E$5:$E$1012,$A70)</f>
        <v>1.6862499605351231</v>
      </c>
      <c r="J70" s="51">
        <f>SUMIFS('PIB-Mpal 2015-2022 Corrient '!O$5:O$1012,'PIB-Mpal 2015-2022 Corrient '!$A$5:$A$1012,$W$2,'PIB-Mpal 2015-2022 Corrient '!$E$5:$E$1012,$A70)</f>
        <v>10.03888054662445</v>
      </c>
      <c r="K70" s="51">
        <f>SUMIFS('PIB-Mpal 2015-2022 Corrient '!P$5:P$1012,'PIB-Mpal 2015-2022 Corrient '!$A$5:$A$1012,$W$2,'PIB-Mpal 2015-2022 Corrient '!$E$5:$E$1012,$A70)</f>
        <v>1.6123423208240846</v>
      </c>
      <c r="L70" s="51">
        <f>SUMIFS('PIB-Mpal 2015-2022 Corrient '!Q$5:Q$1012,'PIB-Mpal 2015-2022 Corrient '!$A$5:$A$1012,$W$2,'PIB-Mpal 2015-2022 Corrient '!$E$5:$E$1012,$A70)</f>
        <v>0.72068730850166707</v>
      </c>
      <c r="M70" s="51">
        <f>SUMIFS('PIB-Mpal 2015-2022 Corrient '!R$5:R$1012,'PIB-Mpal 2015-2022 Corrient '!$A$5:$A$1012,$W$2,'PIB-Mpal 2015-2022 Corrient '!$E$5:$E$1012,$A70)</f>
        <v>4.5310030301737987</v>
      </c>
      <c r="N70" s="51">
        <f>SUMIFS('PIB-Mpal 2015-2022 Corrient '!S$5:S$1012,'PIB-Mpal 2015-2022 Corrient '!$A$5:$A$1012,$W$2,'PIB-Mpal 2015-2022 Corrient '!$E$5:$E$1012,$A70)</f>
        <v>6.6830557080129935</v>
      </c>
      <c r="O70" s="51">
        <f>SUMIFS('PIB-Mpal 2015-2022 Corrient '!T$5:T$1012,'PIB-Mpal 2015-2022 Corrient '!$A$5:$A$1012,$W$2,'PIB-Mpal 2015-2022 Corrient '!$E$5:$E$1012,$A70)</f>
        <v>13.303959679049719</v>
      </c>
      <c r="P70" s="150">
        <f>SUMIFS('PIB-Mpal 2015-2022 Corrient '!U$5:U$1012,'PIB-Mpal 2015-2022 Corrient '!$A$5:$A$1012,$W$2,'PIB-Mpal 2015-2022 Corrient '!$E$5:$E$1012,$A70)</f>
        <v>2.9401134707316188</v>
      </c>
      <c r="Q70" s="156">
        <f>SUMIFS('PIB-Mpal 2015-2022 Corrient '!J$5:J$1012,'PIB-Mpal 2015-2022 Corrient '!$A$5:$A$1012,$W$2,'PIB-Mpal 2015-2022 Corrient '!$E$5:$E$1012,$A70)</f>
        <v>11.691237223495669</v>
      </c>
      <c r="R70" s="52">
        <f>SUMIFS('PIB-Mpal 2015-2022 Corrient '!M$5:M$1012,'PIB-Mpal 2015-2022 Corrient '!$A$5:$A$1012,$W$2,'PIB-Mpal 2015-2022 Corrient '!$E$5:$E$1012,$A70)</f>
        <v>4.6939728991821932</v>
      </c>
      <c r="S70" s="53">
        <f>SUMIFS('PIB-Mpal 2015-2022 Corrient '!V$5:V$1012,'PIB-Mpal 2015-2022 Corrient '!$A$5:$A$1012,$W$2,'PIB-Mpal 2015-2022 Corrient '!$E$5:$E$1012,$A70)</f>
        <v>41.516292024453449</v>
      </c>
      <c r="T70" s="207">
        <f>SUMIFS('PIB-Mpal 2015-2022 Corrient '!W$5:W$1012,'PIB-Mpal 2015-2022 Corrient '!$A$5:$A$1012,$W$2,'PIB-Mpal 2015-2022 Corrient '!$E$5:$E$1012,$A70)</f>
        <v>57.90150214713131</v>
      </c>
      <c r="U70" s="203">
        <f>SUMIFS('PIB-Mpal 2015-2022 Corrient '!X$5:X$1012,'PIB-Mpal 2015-2022 Corrient '!$A$5:$A$1012,$W$2,'PIB-Mpal 2015-2022 Corrient '!$E$5:$E$1012,$A70)</f>
        <v>5.8514748071013827</v>
      </c>
      <c r="V70" s="88">
        <f>SUMIFS('PIB-Mpal 2015-2022 Corrient '!Y$5:Y$1012,'PIB-Mpal 2015-2022 Corrient '!$A$5:$A$1012,$W$2,'PIB-Mpal 2015-2022 Corrient '!$E$5:$E$1012,$A70)</f>
        <v>63.752976954232693</v>
      </c>
      <c r="W70" s="92">
        <f t="shared" ref="W70:W133" si="14">V70/$V$5</f>
        <v>4.1516804986538476E-4</v>
      </c>
      <c r="X70" s="268">
        <f>INDEX(POBLACION!$C$4:$W$128,MATCH(A70,POBLACION!$A$4:$A$128,0),MATCH($W$2,POBLACION!$C$3:$W$3,0))</f>
        <v>5652</v>
      </c>
      <c r="Y70" s="258">
        <f t="shared" ref="Y70:Y133" si="15">(T70/X70)*1000000</f>
        <v>10244.427131481123</v>
      </c>
      <c r="Z70" s="270">
        <f t="shared" ref="Z70:Z133" si="16">(V70/X70)*1000000</f>
        <v>11279.719914053909</v>
      </c>
      <c r="AA70" s="273">
        <f t="shared" ref="AA70:AA133" si="17">LOG(Y70)</f>
        <v>4.0104876776622751</v>
      </c>
      <c r="AB70" s="273">
        <f t="shared" ref="AB70:AB133" si="18">LOG(Z70)</f>
        <v>4.0522983158449257</v>
      </c>
      <c r="AG70" s="281"/>
      <c r="AH70" s="282"/>
      <c r="AI70" s="282"/>
    </row>
    <row r="71" spans="1:35" x14ac:dyDescent="0.2">
      <c r="A71" s="35" t="s">
        <v>243</v>
      </c>
      <c r="B71" s="32" t="s">
        <v>221</v>
      </c>
      <c r="C71" s="33" t="s">
        <v>222</v>
      </c>
      <c r="D71" s="32" t="s">
        <v>244</v>
      </c>
      <c r="E71" s="51">
        <f>SUMIFS('PIB-Mpal 2015-2022 Corrient '!H$5:H$1012,'PIB-Mpal 2015-2022 Corrient '!$A$5:$A$1012,$W$2,'PIB-Mpal 2015-2022 Corrient '!$E$5:$E$1012,$A71)</f>
        <v>14.681395317372367</v>
      </c>
      <c r="F71" s="51">
        <f>SUMIFS('PIB-Mpal 2015-2022 Corrient '!I$5:I$1012,'PIB-Mpal 2015-2022 Corrient '!$A$5:$A$1012,$W$2,'PIB-Mpal 2015-2022 Corrient '!$E$5:$E$1012,$A71)</f>
        <v>0</v>
      </c>
      <c r="G71" s="51">
        <f>SUMIFS('PIB-Mpal 2015-2022 Corrient '!K$5:K$1012,'PIB-Mpal 2015-2022 Corrient '!$A$5:$A$1012,$W$2,'PIB-Mpal 2015-2022 Corrient '!$E$5:$E$1012,$A71)</f>
        <v>1.0675067072051581</v>
      </c>
      <c r="H71" s="51">
        <f>SUMIFS('PIB-Mpal 2015-2022 Corrient '!L$5:L$1012,'PIB-Mpal 2015-2022 Corrient '!$A$5:$A$1012,$W$2,'PIB-Mpal 2015-2022 Corrient '!$E$5:$E$1012,$A71)</f>
        <v>3.7771492924819974</v>
      </c>
      <c r="I71" s="51">
        <f>SUMIFS('PIB-Mpal 2015-2022 Corrient '!N$5:N$1012,'PIB-Mpal 2015-2022 Corrient '!$A$5:$A$1012,$W$2,'PIB-Mpal 2015-2022 Corrient '!$E$5:$E$1012,$A71)</f>
        <v>1.9181486763974793</v>
      </c>
      <c r="J71" s="51">
        <f>SUMIFS('PIB-Mpal 2015-2022 Corrient '!O$5:O$1012,'PIB-Mpal 2015-2022 Corrient '!$A$5:$A$1012,$W$2,'PIB-Mpal 2015-2022 Corrient '!$E$5:$E$1012,$A71)</f>
        <v>7.7796431408244091</v>
      </c>
      <c r="K71" s="51">
        <f>SUMIFS('PIB-Mpal 2015-2022 Corrient '!P$5:P$1012,'PIB-Mpal 2015-2022 Corrient '!$A$5:$A$1012,$W$2,'PIB-Mpal 2015-2022 Corrient '!$E$5:$E$1012,$A71)</f>
        <v>1.7840532473305095</v>
      </c>
      <c r="L71" s="51">
        <f>SUMIFS('PIB-Mpal 2015-2022 Corrient '!Q$5:Q$1012,'PIB-Mpal 2015-2022 Corrient '!$A$5:$A$1012,$W$2,'PIB-Mpal 2015-2022 Corrient '!$E$5:$E$1012,$A71)</f>
        <v>1.1579876510444997</v>
      </c>
      <c r="M71" s="51">
        <f>SUMIFS('PIB-Mpal 2015-2022 Corrient '!R$5:R$1012,'PIB-Mpal 2015-2022 Corrient '!$A$5:$A$1012,$W$2,'PIB-Mpal 2015-2022 Corrient '!$E$5:$E$1012,$A71)</f>
        <v>4.5658415407741293</v>
      </c>
      <c r="N71" s="51">
        <f>SUMIFS('PIB-Mpal 2015-2022 Corrient '!S$5:S$1012,'PIB-Mpal 2015-2022 Corrient '!$A$5:$A$1012,$W$2,'PIB-Mpal 2015-2022 Corrient '!$E$5:$E$1012,$A71)</f>
        <v>6.0622083773280506</v>
      </c>
      <c r="O71" s="51">
        <f>SUMIFS('PIB-Mpal 2015-2022 Corrient '!T$5:T$1012,'PIB-Mpal 2015-2022 Corrient '!$A$5:$A$1012,$W$2,'PIB-Mpal 2015-2022 Corrient '!$E$5:$E$1012,$A71)</f>
        <v>13.332591342706797</v>
      </c>
      <c r="P71" s="150">
        <f>SUMIFS('PIB-Mpal 2015-2022 Corrient '!U$5:U$1012,'PIB-Mpal 2015-2022 Corrient '!$A$5:$A$1012,$W$2,'PIB-Mpal 2015-2022 Corrient '!$E$5:$E$1012,$A71)</f>
        <v>1.9334469995558725</v>
      </c>
      <c r="Q71" s="156">
        <f>SUMIFS('PIB-Mpal 2015-2022 Corrient '!J$5:J$1012,'PIB-Mpal 2015-2022 Corrient '!$A$5:$A$1012,$W$2,'PIB-Mpal 2015-2022 Corrient '!$E$5:$E$1012,$A71)</f>
        <v>14.681395317372367</v>
      </c>
      <c r="R71" s="52">
        <f>SUMIFS('PIB-Mpal 2015-2022 Corrient '!M$5:M$1012,'PIB-Mpal 2015-2022 Corrient '!$A$5:$A$1012,$W$2,'PIB-Mpal 2015-2022 Corrient '!$E$5:$E$1012,$A71)</f>
        <v>4.8446559996871557</v>
      </c>
      <c r="S71" s="53">
        <f>SUMIFS('PIB-Mpal 2015-2022 Corrient '!V$5:V$1012,'PIB-Mpal 2015-2022 Corrient '!$A$5:$A$1012,$W$2,'PIB-Mpal 2015-2022 Corrient '!$E$5:$E$1012,$A71)</f>
        <v>38.533920975961749</v>
      </c>
      <c r="T71" s="207">
        <f>SUMIFS('PIB-Mpal 2015-2022 Corrient '!W$5:W$1012,'PIB-Mpal 2015-2022 Corrient '!$A$5:$A$1012,$W$2,'PIB-Mpal 2015-2022 Corrient '!$E$5:$E$1012,$A71)</f>
        <v>58.059972293021275</v>
      </c>
      <c r="U71" s="203">
        <f>SUMIFS('PIB-Mpal 2015-2022 Corrient '!X$5:X$1012,'PIB-Mpal 2015-2022 Corrient '!$A$5:$A$1012,$W$2,'PIB-Mpal 2015-2022 Corrient '!$E$5:$E$1012,$A71)</f>
        <v>5.8674896604638471</v>
      </c>
      <c r="V71" s="88">
        <f>SUMIFS('PIB-Mpal 2015-2022 Corrient '!Y$5:Y$1012,'PIB-Mpal 2015-2022 Corrient '!$A$5:$A$1012,$W$2,'PIB-Mpal 2015-2022 Corrient '!$E$5:$E$1012,$A71)</f>
        <v>63.927461953485121</v>
      </c>
      <c r="W71" s="92">
        <f t="shared" si="14"/>
        <v>4.1630431989278125E-4</v>
      </c>
      <c r="X71" s="268">
        <f>INDEX(POBLACION!$C$4:$W$128,MATCH(A71,POBLACION!$A$4:$A$128,0),MATCH($W$2,POBLACION!$C$3:$W$3,0))</f>
        <v>5400</v>
      </c>
      <c r="Y71" s="258">
        <f t="shared" si="15"/>
        <v>10751.846720929865</v>
      </c>
      <c r="Z71" s="270">
        <f t="shared" si="16"/>
        <v>11838.418880275023</v>
      </c>
      <c r="AA71" s="273">
        <f t="shared" si="17"/>
        <v>4.0314830644217245</v>
      </c>
      <c r="AB71" s="273">
        <f t="shared" si="18"/>
        <v>4.0732937026043752</v>
      </c>
      <c r="AG71" s="281"/>
      <c r="AH71" s="282"/>
      <c r="AI71" s="282"/>
    </row>
    <row r="72" spans="1:35" x14ac:dyDescent="0.2">
      <c r="A72" s="35" t="s">
        <v>245</v>
      </c>
      <c r="B72" s="32" t="s">
        <v>221</v>
      </c>
      <c r="C72" s="33" t="s">
        <v>222</v>
      </c>
      <c r="D72" s="32" t="s">
        <v>246</v>
      </c>
      <c r="E72" s="51">
        <f>SUMIFS('PIB-Mpal 2015-2022 Corrient '!H$5:H$1012,'PIB-Mpal 2015-2022 Corrient '!$A$5:$A$1012,$W$2,'PIB-Mpal 2015-2022 Corrient '!$E$5:$E$1012,$A72)</f>
        <v>23.568298367163528</v>
      </c>
      <c r="F72" s="51">
        <f>SUMIFS('PIB-Mpal 2015-2022 Corrient '!I$5:I$1012,'PIB-Mpal 2015-2022 Corrient '!$A$5:$A$1012,$W$2,'PIB-Mpal 2015-2022 Corrient '!$E$5:$E$1012,$A72)</f>
        <v>0</v>
      </c>
      <c r="G72" s="51">
        <f>SUMIFS('PIB-Mpal 2015-2022 Corrient '!K$5:K$1012,'PIB-Mpal 2015-2022 Corrient '!$A$5:$A$1012,$W$2,'PIB-Mpal 2015-2022 Corrient '!$E$5:$E$1012,$A72)</f>
        <v>0.31663792245741607</v>
      </c>
      <c r="H72" s="51">
        <f>SUMIFS('PIB-Mpal 2015-2022 Corrient '!L$5:L$1012,'PIB-Mpal 2015-2022 Corrient '!$A$5:$A$1012,$W$2,'PIB-Mpal 2015-2022 Corrient '!$E$5:$E$1012,$A72)</f>
        <v>8.7877648282379823</v>
      </c>
      <c r="I72" s="51">
        <f>SUMIFS('PIB-Mpal 2015-2022 Corrient '!N$5:N$1012,'PIB-Mpal 2015-2022 Corrient '!$A$5:$A$1012,$W$2,'PIB-Mpal 2015-2022 Corrient '!$E$5:$E$1012,$A72)</f>
        <v>2.851498257242425</v>
      </c>
      <c r="J72" s="51">
        <f>SUMIFS('PIB-Mpal 2015-2022 Corrient '!O$5:O$1012,'PIB-Mpal 2015-2022 Corrient '!$A$5:$A$1012,$W$2,'PIB-Mpal 2015-2022 Corrient '!$E$5:$E$1012,$A72)</f>
        <v>14.698205679258683</v>
      </c>
      <c r="K72" s="51">
        <f>SUMIFS('PIB-Mpal 2015-2022 Corrient '!P$5:P$1012,'PIB-Mpal 2015-2022 Corrient '!$A$5:$A$1012,$W$2,'PIB-Mpal 2015-2022 Corrient '!$E$5:$E$1012,$A72)</f>
        <v>3.3754943049495196</v>
      </c>
      <c r="L72" s="51">
        <f>SUMIFS('PIB-Mpal 2015-2022 Corrient '!Q$5:Q$1012,'PIB-Mpal 2015-2022 Corrient '!$A$5:$A$1012,$W$2,'PIB-Mpal 2015-2022 Corrient '!$E$5:$E$1012,$A72)</f>
        <v>8.6145064594030281</v>
      </c>
      <c r="M72" s="51">
        <f>SUMIFS('PIB-Mpal 2015-2022 Corrient '!R$5:R$1012,'PIB-Mpal 2015-2022 Corrient '!$A$5:$A$1012,$W$2,'PIB-Mpal 2015-2022 Corrient '!$E$5:$E$1012,$A72)</f>
        <v>5.3906969771628086</v>
      </c>
      <c r="N72" s="51">
        <f>SUMIFS('PIB-Mpal 2015-2022 Corrient '!S$5:S$1012,'PIB-Mpal 2015-2022 Corrient '!$A$5:$A$1012,$W$2,'PIB-Mpal 2015-2022 Corrient '!$E$5:$E$1012,$A72)</f>
        <v>11.210731245385713</v>
      </c>
      <c r="O72" s="51">
        <f>SUMIFS('PIB-Mpal 2015-2022 Corrient '!T$5:T$1012,'PIB-Mpal 2015-2022 Corrient '!$A$5:$A$1012,$W$2,'PIB-Mpal 2015-2022 Corrient '!$E$5:$E$1012,$A72)</f>
        <v>22.792356440742914</v>
      </c>
      <c r="P72" s="150">
        <f>SUMIFS('PIB-Mpal 2015-2022 Corrient '!U$5:U$1012,'PIB-Mpal 2015-2022 Corrient '!$A$5:$A$1012,$W$2,'PIB-Mpal 2015-2022 Corrient '!$E$5:$E$1012,$A72)</f>
        <v>6.2928895295845422</v>
      </c>
      <c r="Q72" s="156">
        <f>SUMIFS('PIB-Mpal 2015-2022 Corrient '!J$5:J$1012,'PIB-Mpal 2015-2022 Corrient '!$A$5:$A$1012,$W$2,'PIB-Mpal 2015-2022 Corrient '!$E$5:$E$1012,$A72)</f>
        <v>23.568298367163528</v>
      </c>
      <c r="R72" s="52">
        <f>SUMIFS('PIB-Mpal 2015-2022 Corrient '!M$5:M$1012,'PIB-Mpal 2015-2022 Corrient '!$A$5:$A$1012,$W$2,'PIB-Mpal 2015-2022 Corrient '!$E$5:$E$1012,$A72)</f>
        <v>9.1044027506953977</v>
      </c>
      <c r="S72" s="53">
        <f>SUMIFS('PIB-Mpal 2015-2022 Corrient '!V$5:V$1012,'PIB-Mpal 2015-2022 Corrient '!$A$5:$A$1012,$W$2,'PIB-Mpal 2015-2022 Corrient '!$E$5:$E$1012,$A72)</f>
        <v>75.226378893729631</v>
      </c>
      <c r="T72" s="207">
        <f>SUMIFS('PIB-Mpal 2015-2022 Corrient '!W$5:W$1012,'PIB-Mpal 2015-2022 Corrient '!$A$5:$A$1012,$W$2,'PIB-Mpal 2015-2022 Corrient '!$E$5:$E$1012,$A72)</f>
        <v>107.89908001158855</v>
      </c>
      <c r="U72" s="203">
        <f>SUMIFS('PIB-Mpal 2015-2022 Corrient '!X$5:X$1012,'PIB-Mpal 2015-2022 Corrient '!$A$5:$A$1012,$W$2,'PIB-Mpal 2015-2022 Corrient '!$E$5:$E$1012,$A72)</f>
        <v>10.904185988005626</v>
      </c>
      <c r="V72" s="88">
        <f>SUMIFS('PIB-Mpal 2015-2022 Corrient '!Y$5:Y$1012,'PIB-Mpal 2015-2022 Corrient '!$A$5:$A$1012,$W$2,'PIB-Mpal 2015-2022 Corrient '!$E$5:$E$1012,$A72)</f>
        <v>118.80326599959417</v>
      </c>
      <c r="W72" s="92">
        <f t="shared" si="14"/>
        <v>7.7366301338521889E-4</v>
      </c>
      <c r="X72" s="268">
        <f>INDEX(POBLACION!$C$4:$W$128,MATCH(A72,POBLACION!$A$4:$A$128,0),MATCH($W$2,POBLACION!$C$3:$W$3,0))</f>
        <v>10040</v>
      </c>
      <c r="Y72" s="258">
        <f t="shared" si="15"/>
        <v>10746.920319879338</v>
      </c>
      <c r="Z72" s="270">
        <f t="shared" si="16"/>
        <v>11832.994621473523</v>
      </c>
      <c r="AA72" s="273">
        <f t="shared" si="17"/>
        <v>4.031284028930501</v>
      </c>
      <c r="AB72" s="273">
        <f t="shared" si="18"/>
        <v>4.0730946671131516</v>
      </c>
      <c r="AG72" s="281"/>
      <c r="AH72" s="282"/>
      <c r="AI72" s="282"/>
    </row>
    <row r="73" spans="1:35" x14ac:dyDescent="0.2">
      <c r="A73" s="35" t="s">
        <v>247</v>
      </c>
      <c r="B73" s="32" t="s">
        <v>221</v>
      </c>
      <c r="C73" s="33" t="s">
        <v>222</v>
      </c>
      <c r="D73" s="32" t="s">
        <v>248</v>
      </c>
      <c r="E73" s="51">
        <f>SUMIFS('PIB-Mpal 2015-2022 Corrient '!H$5:H$1012,'PIB-Mpal 2015-2022 Corrient '!$A$5:$A$1012,$W$2,'PIB-Mpal 2015-2022 Corrient '!$E$5:$E$1012,$A73)</f>
        <v>6.3933734713292436</v>
      </c>
      <c r="F73" s="51">
        <f>SUMIFS('PIB-Mpal 2015-2022 Corrient '!I$5:I$1012,'PIB-Mpal 2015-2022 Corrient '!$A$5:$A$1012,$W$2,'PIB-Mpal 2015-2022 Corrient '!$E$5:$E$1012,$A73)</f>
        <v>7.5868502138503047E-2</v>
      </c>
      <c r="G73" s="51">
        <f>SUMIFS('PIB-Mpal 2015-2022 Corrient '!K$5:K$1012,'PIB-Mpal 2015-2022 Corrient '!$A$5:$A$1012,$W$2,'PIB-Mpal 2015-2022 Corrient '!$E$5:$E$1012,$A73)</f>
        <v>0.15391525228350447</v>
      </c>
      <c r="H73" s="51">
        <f>SUMIFS('PIB-Mpal 2015-2022 Corrient '!L$5:L$1012,'PIB-Mpal 2015-2022 Corrient '!$A$5:$A$1012,$W$2,'PIB-Mpal 2015-2022 Corrient '!$E$5:$E$1012,$A73)</f>
        <v>3.0174157706180602</v>
      </c>
      <c r="I73" s="51">
        <f>SUMIFS('PIB-Mpal 2015-2022 Corrient '!N$5:N$1012,'PIB-Mpal 2015-2022 Corrient '!$A$5:$A$1012,$W$2,'PIB-Mpal 2015-2022 Corrient '!$E$5:$E$1012,$A73)</f>
        <v>2.8845973147946036</v>
      </c>
      <c r="J73" s="51">
        <f>SUMIFS('PIB-Mpal 2015-2022 Corrient '!O$5:O$1012,'PIB-Mpal 2015-2022 Corrient '!$A$5:$A$1012,$W$2,'PIB-Mpal 2015-2022 Corrient '!$E$5:$E$1012,$A73)</f>
        <v>6.6909179261689573</v>
      </c>
      <c r="K73" s="51">
        <f>SUMIFS('PIB-Mpal 2015-2022 Corrient '!P$5:P$1012,'PIB-Mpal 2015-2022 Corrient '!$A$5:$A$1012,$W$2,'PIB-Mpal 2015-2022 Corrient '!$E$5:$E$1012,$A73)</f>
        <v>1.4192878165591969</v>
      </c>
      <c r="L73" s="51">
        <f>SUMIFS('PIB-Mpal 2015-2022 Corrient '!Q$5:Q$1012,'PIB-Mpal 2015-2022 Corrient '!$A$5:$A$1012,$W$2,'PIB-Mpal 2015-2022 Corrient '!$E$5:$E$1012,$A73)</f>
        <v>0.33417396675035044</v>
      </c>
      <c r="M73" s="51">
        <f>SUMIFS('PIB-Mpal 2015-2022 Corrient '!R$5:R$1012,'PIB-Mpal 2015-2022 Corrient '!$A$5:$A$1012,$W$2,'PIB-Mpal 2015-2022 Corrient '!$E$5:$E$1012,$A73)</f>
        <v>3.5928953775506445</v>
      </c>
      <c r="N73" s="51">
        <f>SUMIFS('PIB-Mpal 2015-2022 Corrient '!S$5:S$1012,'PIB-Mpal 2015-2022 Corrient '!$A$5:$A$1012,$W$2,'PIB-Mpal 2015-2022 Corrient '!$E$5:$E$1012,$A73)</f>
        <v>4.3427539778602942</v>
      </c>
      <c r="O73" s="51">
        <f>SUMIFS('PIB-Mpal 2015-2022 Corrient '!T$5:T$1012,'PIB-Mpal 2015-2022 Corrient '!$A$5:$A$1012,$W$2,'PIB-Mpal 2015-2022 Corrient '!$E$5:$E$1012,$A73)</f>
        <v>7.9288094422258686</v>
      </c>
      <c r="P73" s="150">
        <f>SUMIFS('PIB-Mpal 2015-2022 Corrient '!U$5:U$1012,'PIB-Mpal 2015-2022 Corrient '!$A$5:$A$1012,$W$2,'PIB-Mpal 2015-2022 Corrient '!$E$5:$E$1012,$A73)</f>
        <v>1.6700440640139245</v>
      </c>
      <c r="Q73" s="156">
        <f>SUMIFS('PIB-Mpal 2015-2022 Corrient '!J$5:J$1012,'PIB-Mpal 2015-2022 Corrient '!$A$5:$A$1012,$W$2,'PIB-Mpal 2015-2022 Corrient '!$E$5:$E$1012,$A73)</f>
        <v>6.4692419734677467</v>
      </c>
      <c r="R73" s="52">
        <f>SUMIFS('PIB-Mpal 2015-2022 Corrient '!M$5:M$1012,'PIB-Mpal 2015-2022 Corrient '!$A$5:$A$1012,$W$2,'PIB-Mpal 2015-2022 Corrient '!$E$5:$E$1012,$A73)</f>
        <v>3.1713310229015645</v>
      </c>
      <c r="S73" s="53">
        <f>SUMIFS('PIB-Mpal 2015-2022 Corrient '!V$5:V$1012,'PIB-Mpal 2015-2022 Corrient '!$A$5:$A$1012,$W$2,'PIB-Mpal 2015-2022 Corrient '!$E$5:$E$1012,$A73)</f>
        <v>28.863479885923844</v>
      </c>
      <c r="T73" s="207">
        <f>SUMIFS('PIB-Mpal 2015-2022 Corrient '!W$5:W$1012,'PIB-Mpal 2015-2022 Corrient '!$A$5:$A$1012,$W$2,'PIB-Mpal 2015-2022 Corrient '!$E$5:$E$1012,$A73)</f>
        <v>38.504052882293152</v>
      </c>
      <c r="U73" s="203">
        <f>SUMIFS('PIB-Mpal 2015-2022 Corrient '!X$5:X$1012,'PIB-Mpal 2015-2022 Corrient '!$A$5:$A$1012,$W$2,'PIB-Mpal 2015-2022 Corrient '!$E$5:$E$1012,$A73)</f>
        <v>3.8911856697520988</v>
      </c>
      <c r="V73" s="88">
        <f>SUMIFS('PIB-Mpal 2015-2022 Corrient '!Y$5:Y$1012,'PIB-Mpal 2015-2022 Corrient '!$A$5:$A$1012,$W$2,'PIB-Mpal 2015-2022 Corrient '!$E$5:$E$1012,$A73)</f>
        <v>42.395238552045249</v>
      </c>
      <c r="W73" s="92">
        <f t="shared" si="14"/>
        <v>2.7608355490389106E-4</v>
      </c>
      <c r="X73" s="268">
        <f>INDEX(POBLACION!$C$4:$W$128,MATCH(A73,POBLACION!$A$4:$A$128,0),MATCH($W$2,POBLACION!$C$3:$W$3,0))</f>
        <v>3150</v>
      </c>
      <c r="Y73" s="258">
        <f t="shared" si="15"/>
        <v>12223.508851521636</v>
      </c>
      <c r="Z73" s="270">
        <f t="shared" si="16"/>
        <v>13458.805889538175</v>
      </c>
      <c r="AA73" s="273">
        <f t="shared" si="17"/>
        <v>4.0871958913494799</v>
      </c>
      <c r="AB73" s="273">
        <f t="shared" si="18"/>
        <v>4.1290065295321297</v>
      </c>
      <c r="AG73" s="281"/>
      <c r="AH73" s="282"/>
      <c r="AI73" s="282"/>
    </row>
    <row r="74" spans="1:35" x14ac:dyDescent="0.2">
      <c r="A74" s="35" t="s">
        <v>249</v>
      </c>
      <c r="B74" s="32" t="s">
        <v>221</v>
      </c>
      <c r="C74" s="33" t="s">
        <v>222</v>
      </c>
      <c r="D74" s="32" t="s">
        <v>250</v>
      </c>
      <c r="E74" s="51">
        <f>SUMIFS('PIB-Mpal 2015-2022 Corrient '!H$5:H$1012,'PIB-Mpal 2015-2022 Corrient '!$A$5:$A$1012,$W$2,'PIB-Mpal 2015-2022 Corrient '!$E$5:$E$1012,$A74)</f>
        <v>15.485459667122242</v>
      </c>
      <c r="F74" s="51">
        <f>SUMIFS('PIB-Mpal 2015-2022 Corrient '!I$5:I$1012,'PIB-Mpal 2015-2022 Corrient '!$A$5:$A$1012,$W$2,'PIB-Mpal 2015-2022 Corrient '!$E$5:$E$1012,$A74)</f>
        <v>0</v>
      </c>
      <c r="G74" s="51">
        <f>SUMIFS('PIB-Mpal 2015-2022 Corrient '!K$5:K$1012,'PIB-Mpal 2015-2022 Corrient '!$A$5:$A$1012,$W$2,'PIB-Mpal 2015-2022 Corrient '!$E$5:$E$1012,$A74)</f>
        <v>0.78363063067415573</v>
      </c>
      <c r="H74" s="51">
        <f>SUMIFS('PIB-Mpal 2015-2022 Corrient '!L$5:L$1012,'PIB-Mpal 2015-2022 Corrient '!$A$5:$A$1012,$W$2,'PIB-Mpal 2015-2022 Corrient '!$E$5:$E$1012,$A74)</f>
        <v>5.6079597520744224</v>
      </c>
      <c r="I74" s="51">
        <f>SUMIFS('PIB-Mpal 2015-2022 Corrient '!N$5:N$1012,'PIB-Mpal 2015-2022 Corrient '!$A$5:$A$1012,$W$2,'PIB-Mpal 2015-2022 Corrient '!$E$5:$E$1012,$A74)</f>
        <v>1.4497361352172795</v>
      </c>
      <c r="J74" s="51">
        <f>SUMIFS('PIB-Mpal 2015-2022 Corrient '!O$5:O$1012,'PIB-Mpal 2015-2022 Corrient '!$A$5:$A$1012,$W$2,'PIB-Mpal 2015-2022 Corrient '!$E$5:$E$1012,$A74)</f>
        <v>5.1805844106466914</v>
      </c>
      <c r="K74" s="51">
        <f>SUMIFS('PIB-Mpal 2015-2022 Corrient '!P$5:P$1012,'PIB-Mpal 2015-2022 Corrient '!$A$5:$A$1012,$W$2,'PIB-Mpal 2015-2022 Corrient '!$E$5:$E$1012,$A74)</f>
        <v>2.7114815557024272</v>
      </c>
      <c r="L74" s="51">
        <f>SUMIFS('PIB-Mpal 2015-2022 Corrient '!Q$5:Q$1012,'PIB-Mpal 2015-2022 Corrient '!$A$5:$A$1012,$W$2,'PIB-Mpal 2015-2022 Corrient '!$E$5:$E$1012,$A74)</f>
        <v>1.6360470526929249</v>
      </c>
      <c r="M74" s="51">
        <f>SUMIFS('PIB-Mpal 2015-2022 Corrient '!R$5:R$1012,'PIB-Mpal 2015-2022 Corrient '!$A$5:$A$1012,$W$2,'PIB-Mpal 2015-2022 Corrient '!$E$5:$E$1012,$A74)</f>
        <v>5.676691916257063</v>
      </c>
      <c r="N74" s="51">
        <f>SUMIFS('PIB-Mpal 2015-2022 Corrient '!S$5:S$1012,'PIB-Mpal 2015-2022 Corrient '!$A$5:$A$1012,$W$2,'PIB-Mpal 2015-2022 Corrient '!$E$5:$E$1012,$A74)</f>
        <v>9.9978094962198565</v>
      </c>
      <c r="O74" s="51">
        <f>SUMIFS('PIB-Mpal 2015-2022 Corrient '!T$5:T$1012,'PIB-Mpal 2015-2022 Corrient '!$A$5:$A$1012,$W$2,'PIB-Mpal 2015-2022 Corrient '!$E$5:$E$1012,$A74)</f>
        <v>26.736409052848888</v>
      </c>
      <c r="P74" s="150">
        <f>SUMIFS('PIB-Mpal 2015-2022 Corrient '!U$5:U$1012,'PIB-Mpal 2015-2022 Corrient '!$A$5:$A$1012,$W$2,'PIB-Mpal 2015-2022 Corrient '!$E$5:$E$1012,$A74)</f>
        <v>2.3403655022750129</v>
      </c>
      <c r="Q74" s="156">
        <f>SUMIFS('PIB-Mpal 2015-2022 Corrient '!J$5:J$1012,'PIB-Mpal 2015-2022 Corrient '!$A$5:$A$1012,$W$2,'PIB-Mpal 2015-2022 Corrient '!$E$5:$E$1012,$A74)</f>
        <v>15.485459667122242</v>
      </c>
      <c r="R74" s="52">
        <f>SUMIFS('PIB-Mpal 2015-2022 Corrient '!M$5:M$1012,'PIB-Mpal 2015-2022 Corrient '!$A$5:$A$1012,$W$2,'PIB-Mpal 2015-2022 Corrient '!$E$5:$E$1012,$A74)</f>
        <v>6.3915903827485785</v>
      </c>
      <c r="S74" s="53">
        <f>SUMIFS('PIB-Mpal 2015-2022 Corrient '!V$5:V$1012,'PIB-Mpal 2015-2022 Corrient '!$A$5:$A$1012,$W$2,'PIB-Mpal 2015-2022 Corrient '!$E$5:$E$1012,$A74)</f>
        <v>55.729125121860143</v>
      </c>
      <c r="T74" s="207">
        <f>SUMIFS('PIB-Mpal 2015-2022 Corrient '!W$5:W$1012,'PIB-Mpal 2015-2022 Corrient '!$A$5:$A$1012,$W$2,'PIB-Mpal 2015-2022 Corrient '!$E$5:$E$1012,$A74)</f>
        <v>77.606175171730968</v>
      </c>
      <c r="U74" s="203">
        <f>SUMIFS('PIB-Mpal 2015-2022 Corrient '!X$5:X$1012,'PIB-Mpal 2015-2022 Corrient '!$A$5:$A$1012,$W$2,'PIB-Mpal 2015-2022 Corrient '!$E$5:$E$1012,$A74)</f>
        <v>7.8428117070081766</v>
      </c>
      <c r="V74" s="88">
        <f>SUMIFS('PIB-Mpal 2015-2022 Corrient '!Y$5:Y$1012,'PIB-Mpal 2015-2022 Corrient '!$A$5:$A$1012,$W$2,'PIB-Mpal 2015-2022 Corrient '!$E$5:$E$1012,$A74)</f>
        <v>85.448986878739149</v>
      </c>
      <c r="W74" s="92">
        <f t="shared" si="14"/>
        <v>5.5645541495084134E-4</v>
      </c>
      <c r="X74" s="268">
        <f>INDEX(POBLACION!$C$4:$W$128,MATCH(A74,POBLACION!$A$4:$A$128,0),MATCH($W$2,POBLACION!$C$3:$W$3,0))</f>
        <v>8186</v>
      </c>
      <c r="Y74" s="258">
        <f t="shared" si="15"/>
        <v>9480.3536735561902</v>
      </c>
      <c r="Z74" s="270">
        <f t="shared" si="16"/>
        <v>10438.429865470212</v>
      </c>
      <c r="AA74" s="273">
        <f t="shared" si="17"/>
        <v>3.9768245394064992</v>
      </c>
      <c r="AB74" s="273">
        <f t="shared" si="18"/>
        <v>4.0186351775891493</v>
      </c>
      <c r="AG74" s="281"/>
      <c r="AH74" s="282"/>
      <c r="AI74" s="282"/>
    </row>
    <row r="75" spans="1:35" x14ac:dyDescent="0.2">
      <c r="A75" s="35" t="s">
        <v>251</v>
      </c>
      <c r="B75" s="32" t="s">
        <v>221</v>
      </c>
      <c r="C75" s="33" t="s">
        <v>145</v>
      </c>
      <c r="D75" s="32" t="s">
        <v>252</v>
      </c>
      <c r="E75" s="51">
        <f>SUMIFS('PIB-Mpal 2015-2022 Corrient '!H$5:H$1012,'PIB-Mpal 2015-2022 Corrient '!$A$5:$A$1012,$W$2,'PIB-Mpal 2015-2022 Corrient '!$E$5:$E$1012,$A75)</f>
        <v>15.671247867194737</v>
      </c>
      <c r="F75" s="51">
        <f>SUMIFS('PIB-Mpal 2015-2022 Corrient '!I$5:I$1012,'PIB-Mpal 2015-2022 Corrient '!$A$5:$A$1012,$W$2,'PIB-Mpal 2015-2022 Corrient '!$E$5:$E$1012,$A75)</f>
        <v>0</v>
      </c>
      <c r="G75" s="51">
        <f>SUMIFS('PIB-Mpal 2015-2022 Corrient '!K$5:K$1012,'PIB-Mpal 2015-2022 Corrient '!$A$5:$A$1012,$W$2,'PIB-Mpal 2015-2022 Corrient '!$E$5:$E$1012,$A75)</f>
        <v>5.1980795944319009</v>
      </c>
      <c r="H75" s="51">
        <f>SUMIFS('PIB-Mpal 2015-2022 Corrient '!L$5:L$1012,'PIB-Mpal 2015-2022 Corrient '!$A$5:$A$1012,$W$2,'PIB-Mpal 2015-2022 Corrient '!$E$5:$E$1012,$A75)</f>
        <v>2.0983439314521384</v>
      </c>
      <c r="I75" s="51">
        <f>SUMIFS('PIB-Mpal 2015-2022 Corrient '!N$5:N$1012,'PIB-Mpal 2015-2022 Corrient '!$A$5:$A$1012,$W$2,'PIB-Mpal 2015-2022 Corrient '!$E$5:$E$1012,$A75)</f>
        <v>3.0444878212952773</v>
      </c>
      <c r="J75" s="51">
        <f>SUMIFS('PIB-Mpal 2015-2022 Corrient '!O$5:O$1012,'PIB-Mpal 2015-2022 Corrient '!$A$5:$A$1012,$W$2,'PIB-Mpal 2015-2022 Corrient '!$E$5:$E$1012,$A75)</f>
        <v>8.7770156391096315</v>
      </c>
      <c r="K75" s="51">
        <f>SUMIFS('PIB-Mpal 2015-2022 Corrient '!P$5:P$1012,'PIB-Mpal 2015-2022 Corrient '!$A$5:$A$1012,$W$2,'PIB-Mpal 2015-2022 Corrient '!$E$5:$E$1012,$A75)</f>
        <v>3.4135502251963592</v>
      </c>
      <c r="L75" s="51">
        <f>SUMIFS('PIB-Mpal 2015-2022 Corrient '!Q$5:Q$1012,'PIB-Mpal 2015-2022 Corrient '!$A$5:$A$1012,$W$2,'PIB-Mpal 2015-2022 Corrient '!$E$5:$E$1012,$A75)</f>
        <v>1.932335104789731</v>
      </c>
      <c r="M75" s="51">
        <f>SUMIFS('PIB-Mpal 2015-2022 Corrient '!R$5:R$1012,'PIB-Mpal 2015-2022 Corrient '!$A$5:$A$1012,$W$2,'PIB-Mpal 2015-2022 Corrient '!$E$5:$E$1012,$A75)</f>
        <v>7.6111707326549185</v>
      </c>
      <c r="N75" s="51">
        <f>SUMIFS('PIB-Mpal 2015-2022 Corrient '!S$5:S$1012,'PIB-Mpal 2015-2022 Corrient '!$A$5:$A$1012,$W$2,'PIB-Mpal 2015-2022 Corrient '!$E$5:$E$1012,$A75)</f>
        <v>9.4832385742357381</v>
      </c>
      <c r="O75" s="51">
        <f>SUMIFS('PIB-Mpal 2015-2022 Corrient '!T$5:T$1012,'PIB-Mpal 2015-2022 Corrient '!$A$5:$A$1012,$W$2,'PIB-Mpal 2015-2022 Corrient '!$E$5:$E$1012,$A75)</f>
        <v>26.028270304805002</v>
      </c>
      <c r="P75" s="150">
        <f>SUMIFS('PIB-Mpal 2015-2022 Corrient '!U$5:U$1012,'PIB-Mpal 2015-2022 Corrient '!$A$5:$A$1012,$W$2,'PIB-Mpal 2015-2022 Corrient '!$E$5:$E$1012,$A75)</f>
        <v>2.6601473427011966</v>
      </c>
      <c r="Q75" s="156">
        <f>SUMIFS('PIB-Mpal 2015-2022 Corrient '!J$5:J$1012,'PIB-Mpal 2015-2022 Corrient '!$A$5:$A$1012,$W$2,'PIB-Mpal 2015-2022 Corrient '!$E$5:$E$1012,$A75)</f>
        <v>15.671247867194737</v>
      </c>
      <c r="R75" s="52">
        <f>SUMIFS('PIB-Mpal 2015-2022 Corrient '!M$5:M$1012,'PIB-Mpal 2015-2022 Corrient '!$A$5:$A$1012,$W$2,'PIB-Mpal 2015-2022 Corrient '!$E$5:$E$1012,$A75)</f>
        <v>7.2964235258840393</v>
      </c>
      <c r="S75" s="53">
        <f>SUMIFS('PIB-Mpal 2015-2022 Corrient '!V$5:V$1012,'PIB-Mpal 2015-2022 Corrient '!$A$5:$A$1012,$W$2,'PIB-Mpal 2015-2022 Corrient '!$E$5:$E$1012,$A75)</f>
        <v>62.950215744787855</v>
      </c>
      <c r="T75" s="207">
        <f>SUMIFS('PIB-Mpal 2015-2022 Corrient '!W$5:W$1012,'PIB-Mpal 2015-2022 Corrient '!$A$5:$A$1012,$W$2,'PIB-Mpal 2015-2022 Corrient '!$E$5:$E$1012,$A75)</f>
        <v>85.917887137866629</v>
      </c>
      <c r="U75" s="203">
        <f>SUMIFS('PIB-Mpal 2015-2022 Corrient '!X$5:X$1012,'PIB-Mpal 2015-2022 Corrient '!$A$5:$A$1012,$W$2,'PIB-Mpal 2015-2022 Corrient '!$E$5:$E$1012,$A75)</f>
        <v>8.6827859973148307</v>
      </c>
      <c r="V75" s="88">
        <f>SUMIFS('PIB-Mpal 2015-2022 Corrient '!Y$5:Y$1012,'PIB-Mpal 2015-2022 Corrient '!$A$5:$A$1012,$W$2,'PIB-Mpal 2015-2022 Corrient '!$E$5:$E$1012,$A75)</f>
        <v>94.600673135181466</v>
      </c>
      <c r="W75" s="92">
        <f t="shared" si="14"/>
        <v>6.1605243955401554E-4</v>
      </c>
      <c r="X75" s="268">
        <f>INDEX(POBLACION!$C$4:$W$128,MATCH(A75,POBLACION!$A$4:$A$128,0),MATCH($W$2,POBLACION!$C$3:$W$3,0))</f>
        <v>9155</v>
      </c>
      <c r="Y75" s="258">
        <f t="shared" si="15"/>
        <v>9384.8047119461098</v>
      </c>
      <c r="Z75" s="270">
        <f t="shared" si="16"/>
        <v>10333.224809959745</v>
      </c>
      <c r="AA75" s="273">
        <f t="shared" si="17"/>
        <v>3.972425239833592</v>
      </c>
      <c r="AB75" s="273">
        <f t="shared" si="18"/>
        <v>4.0142358780162422</v>
      </c>
      <c r="AG75" s="281"/>
      <c r="AH75" s="282"/>
      <c r="AI75" s="282"/>
    </row>
    <row r="76" spans="1:35" x14ac:dyDescent="0.2">
      <c r="A76" s="35" t="s">
        <v>253</v>
      </c>
      <c r="B76" s="32" t="s">
        <v>221</v>
      </c>
      <c r="C76" s="33" t="s">
        <v>222</v>
      </c>
      <c r="D76" s="32" t="s">
        <v>254</v>
      </c>
      <c r="E76" s="51">
        <f>SUMIFS('PIB-Mpal 2015-2022 Corrient '!H$5:H$1012,'PIB-Mpal 2015-2022 Corrient '!$A$5:$A$1012,$W$2,'PIB-Mpal 2015-2022 Corrient '!$E$5:$E$1012,$A76)</f>
        <v>15.821460019032418</v>
      </c>
      <c r="F76" s="51">
        <f>SUMIFS('PIB-Mpal 2015-2022 Corrient '!I$5:I$1012,'PIB-Mpal 2015-2022 Corrient '!$A$5:$A$1012,$W$2,'PIB-Mpal 2015-2022 Corrient '!$E$5:$E$1012,$A76)</f>
        <v>0</v>
      </c>
      <c r="G76" s="51">
        <f>SUMIFS('PIB-Mpal 2015-2022 Corrient '!K$5:K$1012,'PIB-Mpal 2015-2022 Corrient '!$A$5:$A$1012,$W$2,'PIB-Mpal 2015-2022 Corrient '!$E$5:$E$1012,$A76)</f>
        <v>1.9701416704631884</v>
      </c>
      <c r="H76" s="51">
        <f>SUMIFS('PIB-Mpal 2015-2022 Corrient '!L$5:L$1012,'PIB-Mpal 2015-2022 Corrient '!$A$5:$A$1012,$W$2,'PIB-Mpal 2015-2022 Corrient '!$E$5:$E$1012,$A76)</f>
        <v>15.574458368672907</v>
      </c>
      <c r="I76" s="51">
        <f>SUMIFS('PIB-Mpal 2015-2022 Corrient '!N$5:N$1012,'PIB-Mpal 2015-2022 Corrient '!$A$5:$A$1012,$W$2,'PIB-Mpal 2015-2022 Corrient '!$E$5:$E$1012,$A76)</f>
        <v>12.671968158556925</v>
      </c>
      <c r="J76" s="51">
        <f>SUMIFS('PIB-Mpal 2015-2022 Corrient '!O$5:O$1012,'PIB-Mpal 2015-2022 Corrient '!$A$5:$A$1012,$W$2,'PIB-Mpal 2015-2022 Corrient '!$E$5:$E$1012,$A76)</f>
        <v>60.086233697918686</v>
      </c>
      <c r="K76" s="51">
        <f>SUMIFS('PIB-Mpal 2015-2022 Corrient '!P$5:P$1012,'PIB-Mpal 2015-2022 Corrient '!$A$5:$A$1012,$W$2,'PIB-Mpal 2015-2022 Corrient '!$E$5:$E$1012,$A76)</f>
        <v>6.6622922583222435</v>
      </c>
      <c r="L76" s="51">
        <f>SUMIFS('PIB-Mpal 2015-2022 Corrient '!Q$5:Q$1012,'PIB-Mpal 2015-2022 Corrient '!$A$5:$A$1012,$W$2,'PIB-Mpal 2015-2022 Corrient '!$E$5:$E$1012,$A76)</f>
        <v>3.1667101335119368</v>
      </c>
      <c r="M76" s="51">
        <f>SUMIFS('PIB-Mpal 2015-2022 Corrient '!R$5:R$1012,'PIB-Mpal 2015-2022 Corrient '!$A$5:$A$1012,$W$2,'PIB-Mpal 2015-2022 Corrient '!$E$5:$E$1012,$A76)</f>
        <v>31.918828747317257</v>
      </c>
      <c r="N76" s="51">
        <f>SUMIFS('PIB-Mpal 2015-2022 Corrient '!S$5:S$1012,'PIB-Mpal 2015-2022 Corrient '!$A$5:$A$1012,$W$2,'PIB-Mpal 2015-2022 Corrient '!$E$5:$E$1012,$A76)</f>
        <v>23.311324012838281</v>
      </c>
      <c r="O76" s="51">
        <f>SUMIFS('PIB-Mpal 2015-2022 Corrient '!T$5:T$1012,'PIB-Mpal 2015-2022 Corrient '!$A$5:$A$1012,$W$2,'PIB-Mpal 2015-2022 Corrient '!$E$5:$E$1012,$A76)</f>
        <v>34.288495102590765</v>
      </c>
      <c r="P76" s="150">
        <f>SUMIFS('PIB-Mpal 2015-2022 Corrient '!U$5:U$1012,'PIB-Mpal 2015-2022 Corrient '!$A$5:$A$1012,$W$2,'PIB-Mpal 2015-2022 Corrient '!$E$5:$E$1012,$A76)</f>
        <v>6.7020603087468835</v>
      </c>
      <c r="Q76" s="156">
        <f>SUMIFS('PIB-Mpal 2015-2022 Corrient '!J$5:J$1012,'PIB-Mpal 2015-2022 Corrient '!$A$5:$A$1012,$W$2,'PIB-Mpal 2015-2022 Corrient '!$E$5:$E$1012,$A76)</f>
        <v>15.821460019032418</v>
      </c>
      <c r="R76" s="52">
        <f>SUMIFS('PIB-Mpal 2015-2022 Corrient '!M$5:M$1012,'PIB-Mpal 2015-2022 Corrient '!$A$5:$A$1012,$W$2,'PIB-Mpal 2015-2022 Corrient '!$E$5:$E$1012,$A76)</f>
        <v>17.544600039136096</v>
      </c>
      <c r="S76" s="53">
        <f>SUMIFS('PIB-Mpal 2015-2022 Corrient '!V$5:V$1012,'PIB-Mpal 2015-2022 Corrient '!$A$5:$A$1012,$W$2,'PIB-Mpal 2015-2022 Corrient '!$E$5:$E$1012,$A76)</f>
        <v>178.80791241980296</v>
      </c>
      <c r="T76" s="207">
        <f>SUMIFS('PIB-Mpal 2015-2022 Corrient '!W$5:W$1012,'PIB-Mpal 2015-2022 Corrient '!$A$5:$A$1012,$W$2,'PIB-Mpal 2015-2022 Corrient '!$E$5:$E$1012,$A76)</f>
        <v>212.17397247797149</v>
      </c>
      <c r="U76" s="203">
        <f>SUMIFS('PIB-Mpal 2015-2022 Corrient '!X$5:X$1012,'PIB-Mpal 2015-2022 Corrient '!$A$5:$A$1012,$W$2,'PIB-Mpal 2015-2022 Corrient '!$E$5:$E$1012,$A76)</f>
        <v>21.442114774892467</v>
      </c>
      <c r="V76" s="88">
        <f>SUMIFS('PIB-Mpal 2015-2022 Corrient '!Y$5:Y$1012,'PIB-Mpal 2015-2022 Corrient '!$A$5:$A$1012,$W$2,'PIB-Mpal 2015-2022 Corrient '!$E$5:$E$1012,$A76)</f>
        <v>233.61608725286396</v>
      </c>
      <c r="W76" s="92">
        <f t="shared" si="14"/>
        <v>1.5213397082865748E-3</v>
      </c>
      <c r="X76" s="268">
        <f>INDEX(POBLACION!$C$4:$W$128,MATCH(A76,POBLACION!$A$4:$A$128,0),MATCH($W$2,POBLACION!$C$3:$W$3,0))</f>
        <v>15710</v>
      </c>
      <c r="Y76" s="258">
        <f t="shared" si="15"/>
        <v>13505.663429533512</v>
      </c>
      <c r="Z76" s="270">
        <f t="shared" si="16"/>
        <v>14870.533879876764</v>
      </c>
      <c r="AA76" s="273">
        <f t="shared" si="17"/>
        <v>4.1305159226003871</v>
      </c>
      <c r="AB76" s="273">
        <f t="shared" si="18"/>
        <v>4.1723265607830369</v>
      </c>
      <c r="AG76" s="281"/>
      <c r="AH76" s="282"/>
      <c r="AI76" s="282"/>
    </row>
    <row r="77" spans="1:35" x14ac:dyDescent="0.2">
      <c r="A77" s="35" t="s">
        <v>255</v>
      </c>
      <c r="B77" s="32" t="s">
        <v>221</v>
      </c>
      <c r="C77" s="33" t="s">
        <v>145</v>
      </c>
      <c r="D77" s="32" t="s">
        <v>256</v>
      </c>
      <c r="E77" s="51">
        <f>SUMIFS('PIB-Mpal 2015-2022 Corrient '!H$5:H$1012,'PIB-Mpal 2015-2022 Corrient '!$A$5:$A$1012,$W$2,'PIB-Mpal 2015-2022 Corrient '!$E$5:$E$1012,$A77)</f>
        <v>89.679175518850769</v>
      </c>
      <c r="F77" s="51">
        <f>SUMIFS('PIB-Mpal 2015-2022 Corrient '!I$5:I$1012,'PIB-Mpal 2015-2022 Corrient '!$A$5:$A$1012,$W$2,'PIB-Mpal 2015-2022 Corrient '!$E$5:$E$1012,$A77)</f>
        <v>2.4791684965514662</v>
      </c>
      <c r="G77" s="51">
        <f>SUMIFS('PIB-Mpal 2015-2022 Corrient '!K$5:K$1012,'PIB-Mpal 2015-2022 Corrient '!$A$5:$A$1012,$W$2,'PIB-Mpal 2015-2022 Corrient '!$E$5:$E$1012,$A77)</f>
        <v>6.9159010580918476</v>
      </c>
      <c r="H77" s="51">
        <f>SUMIFS('PIB-Mpal 2015-2022 Corrient '!L$5:L$1012,'PIB-Mpal 2015-2022 Corrient '!$A$5:$A$1012,$W$2,'PIB-Mpal 2015-2022 Corrient '!$E$5:$E$1012,$A77)</f>
        <v>25.913220041736842</v>
      </c>
      <c r="I77" s="51">
        <f>SUMIFS('PIB-Mpal 2015-2022 Corrient '!N$5:N$1012,'PIB-Mpal 2015-2022 Corrient '!$A$5:$A$1012,$W$2,'PIB-Mpal 2015-2022 Corrient '!$E$5:$E$1012,$A77)</f>
        <v>19.137025068694317</v>
      </c>
      <c r="J77" s="51">
        <f>SUMIFS('PIB-Mpal 2015-2022 Corrient '!O$5:O$1012,'PIB-Mpal 2015-2022 Corrient '!$A$5:$A$1012,$W$2,'PIB-Mpal 2015-2022 Corrient '!$E$5:$E$1012,$A77)</f>
        <v>84.457185397287816</v>
      </c>
      <c r="K77" s="51">
        <f>SUMIFS('PIB-Mpal 2015-2022 Corrient '!P$5:P$1012,'PIB-Mpal 2015-2022 Corrient '!$A$5:$A$1012,$W$2,'PIB-Mpal 2015-2022 Corrient '!$E$5:$E$1012,$A77)</f>
        <v>10.183320406941645</v>
      </c>
      <c r="L77" s="51">
        <f>SUMIFS('PIB-Mpal 2015-2022 Corrient '!Q$5:Q$1012,'PIB-Mpal 2015-2022 Corrient '!$A$5:$A$1012,$W$2,'PIB-Mpal 2015-2022 Corrient '!$E$5:$E$1012,$A77)</f>
        <v>10.269687470500424</v>
      </c>
      <c r="M77" s="51">
        <f>SUMIFS('PIB-Mpal 2015-2022 Corrient '!R$5:R$1012,'PIB-Mpal 2015-2022 Corrient '!$A$5:$A$1012,$W$2,'PIB-Mpal 2015-2022 Corrient '!$E$5:$E$1012,$A77)</f>
        <v>30.708492473114099</v>
      </c>
      <c r="N77" s="51">
        <f>SUMIFS('PIB-Mpal 2015-2022 Corrient '!S$5:S$1012,'PIB-Mpal 2015-2022 Corrient '!$A$5:$A$1012,$W$2,'PIB-Mpal 2015-2022 Corrient '!$E$5:$E$1012,$A77)</f>
        <v>37.440485248178121</v>
      </c>
      <c r="O77" s="51">
        <f>SUMIFS('PIB-Mpal 2015-2022 Corrient '!T$5:T$1012,'PIB-Mpal 2015-2022 Corrient '!$A$5:$A$1012,$W$2,'PIB-Mpal 2015-2022 Corrient '!$E$5:$E$1012,$A77)</f>
        <v>78.711835569320527</v>
      </c>
      <c r="P77" s="150">
        <f>SUMIFS('PIB-Mpal 2015-2022 Corrient '!U$5:U$1012,'PIB-Mpal 2015-2022 Corrient '!$A$5:$A$1012,$W$2,'PIB-Mpal 2015-2022 Corrient '!$E$5:$E$1012,$A77)</f>
        <v>10.189818353344473</v>
      </c>
      <c r="Q77" s="156">
        <f>SUMIFS('PIB-Mpal 2015-2022 Corrient '!J$5:J$1012,'PIB-Mpal 2015-2022 Corrient '!$A$5:$A$1012,$W$2,'PIB-Mpal 2015-2022 Corrient '!$E$5:$E$1012,$A77)</f>
        <v>92.158344015402236</v>
      </c>
      <c r="R77" s="52">
        <f>SUMIFS('PIB-Mpal 2015-2022 Corrient '!M$5:M$1012,'PIB-Mpal 2015-2022 Corrient '!$A$5:$A$1012,$W$2,'PIB-Mpal 2015-2022 Corrient '!$E$5:$E$1012,$A77)</f>
        <v>32.82912109982869</v>
      </c>
      <c r="S77" s="53">
        <f>SUMIFS('PIB-Mpal 2015-2022 Corrient '!V$5:V$1012,'PIB-Mpal 2015-2022 Corrient '!$A$5:$A$1012,$W$2,'PIB-Mpal 2015-2022 Corrient '!$E$5:$E$1012,$A77)</f>
        <v>281.09784998738149</v>
      </c>
      <c r="T77" s="207">
        <f>SUMIFS('PIB-Mpal 2015-2022 Corrient '!W$5:W$1012,'PIB-Mpal 2015-2022 Corrient '!$A$5:$A$1012,$W$2,'PIB-Mpal 2015-2022 Corrient '!$E$5:$E$1012,$A77)</f>
        <v>406.08531510261241</v>
      </c>
      <c r="U77" s="203">
        <f>SUMIFS('PIB-Mpal 2015-2022 Corrient '!X$5:X$1012,'PIB-Mpal 2015-2022 Corrient '!$A$5:$A$1012,$W$2,'PIB-Mpal 2015-2022 Corrient '!$E$5:$E$1012,$A77)</f>
        <v>41.03862426260887</v>
      </c>
      <c r="V77" s="88">
        <f>SUMIFS('PIB-Mpal 2015-2022 Corrient '!Y$5:Y$1012,'PIB-Mpal 2015-2022 Corrient '!$A$5:$A$1012,$W$2,'PIB-Mpal 2015-2022 Corrient '!$E$5:$E$1012,$A77)</f>
        <v>447.1239393652213</v>
      </c>
      <c r="W77" s="92">
        <f t="shared" si="14"/>
        <v>2.911731856657448E-3</v>
      </c>
      <c r="X77" s="268">
        <f>INDEX(POBLACION!$C$4:$W$128,MATCH(A77,POBLACION!$A$4:$A$128,0),MATCH($W$2,POBLACION!$C$3:$W$3,0))</f>
        <v>26598</v>
      </c>
      <c r="Y77" s="258">
        <f t="shared" si="15"/>
        <v>15267.513162742027</v>
      </c>
      <c r="Z77" s="270">
        <f t="shared" si="16"/>
        <v>16810.434595278643</v>
      </c>
      <c r="AA77" s="273">
        <f t="shared" si="17"/>
        <v>4.1837683030909432</v>
      </c>
      <c r="AB77" s="273">
        <f t="shared" si="18"/>
        <v>4.2255789412735938</v>
      </c>
      <c r="AG77" s="281"/>
      <c r="AH77" s="282"/>
      <c r="AI77" s="282"/>
    </row>
    <row r="78" spans="1:35" x14ac:dyDescent="0.2">
      <c r="A78" s="35" t="s">
        <v>257</v>
      </c>
      <c r="B78" s="32" t="s">
        <v>221</v>
      </c>
      <c r="C78" s="33" t="s">
        <v>145</v>
      </c>
      <c r="D78" s="32" t="s">
        <v>258</v>
      </c>
      <c r="E78" s="51">
        <f>SUMIFS('PIB-Mpal 2015-2022 Corrient '!H$5:H$1012,'PIB-Mpal 2015-2022 Corrient '!$A$5:$A$1012,$W$2,'PIB-Mpal 2015-2022 Corrient '!$E$5:$E$1012,$A78)</f>
        <v>20.036013398210734</v>
      </c>
      <c r="F78" s="51">
        <f>SUMIFS('PIB-Mpal 2015-2022 Corrient '!I$5:I$1012,'PIB-Mpal 2015-2022 Corrient '!$A$5:$A$1012,$W$2,'PIB-Mpal 2015-2022 Corrient '!$E$5:$E$1012,$A78)</f>
        <v>0.23971695061000631</v>
      </c>
      <c r="G78" s="51">
        <f>SUMIFS('PIB-Mpal 2015-2022 Corrient '!K$5:K$1012,'PIB-Mpal 2015-2022 Corrient '!$A$5:$A$1012,$W$2,'PIB-Mpal 2015-2022 Corrient '!$E$5:$E$1012,$A78)</f>
        <v>1.0583137285983333</v>
      </c>
      <c r="H78" s="51">
        <f>SUMIFS('PIB-Mpal 2015-2022 Corrient '!L$5:L$1012,'PIB-Mpal 2015-2022 Corrient '!$A$5:$A$1012,$W$2,'PIB-Mpal 2015-2022 Corrient '!$E$5:$E$1012,$A78)</f>
        <v>13.848024307960056</v>
      </c>
      <c r="I78" s="51">
        <f>SUMIFS('PIB-Mpal 2015-2022 Corrient '!N$5:N$1012,'PIB-Mpal 2015-2022 Corrient '!$A$5:$A$1012,$W$2,'PIB-Mpal 2015-2022 Corrient '!$E$5:$E$1012,$A78)</f>
        <v>8.8370089078393548</v>
      </c>
      <c r="J78" s="51">
        <f>SUMIFS('PIB-Mpal 2015-2022 Corrient '!O$5:O$1012,'PIB-Mpal 2015-2022 Corrient '!$A$5:$A$1012,$W$2,'PIB-Mpal 2015-2022 Corrient '!$E$5:$E$1012,$A78)</f>
        <v>37.216420767324983</v>
      </c>
      <c r="K78" s="51">
        <f>SUMIFS('PIB-Mpal 2015-2022 Corrient '!P$5:P$1012,'PIB-Mpal 2015-2022 Corrient '!$A$5:$A$1012,$W$2,'PIB-Mpal 2015-2022 Corrient '!$E$5:$E$1012,$A78)</f>
        <v>6.380413198780813</v>
      </c>
      <c r="L78" s="51">
        <f>SUMIFS('PIB-Mpal 2015-2022 Corrient '!Q$5:Q$1012,'PIB-Mpal 2015-2022 Corrient '!$A$5:$A$1012,$W$2,'PIB-Mpal 2015-2022 Corrient '!$E$5:$E$1012,$A78)</f>
        <v>3.2632819128688264</v>
      </c>
      <c r="M78" s="51">
        <f>SUMIFS('PIB-Mpal 2015-2022 Corrient '!R$5:R$1012,'PIB-Mpal 2015-2022 Corrient '!$A$5:$A$1012,$W$2,'PIB-Mpal 2015-2022 Corrient '!$E$5:$E$1012,$A78)</f>
        <v>20.470716761778231</v>
      </c>
      <c r="N78" s="51">
        <f>SUMIFS('PIB-Mpal 2015-2022 Corrient '!S$5:S$1012,'PIB-Mpal 2015-2022 Corrient '!$A$5:$A$1012,$W$2,'PIB-Mpal 2015-2022 Corrient '!$E$5:$E$1012,$A78)</f>
        <v>21.326420395932328</v>
      </c>
      <c r="O78" s="51">
        <f>SUMIFS('PIB-Mpal 2015-2022 Corrient '!T$5:T$1012,'PIB-Mpal 2015-2022 Corrient '!$A$5:$A$1012,$W$2,'PIB-Mpal 2015-2022 Corrient '!$E$5:$E$1012,$A78)</f>
        <v>37.08725907513255</v>
      </c>
      <c r="P78" s="150">
        <f>SUMIFS('PIB-Mpal 2015-2022 Corrient '!U$5:U$1012,'PIB-Mpal 2015-2022 Corrient '!$A$5:$A$1012,$W$2,'PIB-Mpal 2015-2022 Corrient '!$E$5:$E$1012,$A78)</f>
        <v>7.4405793718308963</v>
      </c>
      <c r="Q78" s="156">
        <f>SUMIFS('PIB-Mpal 2015-2022 Corrient '!J$5:J$1012,'PIB-Mpal 2015-2022 Corrient '!$A$5:$A$1012,$W$2,'PIB-Mpal 2015-2022 Corrient '!$E$5:$E$1012,$A78)</f>
        <v>20.275730348820741</v>
      </c>
      <c r="R78" s="52">
        <f>SUMIFS('PIB-Mpal 2015-2022 Corrient '!M$5:M$1012,'PIB-Mpal 2015-2022 Corrient '!$A$5:$A$1012,$W$2,'PIB-Mpal 2015-2022 Corrient '!$E$5:$E$1012,$A78)</f>
        <v>14.90633803655839</v>
      </c>
      <c r="S78" s="53">
        <f>SUMIFS('PIB-Mpal 2015-2022 Corrient '!V$5:V$1012,'PIB-Mpal 2015-2022 Corrient '!$A$5:$A$1012,$W$2,'PIB-Mpal 2015-2022 Corrient '!$E$5:$E$1012,$A78)</f>
        <v>142.02210039148798</v>
      </c>
      <c r="T78" s="207">
        <f>SUMIFS('PIB-Mpal 2015-2022 Corrient '!W$5:W$1012,'PIB-Mpal 2015-2022 Corrient '!$A$5:$A$1012,$W$2,'PIB-Mpal 2015-2022 Corrient '!$E$5:$E$1012,$A78)</f>
        <v>177.20416877686711</v>
      </c>
      <c r="U78" s="203">
        <f>SUMIFS('PIB-Mpal 2015-2022 Corrient '!X$5:X$1012,'PIB-Mpal 2015-2022 Corrient '!$A$5:$A$1012,$W$2,'PIB-Mpal 2015-2022 Corrient '!$E$5:$E$1012,$A78)</f>
        <v>17.908097214409693</v>
      </c>
      <c r="V78" s="88">
        <f>SUMIFS('PIB-Mpal 2015-2022 Corrient '!Y$5:Y$1012,'PIB-Mpal 2015-2022 Corrient '!$A$5:$A$1012,$W$2,'PIB-Mpal 2015-2022 Corrient '!$E$5:$E$1012,$A78)</f>
        <v>195.11226599127679</v>
      </c>
      <c r="W78" s="92">
        <f t="shared" si="14"/>
        <v>1.2705975916162541E-3</v>
      </c>
      <c r="X78" s="268">
        <f>INDEX(POBLACION!$C$4:$W$128,MATCH(A78,POBLACION!$A$4:$A$128,0),MATCH($W$2,POBLACION!$C$3:$W$3,0))</f>
        <v>15293</v>
      </c>
      <c r="Y78" s="258">
        <f t="shared" si="15"/>
        <v>11587.27318229694</v>
      </c>
      <c r="Z78" s="270">
        <f t="shared" si="16"/>
        <v>12758.272803980695</v>
      </c>
      <c r="AA78" s="273">
        <f t="shared" si="17"/>
        <v>4.0639812460400666</v>
      </c>
      <c r="AB78" s="273">
        <f t="shared" si="18"/>
        <v>4.1057918842227172</v>
      </c>
      <c r="AG78" s="281"/>
      <c r="AH78" s="282"/>
      <c r="AI78" s="282"/>
    </row>
    <row r="79" spans="1:35" ht="16" thickBot="1" x14ac:dyDescent="0.25">
      <c r="A79" s="120" t="s">
        <v>259</v>
      </c>
      <c r="B79" s="63" t="s">
        <v>221</v>
      </c>
      <c r="C79" s="62" t="s">
        <v>222</v>
      </c>
      <c r="D79" s="63" t="s">
        <v>260</v>
      </c>
      <c r="E79" s="51">
        <f>SUMIFS('PIB-Mpal 2015-2022 Corrient '!H$5:H$1012,'PIB-Mpal 2015-2022 Corrient '!$A$5:$A$1012,$W$2,'PIB-Mpal 2015-2022 Corrient '!$E$5:$E$1012,$A79)</f>
        <v>35.656632908223933</v>
      </c>
      <c r="F79" s="51">
        <f>SUMIFS('PIB-Mpal 2015-2022 Corrient '!I$5:I$1012,'PIB-Mpal 2015-2022 Corrient '!$A$5:$A$1012,$W$2,'PIB-Mpal 2015-2022 Corrient '!$E$5:$E$1012,$A79)</f>
        <v>0</v>
      </c>
      <c r="G79" s="51">
        <f>SUMIFS('PIB-Mpal 2015-2022 Corrient '!K$5:K$1012,'PIB-Mpal 2015-2022 Corrient '!$A$5:$A$1012,$W$2,'PIB-Mpal 2015-2022 Corrient '!$E$5:$E$1012,$A79)</f>
        <v>0.61763615090521562</v>
      </c>
      <c r="H79" s="51">
        <f>SUMIFS('PIB-Mpal 2015-2022 Corrient '!L$5:L$1012,'PIB-Mpal 2015-2022 Corrient '!$A$5:$A$1012,$W$2,'PIB-Mpal 2015-2022 Corrient '!$E$5:$E$1012,$A79)</f>
        <v>7.1863271379345965</v>
      </c>
      <c r="I79" s="51">
        <f>SUMIFS('PIB-Mpal 2015-2022 Corrient '!N$5:N$1012,'PIB-Mpal 2015-2022 Corrient '!$A$5:$A$1012,$W$2,'PIB-Mpal 2015-2022 Corrient '!$E$5:$E$1012,$A79)</f>
        <v>3.1426017262837584</v>
      </c>
      <c r="J79" s="51">
        <f>SUMIFS('PIB-Mpal 2015-2022 Corrient '!O$5:O$1012,'PIB-Mpal 2015-2022 Corrient '!$A$5:$A$1012,$W$2,'PIB-Mpal 2015-2022 Corrient '!$E$5:$E$1012,$A79)</f>
        <v>10.812355508186391</v>
      </c>
      <c r="K79" s="51">
        <f>SUMIFS('PIB-Mpal 2015-2022 Corrient '!P$5:P$1012,'PIB-Mpal 2015-2022 Corrient '!$A$5:$A$1012,$W$2,'PIB-Mpal 2015-2022 Corrient '!$E$5:$E$1012,$A79)</f>
        <v>2.4483980728615298</v>
      </c>
      <c r="L79" s="51">
        <f>SUMIFS('PIB-Mpal 2015-2022 Corrient '!Q$5:Q$1012,'PIB-Mpal 2015-2022 Corrient '!$A$5:$A$1012,$W$2,'PIB-Mpal 2015-2022 Corrient '!$E$5:$E$1012,$A79)</f>
        <v>1.1781736236065457</v>
      </c>
      <c r="M79" s="51">
        <f>SUMIFS('PIB-Mpal 2015-2022 Corrient '!R$5:R$1012,'PIB-Mpal 2015-2022 Corrient '!$A$5:$A$1012,$W$2,'PIB-Mpal 2015-2022 Corrient '!$E$5:$E$1012,$A79)</f>
        <v>4.8061603698317601</v>
      </c>
      <c r="N79" s="51">
        <f>SUMIFS('PIB-Mpal 2015-2022 Corrient '!S$5:S$1012,'PIB-Mpal 2015-2022 Corrient '!$A$5:$A$1012,$W$2,'PIB-Mpal 2015-2022 Corrient '!$E$5:$E$1012,$A79)</f>
        <v>7.1099152313511889</v>
      </c>
      <c r="O79" s="51">
        <f>SUMIFS('PIB-Mpal 2015-2022 Corrient '!T$5:T$1012,'PIB-Mpal 2015-2022 Corrient '!$A$5:$A$1012,$W$2,'PIB-Mpal 2015-2022 Corrient '!$E$5:$E$1012,$A79)</f>
        <v>13.47853941317341</v>
      </c>
      <c r="P79" s="150">
        <f>SUMIFS('PIB-Mpal 2015-2022 Corrient '!U$5:U$1012,'PIB-Mpal 2015-2022 Corrient '!$A$5:$A$1012,$W$2,'PIB-Mpal 2015-2022 Corrient '!$E$5:$E$1012,$A79)</f>
        <v>2.9798118680859553</v>
      </c>
      <c r="Q79" s="156">
        <f>SUMIFS('PIB-Mpal 2015-2022 Corrient '!J$5:J$1012,'PIB-Mpal 2015-2022 Corrient '!$A$5:$A$1012,$W$2,'PIB-Mpal 2015-2022 Corrient '!$E$5:$E$1012,$A79)</f>
        <v>35.656632908223933</v>
      </c>
      <c r="R79" s="52">
        <f>SUMIFS('PIB-Mpal 2015-2022 Corrient '!M$5:M$1012,'PIB-Mpal 2015-2022 Corrient '!$A$5:$A$1012,$W$2,'PIB-Mpal 2015-2022 Corrient '!$E$5:$E$1012,$A79)</f>
        <v>7.8039632888398121</v>
      </c>
      <c r="S79" s="53">
        <f>SUMIFS('PIB-Mpal 2015-2022 Corrient '!V$5:V$1012,'PIB-Mpal 2015-2022 Corrient '!$A$5:$A$1012,$W$2,'PIB-Mpal 2015-2022 Corrient '!$E$5:$E$1012,$A79)</f>
        <v>45.955955813380534</v>
      </c>
      <c r="T79" s="207">
        <f>SUMIFS('PIB-Mpal 2015-2022 Corrient '!W$5:W$1012,'PIB-Mpal 2015-2022 Corrient '!$A$5:$A$1012,$W$2,'PIB-Mpal 2015-2022 Corrient '!$E$5:$E$1012,$A79)</f>
        <v>89.416552010444278</v>
      </c>
      <c r="U79" s="203">
        <f>SUMIFS('PIB-Mpal 2015-2022 Corrient '!X$5:X$1012,'PIB-Mpal 2015-2022 Corrient '!$A$5:$A$1012,$W$2,'PIB-Mpal 2015-2022 Corrient '!$E$5:$E$1012,$A79)</f>
        <v>9.0363579876987288</v>
      </c>
      <c r="V79" s="88">
        <f>SUMIFS('PIB-Mpal 2015-2022 Corrient '!Y$5:Y$1012,'PIB-Mpal 2015-2022 Corrient '!$A$5:$A$1012,$W$2,'PIB-Mpal 2015-2022 Corrient '!$E$5:$E$1012,$A79)</f>
        <v>98.452909998143014</v>
      </c>
      <c r="W79" s="98">
        <f t="shared" si="14"/>
        <v>6.411387295191638E-4</v>
      </c>
      <c r="X79" s="268">
        <f>INDEX(POBLACION!$C$4:$W$128,MATCH(A79,POBLACION!$A$4:$A$128,0),MATCH($W$2,POBLACION!$C$3:$W$3,0))</f>
        <v>6875</v>
      </c>
      <c r="Y79" s="258">
        <f t="shared" si="15"/>
        <v>13006.043928791894</v>
      </c>
      <c r="Z79" s="270">
        <f t="shared" si="16"/>
        <v>14320.423272457165</v>
      </c>
      <c r="AA79" s="273">
        <f t="shared" si="17"/>
        <v>4.1141452165333048</v>
      </c>
      <c r="AB79" s="273">
        <f t="shared" si="18"/>
        <v>4.1559558547159554</v>
      </c>
      <c r="AG79" s="281"/>
      <c r="AH79" s="282"/>
      <c r="AI79" s="282"/>
    </row>
    <row r="80" spans="1:35" ht="16" thickBot="1" x14ac:dyDescent="0.25">
      <c r="A80" s="122" t="s">
        <v>261</v>
      </c>
      <c r="B80" s="117" t="s">
        <v>262</v>
      </c>
      <c r="C80" s="117"/>
      <c r="D80" s="112"/>
      <c r="E80" s="113">
        <f>SUM(E81:E103)</f>
        <v>1775.6524760006073</v>
      </c>
      <c r="F80" s="113">
        <f t="shared" ref="F80:X80" si="19">SUM(F81:F103)</f>
        <v>23.53158695776488</v>
      </c>
      <c r="G80" s="113">
        <f t="shared" si="19"/>
        <v>2867.171934887624</v>
      </c>
      <c r="H80" s="113">
        <f t="shared" si="19"/>
        <v>1239.5328518427964</v>
      </c>
      <c r="I80" s="113">
        <f t="shared" si="19"/>
        <v>1297.2447721134483</v>
      </c>
      <c r="J80" s="113">
        <f t="shared" si="19"/>
        <v>2022.6002164892097</v>
      </c>
      <c r="K80" s="113">
        <f t="shared" si="19"/>
        <v>335.50838686267872</v>
      </c>
      <c r="L80" s="113">
        <f t="shared" si="19"/>
        <v>232.51497425307855</v>
      </c>
      <c r="M80" s="113">
        <f t="shared" si="19"/>
        <v>1197.9342852335215</v>
      </c>
      <c r="N80" s="113">
        <f t="shared" si="19"/>
        <v>1088.8148892808899</v>
      </c>
      <c r="O80" s="113">
        <f t="shared" si="19"/>
        <v>1374.5518906288003</v>
      </c>
      <c r="P80" s="123">
        <f t="shared" si="19"/>
        <v>295.71079807972393</v>
      </c>
      <c r="Q80" s="193">
        <f t="shared" si="19"/>
        <v>1799.1840629583724</v>
      </c>
      <c r="R80" s="113">
        <f t="shared" si="19"/>
        <v>4106.70478673042</v>
      </c>
      <c r="S80" s="114">
        <f t="shared" si="19"/>
        <v>7844.8802129413516</v>
      </c>
      <c r="T80" s="208">
        <f t="shared" si="19"/>
        <v>13750.769062630143</v>
      </c>
      <c r="U80" s="186">
        <f t="shared" si="19"/>
        <v>1389.6406097339191</v>
      </c>
      <c r="V80" s="123">
        <f t="shared" si="19"/>
        <v>15140.409672364063</v>
      </c>
      <c r="W80" s="115">
        <f t="shared" si="14"/>
        <v>9.8596405346700736E-2</v>
      </c>
      <c r="X80" s="208">
        <f t="shared" si="19"/>
        <v>683968</v>
      </c>
      <c r="Y80" s="258">
        <f t="shared" si="15"/>
        <v>20104.404098773837</v>
      </c>
      <c r="Z80" s="270">
        <f t="shared" si="16"/>
        <v>22136.137468951856</v>
      </c>
      <c r="AA80" s="273">
        <f t="shared" si="17"/>
        <v>4.3032912049967686</v>
      </c>
      <c r="AB80" s="273">
        <f t="shared" si="18"/>
        <v>4.3451018431794193</v>
      </c>
      <c r="AG80" s="281"/>
      <c r="AH80" s="282"/>
      <c r="AI80" s="282"/>
    </row>
    <row r="81" spans="1:35" x14ac:dyDescent="0.2">
      <c r="A81" s="121" t="s">
        <v>263</v>
      </c>
      <c r="B81" s="101" t="s">
        <v>264</v>
      </c>
      <c r="C81" s="108" t="s">
        <v>145</v>
      </c>
      <c r="D81" s="101" t="s">
        <v>265</v>
      </c>
      <c r="E81" s="51">
        <f>SUMIFS('PIB-Mpal 2015-2022 Corrient '!H$5:H$1012,'PIB-Mpal 2015-2022 Corrient '!$A$5:$A$1012,$W$2,'PIB-Mpal 2015-2022 Corrient '!$E$5:$E$1012,$A81)</f>
        <v>77.045602463149919</v>
      </c>
      <c r="F81" s="51">
        <f>SUMIFS('PIB-Mpal 2015-2022 Corrient '!I$5:I$1012,'PIB-Mpal 2015-2022 Corrient '!$A$5:$A$1012,$W$2,'PIB-Mpal 2015-2022 Corrient '!$E$5:$E$1012,$A81)</f>
        <v>1.2561829450913535</v>
      </c>
      <c r="G81" s="51">
        <f>SUMIFS('PIB-Mpal 2015-2022 Corrient '!K$5:K$1012,'PIB-Mpal 2015-2022 Corrient '!$A$5:$A$1012,$W$2,'PIB-Mpal 2015-2022 Corrient '!$E$5:$E$1012,$A81)</f>
        <v>4.7792389519705853</v>
      </c>
      <c r="H81" s="51">
        <f>SUMIFS('PIB-Mpal 2015-2022 Corrient '!L$5:L$1012,'PIB-Mpal 2015-2022 Corrient '!$A$5:$A$1012,$W$2,'PIB-Mpal 2015-2022 Corrient '!$E$5:$E$1012,$A81)</f>
        <v>15.772755977323731</v>
      </c>
      <c r="I81" s="51">
        <f>SUMIFS('PIB-Mpal 2015-2022 Corrient '!N$5:N$1012,'PIB-Mpal 2015-2022 Corrient '!$A$5:$A$1012,$W$2,'PIB-Mpal 2015-2022 Corrient '!$E$5:$E$1012,$A81)</f>
        <v>6.1358747870909767</v>
      </c>
      <c r="J81" s="51">
        <f>SUMIFS('PIB-Mpal 2015-2022 Corrient '!O$5:O$1012,'PIB-Mpal 2015-2022 Corrient '!$A$5:$A$1012,$W$2,'PIB-Mpal 2015-2022 Corrient '!$E$5:$E$1012,$A81)</f>
        <v>29.159677180032347</v>
      </c>
      <c r="K81" s="51">
        <f>SUMIFS('PIB-Mpal 2015-2022 Corrient '!P$5:P$1012,'PIB-Mpal 2015-2022 Corrient '!$A$5:$A$1012,$W$2,'PIB-Mpal 2015-2022 Corrient '!$E$5:$E$1012,$A81)</f>
        <v>8.0147082180238822</v>
      </c>
      <c r="L81" s="51">
        <f>SUMIFS('PIB-Mpal 2015-2022 Corrient '!Q$5:Q$1012,'PIB-Mpal 2015-2022 Corrient '!$A$5:$A$1012,$W$2,'PIB-Mpal 2015-2022 Corrient '!$E$5:$E$1012,$A81)</f>
        <v>5.4701130197058552</v>
      </c>
      <c r="M81" s="51">
        <f>SUMIFS('PIB-Mpal 2015-2022 Corrient '!R$5:R$1012,'PIB-Mpal 2015-2022 Corrient '!$A$5:$A$1012,$W$2,'PIB-Mpal 2015-2022 Corrient '!$E$5:$E$1012,$A81)</f>
        <v>24.690639639190067</v>
      </c>
      <c r="N81" s="51">
        <f>SUMIFS('PIB-Mpal 2015-2022 Corrient '!S$5:S$1012,'PIB-Mpal 2015-2022 Corrient '!$A$5:$A$1012,$W$2,'PIB-Mpal 2015-2022 Corrient '!$E$5:$E$1012,$A81)</f>
        <v>20.857547805032556</v>
      </c>
      <c r="O81" s="51">
        <f>SUMIFS('PIB-Mpal 2015-2022 Corrient '!T$5:T$1012,'PIB-Mpal 2015-2022 Corrient '!$A$5:$A$1012,$W$2,'PIB-Mpal 2015-2022 Corrient '!$E$5:$E$1012,$A81)</f>
        <v>42.461493706347973</v>
      </c>
      <c r="P81" s="150">
        <f>SUMIFS('PIB-Mpal 2015-2022 Corrient '!U$5:U$1012,'PIB-Mpal 2015-2022 Corrient '!$A$5:$A$1012,$W$2,'PIB-Mpal 2015-2022 Corrient '!$E$5:$E$1012,$A81)</f>
        <v>8.853418039632988</v>
      </c>
      <c r="Q81" s="156">
        <f>SUMIFS('PIB-Mpal 2015-2022 Corrient '!J$5:J$1012,'PIB-Mpal 2015-2022 Corrient '!$A$5:$A$1012,$W$2,'PIB-Mpal 2015-2022 Corrient '!$E$5:$E$1012,$A81)</f>
        <v>78.301785408241273</v>
      </c>
      <c r="R81" s="52">
        <f>SUMIFS('PIB-Mpal 2015-2022 Corrient '!M$5:M$1012,'PIB-Mpal 2015-2022 Corrient '!$A$5:$A$1012,$W$2,'PIB-Mpal 2015-2022 Corrient '!$E$5:$E$1012,$A81)</f>
        <v>20.551994929294317</v>
      </c>
      <c r="S81" s="53">
        <f>SUMIFS('PIB-Mpal 2015-2022 Corrient '!V$5:V$1012,'PIB-Mpal 2015-2022 Corrient '!$A$5:$A$1012,$W$2,'PIB-Mpal 2015-2022 Corrient '!$E$5:$E$1012,$A81)</f>
        <v>145.64347239505665</v>
      </c>
      <c r="T81" s="207">
        <f>SUMIFS('PIB-Mpal 2015-2022 Corrient '!W$5:W$1012,'PIB-Mpal 2015-2022 Corrient '!$A$5:$A$1012,$W$2,'PIB-Mpal 2015-2022 Corrient '!$E$5:$E$1012,$A81)</f>
        <v>244.49725273259224</v>
      </c>
      <c r="U81" s="203">
        <f>SUMIFS('PIB-Mpal 2015-2022 Corrient '!X$5:X$1012,'PIB-Mpal 2015-2022 Corrient '!$A$5:$A$1012,$W$2,'PIB-Mpal 2015-2022 Corrient '!$E$5:$E$1012,$A81)</f>
        <v>24.708677006942633</v>
      </c>
      <c r="V81" s="88">
        <f>SUMIFS('PIB-Mpal 2015-2022 Corrient '!Y$5:Y$1012,'PIB-Mpal 2015-2022 Corrient '!$A$5:$A$1012,$W$2,'PIB-Mpal 2015-2022 Corrient '!$E$5:$E$1012,$A81)</f>
        <v>269.20592973953489</v>
      </c>
      <c r="W81" s="100">
        <f t="shared" si="14"/>
        <v>1.753105599169046E-3</v>
      </c>
      <c r="X81" s="268">
        <f>INDEX(POBLACION!$C$4:$W$128,MATCH(A81,POBLACION!$A$4:$A$128,0),MATCH($W$2,POBLACION!$C$3:$W$3,0))</f>
        <v>20258</v>
      </c>
      <c r="Y81" s="258">
        <f t="shared" si="15"/>
        <v>12069.170339253245</v>
      </c>
      <c r="Z81" s="270">
        <f t="shared" si="16"/>
        <v>13288.870063161956</v>
      </c>
      <c r="AA81" s="273">
        <f t="shared" si="17"/>
        <v>4.0816774167859684</v>
      </c>
      <c r="AB81" s="273">
        <f t="shared" si="18"/>
        <v>4.123488054968619</v>
      </c>
      <c r="AG81" s="281"/>
      <c r="AH81" s="282"/>
      <c r="AI81" s="282"/>
    </row>
    <row r="82" spans="1:35" x14ac:dyDescent="0.2">
      <c r="A82" s="35" t="s">
        <v>266</v>
      </c>
      <c r="B82" s="32" t="s">
        <v>264</v>
      </c>
      <c r="C82" s="33" t="s">
        <v>267</v>
      </c>
      <c r="D82" s="32" t="s">
        <v>268</v>
      </c>
      <c r="E82" s="51">
        <f>SUMIFS('PIB-Mpal 2015-2022 Corrient '!H$5:H$1012,'PIB-Mpal 2015-2022 Corrient '!$A$5:$A$1012,$W$2,'PIB-Mpal 2015-2022 Corrient '!$E$5:$E$1012,$A82)</f>
        <v>7.401577308280995</v>
      </c>
      <c r="F82" s="51">
        <f>SUMIFS('PIB-Mpal 2015-2022 Corrient '!I$5:I$1012,'PIB-Mpal 2015-2022 Corrient '!$A$5:$A$1012,$W$2,'PIB-Mpal 2015-2022 Corrient '!$E$5:$E$1012,$A82)</f>
        <v>0</v>
      </c>
      <c r="G82" s="51">
        <f>SUMIFS('PIB-Mpal 2015-2022 Corrient '!K$5:K$1012,'PIB-Mpal 2015-2022 Corrient '!$A$5:$A$1012,$W$2,'PIB-Mpal 2015-2022 Corrient '!$E$5:$E$1012,$A82)</f>
        <v>0.75129592856152516</v>
      </c>
      <c r="H82" s="51">
        <f>SUMIFS('PIB-Mpal 2015-2022 Corrient '!L$5:L$1012,'PIB-Mpal 2015-2022 Corrient '!$A$5:$A$1012,$W$2,'PIB-Mpal 2015-2022 Corrient '!$E$5:$E$1012,$A82)</f>
        <v>4.2848774463016062</v>
      </c>
      <c r="I82" s="51">
        <f>SUMIFS('PIB-Mpal 2015-2022 Corrient '!N$5:N$1012,'PIB-Mpal 2015-2022 Corrient '!$A$5:$A$1012,$W$2,'PIB-Mpal 2015-2022 Corrient '!$E$5:$E$1012,$A82)</f>
        <v>17.228388726264615</v>
      </c>
      <c r="J82" s="51">
        <f>SUMIFS('PIB-Mpal 2015-2022 Corrient '!O$5:O$1012,'PIB-Mpal 2015-2022 Corrient '!$A$5:$A$1012,$W$2,'PIB-Mpal 2015-2022 Corrient '!$E$5:$E$1012,$A82)</f>
        <v>7.022167040583545</v>
      </c>
      <c r="K82" s="51">
        <f>SUMIFS('PIB-Mpal 2015-2022 Corrient '!P$5:P$1012,'PIB-Mpal 2015-2022 Corrient '!$A$5:$A$1012,$W$2,'PIB-Mpal 2015-2022 Corrient '!$E$5:$E$1012,$A82)</f>
        <v>1.0548881513240984</v>
      </c>
      <c r="L82" s="51">
        <f>SUMIFS('PIB-Mpal 2015-2022 Corrient '!Q$5:Q$1012,'PIB-Mpal 2015-2022 Corrient '!$A$5:$A$1012,$W$2,'PIB-Mpal 2015-2022 Corrient '!$E$5:$E$1012,$A82)</f>
        <v>0.65045906462645531</v>
      </c>
      <c r="M82" s="51">
        <f>SUMIFS('PIB-Mpal 2015-2022 Corrient '!R$5:R$1012,'PIB-Mpal 2015-2022 Corrient '!$A$5:$A$1012,$W$2,'PIB-Mpal 2015-2022 Corrient '!$E$5:$E$1012,$A82)</f>
        <v>4.0865286193164554</v>
      </c>
      <c r="N82" s="51">
        <f>SUMIFS('PIB-Mpal 2015-2022 Corrient '!S$5:S$1012,'PIB-Mpal 2015-2022 Corrient '!$A$5:$A$1012,$W$2,'PIB-Mpal 2015-2022 Corrient '!$E$5:$E$1012,$A82)</f>
        <v>4.8077327458680958</v>
      </c>
      <c r="O82" s="51">
        <f>SUMIFS('PIB-Mpal 2015-2022 Corrient '!T$5:T$1012,'PIB-Mpal 2015-2022 Corrient '!$A$5:$A$1012,$W$2,'PIB-Mpal 2015-2022 Corrient '!$E$5:$E$1012,$A82)</f>
        <v>8.4136257162402206</v>
      </c>
      <c r="P82" s="150">
        <f>SUMIFS('PIB-Mpal 2015-2022 Corrient '!U$5:U$1012,'PIB-Mpal 2015-2022 Corrient '!$A$5:$A$1012,$W$2,'PIB-Mpal 2015-2022 Corrient '!$E$5:$E$1012,$A82)</f>
        <v>1.1544418518877142</v>
      </c>
      <c r="Q82" s="156">
        <f>SUMIFS('PIB-Mpal 2015-2022 Corrient '!J$5:J$1012,'PIB-Mpal 2015-2022 Corrient '!$A$5:$A$1012,$W$2,'PIB-Mpal 2015-2022 Corrient '!$E$5:$E$1012,$A82)</f>
        <v>7.401577308280995</v>
      </c>
      <c r="R82" s="52">
        <f>SUMIFS('PIB-Mpal 2015-2022 Corrient '!M$5:M$1012,'PIB-Mpal 2015-2022 Corrient '!$A$5:$A$1012,$W$2,'PIB-Mpal 2015-2022 Corrient '!$E$5:$E$1012,$A82)</f>
        <v>5.0361733748631314</v>
      </c>
      <c r="S82" s="53">
        <f>SUMIFS('PIB-Mpal 2015-2022 Corrient '!V$5:V$1012,'PIB-Mpal 2015-2022 Corrient '!$A$5:$A$1012,$W$2,'PIB-Mpal 2015-2022 Corrient '!$E$5:$E$1012,$A82)</f>
        <v>44.418231916111196</v>
      </c>
      <c r="T82" s="207">
        <f>SUMIFS('PIB-Mpal 2015-2022 Corrient '!W$5:W$1012,'PIB-Mpal 2015-2022 Corrient '!$A$5:$A$1012,$W$2,'PIB-Mpal 2015-2022 Corrient '!$E$5:$E$1012,$A82)</f>
        <v>56.855982599255327</v>
      </c>
      <c r="U82" s="203">
        <f>SUMIFS('PIB-Mpal 2015-2022 Corrient '!X$5:X$1012,'PIB-Mpal 2015-2022 Corrient '!$A$5:$A$1012,$W$2,'PIB-Mpal 2015-2022 Corrient '!$E$5:$E$1012,$A82)</f>
        <v>5.7458155224910694</v>
      </c>
      <c r="V82" s="88">
        <f>SUMIFS('PIB-Mpal 2015-2022 Corrient '!Y$5:Y$1012,'PIB-Mpal 2015-2022 Corrient '!$A$5:$A$1012,$W$2,'PIB-Mpal 2015-2022 Corrient '!$E$5:$E$1012,$A82)</f>
        <v>62.601798121746398</v>
      </c>
      <c r="W82" s="92">
        <f t="shared" si="14"/>
        <v>4.0767141686465843E-4</v>
      </c>
      <c r="X82" s="268">
        <f>INDEX(POBLACION!$C$4:$W$128,MATCH(A82,POBLACION!$A$4:$A$128,0),MATCH($W$2,POBLACION!$C$3:$W$3,0))</f>
        <v>4669</v>
      </c>
      <c r="Y82" s="258">
        <f t="shared" si="15"/>
        <v>12177.336174610264</v>
      </c>
      <c r="Z82" s="270">
        <f t="shared" si="16"/>
        <v>13407.96704256723</v>
      </c>
      <c r="AA82" s="273">
        <f t="shared" si="17"/>
        <v>4.0855522955879797</v>
      </c>
      <c r="AB82" s="273">
        <f t="shared" si="18"/>
        <v>4.1273629337706303</v>
      </c>
      <c r="AG82" s="281"/>
      <c r="AH82" s="282"/>
      <c r="AI82" s="282"/>
    </row>
    <row r="83" spans="1:35" x14ac:dyDescent="0.2">
      <c r="A83" s="35" t="s">
        <v>269</v>
      </c>
      <c r="B83" s="32" t="s">
        <v>264</v>
      </c>
      <c r="C83" s="33" t="s">
        <v>270</v>
      </c>
      <c r="D83" s="32" t="s">
        <v>271</v>
      </c>
      <c r="E83" s="51">
        <f>SUMIFS('PIB-Mpal 2015-2022 Corrient '!H$5:H$1012,'PIB-Mpal 2015-2022 Corrient '!$A$5:$A$1012,$W$2,'PIB-Mpal 2015-2022 Corrient '!$E$5:$E$1012,$A83)</f>
        <v>14.704093181263007</v>
      </c>
      <c r="F83" s="51">
        <f>SUMIFS('PIB-Mpal 2015-2022 Corrient '!I$5:I$1012,'PIB-Mpal 2015-2022 Corrient '!$A$5:$A$1012,$W$2,'PIB-Mpal 2015-2022 Corrient '!$E$5:$E$1012,$A83)</f>
        <v>0</v>
      </c>
      <c r="G83" s="51">
        <f>SUMIFS('PIB-Mpal 2015-2022 Corrient '!K$5:K$1012,'PIB-Mpal 2015-2022 Corrient '!$A$5:$A$1012,$W$2,'PIB-Mpal 2015-2022 Corrient '!$E$5:$E$1012,$A83)</f>
        <v>2.0514377846751199</v>
      </c>
      <c r="H83" s="51">
        <f>SUMIFS('PIB-Mpal 2015-2022 Corrient '!L$5:L$1012,'PIB-Mpal 2015-2022 Corrient '!$A$5:$A$1012,$W$2,'PIB-Mpal 2015-2022 Corrient '!$E$5:$E$1012,$A83)</f>
        <v>3.8573543880910193</v>
      </c>
      <c r="I83" s="51">
        <f>SUMIFS('PIB-Mpal 2015-2022 Corrient '!N$5:N$1012,'PIB-Mpal 2015-2022 Corrient '!$A$5:$A$1012,$W$2,'PIB-Mpal 2015-2022 Corrient '!$E$5:$E$1012,$A83)</f>
        <v>1.7046064978822106</v>
      </c>
      <c r="J83" s="51">
        <f>SUMIFS('PIB-Mpal 2015-2022 Corrient '!O$5:O$1012,'PIB-Mpal 2015-2022 Corrient '!$A$5:$A$1012,$W$2,'PIB-Mpal 2015-2022 Corrient '!$E$5:$E$1012,$A83)</f>
        <v>7.9910082928884654</v>
      </c>
      <c r="K83" s="51">
        <f>SUMIFS('PIB-Mpal 2015-2022 Corrient '!P$5:P$1012,'PIB-Mpal 2015-2022 Corrient '!$A$5:$A$1012,$W$2,'PIB-Mpal 2015-2022 Corrient '!$E$5:$E$1012,$A83)</f>
        <v>2.6361536882152774</v>
      </c>
      <c r="L83" s="51">
        <f>SUMIFS('PIB-Mpal 2015-2022 Corrient '!Q$5:Q$1012,'PIB-Mpal 2015-2022 Corrient '!$A$5:$A$1012,$W$2,'PIB-Mpal 2015-2022 Corrient '!$E$5:$E$1012,$A83)</f>
        <v>1.7817018943279535</v>
      </c>
      <c r="M83" s="51">
        <f>SUMIFS('PIB-Mpal 2015-2022 Corrient '!R$5:R$1012,'PIB-Mpal 2015-2022 Corrient '!$A$5:$A$1012,$W$2,'PIB-Mpal 2015-2022 Corrient '!$E$5:$E$1012,$A83)</f>
        <v>9.2913369053623818</v>
      </c>
      <c r="N83" s="51">
        <f>SUMIFS('PIB-Mpal 2015-2022 Corrient '!S$5:S$1012,'PIB-Mpal 2015-2022 Corrient '!$A$5:$A$1012,$W$2,'PIB-Mpal 2015-2022 Corrient '!$E$5:$E$1012,$A83)</f>
        <v>6.867924698817613</v>
      </c>
      <c r="O83" s="51">
        <f>SUMIFS('PIB-Mpal 2015-2022 Corrient '!T$5:T$1012,'PIB-Mpal 2015-2022 Corrient '!$A$5:$A$1012,$W$2,'PIB-Mpal 2015-2022 Corrient '!$E$5:$E$1012,$A83)</f>
        <v>16.930644799205677</v>
      </c>
      <c r="P83" s="150">
        <f>SUMIFS('PIB-Mpal 2015-2022 Corrient '!U$5:U$1012,'PIB-Mpal 2015-2022 Corrient '!$A$5:$A$1012,$W$2,'PIB-Mpal 2015-2022 Corrient '!$E$5:$E$1012,$A83)</f>
        <v>1.927860296989204</v>
      </c>
      <c r="Q83" s="156">
        <f>SUMIFS('PIB-Mpal 2015-2022 Corrient '!J$5:J$1012,'PIB-Mpal 2015-2022 Corrient '!$A$5:$A$1012,$W$2,'PIB-Mpal 2015-2022 Corrient '!$E$5:$E$1012,$A83)</f>
        <v>14.704093181263007</v>
      </c>
      <c r="R83" s="52">
        <f>SUMIFS('PIB-Mpal 2015-2022 Corrient '!M$5:M$1012,'PIB-Mpal 2015-2022 Corrient '!$A$5:$A$1012,$W$2,'PIB-Mpal 2015-2022 Corrient '!$E$5:$E$1012,$A83)</f>
        <v>5.9087921727661392</v>
      </c>
      <c r="S83" s="53">
        <f>SUMIFS('PIB-Mpal 2015-2022 Corrient '!V$5:V$1012,'PIB-Mpal 2015-2022 Corrient '!$A$5:$A$1012,$W$2,'PIB-Mpal 2015-2022 Corrient '!$E$5:$E$1012,$A83)</f>
        <v>49.13123707368878</v>
      </c>
      <c r="T83" s="207">
        <f>SUMIFS('PIB-Mpal 2015-2022 Corrient '!W$5:W$1012,'PIB-Mpal 2015-2022 Corrient '!$A$5:$A$1012,$W$2,'PIB-Mpal 2015-2022 Corrient '!$E$5:$E$1012,$A83)</f>
        <v>69.744122427717926</v>
      </c>
      <c r="U83" s="203">
        <f>SUMIFS('PIB-Mpal 2015-2022 Corrient '!X$5:X$1012,'PIB-Mpal 2015-2022 Corrient '!$A$5:$A$1012,$W$2,'PIB-Mpal 2015-2022 Corrient '!$E$5:$E$1012,$A83)</f>
        <v>7.048279581627491</v>
      </c>
      <c r="V83" s="88">
        <f>SUMIFS('PIB-Mpal 2015-2022 Corrient '!Y$5:Y$1012,'PIB-Mpal 2015-2022 Corrient '!$A$5:$A$1012,$W$2,'PIB-Mpal 2015-2022 Corrient '!$E$5:$E$1012,$A83)</f>
        <v>76.792402009345423</v>
      </c>
      <c r="W83" s="92">
        <f t="shared" si="14"/>
        <v>5.0008255786370608E-4</v>
      </c>
      <c r="X83" s="268">
        <f>INDEX(POBLACION!$C$4:$W$128,MATCH(A83,POBLACION!$A$4:$A$128,0),MATCH($W$2,POBLACION!$C$3:$W$3,0))</f>
        <v>7577</v>
      </c>
      <c r="Y83" s="258">
        <f t="shared" si="15"/>
        <v>9204.7145872664551</v>
      </c>
      <c r="Z83" s="270">
        <f t="shared" si="16"/>
        <v>10134.934935904108</v>
      </c>
      <c r="AA83" s="273">
        <f t="shared" si="17"/>
        <v>3.9640103267784426</v>
      </c>
      <c r="AB83" s="273">
        <f t="shared" si="18"/>
        <v>4.0058209649610932</v>
      </c>
      <c r="AG83" s="281"/>
      <c r="AH83" s="282"/>
      <c r="AI83" s="282"/>
    </row>
    <row r="84" spans="1:35" x14ac:dyDescent="0.2">
      <c r="A84" s="35" t="s">
        <v>272</v>
      </c>
      <c r="B84" s="32" t="s">
        <v>264</v>
      </c>
      <c r="C84" s="33" t="s">
        <v>267</v>
      </c>
      <c r="D84" s="32" t="s">
        <v>273</v>
      </c>
      <c r="E84" s="51">
        <f>SUMIFS('PIB-Mpal 2015-2022 Corrient '!H$5:H$1012,'PIB-Mpal 2015-2022 Corrient '!$A$5:$A$1012,$W$2,'PIB-Mpal 2015-2022 Corrient '!$E$5:$E$1012,$A84)</f>
        <v>14.690391300773047</v>
      </c>
      <c r="F84" s="51">
        <f>SUMIFS('PIB-Mpal 2015-2022 Corrient '!I$5:I$1012,'PIB-Mpal 2015-2022 Corrient '!$A$5:$A$1012,$W$2,'PIB-Mpal 2015-2022 Corrient '!$E$5:$E$1012,$A84)</f>
        <v>0</v>
      </c>
      <c r="G84" s="51">
        <f>SUMIFS('PIB-Mpal 2015-2022 Corrient '!K$5:K$1012,'PIB-Mpal 2015-2022 Corrient '!$A$5:$A$1012,$W$2,'PIB-Mpal 2015-2022 Corrient '!$E$5:$E$1012,$A84)</f>
        <v>3.4277799655926442</v>
      </c>
      <c r="H84" s="51">
        <f>SUMIFS('PIB-Mpal 2015-2022 Corrient '!L$5:L$1012,'PIB-Mpal 2015-2022 Corrient '!$A$5:$A$1012,$W$2,'PIB-Mpal 2015-2022 Corrient '!$E$5:$E$1012,$A84)</f>
        <v>15.009692835494153</v>
      </c>
      <c r="I84" s="51">
        <f>SUMIFS('PIB-Mpal 2015-2022 Corrient '!N$5:N$1012,'PIB-Mpal 2015-2022 Corrient '!$A$5:$A$1012,$W$2,'PIB-Mpal 2015-2022 Corrient '!$E$5:$E$1012,$A84)</f>
        <v>51.219245335462581</v>
      </c>
      <c r="J84" s="51">
        <f>SUMIFS('PIB-Mpal 2015-2022 Corrient '!O$5:O$1012,'PIB-Mpal 2015-2022 Corrient '!$A$5:$A$1012,$W$2,'PIB-Mpal 2015-2022 Corrient '!$E$5:$E$1012,$A84)</f>
        <v>17.833282423638398</v>
      </c>
      <c r="K84" s="51">
        <f>SUMIFS('PIB-Mpal 2015-2022 Corrient '!P$5:P$1012,'PIB-Mpal 2015-2022 Corrient '!$A$5:$A$1012,$W$2,'PIB-Mpal 2015-2022 Corrient '!$E$5:$E$1012,$A84)</f>
        <v>3.5599678815047184</v>
      </c>
      <c r="L84" s="51">
        <f>SUMIFS('PIB-Mpal 2015-2022 Corrient '!Q$5:Q$1012,'PIB-Mpal 2015-2022 Corrient '!$A$5:$A$1012,$W$2,'PIB-Mpal 2015-2022 Corrient '!$E$5:$E$1012,$A84)</f>
        <v>2.2381812297069108</v>
      </c>
      <c r="M84" s="51">
        <f>SUMIFS('PIB-Mpal 2015-2022 Corrient '!R$5:R$1012,'PIB-Mpal 2015-2022 Corrient '!$A$5:$A$1012,$W$2,'PIB-Mpal 2015-2022 Corrient '!$E$5:$E$1012,$A84)</f>
        <v>16.492229340134191</v>
      </c>
      <c r="N84" s="51">
        <f>SUMIFS('PIB-Mpal 2015-2022 Corrient '!S$5:S$1012,'PIB-Mpal 2015-2022 Corrient '!$A$5:$A$1012,$W$2,'PIB-Mpal 2015-2022 Corrient '!$E$5:$E$1012,$A84)</f>
        <v>11.092526611352701</v>
      </c>
      <c r="O84" s="51">
        <f>SUMIFS('PIB-Mpal 2015-2022 Corrient '!T$5:T$1012,'PIB-Mpal 2015-2022 Corrient '!$A$5:$A$1012,$W$2,'PIB-Mpal 2015-2022 Corrient '!$E$5:$E$1012,$A84)</f>
        <v>19.123366093663957</v>
      </c>
      <c r="P84" s="150">
        <f>SUMIFS('PIB-Mpal 2015-2022 Corrient '!U$5:U$1012,'PIB-Mpal 2015-2022 Corrient '!$A$5:$A$1012,$W$2,'PIB-Mpal 2015-2022 Corrient '!$E$5:$E$1012,$A84)</f>
        <v>3.2488101820288557</v>
      </c>
      <c r="Q84" s="156">
        <f>SUMIFS('PIB-Mpal 2015-2022 Corrient '!J$5:J$1012,'PIB-Mpal 2015-2022 Corrient '!$A$5:$A$1012,$W$2,'PIB-Mpal 2015-2022 Corrient '!$E$5:$E$1012,$A84)</f>
        <v>14.690391300773047</v>
      </c>
      <c r="R84" s="52">
        <f>SUMIFS('PIB-Mpal 2015-2022 Corrient '!M$5:M$1012,'PIB-Mpal 2015-2022 Corrient '!$A$5:$A$1012,$W$2,'PIB-Mpal 2015-2022 Corrient '!$E$5:$E$1012,$A84)</f>
        <v>18.437472801086798</v>
      </c>
      <c r="S84" s="53">
        <f>SUMIFS('PIB-Mpal 2015-2022 Corrient '!V$5:V$1012,'PIB-Mpal 2015-2022 Corrient '!$A$5:$A$1012,$W$2,'PIB-Mpal 2015-2022 Corrient '!$E$5:$E$1012,$A84)</f>
        <v>124.80760909749232</v>
      </c>
      <c r="T84" s="207">
        <f>SUMIFS('PIB-Mpal 2015-2022 Corrient '!W$5:W$1012,'PIB-Mpal 2015-2022 Corrient '!$A$5:$A$1012,$W$2,'PIB-Mpal 2015-2022 Corrient '!$E$5:$E$1012,$A84)</f>
        <v>157.93547319935217</v>
      </c>
      <c r="U84" s="203">
        <f>SUMIFS('PIB-Mpal 2015-2022 Corrient '!X$5:X$1012,'PIB-Mpal 2015-2022 Corrient '!$A$5:$A$1012,$W$2,'PIB-Mpal 2015-2022 Corrient '!$E$5:$E$1012,$A84)</f>
        <v>15.960819811294503</v>
      </c>
      <c r="V84" s="88">
        <f>SUMIFS('PIB-Mpal 2015-2022 Corrient '!Y$5:Y$1012,'PIB-Mpal 2015-2022 Corrient '!$A$5:$A$1012,$W$2,'PIB-Mpal 2015-2022 Corrient '!$E$5:$E$1012,$A84)</f>
        <v>173.89629301064667</v>
      </c>
      <c r="W84" s="92">
        <f t="shared" si="14"/>
        <v>1.1324362923456621E-3</v>
      </c>
      <c r="X84" s="268">
        <f>INDEX(POBLACION!$C$4:$W$128,MATCH(A84,POBLACION!$A$4:$A$128,0),MATCH($W$2,POBLACION!$C$3:$W$3,0))</f>
        <v>15042</v>
      </c>
      <c r="Y84" s="258">
        <f t="shared" si="15"/>
        <v>10499.632575412325</v>
      </c>
      <c r="Z84" s="270">
        <f t="shared" si="16"/>
        <v>11560.716195362762</v>
      </c>
      <c r="AA84" s="273">
        <f t="shared" si="17"/>
        <v>4.0211741016163272</v>
      </c>
      <c r="AB84" s="273">
        <f t="shared" si="18"/>
        <v>4.0629847397989769</v>
      </c>
      <c r="AG84" s="281"/>
      <c r="AH84" s="282"/>
      <c r="AI84" s="282"/>
    </row>
    <row r="85" spans="1:35" x14ac:dyDescent="0.2">
      <c r="A85" s="35" t="s">
        <v>274</v>
      </c>
      <c r="B85" s="32" t="s">
        <v>264</v>
      </c>
      <c r="C85" s="33" t="s">
        <v>267</v>
      </c>
      <c r="D85" s="32" t="s">
        <v>275</v>
      </c>
      <c r="E85" s="51">
        <f>SUMIFS('PIB-Mpal 2015-2022 Corrient '!H$5:H$1012,'PIB-Mpal 2015-2022 Corrient '!$A$5:$A$1012,$W$2,'PIB-Mpal 2015-2022 Corrient '!$E$5:$E$1012,$A85)</f>
        <v>15.900128277086475</v>
      </c>
      <c r="F85" s="51">
        <f>SUMIFS('PIB-Mpal 2015-2022 Corrient '!I$5:I$1012,'PIB-Mpal 2015-2022 Corrient '!$A$5:$A$1012,$W$2,'PIB-Mpal 2015-2022 Corrient '!$E$5:$E$1012,$A85)</f>
        <v>0</v>
      </c>
      <c r="G85" s="51">
        <f>SUMIFS('PIB-Mpal 2015-2022 Corrient '!K$5:K$1012,'PIB-Mpal 2015-2022 Corrient '!$A$5:$A$1012,$W$2,'PIB-Mpal 2015-2022 Corrient '!$E$5:$E$1012,$A85)</f>
        <v>2.0458010206084918</v>
      </c>
      <c r="H85" s="51">
        <f>SUMIFS('PIB-Mpal 2015-2022 Corrient '!L$5:L$1012,'PIB-Mpal 2015-2022 Corrient '!$A$5:$A$1012,$W$2,'PIB-Mpal 2015-2022 Corrient '!$E$5:$E$1012,$A85)</f>
        <v>3.7644086781311872</v>
      </c>
      <c r="I85" s="51">
        <f>SUMIFS('PIB-Mpal 2015-2022 Corrient '!N$5:N$1012,'PIB-Mpal 2015-2022 Corrient '!$A$5:$A$1012,$W$2,'PIB-Mpal 2015-2022 Corrient '!$E$5:$E$1012,$A85)</f>
        <v>11.237523085405851</v>
      </c>
      <c r="J85" s="51">
        <f>SUMIFS('PIB-Mpal 2015-2022 Corrient '!O$5:O$1012,'PIB-Mpal 2015-2022 Corrient '!$A$5:$A$1012,$W$2,'PIB-Mpal 2015-2022 Corrient '!$E$5:$E$1012,$A85)</f>
        <v>4.4205445222582789</v>
      </c>
      <c r="K85" s="51">
        <f>SUMIFS('PIB-Mpal 2015-2022 Corrient '!P$5:P$1012,'PIB-Mpal 2015-2022 Corrient '!$A$5:$A$1012,$W$2,'PIB-Mpal 2015-2022 Corrient '!$E$5:$E$1012,$A85)</f>
        <v>0.99685288463520538</v>
      </c>
      <c r="L85" s="51">
        <f>SUMIFS('PIB-Mpal 2015-2022 Corrient '!Q$5:Q$1012,'PIB-Mpal 2015-2022 Corrient '!$A$5:$A$1012,$W$2,'PIB-Mpal 2015-2022 Corrient '!$E$5:$E$1012,$A85)</f>
        <v>0.50614069100715109</v>
      </c>
      <c r="M85" s="51">
        <f>SUMIFS('PIB-Mpal 2015-2022 Corrient '!R$5:R$1012,'PIB-Mpal 2015-2022 Corrient '!$A$5:$A$1012,$W$2,'PIB-Mpal 2015-2022 Corrient '!$E$5:$E$1012,$A85)</f>
        <v>5.1195716813456578</v>
      </c>
      <c r="N85" s="51">
        <f>SUMIFS('PIB-Mpal 2015-2022 Corrient '!S$5:S$1012,'PIB-Mpal 2015-2022 Corrient '!$A$5:$A$1012,$W$2,'PIB-Mpal 2015-2022 Corrient '!$E$5:$E$1012,$A85)</f>
        <v>5.6296742894610343</v>
      </c>
      <c r="O85" s="51">
        <f>SUMIFS('PIB-Mpal 2015-2022 Corrient '!T$5:T$1012,'PIB-Mpal 2015-2022 Corrient '!$A$5:$A$1012,$W$2,'PIB-Mpal 2015-2022 Corrient '!$E$5:$E$1012,$A85)</f>
        <v>6.9298266643385862</v>
      </c>
      <c r="P85" s="150">
        <f>SUMIFS('PIB-Mpal 2015-2022 Corrient '!U$5:U$1012,'PIB-Mpal 2015-2022 Corrient '!$A$5:$A$1012,$W$2,'PIB-Mpal 2015-2022 Corrient '!$E$5:$E$1012,$A85)</f>
        <v>1.2474151286852457</v>
      </c>
      <c r="Q85" s="156">
        <f>SUMIFS('PIB-Mpal 2015-2022 Corrient '!J$5:J$1012,'PIB-Mpal 2015-2022 Corrient '!$A$5:$A$1012,$W$2,'PIB-Mpal 2015-2022 Corrient '!$E$5:$E$1012,$A85)</f>
        <v>15.900128277086475</v>
      </c>
      <c r="R85" s="52">
        <f>SUMIFS('PIB-Mpal 2015-2022 Corrient '!M$5:M$1012,'PIB-Mpal 2015-2022 Corrient '!$A$5:$A$1012,$W$2,'PIB-Mpal 2015-2022 Corrient '!$E$5:$E$1012,$A85)</f>
        <v>5.810209698739679</v>
      </c>
      <c r="S85" s="53">
        <f>SUMIFS('PIB-Mpal 2015-2022 Corrient '!V$5:V$1012,'PIB-Mpal 2015-2022 Corrient '!$A$5:$A$1012,$W$2,'PIB-Mpal 2015-2022 Corrient '!$E$5:$E$1012,$A85)</f>
        <v>36.087548947137009</v>
      </c>
      <c r="T85" s="207">
        <f>SUMIFS('PIB-Mpal 2015-2022 Corrient '!W$5:W$1012,'PIB-Mpal 2015-2022 Corrient '!$A$5:$A$1012,$W$2,'PIB-Mpal 2015-2022 Corrient '!$E$5:$E$1012,$A85)</f>
        <v>57.797886922963158</v>
      </c>
      <c r="U85" s="203">
        <f>SUMIFS('PIB-Mpal 2015-2022 Corrient '!X$5:X$1012,'PIB-Mpal 2015-2022 Corrient '!$A$5:$A$1012,$W$2,'PIB-Mpal 2015-2022 Corrient '!$E$5:$E$1012,$A85)</f>
        <v>5.8410035438116754</v>
      </c>
      <c r="V85" s="88">
        <f>SUMIFS('PIB-Mpal 2015-2022 Corrient '!Y$5:Y$1012,'PIB-Mpal 2015-2022 Corrient '!$A$5:$A$1012,$W$2,'PIB-Mpal 2015-2022 Corrient '!$E$5:$E$1012,$A85)</f>
        <v>63.638890466774832</v>
      </c>
      <c r="W85" s="92">
        <f t="shared" si="14"/>
        <v>4.1442510315486681E-4</v>
      </c>
      <c r="X85" s="268">
        <f>INDEX(POBLACION!$C$4:$W$128,MATCH(A85,POBLACION!$A$4:$A$128,0),MATCH($W$2,POBLACION!$C$3:$W$3,0))</f>
        <v>4760</v>
      </c>
      <c r="Y85" s="258">
        <f t="shared" si="15"/>
        <v>12142.413219109907</v>
      </c>
      <c r="Z85" s="270">
        <f t="shared" si="16"/>
        <v>13369.514803944292</v>
      </c>
      <c r="AA85" s="273">
        <f t="shared" si="17"/>
        <v>4.0843050082870231</v>
      </c>
      <c r="AB85" s="273">
        <f t="shared" si="18"/>
        <v>4.1261156464696738</v>
      </c>
      <c r="AG85" s="281"/>
      <c r="AH85" s="282"/>
      <c r="AI85" s="282"/>
    </row>
    <row r="86" spans="1:35" x14ac:dyDescent="0.2">
      <c r="A86" s="35" t="s">
        <v>276</v>
      </c>
      <c r="B86" s="32" t="s">
        <v>264</v>
      </c>
      <c r="C86" s="33" t="s">
        <v>145</v>
      </c>
      <c r="D86" s="32" t="s">
        <v>277</v>
      </c>
      <c r="E86" s="51">
        <f>SUMIFS('PIB-Mpal 2015-2022 Corrient '!H$5:H$1012,'PIB-Mpal 2015-2022 Corrient '!$A$5:$A$1012,$W$2,'PIB-Mpal 2015-2022 Corrient '!$E$5:$E$1012,$A86)</f>
        <v>135.07247499558272</v>
      </c>
      <c r="F86" s="51">
        <f>SUMIFS('PIB-Mpal 2015-2022 Corrient '!I$5:I$1012,'PIB-Mpal 2015-2022 Corrient '!$A$5:$A$1012,$W$2,'PIB-Mpal 2015-2022 Corrient '!$E$5:$E$1012,$A86)</f>
        <v>0</v>
      </c>
      <c r="G86" s="51">
        <f>SUMIFS('PIB-Mpal 2015-2022 Corrient '!K$5:K$1012,'PIB-Mpal 2015-2022 Corrient '!$A$5:$A$1012,$W$2,'PIB-Mpal 2015-2022 Corrient '!$E$5:$E$1012,$A86)</f>
        <v>32.852722142687611</v>
      </c>
      <c r="H86" s="51">
        <f>SUMIFS('PIB-Mpal 2015-2022 Corrient '!L$5:L$1012,'PIB-Mpal 2015-2022 Corrient '!$A$5:$A$1012,$W$2,'PIB-Mpal 2015-2022 Corrient '!$E$5:$E$1012,$A86)</f>
        <v>36.005945964814657</v>
      </c>
      <c r="I86" s="51">
        <f>SUMIFS('PIB-Mpal 2015-2022 Corrient '!N$5:N$1012,'PIB-Mpal 2015-2022 Corrient '!$A$5:$A$1012,$W$2,'PIB-Mpal 2015-2022 Corrient '!$E$5:$E$1012,$A86)</f>
        <v>32.159124883991197</v>
      </c>
      <c r="J86" s="51">
        <f>SUMIFS('PIB-Mpal 2015-2022 Corrient '!O$5:O$1012,'PIB-Mpal 2015-2022 Corrient '!$A$5:$A$1012,$W$2,'PIB-Mpal 2015-2022 Corrient '!$E$5:$E$1012,$A86)</f>
        <v>187.08366977140156</v>
      </c>
      <c r="K86" s="51">
        <f>SUMIFS('PIB-Mpal 2015-2022 Corrient '!P$5:P$1012,'PIB-Mpal 2015-2022 Corrient '!$A$5:$A$1012,$W$2,'PIB-Mpal 2015-2022 Corrient '!$E$5:$E$1012,$A86)</f>
        <v>29.912579758586169</v>
      </c>
      <c r="L86" s="51">
        <f>SUMIFS('PIB-Mpal 2015-2022 Corrient '!Q$5:Q$1012,'PIB-Mpal 2015-2022 Corrient '!$A$5:$A$1012,$W$2,'PIB-Mpal 2015-2022 Corrient '!$E$5:$E$1012,$A86)</f>
        <v>15.741765568881799</v>
      </c>
      <c r="M86" s="51">
        <f>SUMIFS('PIB-Mpal 2015-2022 Corrient '!R$5:R$1012,'PIB-Mpal 2015-2022 Corrient '!$A$5:$A$1012,$W$2,'PIB-Mpal 2015-2022 Corrient '!$E$5:$E$1012,$A86)</f>
        <v>103.73928650800134</v>
      </c>
      <c r="N86" s="51">
        <f>SUMIFS('PIB-Mpal 2015-2022 Corrient '!S$5:S$1012,'PIB-Mpal 2015-2022 Corrient '!$A$5:$A$1012,$W$2,'PIB-Mpal 2015-2022 Corrient '!$E$5:$E$1012,$A86)</f>
        <v>66.073166149429866</v>
      </c>
      <c r="O86" s="51">
        <f>SUMIFS('PIB-Mpal 2015-2022 Corrient '!T$5:T$1012,'PIB-Mpal 2015-2022 Corrient '!$A$5:$A$1012,$W$2,'PIB-Mpal 2015-2022 Corrient '!$E$5:$E$1012,$A86)</f>
        <v>78.239699127146082</v>
      </c>
      <c r="P86" s="150">
        <f>SUMIFS('PIB-Mpal 2015-2022 Corrient '!U$5:U$1012,'PIB-Mpal 2015-2022 Corrient '!$A$5:$A$1012,$W$2,'PIB-Mpal 2015-2022 Corrient '!$E$5:$E$1012,$A86)</f>
        <v>32.282945779536014</v>
      </c>
      <c r="Q86" s="156">
        <f>SUMIFS('PIB-Mpal 2015-2022 Corrient '!J$5:J$1012,'PIB-Mpal 2015-2022 Corrient '!$A$5:$A$1012,$W$2,'PIB-Mpal 2015-2022 Corrient '!$E$5:$E$1012,$A86)</f>
        <v>135.07247499558272</v>
      </c>
      <c r="R86" s="52">
        <f>SUMIFS('PIB-Mpal 2015-2022 Corrient '!M$5:M$1012,'PIB-Mpal 2015-2022 Corrient '!$A$5:$A$1012,$W$2,'PIB-Mpal 2015-2022 Corrient '!$E$5:$E$1012,$A86)</f>
        <v>68.858668107502268</v>
      </c>
      <c r="S86" s="53">
        <f>SUMIFS('PIB-Mpal 2015-2022 Corrient '!V$5:V$1012,'PIB-Mpal 2015-2022 Corrient '!$A$5:$A$1012,$W$2,'PIB-Mpal 2015-2022 Corrient '!$E$5:$E$1012,$A86)</f>
        <v>545.23223754697403</v>
      </c>
      <c r="T86" s="207">
        <f>SUMIFS('PIB-Mpal 2015-2022 Corrient '!W$5:W$1012,'PIB-Mpal 2015-2022 Corrient '!$A$5:$A$1012,$W$2,'PIB-Mpal 2015-2022 Corrient '!$E$5:$E$1012,$A86)</f>
        <v>749.16338065005903</v>
      </c>
      <c r="U86" s="203">
        <f>SUMIFS('PIB-Mpal 2015-2022 Corrient '!X$5:X$1012,'PIB-Mpal 2015-2022 Corrient '!$A$5:$A$1012,$W$2,'PIB-Mpal 2015-2022 Corrient '!$E$5:$E$1012,$A86)</f>
        <v>75.709791382224296</v>
      </c>
      <c r="V86" s="88">
        <f>SUMIFS('PIB-Mpal 2015-2022 Corrient '!Y$5:Y$1012,'PIB-Mpal 2015-2022 Corrient '!$A$5:$A$1012,$W$2,'PIB-Mpal 2015-2022 Corrient '!$E$5:$E$1012,$A86)</f>
        <v>824.87317203228326</v>
      </c>
      <c r="W86" s="92">
        <f t="shared" si="14"/>
        <v>5.3716861953719379E-3</v>
      </c>
      <c r="X86" s="268">
        <f>INDEX(POBLACION!$C$4:$W$128,MATCH(A86,POBLACION!$A$4:$A$128,0),MATCH($W$2,POBLACION!$C$3:$W$3,0))</f>
        <v>61122</v>
      </c>
      <c r="Y86" s="258">
        <f t="shared" si="15"/>
        <v>12256.853189523559</v>
      </c>
      <c r="Z86" s="270">
        <f t="shared" si="16"/>
        <v>13495.519976968739</v>
      </c>
      <c r="AA86" s="273">
        <f t="shared" si="17"/>
        <v>4.0883789842243532</v>
      </c>
      <c r="AB86" s="273">
        <f t="shared" si="18"/>
        <v>4.1301896224070038</v>
      </c>
      <c r="AG86" s="281"/>
      <c r="AH86" s="282"/>
      <c r="AI86" s="282"/>
    </row>
    <row r="87" spans="1:35" x14ac:dyDescent="0.2">
      <c r="A87" s="35" t="s">
        <v>278</v>
      </c>
      <c r="B87" s="32" t="s">
        <v>264</v>
      </c>
      <c r="C87" s="33" t="s">
        <v>267</v>
      </c>
      <c r="D87" s="32" t="s">
        <v>279</v>
      </c>
      <c r="E87" s="51">
        <f>SUMIFS('PIB-Mpal 2015-2022 Corrient '!H$5:H$1012,'PIB-Mpal 2015-2022 Corrient '!$A$5:$A$1012,$W$2,'PIB-Mpal 2015-2022 Corrient '!$E$5:$E$1012,$A87)</f>
        <v>261.50795643462891</v>
      </c>
      <c r="F87" s="51">
        <f>SUMIFS('PIB-Mpal 2015-2022 Corrient '!I$5:I$1012,'PIB-Mpal 2015-2022 Corrient '!$A$5:$A$1012,$W$2,'PIB-Mpal 2015-2022 Corrient '!$E$5:$E$1012,$A87)</f>
        <v>0</v>
      </c>
      <c r="G87" s="51">
        <f>SUMIFS('PIB-Mpal 2015-2022 Corrient '!K$5:K$1012,'PIB-Mpal 2015-2022 Corrient '!$A$5:$A$1012,$W$2,'PIB-Mpal 2015-2022 Corrient '!$E$5:$E$1012,$A87)</f>
        <v>5.2586190915100079</v>
      </c>
      <c r="H87" s="51">
        <f>SUMIFS('PIB-Mpal 2015-2022 Corrient '!L$5:L$1012,'PIB-Mpal 2015-2022 Corrient '!$A$5:$A$1012,$W$2,'PIB-Mpal 2015-2022 Corrient '!$E$5:$E$1012,$A87)</f>
        <v>34.930014490755298</v>
      </c>
      <c r="I87" s="51">
        <f>SUMIFS('PIB-Mpal 2015-2022 Corrient '!N$5:N$1012,'PIB-Mpal 2015-2022 Corrient '!$A$5:$A$1012,$W$2,'PIB-Mpal 2015-2022 Corrient '!$E$5:$E$1012,$A87)</f>
        <v>6.9832204585504938</v>
      </c>
      <c r="J87" s="51">
        <f>SUMIFS('PIB-Mpal 2015-2022 Corrient '!O$5:O$1012,'PIB-Mpal 2015-2022 Corrient '!$A$5:$A$1012,$W$2,'PIB-Mpal 2015-2022 Corrient '!$E$5:$E$1012,$A87)</f>
        <v>47.64659516444069</v>
      </c>
      <c r="K87" s="51">
        <f>SUMIFS('PIB-Mpal 2015-2022 Corrient '!P$5:P$1012,'PIB-Mpal 2015-2022 Corrient '!$A$5:$A$1012,$W$2,'PIB-Mpal 2015-2022 Corrient '!$E$5:$E$1012,$A87)</f>
        <v>8.891605769221723</v>
      </c>
      <c r="L87" s="51">
        <f>SUMIFS('PIB-Mpal 2015-2022 Corrient '!Q$5:Q$1012,'PIB-Mpal 2015-2022 Corrient '!$A$5:$A$1012,$W$2,'PIB-Mpal 2015-2022 Corrient '!$E$5:$E$1012,$A87)</f>
        <v>5.3375562146711122</v>
      </c>
      <c r="M87" s="51">
        <f>SUMIFS('PIB-Mpal 2015-2022 Corrient '!R$5:R$1012,'PIB-Mpal 2015-2022 Corrient '!$A$5:$A$1012,$W$2,'PIB-Mpal 2015-2022 Corrient '!$E$5:$E$1012,$A87)</f>
        <v>29.991985029919441</v>
      </c>
      <c r="N87" s="51">
        <f>SUMIFS('PIB-Mpal 2015-2022 Corrient '!S$5:S$1012,'PIB-Mpal 2015-2022 Corrient '!$A$5:$A$1012,$W$2,'PIB-Mpal 2015-2022 Corrient '!$E$5:$E$1012,$A87)</f>
        <v>23.306607357431346</v>
      </c>
      <c r="O87" s="51">
        <f>SUMIFS('PIB-Mpal 2015-2022 Corrient '!T$5:T$1012,'PIB-Mpal 2015-2022 Corrient '!$A$5:$A$1012,$W$2,'PIB-Mpal 2015-2022 Corrient '!$E$5:$E$1012,$A87)</f>
        <v>32.376116036690405</v>
      </c>
      <c r="P87" s="150">
        <f>SUMIFS('PIB-Mpal 2015-2022 Corrient '!U$5:U$1012,'PIB-Mpal 2015-2022 Corrient '!$A$5:$A$1012,$W$2,'PIB-Mpal 2015-2022 Corrient '!$E$5:$E$1012,$A87)</f>
        <v>8.0669718664193013</v>
      </c>
      <c r="Q87" s="156">
        <f>SUMIFS('PIB-Mpal 2015-2022 Corrient '!J$5:J$1012,'PIB-Mpal 2015-2022 Corrient '!$A$5:$A$1012,$W$2,'PIB-Mpal 2015-2022 Corrient '!$E$5:$E$1012,$A87)</f>
        <v>261.50795643462891</v>
      </c>
      <c r="R87" s="52">
        <f>SUMIFS('PIB-Mpal 2015-2022 Corrient '!M$5:M$1012,'PIB-Mpal 2015-2022 Corrient '!$A$5:$A$1012,$W$2,'PIB-Mpal 2015-2022 Corrient '!$E$5:$E$1012,$A87)</f>
        <v>40.188633582265304</v>
      </c>
      <c r="S87" s="53">
        <f>SUMIFS('PIB-Mpal 2015-2022 Corrient '!V$5:V$1012,'PIB-Mpal 2015-2022 Corrient '!$A$5:$A$1012,$W$2,'PIB-Mpal 2015-2022 Corrient '!$E$5:$E$1012,$A87)</f>
        <v>162.60065789734449</v>
      </c>
      <c r="T87" s="207">
        <f>SUMIFS('PIB-Mpal 2015-2022 Corrient '!W$5:W$1012,'PIB-Mpal 2015-2022 Corrient '!$A$5:$A$1012,$W$2,'PIB-Mpal 2015-2022 Corrient '!$E$5:$E$1012,$A87)</f>
        <v>464.29724791423871</v>
      </c>
      <c r="U87" s="203">
        <f>SUMIFS('PIB-Mpal 2015-2022 Corrient '!X$5:X$1012,'PIB-Mpal 2015-2022 Corrient '!$A$5:$A$1012,$W$2,'PIB-Mpal 2015-2022 Corrient '!$E$5:$E$1012,$A87)</f>
        <v>46.921470919235468</v>
      </c>
      <c r="V87" s="88">
        <f>SUMIFS('PIB-Mpal 2015-2022 Corrient '!Y$5:Y$1012,'PIB-Mpal 2015-2022 Corrient '!$A$5:$A$1012,$W$2,'PIB-Mpal 2015-2022 Corrient '!$E$5:$E$1012,$A87)</f>
        <v>511.21871883347416</v>
      </c>
      <c r="W87" s="92">
        <f t="shared" si="14"/>
        <v>3.3291257709446103E-3</v>
      </c>
      <c r="X87" s="268">
        <f>INDEX(POBLACION!$C$4:$W$128,MATCH(A87,POBLACION!$A$4:$A$128,0),MATCH($W$2,POBLACION!$C$3:$W$3,0))</f>
        <v>21427</v>
      </c>
      <c r="Y87" s="258">
        <f t="shared" si="15"/>
        <v>21668.793947553961</v>
      </c>
      <c r="Z87" s="270">
        <f t="shared" si="16"/>
        <v>23858.623177928508</v>
      </c>
      <c r="AA87" s="273">
        <f t="shared" si="17"/>
        <v>4.3358347398155086</v>
      </c>
      <c r="AB87" s="273">
        <f t="shared" si="18"/>
        <v>4.3776453779981592</v>
      </c>
      <c r="AG87" s="281"/>
      <c r="AH87" s="282"/>
      <c r="AI87" s="282"/>
    </row>
    <row r="88" spans="1:35" x14ac:dyDescent="0.2">
      <c r="A88" s="35" t="s">
        <v>280</v>
      </c>
      <c r="B88" s="32" t="s">
        <v>264</v>
      </c>
      <c r="C88" s="33" t="s">
        <v>145</v>
      </c>
      <c r="D88" s="32" t="s">
        <v>281</v>
      </c>
      <c r="E88" s="51">
        <f>SUMIFS('PIB-Mpal 2015-2022 Corrient '!H$5:H$1012,'PIB-Mpal 2015-2022 Corrient '!$A$5:$A$1012,$W$2,'PIB-Mpal 2015-2022 Corrient '!$E$5:$E$1012,$A88)</f>
        <v>55.8279105475088</v>
      </c>
      <c r="F88" s="51">
        <f>SUMIFS('PIB-Mpal 2015-2022 Corrient '!I$5:I$1012,'PIB-Mpal 2015-2022 Corrient '!$A$5:$A$1012,$W$2,'PIB-Mpal 2015-2022 Corrient '!$E$5:$E$1012,$A88)</f>
        <v>0</v>
      </c>
      <c r="G88" s="51">
        <f>SUMIFS('PIB-Mpal 2015-2022 Corrient '!K$5:K$1012,'PIB-Mpal 2015-2022 Corrient '!$A$5:$A$1012,$W$2,'PIB-Mpal 2015-2022 Corrient '!$E$5:$E$1012,$A88)</f>
        <v>17.913211738366922</v>
      </c>
      <c r="H88" s="51">
        <f>SUMIFS('PIB-Mpal 2015-2022 Corrient '!L$5:L$1012,'PIB-Mpal 2015-2022 Corrient '!$A$5:$A$1012,$W$2,'PIB-Mpal 2015-2022 Corrient '!$E$5:$E$1012,$A88)</f>
        <v>35.084473009345146</v>
      </c>
      <c r="I88" s="51">
        <f>SUMIFS('PIB-Mpal 2015-2022 Corrient '!N$5:N$1012,'PIB-Mpal 2015-2022 Corrient '!$A$5:$A$1012,$W$2,'PIB-Mpal 2015-2022 Corrient '!$E$5:$E$1012,$A88)</f>
        <v>28.495808264996349</v>
      </c>
      <c r="J88" s="51">
        <f>SUMIFS('PIB-Mpal 2015-2022 Corrient '!O$5:O$1012,'PIB-Mpal 2015-2022 Corrient '!$A$5:$A$1012,$W$2,'PIB-Mpal 2015-2022 Corrient '!$E$5:$E$1012,$A88)</f>
        <v>118.83113015982394</v>
      </c>
      <c r="K88" s="51">
        <f>SUMIFS('PIB-Mpal 2015-2022 Corrient '!P$5:P$1012,'PIB-Mpal 2015-2022 Corrient '!$A$5:$A$1012,$W$2,'PIB-Mpal 2015-2022 Corrient '!$E$5:$E$1012,$A88)</f>
        <v>24.728238373127425</v>
      </c>
      <c r="L88" s="51">
        <f>SUMIFS('PIB-Mpal 2015-2022 Corrient '!Q$5:Q$1012,'PIB-Mpal 2015-2022 Corrient '!$A$5:$A$1012,$W$2,'PIB-Mpal 2015-2022 Corrient '!$E$5:$E$1012,$A88)</f>
        <v>13.026964177129898</v>
      </c>
      <c r="M88" s="51">
        <f>SUMIFS('PIB-Mpal 2015-2022 Corrient '!R$5:R$1012,'PIB-Mpal 2015-2022 Corrient '!$A$5:$A$1012,$W$2,'PIB-Mpal 2015-2022 Corrient '!$E$5:$E$1012,$A88)</f>
        <v>78.280759777683457</v>
      </c>
      <c r="N88" s="51">
        <f>SUMIFS('PIB-Mpal 2015-2022 Corrient '!S$5:S$1012,'PIB-Mpal 2015-2022 Corrient '!$A$5:$A$1012,$W$2,'PIB-Mpal 2015-2022 Corrient '!$E$5:$E$1012,$A88)</f>
        <v>56.77083032327257</v>
      </c>
      <c r="O88" s="51">
        <f>SUMIFS('PIB-Mpal 2015-2022 Corrient '!T$5:T$1012,'PIB-Mpal 2015-2022 Corrient '!$A$5:$A$1012,$W$2,'PIB-Mpal 2015-2022 Corrient '!$E$5:$E$1012,$A88)</f>
        <v>65.548197520974796</v>
      </c>
      <c r="P88" s="150">
        <f>SUMIFS('PIB-Mpal 2015-2022 Corrient '!U$5:U$1012,'PIB-Mpal 2015-2022 Corrient '!$A$5:$A$1012,$W$2,'PIB-Mpal 2015-2022 Corrient '!$E$5:$E$1012,$A88)</f>
        <v>15.760572042049759</v>
      </c>
      <c r="Q88" s="156">
        <f>SUMIFS('PIB-Mpal 2015-2022 Corrient '!J$5:J$1012,'PIB-Mpal 2015-2022 Corrient '!$A$5:$A$1012,$W$2,'PIB-Mpal 2015-2022 Corrient '!$E$5:$E$1012,$A88)</f>
        <v>55.8279105475088</v>
      </c>
      <c r="R88" s="52">
        <f>SUMIFS('PIB-Mpal 2015-2022 Corrient '!M$5:M$1012,'PIB-Mpal 2015-2022 Corrient '!$A$5:$A$1012,$W$2,'PIB-Mpal 2015-2022 Corrient '!$E$5:$E$1012,$A88)</f>
        <v>52.997684747712071</v>
      </c>
      <c r="S88" s="53">
        <f>SUMIFS('PIB-Mpal 2015-2022 Corrient '!V$5:V$1012,'PIB-Mpal 2015-2022 Corrient '!$A$5:$A$1012,$W$2,'PIB-Mpal 2015-2022 Corrient '!$E$5:$E$1012,$A88)</f>
        <v>401.44250063905815</v>
      </c>
      <c r="T88" s="207">
        <f>SUMIFS('PIB-Mpal 2015-2022 Corrient '!W$5:W$1012,'PIB-Mpal 2015-2022 Corrient '!$A$5:$A$1012,$W$2,'PIB-Mpal 2015-2022 Corrient '!$E$5:$E$1012,$A88)</f>
        <v>510.26809593427902</v>
      </c>
      <c r="U88" s="203">
        <f>SUMIFS('PIB-Mpal 2015-2022 Corrient '!X$5:X$1012,'PIB-Mpal 2015-2022 Corrient '!$A$5:$A$1012,$W$2,'PIB-Mpal 2015-2022 Corrient '!$E$5:$E$1012,$A88)</f>
        <v>51.567244328823612</v>
      </c>
      <c r="V88" s="88">
        <f>SUMIFS('PIB-Mpal 2015-2022 Corrient '!Y$5:Y$1012,'PIB-Mpal 2015-2022 Corrient '!$A$5:$A$1012,$W$2,'PIB-Mpal 2015-2022 Corrient '!$E$5:$E$1012,$A88)</f>
        <v>561.83534026310258</v>
      </c>
      <c r="W88" s="92">
        <f t="shared" si="14"/>
        <v>3.6587480884216314E-3</v>
      </c>
      <c r="X88" s="268">
        <f>INDEX(POBLACION!$C$4:$W$128,MATCH(A88,POBLACION!$A$4:$A$128,0),MATCH($W$2,POBLACION!$C$3:$W$3,0))</f>
        <v>24185</v>
      </c>
      <c r="Y88" s="258">
        <f t="shared" si="15"/>
        <v>21098.536114710732</v>
      </c>
      <c r="Z88" s="270">
        <f t="shared" si="16"/>
        <v>23230.73559078365</v>
      </c>
      <c r="AA88" s="273">
        <f t="shared" si="17"/>
        <v>4.3242523235745542</v>
      </c>
      <c r="AB88" s="273">
        <f t="shared" si="18"/>
        <v>4.3660629617572049</v>
      </c>
      <c r="AG88" s="281"/>
      <c r="AH88" s="282"/>
      <c r="AI88" s="282"/>
    </row>
    <row r="89" spans="1:35" x14ac:dyDescent="0.2">
      <c r="A89" s="35" t="s">
        <v>282</v>
      </c>
      <c r="B89" s="32" t="s">
        <v>264</v>
      </c>
      <c r="C89" s="33" t="s">
        <v>283</v>
      </c>
      <c r="D89" s="32" t="s">
        <v>284</v>
      </c>
      <c r="E89" s="51">
        <f>SUMIFS('PIB-Mpal 2015-2022 Corrient '!H$5:H$1012,'PIB-Mpal 2015-2022 Corrient '!$A$5:$A$1012,$W$2,'PIB-Mpal 2015-2022 Corrient '!$E$5:$E$1012,$A89)</f>
        <v>123.87607719928326</v>
      </c>
      <c r="F89" s="51">
        <f>SUMIFS('PIB-Mpal 2015-2022 Corrient '!I$5:I$1012,'PIB-Mpal 2015-2022 Corrient '!$A$5:$A$1012,$W$2,'PIB-Mpal 2015-2022 Corrient '!$E$5:$E$1012,$A89)</f>
        <v>0</v>
      </c>
      <c r="G89" s="51">
        <f>SUMIFS('PIB-Mpal 2015-2022 Corrient '!K$5:K$1012,'PIB-Mpal 2015-2022 Corrient '!$A$5:$A$1012,$W$2,'PIB-Mpal 2015-2022 Corrient '!$E$5:$E$1012,$A89)</f>
        <v>27.884233226099067</v>
      </c>
      <c r="H89" s="51">
        <f>SUMIFS('PIB-Mpal 2015-2022 Corrient '!L$5:L$1012,'PIB-Mpal 2015-2022 Corrient '!$A$5:$A$1012,$W$2,'PIB-Mpal 2015-2022 Corrient '!$E$5:$E$1012,$A89)</f>
        <v>20.640339440393642</v>
      </c>
      <c r="I89" s="51">
        <f>SUMIFS('PIB-Mpal 2015-2022 Corrient '!N$5:N$1012,'PIB-Mpal 2015-2022 Corrient '!$A$5:$A$1012,$W$2,'PIB-Mpal 2015-2022 Corrient '!$E$5:$E$1012,$A89)</f>
        <v>13.383298851944939</v>
      </c>
      <c r="J89" s="51">
        <f>SUMIFS('PIB-Mpal 2015-2022 Corrient '!O$5:O$1012,'PIB-Mpal 2015-2022 Corrient '!$A$5:$A$1012,$W$2,'PIB-Mpal 2015-2022 Corrient '!$E$5:$E$1012,$A89)</f>
        <v>84.221332715690167</v>
      </c>
      <c r="K89" s="51">
        <f>SUMIFS('PIB-Mpal 2015-2022 Corrient '!P$5:P$1012,'PIB-Mpal 2015-2022 Corrient '!$A$5:$A$1012,$W$2,'PIB-Mpal 2015-2022 Corrient '!$E$5:$E$1012,$A89)</f>
        <v>12.312276634239964</v>
      </c>
      <c r="L89" s="51">
        <f>SUMIFS('PIB-Mpal 2015-2022 Corrient '!Q$5:Q$1012,'PIB-Mpal 2015-2022 Corrient '!$A$5:$A$1012,$W$2,'PIB-Mpal 2015-2022 Corrient '!$E$5:$E$1012,$A89)</f>
        <v>13.084343421480721</v>
      </c>
      <c r="M89" s="51">
        <f>SUMIFS('PIB-Mpal 2015-2022 Corrient '!R$5:R$1012,'PIB-Mpal 2015-2022 Corrient '!$A$5:$A$1012,$W$2,'PIB-Mpal 2015-2022 Corrient '!$E$5:$E$1012,$A89)</f>
        <v>53.679131299458376</v>
      </c>
      <c r="N89" s="51">
        <f>SUMIFS('PIB-Mpal 2015-2022 Corrient '!S$5:S$1012,'PIB-Mpal 2015-2022 Corrient '!$A$5:$A$1012,$W$2,'PIB-Mpal 2015-2022 Corrient '!$E$5:$E$1012,$A89)</f>
        <v>36.296279215033657</v>
      </c>
      <c r="O89" s="51">
        <f>SUMIFS('PIB-Mpal 2015-2022 Corrient '!T$5:T$1012,'PIB-Mpal 2015-2022 Corrient '!$A$5:$A$1012,$W$2,'PIB-Mpal 2015-2022 Corrient '!$E$5:$E$1012,$A89)</f>
        <v>57.93502981940172</v>
      </c>
      <c r="P89" s="150">
        <f>SUMIFS('PIB-Mpal 2015-2022 Corrient '!U$5:U$1012,'PIB-Mpal 2015-2022 Corrient '!$A$5:$A$1012,$W$2,'PIB-Mpal 2015-2022 Corrient '!$E$5:$E$1012,$A89)</f>
        <v>11.761274107073344</v>
      </c>
      <c r="Q89" s="156">
        <f>SUMIFS('PIB-Mpal 2015-2022 Corrient '!J$5:J$1012,'PIB-Mpal 2015-2022 Corrient '!$A$5:$A$1012,$W$2,'PIB-Mpal 2015-2022 Corrient '!$E$5:$E$1012,$A89)</f>
        <v>123.87607719928326</v>
      </c>
      <c r="R89" s="52">
        <f>SUMIFS('PIB-Mpal 2015-2022 Corrient '!M$5:M$1012,'PIB-Mpal 2015-2022 Corrient '!$A$5:$A$1012,$W$2,'PIB-Mpal 2015-2022 Corrient '!$E$5:$E$1012,$A89)</f>
        <v>48.524572666492709</v>
      </c>
      <c r="S89" s="53">
        <f>SUMIFS('PIB-Mpal 2015-2022 Corrient '!V$5:V$1012,'PIB-Mpal 2015-2022 Corrient '!$A$5:$A$1012,$W$2,'PIB-Mpal 2015-2022 Corrient '!$E$5:$E$1012,$A89)</f>
        <v>282.67296606432291</v>
      </c>
      <c r="T89" s="207">
        <f>SUMIFS('PIB-Mpal 2015-2022 Corrient '!W$5:W$1012,'PIB-Mpal 2015-2022 Corrient '!$A$5:$A$1012,$W$2,'PIB-Mpal 2015-2022 Corrient '!$E$5:$E$1012,$A89)</f>
        <v>455.07361593009887</v>
      </c>
      <c r="U89" s="203">
        <f>SUMIFS('PIB-Mpal 2015-2022 Corrient '!X$5:X$1012,'PIB-Mpal 2015-2022 Corrient '!$A$5:$A$1012,$W$2,'PIB-Mpal 2015-2022 Corrient '!$E$5:$E$1012,$A89)</f>
        <v>45.989338795132326</v>
      </c>
      <c r="V89" s="88">
        <f>SUMIFS('PIB-Mpal 2015-2022 Corrient '!Y$5:Y$1012,'PIB-Mpal 2015-2022 Corrient '!$A$5:$A$1012,$W$2,'PIB-Mpal 2015-2022 Corrient '!$E$5:$E$1012,$A89)</f>
        <v>501.06295472523118</v>
      </c>
      <c r="W89" s="92">
        <f t="shared" si="14"/>
        <v>3.2629900549177499E-3</v>
      </c>
      <c r="X89" s="268">
        <f>INDEX(POBLACION!$C$4:$W$128,MATCH(A89,POBLACION!$A$4:$A$128,0),MATCH($W$2,POBLACION!$C$3:$W$3,0))</f>
        <v>36043</v>
      </c>
      <c r="Y89" s="258">
        <f t="shared" si="15"/>
        <v>12625.852895988095</v>
      </c>
      <c r="Z89" s="270">
        <f t="shared" si="16"/>
        <v>13901.810468752079</v>
      </c>
      <c r="AA89" s="273">
        <f t="shared" si="17"/>
        <v>4.1012607250489301</v>
      </c>
      <c r="AB89" s="273">
        <f t="shared" si="18"/>
        <v>4.1430713632315808</v>
      </c>
      <c r="AG89" s="281"/>
      <c r="AH89" s="282"/>
      <c r="AI89" s="282"/>
    </row>
    <row r="90" spans="1:35" x14ac:dyDescent="0.2">
      <c r="A90" s="35" t="s">
        <v>285</v>
      </c>
      <c r="B90" s="32" t="s">
        <v>264</v>
      </c>
      <c r="C90" s="33" t="s">
        <v>267</v>
      </c>
      <c r="D90" s="32" t="s">
        <v>286</v>
      </c>
      <c r="E90" s="51">
        <f>SUMIFS('PIB-Mpal 2015-2022 Corrient '!H$5:H$1012,'PIB-Mpal 2015-2022 Corrient '!$A$5:$A$1012,$W$2,'PIB-Mpal 2015-2022 Corrient '!$E$5:$E$1012,$A90)</f>
        <v>19.226117121439565</v>
      </c>
      <c r="F90" s="51">
        <f>SUMIFS('PIB-Mpal 2015-2022 Corrient '!I$5:I$1012,'PIB-Mpal 2015-2022 Corrient '!$A$5:$A$1012,$W$2,'PIB-Mpal 2015-2022 Corrient '!$E$5:$E$1012,$A90)</f>
        <v>0</v>
      </c>
      <c r="G90" s="51">
        <f>SUMIFS('PIB-Mpal 2015-2022 Corrient '!K$5:K$1012,'PIB-Mpal 2015-2022 Corrient '!$A$5:$A$1012,$W$2,'PIB-Mpal 2015-2022 Corrient '!$E$5:$E$1012,$A90)</f>
        <v>1.3490238802885586</v>
      </c>
      <c r="H90" s="51">
        <f>SUMIFS('PIB-Mpal 2015-2022 Corrient '!L$5:L$1012,'PIB-Mpal 2015-2022 Corrient '!$A$5:$A$1012,$W$2,'PIB-Mpal 2015-2022 Corrient '!$E$5:$E$1012,$A90)</f>
        <v>6.2905240719266002</v>
      </c>
      <c r="I90" s="51">
        <f>SUMIFS('PIB-Mpal 2015-2022 Corrient '!N$5:N$1012,'PIB-Mpal 2015-2022 Corrient '!$A$5:$A$1012,$W$2,'PIB-Mpal 2015-2022 Corrient '!$E$5:$E$1012,$A90)</f>
        <v>10.13408924922674</v>
      </c>
      <c r="J90" s="51">
        <f>SUMIFS('PIB-Mpal 2015-2022 Corrient '!O$5:O$1012,'PIB-Mpal 2015-2022 Corrient '!$A$5:$A$1012,$W$2,'PIB-Mpal 2015-2022 Corrient '!$E$5:$E$1012,$A90)</f>
        <v>9.0321726950436467</v>
      </c>
      <c r="K90" s="51">
        <f>SUMIFS('PIB-Mpal 2015-2022 Corrient '!P$5:P$1012,'PIB-Mpal 2015-2022 Corrient '!$A$5:$A$1012,$W$2,'PIB-Mpal 2015-2022 Corrient '!$E$5:$E$1012,$A90)</f>
        <v>2.7101603206706923</v>
      </c>
      <c r="L90" s="51">
        <f>SUMIFS('PIB-Mpal 2015-2022 Corrient '!Q$5:Q$1012,'PIB-Mpal 2015-2022 Corrient '!$A$5:$A$1012,$W$2,'PIB-Mpal 2015-2022 Corrient '!$E$5:$E$1012,$A90)</f>
        <v>1.771167560274594</v>
      </c>
      <c r="M90" s="51">
        <f>SUMIFS('PIB-Mpal 2015-2022 Corrient '!R$5:R$1012,'PIB-Mpal 2015-2022 Corrient '!$A$5:$A$1012,$W$2,'PIB-Mpal 2015-2022 Corrient '!$E$5:$E$1012,$A90)</f>
        <v>15.813838955835157</v>
      </c>
      <c r="N90" s="51">
        <f>SUMIFS('PIB-Mpal 2015-2022 Corrient '!S$5:S$1012,'PIB-Mpal 2015-2022 Corrient '!$A$5:$A$1012,$W$2,'PIB-Mpal 2015-2022 Corrient '!$E$5:$E$1012,$A90)</f>
        <v>9.1138256973455594</v>
      </c>
      <c r="O90" s="51">
        <f>SUMIFS('PIB-Mpal 2015-2022 Corrient '!T$5:T$1012,'PIB-Mpal 2015-2022 Corrient '!$A$5:$A$1012,$W$2,'PIB-Mpal 2015-2022 Corrient '!$E$5:$E$1012,$A90)</f>
        <v>13.924448192345309</v>
      </c>
      <c r="P90" s="150">
        <f>SUMIFS('PIB-Mpal 2015-2022 Corrient '!U$5:U$1012,'PIB-Mpal 2015-2022 Corrient '!$A$5:$A$1012,$W$2,'PIB-Mpal 2015-2022 Corrient '!$E$5:$E$1012,$A90)</f>
        <v>2.7099045024148429</v>
      </c>
      <c r="Q90" s="156">
        <f>SUMIFS('PIB-Mpal 2015-2022 Corrient '!J$5:J$1012,'PIB-Mpal 2015-2022 Corrient '!$A$5:$A$1012,$W$2,'PIB-Mpal 2015-2022 Corrient '!$E$5:$E$1012,$A90)</f>
        <v>19.226117121439565</v>
      </c>
      <c r="R90" s="52">
        <f>SUMIFS('PIB-Mpal 2015-2022 Corrient '!M$5:M$1012,'PIB-Mpal 2015-2022 Corrient '!$A$5:$A$1012,$W$2,'PIB-Mpal 2015-2022 Corrient '!$E$5:$E$1012,$A90)</f>
        <v>7.6395479522151586</v>
      </c>
      <c r="S90" s="53">
        <f>SUMIFS('PIB-Mpal 2015-2022 Corrient '!V$5:V$1012,'PIB-Mpal 2015-2022 Corrient '!$A$5:$A$1012,$W$2,'PIB-Mpal 2015-2022 Corrient '!$E$5:$E$1012,$A90)</f>
        <v>65.209607173156542</v>
      </c>
      <c r="T90" s="207">
        <f>SUMIFS('PIB-Mpal 2015-2022 Corrient '!W$5:W$1012,'PIB-Mpal 2015-2022 Corrient '!$A$5:$A$1012,$W$2,'PIB-Mpal 2015-2022 Corrient '!$E$5:$E$1012,$A90)</f>
        <v>92.075272246811267</v>
      </c>
      <c r="U90" s="203">
        <f>SUMIFS('PIB-Mpal 2015-2022 Corrient '!X$5:X$1012,'PIB-Mpal 2015-2022 Corrient '!$A$5:$A$1012,$W$2,'PIB-Mpal 2015-2022 Corrient '!$E$5:$E$1012,$A90)</f>
        <v>9.3050459129739611</v>
      </c>
      <c r="V90" s="88">
        <f>SUMIFS('PIB-Mpal 2015-2022 Corrient '!Y$5:Y$1012,'PIB-Mpal 2015-2022 Corrient '!$A$5:$A$1012,$W$2,'PIB-Mpal 2015-2022 Corrient '!$E$5:$E$1012,$A90)</f>
        <v>101.38031815978523</v>
      </c>
      <c r="W90" s="92">
        <f t="shared" si="14"/>
        <v>6.602024092984077E-4</v>
      </c>
      <c r="X90" s="268">
        <f>INDEX(POBLACION!$C$4:$W$128,MATCH(A90,POBLACION!$A$4:$A$128,0),MATCH($W$2,POBLACION!$C$3:$W$3,0))</f>
        <v>9870</v>
      </c>
      <c r="Y90" s="258">
        <f t="shared" si="15"/>
        <v>9328.80164608017</v>
      </c>
      <c r="Z90" s="270">
        <f t="shared" si="16"/>
        <v>10271.56212358513</v>
      </c>
      <c r="AA90" s="273">
        <f t="shared" si="17"/>
        <v>3.9698258589747515</v>
      </c>
      <c r="AB90" s="273">
        <f t="shared" si="18"/>
        <v>4.0116364971574017</v>
      </c>
      <c r="AG90" s="281"/>
      <c r="AH90" s="282"/>
      <c r="AI90" s="282"/>
    </row>
    <row r="91" spans="1:35" x14ac:dyDescent="0.2">
      <c r="A91" s="35" t="s">
        <v>287</v>
      </c>
      <c r="B91" s="32" t="s">
        <v>264</v>
      </c>
      <c r="C91" s="33" t="s">
        <v>145</v>
      </c>
      <c r="D91" s="32" t="s">
        <v>288</v>
      </c>
      <c r="E91" s="51">
        <f>SUMIFS('PIB-Mpal 2015-2022 Corrient '!H$5:H$1012,'PIB-Mpal 2015-2022 Corrient '!$A$5:$A$1012,$W$2,'PIB-Mpal 2015-2022 Corrient '!$E$5:$E$1012,$A91)</f>
        <v>98.292494512659758</v>
      </c>
      <c r="F91" s="51">
        <f>SUMIFS('PIB-Mpal 2015-2022 Corrient '!I$5:I$1012,'PIB-Mpal 2015-2022 Corrient '!$A$5:$A$1012,$W$2,'PIB-Mpal 2015-2022 Corrient '!$E$5:$E$1012,$A91)</f>
        <v>0</v>
      </c>
      <c r="G91" s="51">
        <f>SUMIFS('PIB-Mpal 2015-2022 Corrient '!K$5:K$1012,'PIB-Mpal 2015-2022 Corrient '!$A$5:$A$1012,$W$2,'PIB-Mpal 2015-2022 Corrient '!$E$5:$E$1012,$A91)</f>
        <v>573.00839989901795</v>
      </c>
      <c r="H91" s="51">
        <f>SUMIFS('PIB-Mpal 2015-2022 Corrient '!L$5:L$1012,'PIB-Mpal 2015-2022 Corrient '!$A$5:$A$1012,$W$2,'PIB-Mpal 2015-2022 Corrient '!$E$5:$E$1012,$A91)</f>
        <v>202.38875198272194</v>
      </c>
      <c r="I91" s="51">
        <f>SUMIFS('PIB-Mpal 2015-2022 Corrient '!N$5:N$1012,'PIB-Mpal 2015-2022 Corrient '!$A$5:$A$1012,$W$2,'PIB-Mpal 2015-2022 Corrient '!$E$5:$E$1012,$A91)</f>
        <v>44.105770945543988</v>
      </c>
      <c r="J91" s="51">
        <f>SUMIFS('PIB-Mpal 2015-2022 Corrient '!O$5:O$1012,'PIB-Mpal 2015-2022 Corrient '!$A$5:$A$1012,$W$2,'PIB-Mpal 2015-2022 Corrient '!$E$5:$E$1012,$A91)</f>
        <v>170.91222075894524</v>
      </c>
      <c r="K91" s="51">
        <f>SUMIFS('PIB-Mpal 2015-2022 Corrient '!P$5:P$1012,'PIB-Mpal 2015-2022 Corrient '!$A$5:$A$1012,$W$2,'PIB-Mpal 2015-2022 Corrient '!$E$5:$E$1012,$A91)</f>
        <v>29.003789071288619</v>
      </c>
      <c r="L91" s="51">
        <f>SUMIFS('PIB-Mpal 2015-2022 Corrient '!Q$5:Q$1012,'PIB-Mpal 2015-2022 Corrient '!$A$5:$A$1012,$W$2,'PIB-Mpal 2015-2022 Corrient '!$E$5:$E$1012,$A91)</f>
        <v>15.884111223838671</v>
      </c>
      <c r="M91" s="51">
        <f>SUMIFS('PIB-Mpal 2015-2022 Corrient '!R$5:R$1012,'PIB-Mpal 2015-2022 Corrient '!$A$5:$A$1012,$W$2,'PIB-Mpal 2015-2022 Corrient '!$E$5:$E$1012,$A91)</f>
        <v>113.43292970782205</v>
      </c>
      <c r="N91" s="51">
        <f>SUMIFS('PIB-Mpal 2015-2022 Corrient '!S$5:S$1012,'PIB-Mpal 2015-2022 Corrient '!$A$5:$A$1012,$W$2,'PIB-Mpal 2015-2022 Corrient '!$E$5:$E$1012,$A91)</f>
        <v>99.17164122496213</v>
      </c>
      <c r="O91" s="51">
        <f>SUMIFS('PIB-Mpal 2015-2022 Corrient '!T$5:T$1012,'PIB-Mpal 2015-2022 Corrient '!$A$5:$A$1012,$W$2,'PIB-Mpal 2015-2022 Corrient '!$E$5:$E$1012,$A91)</f>
        <v>75.925764992476473</v>
      </c>
      <c r="P91" s="150">
        <f>SUMIFS('PIB-Mpal 2015-2022 Corrient '!U$5:U$1012,'PIB-Mpal 2015-2022 Corrient '!$A$5:$A$1012,$W$2,'PIB-Mpal 2015-2022 Corrient '!$E$5:$E$1012,$A91)</f>
        <v>24.712730036501711</v>
      </c>
      <c r="Q91" s="156">
        <f>SUMIFS('PIB-Mpal 2015-2022 Corrient '!J$5:J$1012,'PIB-Mpal 2015-2022 Corrient '!$A$5:$A$1012,$W$2,'PIB-Mpal 2015-2022 Corrient '!$E$5:$E$1012,$A91)</f>
        <v>98.292494512659758</v>
      </c>
      <c r="R91" s="52">
        <f>SUMIFS('PIB-Mpal 2015-2022 Corrient '!M$5:M$1012,'PIB-Mpal 2015-2022 Corrient '!$A$5:$A$1012,$W$2,'PIB-Mpal 2015-2022 Corrient '!$E$5:$E$1012,$A91)</f>
        <v>775.39715188173989</v>
      </c>
      <c r="S91" s="53">
        <f>SUMIFS('PIB-Mpal 2015-2022 Corrient '!V$5:V$1012,'PIB-Mpal 2015-2022 Corrient '!$A$5:$A$1012,$W$2,'PIB-Mpal 2015-2022 Corrient '!$E$5:$E$1012,$A91)</f>
        <v>573.14895796137887</v>
      </c>
      <c r="T91" s="207">
        <f>SUMIFS('PIB-Mpal 2015-2022 Corrient '!W$5:W$1012,'PIB-Mpal 2015-2022 Corrient '!$A$5:$A$1012,$W$2,'PIB-Mpal 2015-2022 Corrient '!$E$5:$E$1012,$A91)</f>
        <v>1446.8386043557784</v>
      </c>
      <c r="U91" s="203">
        <f>SUMIFS('PIB-Mpal 2015-2022 Corrient '!X$5:X$1012,'PIB-Mpal 2015-2022 Corrient '!$A$5:$A$1012,$W$2,'PIB-Mpal 2015-2022 Corrient '!$E$5:$E$1012,$A91)</f>
        <v>146.21623497463975</v>
      </c>
      <c r="V91" s="88">
        <f>SUMIFS('PIB-Mpal 2015-2022 Corrient '!Y$5:Y$1012,'PIB-Mpal 2015-2022 Corrient '!$A$5:$A$1012,$W$2,'PIB-Mpal 2015-2022 Corrient '!$E$5:$E$1012,$A91)</f>
        <v>1593.0548393304182</v>
      </c>
      <c r="W91" s="92">
        <f t="shared" si="14"/>
        <v>1.0374189607619771E-2</v>
      </c>
      <c r="X91" s="268">
        <f>INDEX(POBLACION!$C$4:$W$128,MATCH(A91,POBLACION!$A$4:$A$128,0),MATCH($W$2,POBLACION!$C$3:$W$3,0))</f>
        <v>56774</v>
      </c>
      <c r="Y91" s="258">
        <f t="shared" si="15"/>
        <v>25484.175931866321</v>
      </c>
      <c r="Z91" s="270">
        <f t="shared" si="16"/>
        <v>28059.584304970904</v>
      </c>
      <c r="AA91" s="273">
        <f t="shared" si="17"/>
        <v>4.4062705946039689</v>
      </c>
      <c r="AB91" s="273">
        <f t="shared" si="18"/>
        <v>4.4480812327866186</v>
      </c>
      <c r="AG91" s="281"/>
      <c r="AH91" s="282"/>
      <c r="AI91" s="282"/>
    </row>
    <row r="92" spans="1:35" x14ac:dyDescent="0.2">
      <c r="A92" s="35" t="s">
        <v>289</v>
      </c>
      <c r="B92" s="32" t="s">
        <v>264</v>
      </c>
      <c r="C92" s="33" t="s">
        <v>267</v>
      </c>
      <c r="D92" s="32" t="s">
        <v>290</v>
      </c>
      <c r="E92" s="51">
        <f>SUMIFS('PIB-Mpal 2015-2022 Corrient '!H$5:H$1012,'PIB-Mpal 2015-2022 Corrient '!$A$5:$A$1012,$W$2,'PIB-Mpal 2015-2022 Corrient '!$E$5:$E$1012,$A92)</f>
        <v>3.6631523422382863</v>
      </c>
      <c r="F92" s="51">
        <f>SUMIFS('PIB-Mpal 2015-2022 Corrient '!I$5:I$1012,'PIB-Mpal 2015-2022 Corrient '!$A$5:$A$1012,$W$2,'PIB-Mpal 2015-2022 Corrient '!$E$5:$E$1012,$A92)</f>
        <v>0</v>
      </c>
      <c r="G92" s="51">
        <f>SUMIFS('PIB-Mpal 2015-2022 Corrient '!K$5:K$1012,'PIB-Mpal 2015-2022 Corrient '!$A$5:$A$1012,$W$2,'PIB-Mpal 2015-2022 Corrient '!$E$5:$E$1012,$A92)</f>
        <v>7.5271222846382733</v>
      </c>
      <c r="H92" s="51">
        <f>SUMIFS('PIB-Mpal 2015-2022 Corrient '!L$5:L$1012,'PIB-Mpal 2015-2022 Corrient '!$A$5:$A$1012,$W$2,'PIB-Mpal 2015-2022 Corrient '!$E$5:$E$1012,$A92)</f>
        <v>23.191885437774182</v>
      </c>
      <c r="I92" s="51">
        <f>SUMIFS('PIB-Mpal 2015-2022 Corrient '!N$5:N$1012,'PIB-Mpal 2015-2022 Corrient '!$A$5:$A$1012,$W$2,'PIB-Mpal 2015-2022 Corrient '!$E$5:$E$1012,$A92)</f>
        <v>15.769791455644057</v>
      </c>
      <c r="J92" s="51">
        <f>SUMIFS('PIB-Mpal 2015-2022 Corrient '!O$5:O$1012,'PIB-Mpal 2015-2022 Corrient '!$A$5:$A$1012,$W$2,'PIB-Mpal 2015-2022 Corrient '!$E$5:$E$1012,$A92)</f>
        <v>152.53801212598543</v>
      </c>
      <c r="K92" s="51">
        <f>SUMIFS('PIB-Mpal 2015-2022 Corrient '!P$5:P$1012,'PIB-Mpal 2015-2022 Corrient '!$A$5:$A$1012,$W$2,'PIB-Mpal 2015-2022 Corrient '!$E$5:$E$1012,$A92)</f>
        <v>12.541455037098332</v>
      </c>
      <c r="L92" s="51">
        <f>SUMIFS('PIB-Mpal 2015-2022 Corrient '!Q$5:Q$1012,'PIB-Mpal 2015-2022 Corrient '!$A$5:$A$1012,$W$2,'PIB-Mpal 2015-2022 Corrient '!$E$5:$E$1012,$A92)</f>
        <v>6.7233234890359288</v>
      </c>
      <c r="M92" s="51">
        <f>SUMIFS('PIB-Mpal 2015-2022 Corrient '!R$5:R$1012,'PIB-Mpal 2015-2022 Corrient '!$A$5:$A$1012,$W$2,'PIB-Mpal 2015-2022 Corrient '!$E$5:$E$1012,$A92)</f>
        <v>57.459395188408756</v>
      </c>
      <c r="N92" s="51">
        <f>SUMIFS('PIB-Mpal 2015-2022 Corrient '!S$5:S$1012,'PIB-Mpal 2015-2022 Corrient '!$A$5:$A$1012,$W$2,'PIB-Mpal 2015-2022 Corrient '!$E$5:$E$1012,$A92)</f>
        <v>44.1318207893015</v>
      </c>
      <c r="O92" s="51">
        <f>SUMIFS('PIB-Mpal 2015-2022 Corrient '!T$5:T$1012,'PIB-Mpal 2015-2022 Corrient '!$A$5:$A$1012,$W$2,'PIB-Mpal 2015-2022 Corrient '!$E$5:$E$1012,$A92)</f>
        <v>36.302619089142468</v>
      </c>
      <c r="P92" s="150">
        <f>SUMIFS('PIB-Mpal 2015-2022 Corrient '!U$5:U$1012,'PIB-Mpal 2015-2022 Corrient '!$A$5:$A$1012,$W$2,'PIB-Mpal 2015-2022 Corrient '!$E$5:$E$1012,$A92)</f>
        <v>13.218920378499037</v>
      </c>
      <c r="Q92" s="156">
        <f>SUMIFS('PIB-Mpal 2015-2022 Corrient '!J$5:J$1012,'PIB-Mpal 2015-2022 Corrient '!$A$5:$A$1012,$W$2,'PIB-Mpal 2015-2022 Corrient '!$E$5:$E$1012,$A92)</f>
        <v>3.6631523422382863</v>
      </c>
      <c r="R92" s="52">
        <f>SUMIFS('PIB-Mpal 2015-2022 Corrient '!M$5:M$1012,'PIB-Mpal 2015-2022 Corrient '!$A$5:$A$1012,$W$2,'PIB-Mpal 2015-2022 Corrient '!$E$5:$E$1012,$A92)</f>
        <v>30.719007722412456</v>
      </c>
      <c r="S92" s="53">
        <f>SUMIFS('PIB-Mpal 2015-2022 Corrient '!V$5:V$1012,'PIB-Mpal 2015-2022 Corrient '!$A$5:$A$1012,$W$2,'PIB-Mpal 2015-2022 Corrient '!$E$5:$E$1012,$A92)</f>
        <v>338.68533755311552</v>
      </c>
      <c r="T92" s="207">
        <f>SUMIFS('PIB-Mpal 2015-2022 Corrient '!W$5:W$1012,'PIB-Mpal 2015-2022 Corrient '!$A$5:$A$1012,$W$2,'PIB-Mpal 2015-2022 Corrient '!$E$5:$E$1012,$A92)</f>
        <v>373.06749761776626</v>
      </c>
      <c r="U92" s="203">
        <f>SUMIFS('PIB-Mpal 2015-2022 Corrient '!X$5:X$1012,'PIB-Mpal 2015-2022 Corrient '!$A$5:$A$1012,$W$2,'PIB-Mpal 2015-2022 Corrient '!$E$5:$E$1012,$A92)</f>
        <v>37.701872709823455</v>
      </c>
      <c r="V92" s="88">
        <f>SUMIFS('PIB-Mpal 2015-2022 Corrient '!Y$5:Y$1012,'PIB-Mpal 2015-2022 Corrient '!$A$5:$A$1012,$W$2,'PIB-Mpal 2015-2022 Corrient '!$E$5:$E$1012,$A92)</f>
        <v>410.76937032758974</v>
      </c>
      <c r="W92" s="92">
        <f t="shared" si="14"/>
        <v>2.6749859625498644E-3</v>
      </c>
      <c r="X92" s="268">
        <f>INDEX(POBLACION!$C$4:$W$128,MATCH(A92,POBLACION!$A$4:$A$128,0),MATCH($W$2,POBLACION!$C$3:$W$3,0))</f>
        <v>8548</v>
      </c>
      <c r="Y92" s="258">
        <f t="shared" si="15"/>
        <v>43643.834536472423</v>
      </c>
      <c r="Z92" s="270">
        <f t="shared" si="16"/>
        <v>48054.442013054482</v>
      </c>
      <c r="AA92" s="273">
        <f t="shared" si="17"/>
        <v>4.6399229005980471</v>
      </c>
      <c r="AB92" s="273">
        <f t="shared" si="18"/>
        <v>4.6817335387806978</v>
      </c>
      <c r="AG92" s="281"/>
      <c r="AH92" s="282"/>
      <c r="AI92" s="282"/>
    </row>
    <row r="93" spans="1:35" x14ac:dyDescent="0.2">
      <c r="A93" s="35" t="s">
        <v>291</v>
      </c>
      <c r="B93" s="32" t="s">
        <v>264</v>
      </c>
      <c r="C93" s="33" t="s">
        <v>283</v>
      </c>
      <c r="D93" s="32" t="s">
        <v>292</v>
      </c>
      <c r="E93" s="51">
        <f>SUMIFS('PIB-Mpal 2015-2022 Corrient '!H$5:H$1012,'PIB-Mpal 2015-2022 Corrient '!$A$5:$A$1012,$W$2,'PIB-Mpal 2015-2022 Corrient '!$E$5:$E$1012,$A93)</f>
        <v>55.172042070656175</v>
      </c>
      <c r="F93" s="51">
        <f>SUMIFS('PIB-Mpal 2015-2022 Corrient '!I$5:I$1012,'PIB-Mpal 2015-2022 Corrient '!$A$5:$A$1012,$W$2,'PIB-Mpal 2015-2022 Corrient '!$E$5:$E$1012,$A93)</f>
        <v>0</v>
      </c>
      <c r="G93" s="51">
        <f>SUMIFS('PIB-Mpal 2015-2022 Corrient '!K$5:K$1012,'PIB-Mpal 2015-2022 Corrient '!$A$5:$A$1012,$W$2,'PIB-Mpal 2015-2022 Corrient '!$E$5:$E$1012,$A93)</f>
        <v>50.923220718168515</v>
      </c>
      <c r="H93" s="51">
        <f>SUMIFS('PIB-Mpal 2015-2022 Corrient '!L$5:L$1012,'PIB-Mpal 2015-2022 Corrient '!$A$5:$A$1012,$W$2,'PIB-Mpal 2015-2022 Corrient '!$E$5:$E$1012,$A93)</f>
        <v>53.715013320652439</v>
      </c>
      <c r="I93" s="51">
        <f>SUMIFS('PIB-Mpal 2015-2022 Corrient '!N$5:N$1012,'PIB-Mpal 2015-2022 Corrient '!$A$5:$A$1012,$W$2,'PIB-Mpal 2015-2022 Corrient '!$E$5:$E$1012,$A93)</f>
        <v>47.345787929523752</v>
      </c>
      <c r="J93" s="51">
        <f>SUMIFS('PIB-Mpal 2015-2022 Corrient '!O$5:O$1012,'PIB-Mpal 2015-2022 Corrient '!$A$5:$A$1012,$W$2,'PIB-Mpal 2015-2022 Corrient '!$E$5:$E$1012,$A93)</f>
        <v>192.21388432945932</v>
      </c>
      <c r="K93" s="51">
        <f>SUMIFS('PIB-Mpal 2015-2022 Corrient '!P$5:P$1012,'PIB-Mpal 2015-2022 Corrient '!$A$5:$A$1012,$W$2,'PIB-Mpal 2015-2022 Corrient '!$E$5:$E$1012,$A93)</f>
        <v>47.683544357893872</v>
      </c>
      <c r="L93" s="51">
        <f>SUMIFS('PIB-Mpal 2015-2022 Corrient '!Q$5:Q$1012,'PIB-Mpal 2015-2022 Corrient '!$A$5:$A$1012,$W$2,'PIB-Mpal 2015-2022 Corrient '!$E$5:$E$1012,$A93)</f>
        <v>52.047376155884471</v>
      </c>
      <c r="M93" s="51">
        <f>SUMIFS('PIB-Mpal 2015-2022 Corrient '!R$5:R$1012,'PIB-Mpal 2015-2022 Corrient '!$A$5:$A$1012,$W$2,'PIB-Mpal 2015-2022 Corrient '!$E$5:$E$1012,$A93)</f>
        <v>152.19047877424754</v>
      </c>
      <c r="N93" s="51">
        <f>SUMIFS('PIB-Mpal 2015-2022 Corrient '!S$5:S$1012,'PIB-Mpal 2015-2022 Corrient '!$A$5:$A$1012,$W$2,'PIB-Mpal 2015-2022 Corrient '!$E$5:$E$1012,$A93)</f>
        <v>97.627770560362265</v>
      </c>
      <c r="O93" s="51">
        <f>SUMIFS('PIB-Mpal 2015-2022 Corrient '!T$5:T$1012,'PIB-Mpal 2015-2022 Corrient '!$A$5:$A$1012,$W$2,'PIB-Mpal 2015-2022 Corrient '!$E$5:$E$1012,$A93)</f>
        <v>118.4623991731885</v>
      </c>
      <c r="P93" s="150">
        <f>SUMIFS('PIB-Mpal 2015-2022 Corrient '!U$5:U$1012,'PIB-Mpal 2015-2022 Corrient '!$A$5:$A$1012,$W$2,'PIB-Mpal 2015-2022 Corrient '!$E$5:$E$1012,$A93)</f>
        <v>36.029759398795747</v>
      </c>
      <c r="Q93" s="156">
        <f>SUMIFS('PIB-Mpal 2015-2022 Corrient '!J$5:J$1012,'PIB-Mpal 2015-2022 Corrient '!$A$5:$A$1012,$W$2,'PIB-Mpal 2015-2022 Corrient '!$E$5:$E$1012,$A93)</f>
        <v>55.172042070656175</v>
      </c>
      <c r="R93" s="52">
        <f>SUMIFS('PIB-Mpal 2015-2022 Corrient '!M$5:M$1012,'PIB-Mpal 2015-2022 Corrient '!$A$5:$A$1012,$W$2,'PIB-Mpal 2015-2022 Corrient '!$E$5:$E$1012,$A93)</f>
        <v>104.63823403882095</v>
      </c>
      <c r="S93" s="53">
        <f>SUMIFS('PIB-Mpal 2015-2022 Corrient '!V$5:V$1012,'PIB-Mpal 2015-2022 Corrient '!$A$5:$A$1012,$W$2,'PIB-Mpal 2015-2022 Corrient '!$E$5:$E$1012,$A93)</f>
        <v>743.60100067935548</v>
      </c>
      <c r="T93" s="207">
        <f>SUMIFS('PIB-Mpal 2015-2022 Corrient '!W$5:W$1012,'PIB-Mpal 2015-2022 Corrient '!$A$5:$A$1012,$W$2,'PIB-Mpal 2015-2022 Corrient '!$E$5:$E$1012,$A93)</f>
        <v>903.41127678883265</v>
      </c>
      <c r="U93" s="203">
        <f>SUMIFS('PIB-Mpal 2015-2022 Corrient '!X$5:X$1012,'PIB-Mpal 2015-2022 Corrient '!$A$5:$A$1012,$W$2,'PIB-Mpal 2015-2022 Corrient '!$E$5:$E$1012,$A93)</f>
        <v>91.297947903810169</v>
      </c>
      <c r="V93" s="88">
        <f>SUMIFS('PIB-Mpal 2015-2022 Corrient '!Y$5:Y$1012,'PIB-Mpal 2015-2022 Corrient '!$A$5:$A$1012,$W$2,'PIB-Mpal 2015-2022 Corrient '!$E$5:$E$1012,$A93)</f>
        <v>994.70922469264281</v>
      </c>
      <c r="W93" s="92">
        <f t="shared" si="14"/>
        <v>6.4776816507756078E-3</v>
      </c>
      <c r="X93" s="268">
        <f>INDEX(POBLACION!$C$4:$W$128,MATCH(A93,POBLACION!$A$4:$A$128,0),MATCH($W$2,POBLACION!$C$3:$W$3,0))</f>
        <v>66746</v>
      </c>
      <c r="Y93" s="258">
        <f t="shared" si="15"/>
        <v>13535.062427543713</v>
      </c>
      <c r="Z93" s="270">
        <f t="shared" si="16"/>
        <v>14902.903914731112</v>
      </c>
      <c r="AA93" s="273">
        <f t="shared" si="17"/>
        <v>4.1314602632003732</v>
      </c>
      <c r="AB93" s="273">
        <f t="shared" si="18"/>
        <v>4.1732709013830238</v>
      </c>
      <c r="AG93" s="281"/>
      <c r="AH93" s="282"/>
      <c r="AI93" s="282"/>
    </row>
    <row r="94" spans="1:35" ht="30" x14ac:dyDescent="0.2">
      <c r="A94" s="35" t="s">
        <v>293</v>
      </c>
      <c r="B94" s="32" t="s">
        <v>264</v>
      </c>
      <c r="C94" s="33" t="s">
        <v>294</v>
      </c>
      <c r="D94" s="32" t="s">
        <v>295</v>
      </c>
      <c r="E94" s="51">
        <f>SUMIFS('PIB-Mpal 2015-2022 Corrient '!H$5:H$1012,'PIB-Mpal 2015-2022 Corrient '!$A$5:$A$1012,$W$2,'PIB-Mpal 2015-2022 Corrient '!$E$5:$E$1012,$A94)</f>
        <v>34.279550946503278</v>
      </c>
      <c r="F94" s="51">
        <f>SUMIFS('PIB-Mpal 2015-2022 Corrient '!I$5:I$1012,'PIB-Mpal 2015-2022 Corrient '!$A$5:$A$1012,$W$2,'PIB-Mpal 2015-2022 Corrient '!$E$5:$E$1012,$A94)</f>
        <v>0.40913428446639699</v>
      </c>
      <c r="G94" s="51">
        <f>SUMIFS('PIB-Mpal 2015-2022 Corrient '!K$5:K$1012,'PIB-Mpal 2015-2022 Corrient '!$A$5:$A$1012,$W$2,'PIB-Mpal 2015-2022 Corrient '!$E$5:$E$1012,$A94)</f>
        <v>26.906444177263261</v>
      </c>
      <c r="H94" s="51">
        <f>SUMIFS('PIB-Mpal 2015-2022 Corrient '!L$5:L$1012,'PIB-Mpal 2015-2022 Corrient '!$A$5:$A$1012,$W$2,'PIB-Mpal 2015-2022 Corrient '!$E$5:$E$1012,$A94)</f>
        <v>11.726011880107251</v>
      </c>
      <c r="I94" s="51">
        <f>SUMIFS('PIB-Mpal 2015-2022 Corrient '!N$5:N$1012,'PIB-Mpal 2015-2022 Corrient '!$A$5:$A$1012,$W$2,'PIB-Mpal 2015-2022 Corrient '!$E$5:$E$1012,$A94)</f>
        <v>13.092020887999128</v>
      </c>
      <c r="J94" s="51">
        <f>SUMIFS('PIB-Mpal 2015-2022 Corrient '!O$5:O$1012,'PIB-Mpal 2015-2022 Corrient '!$A$5:$A$1012,$W$2,'PIB-Mpal 2015-2022 Corrient '!$E$5:$E$1012,$A94)</f>
        <v>66.183783926408964</v>
      </c>
      <c r="K94" s="51">
        <f>SUMIFS('PIB-Mpal 2015-2022 Corrient '!P$5:P$1012,'PIB-Mpal 2015-2022 Corrient '!$A$5:$A$1012,$W$2,'PIB-Mpal 2015-2022 Corrient '!$E$5:$E$1012,$A94)</f>
        <v>11.380114843107746</v>
      </c>
      <c r="L94" s="51">
        <f>SUMIFS('PIB-Mpal 2015-2022 Corrient '!Q$5:Q$1012,'PIB-Mpal 2015-2022 Corrient '!$A$5:$A$1012,$W$2,'PIB-Mpal 2015-2022 Corrient '!$E$5:$E$1012,$A94)</f>
        <v>11.014777446592907</v>
      </c>
      <c r="M94" s="51">
        <f>SUMIFS('PIB-Mpal 2015-2022 Corrient '!R$5:R$1012,'PIB-Mpal 2015-2022 Corrient '!$A$5:$A$1012,$W$2,'PIB-Mpal 2015-2022 Corrient '!$E$5:$E$1012,$A94)</f>
        <v>32.475378501963888</v>
      </c>
      <c r="N94" s="51">
        <f>SUMIFS('PIB-Mpal 2015-2022 Corrient '!S$5:S$1012,'PIB-Mpal 2015-2022 Corrient '!$A$5:$A$1012,$W$2,'PIB-Mpal 2015-2022 Corrient '!$E$5:$E$1012,$A94)</f>
        <v>25.831741300614503</v>
      </c>
      <c r="O94" s="51">
        <f>SUMIFS('PIB-Mpal 2015-2022 Corrient '!T$5:T$1012,'PIB-Mpal 2015-2022 Corrient '!$A$5:$A$1012,$W$2,'PIB-Mpal 2015-2022 Corrient '!$E$5:$E$1012,$A94)</f>
        <v>35.637555287818216</v>
      </c>
      <c r="P94" s="150">
        <f>SUMIFS('PIB-Mpal 2015-2022 Corrient '!U$5:U$1012,'PIB-Mpal 2015-2022 Corrient '!$A$5:$A$1012,$W$2,'PIB-Mpal 2015-2022 Corrient '!$E$5:$E$1012,$A94)</f>
        <v>10.996091332633878</v>
      </c>
      <c r="Q94" s="156">
        <f>SUMIFS('PIB-Mpal 2015-2022 Corrient '!J$5:J$1012,'PIB-Mpal 2015-2022 Corrient '!$A$5:$A$1012,$W$2,'PIB-Mpal 2015-2022 Corrient '!$E$5:$E$1012,$A94)</f>
        <v>34.688685230969675</v>
      </c>
      <c r="R94" s="52">
        <f>SUMIFS('PIB-Mpal 2015-2022 Corrient '!M$5:M$1012,'PIB-Mpal 2015-2022 Corrient '!$A$5:$A$1012,$W$2,'PIB-Mpal 2015-2022 Corrient '!$E$5:$E$1012,$A94)</f>
        <v>38.632456057370511</v>
      </c>
      <c r="S94" s="53">
        <f>SUMIFS('PIB-Mpal 2015-2022 Corrient '!V$5:V$1012,'PIB-Mpal 2015-2022 Corrient '!$A$5:$A$1012,$W$2,'PIB-Mpal 2015-2022 Corrient '!$E$5:$E$1012,$A94)</f>
        <v>206.61146352713925</v>
      </c>
      <c r="T94" s="207">
        <f>SUMIFS('PIB-Mpal 2015-2022 Corrient '!W$5:W$1012,'PIB-Mpal 2015-2022 Corrient '!$A$5:$A$1012,$W$2,'PIB-Mpal 2015-2022 Corrient '!$E$5:$E$1012,$A94)</f>
        <v>279.93260481547946</v>
      </c>
      <c r="U94" s="203">
        <f>SUMIFS('PIB-Mpal 2015-2022 Corrient '!X$5:X$1012,'PIB-Mpal 2015-2022 Corrient '!$A$5:$A$1012,$W$2,'PIB-Mpal 2015-2022 Corrient '!$E$5:$E$1012,$A94)</f>
        <v>28.289742476831396</v>
      </c>
      <c r="V94" s="88">
        <f>SUMIFS('PIB-Mpal 2015-2022 Corrient '!Y$5:Y$1012,'PIB-Mpal 2015-2022 Corrient '!$A$5:$A$1012,$W$2,'PIB-Mpal 2015-2022 Corrient '!$E$5:$E$1012,$A94)</f>
        <v>308.22234729231087</v>
      </c>
      <c r="W94" s="92">
        <f t="shared" si="14"/>
        <v>2.0071858125486992E-3</v>
      </c>
      <c r="X94" s="268">
        <f>INDEX(POBLACION!$C$4:$W$128,MATCH(A94,POBLACION!$A$4:$A$128,0),MATCH($W$2,POBLACION!$C$3:$W$3,0))</f>
        <v>21963</v>
      </c>
      <c r="Y94" s="258">
        <f t="shared" si="15"/>
        <v>12745.645167576353</v>
      </c>
      <c r="Z94" s="270">
        <f t="shared" si="16"/>
        <v>14033.70884179351</v>
      </c>
      <c r="AA94" s="273">
        <f t="shared" si="17"/>
        <v>4.1053618237697194</v>
      </c>
      <c r="AB94" s="273">
        <f t="shared" si="18"/>
        <v>4.14717246195237</v>
      </c>
      <c r="AG94" s="281"/>
      <c r="AH94" s="282"/>
      <c r="AI94" s="282"/>
    </row>
    <row r="95" spans="1:35" x14ac:dyDescent="0.2">
      <c r="A95" s="35" t="s">
        <v>296</v>
      </c>
      <c r="B95" s="32" t="s">
        <v>264</v>
      </c>
      <c r="C95" s="33" t="s">
        <v>267</v>
      </c>
      <c r="D95" s="32" t="s">
        <v>297</v>
      </c>
      <c r="E95" s="51">
        <f>SUMIFS('PIB-Mpal 2015-2022 Corrient '!H$5:H$1012,'PIB-Mpal 2015-2022 Corrient '!$A$5:$A$1012,$W$2,'PIB-Mpal 2015-2022 Corrient '!$E$5:$E$1012,$A95)</f>
        <v>168.89144931176909</v>
      </c>
      <c r="F95" s="51">
        <f>SUMIFS('PIB-Mpal 2015-2022 Corrient '!I$5:I$1012,'PIB-Mpal 2015-2022 Corrient '!$A$5:$A$1012,$W$2,'PIB-Mpal 2015-2022 Corrient '!$E$5:$E$1012,$A95)</f>
        <v>0</v>
      </c>
      <c r="G95" s="51">
        <f>SUMIFS('PIB-Mpal 2015-2022 Corrient '!K$5:K$1012,'PIB-Mpal 2015-2022 Corrient '!$A$5:$A$1012,$W$2,'PIB-Mpal 2015-2022 Corrient '!$E$5:$E$1012,$A95)</f>
        <v>240.83195625146644</v>
      </c>
      <c r="H95" s="51">
        <f>SUMIFS('PIB-Mpal 2015-2022 Corrient '!L$5:L$1012,'PIB-Mpal 2015-2022 Corrient '!$A$5:$A$1012,$W$2,'PIB-Mpal 2015-2022 Corrient '!$E$5:$E$1012,$A95)</f>
        <v>110.88202715599348</v>
      </c>
      <c r="I95" s="51">
        <f>SUMIFS('PIB-Mpal 2015-2022 Corrient '!N$5:N$1012,'PIB-Mpal 2015-2022 Corrient '!$A$5:$A$1012,$W$2,'PIB-Mpal 2015-2022 Corrient '!$E$5:$E$1012,$A95)</f>
        <v>36.254220167180016</v>
      </c>
      <c r="J95" s="51">
        <f>SUMIFS('PIB-Mpal 2015-2022 Corrient '!O$5:O$1012,'PIB-Mpal 2015-2022 Corrient '!$A$5:$A$1012,$W$2,'PIB-Mpal 2015-2022 Corrient '!$E$5:$E$1012,$A95)</f>
        <v>164.5174367329308</v>
      </c>
      <c r="K95" s="51">
        <f>SUMIFS('PIB-Mpal 2015-2022 Corrient '!P$5:P$1012,'PIB-Mpal 2015-2022 Corrient '!$A$5:$A$1012,$W$2,'PIB-Mpal 2015-2022 Corrient '!$E$5:$E$1012,$A95)</f>
        <v>30.048820670775129</v>
      </c>
      <c r="L95" s="51">
        <f>SUMIFS('PIB-Mpal 2015-2022 Corrient '!Q$5:Q$1012,'PIB-Mpal 2015-2022 Corrient '!$A$5:$A$1012,$W$2,'PIB-Mpal 2015-2022 Corrient '!$E$5:$E$1012,$A95)</f>
        <v>28.779899041143668</v>
      </c>
      <c r="M95" s="51">
        <f>SUMIFS('PIB-Mpal 2015-2022 Corrient '!R$5:R$1012,'PIB-Mpal 2015-2022 Corrient '!$A$5:$A$1012,$W$2,'PIB-Mpal 2015-2022 Corrient '!$E$5:$E$1012,$A95)</f>
        <v>104.14904288867348</v>
      </c>
      <c r="N95" s="51">
        <f>SUMIFS('PIB-Mpal 2015-2022 Corrient '!S$5:S$1012,'PIB-Mpal 2015-2022 Corrient '!$A$5:$A$1012,$W$2,'PIB-Mpal 2015-2022 Corrient '!$E$5:$E$1012,$A95)</f>
        <v>97.981174817582485</v>
      </c>
      <c r="O95" s="51">
        <f>SUMIFS('PIB-Mpal 2015-2022 Corrient '!T$5:T$1012,'PIB-Mpal 2015-2022 Corrient '!$A$5:$A$1012,$W$2,'PIB-Mpal 2015-2022 Corrient '!$E$5:$E$1012,$A95)</f>
        <v>136.25318038486159</v>
      </c>
      <c r="P95" s="150">
        <f>SUMIFS('PIB-Mpal 2015-2022 Corrient '!U$5:U$1012,'PIB-Mpal 2015-2022 Corrient '!$A$5:$A$1012,$W$2,'PIB-Mpal 2015-2022 Corrient '!$E$5:$E$1012,$A95)</f>
        <v>29.554291228110905</v>
      </c>
      <c r="Q95" s="156">
        <f>SUMIFS('PIB-Mpal 2015-2022 Corrient '!J$5:J$1012,'PIB-Mpal 2015-2022 Corrient '!$A$5:$A$1012,$W$2,'PIB-Mpal 2015-2022 Corrient '!$E$5:$E$1012,$A95)</f>
        <v>168.89144931176909</v>
      </c>
      <c r="R95" s="52">
        <f>SUMIFS('PIB-Mpal 2015-2022 Corrient '!M$5:M$1012,'PIB-Mpal 2015-2022 Corrient '!$A$5:$A$1012,$W$2,'PIB-Mpal 2015-2022 Corrient '!$E$5:$E$1012,$A95)</f>
        <v>351.71398340745992</v>
      </c>
      <c r="S95" s="53">
        <f>SUMIFS('PIB-Mpal 2015-2022 Corrient '!V$5:V$1012,'PIB-Mpal 2015-2022 Corrient '!$A$5:$A$1012,$W$2,'PIB-Mpal 2015-2022 Corrient '!$E$5:$E$1012,$A95)</f>
        <v>627.53806593125807</v>
      </c>
      <c r="T95" s="207">
        <f>SUMIFS('PIB-Mpal 2015-2022 Corrient '!W$5:W$1012,'PIB-Mpal 2015-2022 Corrient '!$A$5:$A$1012,$W$2,'PIB-Mpal 2015-2022 Corrient '!$E$5:$E$1012,$A95)</f>
        <v>1148.1434986504871</v>
      </c>
      <c r="U95" s="203">
        <f>SUMIFS('PIB-Mpal 2015-2022 Corrient '!X$5:X$1012,'PIB-Mpal 2015-2022 Corrient '!$A$5:$A$1012,$W$2,'PIB-Mpal 2015-2022 Corrient '!$E$5:$E$1012,$A95)</f>
        <v>116.03037068397404</v>
      </c>
      <c r="V95" s="88">
        <f>SUMIFS('PIB-Mpal 2015-2022 Corrient '!Y$5:Y$1012,'PIB-Mpal 2015-2022 Corrient '!$A$5:$A$1012,$W$2,'PIB-Mpal 2015-2022 Corrient '!$E$5:$E$1012,$A95)</f>
        <v>1264.1738693344612</v>
      </c>
      <c r="W95" s="92">
        <f t="shared" si="14"/>
        <v>8.2324720365473131E-3</v>
      </c>
      <c r="X95" s="268">
        <f>INDEX(POBLACION!$C$4:$W$128,MATCH(A95,POBLACION!$A$4:$A$128,0),MATCH($W$2,POBLACION!$C$3:$W$3,0))</f>
        <v>66399</v>
      </c>
      <c r="Y95" s="258">
        <f t="shared" si="15"/>
        <v>17291.578166094176</v>
      </c>
      <c r="Z95" s="270">
        <f t="shared" si="16"/>
        <v>19039.049825064551</v>
      </c>
      <c r="AA95" s="273">
        <f t="shared" si="17"/>
        <v>4.237834632229867</v>
      </c>
      <c r="AB95" s="273">
        <f t="shared" si="18"/>
        <v>4.2796452704125167</v>
      </c>
      <c r="AG95" s="281"/>
      <c r="AH95" s="282"/>
      <c r="AI95" s="282"/>
    </row>
    <row r="96" spans="1:35" x14ac:dyDescent="0.2">
      <c r="A96" s="35" t="s">
        <v>298</v>
      </c>
      <c r="B96" s="32" t="s">
        <v>264</v>
      </c>
      <c r="C96" s="33" t="s">
        <v>270</v>
      </c>
      <c r="D96" s="32" t="s">
        <v>299</v>
      </c>
      <c r="E96" s="51">
        <f>SUMIFS('PIB-Mpal 2015-2022 Corrient '!H$5:H$1012,'PIB-Mpal 2015-2022 Corrient '!$A$5:$A$1012,$W$2,'PIB-Mpal 2015-2022 Corrient '!$E$5:$E$1012,$A96)</f>
        <v>18.90392255252727</v>
      </c>
      <c r="F96" s="51">
        <f>SUMIFS('PIB-Mpal 2015-2022 Corrient '!I$5:I$1012,'PIB-Mpal 2015-2022 Corrient '!$A$5:$A$1012,$W$2,'PIB-Mpal 2015-2022 Corrient '!$E$5:$E$1012,$A96)</f>
        <v>0</v>
      </c>
      <c r="G96" s="51">
        <f>SUMIFS('PIB-Mpal 2015-2022 Corrient '!K$5:K$1012,'PIB-Mpal 2015-2022 Corrient '!$A$5:$A$1012,$W$2,'PIB-Mpal 2015-2022 Corrient '!$E$5:$E$1012,$A96)</f>
        <v>6.973152822491282</v>
      </c>
      <c r="H96" s="51">
        <f>SUMIFS('PIB-Mpal 2015-2022 Corrient '!L$5:L$1012,'PIB-Mpal 2015-2022 Corrient '!$A$5:$A$1012,$W$2,'PIB-Mpal 2015-2022 Corrient '!$E$5:$E$1012,$A96)</f>
        <v>6.0048856228390308</v>
      </c>
      <c r="I96" s="51">
        <f>SUMIFS('PIB-Mpal 2015-2022 Corrient '!N$5:N$1012,'PIB-Mpal 2015-2022 Corrient '!$A$5:$A$1012,$W$2,'PIB-Mpal 2015-2022 Corrient '!$E$5:$E$1012,$A96)</f>
        <v>2.0138415856033065</v>
      </c>
      <c r="J96" s="51">
        <f>SUMIFS('PIB-Mpal 2015-2022 Corrient '!O$5:O$1012,'PIB-Mpal 2015-2022 Corrient '!$A$5:$A$1012,$W$2,'PIB-Mpal 2015-2022 Corrient '!$E$5:$E$1012,$A96)</f>
        <v>7.3297191140497588</v>
      </c>
      <c r="K96" s="51">
        <f>SUMIFS('PIB-Mpal 2015-2022 Corrient '!P$5:P$1012,'PIB-Mpal 2015-2022 Corrient '!$A$5:$A$1012,$W$2,'PIB-Mpal 2015-2022 Corrient '!$E$5:$E$1012,$A96)</f>
        <v>3.2642425608067902</v>
      </c>
      <c r="L96" s="51">
        <f>SUMIFS('PIB-Mpal 2015-2022 Corrient '!Q$5:Q$1012,'PIB-Mpal 2015-2022 Corrient '!$A$5:$A$1012,$W$2,'PIB-Mpal 2015-2022 Corrient '!$E$5:$E$1012,$A96)</f>
        <v>2.0935477231670201</v>
      </c>
      <c r="M96" s="51">
        <f>SUMIFS('PIB-Mpal 2015-2022 Corrient '!R$5:R$1012,'PIB-Mpal 2015-2022 Corrient '!$A$5:$A$1012,$W$2,'PIB-Mpal 2015-2022 Corrient '!$E$5:$E$1012,$A96)</f>
        <v>11.561285560591976</v>
      </c>
      <c r="N96" s="51">
        <f>SUMIFS('PIB-Mpal 2015-2022 Corrient '!S$5:S$1012,'PIB-Mpal 2015-2022 Corrient '!$A$5:$A$1012,$W$2,'PIB-Mpal 2015-2022 Corrient '!$E$5:$E$1012,$A96)</f>
        <v>19.251709009085218</v>
      </c>
      <c r="O96" s="51">
        <f>SUMIFS('PIB-Mpal 2015-2022 Corrient '!T$5:T$1012,'PIB-Mpal 2015-2022 Corrient '!$A$5:$A$1012,$W$2,'PIB-Mpal 2015-2022 Corrient '!$E$5:$E$1012,$A96)</f>
        <v>22.096532658451558</v>
      </c>
      <c r="P96" s="150">
        <f>SUMIFS('PIB-Mpal 2015-2022 Corrient '!U$5:U$1012,'PIB-Mpal 2015-2022 Corrient '!$A$5:$A$1012,$W$2,'PIB-Mpal 2015-2022 Corrient '!$E$5:$E$1012,$A96)</f>
        <v>3.030410365508597</v>
      </c>
      <c r="Q96" s="156">
        <f>SUMIFS('PIB-Mpal 2015-2022 Corrient '!J$5:J$1012,'PIB-Mpal 2015-2022 Corrient '!$A$5:$A$1012,$W$2,'PIB-Mpal 2015-2022 Corrient '!$E$5:$E$1012,$A96)</f>
        <v>18.90392255252727</v>
      </c>
      <c r="R96" s="52">
        <f>SUMIFS('PIB-Mpal 2015-2022 Corrient '!M$5:M$1012,'PIB-Mpal 2015-2022 Corrient '!$A$5:$A$1012,$W$2,'PIB-Mpal 2015-2022 Corrient '!$E$5:$E$1012,$A96)</f>
        <v>12.978038445330313</v>
      </c>
      <c r="S96" s="53">
        <f>SUMIFS('PIB-Mpal 2015-2022 Corrient '!V$5:V$1012,'PIB-Mpal 2015-2022 Corrient '!$A$5:$A$1012,$W$2,'PIB-Mpal 2015-2022 Corrient '!$E$5:$E$1012,$A96)</f>
        <v>70.64128857726422</v>
      </c>
      <c r="T96" s="207">
        <f>SUMIFS('PIB-Mpal 2015-2022 Corrient '!W$5:W$1012,'PIB-Mpal 2015-2022 Corrient '!$A$5:$A$1012,$W$2,'PIB-Mpal 2015-2022 Corrient '!$E$5:$E$1012,$A96)</f>
        <v>102.52324957512181</v>
      </c>
      <c r="U96" s="203">
        <f>SUMIFS('PIB-Mpal 2015-2022 Corrient '!X$5:X$1012,'PIB-Mpal 2015-2022 Corrient '!$A$5:$A$1012,$W$2,'PIB-Mpal 2015-2022 Corrient '!$E$5:$E$1012,$A96)</f>
        <v>10.360909299150453</v>
      </c>
      <c r="V96" s="88">
        <f>SUMIFS('PIB-Mpal 2015-2022 Corrient '!Y$5:Y$1012,'PIB-Mpal 2015-2022 Corrient '!$A$5:$A$1012,$W$2,'PIB-Mpal 2015-2022 Corrient '!$E$5:$E$1012,$A96)</f>
        <v>112.88415887427226</v>
      </c>
      <c r="W96" s="92">
        <f t="shared" si="14"/>
        <v>7.3511698338683384E-4</v>
      </c>
      <c r="X96" s="268">
        <f>INDEX(POBLACION!$C$4:$W$128,MATCH(A96,POBLACION!$A$4:$A$128,0),MATCH($W$2,POBLACION!$C$3:$W$3,0))</f>
        <v>9997</v>
      </c>
      <c r="Y96" s="258">
        <f t="shared" si="15"/>
        <v>10255.401577985576</v>
      </c>
      <c r="Z96" s="270">
        <f t="shared" si="16"/>
        <v>11291.803428455763</v>
      </c>
      <c r="AA96" s="273">
        <f t="shared" si="17"/>
        <v>4.010952671012384</v>
      </c>
      <c r="AB96" s="273">
        <f t="shared" si="18"/>
        <v>4.0527633091950346</v>
      </c>
      <c r="AG96" s="281"/>
      <c r="AH96" s="282"/>
      <c r="AI96" s="282"/>
    </row>
    <row r="97" spans="1:35" x14ac:dyDescent="0.2">
      <c r="A97" s="35" t="s">
        <v>300</v>
      </c>
      <c r="B97" s="32" t="s">
        <v>264</v>
      </c>
      <c r="C97" s="33" t="s">
        <v>283</v>
      </c>
      <c r="D97" s="32" t="s">
        <v>301</v>
      </c>
      <c r="E97" s="51">
        <f>SUMIFS('PIB-Mpal 2015-2022 Corrient '!H$5:H$1012,'PIB-Mpal 2015-2022 Corrient '!$A$5:$A$1012,$W$2,'PIB-Mpal 2015-2022 Corrient '!$E$5:$E$1012,$A97)</f>
        <v>59.41657971252053</v>
      </c>
      <c r="F97" s="51">
        <f>SUMIFS('PIB-Mpal 2015-2022 Corrient '!I$5:I$1012,'PIB-Mpal 2015-2022 Corrient '!$A$5:$A$1012,$W$2,'PIB-Mpal 2015-2022 Corrient '!$E$5:$E$1012,$A97)</f>
        <v>0.71249312662538955</v>
      </c>
      <c r="G97" s="51">
        <f>SUMIFS('PIB-Mpal 2015-2022 Corrient '!K$5:K$1012,'PIB-Mpal 2015-2022 Corrient '!$A$5:$A$1012,$W$2,'PIB-Mpal 2015-2022 Corrient '!$E$5:$E$1012,$A97)</f>
        <v>1531.0295168562395</v>
      </c>
      <c r="H97" s="51">
        <f>SUMIFS('PIB-Mpal 2015-2022 Corrient '!L$5:L$1012,'PIB-Mpal 2015-2022 Corrient '!$A$5:$A$1012,$W$2,'PIB-Mpal 2015-2022 Corrient '!$E$5:$E$1012,$A97)</f>
        <v>501.35523698793622</v>
      </c>
      <c r="I97" s="51">
        <f>SUMIFS('PIB-Mpal 2015-2022 Corrient '!N$5:N$1012,'PIB-Mpal 2015-2022 Corrient '!$A$5:$A$1012,$W$2,'PIB-Mpal 2015-2022 Corrient '!$E$5:$E$1012,$A97)</f>
        <v>114.049125933124</v>
      </c>
      <c r="J97" s="51">
        <f>SUMIFS('PIB-Mpal 2015-2022 Corrient '!O$5:O$1012,'PIB-Mpal 2015-2022 Corrient '!$A$5:$A$1012,$W$2,'PIB-Mpal 2015-2022 Corrient '!$E$5:$E$1012,$A97)</f>
        <v>578.00764003943334</v>
      </c>
      <c r="K97" s="51">
        <f>SUMIFS('PIB-Mpal 2015-2022 Corrient '!P$5:P$1012,'PIB-Mpal 2015-2022 Corrient '!$A$5:$A$1012,$W$2,'PIB-Mpal 2015-2022 Corrient '!$E$5:$E$1012,$A97)</f>
        <v>71.744288094728134</v>
      </c>
      <c r="L97" s="51">
        <f>SUMIFS('PIB-Mpal 2015-2022 Corrient '!Q$5:Q$1012,'PIB-Mpal 2015-2022 Corrient '!$A$5:$A$1012,$W$2,'PIB-Mpal 2015-2022 Corrient '!$E$5:$E$1012,$A97)</f>
        <v>35.052993669709814</v>
      </c>
      <c r="M97" s="51">
        <f>SUMIFS('PIB-Mpal 2015-2022 Corrient '!R$5:R$1012,'PIB-Mpal 2015-2022 Corrient '!$A$5:$A$1012,$W$2,'PIB-Mpal 2015-2022 Corrient '!$E$5:$E$1012,$A97)</f>
        <v>263.704912070852</v>
      </c>
      <c r="N97" s="51">
        <f>SUMIFS('PIB-Mpal 2015-2022 Corrient '!S$5:S$1012,'PIB-Mpal 2015-2022 Corrient '!$A$5:$A$1012,$W$2,'PIB-Mpal 2015-2022 Corrient '!$E$5:$E$1012,$A97)</f>
        <v>321.60156566588012</v>
      </c>
      <c r="O97" s="51">
        <f>SUMIFS('PIB-Mpal 2015-2022 Corrient '!T$5:T$1012,'PIB-Mpal 2015-2022 Corrient '!$A$5:$A$1012,$W$2,'PIB-Mpal 2015-2022 Corrient '!$E$5:$E$1012,$A97)</f>
        <v>407.5865684136312</v>
      </c>
      <c r="P97" s="150">
        <f>SUMIFS('PIB-Mpal 2015-2022 Corrient '!U$5:U$1012,'PIB-Mpal 2015-2022 Corrient '!$A$5:$A$1012,$W$2,'PIB-Mpal 2015-2022 Corrient '!$E$5:$E$1012,$A97)</f>
        <v>56.992617007487645</v>
      </c>
      <c r="Q97" s="156">
        <f>SUMIFS('PIB-Mpal 2015-2022 Corrient '!J$5:J$1012,'PIB-Mpal 2015-2022 Corrient '!$A$5:$A$1012,$W$2,'PIB-Mpal 2015-2022 Corrient '!$E$5:$E$1012,$A97)</f>
        <v>60.12907283914592</v>
      </c>
      <c r="R97" s="52">
        <f>SUMIFS('PIB-Mpal 2015-2022 Corrient '!M$5:M$1012,'PIB-Mpal 2015-2022 Corrient '!$A$5:$A$1012,$W$2,'PIB-Mpal 2015-2022 Corrient '!$E$5:$E$1012,$A97)</f>
        <v>2032.3847538441757</v>
      </c>
      <c r="S97" s="53">
        <f>SUMIFS('PIB-Mpal 2015-2022 Corrient '!V$5:V$1012,'PIB-Mpal 2015-2022 Corrient '!$A$5:$A$1012,$W$2,'PIB-Mpal 2015-2022 Corrient '!$E$5:$E$1012,$A97)</f>
        <v>1848.7397108948462</v>
      </c>
      <c r="T97" s="207">
        <f>SUMIFS('PIB-Mpal 2015-2022 Corrient '!W$5:W$1012,'PIB-Mpal 2015-2022 Corrient '!$A$5:$A$1012,$W$2,'PIB-Mpal 2015-2022 Corrient '!$E$5:$E$1012,$A97)</f>
        <v>3941.2535375781681</v>
      </c>
      <c r="U97" s="203">
        <f>SUMIFS('PIB-Mpal 2015-2022 Corrient '!X$5:X$1012,'PIB-Mpal 2015-2022 Corrient '!$A$5:$A$1012,$W$2,'PIB-Mpal 2015-2022 Corrient '!$E$5:$E$1012,$A97)</f>
        <v>398.29961103488301</v>
      </c>
      <c r="V97" s="88">
        <f>SUMIFS('PIB-Mpal 2015-2022 Corrient '!Y$5:Y$1012,'PIB-Mpal 2015-2022 Corrient '!$A$5:$A$1012,$W$2,'PIB-Mpal 2015-2022 Corrient '!$E$5:$E$1012,$A97)</f>
        <v>4339.5531486130512</v>
      </c>
      <c r="W97" s="92">
        <f t="shared" si="14"/>
        <v>2.8259759842904963E-2</v>
      </c>
      <c r="X97" s="268">
        <f>INDEX(POBLACION!$C$4:$W$128,MATCH(A97,POBLACION!$A$4:$A$128,0),MATCH($W$2,POBLACION!$C$3:$W$3,0))</f>
        <v>139553</v>
      </c>
      <c r="Y97" s="258">
        <f t="shared" si="15"/>
        <v>28241.983601772576</v>
      </c>
      <c r="Z97" s="270">
        <f t="shared" si="16"/>
        <v>31096.09358890924</v>
      </c>
      <c r="AA97" s="273">
        <f t="shared" si="17"/>
        <v>4.4508951965246117</v>
      </c>
      <c r="AB97" s="273">
        <f t="shared" si="18"/>
        <v>4.4927058347072624</v>
      </c>
      <c r="AG97" s="281"/>
      <c r="AH97" s="282"/>
      <c r="AI97" s="282"/>
    </row>
    <row r="98" spans="1:35" x14ac:dyDescent="0.2">
      <c r="A98" s="35" t="s">
        <v>302</v>
      </c>
      <c r="B98" s="32" t="s">
        <v>264</v>
      </c>
      <c r="C98" s="33" t="s">
        <v>267</v>
      </c>
      <c r="D98" s="32" t="s">
        <v>303</v>
      </c>
      <c r="E98" s="51">
        <f>SUMIFS('PIB-Mpal 2015-2022 Corrient '!H$5:H$1012,'PIB-Mpal 2015-2022 Corrient '!$A$5:$A$1012,$W$2,'PIB-Mpal 2015-2022 Corrient '!$E$5:$E$1012,$A98)</f>
        <v>15.139839154175181</v>
      </c>
      <c r="F98" s="51">
        <f>SUMIFS('PIB-Mpal 2015-2022 Corrient '!I$5:I$1012,'PIB-Mpal 2015-2022 Corrient '!$A$5:$A$1012,$W$2,'PIB-Mpal 2015-2022 Corrient '!$E$5:$E$1012,$A98)</f>
        <v>0.17792337888789156</v>
      </c>
      <c r="G98" s="51">
        <f>SUMIFS('PIB-Mpal 2015-2022 Corrient '!K$5:K$1012,'PIB-Mpal 2015-2022 Corrient '!$A$5:$A$1012,$W$2,'PIB-Mpal 2015-2022 Corrient '!$E$5:$E$1012,$A98)</f>
        <v>4.5122494959103969</v>
      </c>
      <c r="H98" s="51">
        <f>SUMIFS('PIB-Mpal 2015-2022 Corrient '!L$5:L$1012,'PIB-Mpal 2015-2022 Corrient '!$A$5:$A$1012,$W$2,'PIB-Mpal 2015-2022 Corrient '!$E$5:$E$1012,$A98)</f>
        <v>62.773378174310025</v>
      </c>
      <c r="I98" s="51">
        <f>SUMIFS('PIB-Mpal 2015-2022 Corrient '!N$5:N$1012,'PIB-Mpal 2015-2022 Corrient '!$A$5:$A$1012,$W$2,'PIB-Mpal 2015-2022 Corrient '!$E$5:$E$1012,$A98)</f>
        <v>655.24721570650445</v>
      </c>
      <c r="J98" s="51">
        <f>SUMIFS('PIB-Mpal 2015-2022 Corrient '!O$5:O$1012,'PIB-Mpal 2015-2022 Corrient '!$A$5:$A$1012,$W$2,'PIB-Mpal 2015-2022 Corrient '!$E$5:$E$1012,$A98)</f>
        <v>19.998390490707578</v>
      </c>
      <c r="K98" s="51">
        <f>SUMIFS('PIB-Mpal 2015-2022 Corrient '!P$5:P$1012,'PIB-Mpal 2015-2022 Corrient '!$A$5:$A$1012,$W$2,'PIB-Mpal 2015-2022 Corrient '!$E$5:$E$1012,$A98)</f>
        <v>4.5987983630667815</v>
      </c>
      <c r="L98" s="51">
        <f>SUMIFS('PIB-Mpal 2015-2022 Corrient '!Q$5:Q$1012,'PIB-Mpal 2015-2022 Corrient '!$A$5:$A$1012,$W$2,'PIB-Mpal 2015-2022 Corrient '!$E$5:$E$1012,$A98)</f>
        <v>1.5908097128594054</v>
      </c>
      <c r="M98" s="51">
        <f>SUMIFS('PIB-Mpal 2015-2022 Corrient '!R$5:R$1012,'PIB-Mpal 2015-2022 Corrient '!$A$5:$A$1012,$W$2,'PIB-Mpal 2015-2022 Corrient '!$E$5:$E$1012,$A98)</f>
        <v>15.851023784661521</v>
      </c>
      <c r="N98" s="51">
        <f>SUMIFS('PIB-Mpal 2015-2022 Corrient '!S$5:S$1012,'PIB-Mpal 2015-2022 Corrient '!$A$5:$A$1012,$W$2,'PIB-Mpal 2015-2022 Corrient '!$E$5:$E$1012,$A98)</f>
        <v>12.687365664468572</v>
      </c>
      <c r="O98" s="51">
        <f>SUMIFS('PIB-Mpal 2015-2022 Corrient '!T$5:T$1012,'PIB-Mpal 2015-2022 Corrient '!$A$5:$A$1012,$W$2,'PIB-Mpal 2015-2022 Corrient '!$E$5:$E$1012,$A98)</f>
        <v>23.083712198910909</v>
      </c>
      <c r="P98" s="150">
        <f>SUMIFS('PIB-Mpal 2015-2022 Corrient '!U$5:U$1012,'PIB-Mpal 2015-2022 Corrient '!$A$5:$A$1012,$W$2,'PIB-Mpal 2015-2022 Corrient '!$E$5:$E$1012,$A98)</f>
        <v>4.8129806507999433</v>
      </c>
      <c r="Q98" s="156">
        <f>SUMIFS('PIB-Mpal 2015-2022 Corrient '!J$5:J$1012,'PIB-Mpal 2015-2022 Corrient '!$A$5:$A$1012,$W$2,'PIB-Mpal 2015-2022 Corrient '!$E$5:$E$1012,$A98)</f>
        <v>15.317762533063073</v>
      </c>
      <c r="R98" s="52">
        <f>SUMIFS('PIB-Mpal 2015-2022 Corrient '!M$5:M$1012,'PIB-Mpal 2015-2022 Corrient '!$A$5:$A$1012,$W$2,'PIB-Mpal 2015-2022 Corrient '!$E$5:$E$1012,$A98)</f>
        <v>67.285627670220421</v>
      </c>
      <c r="S98" s="53">
        <f>SUMIFS('PIB-Mpal 2015-2022 Corrient '!V$5:V$1012,'PIB-Mpal 2015-2022 Corrient '!$A$5:$A$1012,$W$2,'PIB-Mpal 2015-2022 Corrient '!$E$5:$E$1012,$A98)</f>
        <v>737.870296571979</v>
      </c>
      <c r="T98" s="207">
        <f>SUMIFS('PIB-Mpal 2015-2022 Corrient '!W$5:W$1012,'PIB-Mpal 2015-2022 Corrient '!$A$5:$A$1012,$W$2,'PIB-Mpal 2015-2022 Corrient '!$E$5:$E$1012,$A98)</f>
        <v>820.47368677526242</v>
      </c>
      <c r="U98" s="203">
        <f>SUMIFS('PIB-Mpal 2015-2022 Corrient '!X$5:X$1012,'PIB-Mpal 2015-2022 Corrient '!$A$5:$A$1012,$W$2,'PIB-Mpal 2015-2022 Corrient '!$E$5:$E$1012,$A98)</f>
        <v>82.916348108818482</v>
      </c>
      <c r="V98" s="88">
        <f>SUMIFS('PIB-Mpal 2015-2022 Corrient '!Y$5:Y$1012,'PIB-Mpal 2015-2022 Corrient '!$A$5:$A$1012,$W$2,'PIB-Mpal 2015-2022 Corrient '!$E$5:$E$1012,$A98)</f>
        <v>903.39003488408093</v>
      </c>
      <c r="W98" s="92">
        <f t="shared" si="14"/>
        <v>5.882998676593483E-3</v>
      </c>
      <c r="X98" s="268">
        <f>INDEX(POBLACION!$C$4:$W$128,MATCH(A98,POBLACION!$A$4:$A$128,0),MATCH($W$2,POBLACION!$C$3:$W$3,0))</f>
        <v>15940</v>
      </c>
      <c r="Y98" s="258">
        <f t="shared" si="15"/>
        <v>51472.627777619979</v>
      </c>
      <c r="Z98" s="270">
        <f t="shared" si="16"/>
        <v>56674.406203518258</v>
      </c>
      <c r="AA98" s="273">
        <f t="shared" si="17"/>
        <v>4.7115763403929432</v>
      </c>
      <c r="AB98" s="273">
        <f t="shared" si="18"/>
        <v>4.7533869785755938</v>
      </c>
      <c r="AG98" s="281"/>
      <c r="AH98" s="282"/>
      <c r="AI98" s="282"/>
    </row>
    <row r="99" spans="1:35" x14ac:dyDescent="0.2">
      <c r="A99" s="35" t="s">
        <v>304</v>
      </c>
      <c r="B99" s="32" t="s">
        <v>264</v>
      </c>
      <c r="C99" s="33" t="s">
        <v>267</v>
      </c>
      <c r="D99" s="32" t="s">
        <v>305</v>
      </c>
      <c r="E99" s="51">
        <f>SUMIFS('PIB-Mpal 2015-2022 Corrient '!H$5:H$1012,'PIB-Mpal 2015-2022 Corrient '!$A$5:$A$1012,$W$2,'PIB-Mpal 2015-2022 Corrient '!$E$5:$E$1012,$A99)</f>
        <v>5.2410131222683001</v>
      </c>
      <c r="F99" s="51">
        <f>SUMIFS('PIB-Mpal 2015-2022 Corrient '!I$5:I$1012,'PIB-Mpal 2015-2022 Corrient '!$A$5:$A$1012,$W$2,'PIB-Mpal 2015-2022 Corrient '!$E$5:$E$1012,$A99)</f>
        <v>0</v>
      </c>
      <c r="G99" s="51">
        <f>SUMIFS('PIB-Mpal 2015-2022 Corrient '!K$5:K$1012,'PIB-Mpal 2015-2022 Corrient '!$A$5:$A$1012,$W$2,'PIB-Mpal 2015-2022 Corrient '!$E$5:$E$1012,$A99)</f>
        <v>4.9725096723785271E-2</v>
      </c>
      <c r="H99" s="51">
        <f>SUMIFS('PIB-Mpal 2015-2022 Corrient '!L$5:L$1012,'PIB-Mpal 2015-2022 Corrient '!$A$5:$A$1012,$W$2,'PIB-Mpal 2015-2022 Corrient '!$E$5:$E$1012,$A99)</f>
        <v>5.8901934695260865</v>
      </c>
      <c r="I99" s="51">
        <f>SUMIFS('PIB-Mpal 2015-2022 Corrient '!N$5:N$1012,'PIB-Mpal 2015-2022 Corrient '!$A$5:$A$1012,$W$2,'PIB-Mpal 2015-2022 Corrient '!$E$5:$E$1012,$A99)</f>
        <v>1.9664401189828153</v>
      </c>
      <c r="J99" s="51">
        <f>SUMIFS('PIB-Mpal 2015-2022 Corrient '!O$5:O$1012,'PIB-Mpal 2015-2022 Corrient '!$A$5:$A$1012,$W$2,'PIB-Mpal 2015-2022 Corrient '!$E$5:$E$1012,$A99)</f>
        <v>16.465264935380109</v>
      </c>
      <c r="K99" s="51">
        <f>SUMIFS('PIB-Mpal 2015-2022 Corrient '!P$5:P$1012,'PIB-Mpal 2015-2022 Corrient '!$A$5:$A$1012,$W$2,'PIB-Mpal 2015-2022 Corrient '!$E$5:$E$1012,$A99)</f>
        <v>2.4131895751363608</v>
      </c>
      <c r="L99" s="51">
        <f>SUMIFS('PIB-Mpal 2015-2022 Corrient '!Q$5:Q$1012,'PIB-Mpal 2015-2022 Corrient '!$A$5:$A$1012,$W$2,'PIB-Mpal 2015-2022 Corrient '!$E$5:$E$1012,$A99)</f>
        <v>1.2656999908511242</v>
      </c>
      <c r="M99" s="51">
        <f>SUMIFS('PIB-Mpal 2015-2022 Corrient '!R$5:R$1012,'PIB-Mpal 2015-2022 Corrient '!$A$5:$A$1012,$W$2,'PIB-Mpal 2015-2022 Corrient '!$E$5:$E$1012,$A99)</f>
        <v>9.1697070777264358</v>
      </c>
      <c r="N99" s="51">
        <f>SUMIFS('PIB-Mpal 2015-2022 Corrient '!S$5:S$1012,'PIB-Mpal 2015-2022 Corrient '!$A$5:$A$1012,$W$2,'PIB-Mpal 2015-2022 Corrient '!$E$5:$E$1012,$A99)</f>
        <v>7.928633216699926</v>
      </c>
      <c r="O99" s="51">
        <f>SUMIFS('PIB-Mpal 2015-2022 Corrient '!T$5:T$1012,'PIB-Mpal 2015-2022 Corrient '!$A$5:$A$1012,$W$2,'PIB-Mpal 2015-2022 Corrient '!$E$5:$E$1012,$A99)</f>
        <v>17.561908227787331</v>
      </c>
      <c r="P99" s="150">
        <f>SUMIFS('PIB-Mpal 2015-2022 Corrient '!U$5:U$1012,'PIB-Mpal 2015-2022 Corrient '!$A$5:$A$1012,$W$2,'PIB-Mpal 2015-2022 Corrient '!$E$5:$E$1012,$A99)</f>
        <v>2.442070402137432</v>
      </c>
      <c r="Q99" s="156">
        <f>SUMIFS('PIB-Mpal 2015-2022 Corrient '!J$5:J$1012,'PIB-Mpal 2015-2022 Corrient '!$A$5:$A$1012,$W$2,'PIB-Mpal 2015-2022 Corrient '!$E$5:$E$1012,$A99)</f>
        <v>5.2410131222683001</v>
      </c>
      <c r="R99" s="52">
        <f>SUMIFS('PIB-Mpal 2015-2022 Corrient '!M$5:M$1012,'PIB-Mpal 2015-2022 Corrient '!$A$5:$A$1012,$W$2,'PIB-Mpal 2015-2022 Corrient '!$E$5:$E$1012,$A99)</f>
        <v>5.9399185662498715</v>
      </c>
      <c r="S99" s="53">
        <f>SUMIFS('PIB-Mpal 2015-2022 Corrient '!V$5:V$1012,'PIB-Mpal 2015-2022 Corrient '!$A$5:$A$1012,$W$2,'PIB-Mpal 2015-2022 Corrient '!$E$5:$E$1012,$A99)</f>
        <v>59.212913544701536</v>
      </c>
      <c r="T99" s="207">
        <f>SUMIFS('PIB-Mpal 2015-2022 Corrient '!W$5:W$1012,'PIB-Mpal 2015-2022 Corrient '!$A$5:$A$1012,$W$2,'PIB-Mpal 2015-2022 Corrient '!$E$5:$E$1012,$A99)</f>
        <v>70.393845233219707</v>
      </c>
      <c r="U99" s="203">
        <f>SUMIFS('PIB-Mpal 2015-2022 Corrient '!X$5:X$1012,'PIB-Mpal 2015-2022 Corrient '!$A$5:$A$1012,$W$2,'PIB-Mpal 2015-2022 Corrient '!$E$5:$E$1012,$A99)</f>
        <v>7.1139399960729071</v>
      </c>
      <c r="V99" s="88">
        <f>SUMIFS('PIB-Mpal 2015-2022 Corrient '!Y$5:Y$1012,'PIB-Mpal 2015-2022 Corrient '!$A$5:$A$1012,$W$2,'PIB-Mpal 2015-2022 Corrient '!$E$5:$E$1012,$A99)</f>
        <v>77.507785229292608</v>
      </c>
      <c r="W99" s="92">
        <f t="shared" si="14"/>
        <v>5.0474123061157016E-4</v>
      </c>
      <c r="X99" s="268">
        <f>INDEX(POBLACION!$C$4:$W$128,MATCH(A99,POBLACION!$A$4:$A$128,0),MATCH($W$2,POBLACION!$C$3:$W$3,0))</f>
        <v>5776</v>
      </c>
      <c r="Y99" s="258">
        <f t="shared" si="15"/>
        <v>12187.300075003412</v>
      </c>
      <c r="Z99" s="270">
        <f t="shared" si="16"/>
        <v>13418.937885957861</v>
      </c>
      <c r="AA99" s="273">
        <f t="shared" si="17"/>
        <v>4.0859075044370572</v>
      </c>
      <c r="AB99" s="273">
        <f t="shared" si="18"/>
        <v>4.1277181426197069</v>
      </c>
      <c r="AG99" s="281"/>
      <c r="AH99" s="282"/>
      <c r="AI99" s="282"/>
    </row>
    <row r="100" spans="1:35" x14ac:dyDescent="0.2">
      <c r="A100" s="35" t="s">
        <v>306</v>
      </c>
      <c r="B100" s="32" t="s">
        <v>264</v>
      </c>
      <c r="C100" s="33" t="s">
        <v>267</v>
      </c>
      <c r="D100" s="32" t="s">
        <v>307</v>
      </c>
      <c r="E100" s="51">
        <f>SUMIFS('PIB-Mpal 2015-2022 Corrient '!H$5:H$1012,'PIB-Mpal 2015-2022 Corrient '!$A$5:$A$1012,$W$2,'PIB-Mpal 2015-2022 Corrient '!$E$5:$E$1012,$A100)</f>
        <v>6.8580392129993797</v>
      </c>
      <c r="F100" s="51">
        <f>SUMIFS('PIB-Mpal 2015-2022 Corrient '!I$5:I$1012,'PIB-Mpal 2015-2022 Corrient '!$A$5:$A$1012,$W$2,'PIB-Mpal 2015-2022 Corrient '!$E$5:$E$1012,$A100)</f>
        <v>0.22758246500565971</v>
      </c>
      <c r="G100" s="51">
        <f>SUMIFS('PIB-Mpal 2015-2022 Corrient '!K$5:K$1012,'PIB-Mpal 2015-2022 Corrient '!$A$5:$A$1012,$W$2,'PIB-Mpal 2015-2022 Corrient '!$E$5:$E$1012,$A100)</f>
        <v>2.7177851637883141</v>
      </c>
      <c r="H100" s="51">
        <f>SUMIFS('PIB-Mpal 2015-2022 Corrient '!L$5:L$1012,'PIB-Mpal 2015-2022 Corrient '!$A$5:$A$1012,$W$2,'PIB-Mpal 2015-2022 Corrient '!$E$5:$E$1012,$A100)</f>
        <v>9.2464240457031188</v>
      </c>
      <c r="I100" s="51">
        <f>SUMIFS('PIB-Mpal 2015-2022 Corrient '!N$5:N$1012,'PIB-Mpal 2015-2022 Corrient '!$A$5:$A$1012,$W$2,'PIB-Mpal 2015-2022 Corrient '!$E$5:$E$1012,$A100)</f>
        <v>4.106032227579524</v>
      </c>
      <c r="J100" s="51">
        <f>SUMIFS('PIB-Mpal 2015-2022 Corrient '!O$5:O$1012,'PIB-Mpal 2015-2022 Corrient '!$A$5:$A$1012,$W$2,'PIB-Mpal 2015-2022 Corrient '!$E$5:$E$1012,$A100)</f>
        <v>24.114842442136414</v>
      </c>
      <c r="K100" s="51">
        <f>SUMIFS('PIB-Mpal 2015-2022 Corrient '!P$5:P$1012,'PIB-Mpal 2015-2022 Corrient '!$A$5:$A$1012,$W$2,'PIB-Mpal 2015-2022 Corrient '!$E$5:$E$1012,$A100)</f>
        <v>4.3703450892651174</v>
      </c>
      <c r="L100" s="51">
        <f>SUMIFS('PIB-Mpal 2015-2022 Corrient '!Q$5:Q$1012,'PIB-Mpal 2015-2022 Corrient '!$A$5:$A$1012,$W$2,'PIB-Mpal 2015-2022 Corrient '!$E$5:$E$1012,$A100)</f>
        <v>2.9476590631371473</v>
      </c>
      <c r="M100" s="51">
        <f>SUMIFS('PIB-Mpal 2015-2022 Corrient '!R$5:R$1012,'PIB-Mpal 2015-2022 Corrient '!$A$5:$A$1012,$W$2,'PIB-Mpal 2015-2022 Corrient '!$E$5:$E$1012,$A100)</f>
        <v>11.787389460307969</v>
      </c>
      <c r="N100" s="51">
        <f>SUMIFS('PIB-Mpal 2015-2022 Corrient '!S$5:S$1012,'PIB-Mpal 2015-2022 Corrient '!$A$5:$A$1012,$W$2,'PIB-Mpal 2015-2022 Corrient '!$E$5:$E$1012,$A100)</f>
        <v>26.312274419540838</v>
      </c>
      <c r="O100" s="51">
        <f>SUMIFS('PIB-Mpal 2015-2022 Corrient '!T$5:T$1012,'PIB-Mpal 2015-2022 Corrient '!$A$5:$A$1012,$W$2,'PIB-Mpal 2015-2022 Corrient '!$E$5:$E$1012,$A100)</f>
        <v>26.503891568096499</v>
      </c>
      <c r="P100" s="150">
        <f>SUMIFS('PIB-Mpal 2015-2022 Corrient '!U$5:U$1012,'PIB-Mpal 2015-2022 Corrient '!$A$5:$A$1012,$W$2,'PIB-Mpal 2015-2022 Corrient '!$E$5:$E$1012,$A100)</f>
        <v>3.8910874973153273</v>
      </c>
      <c r="Q100" s="156">
        <f>SUMIFS('PIB-Mpal 2015-2022 Corrient '!J$5:J$1012,'PIB-Mpal 2015-2022 Corrient '!$A$5:$A$1012,$W$2,'PIB-Mpal 2015-2022 Corrient '!$E$5:$E$1012,$A100)</f>
        <v>7.0856216780050394</v>
      </c>
      <c r="R100" s="52">
        <f>SUMIFS('PIB-Mpal 2015-2022 Corrient '!M$5:M$1012,'PIB-Mpal 2015-2022 Corrient '!$A$5:$A$1012,$W$2,'PIB-Mpal 2015-2022 Corrient '!$E$5:$E$1012,$A100)</f>
        <v>11.964209209491433</v>
      </c>
      <c r="S100" s="53">
        <f>SUMIFS('PIB-Mpal 2015-2022 Corrient '!V$5:V$1012,'PIB-Mpal 2015-2022 Corrient '!$A$5:$A$1012,$W$2,'PIB-Mpal 2015-2022 Corrient '!$E$5:$E$1012,$A100)</f>
        <v>104.03352176737884</v>
      </c>
      <c r="T100" s="207">
        <f>SUMIFS('PIB-Mpal 2015-2022 Corrient '!W$5:W$1012,'PIB-Mpal 2015-2022 Corrient '!$A$5:$A$1012,$W$2,'PIB-Mpal 2015-2022 Corrient '!$E$5:$E$1012,$A100)</f>
        <v>123.08335265487531</v>
      </c>
      <c r="U100" s="203">
        <f>SUMIFS('PIB-Mpal 2015-2022 Corrient '!X$5:X$1012,'PIB-Mpal 2015-2022 Corrient '!$A$5:$A$1012,$W$2,'PIB-Mpal 2015-2022 Corrient '!$E$5:$E$1012,$A100)</f>
        <v>12.43869520696469</v>
      </c>
      <c r="V100" s="88">
        <f>SUMIFS('PIB-Mpal 2015-2022 Corrient '!Y$5:Y$1012,'PIB-Mpal 2015-2022 Corrient '!$A$5:$A$1012,$W$2,'PIB-Mpal 2015-2022 Corrient '!$E$5:$E$1012,$A100)</f>
        <v>135.52204786184001</v>
      </c>
      <c r="W100" s="92">
        <f t="shared" si="14"/>
        <v>8.8253799293097851E-4</v>
      </c>
      <c r="X100" s="268">
        <f>INDEX(POBLACION!$C$4:$W$128,MATCH(A100,POBLACION!$A$4:$A$128,0),MATCH($W$2,POBLACION!$C$3:$W$3,0))</f>
        <v>13035</v>
      </c>
      <c r="Y100" s="258">
        <f t="shared" si="15"/>
        <v>9442.5280134158274</v>
      </c>
      <c r="Z100" s="270">
        <f t="shared" si="16"/>
        <v>10396.781577433067</v>
      </c>
      <c r="AA100" s="273">
        <f t="shared" si="17"/>
        <v>3.9750882819352382</v>
      </c>
      <c r="AB100" s="273">
        <f t="shared" si="18"/>
        <v>4.0168989201178888</v>
      </c>
      <c r="AG100" s="281"/>
      <c r="AH100" s="282"/>
      <c r="AI100" s="282"/>
    </row>
    <row r="101" spans="1:35" x14ac:dyDescent="0.2">
      <c r="A101" s="35" t="s">
        <v>308</v>
      </c>
      <c r="B101" s="32" t="s">
        <v>264</v>
      </c>
      <c r="C101" s="33" t="s">
        <v>267</v>
      </c>
      <c r="D101" s="32" t="s">
        <v>309</v>
      </c>
      <c r="E101" s="51">
        <f>SUMIFS('PIB-Mpal 2015-2022 Corrient '!H$5:H$1012,'PIB-Mpal 2015-2022 Corrient '!$A$5:$A$1012,$W$2,'PIB-Mpal 2015-2022 Corrient '!$E$5:$E$1012,$A101)</f>
        <v>12.434474582173385</v>
      </c>
      <c r="F101" s="51">
        <f>SUMIFS('PIB-Mpal 2015-2022 Corrient '!I$5:I$1012,'PIB-Mpal 2015-2022 Corrient '!$A$5:$A$1012,$W$2,'PIB-Mpal 2015-2022 Corrient '!$E$5:$E$1012,$A101)</f>
        <v>0</v>
      </c>
      <c r="G101" s="51">
        <f>SUMIFS('PIB-Mpal 2015-2022 Corrient '!K$5:K$1012,'PIB-Mpal 2015-2022 Corrient '!$A$5:$A$1012,$W$2,'PIB-Mpal 2015-2022 Corrient '!$E$5:$E$1012,$A101)</f>
        <v>3.848439728958319</v>
      </c>
      <c r="H101" s="51">
        <f>SUMIFS('PIB-Mpal 2015-2022 Corrient '!L$5:L$1012,'PIB-Mpal 2015-2022 Corrient '!$A$5:$A$1012,$W$2,'PIB-Mpal 2015-2022 Corrient '!$E$5:$E$1012,$A101)</f>
        <v>16.250573722216256</v>
      </c>
      <c r="I101" s="51">
        <f>SUMIFS('PIB-Mpal 2015-2022 Corrient '!N$5:N$1012,'PIB-Mpal 2015-2022 Corrient '!$A$5:$A$1012,$W$2,'PIB-Mpal 2015-2022 Corrient '!$E$5:$E$1012,$A101)</f>
        <v>137.52563809770029</v>
      </c>
      <c r="J101" s="51">
        <f>SUMIFS('PIB-Mpal 2015-2022 Corrient '!O$5:O$1012,'PIB-Mpal 2015-2022 Corrient '!$A$5:$A$1012,$W$2,'PIB-Mpal 2015-2022 Corrient '!$E$5:$E$1012,$A101)</f>
        <v>14.223142033905745</v>
      </c>
      <c r="K101" s="51">
        <f>SUMIFS('PIB-Mpal 2015-2022 Corrient '!P$5:P$1012,'PIB-Mpal 2015-2022 Corrient '!$A$5:$A$1012,$W$2,'PIB-Mpal 2015-2022 Corrient '!$E$5:$E$1012,$A101)</f>
        <v>2.6059848797150309</v>
      </c>
      <c r="L101" s="51">
        <f>SUMIFS('PIB-Mpal 2015-2022 Corrient '!Q$5:Q$1012,'PIB-Mpal 2015-2022 Corrient '!$A$5:$A$1012,$W$2,'PIB-Mpal 2015-2022 Corrient '!$E$5:$E$1012,$A101)</f>
        <v>1.3541129407193813</v>
      </c>
      <c r="M101" s="51">
        <f>SUMIFS('PIB-Mpal 2015-2022 Corrient '!R$5:R$1012,'PIB-Mpal 2015-2022 Corrient '!$A$5:$A$1012,$W$2,'PIB-Mpal 2015-2022 Corrient '!$E$5:$E$1012,$A101)</f>
        <v>10.01272237947158</v>
      </c>
      <c r="N101" s="51">
        <f>SUMIFS('PIB-Mpal 2015-2022 Corrient '!S$5:S$1012,'PIB-Mpal 2015-2022 Corrient '!$A$5:$A$1012,$W$2,'PIB-Mpal 2015-2022 Corrient '!$E$5:$E$1012,$A101)</f>
        <v>7.4246293518052369</v>
      </c>
      <c r="O101" s="51">
        <f>SUMIFS('PIB-Mpal 2015-2022 Corrient '!T$5:T$1012,'PIB-Mpal 2015-2022 Corrient '!$A$5:$A$1012,$W$2,'PIB-Mpal 2015-2022 Corrient '!$E$5:$E$1012,$A101)</f>
        <v>15.001993082603262</v>
      </c>
      <c r="P101" s="150">
        <f>SUMIFS('PIB-Mpal 2015-2022 Corrient '!U$5:U$1012,'PIB-Mpal 2015-2022 Corrient '!$A$5:$A$1012,$W$2,'PIB-Mpal 2015-2022 Corrient '!$E$5:$E$1012,$A101)</f>
        <v>2.8451009993642824</v>
      </c>
      <c r="Q101" s="156">
        <f>SUMIFS('PIB-Mpal 2015-2022 Corrient '!J$5:J$1012,'PIB-Mpal 2015-2022 Corrient '!$A$5:$A$1012,$W$2,'PIB-Mpal 2015-2022 Corrient '!$E$5:$E$1012,$A101)</f>
        <v>12.434474582173385</v>
      </c>
      <c r="R101" s="52">
        <f>SUMIFS('PIB-Mpal 2015-2022 Corrient '!M$5:M$1012,'PIB-Mpal 2015-2022 Corrient '!$A$5:$A$1012,$W$2,'PIB-Mpal 2015-2022 Corrient '!$E$5:$E$1012,$A101)</f>
        <v>20.099013451174574</v>
      </c>
      <c r="S101" s="53">
        <f>SUMIFS('PIB-Mpal 2015-2022 Corrient '!V$5:V$1012,'PIB-Mpal 2015-2022 Corrient '!$A$5:$A$1012,$W$2,'PIB-Mpal 2015-2022 Corrient '!$E$5:$E$1012,$A101)</f>
        <v>190.99332376528483</v>
      </c>
      <c r="T101" s="207">
        <f>SUMIFS('PIB-Mpal 2015-2022 Corrient '!W$5:W$1012,'PIB-Mpal 2015-2022 Corrient '!$A$5:$A$1012,$W$2,'PIB-Mpal 2015-2022 Corrient '!$E$5:$E$1012,$A101)</f>
        <v>223.52681179863279</v>
      </c>
      <c r="U101" s="203">
        <f>SUMIFS('PIB-Mpal 2015-2022 Corrient '!X$5:X$1012,'PIB-Mpal 2015-2022 Corrient '!$A$5:$A$1012,$W$2,'PIB-Mpal 2015-2022 Corrient '!$E$5:$E$1012,$A101)</f>
        <v>22.589422717009661</v>
      </c>
      <c r="V101" s="88">
        <f>SUMIFS('PIB-Mpal 2015-2022 Corrient '!Y$5:Y$1012,'PIB-Mpal 2015-2022 Corrient '!$A$5:$A$1012,$W$2,'PIB-Mpal 2015-2022 Corrient '!$E$5:$E$1012,$A101)</f>
        <v>246.11623451564245</v>
      </c>
      <c r="W101" s="92">
        <f t="shared" si="14"/>
        <v>1.6027423660141262E-3</v>
      </c>
      <c r="X101" s="268">
        <f>INDEX(POBLACION!$C$4:$W$128,MATCH(A101,POBLACION!$A$4:$A$128,0),MATCH($W$2,POBLACION!$C$3:$W$3,0))</f>
        <v>15632</v>
      </c>
      <c r="Y101" s="258">
        <f t="shared" si="15"/>
        <v>14299.309864293295</v>
      </c>
      <c r="Z101" s="270">
        <f t="shared" si="16"/>
        <v>15744.385524286236</v>
      </c>
      <c r="AA101" s="273">
        <f t="shared" si="17"/>
        <v>4.1553150773698242</v>
      </c>
      <c r="AB101" s="273">
        <f t="shared" si="18"/>
        <v>4.1971257155524748</v>
      </c>
      <c r="AG101" s="281"/>
      <c r="AH101" s="282"/>
      <c r="AI101" s="282"/>
    </row>
    <row r="102" spans="1:35" x14ac:dyDescent="0.2">
      <c r="A102" s="35" t="s">
        <v>310</v>
      </c>
      <c r="B102" s="32" t="s">
        <v>264</v>
      </c>
      <c r="C102" s="33" t="s">
        <v>267</v>
      </c>
      <c r="D102" s="32" t="s">
        <v>311</v>
      </c>
      <c r="E102" s="51">
        <f>SUMIFS('PIB-Mpal 2015-2022 Corrient '!H$5:H$1012,'PIB-Mpal 2015-2022 Corrient '!$A$5:$A$1012,$W$2,'PIB-Mpal 2015-2022 Corrient '!$E$5:$E$1012,$A102)</f>
        <v>100.82560919723836</v>
      </c>
      <c r="F102" s="51">
        <f>SUMIFS('PIB-Mpal 2015-2022 Corrient '!I$5:I$1012,'PIB-Mpal 2015-2022 Corrient '!$A$5:$A$1012,$W$2,'PIB-Mpal 2015-2022 Corrient '!$E$5:$E$1012,$A102)</f>
        <v>1.1949232492956838</v>
      </c>
      <c r="G102" s="51">
        <f>SUMIFS('PIB-Mpal 2015-2022 Corrient '!K$5:K$1012,'PIB-Mpal 2015-2022 Corrient '!$A$5:$A$1012,$W$2,'PIB-Mpal 2015-2022 Corrient '!$E$5:$E$1012,$A102)</f>
        <v>4.807769285983138</v>
      </c>
      <c r="H102" s="51">
        <f>SUMIFS('PIB-Mpal 2015-2022 Corrient '!L$5:L$1012,'PIB-Mpal 2015-2022 Corrient '!$A$5:$A$1012,$W$2,'PIB-Mpal 2015-2022 Corrient '!$E$5:$E$1012,$A102)</f>
        <v>18.376684070681627</v>
      </c>
      <c r="I102" s="51">
        <f>SUMIFS('PIB-Mpal 2015-2022 Corrient '!N$5:N$1012,'PIB-Mpal 2015-2022 Corrient '!$A$5:$A$1012,$W$2,'PIB-Mpal 2015-2022 Corrient '!$E$5:$E$1012,$A102)</f>
        <v>5.762763704315347</v>
      </c>
      <c r="J102" s="51">
        <f>SUMIFS('PIB-Mpal 2015-2022 Corrient '!O$5:O$1012,'PIB-Mpal 2015-2022 Corrient '!$A$5:$A$1012,$W$2,'PIB-Mpal 2015-2022 Corrient '!$E$5:$E$1012,$A102)</f>
        <v>37.247989687025473</v>
      </c>
      <c r="K102" s="51">
        <f>SUMIFS('PIB-Mpal 2015-2022 Corrient '!P$5:P$1012,'PIB-Mpal 2015-2022 Corrient '!$A$5:$A$1012,$W$2,'PIB-Mpal 2015-2022 Corrient '!$E$5:$E$1012,$A102)</f>
        <v>7.1557358422212207</v>
      </c>
      <c r="L102" s="51">
        <f>SUMIFS('PIB-Mpal 2015-2022 Corrient '!Q$5:Q$1012,'PIB-Mpal 2015-2022 Corrient '!$A$5:$A$1012,$W$2,'PIB-Mpal 2015-2022 Corrient '!$E$5:$E$1012,$A102)</f>
        <v>3.7166091610578551</v>
      </c>
      <c r="M102" s="51">
        <f>SUMIFS('PIB-Mpal 2015-2022 Corrient '!R$5:R$1012,'PIB-Mpal 2015-2022 Corrient '!$A$5:$A$1012,$W$2,'PIB-Mpal 2015-2022 Corrient '!$E$5:$E$1012,$A102)</f>
        <v>32.044958372429008</v>
      </c>
      <c r="N102" s="51">
        <f>SUMIFS('PIB-Mpal 2015-2022 Corrient '!S$5:S$1012,'PIB-Mpal 2015-2022 Corrient '!$A$5:$A$1012,$W$2,'PIB-Mpal 2015-2022 Corrient '!$E$5:$E$1012,$A102)</f>
        <v>21.715557499766469</v>
      </c>
      <c r="O102" s="51">
        <f>SUMIFS('PIB-Mpal 2015-2022 Corrient '!T$5:T$1012,'PIB-Mpal 2015-2022 Corrient '!$A$5:$A$1012,$W$2,'PIB-Mpal 2015-2022 Corrient '!$E$5:$E$1012,$A102)</f>
        <v>40.69131760215803</v>
      </c>
      <c r="P102" s="150">
        <f>SUMIFS('PIB-Mpal 2015-2022 Corrient '!U$5:U$1012,'PIB-Mpal 2015-2022 Corrient '!$A$5:$A$1012,$W$2,'PIB-Mpal 2015-2022 Corrient '!$E$5:$E$1012,$A102)</f>
        <v>8.2797939359708295</v>
      </c>
      <c r="Q102" s="156">
        <f>SUMIFS('PIB-Mpal 2015-2022 Corrient '!J$5:J$1012,'PIB-Mpal 2015-2022 Corrient '!$A$5:$A$1012,$W$2,'PIB-Mpal 2015-2022 Corrient '!$E$5:$E$1012,$A102)</f>
        <v>102.02053244653405</v>
      </c>
      <c r="R102" s="52">
        <f>SUMIFS('PIB-Mpal 2015-2022 Corrient '!M$5:M$1012,'PIB-Mpal 2015-2022 Corrient '!$A$5:$A$1012,$W$2,'PIB-Mpal 2015-2022 Corrient '!$E$5:$E$1012,$A102)</f>
        <v>23.184453356664765</v>
      </c>
      <c r="S102" s="53">
        <f>SUMIFS('PIB-Mpal 2015-2022 Corrient '!V$5:V$1012,'PIB-Mpal 2015-2022 Corrient '!$A$5:$A$1012,$W$2,'PIB-Mpal 2015-2022 Corrient '!$E$5:$E$1012,$A102)</f>
        <v>156.61472580494421</v>
      </c>
      <c r="T102" s="207">
        <f>SUMIFS('PIB-Mpal 2015-2022 Corrient '!W$5:W$1012,'PIB-Mpal 2015-2022 Corrient '!$A$5:$A$1012,$W$2,'PIB-Mpal 2015-2022 Corrient '!$E$5:$E$1012,$A102)</f>
        <v>281.81971160814305</v>
      </c>
      <c r="U102" s="203">
        <f>SUMIFS('PIB-Mpal 2015-2022 Corrient '!X$5:X$1012,'PIB-Mpal 2015-2022 Corrient '!$A$5:$A$1012,$W$2,'PIB-Mpal 2015-2022 Corrient '!$E$5:$E$1012,$A102)</f>
        <v>28.480451827126345</v>
      </c>
      <c r="V102" s="88">
        <f>SUMIFS('PIB-Mpal 2015-2022 Corrient '!Y$5:Y$1012,'PIB-Mpal 2015-2022 Corrient '!$A$5:$A$1012,$W$2,'PIB-Mpal 2015-2022 Corrient '!$E$5:$E$1012,$A102)</f>
        <v>310.30016343526938</v>
      </c>
      <c r="W102" s="92">
        <f t="shared" si="14"/>
        <v>2.0207168336439209E-3</v>
      </c>
      <c r="X102" s="268">
        <f>INDEX(POBLACION!$C$4:$W$128,MATCH(A102,POBLACION!$A$4:$A$128,0),MATCH($W$2,POBLACION!$C$3:$W$3,0))</f>
        <v>22258</v>
      </c>
      <c r="Y102" s="258">
        <f t="shared" si="15"/>
        <v>12661.502004139771</v>
      </c>
      <c r="Z102" s="270">
        <f t="shared" si="16"/>
        <v>13941.062244373679</v>
      </c>
      <c r="AA102" s="273">
        <f t="shared" si="17"/>
        <v>4.102485228068149</v>
      </c>
      <c r="AB102" s="273">
        <f t="shared" si="18"/>
        <v>4.1442958662507987</v>
      </c>
      <c r="AG102" s="281"/>
      <c r="AH102" s="282"/>
      <c r="AI102" s="282"/>
    </row>
    <row r="103" spans="1:35" ht="16" thickBot="1" x14ac:dyDescent="0.25">
      <c r="A103" s="120" t="s">
        <v>312</v>
      </c>
      <c r="B103" s="63" t="s">
        <v>264</v>
      </c>
      <c r="C103" s="62" t="s">
        <v>270</v>
      </c>
      <c r="D103" s="63" t="s">
        <v>313</v>
      </c>
      <c r="E103" s="51">
        <f>SUMIFS('PIB-Mpal 2015-2022 Corrient '!H$5:H$1012,'PIB-Mpal 2015-2022 Corrient '!$A$5:$A$1012,$W$2,'PIB-Mpal 2015-2022 Corrient '!$E$5:$E$1012,$A103)</f>
        <v>471.28198045388154</v>
      </c>
      <c r="F103" s="51">
        <f>SUMIFS('PIB-Mpal 2015-2022 Corrient '!I$5:I$1012,'PIB-Mpal 2015-2022 Corrient '!$A$5:$A$1012,$W$2,'PIB-Mpal 2015-2022 Corrient '!$E$5:$E$1012,$A103)</f>
        <v>19.553347508392505</v>
      </c>
      <c r="G103" s="51">
        <f>SUMIFS('PIB-Mpal 2015-2022 Corrient '!K$5:K$1012,'PIB-Mpal 2015-2022 Corrient '!$A$5:$A$1012,$W$2,'PIB-Mpal 2015-2022 Corrient '!$E$5:$E$1012,$A103)</f>
        <v>315.72278937661406</v>
      </c>
      <c r="H103" s="51">
        <f>SUMIFS('PIB-Mpal 2015-2022 Corrient '!L$5:L$1012,'PIB-Mpal 2015-2022 Corrient '!$A$5:$A$1012,$W$2,'PIB-Mpal 2015-2022 Corrient '!$E$5:$E$1012,$A103)</f>
        <v>42.091399669757379</v>
      </c>
      <c r="I103" s="51">
        <f>SUMIFS('PIB-Mpal 2015-2022 Corrient '!N$5:N$1012,'PIB-Mpal 2015-2022 Corrient '!$A$5:$A$1012,$W$2,'PIB-Mpal 2015-2022 Corrient '!$E$5:$E$1012,$A103)</f>
        <v>41.324943212931601</v>
      </c>
      <c r="J103" s="51">
        <f>SUMIFS('PIB-Mpal 2015-2022 Corrient '!O$5:O$1012,'PIB-Mpal 2015-2022 Corrient '!$A$5:$A$1012,$W$2,'PIB-Mpal 2015-2022 Corrient '!$E$5:$E$1012,$A103)</f>
        <v>65.606309907040398</v>
      </c>
      <c r="K103" s="51">
        <f>SUMIFS('PIB-Mpal 2015-2022 Corrient '!P$5:P$1012,'PIB-Mpal 2015-2022 Corrient '!$A$5:$A$1012,$W$2,'PIB-Mpal 2015-2022 Corrient '!$E$5:$E$1012,$A103)</f>
        <v>13.880646798026353</v>
      </c>
      <c r="L103" s="51">
        <f>SUMIFS('PIB-Mpal 2015-2022 Corrient '!Q$5:Q$1012,'PIB-Mpal 2015-2022 Corrient '!$A$5:$A$1012,$W$2,'PIB-Mpal 2015-2022 Corrient '!$E$5:$E$1012,$A103)</f>
        <v>10.43566179326875</v>
      </c>
      <c r="M103" s="51">
        <f>SUMIFS('PIB-Mpal 2015-2022 Corrient '!R$5:R$1012,'PIB-Mpal 2015-2022 Corrient '!$A$5:$A$1012,$W$2,'PIB-Mpal 2015-2022 Corrient '!$E$5:$E$1012,$A103)</f>
        <v>42.909753710119141</v>
      </c>
      <c r="N103" s="51">
        <f>SUMIFS('PIB-Mpal 2015-2022 Corrient '!S$5:S$1012,'PIB-Mpal 2015-2022 Corrient '!$A$5:$A$1012,$W$2,'PIB-Mpal 2015-2022 Corrient '!$E$5:$E$1012,$A103)</f>
        <v>66.332890867775646</v>
      </c>
      <c r="O103" s="51">
        <f>SUMIFS('PIB-Mpal 2015-2022 Corrient '!T$5:T$1012,'PIB-Mpal 2015-2022 Corrient '!$A$5:$A$1012,$W$2,'PIB-Mpal 2015-2022 Corrient '!$E$5:$E$1012,$A103)</f>
        <v>77.562000273319313</v>
      </c>
      <c r="P103" s="150">
        <f>SUMIFS('PIB-Mpal 2015-2022 Corrient '!U$5:U$1012,'PIB-Mpal 2015-2022 Corrient '!$A$5:$A$1012,$W$2,'PIB-Mpal 2015-2022 Corrient '!$E$5:$E$1012,$A103)</f>
        <v>11.891331049881353</v>
      </c>
      <c r="Q103" s="156">
        <f>SUMIFS('PIB-Mpal 2015-2022 Corrient '!J$5:J$1012,'PIB-Mpal 2015-2022 Corrient '!$A$5:$A$1012,$W$2,'PIB-Mpal 2015-2022 Corrient '!$E$5:$E$1012,$A103)</f>
        <v>490.83532796227405</v>
      </c>
      <c r="R103" s="52">
        <f>SUMIFS('PIB-Mpal 2015-2022 Corrient '!M$5:M$1012,'PIB-Mpal 2015-2022 Corrient '!$A$5:$A$1012,$W$2,'PIB-Mpal 2015-2022 Corrient '!$E$5:$E$1012,$A103)</f>
        <v>357.81418904637144</v>
      </c>
      <c r="S103" s="53">
        <f>SUMIFS('PIB-Mpal 2015-2022 Corrient '!V$5:V$1012,'PIB-Mpal 2015-2022 Corrient '!$A$5:$A$1012,$W$2,'PIB-Mpal 2015-2022 Corrient '!$E$5:$E$1012,$A103)</f>
        <v>329.94353761236255</v>
      </c>
      <c r="T103" s="207">
        <f>SUMIFS('PIB-Mpal 2015-2022 Corrient '!W$5:W$1012,'PIB-Mpal 2015-2022 Corrient '!$A$5:$A$1012,$W$2,'PIB-Mpal 2015-2022 Corrient '!$E$5:$E$1012,$A103)</f>
        <v>1178.5930546210079</v>
      </c>
      <c r="U103" s="203">
        <f>SUMIFS('PIB-Mpal 2015-2022 Corrient '!X$5:X$1012,'PIB-Mpal 2015-2022 Corrient '!$A$5:$A$1012,$W$2,'PIB-Mpal 2015-2022 Corrient '!$E$5:$E$1012,$A103)</f>
        <v>119.10757599025732</v>
      </c>
      <c r="V103" s="88">
        <f>SUMIFS('PIB-Mpal 2015-2022 Corrient '!Y$5:Y$1012,'PIB-Mpal 2015-2022 Corrient '!$A$5:$A$1012,$W$2,'PIB-Mpal 2015-2022 Corrient '!$E$5:$E$1012,$A103)</f>
        <v>1297.7006306112653</v>
      </c>
      <c r="W103" s="98">
        <f t="shared" si="14"/>
        <v>8.450802862221312E-3</v>
      </c>
      <c r="X103" s="268">
        <f>INDEX(POBLACION!$C$4:$W$128,MATCH(A103,POBLACION!$A$4:$A$128,0),MATCH($W$2,POBLACION!$C$3:$W$3,0))</f>
        <v>36394</v>
      </c>
      <c r="Y103" s="258">
        <f t="shared" si="15"/>
        <v>32384.268138182335</v>
      </c>
      <c r="Z103" s="270">
        <f t="shared" si="16"/>
        <v>35656.993752026858</v>
      </c>
      <c r="AA103" s="273">
        <f t="shared" si="17"/>
        <v>4.5103340867491699</v>
      </c>
      <c r="AB103" s="273">
        <f t="shared" si="18"/>
        <v>4.5521447249318205</v>
      </c>
      <c r="AG103" s="281"/>
      <c r="AH103" s="282"/>
      <c r="AI103" s="282"/>
    </row>
    <row r="104" spans="1:35" ht="16" thickBot="1" x14ac:dyDescent="0.25">
      <c r="A104" s="122" t="s">
        <v>314</v>
      </c>
      <c r="B104" s="117" t="s">
        <v>315</v>
      </c>
      <c r="C104" s="117"/>
      <c r="D104" s="112"/>
      <c r="E104" s="113">
        <f>SUM(E105:E127)</f>
        <v>1894.4036653448075</v>
      </c>
      <c r="F104" s="113">
        <f t="shared" ref="F104:X104" si="20">SUM(F105:F127)</f>
        <v>18.636910530448844</v>
      </c>
      <c r="G104" s="113">
        <f t="shared" si="20"/>
        <v>417.1278004067471</v>
      </c>
      <c r="H104" s="113">
        <f t="shared" si="20"/>
        <v>464.57375064927982</v>
      </c>
      <c r="I104" s="113">
        <f t="shared" si="20"/>
        <v>207.04813998937627</v>
      </c>
      <c r="J104" s="113">
        <f t="shared" si="20"/>
        <v>831.31593605870762</v>
      </c>
      <c r="K104" s="113">
        <f t="shared" si="20"/>
        <v>153.42570514992593</v>
      </c>
      <c r="L104" s="113">
        <f t="shared" si="20"/>
        <v>115.29861838152486</v>
      </c>
      <c r="M104" s="113">
        <f t="shared" si="20"/>
        <v>369.27551913271117</v>
      </c>
      <c r="N104" s="113">
        <f t="shared" si="20"/>
        <v>476.71872594650711</v>
      </c>
      <c r="O104" s="113">
        <f t="shared" si="20"/>
        <v>838.80901421055444</v>
      </c>
      <c r="P104" s="123">
        <f t="shared" si="20"/>
        <v>152.21255734137665</v>
      </c>
      <c r="Q104" s="193">
        <f t="shared" si="20"/>
        <v>1913.0405758752561</v>
      </c>
      <c r="R104" s="113">
        <f t="shared" si="20"/>
        <v>881.70155105602703</v>
      </c>
      <c r="S104" s="114">
        <f t="shared" si="20"/>
        <v>3144.1042162106846</v>
      </c>
      <c r="T104" s="208">
        <f t="shared" si="20"/>
        <v>5938.8463431419686</v>
      </c>
      <c r="U104" s="186">
        <f t="shared" si="20"/>
        <v>600.17458047697812</v>
      </c>
      <c r="V104" s="123">
        <f t="shared" si="20"/>
        <v>6539.0209236189457</v>
      </c>
      <c r="W104" s="115">
        <f t="shared" si="14"/>
        <v>4.2582992898303924E-2</v>
      </c>
      <c r="X104" s="208">
        <f t="shared" si="20"/>
        <v>367467</v>
      </c>
      <c r="Y104" s="258">
        <f t="shared" si="15"/>
        <v>16161.57734746785</v>
      </c>
      <c r="Z104" s="270">
        <f t="shared" si="16"/>
        <v>17794.852119017341</v>
      </c>
      <c r="AA104" s="273">
        <f t="shared" si="17"/>
        <v>4.2084837450444521</v>
      </c>
      <c r="AB104" s="273">
        <f t="shared" si="18"/>
        <v>4.2502943832271027</v>
      </c>
      <c r="AG104" s="281"/>
      <c r="AH104" s="282"/>
      <c r="AI104" s="282"/>
    </row>
    <row r="105" spans="1:35" x14ac:dyDescent="0.2">
      <c r="A105" s="121" t="s">
        <v>316</v>
      </c>
      <c r="B105" s="101" t="s">
        <v>317</v>
      </c>
      <c r="C105" s="108" t="s">
        <v>225</v>
      </c>
      <c r="D105" s="101" t="s">
        <v>318</v>
      </c>
      <c r="E105" s="51">
        <f>SUMIFS('PIB-Mpal 2015-2022 Corrient '!H$5:H$1012,'PIB-Mpal 2015-2022 Corrient '!$A$5:$A$1012,$W$2,'PIB-Mpal 2015-2022 Corrient '!$E$5:$E$1012,$A105)</f>
        <v>56.530665562736516</v>
      </c>
      <c r="F105" s="51">
        <f>SUMIFS('PIB-Mpal 2015-2022 Corrient '!I$5:I$1012,'PIB-Mpal 2015-2022 Corrient '!$A$5:$A$1012,$W$2,'PIB-Mpal 2015-2022 Corrient '!$E$5:$E$1012,$A105)</f>
        <v>1.9007783316573068</v>
      </c>
      <c r="G105" s="51">
        <f>SUMIFS('PIB-Mpal 2015-2022 Corrient '!K$5:K$1012,'PIB-Mpal 2015-2022 Corrient '!$A$5:$A$1012,$W$2,'PIB-Mpal 2015-2022 Corrient '!$E$5:$E$1012,$A105)</f>
        <v>155.56047007700562</v>
      </c>
      <c r="H105" s="51">
        <f>SUMIFS('PIB-Mpal 2015-2022 Corrient '!L$5:L$1012,'PIB-Mpal 2015-2022 Corrient '!$A$5:$A$1012,$W$2,'PIB-Mpal 2015-2022 Corrient '!$E$5:$E$1012,$A105)</f>
        <v>58.908675822205112</v>
      </c>
      <c r="I105" s="51">
        <f>SUMIFS('PIB-Mpal 2015-2022 Corrient '!N$5:N$1012,'PIB-Mpal 2015-2022 Corrient '!$A$5:$A$1012,$W$2,'PIB-Mpal 2015-2022 Corrient '!$E$5:$E$1012,$A105)</f>
        <v>22.499229561561499</v>
      </c>
      <c r="J105" s="51">
        <f>SUMIFS('PIB-Mpal 2015-2022 Corrient '!O$5:O$1012,'PIB-Mpal 2015-2022 Corrient '!$A$5:$A$1012,$W$2,'PIB-Mpal 2015-2022 Corrient '!$E$5:$E$1012,$A105)</f>
        <v>70.25261057518685</v>
      </c>
      <c r="K105" s="51">
        <f>SUMIFS('PIB-Mpal 2015-2022 Corrient '!P$5:P$1012,'PIB-Mpal 2015-2022 Corrient '!$A$5:$A$1012,$W$2,'PIB-Mpal 2015-2022 Corrient '!$E$5:$E$1012,$A105)</f>
        <v>12.388264543334364</v>
      </c>
      <c r="L105" s="51">
        <f>SUMIFS('PIB-Mpal 2015-2022 Corrient '!Q$5:Q$1012,'PIB-Mpal 2015-2022 Corrient '!$A$5:$A$1012,$W$2,'PIB-Mpal 2015-2022 Corrient '!$E$5:$E$1012,$A105)</f>
        <v>9.0581334912107057</v>
      </c>
      <c r="M105" s="51">
        <f>SUMIFS('PIB-Mpal 2015-2022 Corrient '!R$5:R$1012,'PIB-Mpal 2015-2022 Corrient '!$A$5:$A$1012,$W$2,'PIB-Mpal 2015-2022 Corrient '!$E$5:$E$1012,$A105)</f>
        <v>32.238891615544908</v>
      </c>
      <c r="N105" s="51">
        <f>SUMIFS('PIB-Mpal 2015-2022 Corrient '!S$5:S$1012,'PIB-Mpal 2015-2022 Corrient '!$A$5:$A$1012,$W$2,'PIB-Mpal 2015-2022 Corrient '!$E$5:$E$1012,$A105)</f>
        <v>43.988627408879026</v>
      </c>
      <c r="O105" s="51">
        <f>SUMIFS('PIB-Mpal 2015-2022 Corrient '!T$5:T$1012,'PIB-Mpal 2015-2022 Corrient '!$A$5:$A$1012,$W$2,'PIB-Mpal 2015-2022 Corrient '!$E$5:$E$1012,$A105)</f>
        <v>58.128885474559965</v>
      </c>
      <c r="P105" s="150">
        <f>SUMIFS('PIB-Mpal 2015-2022 Corrient '!U$5:U$1012,'PIB-Mpal 2015-2022 Corrient '!$A$5:$A$1012,$W$2,'PIB-Mpal 2015-2022 Corrient '!$E$5:$E$1012,$A105)</f>
        <v>14.407811809908303</v>
      </c>
      <c r="Q105" s="156">
        <f>SUMIFS('PIB-Mpal 2015-2022 Corrient '!J$5:J$1012,'PIB-Mpal 2015-2022 Corrient '!$A$5:$A$1012,$W$2,'PIB-Mpal 2015-2022 Corrient '!$E$5:$E$1012,$A105)</f>
        <v>58.431443894393823</v>
      </c>
      <c r="R105" s="52">
        <f>SUMIFS('PIB-Mpal 2015-2022 Corrient '!M$5:M$1012,'PIB-Mpal 2015-2022 Corrient '!$A$5:$A$1012,$W$2,'PIB-Mpal 2015-2022 Corrient '!$E$5:$E$1012,$A105)</f>
        <v>214.46914589921073</v>
      </c>
      <c r="S105" s="53">
        <f>SUMIFS('PIB-Mpal 2015-2022 Corrient '!V$5:V$1012,'PIB-Mpal 2015-2022 Corrient '!$A$5:$A$1012,$W$2,'PIB-Mpal 2015-2022 Corrient '!$E$5:$E$1012,$A105)</f>
        <v>262.96245448018561</v>
      </c>
      <c r="T105" s="207">
        <f>SUMIFS('PIB-Mpal 2015-2022 Corrient '!W$5:W$1012,'PIB-Mpal 2015-2022 Corrient '!$A$5:$A$1012,$W$2,'PIB-Mpal 2015-2022 Corrient '!$E$5:$E$1012,$A105)</f>
        <v>535.86304427379014</v>
      </c>
      <c r="U105" s="203">
        <f>SUMIFS('PIB-Mpal 2015-2022 Corrient '!X$5:X$1012,'PIB-Mpal 2015-2022 Corrient '!$A$5:$A$1012,$W$2,'PIB-Mpal 2015-2022 Corrient '!$E$5:$E$1012,$A105)</f>
        <v>54.15384726387596</v>
      </c>
      <c r="V105" s="88">
        <f>SUMIFS('PIB-Mpal 2015-2022 Corrient '!Y$5:Y$1012,'PIB-Mpal 2015-2022 Corrient '!$A$5:$A$1012,$W$2,'PIB-Mpal 2015-2022 Corrient '!$E$5:$E$1012,$A105)</f>
        <v>590.01689153766608</v>
      </c>
      <c r="W105" s="100">
        <f t="shared" si="14"/>
        <v>3.8422701801545584E-3</v>
      </c>
      <c r="X105" s="268">
        <f>INDEX(POBLACION!$C$4:$W$128,MATCH(A105,POBLACION!$A$4:$A$128,0),MATCH($W$2,POBLACION!$C$3:$W$3,0))</f>
        <v>30777</v>
      </c>
      <c r="Y105" s="258">
        <f t="shared" si="15"/>
        <v>17411.152622860907</v>
      </c>
      <c r="Z105" s="270">
        <f t="shared" si="16"/>
        <v>19170.708371110442</v>
      </c>
      <c r="AA105" s="273">
        <f t="shared" si="17"/>
        <v>4.2408275224773915</v>
      </c>
      <c r="AB105" s="273">
        <f t="shared" si="18"/>
        <v>4.2826381606600421</v>
      </c>
      <c r="AG105" s="281"/>
      <c r="AH105" s="282"/>
      <c r="AI105" s="282"/>
    </row>
    <row r="106" spans="1:35" x14ac:dyDescent="0.2">
      <c r="A106" s="35" t="s">
        <v>319</v>
      </c>
      <c r="B106" s="32" t="s">
        <v>317</v>
      </c>
      <c r="C106" s="33" t="s">
        <v>320</v>
      </c>
      <c r="D106" s="32" t="s">
        <v>321</v>
      </c>
      <c r="E106" s="51">
        <f>SUMIFS('PIB-Mpal 2015-2022 Corrient '!H$5:H$1012,'PIB-Mpal 2015-2022 Corrient '!$A$5:$A$1012,$W$2,'PIB-Mpal 2015-2022 Corrient '!$E$5:$E$1012,$A106)</f>
        <v>131.86788766110692</v>
      </c>
      <c r="F106" s="51">
        <f>SUMIFS('PIB-Mpal 2015-2022 Corrient '!I$5:I$1012,'PIB-Mpal 2015-2022 Corrient '!$A$5:$A$1012,$W$2,'PIB-Mpal 2015-2022 Corrient '!$E$5:$E$1012,$A106)</f>
        <v>4.5598633099984909</v>
      </c>
      <c r="G106" s="51">
        <f>SUMIFS('PIB-Mpal 2015-2022 Corrient '!K$5:K$1012,'PIB-Mpal 2015-2022 Corrient '!$A$5:$A$1012,$W$2,'PIB-Mpal 2015-2022 Corrient '!$E$5:$E$1012,$A106)</f>
        <v>80.74813889500264</v>
      </c>
      <c r="H106" s="51">
        <f>SUMIFS('PIB-Mpal 2015-2022 Corrient '!L$5:L$1012,'PIB-Mpal 2015-2022 Corrient '!$A$5:$A$1012,$W$2,'PIB-Mpal 2015-2022 Corrient '!$E$5:$E$1012,$A106)</f>
        <v>86.848140506892648</v>
      </c>
      <c r="I106" s="51">
        <f>SUMIFS('PIB-Mpal 2015-2022 Corrient '!N$5:N$1012,'PIB-Mpal 2015-2022 Corrient '!$A$5:$A$1012,$W$2,'PIB-Mpal 2015-2022 Corrient '!$E$5:$E$1012,$A106)</f>
        <v>18.468193868394692</v>
      </c>
      <c r="J106" s="51">
        <f>SUMIFS('PIB-Mpal 2015-2022 Corrient '!O$5:O$1012,'PIB-Mpal 2015-2022 Corrient '!$A$5:$A$1012,$W$2,'PIB-Mpal 2015-2022 Corrient '!$E$5:$E$1012,$A106)</f>
        <v>100.09321251071657</v>
      </c>
      <c r="K106" s="51">
        <f>SUMIFS('PIB-Mpal 2015-2022 Corrient '!P$5:P$1012,'PIB-Mpal 2015-2022 Corrient '!$A$5:$A$1012,$W$2,'PIB-Mpal 2015-2022 Corrient '!$E$5:$E$1012,$A106)</f>
        <v>19.494270567431162</v>
      </c>
      <c r="L106" s="51">
        <f>SUMIFS('PIB-Mpal 2015-2022 Corrient '!Q$5:Q$1012,'PIB-Mpal 2015-2022 Corrient '!$A$5:$A$1012,$W$2,'PIB-Mpal 2015-2022 Corrient '!$E$5:$E$1012,$A106)</f>
        <v>24.473844808587096</v>
      </c>
      <c r="M106" s="51">
        <f>SUMIFS('PIB-Mpal 2015-2022 Corrient '!R$5:R$1012,'PIB-Mpal 2015-2022 Corrient '!$A$5:$A$1012,$W$2,'PIB-Mpal 2015-2022 Corrient '!$E$5:$E$1012,$A106)</f>
        <v>39.706614190054253</v>
      </c>
      <c r="N106" s="51">
        <f>SUMIFS('PIB-Mpal 2015-2022 Corrient '!S$5:S$1012,'PIB-Mpal 2015-2022 Corrient '!$A$5:$A$1012,$W$2,'PIB-Mpal 2015-2022 Corrient '!$E$5:$E$1012,$A106)</f>
        <v>59.097009426165201</v>
      </c>
      <c r="O106" s="51">
        <f>SUMIFS('PIB-Mpal 2015-2022 Corrient '!T$5:T$1012,'PIB-Mpal 2015-2022 Corrient '!$A$5:$A$1012,$W$2,'PIB-Mpal 2015-2022 Corrient '!$E$5:$E$1012,$A106)</f>
        <v>96.256430121474011</v>
      </c>
      <c r="P106" s="150">
        <f>SUMIFS('PIB-Mpal 2015-2022 Corrient '!U$5:U$1012,'PIB-Mpal 2015-2022 Corrient '!$A$5:$A$1012,$W$2,'PIB-Mpal 2015-2022 Corrient '!$E$5:$E$1012,$A106)</f>
        <v>16.535096722352502</v>
      </c>
      <c r="Q106" s="156">
        <f>SUMIFS('PIB-Mpal 2015-2022 Corrient '!J$5:J$1012,'PIB-Mpal 2015-2022 Corrient '!$A$5:$A$1012,$W$2,'PIB-Mpal 2015-2022 Corrient '!$E$5:$E$1012,$A106)</f>
        <v>136.42775097110541</v>
      </c>
      <c r="R106" s="52">
        <f>SUMIFS('PIB-Mpal 2015-2022 Corrient '!M$5:M$1012,'PIB-Mpal 2015-2022 Corrient '!$A$5:$A$1012,$W$2,'PIB-Mpal 2015-2022 Corrient '!$E$5:$E$1012,$A106)</f>
        <v>167.59627940189529</v>
      </c>
      <c r="S106" s="53">
        <f>SUMIFS('PIB-Mpal 2015-2022 Corrient '!V$5:V$1012,'PIB-Mpal 2015-2022 Corrient '!$A$5:$A$1012,$W$2,'PIB-Mpal 2015-2022 Corrient '!$E$5:$E$1012,$A106)</f>
        <v>374.12467221517545</v>
      </c>
      <c r="T106" s="207">
        <f>SUMIFS('PIB-Mpal 2015-2022 Corrient '!W$5:W$1012,'PIB-Mpal 2015-2022 Corrient '!$A$5:$A$1012,$W$2,'PIB-Mpal 2015-2022 Corrient '!$E$5:$E$1012,$A106)</f>
        <v>678.14870258817621</v>
      </c>
      <c r="U106" s="203">
        <f>SUMIFS('PIB-Mpal 2015-2022 Corrient '!X$5:X$1012,'PIB-Mpal 2015-2022 Corrient '!$A$5:$A$1012,$W$2,'PIB-Mpal 2015-2022 Corrient '!$E$5:$E$1012,$A106)</f>
        <v>68.533110567318857</v>
      </c>
      <c r="V106" s="88">
        <f>SUMIFS('PIB-Mpal 2015-2022 Corrient '!Y$5:Y$1012,'PIB-Mpal 2015-2022 Corrient '!$A$5:$A$1012,$W$2,'PIB-Mpal 2015-2022 Corrient '!$E$5:$E$1012,$A106)</f>
        <v>746.68181315549509</v>
      </c>
      <c r="W106" s="92">
        <f t="shared" si="14"/>
        <v>4.8624934402711848E-3</v>
      </c>
      <c r="X106" s="268">
        <f>INDEX(POBLACION!$C$4:$W$128,MATCH(A106,POBLACION!$A$4:$A$128,0),MATCH($W$2,POBLACION!$C$3:$W$3,0))</f>
        <v>43713</v>
      </c>
      <c r="Y106" s="258">
        <f t="shared" si="15"/>
        <v>15513.661898935698</v>
      </c>
      <c r="Z106" s="270">
        <f t="shared" si="16"/>
        <v>17081.4589059432</v>
      </c>
      <c r="AA106" s="273">
        <f t="shared" si="17"/>
        <v>4.1907143223004706</v>
      </c>
      <c r="AB106" s="273">
        <f t="shared" si="18"/>
        <v>4.2325249604831212</v>
      </c>
      <c r="AG106" s="281"/>
      <c r="AH106" s="282"/>
      <c r="AI106" s="282"/>
    </row>
    <row r="107" spans="1:35" x14ac:dyDescent="0.2">
      <c r="A107" s="35" t="s">
        <v>322</v>
      </c>
      <c r="B107" s="32" t="s">
        <v>317</v>
      </c>
      <c r="C107" s="33" t="s">
        <v>225</v>
      </c>
      <c r="D107" s="32" t="s">
        <v>323</v>
      </c>
      <c r="E107" s="51">
        <f>SUMIFS('PIB-Mpal 2015-2022 Corrient '!H$5:H$1012,'PIB-Mpal 2015-2022 Corrient '!$A$5:$A$1012,$W$2,'PIB-Mpal 2015-2022 Corrient '!$E$5:$E$1012,$A107)</f>
        <v>26.891883726472983</v>
      </c>
      <c r="F107" s="51">
        <f>SUMIFS('PIB-Mpal 2015-2022 Corrient '!I$5:I$1012,'PIB-Mpal 2015-2022 Corrient '!$A$5:$A$1012,$W$2,'PIB-Mpal 2015-2022 Corrient '!$E$5:$E$1012,$A107)</f>
        <v>0.9923460703828475</v>
      </c>
      <c r="G107" s="51">
        <f>SUMIFS('PIB-Mpal 2015-2022 Corrient '!K$5:K$1012,'PIB-Mpal 2015-2022 Corrient '!$A$5:$A$1012,$W$2,'PIB-Mpal 2015-2022 Corrient '!$E$5:$E$1012,$A107)</f>
        <v>4.8900943323225254</v>
      </c>
      <c r="H107" s="51">
        <f>SUMIFS('PIB-Mpal 2015-2022 Corrient '!L$5:L$1012,'PIB-Mpal 2015-2022 Corrient '!$A$5:$A$1012,$W$2,'PIB-Mpal 2015-2022 Corrient '!$E$5:$E$1012,$A107)</f>
        <v>2.146506505573873</v>
      </c>
      <c r="I107" s="51">
        <f>SUMIFS('PIB-Mpal 2015-2022 Corrient '!N$5:N$1012,'PIB-Mpal 2015-2022 Corrient '!$A$5:$A$1012,$W$2,'PIB-Mpal 2015-2022 Corrient '!$E$5:$E$1012,$A107)</f>
        <v>4.9219799542187479</v>
      </c>
      <c r="J107" s="51">
        <f>SUMIFS('PIB-Mpal 2015-2022 Corrient '!O$5:O$1012,'PIB-Mpal 2015-2022 Corrient '!$A$5:$A$1012,$W$2,'PIB-Mpal 2015-2022 Corrient '!$E$5:$E$1012,$A107)</f>
        <v>10.6793504220114</v>
      </c>
      <c r="K107" s="51">
        <f>SUMIFS('PIB-Mpal 2015-2022 Corrient '!P$5:P$1012,'PIB-Mpal 2015-2022 Corrient '!$A$5:$A$1012,$W$2,'PIB-Mpal 2015-2022 Corrient '!$E$5:$E$1012,$A107)</f>
        <v>2.5125238099780995</v>
      </c>
      <c r="L107" s="51">
        <f>SUMIFS('PIB-Mpal 2015-2022 Corrient '!Q$5:Q$1012,'PIB-Mpal 2015-2022 Corrient '!$A$5:$A$1012,$W$2,'PIB-Mpal 2015-2022 Corrient '!$E$5:$E$1012,$A107)</f>
        <v>1.3364497767241279</v>
      </c>
      <c r="M107" s="51">
        <f>SUMIFS('PIB-Mpal 2015-2022 Corrient '!R$5:R$1012,'PIB-Mpal 2015-2022 Corrient '!$A$5:$A$1012,$W$2,'PIB-Mpal 2015-2022 Corrient '!$E$5:$E$1012,$A107)</f>
        <v>6.5614423300138291</v>
      </c>
      <c r="N107" s="51">
        <f>SUMIFS('PIB-Mpal 2015-2022 Corrient '!S$5:S$1012,'PIB-Mpal 2015-2022 Corrient '!$A$5:$A$1012,$W$2,'PIB-Mpal 2015-2022 Corrient '!$E$5:$E$1012,$A107)</f>
        <v>7.2114123304457127</v>
      </c>
      <c r="O107" s="51">
        <f>SUMIFS('PIB-Mpal 2015-2022 Corrient '!T$5:T$1012,'PIB-Mpal 2015-2022 Corrient '!$A$5:$A$1012,$W$2,'PIB-Mpal 2015-2022 Corrient '!$E$5:$E$1012,$A107)</f>
        <v>11.754768091977535</v>
      </c>
      <c r="P107" s="150">
        <f>SUMIFS('PIB-Mpal 2015-2022 Corrient '!U$5:U$1012,'PIB-Mpal 2015-2022 Corrient '!$A$5:$A$1012,$W$2,'PIB-Mpal 2015-2022 Corrient '!$E$5:$E$1012,$A107)</f>
        <v>3.2272115838652349</v>
      </c>
      <c r="Q107" s="156">
        <f>SUMIFS('PIB-Mpal 2015-2022 Corrient '!J$5:J$1012,'PIB-Mpal 2015-2022 Corrient '!$A$5:$A$1012,$W$2,'PIB-Mpal 2015-2022 Corrient '!$E$5:$E$1012,$A107)</f>
        <v>27.884229796855831</v>
      </c>
      <c r="R107" s="52">
        <f>SUMIFS('PIB-Mpal 2015-2022 Corrient '!M$5:M$1012,'PIB-Mpal 2015-2022 Corrient '!$A$5:$A$1012,$W$2,'PIB-Mpal 2015-2022 Corrient '!$E$5:$E$1012,$A107)</f>
        <v>7.0366008378963985</v>
      </c>
      <c r="S107" s="53">
        <f>SUMIFS('PIB-Mpal 2015-2022 Corrient '!V$5:V$1012,'PIB-Mpal 2015-2022 Corrient '!$A$5:$A$1012,$W$2,'PIB-Mpal 2015-2022 Corrient '!$E$5:$E$1012,$A107)</f>
        <v>48.205138299234683</v>
      </c>
      <c r="T107" s="207">
        <f>SUMIFS('PIB-Mpal 2015-2022 Corrient '!W$5:W$1012,'PIB-Mpal 2015-2022 Corrient '!$A$5:$A$1012,$W$2,'PIB-Mpal 2015-2022 Corrient '!$E$5:$E$1012,$A107)</f>
        <v>83.125968933986911</v>
      </c>
      <c r="U107" s="203">
        <f>SUMIFS('PIB-Mpal 2015-2022 Corrient '!X$5:X$1012,'PIB-Mpal 2015-2022 Corrient '!$A$5:$A$1012,$W$2,'PIB-Mpal 2015-2022 Corrient '!$E$5:$E$1012,$A107)</f>
        <v>8.4006372027640968</v>
      </c>
      <c r="V107" s="88">
        <f>SUMIFS('PIB-Mpal 2015-2022 Corrient '!Y$5:Y$1012,'PIB-Mpal 2015-2022 Corrient '!$A$5:$A$1012,$W$2,'PIB-Mpal 2015-2022 Corrient '!$E$5:$E$1012,$A107)</f>
        <v>91.526606136751013</v>
      </c>
      <c r="W107" s="92">
        <f t="shared" si="14"/>
        <v>5.9603369749887804E-4</v>
      </c>
      <c r="X107" s="268">
        <f>INDEX(POBLACION!$C$4:$W$128,MATCH(A107,POBLACION!$A$4:$A$128,0),MATCH($W$2,POBLACION!$C$3:$W$3,0))</f>
        <v>5790</v>
      </c>
      <c r="Y107" s="258">
        <f t="shared" si="15"/>
        <v>14356.816741621227</v>
      </c>
      <c r="Z107" s="270">
        <f t="shared" si="16"/>
        <v>15807.703995984632</v>
      </c>
      <c r="AA107" s="273">
        <f t="shared" si="17"/>
        <v>4.1570581568421474</v>
      </c>
      <c r="AB107" s="273">
        <f t="shared" si="18"/>
        <v>4.1988687950247972</v>
      </c>
      <c r="AG107" s="281"/>
      <c r="AH107" s="282"/>
      <c r="AI107" s="282"/>
    </row>
    <row r="108" spans="1:35" x14ac:dyDescent="0.2">
      <c r="A108" s="35" t="s">
        <v>324</v>
      </c>
      <c r="B108" s="32" t="s">
        <v>317</v>
      </c>
      <c r="C108" s="33" t="s">
        <v>320</v>
      </c>
      <c r="D108" s="32" t="s">
        <v>325</v>
      </c>
      <c r="E108" s="51">
        <f>SUMIFS('PIB-Mpal 2015-2022 Corrient '!H$5:H$1012,'PIB-Mpal 2015-2022 Corrient '!$A$5:$A$1012,$W$2,'PIB-Mpal 2015-2022 Corrient '!$E$5:$E$1012,$A108)</f>
        <v>70.049843045880962</v>
      </c>
      <c r="F108" s="51">
        <f>SUMIFS('PIB-Mpal 2015-2022 Corrient '!I$5:I$1012,'PIB-Mpal 2015-2022 Corrient '!$A$5:$A$1012,$W$2,'PIB-Mpal 2015-2022 Corrient '!$E$5:$E$1012,$A108)</f>
        <v>0</v>
      </c>
      <c r="G108" s="51">
        <f>SUMIFS('PIB-Mpal 2015-2022 Corrient '!K$5:K$1012,'PIB-Mpal 2015-2022 Corrient '!$A$5:$A$1012,$W$2,'PIB-Mpal 2015-2022 Corrient '!$E$5:$E$1012,$A108)</f>
        <v>10.000141892564566</v>
      </c>
      <c r="H108" s="51">
        <f>SUMIFS('PIB-Mpal 2015-2022 Corrient '!L$5:L$1012,'PIB-Mpal 2015-2022 Corrient '!$A$5:$A$1012,$W$2,'PIB-Mpal 2015-2022 Corrient '!$E$5:$E$1012,$A108)</f>
        <v>4.1805982226414784</v>
      </c>
      <c r="I108" s="51">
        <f>SUMIFS('PIB-Mpal 2015-2022 Corrient '!N$5:N$1012,'PIB-Mpal 2015-2022 Corrient '!$A$5:$A$1012,$W$2,'PIB-Mpal 2015-2022 Corrient '!$E$5:$E$1012,$A108)</f>
        <v>3.6799777752323473</v>
      </c>
      <c r="J108" s="51">
        <f>SUMIFS('PIB-Mpal 2015-2022 Corrient '!O$5:O$1012,'PIB-Mpal 2015-2022 Corrient '!$A$5:$A$1012,$W$2,'PIB-Mpal 2015-2022 Corrient '!$E$5:$E$1012,$A108)</f>
        <v>18.764612148416937</v>
      </c>
      <c r="K108" s="51">
        <f>SUMIFS('PIB-Mpal 2015-2022 Corrient '!P$5:P$1012,'PIB-Mpal 2015-2022 Corrient '!$A$5:$A$1012,$W$2,'PIB-Mpal 2015-2022 Corrient '!$E$5:$E$1012,$A108)</f>
        <v>4.3957237922976455</v>
      </c>
      <c r="L108" s="51">
        <f>SUMIFS('PIB-Mpal 2015-2022 Corrient '!Q$5:Q$1012,'PIB-Mpal 2015-2022 Corrient '!$A$5:$A$1012,$W$2,'PIB-Mpal 2015-2022 Corrient '!$E$5:$E$1012,$A108)</f>
        <v>1.9902409674943768</v>
      </c>
      <c r="M108" s="51">
        <f>SUMIFS('PIB-Mpal 2015-2022 Corrient '!R$5:R$1012,'PIB-Mpal 2015-2022 Corrient '!$A$5:$A$1012,$W$2,'PIB-Mpal 2015-2022 Corrient '!$E$5:$E$1012,$A108)</f>
        <v>9.1854229736995787</v>
      </c>
      <c r="N108" s="51">
        <f>SUMIFS('PIB-Mpal 2015-2022 Corrient '!S$5:S$1012,'PIB-Mpal 2015-2022 Corrient '!$A$5:$A$1012,$W$2,'PIB-Mpal 2015-2022 Corrient '!$E$5:$E$1012,$A108)</f>
        <v>13.504498082510963</v>
      </c>
      <c r="O108" s="51">
        <f>SUMIFS('PIB-Mpal 2015-2022 Corrient '!T$5:T$1012,'PIB-Mpal 2015-2022 Corrient '!$A$5:$A$1012,$W$2,'PIB-Mpal 2015-2022 Corrient '!$E$5:$E$1012,$A108)</f>
        <v>27.45351769788962</v>
      </c>
      <c r="P108" s="150">
        <f>SUMIFS('PIB-Mpal 2015-2022 Corrient '!U$5:U$1012,'PIB-Mpal 2015-2022 Corrient '!$A$5:$A$1012,$W$2,'PIB-Mpal 2015-2022 Corrient '!$E$5:$E$1012,$A108)</f>
        <v>4.1616095710385883</v>
      </c>
      <c r="Q108" s="156">
        <f>SUMIFS('PIB-Mpal 2015-2022 Corrient '!J$5:J$1012,'PIB-Mpal 2015-2022 Corrient '!$A$5:$A$1012,$W$2,'PIB-Mpal 2015-2022 Corrient '!$E$5:$E$1012,$A108)</f>
        <v>70.049843045880962</v>
      </c>
      <c r="R108" s="52">
        <f>SUMIFS('PIB-Mpal 2015-2022 Corrient '!M$5:M$1012,'PIB-Mpal 2015-2022 Corrient '!$A$5:$A$1012,$W$2,'PIB-Mpal 2015-2022 Corrient '!$E$5:$E$1012,$A108)</f>
        <v>14.180740115206044</v>
      </c>
      <c r="S108" s="53">
        <f>SUMIFS('PIB-Mpal 2015-2022 Corrient '!V$5:V$1012,'PIB-Mpal 2015-2022 Corrient '!$A$5:$A$1012,$W$2,'PIB-Mpal 2015-2022 Corrient '!$E$5:$E$1012,$A108)</f>
        <v>83.135603008580048</v>
      </c>
      <c r="T108" s="207">
        <f>SUMIFS('PIB-Mpal 2015-2022 Corrient '!W$5:W$1012,'PIB-Mpal 2015-2022 Corrient '!$A$5:$A$1012,$W$2,'PIB-Mpal 2015-2022 Corrient '!$E$5:$E$1012,$A108)</f>
        <v>167.36618616966706</v>
      </c>
      <c r="U108" s="203">
        <f>SUMIFS('PIB-Mpal 2015-2022 Corrient '!X$5:X$1012,'PIB-Mpal 2015-2022 Corrient '!$A$5:$A$1012,$W$2,'PIB-Mpal 2015-2022 Corrient '!$E$5:$E$1012,$A108)</f>
        <v>16.913879357462701</v>
      </c>
      <c r="V108" s="88">
        <f>SUMIFS('PIB-Mpal 2015-2022 Corrient '!Y$5:Y$1012,'PIB-Mpal 2015-2022 Corrient '!$A$5:$A$1012,$W$2,'PIB-Mpal 2015-2022 Corrient '!$E$5:$E$1012,$A108)</f>
        <v>184.28006552712975</v>
      </c>
      <c r="W108" s="92">
        <f t="shared" si="14"/>
        <v>1.2000568301130023E-3</v>
      </c>
      <c r="X108" s="268">
        <f>INDEX(POBLACION!$C$4:$W$128,MATCH(A108,POBLACION!$A$4:$A$128,0),MATCH($W$2,POBLACION!$C$3:$W$3,0))</f>
        <v>10274</v>
      </c>
      <c r="Y108" s="258">
        <f t="shared" si="15"/>
        <v>16290.265346473338</v>
      </c>
      <c r="Z108" s="270">
        <f t="shared" si="16"/>
        <v>17936.545213853391</v>
      </c>
      <c r="AA108" s="273">
        <f t="shared" si="17"/>
        <v>4.2119281584380746</v>
      </c>
      <c r="AB108" s="273">
        <f t="shared" si="18"/>
        <v>4.2537387966207252</v>
      </c>
      <c r="AG108" s="281"/>
      <c r="AH108" s="282"/>
      <c r="AI108" s="282"/>
    </row>
    <row r="109" spans="1:35" x14ac:dyDescent="0.2">
      <c r="A109" s="35" t="s">
        <v>326</v>
      </c>
      <c r="B109" s="32" t="s">
        <v>317</v>
      </c>
      <c r="C109" s="33" t="s">
        <v>225</v>
      </c>
      <c r="D109" s="32" t="s">
        <v>327</v>
      </c>
      <c r="E109" s="51">
        <f>SUMIFS('PIB-Mpal 2015-2022 Corrient '!H$5:H$1012,'PIB-Mpal 2015-2022 Corrient '!$A$5:$A$1012,$W$2,'PIB-Mpal 2015-2022 Corrient '!$E$5:$E$1012,$A109)</f>
        <v>97.143893978805366</v>
      </c>
      <c r="F109" s="51">
        <f>SUMIFS('PIB-Mpal 2015-2022 Corrient '!I$5:I$1012,'PIB-Mpal 2015-2022 Corrient '!$A$5:$A$1012,$W$2,'PIB-Mpal 2015-2022 Corrient '!$E$5:$E$1012,$A109)</f>
        <v>0</v>
      </c>
      <c r="G109" s="51">
        <f>SUMIFS('PIB-Mpal 2015-2022 Corrient '!K$5:K$1012,'PIB-Mpal 2015-2022 Corrient '!$A$5:$A$1012,$W$2,'PIB-Mpal 2015-2022 Corrient '!$E$5:$E$1012,$A109)</f>
        <v>7.6762434109228019</v>
      </c>
      <c r="H109" s="51">
        <f>SUMIFS('PIB-Mpal 2015-2022 Corrient '!L$5:L$1012,'PIB-Mpal 2015-2022 Corrient '!$A$5:$A$1012,$W$2,'PIB-Mpal 2015-2022 Corrient '!$E$5:$E$1012,$A109)</f>
        <v>11.508769199654889</v>
      </c>
      <c r="I109" s="51">
        <f>SUMIFS('PIB-Mpal 2015-2022 Corrient '!N$5:N$1012,'PIB-Mpal 2015-2022 Corrient '!$A$5:$A$1012,$W$2,'PIB-Mpal 2015-2022 Corrient '!$E$5:$E$1012,$A109)</f>
        <v>4.6123541523410063</v>
      </c>
      <c r="J109" s="51">
        <f>SUMIFS('PIB-Mpal 2015-2022 Corrient '!O$5:O$1012,'PIB-Mpal 2015-2022 Corrient '!$A$5:$A$1012,$W$2,'PIB-Mpal 2015-2022 Corrient '!$E$5:$E$1012,$A109)</f>
        <v>29.034958154719096</v>
      </c>
      <c r="K109" s="51">
        <f>SUMIFS('PIB-Mpal 2015-2022 Corrient '!P$5:P$1012,'PIB-Mpal 2015-2022 Corrient '!$A$5:$A$1012,$W$2,'PIB-Mpal 2015-2022 Corrient '!$E$5:$E$1012,$A109)</f>
        <v>5.6349849507607681</v>
      </c>
      <c r="L109" s="51">
        <f>SUMIFS('PIB-Mpal 2015-2022 Corrient '!Q$5:Q$1012,'PIB-Mpal 2015-2022 Corrient '!$A$5:$A$1012,$W$2,'PIB-Mpal 2015-2022 Corrient '!$E$5:$E$1012,$A109)</f>
        <v>4.072989499555737</v>
      </c>
      <c r="M109" s="51">
        <f>SUMIFS('PIB-Mpal 2015-2022 Corrient '!R$5:R$1012,'PIB-Mpal 2015-2022 Corrient '!$A$5:$A$1012,$W$2,'PIB-Mpal 2015-2022 Corrient '!$E$5:$E$1012,$A109)</f>
        <v>12.630524616738956</v>
      </c>
      <c r="N109" s="51">
        <f>SUMIFS('PIB-Mpal 2015-2022 Corrient '!S$5:S$1012,'PIB-Mpal 2015-2022 Corrient '!$A$5:$A$1012,$W$2,'PIB-Mpal 2015-2022 Corrient '!$E$5:$E$1012,$A109)</f>
        <v>17.354373949095212</v>
      </c>
      <c r="O109" s="51">
        <f>SUMIFS('PIB-Mpal 2015-2022 Corrient '!T$5:T$1012,'PIB-Mpal 2015-2022 Corrient '!$A$5:$A$1012,$W$2,'PIB-Mpal 2015-2022 Corrient '!$E$5:$E$1012,$A109)</f>
        <v>36.878196703873712</v>
      </c>
      <c r="P109" s="150">
        <f>SUMIFS('PIB-Mpal 2015-2022 Corrient '!U$5:U$1012,'PIB-Mpal 2015-2022 Corrient '!$A$5:$A$1012,$W$2,'PIB-Mpal 2015-2022 Corrient '!$E$5:$E$1012,$A109)</f>
        <v>5.2974690685778922</v>
      </c>
      <c r="Q109" s="156">
        <f>SUMIFS('PIB-Mpal 2015-2022 Corrient '!J$5:J$1012,'PIB-Mpal 2015-2022 Corrient '!$A$5:$A$1012,$W$2,'PIB-Mpal 2015-2022 Corrient '!$E$5:$E$1012,$A109)</f>
        <v>97.143893978805366</v>
      </c>
      <c r="R109" s="52">
        <f>SUMIFS('PIB-Mpal 2015-2022 Corrient '!M$5:M$1012,'PIB-Mpal 2015-2022 Corrient '!$A$5:$A$1012,$W$2,'PIB-Mpal 2015-2022 Corrient '!$E$5:$E$1012,$A109)</f>
        <v>19.18501261057769</v>
      </c>
      <c r="S109" s="53">
        <f>SUMIFS('PIB-Mpal 2015-2022 Corrient '!V$5:V$1012,'PIB-Mpal 2015-2022 Corrient '!$A$5:$A$1012,$W$2,'PIB-Mpal 2015-2022 Corrient '!$E$5:$E$1012,$A109)</f>
        <v>115.5158510956624</v>
      </c>
      <c r="T109" s="207">
        <f>SUMIFS('PIB-Mpal 2015-2022 Corrient '!W$5:W$1012,'PIB-Mpal 2015-2022 Corrient '!$A$5:$A$1012,$W$2,'PIB-Mpal 2015-2022 Corrient '!$E$5:$E$1012,$A109)</f>
        <v>231.84475768504547</v>
      </c>
      <c r="U109" s="203">
        <f>SUMIFS('PIB-Mpal 2015-2022 Corrient '!X$5:X$1012,'PIB-Mpal 2015-2022 Corrient '!$A$5:$A$1012,$W$2,'PIB-Mpal 2015-2022 Corrient '!$E$5:$E$1012,$A109)</f>
        <v>23.430027001808639</v>
      </c>
      <c r="V109" s="88">
        <f>SUMIFS('PIB-Mpal 2015-2022 Corrient '!Y$5:Y$1012,'PIB-Mpal 2015-2022 Corrient '!$A$5:$A$1012,$W$2,'PIB-Mpal 2015-2022 Corrient '!$E$5:$E$1012,$A109)</f>
        <v>255.2747846868541</v>
      </c>
      <c r="W109" s="92">
        <f t="shared" si="14"/>
        <v>1.6623840893630747E-3</v>
      </c>
      <c r="X109" s="268">
        <f>INDEX(POBLACION!$C$4:$W$128,MATCH(A109,POBLACION!$A$4:$A$128,0),MATCH($W$2,POBLACION!$C$3:$W$3,0))</f>
        <v>15736</v>
      </c>
      <c r="Y109" s="258">
        <f t="shared" si="15"/>
        <v>14733.398429400449</v>
      </c>
      <c r="Z109" s="270">
        <f t="shared" si="16"/>
        <v>16222.342697436079</v>
      </c>
      <c r="AA109" s="273">
        <f t="shared" si="17"/>
        <v>4.1683029334620283</v>
      </c>
      <c r="AB109" s="273">
        <f t="shared" si="18"/>
        <v>4.2101135716446789</v>
      </c>
      <c r="AG109" s="281"/>
      <c r="AH109" s="282"/>
      <c r="AI109" s="282"/>
    </row>
    <row r="110" spans="1:35" x14ac:dyDescent="0.2">
      <c r="A110" s="35" t="s">
        <v>328</v>
      </c>
      <c r="B110" s="32" t="s">
        <v>317</v>
      </c>
      <c r="C110" s="33" t="s">
        <v>329</v>
      </c>
      <c r="D110" s="32" t="s">
        <v>330</v>
      </c>
      <c r="E110" s="51">
        <f>SUMIFS('PIB-Mpal 2015-2022 Corrient '!H$5:H$1012,'PIB-Mpal 2015-2022 Corrient '!$A$5:$A$1012,$W$2,'PIB-Mpal 2015-2022 Corrient '!$E$5:$E$1012,$A110)</f>
        <v>14.954972970054461</v>
      </c>
      <c r="F110" s="51">
        <f>SUMIFS('PIB-Mpal 2015-2022 Corrient '!I$5:I$1012,'PIB-Mpal 2015-2022 Corrient '!$A$5:$A$1012,$W$2,'PIB-Mpal 2015-2022 Corrient '!$E$5:$E$1012,$A110)</f>
        <v>0</v>
      </c>
      <c r="G110" s="51">
        <f>SUMIFS('PIB-Mpal 2015-2022 Corrient '!K$5:K$1012,'PIB-Mpal 2015-2022 Corrient '!$A$5:$A$1012,$W$2,'PIB-Mpal 2015-2022 Corrient '!$E$5:$E$1012,$A110)</f>
        <v>2.4220353549359506</v>
      </c>
      <c r="H110" s="51">
        <f>SUMIFS('PIB-Mpal 2015-2022 Corrient '!L$5:L$1012,'PIB-Mpal 2015-2022 Corrient '!$A$5:$A$1012,$W$2,'PIB-Mpal 2015-2022 Corrient '!$E$5:$E$1012,$A110)</f>
        <v>3.2535174112847929</v>
      </c>
      <c r="I110" s="51">
        <f>SUMIFS('PIB-Mpal 2015-2022 Corrient '!N$5:N$1012,'PIB-Mpal 2015-2022 Corrient '!$A$5:$A$1012,$W$2,'PIB-Mpal 2015-2022 Corrient '!$E$5:$E$1012,$A110)</f>
        <v>1.7044103781495601</v>
      </c>
      <c r="J110" s="51">
        <f>SUMIFS('PIB-Mpal 2015-2022 Corrient '!O$5:O$1012,'PIB-Mpal 2015-2022 Corrient '!$A$5:$A$1012,$W$2,'PIB-Mpal 2015-2022 Corrient '!$E$5:$E$1012,$A110)</f>
        <v>10.37581919478278</v>
      </c>
      <c r="K110" s="51">
        <f>SUMIFS('PIB-Mpal 2015-2022 Corrient '!P$5:P$1012,'PIB-Mpal 2015-2022 Corrient '!$A$5:$A$1012,$W$2,'PIB-Mpal 2015-2022 Corrient '!$E$5:$E$1012,$A110)</f>
        <v>2.0374329495224592</v>
      </c>
      <c r="L110" s="51">
        <f>SUMIFS('PIB-Mpal 2015-2022 Corrient '!Q$5:Q$1012,'PIB-Mpal 2015-2022 Corrient '!$A$5:$A$1012,$W$2,'PIB-Mpal 2015-2022 Corrient '!$E$5:$E$1012,$A110)</f>
        <v>1.4323065428281032</v>
      </c>
      <c r="M110" s="51">
        <f>SUMIFS('PIB-Mpal 2015-2022 Corrient '!R$5:R$1012,'PIB-Mpal 2015-2022 Corrient '!$A$5:$A$1012,$W$2,'PIB-Mpal 2015-2022 Corrient '!$E$5:$E$1012,$A110)</f>
        <v>4.2715440061385701</v>
      </c>
      <c r="N110" s="51">
        <f>SUMIFS('PIB-Mpal 2015-2022 Corrient '!S$5:S$1012,'PIB-Mpal 2015-2022 Corrient '!$A$5:$A$1012,$W$2,'PIB-Mpal 2015-2022 Corrient '!$E$5:$E$1012,$A110)</f>
        <v>7.3078174670282392</v>
      </c>
      <c r="O110" s="51">
        <f>SUMIFS('PIB-Mpal 2015-2022 Corrient '!T$5:T$1012,'PIB-Mpal 2015-2022 Corrient '!$A$5:$A$1012,$W$2,'PIB-Mpal 2015-2022 Corrient '!$E$5:$E$1012,$A110)</f>
        <v>14.545371947673203</v>
      </c>
      <c r="P110" s="150">
        <f>SUMIFS('PIB-Mpal 2015-2022 Corrient '!U$5:U$1012,'PIB-Mpal 2015-2022 Corrient '!$A$5:$A$1012,$W$2,'PIB-Mpal 2015-2022 Corrient '!$E$5:$E$1012,$A110)</f>
        <v>1.9164906904427883</v>
      </c>
      <c r="Q110" s="156">
        <f>SUMIFS('PIB-Mpal 2015-2022 Corrient '!J$5:J$1012,'PIB-Mpal 2015-2022 Corrient '!$A$5:$A$1012,$W$2,'PIB-Mpal 2015-2022 Corrient '!$E$5:$E$1012,$A110)</f>
        <v>14.954972970054461</v>
      </c>
      <c r="R110" s="52">
        <f>SUMIFS('PIB-Mpal 2015-2022 Corrient '!M$5:M$1012,'PIB-Mpal 2015-2022 Corrient '!$A$5:$A$1012,$W$2,'PIB-Mpal 2015-2022 Corrient '!$E$5:$E$1012,$A110)</f>
        <v>5.6755527662207435</v>
      </c>
      <c r="S110" s="53">
        <f>SUMIFS('PIB-Mpal 2015-2022 Corrient '!V$5:V$1012,'PIB-Mpal 2015-2022 Corrient '!$A$5:$A$1012,$W$2,'PIB-Mpal 2015-2022 Corrient '!$E$5:$E$1012,$A110)</f>
        <v>43.591193176565703</v>
      </c>
      <c r="T110" s="207">
        <f>SUMIFS('PIB-Mpal 2015-2022 Corrient '!W$5:W$1012,'PIB-Mpal 2015-2022 Corrient '!$A$5:$A$1012,$W$2,'PIB-Mpal 2015-2022 Corrient '!$E$5:$E$1012,$A110)</f>
        <v>64.221718912840899</v>
      </c>
      <c r="U110" s="203">
        <f>SUMIFS('PIB-Mpal 2015-2022 Corrient '!X$5:X$1012,'PIB-Mpal 2015-2022 Corrient '!$A$5:$A$1012,$W$2,'PIB-Mpal 2015-2022 Corrient '!$E$5:$E$1012,$A110)</f>
        <v>6.4901903465703636</v>
      </c>
      <c r="V110" s="88">
        <f>SUMIFS('PIB-Mpal 2015-2022 Corrient '!Y$5:Y$1012,'PIB-Mpal 2015-2022 Corrient '!$A$5:$A$1012,$W$2,'PIB-Mpal 2015-2022 Corrient '!$E$5:$E$1012,$A110)</f>
        <v>70.711909259411257</v>
      </c>
      <c r="W110" s="92">
        <f t="shared" si="14"/>
        <v>4.6048556274576791E-4</v>
      </c>
      <c r="X110" s="268">
        <f>INDEX(POBLACION!$C$4:$W$128,MATCH(A110,POBLACION!$A$4:$A$128,0),MATCH($W$2,POBLACION!$C$3:$W$3,0))</f>
        <v>4670</v>
      </c>
      <c r="Y110" s="258">
        <f t="shared" si="15"/>
        <v>13751.974071272141</v>
      </c>
      <c r="Z110" s="270">
        <f t="shared" si="16"/>
        <v>15141.736458118043</v>
      </c>
      <c r="AA110" s="273">
        <f t="shared" si="17"/>
        <v>4.1383650448370783</v>
      </c>
      <c r="AB110" s="273">
        <f t="shared" si="18"/>
        <v>4.180175683019729</v>
      </c>
      <c r="AG110" s="281"/>
      <c r="AH110" s="282"/>
      <c r="AI110" s="282"/>
    </row>
    <row r="111" spans="1:35" x14ac:dyDescent="0.2">
      <c r="A111" s="35" t="s">
        <v>331</v>
      </c>
      <c r="B111" s="32" t="s">
        <v>317</v>
      </c>
      <c r="C111" s="33" t="s">
        <v>320</v>
      </c>
      <c r="D111" s="32" t="s">
        <v>332</v>
      </c>
      <c r="E111" s="51">
        <f>SUMIFS('PIB-Mpal 2015-2022 Corrient '!H$5:H$1012,'PIB-Mpal 2015-2022 Corrient '!$A$5:$A$1012,$W$2,'PIB-Mpal 2015-2022 Corrient '!$E$5:$E$1012,$A111)</f>
        <v>90.870335375723741</v>
      </c>
      <c r="F111" s="51">
        <f>SUMIFS('PIB-Mpal 2015-2022 Corrient '!I$5:I$1012,'PIB-Mpal 2015-2022 Corrient '!$A$5:$A$1012,$W$2,'PIB-Mpal 2015-2022 Corrient '!$E$5:$E$1012,$A111)</f>
        <v>0</v>
      </c>
      <c r="G111" s="51">
        <f>SUMIFS('PIB-Mpal 2015-2022 Corrient '!K$5:K$1012,'PIB-Mpal 2015-2022 Corrient '!$A$5:$A$1012,$W$2,'PIB-Mpal 2015-2022 Corrient '!$E$5:$E$1012,$A111)</f>
        <v>9.3245629277215336</v>
      </c>
      <c r="H111" s="51">
        <f>SUMIFS('PIB-Mpal 2015-2022 Corrient '!L$5:L$1012,'PIB-Mpal 2015-2022 Corrient '!$A$5:$A$1012,$W$2,'PIB-Mpal 2015-2022 Corrient '!$E$5:$E$1012,$A111)</f>
        <v>19.748464864283466</v>
      </c>
      <c r="I111" s="51">
        <f>SUMIFS('PIB-Mpal 2015-2022 Corrient '!N$5:N$1012,'PIB-Mpal 2015-2022 Corrient '!$A$5:$A$1012,$W$2,'PIB-Mpal 2015-2022 Corrient '!$E$5:$E$1012,$A111)</f>
        <v>10.748702280265057</v>
      </c>
      <c r="J111" s="51">
        <f>SUMIFS('PIB-Mpal 2015-2022 Corrient '!O$5:O$1012,'PIB-Mpal 2015-2022 Corrient '!$A$5:$A$1012,$W$2,'PIB-Mpal 2015-2022 Corrient '!$E$5:$E$1012,$A111)</f>
        <v>63.90087645019036</v>
      </c>
      <c r="K111" s="51">
        <f>SUMIFS('PIB-Mpal 2015-2022 Corrient '!P$5:P$1012,'PIB-Mpal 2015-2022 Corrient '!$A$5:$A$1012,$W$2,'PIB-Mpal 2015-2022 Corrient '!$E$5:$E$1012,$A111)</f>
        <v>11.185281835241833</v>
      </c>
      <c r="L111" s="51">
        <f>SUMIFS('PIB-Mpal 2015-2022 Corrient '!Q$5:Q$1012,'PIB-Mpal 2015-2022 Corrient '!$A$5:$A$1012,$W$2,'PIB-Mpal 2015-2022 Corrient '!$E$5:$E$1012,$A111)</f>
        <v>6.1831457694622278</v>
      </c>
      <c r="M111" s="51">
        <f>SUMIFS('PIB-Mpal 2015-2022 Corrient '!R$5:R$1012,'PIB-Mpal 2015-2022 Corrient '!$A$5:$A$1012,$W$2,'PIB-Mpal 2015-2022 Corrient '!$E$5:$E$1012,$A111)</f>
        <v>27.929400016745948</v>
      </c>
      <c r="N111" s="51">
        <f>SUMIFS('PIB-Mpal 2015-2022 Corrient '!S$5:S$1012,'PIB-Mpal 2015-2022 Corrient '!$A$5:$A$1012,$W$2,'PIB-Mpal 2015-2022 Corrient '!$E$5:$E$1012,$A111)</f>
        <v>32.1412963964193</v>
      </c>
      <c r="O111" s="51">
        <f>SUMIFS('PIB-Mpal 2015-2022 Corrient '!T$5:T$1012,'PIB-Mpal 2015-2022 Corrient '!$A$5:$A$1012,$W$2,'PIB-Mpal 2015-2022 Corrient '!$E$5:$E$1012,$A111)</f>
        <v>71.684547678845789</v>
      </c>
      <c r="P111" s="150">
        <f>SUMIFS('PIB-Mpal 2015-2022 Corrient '!U$5:U$1012,'PIB-Mpal 2015-2022 Corrient '!$A$5:$A$1012,$W$2,'PIB-Mpal 2015-2022 Corrient '!$E$5:$E$1012,$A111)</f>
        <v>10.673916100015841</v>
      </c>
      <c r="Q111" s="156">
        <f>SUMIFS('PIB-Mpal 2015-2022 Corrient '!J$5:J$1012,'PIB-Mpal 2015-2022 Corrient '!$A$5:$A$1012,$W$2,'PIB-Mpal 2015-2022 Corrient '!$E$5:$E$1012,$A111)</f>
        <v>90.870335375723741</v>
      </c>
      <c r="R111" s="52">
        <f>SUMIFS('PIB-Mpal 2015-2022 Corrient '!M$5:M$1012,'PIB-Mpal 2015-2022 Corrient '!$A$5:$A$1012,$W$2,'PIB-Mpal 2015-2022 Corrient '!$E$5:$E$1012,$A111)</f>
        <v>29.073027792005</v>
      </c>
      <c r="S111" s="53">
        <f>SUMIFS('PIB-Mpal 2015-2022 Corrient '!V$5:V$1012,'PIB-Mpal 2015-2022 Corrient '!$A$5:$A$1012,$W$2,'PIB-Mpal 2015-2022 Corrient '!$E$5:$E$1012,$A111)</f>
        <v>234.44716652718637</v>
      </c>
      <c r="T111" s="207">
        <f>SUMIFS('PIB-Mpal 2015-2022 Corrient '!W$5:W$1012,'PIB-Mpal 2015-2022 Corrient '!$A$5:$A$1012,$W$2,'PIB-Mpal 2015-2022 Corrient '!$E$5:$E$1012,$A111)</f>
        <v>354.39052969491513</v>
      </c>
      <c r="U111" s="203">
        <f>SUMIFS('PIB-Mpal 2015-2022 Corrient '!X$5:X$1012,'PIB-Mpal 2015-2022 Corrient '!$A$5:$A$1012,$W$2,'PIB-Mpal 2015-2022 Corrient '!$E$5:$E$1012,$A111)</f>
        <v>35.814394782292361</v>
      </c>
      <c r="V111" s="88">
        <f>SUMIFS('PIB-Mpal 2015-2022 Corrient '!Y$5:Y$1012,'PIB-Mpal 2015-2022 Corrient '!$A$5:$A$1012,$W$2,'PIB-Mpal 2015-2022 Corrient '!$E$5:$E$1012,$A111)</f>
        <v>390.2049244772075</v>
      </c>
      <c r="W111" s="92">
        <f t="shared" si="14"/>
        <v>2.5410674964930625E-3</v>
      </c>
      <c r="X111" s="268">
        <f>INDEX(POBLACION!$C$4:$W$128,MATCH(A111,POBLACION!$A$4:$A$128,0),MATCH($W$2,POBLACION!$C$3:$W$3,0))</f>
        <v>26160</v>
      </c>
      <c r="Y111" s="258">
        <f t="shared" si="15"/>
        <v>13547.038596900426</v>
      </c>
      <c r="Z111" s="270">
        <f t="shared" si="16"/>
        <v>14916.090385214353</v>
      </c>
      <c r="AA111" s="273">
        <f t="shared" si="17"/>
        <v>4.1318443681559156</v>
      </c>
      <c r="AB111" s="273">
        <f t="shared" si="18"/>
        <v>4.1736550063385662</v>
      </c>
      <c r="AG111" s="281"/>
      <c r="AH111" s="282"/>
      <c r="AI111" s="282"/>
    </row>
    <row r="112" spans="1:35" x14ac:dyDescent="0.2">
      <c r="A112" s="35" t="s">
        <v>333</v>
      </c>
      <c r="B112" s="32" t="s">
        <v>317</v>
      </c>
      <c r="C112" s="33" t="s">
        <v>225</v>
      </c>
      <c r="D112" s="32" t="s">
        <v>334</v>
      </c>
      <c r="E112" s="51">
        <f>SUMIFS('PIB-Mpal 2015-2022 Corrient '!H$5:H$1012,'PIB-Mpal 2015-2022 Corrient '!$A$5:$A$1012,$W$2,'PIB-Mpal 2015-2022 Corrient '!$E$5:$E$1012,$A112)</f>
        <v>117.84168221597072</v>
      </c>
      <c r="F112" s="51">
        <f>SUMIFS('PIB-Mpal 2015-2022 Corrient '!I$5:I$1012,'PIB-Mpal 2015-2022 Corrient '!$A$5:$A$1012,$W$2,'PIB-Mpal 2015-2022 Corrient '!$E$5:$E$1012,$A112)</f>
        <v>0</v>
      </c>
      <c r="G112" s="51">
        <f>SUMIFS('PIB-Mpal 2015-2022 Corrient '!K$5:K$1012,'PIB-Mpal 2015-2022 Corrient '!$A$5:$A$1012,$W$2,'PIB-Mpal 2015-2022 Corrient '!$E$5:$E$1012,$A112)</f>
        <v>10.302356269163759</v>
      </c>
      <c r="H112" s="51">
        <f>SUMIFS('PIB-Mpal 2015-2022 Corrient '!L$5:L$1012,'PIB-Mpal 2015-2022 Corrient '!$A$5:$A$1012,$W$2,'PIB-Mpal 2015-2022 Corrient '!$E$5:$E$1012,$A112)</f>
        <v>16.02915140380334</v>
      </c>
      <c r="I112" s="51">
        <f>SUMIFS('PIB-Mpal 2015-2022 Corrient '!N$5:N$1012,'PIB-Mpal 2015-2022 Corrient '!$A$5:$A$1012,$W$2,'PIB-Mpal 2015-2022 Corrient '!$E$5:$E$1012,$A112)</f>
        <v>10.826496285604685</v>
      </c>
      <c r="J112" s="51">
        <f>SUMIFS('PIB-Mpal 2015-2022 Corrient '!O$5:O$1012,'PIB-Mpal 2015-2022 Corrient '!$A$5:$A$1012,$W$2,'PIB-Mpal 2015-2022 Corrient '!$E$5:$E$1012,$A112)</f>
        <v>43.923201713789126</v>
      </c>
      <c r="K112" s="51">
        <f>SUMIFS('PIB-Mpal 2015-2022 Corrient '!P$5:P$1012,'PIB-Mpal 2015-2022 Corrient '!$A$5:$A$1012,$W$2,'PIB-Mpal 2015-2022 Corrient '!$E$5:$E$1012,$A112)</f>
        <v>8.8239075009675449</v>
      </c>
      <c r="L112" s="51">
        <f>SUMIFS('PIB-Mpal 2015-2022 Corrient '!Q$5:Q$1012,'PIB-Mpal 2015-2022 Corrient '!$A$5:$A$1012,$W$2,'PIB-Mpal 2015-2022 Corrient '!$E$5:$E$1012,$A112)</f>
        <v>6.0212692080027761</v>
      </c>
      <c r="M112" s="51">
        <f>SUMIFS('PIB-Mpal 2015-2022 Corrient '!R$5:R$1012,'PIB-Mpal 2015-2022 Corrient '!$A$5:$A$1012,$W$2,'PIB-Mpal 2015-2022 Corrient '!$E$5:$E$1012,$A112)</f>
        <v>17.82485712142083</v>
      </c>
      <c r="N112" s="51">
        <f>SUMIFS('PIB-Mpal 2015-2022 Corrient '!S$5:S$1012,'PIB-Mpal 2015-2022 Corrient '!$A$5:$A$1012,$W$2,'PIB-Mpal 2015-2022 Corrient '!$E$5:$E$1012,$A112)</f>
        <v>23.671430738429347</v>
      </c>
      <c r="O112" s="51">
        <f>SUMIFS('PIB-Mpal 2015-2022 Corrient '!T$5:T$1012,'PIB-Mpal 2015-2022 Corrient '!$A$5:$A$1012,$W$2,'PIB-Mpal 2015-2022 Corrient '!$E$5:$E$1012,$A112)</f>
        <v>42.941509124952027</v>
      </c>
      <c r="P112" s="150">
        <f>SUMIFS('PIB-Mpal 2015-2022 Corrient '!U$5:U$1012,'PIB-Mpal 2015-2022 Corrient '!$A$5:$A$1012,$W$2,'PIB-Mpal 2015-2022 Corrient '!$E$5:$E$1012,$A112)</f>
        <v>8.0243441031733518</v>
      </c>
      <c r="Q112" s="156">
        <f>SUMIFS('PIB-Mpal 2015-2022 Corrient '!J$5:J$1012,'PIB-Mpal 2015-2022 Corrient '!$A$5:$A$1012,$W$2,'PIB-Mpal 2015-2022 Corrient '!$E$5:$E$1012,$A112)</f>
        <v>117.84168221597072</v>
      </c>
      <c r="R112" s="52">
        <f>SUMIFS('PIB-Mpal 2015-2022 Corrient '!M$5:M$1012,'PIB-Mpal 2015-2022 Corrient '!$A$5:$A$1012,$W$2,'PIB-Mpal 2015-2022 Corrient '!$E$5:$E$1012,$A112)</f>
        <v>26.331507672967099</v>
      </c>
      <c r="S112" s="53">
        <f>SUMIFS('PIB-Mpal 2015-2022 Corrient '!V$5:V$1012,'PIB-Mpal 2015-2022 Corrient '!$A$5:$A$1012,$W$2,'PIB-Mpal 2015-2022 Corrient '!$E$5:$E$1012,$A112)</f>
        <v>162.0570157963397</v>
      </c>
      <c r="T112" s="207">
        <f>SUMIFS('PIB-Mpal 2015-2022 Corrient '!W$5:W$1012,'PIB-Mpal 2015-2022 Corrient '!$A$5:$A$1012,$W$2,'PIB-Mpal 2015-2022 Corrient '!$E$5:$E$1012,$A112)</f>
        <v>306.2302056852775</v>
      </c>
      <c r="U112" s="203">
        <f>SUMIFS('PIB-Mpal 2015-2022 Corrient '!X$5:X$1012,'PIB-Mpal 2015-2022 Corrient '!$A$5:$A$1012,$W$2,'PIB-Mpal 2015-2022 Corrient '!$E$5:$E$1012,$A112)</f>
        <v>30.947354857695242</v>
      </c>
      <c r="V112" s="88">
        <f>SUMIFS('PIB-Mpal 2015-2022 Corrient '!Y$5:Y$1012,'PIB-Mpal 2015-2022 Corrient '!$A$5:$A$1012,$W$2,'PIB-Mpal 2015-2022 Corrient '!$E$5:$E$1012,$A112)</f>
        <v>337.17756054297274</v>
      </c>
      <c r="W112" s="92">
        <f t="shared" si="14"/>
        <v>2.1957460962095474E-3</v>
      </c>
      <c r="X112" s="268">
        <f>INDEX(POBLACION!$C$4:$W$128,MATCH(A112,POBLACION!$A$4:$A$128,0),MATCH($W$2,POBLACION!$C$3:$W$3,0))</f>
        <v>21504</v>
      </c>
      <c r="Y112" s="258">
        <f t="shared" si="15"/>
        <v>14240.615963787086</v>
      </c>
      <c r="Z112" s="270">
        <f t="shared" si="16"/>
        <v>15679.760069892707</v>
      </c>
      <c r="AA112" s="273">
        <f t="shared" si="17"/>
        <v>4.1535287746862499</v>
      </c>
      <c r="AB112" s="273">
        <f t="shared" si="18"/>
        <v>4.1953394128688997</v>
      </c>
      <c r="AG112" s="281"/>
      <c r="AH112" s="282"/>
      <c r="AI112" s="282"/>
    </row>
    <row r="113" spans="1:35" x14ac:dyDescent="0.2">
      <c r="A113" s="35" t="s">
        <v>335</v>
      </c>
      <c r="B113" s="32" t="s">
        <v>317</v>
      </c>
      <c r="C113" s="33" t="s">
        <v>329</v>
      </c>
      <c r="D113" s="32" t="s">
        <v>336</v>
      </c>
      <c r="E113" s="51">
        <f>SUMIFS('PIB-Mpal 2015-2022 Corrient '!H$5:H$1012,'PIB-Mpal 2015-2022 Corrient '!$A$5:$A$1012,$W$2,'PIB-Mpal 2015-2022 Corrient '!$E$5:$E$1012,$A113)</f>
        <v>146.47941593147002</v>
      </c>
      <c r="F113" s="51">
        <f>SUMIFS('PIB-Mpal 2015-2022 Corrient '!I$5:I$1012,'PIB-Mpal 2015-2022 Corrient '!$A$5:$A$1012,$W$2,'PIB-Mpal 2015-2022 Corrient '!$E$5:$E$1012,$A113)</f>
        <v>2.0195912037609105</v>
      </c>
      <c r="G113" s="51">
        <f>SUMIFS('PIB-Mpal 2015-2022 Corrient '!K$5:K$1012,'PIB-Mpal 2015-2022 Corrient '!$A$5:$A$1012,$W$2,'PIB-Mpal 2015-2022 Corrient '!$E$5:$E$1012,$A113)</f>
        <v>11.020773001711637</v>
      </c>
      <c r="H113" s="51">
        <f>SUMIFS('PIB-Mpal 2015-2022 Corrient '!L$5:L$1012,'PIB-Mpal 2015-2022 Corrient '!$A$5:$A$1012,$W$2,'PIB-Mpal 2015-2022 Corrient '!$E$5:$E$1012,$A113)</f>
        <v>21.709291725114404</v>
      </c>
      <c r="I113" s="51">
        <f>SUMIFS('PIB-Mpal 2015-2022 Corrient '!N$5:N$1012,'PIB-Mpal 2015-2022 Corrient '!$A$5:$A$1012,$W$2,'PIB-Mpal 2015-2022 Corrient '!$E$5:$E$1012,$A113)</f>
        <v>8.8459753495924183</v>
      </c>
      <c r="J113" s="51">
        <f>SUMIFS('PIB-Mpal 2015-2022 Corrient '!O$5:O$1012,'PIB-Mpal 2015-2022 Corrient '!$A$5:$A$1012,$W$2,'PIB-Mpal 2015-2022 Corrient '!$E$5:$E$1012,$A113)</f>
        <v>47.774532242053255</v>
      </c>
      <c r="K113" s="51">
        <f>SUMIFS('PIB-Mpal 2015-2022 Corrient '!P$5:P$1012,'PIB-Mpal 2015-2022 Corrient '!$A$5:$A$1012,$W$2,'PIB-Mpal 2015-2022 Corrient '!$E$5:$E$1012,$A113)</f>
        <v>9.7871745852859195</v>
      </c>
      <c r="L113" s="51">
        <f>SUMIFS('PIB-Mpal 2015-2022 Corrient '!Q$5:Q$1012,'PIB-Mpal 2015-2022 Corrient '!$A$5:$A$1012,$W$2,'PIB-Mpal 2015-2022 Corrient '!$E$5:$E$1012,$A113)</f>
        <v>6.3646827162494199</v>
      </c>
      <c r="M113" s="51">
        <f>SUMIFS('PIB-Mpal 2015-2022 Corrient '!R$5:R$1012,'PIB-Mpal 2015-2022 Corrient '!$A$5:$A$1012,$W$2,'PIB-Mpal 2015-2022 Corrient '!$E$5:$E$1012,$A113)</f>
        <v>22.342350613657587</v>
      </c>
      <c r="N113" s="51">
        <f>SUMIFS('PIB-Mpal 2015-2022 Corrient '!S$5:S$1012,'PIB-Mpal 2015-2022 Corrient '!$A$5:$A$1012,$W$2,'PIB-Mpal 2015-2022 Corrient '!$E$5:$E$1012,$A113)</f>
        <v>29.97527827095649</v>
      </c>
      <c r="O113" s="51">
        <f>SUMIFS('PIB-Mpal 2015-2022 Corrient '!T$5:T$1012,'PIB-Mpal 2015-2022 Corrient '!$A$5:$A$1012,$W$2,'PIB-Mpal 2015-2022 Corrient '!$E$5:$E$1012,$A113)</f>
        <v>49.81834695131716</v>
      </c>
      <c r="P113" s="150">
        <f>SUMIFS('PIB-Mpal 2015-2022 Corrient '!U$5:U$1012,'PIB-Mpal 2015-2022 Corrient '!$A$5:$A$1012,$W$2,'PIB-Mpal 2015-2022 Corrient '!$E$5:$E$1012,$A113)</f>
        <v>10.653769111095921</v>
      </c>
      <c r="Q113" s="156">
        <f>SUMIFS('PIB-Mpal 2015-2022 Corrient '!J$5:J$1012,'PIB-Mpal 2015-2022 Corrient '!$A$5:$A$1012,$W$2,'PIB-Mpal 2015-2022 Corrient '!$E$5:$E$1012,$A113)</f>
        <v>148.49900713523093</v>
      </c>
      <c r="R113" s="52">
        <f>SUMIFS('PIB-Mpal 2015-2022 Corrient '!M$5:M$1012,'PIB-Mpal 2015-2022 Corrient '!$A$5:$A$1012,$W$2,'PIB-Mpal 2015-2022 Corrient '!$E$5:$E$1012,$A113)</f>
        <v>32.730064726826043</v>
      </c>
      <c r="S113" s="53">
        <f>SUMIFS('PIB-Mpal 2015-2022 Corrient '!V$5:V$1012,'PIB-Mpal 2015-2022 Corrient '!$A$5:$A$1012,$W$2,'PIB-Mpal 2015-2022 Corrient '!$E$5:$E$1012,$A113)</f>
        <v>185.56210984020819</v>
      </c>
      <c r="T113" s="207">
        <f>SUMIFS('PIB-Mpal 2015-2022 Corrient '!W$5:W$1012,'PIB-Mpal 2015-2022 Corrient '!$A$5:$A$1012,$W$2,'PIB-Mpal 2015-2022 Corrient '!$E$5:$E$1012,$A113)</f>
        <v>366.79118170226513</v>
      </c>
      <c r="U113" s="203">
        <f>SUMIFS('PIB-Mpal 2015-2022 Corrient '!X$5:X$1012,'PIB-Mpal 2015-2022 Corrient '!$A$5:$A$1012,$W$2,'PIB-Mpal 2015-2022 Corrient '!$E$5:$E$1012,$A113)</f>
        <v>37.067593751608484</v>
      </c>
      <c r="V113" s="88">
        <f>SUMIFS('PIB-Mpal 2015-2022 Corrient '!Y$5:Y$1012,'PIB-Mpal 2015-2022 Corrient '!$A$5:$A$1012,$W$2,'PIB-Mpal 2015-2022 Corrient '!$E$5:$E$1012,$A113)</f>
        <v>403.85877545387359</v>
      </c>
      <c r="W113" s="92">
        <f t="shared" si="14"/>
        <v>2.6299832295921532E-3</v>
      </c>
      <c r="X113" s="268">
        <f>INDEX(POBLACION!$C$4:$W$128,MATCH(A113,POBLACION!$A$4:$A$128,0),MATCH($W$2,POBLACION!$C$3:$W$3,0))</f>
        <v>24553</v>
      </c>
      <c r="Y113" s="258">
        <f t="shared" si="15"/>
        <v>14938.752156651535</v>
      </c>
      <c r="Z113" s="270">
        <f t="shared" si="16"/>
        <v>16448.449291486726</v>
      </c>
      <c r="AA113" s="273">
        <f t="shared" si="17"/>
        <v>4.1743143221036219</v>
      </c>
      <c r="AB113" s="273">
        <f t="shared" si="18"/>
        <v>4.2161249602862725</v>
      </c>
      <c r="AG113" s="281"/>
      <c r="AH113" s="282"/>
      <c r="AI113" s="282"/>
    </row>
    <row r="114" spans="1:35" x14ac:dyDescent="0.2">
      <c r="A114" s="35" t="s">
        <v>337</v>
      </c>
      <c r="B114" s="32" t="s">
        <v>317</v>
      </c>
      <c r="C114" s="33" t="s">
        <v>320</v>
      </c>
      <c r="D114" s="32" t="s">
        <v>338</v>
      </c>
      <c r="E114" s="51">
        <f>SUMIFS('PIB-Mpal 2015-2022 Corrient '!H$5:H$1012,'PIB-Mpal 2015-2022 Corrient '!$A$5:$A$1012,$W$2,'PIB-Mpal 2015-2022 Corrient '!$E$5:$E$1012,$A114)</f>
        <v>17.789018484318241</v>
      </c>
      <c r="F114" s="51">
        <f>SUMIFS('PIB-Mpal 2015-2022 Corrient '!I$5:I$1012,'PIB-Mpal 2015-2022 Corrient '!$A$5:$A$1012,$W$2,'PIB-Mpal 2015-2022 Corrient '!$E$5:$E$1012,$A114)</f>
        <v>0</v>
      </c>
      <c r="G114" s="51">
        <f>SUMIFS('PIB-Mpal 2015-2022 Corrient '!K$5:K$1012,'PIB-Mpal 2015-2022 Corrient '!$A$5:$A$1012,$W$2,'PIB-Mpal 2015-2022 Corrient '!$E$5:$E$1012,$A114)</f>
        <v>2.977685638003599</v>
      </c>
      <c r="H114" s="51">
        <f>SUMIFS('PIB-Mpal 2015-2022 Corrient '!L$5:L$1012,'PIB-Mpal 2015-2022 Corrient '!$A$5:$A$1012,$W$2,'PIB-Mpal 2015-2022 Corrient '!$E$5:$E$1012,$A114)</f>
        <v>3.6362018876185247</v>
      </c>
      <c r="I114" s="51">
        <f>SUMIFS('PIB-Mpal 2015-2022 Corrient '!N$5:N$1012,'PIB-Mpal 2015-2022 Corrient '!$A$5:$A$1012,$W$2,'PIB-Mpal 2015-2022 Corrient '!$E$5:$E$1012,$A114)</f>
        <v>4.1333609098233559</v>
      </c>
      <c r="J114" s="51">
        <f>SUMIFS('PIB-Mpal 2015-2022 Corrient '!O$5:O$1012,'PIB-Mpal 2015-2022 Corrient '!$A$5:$A$1012,$W$2,'PIB-Mpal 2015-2022 Corrient '!$E$5:$E$1012,$A114)</f>
        <v>13.293608584745332</v>
      </c>
      <c r="K114" s="51">
        <f>SUMIFS('PIB-Mpal 2015-2022 Corrient '!P$5:P$1012,'PIB-Mpal 2015-2022 Corrient '!$A$5:$A$1012,$W$2,'PIB-Mpal 2015-2022 Corrient '!$E$5:$E$1012,$A114)</f>
        <v>2.5002658336537733</v>
      </c>
      <c r="L114" s="51">
        <f>SUMIFS('PIB-Mpal 2015-2022 Corrient '!Q$5:Q$1012,'PIB-Mpal 2015-2022 Corrient '!$A$5:$A$1012,$W$2,'PIB-Mpal 2015-2022 Corrient '!$E$5:$E$1012,$A114)</f>
        <v>1.2584796935926597</v>
      </c>
      <c r="M114" s="51">
        <f>SUMIFS('PIB-Mpal 2015-2022 Corrient '!R$5:R$1012,'PIB-Mpal 2015-2022 Corrient '!$A$5:$A$1012,$W$2,'PIB-Mpal 2015-2022 Corrient '!$E$5:$E$1012,$A114)</f>
        <v>6.847129800671981</v>
      </c>
      <c r="N114" s="51">
        <f>SUMIFS('PIB-Mpal 2015-2022 Corrient '!S$5:S$1012,'PIB-Mpal 2015-2022 Corrient '!$A$5:$A$1012,$W$2,'PIB-Mpal 2015-2022 Corrient '!$E$5:$E$1012,$A114)</f>
        <v>7.3447917381084089</v>
      </c>
      <c r="O114" s="51">
        <f>SUMIFS('PIB-Mpal 2015-2022 Corrient '!T$5:T$1012,'PIB-Mpal 2015-2022 Corrient '!$A$5:$A$1012,$W$2,'PIB-Mpal 2015-2022 Corrient '!$E$5:$E$1012,$A114)</f>
        <v>13.204539709698137</v>
      </c>
      <c r="P114" s="150">
        <f>SUMIFS('PIB-Mpal 2015-2022 Corrient '!U$5:U$1012,'PIB-Mpal 2015-2022 Corrient '!$A$5:$A$1012,$W$2,'PIB-Mpal 2015-2022 Corrient '!$E$5:$E$1012,$A114)</f>
        <v>2.1642211709294488</v>
      </c>
      <c r="Q114" s="156">
        <f>SUMIFS('PIB-Mpal 2015-2022 Corrient '!J$5:J$1012,'PIB-Mpal 2015-2022 Corrient '!$A$5:$A$1012,$W$2,'PIB-Mpal 2015-2022 Corrient '!$E$5:$E$1012,$A114)</f>
        <v>17.789018484318241</v>
      </c>
      <c r="R114" s="52">
        <f>SUMIFS('PIB-Mpal 2015-2022 Corrient '!M$5:M$1012,'PIB-Mpal 2015-2022 Corrient '!$A$5:$A$1012,$W$2,'PIB-Mpal 2015-2022 Corrient '!$E$5:$E$1012,$A114)</f>
        <v>6.6138875256221237</v>
      </c>
      <c r="S114" s="53">
        <f>SUMIFS('PIB-Mpal 2015-2022 Corrient '!V$5:V$1012,'PIB-Mpal 2015-2022 Corrient '!$A$5:$A$1012,$W$2,'PIB-Mpal 2015-2022 Corrient '!$E$5:$E$1012,$A114)</f>
        <v>50.746397441223095</v>
      </c>
      <c r="T114" s="207">
        <f>SUMIFS('PIB-Mpal 2015-2022 Corrient '!W$5:W$1012,'PIB-Mpal 2015-2022 Corrient '!$A$5:$A$1012,$W$2,'PIB-Mpal 2015-2022 Corrient '!$E$5:$E$1012,$A114)</f>
        <v>75.149303451163462</v>
      </c>
      <c r="U114" s="203">
        <f>SUMIFS('PIB-Mpal 2015-2022 Corrient '!X$5:X$1012,'PIB-Mpal 2015-2022 Corrient '!$A$5:$A$1012,$W$2,'PIB-Mpal 2015-2022 Corrient '!$E$5:$E$1012,$A114)</f>
        <v>7.5945224149506156</v>
      </c>
      <c r="V114" s="88">
        <f>SUMIFS('PIB-Mpal 2015-2022 Corrient '!Y$5:Y$1012,'PIB-Mpal 2015-2022 Corrient '!$A$5:$A$1012,$W$2,'PIB-Mpal 2015-2022 Corrient '!$E$5:$E$1012,$A114)</f>
        <v>82.743825866114079</v>
      </c>
      <c r="W114" s="92">
        <f t="shared" si="14"/>
        <v>5.3883903880907037E-4</v>
      </c>
      <c r="X114" s="268">
        <f>INDEX(POBLACION!$C$4:$W$128,MATCH(A114,POBLACION!$A$4:$A$128,0),MATCH($W$2,POBLACION!$C$3:$W$3,0))</f>
        <v>5530</v>
      </c>
      <c r="Y114" s="258">
        <f t="shared" si="15"/>
        <v>13589.385795870428</v>
      </c>
      <c r="Z114" s="270">
        <f t="shared" si="16"/>
        <v>14962.717154812672</v>
      </c>
      <c r="AA114" s="273">
        <f t="shared" si="17"/>
        <v>4.1331998282194524</v>
      </c>
      <c r="AB114" s="273">
        <f t="shared" si="18"/>
        <v>4.175010466402103</v>
      </c>
      <c r="AG114" s="281"/>
      <c r="AH114" s="282"/>
      <c r="AI114" s="282"/>
    </row>
    <row r="115" spans="1:35" x14ac:dyDescent="0.2">
      <c r="A115" s="35" t="s">
        <v>339</v>
      </c>
      <c r="B115" s="32" t="s">
        <v>317</v>
      </c>
      <c r="C115" s="33" t="s">
        <v>320</v>
      </c>
      <c r="D115" s="32" t="s">
        <v>340</v>
      </c>
      <c r="E115" s="51">
        <f>SUMIFS('PIB-Mpal 2015-2022 Corrient '!H$5:H$1012,'PIB-Mpal 2015-2022 Corrient '!$A$5:$A$1012,$W$2,'PIB-Mpal 2015-2022 Corrient '!$E$5:$E$1012,$A115)</f>
        <v>75.052651202208025</v>
      </c>
      <c r="F115" s="51">
        <f>SUMIFS('PIB-Mpal 2015-2022 Corrient '!I$5:I$1012,'PIB-Mpal 2015-2022 Corrient '!$A$5:$A$1012,$W$2,'PIB-Mpal 2015-2022 Corrient '!$E$5:$E$1012,$A115)</f>
        <v>0</v>
      </c>
      <c r="G115" s="51">
        <f>SUMIFS('PIB-Mpal 2015-2022 Corrient '!K$5:K$1012,'PIB-Mpal 2015-2022 Corrient '!$A$5:$A$1012,$W$2,'PIB-Mpal 2015-2022 Corrient '!$E$5:$E$1012,$A115)</f>
        <v>12.535518819894225</v>
      </c>
      <c r="H115" s="51">
        <f>SUMIFS('PIB-Mpal 2015-2022 Corrient '!L$5:L$1012,'PIB-Mpal 2015-2022 Corrient '!$A$5:$A$1012,$W$2,'PIB-Mpal 2015-2022 Corrient '!$E$5:$E$1012,$A115)</f>
        <v>7.8111961529407985</v>
      </c>
      <c r="I115" s="51">
        <f>SUMIFS('PIB-Mpal 2015-2022 Corrient '!N$5:N$1012,'PIB-Mpal 2015-2022 Corrient '!$A$5:$A$1012,$W$2,'PIB-Mpal 2015-2022 Corrient '!$E$5:$E$1012,$A115)</f>
        <v>6.1980709076471152</v>
      </c>
      <c r="J115" s="51">
        <f>SUMIFS('PIB-Mpal 2015-2022 Corrient '!O$5:O$1012,'PIB-Mpal 2015-2022 Corrient '!$A$5:$A$1012,$W$2,'PIB-Mpal 2015-2022 Corrient '!$E$5:$E$1012,$A115)</f>
        <v>42.052563288407903</v>
      </c>
      <c r="K115" s="51">
        <f>SUMIFS('PIB-Mpal 2015-2022 Corrient '!P$5:P$1012,'PIB-Mpal 2015-2022 Corrient '!$A$5:$A$1012,$W$2,'PIB-Mpal 2015-2022 Corrient '!$E$5:$E$1012,$A115)</f>
        <v>6.5748498885410269</v>
      </c>
      <c r="L115" s="51">
        <f>SUMIFS('PIB-Mpal 2015-2022 Corrient '!Q$5:Q$1012,'PIB-Mpal 2015-2022 Corrient '!$A$5:$A$1012,$W$2,'PIB-Mpal 2015-2022 Corrient '!$E$5:$E$1012,$A115)</f>
        <v>5.6538907293971885</v>
      </c>
      <c r="M115" s="51">
        <f>SUMIFS('PIB-Mpal 2015-2022 Corrient '!R$5:R$1012,'PIB-Mpal 2015-2022 Corrient '!$A$5:$A$1012,$W$2,'PIB-Mpal 2015-2022 Corrient '!$E$5:$E$1012,$A115)</f>
        <v>20.388752604390444</v>
      </c>
      <c r="N115" s="51">
        <f>SUMIFS('PIB-Mpal 2015-2022 Corrient '!S$5:S$1012,'PIB-Mpal 2015-2022 Corrient '!$A$5:$A$1012,$W$2,'PIB-Mpal 2015-2022 Corrient '!$E$5:$E$1012,$A115)</f>
        <v>18.202966498209413</v>
      </c>
      <c r="O115" s="51">
        <f>SUMIFS('PIB-Mpal 2015-2022 Corrient '!T$5:T$1012,'PIB-Mpal 2015-2022 Corrient '!$A$5:$A$1012,$W$2,'PIB-Mpal 2015-2022 Corrient '!$E$5:$E$1012,$A115)</f>
        <v>30.70428724171602</v>
      </c>
      <c r="P115" s="150">
        <f>SUMIFS('PIB-Mpal 2015-2022 Corrient '!U$5:U$1012,'PIB-Mpal 2015-2022 Corrient '!$A$5:$A$1012,$W$2,'PIB-Mpal 2015-2022 Corrient '!$E$5:$E$1012,$A115)</f>
        <v>6.0304126549778969</v>
      </c>
      <c r="Q115" s="156">
        <f>SUMIFS('PIB-Mpal 2015-2022 Corrient '!J$5:J$1012,'PIB-Mpal 2015-2022 Corrient '!$A$5:$A$1012,$W$2,'PIB-Mpal 2015-2022 Corrient '!$E$5:$E$1012,$A115)</f>
        <v>75.052651202208025</v>
      </c>
      <c r="R115" s="52">
        <f>SUMIFS('PIB-Mpal 2015-2022 Corrient '!M$5:M$1012,'PIB-Mpal 2015-2022 Corrient '!$A$5:$A$1012,$W$2,'PIB-Mpal 2015-2022 Corrient '!$E$5:$E$1012,$A115)</f>
        <v>20.346714972835024</v>
      </c>
      <c r="S115" s="53">
        <f>SUMIFS('PIB-Mpal 2015-2022 Corrient '!V$5:V$1012,'PIB-Mpal 2015-2022 Corrient '!$A$5:$A$1012,$W$2,'PIB-Mpal 2015-2022 Corrient '!$E$5:$E$1012,$A115)</f>
        <v>135.80579381328704</v>
      </c>
      <c r="T115" s="207">
        <f>SUMIFS('PIB-Mpal 2015-2022 Corrient '!W$5:W$1012,'PIB-Mpal 2015-2022 Corrient '!$A$5:$A$1012,$W$2,'PIB-Mpal 2015-2022 Corrient '!$E$5:$E$1012,$A115)</f>
        <v>231.20515998833008</v>
      </c>
      <c r="U115" s="203">
        <f>SUMIFS('PIB-Mpal 2015-2022 Corrient '!X$5:X$1012,'PIB-Mpal 2015-2022 Corrient '!$A$5:$A$1012,$W$2,'PIB-Mpal 2015-2022 Corrient '!$E$5:$E$1012,$A115)</f>
        <v>23.365389821938937</v>
      </c>
      <c r="V115" s="88">
        <f>SUMIFS('PIB-Mpal 2015-2022 Corrient '!Y$5:Y$1012,'PIB-Mpal 2015-2022 Corrient '!$A$5:$A$1012,$W$2,'PIB-Mpal 2015-2022 Corrient '!$E$5:$E$1012,$A115)</f>
        <v>254.57054981026903</v>
      </c>
      <c r="W115" s="92">
        <f t="shared" si="14"/>
        <v>1.6577980161422287E-3</v>
      </c>
      <c r="X115" s="268">
        <f>INDEX(POBLACION!$C$4:$W$128,MATCH(A115,POBLACION!$A$4:$A$128,0),MATCH($W$2,POBLACION!$C$3:$W$3,0))</f>
        <v>14662</v>
      </c>
      <c r="Y115" s="258">
        <f t="shared" si="15"/>
        <v>15769.005591892652</v>
      </c>
      <c r="Z115" s="270">
        <f t="shared" si="16"/>
        <v>17362.60740760258</v>
      </c>
      <c r="AA115" s="273">
        <f t="shared" si="17"/>
        <v>4.197804307179859</v>
      </c>
      <c r="AB115" s="273">
        <f t="shared" si="18"/>
        <v>4.2396149453625087</v>
      </c>
      <c r="AG115" s="281"/>
      <c r="AH115" s="282"/>
      <c r="AI115" s="282"/>
    </row>
    <row r="116" spans="1:35" x14ac:dyDescent="0.2">
      <c r="A116" s="35" t="s">
        <v>341</v>
      </c>
      <c r="B116" s="32" t="s">
        <v>317</v>
      </c>
      <c r="C116" s="33" t="s">
        <v>329</v>
      </c>
      <c r="D116" s="32" t="s">
        <v>342</v>
      </c>
      <c r="E116" s="51">
        <f>SUMIFS('PIB-Mpal 2015-2022 Corrient '!H$5:H$1012,'PIB-Mpal 2015-2022 Corrient '!$A$5:$A$1012,$W$2,'PIB-Mpal 2015-2022 Corrient '!$E$5:$E$1012,$A116)</f>
        <v>72.38491116152376</v>
      </c>
      <c r="F116" s="51">
        <f>SUMIFS('PIB-Mpal 2015-2022 Corrient '!I$5:I$1012,'PIB-Mpal 2015-2022 Corrient '!$A$5:$A$1012,$W$2,'PIB-Mpal 2015-2022 Corrient '!$E$5:$E$1012,$A116)</f>
        <v>0</v>
      </c>
      <c r="G116" s="51">
        <f>SUMIFS('PIB-Mpal 2015-2022 Corrient '!K$5:K$1012,'PIB-Mpal 2015-2022 Corrient '!$A$5:$A$1012,$W$2,'PIB-Mpal 2015-2022 Corrient '!$E$5:$E$1012,$A116)</f>
        <v>4.5095987143081944</v>
      </c>
      <c r="H116" s="51">
        <f>SUMIFS('PIB-Mpal 2015-2022 Corrient '!L$5:L$1012,'PIB-Mpal 2015-2022 Corrient '!$A$5:$A$1012,$W$2,'PIB-Mpal 2015-2022 Corrient '!$E$5:$E$1012,$A116)</f>
        <v>14.317347550312348</v>
      </c>
      <c r="I116" s="51">
        <f>SUMIFS('PIB-Mpal 2015-2022 Corrient '!N$5:N$1012,'PIB-Mpal 2015-2022 Corrient '!$A$5:$A$1012,$W$2,'PIB-Mpal 2015-2022 Corrient '!$E$5:$E$1012,$A116)</f>
        <v>23.239963011690719</v>
      </c>
      <c r="J116" s="51">
        <f>SUMIFS('PIB-Mpal 2015-2022 Corrient '!O$5:O$1012,'PIB-Mpal 2015-2022 Corrient '!$A$5:$A$1012,$W$2,'PIB-Mpal 2015-2022 Corrient '!$E$5:$E$1012,$A116)</f>
        <v>28.040779188685736</v>
      </c>
      <c r="K116" s="51">
        <f>SUMIFS('PIB-Mpal 2015-2022 Corrient '!P$5:P$1012,'PIB-Mpal 2015-2022 Corrient '!$A$5:$A$1012,$W$2,'PIB-Mpal 2015-2022 Corrient '!$E$5:$E$1012,$A116)</f>
        <v>4.8142605289050833</v>
      </c>
      <c r="L116" s="51">
        <f>SUMIFS('PIB-Mpal 2015-2022 Corrient '!Q$5:Q$1012,'PIB-Mpal 2015-2022 Corrient '!$A$5:$A$1012,$W$2,'PIB-Mpal 2015-2022 Corrient '!$E$5:$E$1012,$A116)</f>
        <v>3.4036536674365183</v>
      </c>
      <c r="M116" s="51">
        <f>SUMIFS('PIB-Mpal 2015-2022 Corrient '!R$5:R$1012,'PIB-Mpal 2015-2022 Corrient '!$A$5:$A$1012,$W$2,'PIB-Mpal 2015-2022 Corrient '!$E$5:$E$1012,$A116)</f>
        <v>12.886365028300339</v>
      </c>
      <c r="N116" s="51">
        <f>SUMIFS('PIB-Mpal 2015-2022 Corrient '!S$5:S$1012,'PIB-Mpal 2015-2022 Corrient '!$A$5:$A$1012,$W$2,'PIB-Mpal 2015-2022 Corrient '!$E$5:$E$1012,$A116)</f>
        <v>17.566605150774556</v>
      </c>
      <c r="O116" s="51">
        <f>SUMIFS('PIB-Mpal 2015-2022 Corrient '!T$5:T$1012,'PIB-Mpal 2015-2022 Corrient '!$A$5:$A$1012,$W$2,'PIB-Mpal 2015-2022 Corrient '!$E$5:$E$1012,$A116)</f>
        <v>31.689441280766097</v>
      </c>
      <c r="P116" s="150">
        <f>SUMIFS('PIB-Mpal 2015-2022 Corrient '!U$5:U$1012,'PIB-Mpal 2015-2022 Corrient '!$A$5:$A$1012,$W$2,'PIB-Mpal 2015-2022 Corrient '!$E$5:$E$1012,$A116)</f>
        <v>5.7849656403714045</v>
      </c>
      <c r="Q116" s="156">
        <f>SUMIFS('PIB-Mpal 2015-2022 Corrient '!J$5:J$1012,'PIB-Mpal 2015-2022 Corrient '!$A$5:$A$1012,$W$2,'PIB-Mpal 2015-2022 Corrient '!$E$5:$E$1012,$A116)</f>
        <v>72.38491116152376</v>
      </c>
      <c r="R116" s="52">
        <f>SUMIFS('PIB-Mpal 2015-2022 Corrient '!M$5:M$1012,'PIB-Mpal 2015-2022 Corrient '!$A$5:$A$1012,$W$2,'PIB-Mpal 2015-2022 Corrient '!$E$5:$E$1012,$A116)</f>
        <v>18.826946264620542</v>
      </c>
      <c r="S116" s="53">
        <f>SUMIFS('PIB-Mpal 2015-2022 Corrient '!V$5:V$1012,'PIB-Mpal 2015-2022 Corrient '!$A$5:$A$1012,$W$2,'PIB-Mpal 2015-2022 Corrient '!$E$5:$E$1012,$A116)</f>
        <v>127.42603349693044</v>
      </c>
      <c r="T116" s="207">
        <f>SUMIFS('PIB-Mpal 2015-2022 Corrient '!W$5:W$1012,'PIB-Mpal 2015-2022 Corrient '!$A$5:$A$1012,$W$2,'PIB-Mpal 2015-2022 Corrient '!$E$5:$E$1012,$A116)</f>
        <v>218.63789092307474</v>
      </c>
      <c r="U116" s="203">
        <f>SUMIFS('PIB-Mpal 2015-2022 Corrient '!X$5:X$1012,'PIB-Mpal 2015-2022 Corrient '!$A$5:$A$1012,$W$2,'PIB-Mpal 2015-2022 Corrient '!$E$5:$E$1012,$A116)</f>
        <v>22.095352679507926</v>
      </c>
      <c r="V116" s="88">
        <f>SUMIFS('PIB-Mpal 2015-2022 Corrient '!Y$5:Y$1012,'PIB-Mpal 2015-2022 Corrient '!$A$5:$A$1012,$W$2,'PIB-Mpal 2015-2022 Corrient '!$E$5:$E$1012,$A116)</f>
        <v>240.73324360258266</v>
      </c>
      <c r="W116" s="92">
        <f t="shared" si="14"/>
        <v>1.5676875976474273E-3</v>
      </c>
      <c r="X116" s="268">
        <f>INDEX(POBLACION!$C$4:$W$128,MATCH(A116,POBLACION!$A$4:$A$128,0),MATCH($W$2,POBLACION!$C$3:$W$3,0))</f>
        <v>13637</v>
      </c>
      <c r="Y116" s="258">
        <f t="shared" si="15"/>
        <v>16032.697141825529</v>
      </c>
      <c r="Z116" s="270">
        <f t="shared" si="16"/>
        <v>17652.947393311042</v>
      </c>
      <c r="AA116" s="273">
        <f t="shared" si="17"/>
        <v>4.205006588809491</v>
      </c>
      <c r="AB116" s="273">
        <f t="shared" si="18"/>
        <v>4.2468172269921416</v>
      </c>
      <c r="AG116" s="281"/>
      <c r="AH116" s="282"/>
      <c r="AI116" s="282"/>
    </row>
    <row r="117" spans="1:35" x14ac:dyDescent="0.2">
      <c r="A117" s="35" t="s">
        <v>343</v>
      </c>
      <c r="B117" s="32" t="s">
        <v>317</v>
      </c>
      <c r="C117" s="33" t="s">
        <v>329</v>
      </c>
      <c r="D117" s="32" t="s">
        <v>344</v>
      </c>
      <c r="E117" s="51">
        <f>SUMIFS('PIB-Mpal 2015-2022 Corrient '!H$5:H$1012,'PIB-Mpal 2015-2022 Corrient '!$A$5:$A$1012,$W$2,'PIB-Mpal 2015-2022 Corrient '!$E$5:$E$1012,$A117)</f>
        <v>8.1586788524360312</v>
      </c>
      <c r="F117" s="51">
        <f>SUMIFS('PIB-Mpal 2015-2022 Corrient '!I$5:I$1012,'PIB-Mpal 2015-2022 Corrient '!$A$5:$A$1012,$W$2,'PIB-Mpal 2015-2022 Corrient '!$E$5:$E$1012,$A117)</f>
        <v>3.5204668532515697</v>
      </c>
      <c r="G117" s="51">
        <f>SUMIFS('PIB-Mpal 2015-2022 Corrient '!K$5:K$1012,'PIB-Mpal 2015-2022 Corrient '!$A$5:$A$1012,$W$2,'PIB-Mpal 2015-2022 Corrient '!$E$5:$E$1012,$A117)</f>
        <v>20.901371798338218</v>
      </c>
      <c r="H117" s="51">
        <f>SUMIFS('PIB-Mpal 2015-2022 Corrient '!L$5:L$1012,'PIB-Mpal 2015-2022 Corrient '!$A$5:$A$1012,$W$2,'PIB-Mpal 2015-2022 Corrient '!$E$5:$E$1012,$A117)</f>
        <v>54.423411447998461</v>
      </c>
      <c r="I117" s="51">
        <f>SUMIFS('PIB-Mpal 2015-2022 Corrient '!N$5:N$1012,'PIB-Mpal 2015-2022 Corrient '!$A$5:$A$1012,$W$2,'PIB-Mpal 2015-2022 Corrient '!$E$5:$E$1012,$A117)</f>
        <v>8.8403715725122289</v>
      </c>
      <c r="J117" s="51">
        <f>SUMIFS('PIB-Mpal 2015-2022 Corrient '!O$5:O$1012,'PIB-Mpal 2015-2022 Corrient '!$A$5:$A$1012,$W$2,'PIB-Mpal 2015-2022 Corrient '!$E$5:$E$1012,$A117)</f>
        <v>56.750867702657395</v>
      </c>
      <c r="K117" s="51">
        <f>SUMIFS('PIB-Mpal 2015-2022 Corrient '!P$5:P$1012,'PIB-Mpal 2015-2022 Corrient '!$A$5:$A$1012,$W$2,'PIB-Mpal 2015-2022 Corrient '!$E$5:$E$1012,$A117)</f>
        <v>4.2731219351671879</v>
      </c>
      <c r="L117" s="51">
        <f>SUMIFS('PIB-Mpal 2015-2022 Corrient '!Q$5:Q$1012,'PIB-Mpal 2015-2022 Corrient '!$A$5:$A$1012,$W$2,'PIB-Mpal 2015-2022 Corrient '!$E$5:$E$1012,$A117)</f>
        <v>2.4147753096227071</v>
      </c>
      <c r="M117" s="51">
        <f>SUMIFS('PIB-Mpal 2015-2022 Corrient '!R$5:R$1012,'PIB-Mpal 2015-2022 Corrient '!$A$5:$A$1012,$W$2,'PIB-Mpal 2015-2022 Corrient '!$E$5:$E$1012,$A117)</f>
        <v>10.055675084638438</v>
      </c>
      <c r="N117" s="51">
        <f>SUMIFS('PIB-Mpal 2015-2022 Corrient '!S$5:S$1012,'PIB-Mpal 2015-2022 Corrient '!$A$5:$A$1012,$W$2,'PIB-Mpal 2015-2022 Corrient '!$E$5:$E$1012,$A117)</f>
        <v>15.804870075710786</v>
      </c>
      <c r="O117" s="51">
        <f>SUMIFS('PIB-Mpal 2015-2022 Corrient '!T$5:T$1012,'PIB-Mpal 2015-2022 Corrient '!$A$5:$A$1012,$W$2,'PIB-Mpal 2015-2022 Corrient '!$E$5:$E$1012,$A117)</f>
        <v>21.418188094662803</v>
      </c>
      <c r="P117" s="150">
        <f>SUMIFS('PIB-Mpal 2015-2022 Corrient '!U$5:U$1012,'PIB-Mpal 2015-2022 Corrient '!$A$5:$A$1012,$W$2,'PIB-Mpal 2015-2022 Corrient '!$E$5:$E$1012,$A117)</f>
        <v>4.1678077159235354</v>
      </c>
      <c r="Q117" s="156">
        <f>SUMIFS('PIB-Mpal 2015-2022 Corrient '!J$5:J$1012,'PIB-Mpal 2015-2022 Corrient '!$A$5:$A$1012,$W$2,'PIB-Mpal 2015-2022 Corrient '!$E$5:$E$1012,$A117)</f>
        <v>11.679145705687601</v>
      </c>
      <c r="R117" s="52">
        <f>SUMIFS('PIB-Mpal 2015-2022 Corrient '!M$5:M$1012,'PIB-Mpal 2015-2022 Corrient '!$A$5:$A$1012,$W$2,'PIB-Mpal 2015-2022 Corrient '!$E$5:$E$1012,$A117)</f>
        <v>75.324783246336679</v>
      </c>
      <c r="S117" s="53">
        <f>SUMIFS('PIB-Mpal 2015-2022 Corrient '!V$5:V$1012,'PIB-Mpal 2015-2022 Corrient '!$A$5:$A$1012,$W$2,'PIB-Mpal 2015-2022 Corrient '!$E$5:$E$1012,$A117)</f>
        <v>123.72567749089508</v>
      </c>
      <c r="T117" s="207">
        <f>SUMIFS('PIB-Mpal 2015-2022 Corrient '!W$5:W$1012,'PIB-Mpal 2015-2022 Corrient '!$A$5:$A$1012,$W$2,'PIB-Mpal 2015-2022 Corrient '!$E$5:$E$1012,$A117)</f>
        <v>210.72960644291936</v>
      </c>
      <c r="U117" s="203">
        <f>SUMIFS('PIB-Mpal 2015-2022 Corrient '!X$5:X$1012,'PIB-Mpal 2015-2022 Corrient '!$A$5:$A$1012,$W$2,'PIB-Mpal 2015-2022 Corrient '!$E$5:$E$1012,$A117)</f>
        <v>21.296148415593802</v>
      </c>
      <c r="V117" s="88">
        <f>SUMIFS('PIB-Mpal 2015-2022 Corrient '!Y$5:Y$1012,'PIB-Mpal 2015-2022 Corrient '!$A$5:$A$1012,$W$2,'PIB-Mpal 2015-2022 Corrient '!$E$5:$E$1012,$A117)</f>
        <v>232.02575485851315</v>
      </c>
      <c r="W117" s="92">
        <f t="shared" si="14"/>
        <v>1.5109832476106388E-3</v>
      </c>
      <c r="X117" s="268">
        <f>INDEX(POBLACION!$C$4:$W$128,MATCH(A117,POBLACION!$A$4:$A$128,0),MATCH($W$2,POBLACION!$C$3:$W$3,0))</f>
        <v>8298</v>
      </c>
      <c r="Y117" s="258">
        <f t="shared" si="15"/>
        <v>25395.228542169119</v>
      </c>
      <c r="Z117" s="270">
        <f t="shared" si="16"/>
        <v>27961.647970416143</v>
      </c>
      <c r="AA117" s="273">
        <f t="shared" si="17"/>
        <v>4.4047521255779385</v>
      </c>
      <c r="AB117" s="273">
        <f t="shared" si="18"/>
        <v>4.4465627637605891</v>
      </c>
      <c r="AG117" s="281"/>
      <c r="AH117" s="282"/>
      <c r="AI117" s="282"/>
    </row>
    <row r="118" spans="1:35" x14ac:dyDescent="0.2">
      <c r="A118" s="35" t="s">
        <v>345</v>
      </c>
      <c r="B118" s="32" t="s">
        <v>317</v>
      </c>
      <c r="C118" s="33" t="s">
        <v>329</v>
      </c>
      <c r="D118" s="32" t="s">
        <v>346</v>
      </c>
      <c r="E118" s="51">
        <f>SUMIFS('PIB-Mpal 2015-2022 Corrient '!H$5:H$1012,'PIB-Mpal 2015-2022 Corrient '!$A$5:$A$1012,$W$2,'PIB-Mpal 2015-2022 Corrient '!$E$5:$E$1012,$A118)</f>
        <v>17.29607877268289</v>
      </c>
      <c r="F118" s="51">
        <f>SUMIFS('PIB-Mpal 2015-2022 Corrient '!I$5:I$1012,'PIB-Mpal 2015-2022 Corrient '!$A$5:$A$1012,$W$2,'PIB-Mpal 2015-2022 Corrient '!$E$5:$E$1012,$A118)</f>
        <v>0</v>
      </c>
      <c r="G118" s="51">
        <f>SUMIFS('PIB-Mpal 2015-2022 Corrient '!K$5:K$1012,'PIB-Mpal 2015-2022 Corrient '!$A$5:$A$1012,$W$2,'PIB-Mpal 2015-2022 Corrient '!$E$5:$E$1012,$A118)</f>
        <v>7.6443831804128832</v>
      </c>
      <c r="H118" s="51">
        <f>SUMIFS('PIB-Mpal 2015-2022 Corrient '!L$5:L$1012,'PIB-Mpal 2015-2022 Corrient '!$A$5:$A$1012,$W$2,'PIB-Mpal 2015-2022 Corrient '!$E$5:$E$1012,$A118)</f>
        <v>24.057927839577022</v>
      </c>
      <c r="I118" s="51">
        <f>SUMIFS('PIB-Mpal 2015-2022 Corrient '!N$5:N$1012,'PIB-Mpal 2015-2022 Corrient '!$A$5:$A$1012,$W$2,'PIB-Mpal 2015-2022 Corrient '!$E$5:$E$1012,$A118)</f>
        <v>2.1365207285891743</v>
      </c>
      <c r="J118" s="51">
        <f>SUMIFS('PIB-Mpal 2015-2022 Corrient '!O$5:O$1012,'PIB-Mpal 2015-2022 Corrient '!$A$5:$A$1012,$W$2,'PIB-Mpal 2015-2022 Corrient '!$E$5:$E$1012,$A118)</f>
        <v>14.069985909345087</v>
      </c>
      <c r="K118" s="51">
        <f>SUMIFS('PIB-Mpal 2015-2022 Corrient '!P$5:P$1012,'PIB-Mpal 2015-2022 Corrient '!$A$5:$A$1012,$W$2,'PIB-Mpal 2015-2022 Corrient '!$E$5:$E$1012,$A118)</f>
        <v>2.9580467123022061</v>
      </c>
      <c r="L118" s="51">
        <f>SUMIFS('PIB-Mpal 2015-2022 Corrient '!Q$5:Q$1012,'PIB-Mpal 2015-2022 Corrient '!$A$5:$A$1012,$W$2,'PIB-Mpal 2015-2022 Corrient '!$E$5:$E$1012,$A118)</f>
        <v>1.6746260472694956</v>
      </c>
      <c r="M118" s="51">
        <f>SUMIFS('PIB-Mpal 2015-2022 Corrient '!R$5:R$1012,'PIB-Mpal 2015-2022 Corrient '!$A$5:$A$1012,$W$2,'PIB-Mpal 2015-2022 Corrient '!$E$5:$E$1012,$A118)</f>
        <v>8.6936668769734027</v>
      </c>
      <c r="N118" s="51">
        <f>SUMIFS('PIB-Mpal 2015-2022 Corrient '!S$5:S$1012,'PIB-Mpal 2015-2022 Corrient '!$A$5:$A$1012,$W$2,'PIB-Mpal 2015-2022 Corrient '!$E$5:$E$1012,$A118)</f>
        <v>11.679871467022112</v>
      </c>
      <c r="O118" s="51">
        <f>SUMIFS('PIB-Mpal 2015-2022 Corrient '!T$5:T$1012,'PIB-Mpal 2015-2022 Corrient '!$A$5:$A$1012,$W$2,'PIB-Mpal 2015-2022 Corrient '!$E$5:$E$1012,$A118)</f>
        <v>25.059478005446607</v>
      </c>
      <c r="P118" s="150">
        <f>SUMIFS('PIB-Mpal 2015-2022 Corrient '!U$5:U$1012,'PIB-Mpal 2015-2022 Corrient '!$A$5:$A$1012,$W$2,'PIB-Mpal 2015-2022 Corrient '!$E$5:$E$1012,$A118)</f>
        <v>3.0768369359158672</v>
      </c>
      <c r="Q118" s="156">
        <f>SUMIFS('PIB-Mpal 2015-2022 Corrient '!J$5:J$1012,'PIB-Mpal 2015-2022 Corrient '!$A$5:$A$1012,$W$2,'PIB-Mpal 2015-2022 Corrient '!$E$5:$E$1012,$A118)</f>
        <v>17.29607877268289</v>
      </c>
      <c r="R118" s="52">
        <f>SUMIFS('PIB-Mpal 2015-2022 Corrient '!M$5:M$1012,'PIB-Mpal 2015-2022 Corrient '!$A$5:$A$1012,$W$2,'PIB-Mpal 2015-2022 Corrient '!$E$5:$E$1012,$A118)</f>
        <v>31.702311019989907</v>
      </c>
      <c r="S118" s="53">
        <f>SUMIFS('PIB-Mpal 2015-2022 Corrient '!V$5:V$1012,'PIB-Mpal 2015-2022 Corrient '!$A$5:$A$1012,$W$2,'PIB-Mpal 2015-2022 Corrient '!$E$5:$E$1012,$A118)</f>
        <v>69.34903268286395</v>
      </c>
      <c r="T118" s="207">
        <f>SUMIFS('PIB-Mpal 2015-2022 Corrient '!W$5:W$1012,'PIB-Mpal 2015-2022 Corrient '!$A$5:$A$1012,$W$2,'PIB-Mpal 2015-2022 Corrient '!$E$5:$E$1012,$A118)</f>
        <v>118.34742247553675</v>
      </c>
      <c r="U118" s="203">
        <f>SUMIFS('PIB-Mpal 2015-2022 Corrient '!X$5:X$1012,'PIB-Mpal 2015-2022 Corrient '!$A$5:$A$1012,$W$2,'PIB-Mpal 2015-2022 Corrient '!$E$5:$E$1012,$A118)</f>
        <v>11.960086274468042</v>
      </c>
      <c r="V118" s="88">
        <f>SUMIFS('PIB-Mpal 2015-2022 Corrient '!Y$5:Y$1012,'PIB-Mpal 2015-2022 Corrient '!$A$5:$A$1012,$W$2,'PIB-Mpal 2015-2022 Corrient '!$E$5:$E$1012,$A118)</f>
        <v>130.30750875000479</v>
      </c>
      <c r="W118" s="92">
        <f t="shared" si="14"/>
        <v>8.4858020558621562E-4</v>
      </c>
      <c r="X118" s="268">
        <f>INDEX(POBLACION!$C$4:$W$128,MATCH(A118,POBLACION!$A$4:$A$128,0),MATCH($W$2,POBLACION!$C$3:$W$3,0))</f>
        <v>6635</v>
      </c>
      <c r="Y118" s="258">
        <f t="shared" si="15"/>
        <v>17836.838353509684</v>
      </c>
      <c r="Z118" s="270">
        <f t="shared" si="16"/>
        <v>19639.413526752793</v>
      </c>
      <c r="AA118" s="273">
        <f t="shared" si="17"/>
        <v>4.2513178765362047</v>
      </c>
      <c r="AB118" s="273">
        <f t="shared" si="18"/>
        <v>4.2931285147188545</v>
      </c>
      <c r="AG118" s="281"/>
      <c r="AH118" s="282"/>
      <c r="AI118" s="282"/>
    </row>
    <row r="119" spans="1:35" x14ac:dyDescent="0.2">
      <c r="A119" s="35" t="s">
        <v>347</v>
      </c>
      <c r="B119" s="32" t="s">
        <v>317</v>
      </c>
      <c r="C119" s="33" t="s">
        <v>329</v>
      </c>
      <c r="D119" s="32" t="s">
        <v>348</v>
      </c>
      <c r="E119" s="51">
        <f>SUMIFS('PIB-Mpal 2015-2022 Corrient '!H$5:H$1012,'PIB-Mpal 2015-2022 Corrient '!$A$5:$A$1012,$W$2,'PIB-Mpal 2015-2022 Corrient '!$E$5:$E$1012,$A119)</f>
        <v>21.549322131318668</v>
      </c>
      <c r="F119" s="51">
        <f>SUMIFS('PIB-Mpal 2015-2022 Corrient '!I$5:I$1012,'PIB-Mpal 2015-2022 Corrient '!$A$5:$A$1012,$W$2,'PIB-Mpal 2015-2022 Corrient '!$E$5:$E$1012,$A119)</f>
        <v>0</v>
      </c>
      <c r="G119" s="51">
        <f>SUMIFS('PIB-Mpal 2015-2022 Corrient '!K$5:K$1012,'PIB-Mpal 2015-2022 Corrient '!$A$5:$A$1012,$W$2,'PIB-Mpal 2015-2022 Corrient '!$E$5:$E$1012,$A119)</f>
        <v>1.7095019002294294</v>
      </c>
      <c r="H119" s="51">
        <f>SUMIFS('PIB-Mpal 2015-2022 Corrient '!L$5:L$1012,'PIB-Mpal 2015-2022 Corrient '!$A$5:$A$1012,$W$2,'PIB-Mpal 2015-2022 Corrient '!$E$5:$E$1012,$A119)</f>
        <v>8.3603277044280357</v>
      </c>
      <c r="I119" s="51">
        <f>SUMIFS('PIB-Mpal 2015-2022 Corrient '!N$5:N$1012,'PIB-Mpal 2015-2022 Corrient '!$A$5:$A$1012,$W$2,'PIB-Mpal 2015-2022 Corrient '!$E$5:$E$1012,$A119)</f>
        <v>3.1495102634233572</v>
      </c>
      <c r="J119" s="51">
        <f>SUMIFS('PIB-Mpal 2015-2022 Corrient '!O$5:O$1012,'PIB-Mpal 2015-2022 Corrient '!$A$5:$A$1012,$W$2,'PIB-Mpal 2015-2022 Corrient '!$E$5:$E$1012,$A119)</f>
        <v>11.291383768531666</v>
      </c>
      <c r="K119" s="51">
        <f>SUMIFS('PIB-Mpal 2015-2022 Corrient '!P$5:P$1012,'PIB-Mpal 2015-2022 Corrient '!$A$5:$A$1012,$W$2,'PIB-Mpal 2015-2022 Corrient '!$E$5:$E$1012,$A119)</f>
        <v>4.1704270287468752</v>
      </c>
      <c r="L119" s="51">
        <f>SUMIFS('PIB-Mpal 2015-2022 Corrient '!Q$5:Q$1012,'PIB-Mpal 2015-2022 Corrient '!$A$5:$A$1012,$W$2,'PIB-Mpal 2015-2022 Corrient '!$E$5:$E$1012,$A119)</f>
        <v>2.3430548670109053</v>
      </c>
      <c r="M119" s="51">
        <f>SUMIFS('PIB-Mpal 2015-2022 Corrient '!R$5:R$1012,'PIB-Mpal 2015-2022 Corrient '!$A$5:$A$1012,$W$2,'PIB-Mpal 2015-2022 Corrient '!$E$5:$E$1012,$A119)</f>
        <v>7.9048462336190211</v>
      </c>
      <c r="N119" s="51">
        <f>SUMIFS('PIB-Mpal 2015-2022 Corrient '!S$5:S$1012,'PIB-Mpal 2015-2022 Corrient '!$A$5:$A$1012,$W$2,'PIB-Mpal 2015-2022 Corrient '!$E$5:$E$1012,$A119)</f>
        <v>11.348663054702399</v>
      </c>
      <c r="O119" s="51">
        <f>SUMIFS('PIB-Mpal 2015-2022 Corrient '!T$5:T$1012,'PIB-Mpal 2015-2022 Corrient '!$A$5:$A$1012,$W$2,'PIB-Mpal 2015-2022 Corrient '!$E$5:$E$1012,$A119)</f>
        <v>24.809202608820002</v>
      </c>
      <c r="P119" s="150">
        <f>SUMIFS('PIB-Mpal 2015-2022 Corrient '!U$5:U$1012,'PIB-Mpal 2015-2022 Corrient '!$A$5:$A$1012,$W$2,'PIB-Mpal 2015-2022 Corrient '!$E$5:$E$1012,$A119)</f>
        <v>3.9114237694866008</v>
      </c>
      <c r="Q119" s="156">
        <f>SUMIFS('PIB-Mpal 2015-2022 Corrient '!J$5:J$1012,'PIB-Mpal 2015-2022 Corrient '!$A$5:$A$1012,$W$2,'PIB-Mpal 2015-2022 Corrient '!$E$5:$E$1012,$A119)</f>
        <v>21.549322131318668</v>
      </c>
      <c r="R119" s="52">
        <f>SUMIFS('PIB-Mpal 2015-2022 Corrient '!M$5:M$1012,'PIB-Mpal 2015-2022 Corrient '!$A$5:$A$1012,$W$2,'PIB-Mpal 2015-2022 Corrient '!$E$5:$E$1012,$A119)</f>
        <v>10.069829604657466</v>
      </c>
      <c r="S119" s="53">
        <f>SUMIFS('PIB-Mpal 2015-2022 Corrient '!V$5:V$1012,'PIB-Mpal 2015-2022 Corrient '!$A$5:$A$1012,$W$2,'PIB-Mpal 2015-2022 Corrient '!$E$5:$E$1012,$A119)</f>
        <v>68.928511594340833</v>
      </c>
      <c r="T119" s="207">
        <f>SUMIFS('PIB-Mpal 2015-2022 Corrient '!W$5:W$1012,'PIB-Mpal 2015-2022 Corrient '!$A$5:$A$1012,$W$2,'PIB-Mpal 2015-2022 Corrient '!$E$5:$E$1012,$A119)</f>
        <v>100.54766333031696</v>
      </c>
      <c r="U119" s="203">
        <f>SUMIFS('PIB-Mpal 2015-2022 Corrient '!X$5:X$1012,'PIB-Mpal 2015-2022 Corrient '!$A$5:$A$1012,$W$2,'PIB-Mpal 2015-2022 Corrient '!$E$5:$E$1012,$A119)</f>
        <v>10.161258293355186</v>
      </c>
      <c r="V119" s="88">
        <f>SUMIFS('PIB-Mpal 2015-2022 Corrient '!Y$5:Y$1012,'PIB-Mpal 2015-2022 Corrient '!$A$5:$A$1012,$W$2,'PIB-Mpal 2015-2022 Corrient '!$E$5:$E$1012,$A119)</f>
        <v>110.70892162367215</v>
      </c>
      <c r="W119" s="92">
        <f t="shared" si="14"/>
        <v>7.2095154279925948E-4</v>
      </c>
      <c r="X119" s="268">
        <f>INDEX(POBLACION!$C$4:$W$128,MATCH(A119,POBLACION!$A$4:$A$128,0),MATCH($W$2,POBLACION!$C$3:$W$3,0))</f>
        <v>8681</v>
      </c>
      <c r="Y119" s="258">
        <f t="shared" si="15"/>
        <v>11582.497791765576</v>
      </c>
      <c r="Z119" s="270">
        <f t="shared" si="16"/>
        <v>12753.014816688419</v>
      </c>
      <c r="AA119" s="273">
        <f t="shared" si="17"/>
        <v>4.0638022260757873</v>
      </c>
      <c r="AB119" s="273">
        <f t="shared" si="18"/>
        <v>4.105612864258438</v>
      </c>
      <c r="AG119" s="281"/>
      <c r="AH119" s="282"/>
      <c r="AI119" s="282"/>
    </row>
    <row r="120" spans="1:35" x14ac:dyDescent="0.2">
      <c r="A120" s="35" t="s">
        <v>349</v>
      </c>
      <c r="B120" s="32" t="s">
        <v>317</v>
      </c>
      <c r="C120" s="33" t="s">
        <v>320</v>
      </c>
      <c r="D120" s="32" t="s">
        <v>350</v>
      </c>
      <c r="E120" s="51">
        <f>SUMIFS('PIB-Mpal 2015-2022 Corrient '!H$5:H$1012,'PIB-Mpal 2015-2022 Corrient '!$A$5:$A$1012,$W$2,'PIB-Mpal 2015-2022 Corrient '!$E$5:$E$1012,$A120)</f>
        <v>94.060488859105632</v>
      </c>
      <c r="F120" s="51">
        <f>SUMIFS('PIB-Mpal 2015-2022 Corrient '!I$5:I$1012,'PIB-Mpal 2015-2022 Corrient '!$A$5:$A$1012,$W$2,'PIB-Mpal 2015-2022 Corrient '!$E$5:$E$1012,$A120)</f>
        <v>0</v>
      </c>
      <c r="G120" s="51">
        <f>SUMIFS('PIB-Mpal 2015-2022 Corrient '!K$5:K$1012,'PIB-Mpal 2015-2022 Corrient '!$A$5:$A$1012,$W$2,'PIB-Mpal 2015-2022 Corrient '!$E$5:$E$1012,$A120)</f>
        <v>7.7210827900253376</v>
      </c>
      <c r="H120" s="51">
        <f>SUMIFS('PIB-Mpal 2015-2022 Corrient '!L$5:L$1012,'PIB-Mpal 2015-2022 Corrient '!$A$5:$A$1012,$W$2,'PIB-Mpal 2015-2022 Corrient '!$E$5:$E$1012,$A120)</f>
        <v>13.359104203107172</v>
      </c>
      <c r="I120" s="51">
        <f>SUMIFS('PIB-Mpal 2015-2022 Corrient '!N$5:N$1012,'PIB-Mpal 2015-2022 Corrient '!$A$5:$A$1012,$W$2,'PIB-Mpal 2015-2022 Corrient '!$E$5:$E$1012,$A120)</f>
        <v>20.670638971586317</v>
      </c>
      <c r="J120" s="51">
        <f>SUMIFS('PIB-Mpal 2015-2022 Corrient '!O$5:O$1012,'PIB-Mpal 2015-2022 Corrient '!$A$5:$A$1012,$W$2,'PIB-Mpal 2015-2022 Corrient '!$E$5:$E$1012,$A120)</f>
        <v>34.275996246726535</v>
      </c>
      <c r="K120" s="51">
        <f>SUMIFS('PIB-Mpal 2015-2022 Corrient '!P$5:P$1012,'PIB-Mpal 2015-2022 Corrient '!$A$5:$A$1012,$W$2,'PIB-Mpal 2015-2022 Corrient '!$E$5:$E$1012,$A120)</f>
        <v>5.788681776451952</v>
      </c>
      <c r="L120" s="51">
        <f>SUMIFS('PIB-Mpal 2015-2022 Corrient '!Q$5:Q$1012,'PIB-Mpal 2015-2022 Corrient '!$A$5:$A$1012,$W$2,'PIB-Mpal 2015-2022 Corrient '!$E$5:$E$1012,$A120)</f>
        <v>4.4306599315709283</v>
      </c>
      <c r="M120" s="51">
        <f>SUMIFS('PIB-Mpal 2015-2022 Corrient '!R$5:R$1012,'PIB-Mpal 2015-2022 Corrient '!$A$5:$A$1012,$W$2,'PIB-Mpal 2015-2022 Corrient '!$E$5:$E$1012,$A120)</f>
        <v>11.661068669525205</v>
      </c>
      <c r="N120" s="51">
        <f>SUMIFS('PIB-Mpal 2015-2022 Corrient '!S$5:S$1012,'PIB-Mpal 2015-2022 Corrient '!$A$5:$A$1012,$W$2,'PIB-Mpal 2015-2022 Corrient '!$E$5:$E$1012,$A120)</f>
        <v>19.266991018642518</v>
      </c>
      <c r="O120" s="51">
        <f>SUMIFS('PIB-Mpal 2015-2022 Corrient '!T$5:T$1012,'PIB-Mpal 2015-2022 Corrient '!$A$5:$A$1012,$W$2,'PIB-Mpal 2015-2022 Corrient '!$E$5:$E$1012,$A120)</f>
        <v>35.664822904570542</v>
      </c>
      <c r="P120" s="150">
        <f>SUMIFS('PIB-Mpal 2015-2022 Corrient '!U$5:U$1012,'PIB-Mpal 2015-2022 Corrient '!$A$5:$A$1012,$W$2,'PIB-Mpal 2015-2022 Corrient '!$E$5:$E$1012,$A120)</f>
        <v>6.5358892392185872</v>
      </c>
      <c r="Q120" s="156">
        <f>SUMIFS('PIB-Mpal 2015-2022 Corrient '!J$5:J$1012,'PIB-Mpal 2015-2022 Corrient '!$A$5:$A$1012,$W$2,'PIB-Mpal 2015-2022 Corrient '!$E$5:$E$1012,$A120)</f>
        <v>94.060488859105632</v>
      </c>
      <c r="R120" s="52">
        <f>SUMIFS('PIB-Mpal 2015-2022 Corrient '!M$5:M$1012,'PIB-Mpal 2015-2022 Corrient '!$A$5:$A$1012,$W$2,'PIB-Mpal 2015-2022 Corrient '!$E$5:$E$1012,$A120)</f>
        <v>21.080186993132511</v>
      </c>
      <c r="S120" s="53">
        <f>SUMIFS('PIB-Mpal 2015-2022 Corrient '!V$5:V$1012,'PIB-Mpal 2015-2022 Corrient '!$A$5:$A$1012,$W$2,'PIB-Mpal 2015-2022 Corrient '!$E$5:$E$1012,$A120)</f>
        <v>138.2947487582926</v>
      </c>
      <c r="T120" s="207">
        <f>SUMIFS('PIB-Mpal 2015-2022 Corrient '!W$5:W$1012,'PIB-Mpal 2015-2022 Corrient '!$A$5:$A$1012,$W$2,'PIB-Mpal 2015-2022 Corrient '!$E$5:$E$1012,$A120)</f>
        <v>253.43542461053073</v>
      </c>
      <c r="U120" s="203">
        <f>SUMIFS('PIB-Mpal 2015-2022 Corrient '!X$5:X$1012,'PIB-Mpal 2015-2022 Corrient '!$A$5:$A$1012,$W$2,'PIB-Mpal 2015-2022 Corrient '!$E$5:$E$1012,$A120)</f>
        <v>25.611960784147545</v>
      </c>
      <c r="V120" s="88">
        <f>SUMIFS('PIB-Mpal 2015-2022 Corrient '!Y$5:Y$1012,'PIB-Mpal 2015-2022 Corrient '!$A$5:$A$1012,$W$2,'PIB-Mpal 2015-2022 Corrient '!$E$5:$E$1012,$A120)</f>
        <v>279.04738539467826</v>
      </c>
      <c r="W120" s="92">
        <f t="shared" si="14"/>
        <v>1.8171944958352473E-3</v>
      </c>
      <c r="X120" s="268">
        <f>INDEX(POBLACION!$C$4:$W$128,MATCH(A120,POBLACION!$A$4:$A$128,0),MATCH($W$2,POBLACION!$C$3:$W$3,0))</f>
        <v>18218</v>
      </c>
      <c r="Y120" s="258">
        <f t="shared" si="15"/>
        <v>13911.264936355841</v>
      </c>
      <c r="Z120" s="270">
        <f t="shared" si="16"/>
        <v>15317.125117723035</v>
      </c>
      <c r="AA120" s="273">
        <f t="shared" si="17"/>
        <v>4.1433666217175977</v>
      </c>
      <c r="AB120" s="273">
        <f t="shared" si="18"/>
        <v>4.1851772599002484</v>
      </c>
      <c r="AG120" s="281"/>
      <c r="AH120" s="282"/>
      <c r="AI120" s="282"/>
    </row>
    <row r="121" spans="1:35" x14ac:dyDescent="0.2">
      <c r="A121" s="35" t="s">
        <v>351</v>
      </c>
      <c r="B121" s="32" t="s">
        <v>317</v>
      </c>
      <c r="C121" s="33" t="s">
        <v>329</v>
      </c>
      <c r="D121" s="32" t="s">
        <v>352</v>
      </c>
      <c r="E121" s="51">
        <f>SUMIFS('PIB-Mpal 2015-2022 Corrient '!H$5:H$1012,'PIB-Mpal 2015-2022 Corrient '!$A$5:$A$1012,$W$2,'PIB-Mpal 2015-2022 Corrient '!$E$5:$E$1012,$A121)</f>
        <v>61.572335627979861</v>
      </c>
      <c r="F121" s="51">
        <f>SUMIFS('PIB-Mpal 2015-2022 Corrient '!I$5:I$1012,'PIB-Mpal 2015-2022 Corrient '!$A$5:$A$1012,$W$2,'PIB-Mpal 2015-2022 Corrient '!$E$5:$E$1012,$A121)</f>
        <v>0</v>
      </c>
      <c r="G121" s="51">
        <f>SUMIFS('PIB-Mpal 2015-2022 Corrient '!K$5:K$1012,'PIB-Mpal 2015-2022 Corrient '!$A$5:$A$1012,$W$2,'PIB-Mpal 2015-2022 Corrient '!$E$5:$E$1012,$A121)</f>
        <v>10.072359324999496</v>
      </c>
      <c r="H121" s="51">
        <f>SUMIFS('PIB-Mpal 2015-2022 Corrient '!L$5:L$1012,'PIB-Mpal 2015-2022 Corrient '!$A$5:$A$1012,$W$2,'PIB-Mpal 2015-2022 Corrient '!$E$5:$E$1012,$A121)</f>
        <v>15.299296350851385</v>
      </c>
      <c r="I121" s="51">
        <f>SUMIFS('PIB-Mpal 2015-2022 Corrient '!N$5:N$1012,'PIB-Mpal 2015-2022 Corrient '!$A$5:$A$1012,$W$2,'PIB-Mpal 2015-2022 Corrient '!$E$5:$E$1012,$A121)</f>
        <v>10.688631558267499</v>
      </c>
      <c r="J121" s="51">
        <f>SUMIFS('PIB-Mpal 2015-2022 Corrient '!O$5:O$1012,'PIB-Mpal 2015-2022 Corrient '!$A$5:$A$1012,$W$2,'PIB-Mpal 2015-2022 Corrient '!$E$5:$E$1012,$A121)</f>
        <v>72.063637205043349</v>
      </c>
      <c r="K121" s="51">
        <f>SUMIFS('PIB-Mpal 2015-2022 Corrient '!P$5:P$1012,'PIB-Mpal 2015-2022 Corrient '!$A$5:$A$1012,$W$2,'PIB-Mpal 2015-2022 Corrient '!$E$5:$E$1012,$A121)</f>
        <v>10.578505707741911</v>
      </c>
      <c r="L121" s="51">
        <f>SUMIFS('PIB-Mpal 2015-2022 Corrient '!Q$5:Q$1012,'PIB-Mpal 2015-2022 Corrient '!$A$5:$A$1012,$W$2,'PIB-Mpal 2015-2022 Corrient '!$E$5:$E$1012,$A121)</f>
        <v>7.8650084233147446</v>
      </c>
      <c r="M121" s="51">
        <f>SUMIFS('PIB-Mpal 2015-2022 Corrient '!R$5:R$1012,'PIB-Mpal 2015-2022 Corrient '!$A$5:$A$1012,$W$2,'PIB-Mpal 2015-2022 Corrient '!$E$5:$E$1012,$A121)</f>
        <v>31.686635497652631</v>
      </c>
      <c r="N121" s="51">
        <f>SUMIFS('PIB-Mpal 2015-2022 Corrient '!S$5:S$1012,'PIB-Mpal 2015-2022 Corrient '!$A$5:$A$1012,$W$2,'PIB-Mpal 2015-2022 Corrient '!$E$5:$E$1012,$A121)</f>
        <v>26.053775692330319</v>
      </c>
      <c r="O121" s="51">
        <f>SUMIFS('PIB-Mpal 2015-2022 Corrient '!T$5:T$1012,'PIB-Mpal 2015-2022 Corrient '!$A$5:$A$1012,$W$2,'PIB-Mpal 2015-2022 Corrient '!$E$5:$E$1012,$A121)</f>
        <v>39.143529648574983</v>
      </c>
      <c r="P121" s="150">
        <f>SUMIFS('PIB-Mpal 2015-2022 Corrient '!U$5:U$1012,'PIB-Mpal 2015-2022 Corrient '!$A$5:$A$1012,$W$2,'PIB-Mpal 2015-2022 Corrient '!$E$5:$E$1012,$A121)</f>
        <v>10.356007294774786</v>
      </c>
      <c r="Q121" s="156">
        <f>SUMIFS('PIB-Mpal 2015-2022 Corrient '!J$5:J$1012,'PIB-Mpal 2015-2022 Corrient '!$A$5:$A$1012,$W$2,'PIB-Mpal 2015-2022 Corrient '!$E$5:$E$1012,$A121)</f>
        <v>61.572335627979861</v>
      </c>
      <c r="R121" s="52">
        <f>SUMIFS('PIB-Mpal 2015-2022 Corrient '!M$5:M$1012,'PIB-Mpal 2015-2022 Corrient '!$A$5:$A$1012,$W$2,'PIB-Mpal 2015-2022 Corrient '!$E$5:$E$1012,$A121)</f>
        <v>25.371655675850882</v>
      </c>
      <c r="S121" s="53">
        <f>SUMIFS('PIB-Mpal 2015-2022 Corrient '!V$5:V$1012,'PIB-Mpal 2015-2022 Corrient '!$A$5:$A$1012,$W$2,'PIB-Mpal 2015-2022 Corrient '!$E$5:$E$1012,$A121)</f>
        <v>208.43573102770026</v>
      </c>
      <c r="T121" s="207">
        <f>SUMIFS('PIB-Mpal 2015-2022 Corrient '!W$5:W$1012,'PIB-Mpal 2015-2022 Corrient '!$A$5:$A$1012,$W$2,'PIB-Mpal 2015-2022 Corrient '!$E$5:$E$1012,$A121)</f>
        <v>295.37972233153101</v>
      </c>
      <c r="U121" s="203">
        <f>SUMIFS('PIB-Mpal 2015-2022 Corrient '!X$5:X$1012,'PIB-Mpal 2015-2022 Corrient '!$A$5:$A$1012,$W$2,'PIB-Mpal 2015-2022 Corrient '!$E$5:$E$1012,$A121)</f>
        <v>29.85081456711719</v>
      </c>
      <c r="V121" s="88">
        <f>SUMIFS('PIB-Mpal 2015-2022 Corrient '!Y$5:Y$1012,'PIB-Mpal 2015-2022 Corrient '!$A$5:$A$1012,$W$2,'PIB-Mpal 2015-2022 Corrient '!$E$5:$E$1012,$A121)</f>
        <v>325.23053689864821</v>
      </c>
      <c r="W121" s="92">
        <f t="shared" si="14"/>
        <v>2.1179454546540861E-3</v>
      </c>
      <c r="X121" s="268">
        <f>INDEX(POBLACION!$C$4:$W$128,MATCH(A121,POBLACION!$A$4:$A$128,0),MATCH($W$2,POBLACION!$C$3:$W$3,0))</f>
        <v>26944</v>
      </c>
      <c r="Y121" s="258">
        <f t="shared" si="15"/>
        <v>10962.727224299695</v>
      </c>
      <c r="Z121" s="270">
        <f t="shared" si="16"/>
        <v>12070.610781570969</v>
      </c>
      <c r="AA121" s="273">
        <f t="shared" si="17"/>
        <v>4.0399186080832701</v>
      </c>
      <c r="AB121" s="273">
        <f t="shared" si="18"/>
        <v>4.0817292462659207</v>
      </c>
      <c r="AG121" s="281"/>
      <c r="AH121" s="282"/>
      <c r="AI121" s="282"/>
    </row>
    <row r="122" spans="1:35" x14ac:dyDescent="0.2">
      <c r="A122" s="35" t="s">
        <v>353</v>
      </c>
      <c r="B122" s="32" t="s">
        <v>317</v>
      </c>
      <c r="C122" s="33" t="s">
        <v>329</v>
      </c>
      <c r="D122" s="32" t="s">
        <v>354</v>
      </c>
      <c r="E122" s="51">
        <f>SUMIFS('PIB-Mpal 2015-2022 Corrient '!H$5:H$1012,'PIB-Mpal 2015-2022 Corrient '!$A$5:$A$1012,$W$2,'PIB-Mpal 2015-2022 Corrient '!$E$5:$E$1012,$A122)</f>
        <v>89.505294582913265</v>
      </c>
      <c r="F122" s="51">
        <f>SUMIFS('PIB-Mpal 2015-2022 Corrient '!I$5:I$1012,'PIB-Mpal 2015-2022 Corrient '!$A$5:$A$1012,$W$2,'PIB-Mpal 2015-2022 Corrient '!$E$5:$E$1012,$A122)</f>
        <v>0</v>
      </c>
      <c r="G122" s="51">
        <f>SUMIFS('PIB-Mpal 2015-2022 Corrient '!K$5:K$1012,'PIB-Mpal 2015-2022 Corrient '!$A$5:$A$1012,$W$2,'PIB-Mpal 2015-2022 Corrient '!$E$5:$E$1012,$A122)</f>
        <v>6.7360921732384833</v>
      </c>
      <c r="H122" s="51">
        <f>SUMIFS('PIB-Mpal 2015-2022 Corrient '!L$5:L$1012,'PIB-Mpal 2015-2022 Corrient '!$A$5:$A$1012,$W$2,'PIB-Mpal 2015-2022 Corrient '!$E$5:$E$1012,$A122)</f>
        <v>24.699528521736617</v>
      </c>
      <c r="I122" s="51">
        <f>SUMIFS('PIB-Mpal 2015-2022 Corrient '!N$5:N$1012,'PIB-Mpal 2015-2022 Corrient '!$A$5:$A$1012,$W$2,'PIB-Mpal 2015-2022 Corrient '!$E$5:$E$1012,$A122)</f>
        <v>7.4505986324330564</v>
      </c>
      <c r="J122" s="51">
        <f>SUMIFS('PIB-Mpal 2015-2022 Corrient '!O$5:O$1012,'PIB-Mpal 2015-2022 Corrient '!$A$5:$A$1012,$W$2,'PIB-Mpal 2015-2022 Corrient '!$E$5:$E$1012,$A122)</f>
        <v>33.407933173054687</v>
      </c>
      <c r="K122" s="51">
        <f>SUMIFS('PIB-Mpal 2015-2022 Corrient '!P$5:P$1012,'PIB-Mpal 2015-2022 Corrient '!$A$5:$A$1012,$W$2,'PIB-Mpal 2015-2022 Corrient '!$E$5:$E$1012,$A122)</f>
        <v>6.673499544787008</v>
      </c>
      <c r="L122" s="51">
        <f>SUMIFS('PIB-Mpal 2015-2022 Corrient '!Q$5:Q$1012,'PIB-Mpal 2015-2022 Corrient '!$A$5:$A$1012,$W$2,'PIB-Mpal 2015-2022 Corrient '!$E$5:$E$1012,$A122)</f>
        <v>4.9471022104981248</v>
      </c>
      <c r="M122" s="51">
        <f>SUMIFS('PIB-Mpal 2015-2022 Corrient '!R$5:R$1012,'PIB-Mpal 2015-2022 Corrient '!$A$5:$A$1012,$W$2,'PIB-Mpal 2015-2022 Corrient '!$E$5:$E$1012,$A122)</f>
        <v>15.610625982167981</v>
      </c>
      <c r="N122" s="51">
        <f>SUMIFS('PIB-Mpal 2015-2022 Corrient '!S$5:S$1012,'PIB-Mpal 2015-2022 Corrient '!$A$5:$A$1012,$W$2,'PIB-Mpal 2015-2022 Corrient '!$E$5:$E$1012,$A122)</f>
        <v>18.91473740239778</v>
      </c>
      <c r="O122" s="51">
        <f>SUMIFS('PIB-Mpal 2015-2022 Corrient '!T$5:T$1012,'PIB-Mpal 2015-2022 Corrient '!$A$5:$A$1012,$W$2,'PIB-Mpal 2015-2022 Corrient '!$E$5:$E$1012,$A122)</f>
        <v>32.964082058959335</v>
      </c>
      <c r="P122" s="150">
        <f>SUMIFS('PIB-Mpal 2015-2022 Corrient '!U$5:U$1012,'PIB-Mpal 2015-2022 Corrient '!$A$5:$A$1012,$W$2,'PIB-Mpal 2015-2022 Corrient '!$E$5:$E$1012,$A122)</f>
        <v>6.7353656533678459</v>
      </c>
      <c r="Q122" s="156">
        <f>SUMIFS('PIB-Mpal 2015-2022 Corrient '!J$5:J$1012,'PIB-Mpal 2015-2022 Corrient '!$A$5:$A$1012,$W$2,'PIB-Mpal 2015-2022 Corrient '!$E$5:$E$1012,$A122)</f>
        <v>89.505294582913265</v>
      </c>
      <c r="R122" s="52">
        <f>SUMIFS('PIB-Mpal 2015-2022 Corrient '!M$5:M$1012,'PIB-Mpal 2015-2022 Corrient '!$A$5:$A$1012,$W$2,'PIB-Mpal 2015-2022 Corrient '!$E$5:$E$1012,$A122)</f>
        <v>31.4356206949751</v>
      </c>
      <c r="S122" s="53">
        <f>SUMIFS('PIB-Mpal 2015-2022 Corrient '!V$5:V$1012,'PIB-Mpal 2015-2022 Corrient '!$A$5:$A$1012,$W$2,'PIB-Mpal 2015-2022 Corrient '!$E$5:$E$1012,$A122)</f>
        <v>126.70394465766582</v>
      </c>
      <c r="T122" s="207">
        <f>SUMIFS('PIB-Mpal 2015-2022 Corrient '!W$5:W$1012,'PIB-Mpal 2015-2022 Corrient '!$A$5:$A$1012,$W$2,'PIB-Mpal 2015-2022 Corrient '!$E$5:$E$1012,$A122)</f>
        <v>247.64485993555417</v>
      </c>
      <c r="U122" s="203">
        <f>SUMIFS('PIB-Mpal 2015-2022 Corrient '!X$5:X$1012,'PIB-Mpal 2015-2022 Corrient '!$A$5:$A$1012,$W$2,'PIB-Mpal 2015-2022 Corrient '!$E$5:$E$1012,$A122)</f>
        <v>25.026771418448241</v>
      </c>
      <c r="V122" s="88">
        <f>SUMIFS('PIB-Mpal 2015-2022 Corrient '!Y$5:Y$1012,'PIB-Mpal 2015-2022 Corrient '!$A$5:$A$1012,$W$2,'PIB-Mpal 2015-2022 Corrient '!$E$5:$E$1012,$A122)</f>
        <v>272.67163135400239</v>
      </c>
      <c r="W122" s="92">
        <f t="shared" si="14"/>
        <v>1.7756747190664072E-3</v>
      </c>
      <c r="X122" s="268">
        <f>INDEX(POBLACION!$C$4:$W$128,MATCH(A122,POBLACION!$A$4:$A$128,0),MATCH($W$2,POBLACION!$C$3:$W$3,0))</f>
        <v>16193</v>
      </c>
      <c r="Y122" s="258">
        <f t="shared" si="15"/>
        <v>15293.327977246599</v>
      </c>
      <c r="Z122" s="270">
        <f t="shared" si="16"/>
        <v>16838.858232199244</v>
      </c>
      <c r="AA122" s="273">
        <f t="shared" si="17"/>
        <v>4.1845020024093502</v>
      </c>
      <c r="AB122" s="273">
        <f t="shared" si="18"/>
        <v>4.2263126405920008</v>
      </c>
      <c r="AG122" s="281"/>
      <c r="AH122" s="282"/>
      <c r="AI122" s="282"/>
    </row>
    <row r="123" spans="1:35" x14ac:dyDescent="0.2">
      <c r="A123" s="35" t="s">
        <v>355</v>
      </c>
      <c r="B123" s="32" t="s">
        <v>317</v>
      </c>
      <c r="C123" s="33" t="s">
        <v>329</v>
      </c>
      <c r="D123" s="32" t="s">
        <v>356</v>
      </c>
      <c r="E123" s="51">
        <f>SUMIFS('PIB-Mpal 2015-2022 Corrient '!H$5:H$1012,'PIB-Mpal 2015-2022 Corrient '!$A$5:$A$1012,$W$2,'PIB-Mpal 2015-2022 Corrient '!$E$5:$E$1012,$A123)</f>
        <v>48.580212838287444</v>
      </c>
      <c r="F123" s="51">
        <f>SUMIFS('PIB-Mpal 2015-2022 Corrient '!I$5:I$1012,'PIB-Mpal 2015-2022 Corrient '!$A$5:$A$1012,$W$2,'PIB-Mpal 2015-2022 Corrient '!$E$5:$E$1012,$A123)</f>
        <v>0</v>
      </c>
      <c r="G123" s="51">
        <f>SUMIFS('PIB-Mpal 2015-2022 Corrient '!K$5:K$1012,'PIB-Mpal 2015-2022 Corrient '!$A$5:$A$1012,$W$2,'PIB-Mpal 2015-2022 Corrient '!$E$5:$E$1012,$A123)</f>
        <v>5.3645538197205598</v>
      </c>
      <c r="H123" s="51">
        <f>SUMIFS('PIB-Mpal 2015-2022 Corrient '!L$5:L$1012,'PIB-Mpal 2015-2022 Corrient '!$A$5:$A$1012,$W$2,'PIB-Mpal 2015-2022 Corrient '!$E$5:$E$1012,$A123)</f>
        <v>4.6560910036805874</v>
      </c>
      <c r="I123" s="51">
        <f>SUMIFS('PIB-Mpal 2015-2022 Corrient '!N$5:N$1012,'PIB-Mpal 2015-2022 Corrient '!$A$5:$A$1012,$W$2,'PIB-Mpal 2015-2022 Corrient '!$E$5:$E$1012,$A123)</f>
        <v>5.3388951725227347</v>
      </c>
      <c r="J123" s="51">
        <f>SUMIFS('PIB-Mpal 2015-2022 Corrient '!O$5:O$1012,'PIB-Mpal 2015-2022 Corrient '!$A$5:$A$1012,$W$2,'PIB-Mpal 2015-2022 Corrient '!$E$5:$E$1012,$A123)</f>
        <v>8.438051560646656</v>
      </c>
      <c r="K123" s="51">
        <f>SUMIFS('PIB-Mpal 2015-2022 Corrient '!P$5:P$1012,'PIB-Mpal 2015-2022 Corrient '!$A$5:$A$1012,$W$2,'PIB-Mpal 2015-2022 Corrient '!$E$5:$E$1012,$A123)</f>
        <v>2.9433659940575527</v>
      </c>
      <c r="L123" s="51">
        <f>SUMIFS('PIB-Mpal 2015-2022 Corrient '!Q$5:Q$1012,'PIB-Mpal 2015-2022 Corrient '!$A$5:$A$1012,$W$2,'PIB-Mpal 2015-2022 Corrient '!$E$5:$E$1012,$A123)</f>
        <v>2.1475161977665511</v>
      </c>
      <c r="M123" s="51">
        <f>SUMIFS('PIB-Mpal 2015-2022 Corrient '!R$5:R$1012,'PIB-Mpal 2015-2022 Corrient '!$A$5:$A$1012,$W$2,'PIB-Mpal 2015-2022 Corrient '!$E$5:$E$1012,$A123)</f>
        <v>7.746498468125786</v>
      </c>
      <c r="N123" s="51">
        <f>SUMIFS('PIB-Mpal 2015-2022 Corrient '!S$5:S$1012,'PIB-Mpal 2015-2022 Corrient '!$A$5:$A$1012,$W$2,'PIB-Mpal 2015-2022 Corrient '!$E$5:$E$1012,$A123)</f>
        <v>10.617067944777347</v>
      </c>
      <c r="O123" s="51">
        <f>SUMIFS('PIB-Mpal 2015-2022 Corrient '!T$5:T$1012,'PIB-Mpal 2015-2022 Corrient '!$A$5:$A$1012,$W$2,'PIB-Mpal 2015-2022 Corrient '!$E$5:$E$1012,$A123)</f>
        <v>22.155436899902767</v>
      </c>
      <c r="P123" s="150">
        <f>SUMIFS('PIB-Mpal 2015-2022 Corrient '!U$5:U$1012,'PIB-Mpal 2015-2022 Corrient '!$A$5:$A$1012,$W$2,'PIB-Mpal 2015-2022 Corrient '!$E$5:$E$1012,$A123)</f>
        <v>2.9268790881717055</v>
      </c>
      <c r="Q123" s="156">
        <f>SUMIFS('PIB-Mpal 2015-2022 Corrient '!J$5:J$1012,'PIB-Mpal 2015-2022 Corrient '!$A$5:$A$1012,$W$2,'PIB-Mpal 2015-2022 Corrient '!$E$5:$E$1012,$A123)</f>
        <v>48.580212838287444</v>
      </c>
      <c r="R123" s="52">
        <f>SUMIFS('PIB-Mpal 2015-2022 Corrient '!M$5:M$1012,'PIB-Mpal 2015-2022 Corrient '!$A$5:$A$1012,$W$2,'PIB-Mpal 2015-2022 Corrient '!$E$5:$E$1012,$A123)</f>
        <v>10.020644823401147</v>
      </c>
      <c r="S123" s="53">
        <f>SUMIFS('PIB-Mpal 2015-2022 Corrient '!V$5:V$1012,'PIB-Mpal 2015-2022 Corrient '!$A$5:$A$1012,$W$2,'PIB-Mpal 2015-2022 Corrient '!$E$5:$E$1012,$A123)</f>
        <v>62.313711325971099</v>
      </c>
      <c r="T123" s="207">
        <f>SUMIFS('PIB-Mpal 2015-2022 Corrient '!W$5:W$1012,'PIB-Mpal 2015-2022 Corrient '!$A$5:$A$1012,$W$2,'PIB-Mpal 2015-2022 Corrient '!$E$5:$E$1012,$A123)</f>
        <v>120.91456898765969</v>
      </c>
      <c r="U123" s="203">
        <f>SUMIFS('PIB-Mpal 2015-2022 Corrient '!X$5:X$1012,'PIB-Mpal 2015-2022 Corrient '!$A$5:$A$1012,$W$2,'PIB-Mpal 2015-2022 Corrient '!$E$5:$E$1012,$A123)</f>
        <v>12.219519839829694</v>
      </c>
      <c r="V123" s="88">
        <f>SUMIFS('PIB-Mpal 2015-2022 Corrient '!Y$5:Y$1012,'PIB-Mpal 2015-2022 Corrient '!$A$5:$A$1012,$W$2,'PIB-Mpal 2015-2022 Corrient '!$E$5:$E$1012,$A123)</f>
        <v>133.13408882748939</v>
      </c>
      <c r="W123" s="92">
        <f t="shared" si="14"/>
        <v>8.6698727917903107E-4</v>
      </c>
      <c r="X123" s="268">
        <f>INDEX(POBLACION!$C$4:$W$128,MATCH(A123,POBLACION!$A$4:$A$128,0),MATCH($W$2,POBLACION!$C$3:$W$3,0))</f>
        <v>6194</v>
      </c>
      <c r="Y123" s="258">
        <f t="shared" si="15"/>
        <v>19521.241360616677</v>
      </c>
      <c r="Z123" s="270">
        <f t="shared" si="16"/>
        <v>21494.040818128738</v>
      </c>
      <c r="AA123" s="273">
        <f t="shared" si="17"/>
        <v>4.2905074311034319</v>
      </c>
      <c r="AB123" s="273">
        <f t="shared" si="18"/>
        <v>4.3323180692860825</v>
      </c>
      <c r="AG123" s="281"/>
      <c r="AH123" s="282"/>
      <c r="AI123" s="282"/>
    </row>
    <row r="124" spans="1:35" x14ac:dyDescent="0.2">
      <c r="A124" s="35" t="s">
        <v>357</v>
      </c>
      <c r="B124" s="32" t="s">
        <v>317</v>
      </c>
      <c r="C124" s="33" t="s">
        <v>225</v>
      </c>
      <c r="D124" s="32" t="s">
        <v>358</v>
      </c>
      <c r="E124" s="51">
        <f>SUMIFS('PIB-Mpal 2015-2022 Corrient '!H$5:H$1012,'PIB-Mpal 2015-2022 Corrient '!$A$5:$A$1012,$W$2,'PIB-Mpal 2015-2022 Corrient '!$E$5:$E$1012,$A124)</f>
        <v>24.227037423305056</v>
      </c>
      <c r="F124" s="51">
        <f>SUMIFS('PIB-Mpal 2015-2022 Corrient '!I$5:I$1012,'PIB-Mpal 2015-2022 Corrient '!$A$5:$A$1012,$W$2,'PIB-Mpal 2015-2022 Corrient '!$E$5:$E$1012,$A124)</f>
        <v>0.76081272856331239</v>
      </c>
      <c r="G124" s="51">
        <f>SUMIFS('PIB-Mpal 2015-2022 Corrient '!K$5:K$1012,'PIB-Mpal 2015-2022 Corrient '!$A$5:$A$1012,$W$2,'PIB-Mpal 2015-2022 Corrient '!$E$5:$E$1012,$A124)</f>
        <v>4.0910805515017632</v>
      </c>
      <c r="H124" s="51">
        <f>SUMIFS('PIB-Mpal 2015-2022 Corrient '!L$5:L$1012,'PIB-Mpal 2015-2022 Corrient '!$A$5:$A$1012,$W$2,'PIB-Mpal 2015-2022 Corrient '!$E$5:$E$1012,$A124)</f>
        <v>5.738049365329676</v>
      </c>
      <c r="I124" s="51">
        <f>SUMIFS('PIB-Mpal 2015-2022 Corrient '!N$5:N$1012,'PIB-Mpal 2015-2022 Corrient '!$A$5:$A$1012,$W$2,'PIB-Mpal 2015-2022 Corrient '!$E$5:$E$1012,$A124)</f>
        <v>5.2653381812525506</v>
      </c>
      <c r="J124" s="51">
        <f>SUMIFS('PIB-Mpal 2015-2022 Corrient '!O$5:O$1012,'PIB-Mpal 2015-2022 Corrient '!$A$5:$A$1012,$W$2,'PIB-Mpal 2015-2022 Corrient '!$E$5:$E$1012,$A124)</f>
        <v>19.390722275853197</v>
      </c>
      <c r="K124" s="51">
        <f>SUMIFS('PIB-Mpal 2015-2022 Corrient '!P$5:P$1012,'PIB-Mpal 2015-2022 Corrient '!$A$5:$A$1012,$W$2,'PIB-Mpal 2015-2022 Corrient '!$E$5:$E$1012,$A124)</f>
        <v>4.1262620106181789</v>
      </c>
      <c r="L124" s="51">
        <f>SUMIFS('PIB-Mpal 2015-2022 Corrient '!Q$5:Q$1012,'PIB-Mpal 2015-2022 Corrient '!$A$5:$A$1012,$W$2,'PIB-Mpal 2015-2022 Corrient '!$E$5:$E$1012,$A124)</f>
        <v>2.086610384403091</v>
      </c>
      <c r="M124" s="51">
        <f>SUMIFS('PIB-Mpal 2015-2022 Corrient '!R$5:R$1012,'PIB-Mpal 2015-2022 Corrient '!$A$5:$A$1012,$W$2,'PIB-Mpal 2015-2022 Corrient '!$E$5:$E$1012,$A124)</f>
        <v>11.245298863633339</v>
      </c>
      <c r="N124" s="51">
        <f>SUMIFS('PIB-Mpal 2015-2022 Corrient '!S$5:S$1012,'PIB-Mpal 2015-2022 Corrient '!$A$5:$A$1012,$W$2,'PIB-Mpal 2015-2022 Corrient '!$E$5:$E$1012,$A124)</f>
        <v>13.06290007317336</v>
      </c>
      <c r="O124" s="51">
        <f>SUMIFS('PIB-Mpal 2015-2022 Corrient '!T$5:T$1012,'PIB-Mpal 2015-2022 Corrient '!$A$5:$A$1012,$W$2,'PIB-Mpal 2015-2022 Corrient '!$E$5:$E$1012,$A124)</f>
        <v>24.706569320269267</v>
      </c>
      <c r="P124" s="150">
        <f>SUMIFS('PIB-Mpal 2015-2022 Corrient '!U$5:U$1012,'PIB-Mpal 2015-2022 Corrient '!$A$5:$A$1012,$W$2,'PIB-Mpal 2015-2022 Corrient '!$E$5:$E$1012,$A124)</f>
        <v>4.966397254839543</v>
      </c>
      <c r="Q124" s="156">
        <f>SUMIFS('PIB-Mpal 2015-2022 Corrient '!J$5:J$1012,'PIB-Mpal 2015-2022 Corrient '!$A$5:$A$1012,$W$2,'PIB-Mpal 2015-2022 Corrient '!$E$5:$E$1012,$A124)</f>
        <v>24.987850151868368</v>
      </c>
      <c r="R124" s="52">
        <f>SUMIFS('PIB-Mpal 2015-2022 Corrient '!M$5:M$1012,'PIB-Mpal 2015-2022 Corrient '!$A$5:$A$1012,$W$2,'PIB-Mpal 2015-2022 Corrient '!$E$5:$E$1012,$A124)</f>
        <v>9.8291299168314392</v>
      </c>
      <c r="S124" s="53">
        <f>SUMIFS('PIB-Mpal 2015-2022 Corrient '!V$5:V$1012,'PIB-Mpal 2015-2022 Corrient '!$A$5:$A$1012,$W$2,'PIB-Mpal 2015-2022 Corrient '!$E$5:$E$1012,$A124)</f>
        <v>84.850098364042523</v>
      </c>
      <c r="T124" s="207">
        <f>SUMIFS('PIB-Mpal 2015-2022 Corrient '!W$5:W$1012,'PIB-Mpal 2015-2022 Corrient '!$A$5:$A$1012,$W$2,'PIB-Mpal 2015-2022 Corrient '!$E$5:$E$1012,$A124)</f>
        <v>119.66707843274233</v>
      </c>
      <c r="U124" s="203">
        <f>SUMIFS('PIB-Mpal 2015-2022 Corrient '!X$5:X$1012,'PIB-Mpal 2015-2022 Corrient '!$A$5:$A$1012,$W$2,'PIB-Mpal 2015-2022 Corrient '!$E$5:$E$1012,$A124)</f>
        <v>12.093449543144697</v>
      </c>
      <c r="V124" s="88">
        <f>SUMIFS('PIB-Mpal 2015-2022 Corrient '!Y$5:Y$1012,'PIB-Mpal 2015-2022 Corrient '!$A$5:$A$1012,$W$2,'PIB-Mpal 2015-2022 Corrient '!$E$5:$E$1012,$A124)</f>
        <v>131.76052797588702</v>
      </c>
      <c r="W124" s="92">
        <f t="shared" si="14"/>
        <v>8.5804246424841895E-4</v>
      </c>
      <c r="X124" s="268">
        <f>INDEX(POBLACION!$C$4:$W$128,MATCH(A124,POBLACION!$A$4:$A$128,0),MATCH($W$2,POBLACION!$C$3:$W$3,0))</f>
        <v>10716</v>
      </c>
      <c r="Y124" s="258">
        <f t="shared" si="15"/>
        <v>11167.140577896822</v>
      </c>
      <c r="Z124" s="270">
        <f t="shared" si="16"/>
        <v>12295.681968634473</v>
      </c>
      <c r="AA124" s="273">
        <f t="shared" si="17"/>
        <v>4.0479419833020973</v>
      </c>
      <c r="AB124" s="273">
        <f t="shared" si="18"/>
        <v>4.0897526214847471</v>
      </c>
      <c r="AG124" s="281"/>
      <c r="AH124" s="282"/>
      <c r="AI124" s="282"/>
    </row>
    <row r="125" spans="1:35" x14ac:dyDescent="0.2">
      <c r="A125" s="35" t="s">
        <v>359</v>
      </c>
      <c r="B125" s="32" t="s">
        <v>317</v>
      </c>
      <c r="C125" s="33" t="s">
        <v>225</v>
      </c>
      <c r="D125" s="32" t="s">
        <v>360</v>
      </c>
      <c r="E125" s="51">
        <f>SUMIFS('PIB-Mpal 2015-2022 Corrient '!H$5:H$1012,'PIB-Mpal 2015-2022 Corrient '!$A$5:$A$1012,$W$2,'PIB-Mpal 2015-2022 Corrient '!$E$5:$E$1012,$A125)</f>
        <v>449.38383875735178</v>
      </c>
      <c r="F125" s="51">
        <f>SUMIFS('PIB-Mpal 2015-2022 Corrient '!I$5:I$1012,'PIB-Mpal 2015-2022 Corrient '!$A$5:$A$1012,$W$2,'PIB-Mpal 2015-2022 Corrient '!$E$5:$E$1012,$A125)</f>
        <v>0</v>
      </c>
      <c r="G125" s="51">
        <f>SUMIFS('PIB-Mpal 2015-2022 Corrient '!K$5:K$1012,'PIB-Mpal 2015-2022 Corrient '!$A$5:$A$1012,$W$2,'PIB-Mpal 2015-2022 Corrient '!$E$5:$E$1012,$A125)</f>
        <v>33.897866087283134</v>
      </c>
      <c r="H125" s="51">
        <f>SUMIFS('PIB-Mpal 2015-2022 Corrient '!L$5:L$1012,'PIB-Mpal 2015-2022 Corrient '!$A$5:$A$1012,$W$2,'PIB-Mpal 2015-2022 Corrient '!$E$5:$E$1012,$A125)</f>
        <v>36.513491799044644</v>
      </c>
      <c r="I125" s="51">
        <f>SUMIFS('PIB-Mpal 2015-2022 Corrient '!N$5:N$1012,'PIB-Mpal 2015-2022 Corrient '!$A$5:$A$1012,$W$2,'PIB-Mpal 2015-2022 Corrient '!$E$5:$E$1012,$A125)</f>
        <v>13.371125581317164</v>
      </c>
      <c r="J125" s="51">
        <f>SUMIFS('PIB-Mpal 2015-2022 Corrient '!O$5:O$1012,'PIB-Mpal 2015-2022 Corrient '!$A$5:$A$1012,$W$2,'PIB-Mpal 2015-2022 Corrient '!$E$5:$E$1012,$A125)</f>
        <v>57.088267178356297</v>
      </c>
      <c r="K125" s="51">
        <f>SUMIFS('PIB-Mpal 2015-2022 Corrient '!P$5:P$1012,'PIB-Mpal 2015-2022 Corrient '!$A$5:$A$1012,$W$2,'PIB-Mpal 2015-2022 Corrient '!$E$5:$E$1012,$A125)</f>
        <v>12.753639497170196</v>
      </c>
      <c r="L125" s="51">
        <f>SUMIFS('PIB-Mpal 2015-2022 Corrient '!Q$5:Q$1012,'PIB-Mpal 2015-2022 Corrient '!$A$5:$A$1012,$W$2,'PIB-Mpal 2015-2022 Corrient '!$E$5:$E$1012,$A125)</f>
        <v>11.473437335411807</v>
      </c>
      <c r="M125" s="51">
        <f>SUMIFS('PIB-Mpal 2015-2022 Corrient '!R$5:R$1012,'PIB-Mpal 2015-2022 Corrient '!$A$5:$A$1012,$W$2,'PIB-Mpal 2015-2022 Corrient '!$E$5:$E$1012,$A125)</f>
        <v>27.094547018055767</v>
      </c>
      <c r="N125" s="51">
        <f>SUMIFS('PIB-Mpal 2015-2022 Corrient '!S$5:S$1012,'PIB-Mpal 2015-2022 Corrient '!$A$5:$A$1012,$W$2,'PIB-Mpal 2015-2022 Corrient '!$E$5:$E$1012,$A125)</f>
        <v>42.207764520884183</v>
      </c>
      <c r="O125" s="51">
        <f>SUMIFS('PIB-Mpal 2015-2022 Corrient '!T$5:T$1012,'PIB-Mpal 2015-2022 Corrient '!$A$5:$A$1012,$W$2,'PIB-Mpal 2015-2022 Corrient '!$E$5:$E$1012,$A125)</f>
        <v>74.347272501482422</v>
      </c>
      <c r="P125" s="150">
        <f>SUMIFS('PIB-Mpal 2015-2022 Corrient '!U$5:U$1012,'PIB-Mpal 2015-2022 Corrient '!$A$5:$A$1012,$W$2,'PIB-Mpal 2015-2022 Corrient '!$E$5:$E$1012,$A125)</f>
        <v>11.000736634926962</v>
      </c>
      <c r="Q125" s="156">
        <f>SUMIFS('PIB-Mpal 2015-2022 Corrient '!J$5:J$1012,'PIB-Mpal 2015-2022 Corrient '!$A$5:$A$1012,$W$2,'PIB-Mpal 2015-2022 Corrient '!$E$5:$E$1012,$A125)</f>
        <v>449.38383875735178</v>
      </c>
      <c r="R125" s="52">
        <f>SUMIFS('PIB-Mpal 2015-2022 Corrient '!M$5:M$1012,'PIB-Mpal 2015-2022 Corrient '!$A$5:$A$1012,$W$2,'PIB-Mpal 2015-2022 Corrient '!$E$5:$E$1012,$A125)</f>
        <v>70.411357886327778</v>
      </c>
      <c r="S125" s="53">
        <f>SUMIFS('PIB-Mpal 2015-2022 Corrient '!V$5:V$1012,'PIB-Mpal 2015-2022 Corrient '!$A$5:$A$1012,$W$2,'PIB-Mpal 2015-2022 Corrient '!$E$5:$E$1012,$A125)</f>
        <v>249.33679026760481</v>
      </c>
      <c r="T125" s="207">
        <f>SUMIFS('PIB-Mpal 2015-2022 Corrient '!W$5:W$1012,'PIB-Mpal 2015-2022 Corrient '!$A$5:$A$1012,$W$2,'PIB-Mpal 2015-2022 Corrient '!$E$5:$E$1012,$A125)</f>
        <v>769.13198691128434</v>
      </c>
      <c r="U125" s="203">
        <f>SUMIFS('PIB-Mpal 2015-2022 Corrient '!X$5:X$1012,'PIB-Mpal 2015-2022 Corrient '!$A$5:$A$1012,$W$2,'PIB-Mpal 2015-2022 Corrient '!$E$5:$E$1012,$A125)</f>
        <v>77.727801142550945</v>
      </c>
      <c r="V125" s="88">
        <f>SUMIFS('PIB-Mpal 2015-2022 Corrient '!Y$5:Y$1012,'PIB-Mpal 2015-2022 Corrient '!$A$5:$A$1012,$W$2,'PIB-Mpal 2015-2022 Corrient '!$E$5:$E$1012,$A125)</f>
        <v>846.85978805383525</v>
      </c>
      <c r="W125" s="92">
        <f t="shared" si="14"/>
        <v>5.5148660268543133E-3</v>
      </c>
      <c r="X125" s="268">
        <f>INDEX(POBLACION!$C$4:$W$128,MATCH(A125,POBLACION!$A$4:$A$128,0),MATCH($W$2,POBLACION!$C$3:$W$3,0))</f>
        <v>30484</v>
      </c>
      <c r="Y125" s="258">
        <f t="shared" si="15"/>
        <v>25230.677959299446</v>
      </c>
      <c r="Z125" s="270">
        <f t="shared" si="16"/>
        <v>27780.468050578511</v>
      </c>
      <c r="AA125" s="273">
        <f t="shared" si="17"/>
        <v>4.4019289203561351</v>
      </c>
      <c r="AB125" s="273">
        <f t="shared" si="18"/>
        <v>4.4437395585387858</v>
      </c>
      <c r="AG125" s="281"/>
      <c r="AH125" s="282"/>
      <c r="AI125" s="282"/>
    </row>
    <row r="126" spans="1:35" x14ac:dyDescent="0.2">
      <c r="A126" s="35" t="s">
        <v>361</v>
      </c>
      <c r="B126" s="32" t="s">
        <v>317</v>
      </c>
      <c r="C126" s="33" t="s">
        <v>329</v>
      </c>
      <c r="D126" s="32" t="s">
        <v>362</v>
      </c>
      <c r="E126" s="51">
        <f>SUMIFS('PIB-Mpal 2015-2022 Corrient '!H$5:H$1012,'PIB-Mpal 2015-2022 Corrient '!$A$5:$A$1012,$W$2,'PIB-Mpal 2015-2022 Corrient '!$E$5:$E$1012,$A126)</f>
        <v>119.78876305415297</v>
      </c>
      <c r="F126" s="51">
        <f>SUMIFS('PIB-Mpal 2015-2022 Corrient '!I$5:I$1012,'PIB-Mpal 2015-2022 Corrient '!$A$5:$A$1012,$W$2,'PIB-Mpal 2015-2022 Corrient '!$E$5:$E$1012,$A126)</f>
        <v>4.202188734366473</v>
      </c>
      <c r="G126" s="51">
        <f>SUMIFS('PIB-Mpal 2015-2022 Corrient '!K$5:K$1012,'PIB-Mpal 2015-2022 Corrient '!$A$5:$A$1012,$W$2,'PIB-Mpal 2015-2022 Corrient '!$E$5:$E$1012,$A126)</f>
        <v>1.3617377197532516</v>
      </c>
      <c r="H126" s="51">
        <f>SUMIFS('PIB-Mpal 2015-2022 Corrient '!L$5:L$1012,'PIB-Mpal 2015-2022 Corrient '!$A$5:$A$1012,$W$2,'PIB-Mpal 2015-2022 Corrient '!$E$5:$E$1012,$A126)</f>
        <v>15.232970889359018</v>
      </c>
      <c r="I126" s="51">
        <f>SUMIFS('PIB-Mpal 2015-2022 Corrient '!N$5:N$1012,'PIB-Mpal 2015-2022 Corrient '!$A$5:$A$1012,$W$2,'PIB-Mpal 2015-2022 Corrient '!$E$5:$E$1012,$A126)</f>
        <v>2.8614900927730869</v>
      </c>
      <c r="J126" s="51">
        <f>SUMIFS('PIB-Mpal 2015-2022 Corrient '!O$5:O$1012,'PIB-Mpal 2015-2022 Corrient '!$A$5:$A$1012,$W$2,'PIB-Mpal 2015-2022 Corrient '!$E$5:$E$1012,$A126)</f>
        <v>12.490659624067691</v>
      </c>
      <c r="K126" s="51">
        <f>SUMIFS('PIB-Mpal 2015-2022 Corrient '!P$5:P$1012,'PIB-Mpal 2015-2022 Corrient '!$A$5:$A$1012,$W$2,'PIB-Mpal 2015-2022 Corrient '!$E$5:$E$1012,$A126)</f>
        <v>3.1329280518475349</v>
      </c>
      <c r="L126" s="51">
        <f>SUMIFS('PIB-Mpal 2015-2022 Corrient '!Q$5:Q$1012,'PIB-Mpal 2015-2022 Corrient '!$A$5:$A$1012,$W$2,'PIB-Mpal 2015-2022 Corrient '!$E$5:$E$1012,$A126)</f>
        <v>1.6946814353149917</v>
      </c>
      <c r="M126" s="51">
        <f>SUMIFS('PIB-Mpal 2015-2022 Corrient '!R$5:R$1012,'PIB-Mpal 2015-2022 Corrient '!$A$5:$A$1012,$W$2,'PIB-Mpal 2015-2022 Corrient '!$E$5:$E$1012,$A126)</f>
        <v>9.2951279905984965</v>
      </c>
      <c r="N126" s="51">
        <f>SUMIFS('PIB-Mpal 2015-2022 Corrient '!S$5:S$1012,'PIB-Mpal 2015-2022 Corrient '!$A$5:$A$1012,$W$2,'PIB-Mpal 2015-2022 Corrient '!$E$5:$E$1012,$A126)</f>
        <v>10.723156408227865</v>
      </c>
      <c r="O126" s="51">
        <f>SUMIFS('PIB-Mpal 2015-2022 Corrient '!T$5:T$1012,'PIB-Mpal 2015-2022 Corrient '!$A$5:$A$1012,$W$2,'PIB-Mpal 2015-2022 Corrient '!$E$5:$E$1012,$A126)</f>
        <v>17.637122753754593</v>
      </c>
      <c r="P126" s="150">
        <f>SUMIFS('PIB-Mpal 2015-2022 Corrient '!U$5:U$1012,'PIB-Mpal 2015-2022 Corrient '!$A$5:$A$1012,$W$2,'PIB-Mpal 2015-2022 Corrient '!$E$5:$E$1012,$A126)</f>
        <v>3.4765337057435448</v>
      </c>
      <c r="Q126" s="156">
        <f>SUMIFS('PIB-Mpal 2015-2022 Corrient '!J$5:J$1012,'PIB-Mpal 2015-2022 Corrient '!$A$5:$A$1012,$W$2,'PIB-Mpal 2015-2022 Corrient '!$E$5:$E$1012,$A126)</f>
        <v>123.99095178851944</v>
      </c>
      <c r="R126" s="52">
        <f>SUMIFS('PIB-Mpal 2015-2022 Corrient '!M$5:M$1012,'PIB-Mpal 2015-2022 Corrient '!$A$5:$A$1012,$W$2,'PIB-Mpal 2015-2022 Corrient '!$E$5:$E$1012,$A126)</f>
        <v>16.594708609112271</v>
      </c>
      <c r="S126" s="53">
        <f>SUMIFS('PIB-Mpal 2015-2022 Corrient '!V$5:V$1012,'PIB-Mpal 2015-2022 Corrient '!$A$5:$A$1012,$W$2,'PIB-Mpal 2015-2022 Corrient '!$E$5:$E$1012,$A126)</f>
        <v>61.311700062327795</v>
      </c>
      <c r="T126" s="207">
        <f>SUMIFS('PIB-Mpal 2015-2022 Corrient '!W$5:W$1012,'PIB-Mpal 2015-2022 Corrient '!$A$5:$A$1012,$W$2,'PIB-Mpal 2015-2022 Corrient '!$E$5:$E$1012,$A126)</f>
        <v>201.89736045995949</v>
      </c>
      <c r="U126" s="203">
        <f>SUMIFS('PIB-Mpal 2015-2022 Corrient '!X$5:X$1012,'PIB-Mpal 2015-2022 Corrient '!$A$5:$A$1012,$W$2,'PIB-Mpal 2015-2022 Corrient '!$E$5:$E$1012,$A126)</f>
        <v>20.403569416035452</v>
      </c>
      <c r="V126" s="88">
        <f>SUMIFS('PIB-Mpal 2015-2022 Corrient '!Y$5:Y$1012,'PIB-Mpal 2015-2022 Corrient '!$A$5:$A$1012,$W$2,'PIB-Mpal 2015-2022 Corrient '!$E$5:$E$1012,$A126)</f>
        <v>222.30092987599494</v>
      </c>
      <c r="W126" s="92">
        <f t="shared" si="14"/>
        <v>1.4476538657345159E-3</v>
      </c>
      <c r="X126" s="268">
        <f>INDEX(POBLACION!$C$4:$W$128,MATCH(A126,POBLACION!$A$4:$A$128,0),MATCH($W$2,POBLACION!$C$3:$W$3,0))</f>
        <v>6462</v>
      </c>
      <c r="Y126" s="258">
        <f t="shared" si="15"/>
        <v>31243.788372014777</v>
      </c>
      <c r="Z126" s="270">
        <f t="shared" si="16"/>
        <v>34401.258105229797</v>
      </c>
      <c r="AA126" s="273">
        <f t="shared" si="17"/>
        <v>4.4947636874751504</v>
      </c>
      <c r="AB126" s="273">
        <f t="shared" si="18"/>
        <v>4.5365743256578011</v>
      </c>
      <c r="AG126" s="281"/>
      <c r="AH126" s="282"/>
      <c r="AI126" s="282"/>
    </row>
    <row r="127" spans="1:35" ht="16" thickBot="1" x14ac:dyDescent="0.25">
      <c r="A127" s="120" t="s">
        <v>363</v>
      </c>
      <c r="B127" s="63" t="s">
        <v>317</v>
      </c>
      <c r="C127" s="62" t="s">
        <v>329</v>
      </c>
      <c r="D127" s="63" t="s">
        <v>364</v>
      </c>
      <c r="E127" s="51">
        <f>SUMIFS('PIB-Mpal 2015-2022 Corrient '!H$5:H$1012,'PIB-Mpal 2015-2022 Corrient '!$A$5:$A$1012,$W$2,'PIB-Mpal 2015-2022 Corrient '!$E$5:$E$1012,$A127)</f>
        <v>42.424453129002217</v>
      </c>
      <c r="F127" s="51">
        <f>SUMIFS('PIB-Mpal 2015-2022 Corrient '!I$5:I$1012,'PIB-Mpal 2015-2022 Corrient '!$A$5:$A$1012,$W$2,'PIB-Mpal 2015-2022 Corrient '!$E$5:$E$1012,$A127)</f>
        <v>0.68086329846793348</v>
      </c>
      <c r="G127" s="51">
        <f>SUMIFS('PIB-Mpal 2015-2022 Corrient '!K$5:K$1012,'PIB-Mpal 2015-2022 Corrient '!$A$5:$A$1012,$W$2,'PIB-Mpal 2015-2022 Corrient '!$E$5:$E$1012,$A127)</f>
        <v>5.6601517276875724</v>
      </c>
      <c r="H127" s="51">
        <f>SUMIFS('PIB-Mpal 2015-2022 Corrient '!L$5:L$1012,'PIB-Mpal 2015-2022 Corrient '!$A$5:$A$1012,$W$2,'PIB-Mpal 2015-2022 Corrient '!$E$5:$E$1012,$A127)</f>
        <v>12.135690271841472</v>
      </c>
      <c r="I127" s="51">
        <f>SUMIFS('PIB-Mpal 2015-2022 Corrient '!N$5:N$1012,'PIB-Mpal 2015-2022 Corrient '!$A$5:$A$1012,$W$2,'PIB-Mpal 2015-2022 Corrient '!$E$5:$E$1012,$A127)</f>
        <v>7.3963048001778713</v>
      </c>
      <c r="J127" s="51">
        <f>SUMIFS('PIB-Mpal 2015-2022 Corrient '!O$5:O$1012,'PIB-Mpal 2015-2022 Corrient '!$A$5:$A$1012,$W$2,'PIB-Mpal 2015-2022 Corrient '!$E$5:$E$1012,$A127)</f>
        <v>33.862306940719712</v>
      </c>
      <c r="K127" s="51">
        <f>SUMIFS('PIB-Mpal 2015-2022 Corrient '!P$5:P$1012,'PIB-Mpal 2015-2022 Corrient '!$A$5:$A$1012,$W$2,'PIB-Mpal 2015-2022 Corrient '!$E$5:$E$1012,$A127)</f>
        <v>5.8782861051156816</v>
      </c>
      <c r="L127" s="51">
        <f>SUMIFS('PIB-Mpal 2015-2022 Corrient '!Q$5:Q$1012,'PIB-Mpal 2015-2022 Corrient '!$A$5:$A$1012,$W$2,'PIB-Mpal 2015-2022 Corrient '!$E$5:$E$1012,$A127)</f>
        <v>2.9720593688005739</v>
      </c>
      <c r="M127" s="51">
        <f>SUMIFS('PIB-Mpal 2015-2022 Corrient '!R$5:R$1012,'PIB-Mpal 2015-2022 Corrient '!$A$5:$A$1012,$W$2,'PIB-Mpal 2015-2022 Corrient '!$E$5:$E$1012,$A127)</f>
        <v>15.468233530343905</v>
      </c>
      <c r="N127" s="51">
        <f>SUMIFS('PIB-Mpal 2015-2022 Corrient '!S$5:S$1012,'PIB-Mpal 2015-2022 Corrient '!$A$5:$A$1012,$W$2,'PIB-Mpal 2015-2022 Corrient '!$E$5:$E$1012,$A127)</f>
        <v>19.672820831616704</v>
      </c>
      <c r="O127" s="51">
        <f>SUMIFS('PIB-Mpal 2015-2022 Corrient '!T$5:T$1012,'PIB-Mpal 2015-2022 Corrient '!$A$5:$A$1012,$W$2,'PIB-Mpal 2015-2022 Corrient '!$E$5:$E$1012,$A127)</f>
        <v>35.843467389367881</v>
      </c>
      <c r="P127" s="150">
        <f>SUMIFS('PIB-Mpal 2015-2022 Corrient '!U$5:U$1012,'PIB-Mpal 2015-2022 Corrient '!$A$5:$A$1012,$W$2,'PIB-Mpal 2015-2022 Corrient '!$E$5:$E$1012,$A127)</f>
        <v>6.1813618222584701</v>
      </c>
      <c r="Q127" s="156">
        <f>SUMIFS('PIB-Mpal 2015-2022 Corrient '!J$5:J$1012,'PIB-Mpal 2015-2022 Corrient '!$A$5:$A$1012,$W$2,'PIB-Mpal 2015-2022 Corrient '!$E$5:$E$1012,$A127)</f>
        <v>43.10531642747015</v>
      </c>
      <c r="R127" s="52">
        <f>SUMIFS('PIB-Mpal 2015-2022 Corrient '!M$5:M$1012,'PIB-Mpal 2015-2022 Corrient '!$A$5:$A$1012,$W$2,'PIB-Mpal 2015-2022 Corrient '!$E$5:$E$1012,$A127)</f>
        <v>17.795841999529046</v>
      </c>
      <c r="S127" s="53">
        <f>SUMIFS('PIB-Mpal 2015-2022 Corrient '!V$5:V$1012,'PIB-Mpal 2015-2022 Corrient '!$A$5:$A$1012,$W$2,'PIB-Mpal 2015-2022 Corrient '!$E$5:$E$1012,$A127)</f>
        <v>127.27484078840079</v>
      </c>
      <c r="T127" s="207">
        <f>SUMIFS('PIB-Mpal 2015-2022 Corrient '!W$5:W$1012,'PIB-Mpal 2015-2022 Corrient '!$A$5:$A$1012,$W$2,'PIB-Mpal 2015-2022 Corrient '!$E$5:$E$1012,$A127)</f>
        <v>188.1759992154</v>
      </c>
      <c r="U127" s="203">
        <f>SUMIFS('PIB-Mpal 2015-2022 Corrient '!X$5:X$1012,'PIB-Mpal 2015-2022 Corrient '!$A$5:$A$1012,$W$2,'PIB-Mpal 2015-2022 Corrient '!$E$5:$E$1012,$A127)</f>
        <v>19.016900734493223</v>
      </c>
      <c r="V127" s="88">
        <f>SUMIFS('PIB-Mpal 2015-2022 Corrient '!Y$5:Y$1012,'PIB-Mpal 2015-2022 Corrient '!$A$5:$A$1012,$W$2,'PIB-Mpal 2015-2022 Corrient '!$E$5:$E$1012,$A127)</f>
        <v>207.19289994989322</v>
      </c>
      <c r="W127" s="98">
        <f t="shared" si="14"/>
        <v>1.3492683216958373E-3</v>
      </c>
      <c r="X127" s="268">
        <f>INDEX(POBLACION!$C$4:$W$128,MATCH(A127,POBLACION!$A$4:$A$128,0),MATCH($W$2,POBLACION!$C$3:$W$3,0))</f>
        <v>11636</v>
      </c>
      <c r="Y127" s="258">
        <f t="shared" si="15"/>
        <v>16171.880303832932</v>
      </c>
      <c r="Z127" s="270">
        <f t="shared" si="16"/>
        <v>17806.196283077792</v>
      </c>
      <c r="AA127" s="273">
        <f t="shared" si="17"/>
        <v>4.208760518243059</v>
      </c>
      <c r="AB127" s="273">
        <f t="shared" si="18"/>
        <v>4.2505711564257096</v>
      </c>
      <c r="AG127" s="281"/>
      <c r="AH127" s="282"/>
      <c r="AI127" s="282"/>
    </row>
    <row r="128" spans="1:35" ht="16" thickBot="1" x14ac:dyDescent="0.25">
      <c r="A128" s="122" t="s">
        <v>365</v>
      </c>
      <c r="B128" s="112" t="s">
        <v>366</v>
      </c>
      <c r="C128" s="117"/>
      <c r="D128" s="112"/>
      <c r="E128" s="113">
        <f>SUM(E129:E139)</f>
        <v>2667.578489721931</v>
      </c>
      <c r="F128" s="113">
        <f t="shared" ref="F128:X128" si="21">SUM(F129:F139)</f>
        <v>51.300447629044697</v>
      </c>
      <c r="G128" s="113">
        <f t="shared" si="21"/>
        <v>211.2890574734634</v>
      </c>
      <c r="H128" s="113">
        <f t="shared" si="21"/>
        <v>566.29559144289522</v>
      </c>
      <c r="I128" s="113">
        <f t="shared" si="21"/>
        <v>287.88651225164364</v>
      </c>
      <c r="J128" s="113">
        <f t="shared" si="21"/>
        <v>1573.0906365236747</v>
      </c>
      <c r="K128" s="113">
        <f t="shared" si="21"/>
        <v>239.10177851916893</v>
      </c>
      <c r="L128" s="113">
        <f t="shared" si="21"/>
        <v>203.5201349643435</v>
      </c>
      <c r="M128" s="113">
        <f t="shared" si="21"/>
        <v>431.72941296204868</v>
      </c>
      <c r="N128" s="113">
        <f t="shared" si="21"/>
        <v>695.06715081267964</v>
      </c>
      <c r="O128" s="113">
        <f t="shared" si="21"/>
        <v>1356.9113659317936</v>
      </c>
      <c r="P128" s="123">
        <f t="shared" si="21"/>
        <v>180.11414171852402</v>
      </c>
      <c r="Q128" s="193">
        <f t="shared" si="21"/>
        <v>2718.8789373509753</v>
      </c>
      <c r="R128" s="113">
        <f t="shared" si="21"/>
        <v>777.58464891635867</v>
      </c>
      <c r="S128" s="114">
        <f t="shared" si="21"/>
        <v>4967.4211336838771</v>
      </c>
      <c r="T128" s="208">
        <f t="shared" si="21"/>
        <v>8463.8847199512111</v>
      </c>
      <c r="U128" s="186">
        <f t="shared" si="21"/>
        <v>855.35273477285045</v>
      </c>
      <c r="V128" s="123">
        <f t="shared" si="21"/>
        <v>9319.2374547240615</v>
      </c>
      <c r="W128" s="115">
        <f t="shared" si="14"/>
        <v>6.0688140776355794E-2</v>
      </c>
      <c r="X128" s="208">
        <f t="shared" si="21"/>
        <v>514423</v>
      </c>
      <c r="Y128" s="258">
        <f t="shared" si="15"/>
        <v>16453.161542060156</v>
      </c>
      <c r="Z128" s="270">
        <f t="shared" si="16"/>
        <v>18115.903555486559</v>
      </c>
      <c r="AA128" s="273">
        <f t="shared" si="17"/>
        <v>4.2162493617598491</v>
      </c>
      <c r="AB128" s="273">
        <f t="shared" si="18"/>
        <v>4.2580599999424997</v>
      </c>
      <c r="AG128" s="281"/>
      <c r="AH128" s="282"/>
      <c r="AI128" s="282"/>
    </row>
    <row r="129" spans="1:35" ht="30" x14ac:dyDescent="0.2">
      <c r="A129" s="121" t="s">
        <v>367</v>
      </c>
      <c r="B129" s="101" t="s">
        <v>368</v>
      </c>
      <c r="C129" s="108" t="s">
        <v>369</v>
      </c>
      <c r="D129" s="101" t="s">
        <v>370</v>
      </c>
      <c r="E129" s="51">
        <f>SUMIFS('PIB-Mpal 2015-2022 Corrient '!H$5:H$1012,'PIB-Mpal 2015-2022 Corrient '!$A$5:$A$1012,$W$2,'PIB-Mpal 2015-2022 Corrient '!$E$5:$E$1012,$A129)</f>
        <v>638.66044422905713</v>
      </c>
      <c r="F129" s="51">
        <f>SUMIFS('PIB-Mpal 2015-2022 Corrient '!I$5:I$1012,'PIB-Mpal 2015-2022 Corrient '!$A$5:$A$1012,$W$2,'PIB-Mpal 2015-2022 Corrient '!$E$5:$E$1012,$A129)</f>
        <v>8.1091989069515193</v>
      </c>
      <c r="G129" s="51">
        <f>SUMIFS('PIB-Mpal 2015-2022 Corrient '!K$5:K$1012,'PIB-Mpal 2015-2022 Corrient '!$A$5:$A$1012,$W$2,'PIB-Mpal 2015-2022 Corrient '!$E$5:$E$1012,$A129)</f>
        <v>95.509104321099841</v>
      </c>
      <c r="H129" s="51">
        <f>SUMIFS('PIB-Mpal 2015-2022 Corrient '!L$5:L$1012,'PIB-Mpal 2015-2022 Corrient '!$A$5:$A$1012,$W$2,'PIB-Mpal 2015-2022 Corrient '!$E$5:$E$1012,$A129)</f>
        <v>185.13254473179072</v>
      </c>
      <c r="I129" s="51">
        <f>SUMIFS('PIB-Mpal 2015-2022 Corrient '!N$5:N$1012,'PIB-Mpal 2015-2022 Corrient '!$A$5:$A$1012,$W$2,'PIB-Mpal 2015-2022 Corrient '!$E$5:$E$1012,$A129)</f>
        <v>91.129545525441699</v>
      </c>
      <c r="J129" s="51">
        <f>SUMIFS('PIB-Mpal 2015-2022 Corrient '!O$5:O$1012,'PIB-Mpal 2015-2022 Corrient '!$A$5:$A$1012,$W$2,'PIB-Mpal 2015-2022 Corrient '!$E$5:$E$1012,$A129)</f>
        <v>535.38770092280072</v>
      </c>
      <c r="K129" s="51">
        <f>SUMIFS('PIB-Mpal 2015-2022 Corrient '!P$5:P$1012,'PIB-Mpal 2015-2022 Corrient '!$A$5:$A$1012,$W$2,'PIB-Mpal 2015-2022 Corrient '!$E$5:$E$1012,$A129)</f>
        <v>71.952333867559602</v>
      </c>
      <c r="L129" s="51">
        <f>SUMIFS('PIB-Mpal 2015-2022 Corrient '!Q$5:Q$1012,'PIB-Mpal 2015-2022 Corrient '!$A$5:$A$1012,$W$2,'PIB-Mpal 2015-2022 Corrient '!$E$5:$E$1012,$A129)</f>
        <v>85.890231556520732</v>
      </c>
      <c r="M129" s="51">
        <f>SUMIFS('PIB-Mpal 2015-2022 Corrient '!R$5:R$1012,'PIB-Mpal 2015-2022 Corrient '!$A$5:$A$1012,$W$2,'PIB-Mpal 2015-2022 Corrient '!$E$5:$E$1012,$A129)</f>
        <v>164.86736098077392</v>
      </c>
      <c r="N129" s="51">
        <f>SUMIFS('PIB-Mpal 2015-2022 Corrient '!S$5:S$1012,'PIB-Mpal 2015-2022 Corrient '!$A$5:$A$1012,$W$2,'PIB-Mpal 2015-2022 Corrient '!$E$5:$E$1012,$A129)</f>
        <v>208.34571600071152</v>
      </c>
      <c r="O129" s="51">
        <f>SUMIFS('PIB-Mpal 2015-2022 Corrient '!T$5:T$1012,'PIB-Mpal 2015-2022 Corrient '!$A$5:$A$1012,$W$2,'PIB-Mpal 2015-2022 Corrient '!$E$5:$E$1012,$A129)</f>
        <v>317.86844472896121</v>
      </c>
      <c r="P129" s="150">
        <f>SUMIFS('PIB-Mpal 2015-2022 Corrient '!U$5:U$1012,'PIB-Mpal 2015-2022 Corrient '!$A$5:$A$1012,$W$2,'PIB-Mpal 2015-2022 Corrient '!$E$5:$E$1012,$A129)</f>
        <v>59.793286813717089</v>
      </c>
      <c r="Q129" s="156">
        <f>SUMIFS('PIB-Mpal 2015-2022 Corrient '!J$5:J$1012,'PIB-Mpal 2015-2022 Corrient '!$A$5:$A$1012,$W$2,'PIB-Mpal 2015-2022 Corrient '!$E$5:$E$1012,$A129)</f>
        <v>646.76964313600865</v>
      </c>
      <c r="R129" s="52">
        <f>SUMIFS('PIB-Mpal 2015-2022 Corrient '!M$5:M$1012,'PIB-Mpal 2015-2022 Corrient '!$A$5:$A$1012,$W$2,'PIB-Mpal 2015-2022 Corrient '!$E$5:$E$1012,$A129)</f>
        <v>280.64164905289056</v>
      </c>
      <c r="S129" s="53">
        <f>SUMIFS('PIB-Mpal 2015-2022 Corrient '!V$5:V$1012,'PIB-Mpal 2015-2022 Corrient '!$A$5:$A$1012,$W$2,'PIB-Mpal 2015-2022 Corrient '!$E$5:$E$1012,$A129)</f>
        <v>1535.2346203964864</v>
      </c>
      <c r="T129" s="207">
        <f>SUMIFS('PIB-Mpal 2015-2022 Corrient '!W$5:W$1012,'PIB-Mpal 2015-2022 Corrient '!$A$5:$A$1012,$W$2,'PIB-Mpal 2015-2022 Corrient '!$E$5:$E$1012,$A129)</f>
        <v>2462.6459125853858</v>
      </c>
      <c r="U129" s="203">
        <f>SUMIFS('PIB-Mpal 2015-2022 Corrient '!X$5:X$1012,'PIB-Mpal 2015-2022 Corrient '!$A$5:$A$1012,$W$2,'PIB-Mpal 2015-2022 Corrient '!$E$5:$E$1012,$A129)</f>
        <v>248.8728268169553</v>
      </c>
      <c r="V129" s="88">
        <f>SUMIFS('PIB-Mpal 2015-2022 Corrient '!Y$5:Y$1012,'PIB-Mpal 2015-2022 Corrient '!$A$5:$A$1012,$W$2,'PIB-Mpal 2015-2022 Corrient '!$E$5:$E$1012,$A129)</f>
        <v>2711.518739402341</v>
      </c>
      <c r="W129" s="100">
        <f t="shared" si="14"/>
        <v>1.7657778522550644E-2</v>
      </c>
      <c r="X129" s="268">
        <f>INDEX(POBLACION!$C$4:$W$128,MATCH(A129,POBLACION!$A$4:$A$128,0),MATCH($W$2,POBLACION!$C$3:$W$3,0))</f>
        <v>124647</v>
      </c>
      <c r="Y129" s="258">
        <f t="shared" si="15"/>
        <v>19756.960958429689</v>
      </c>
      <c r="Z129" s="270">
        <f t="shared" si="16"/>
        <v>21753.582030873917</v>
      </c>
      <c r="AA129" s="273">
        <f t="shared" si="17"/>
        <v>4.2957201416438799</v>
      </c>
      <c r="AB129" s="273">
        <f t="shared" si="18"/>
        <v>4.3375307798265306</v>
      </c>
      <c r="AG129" s="281"/>
      <c r="AH129" s="282"/>
      <c r="AI129" s="282"/>
    </row>
    <row r="130" spans="1:35" ht="30" x14ac:dyDescent="0.2">
      <c r="A130" s="35" t="s">
        <v>371</v>
      </c>
      <c r="B130" s="32" t="s">
        <v>368</v>
      </c>
      <c r="C130" s="33" t="s">
        <v>369</v>
      </c>
      <c r="D130" s="32" t="s">
        <v>372</v>
      </c>
      <c r="E130" s="51">
        <f>SUMIFS('PIB-Mpal 2015-2022 Corrient '!H$5:H$1012,'PIB-Mpal 2015-2022 Corrient '!$A$5:$A$1012,$W$2,'PIB-Mpal 2015-2022 Corrient '!$E$5:$E$1012,$A130)</f>
        <v>54.877295151339816</v>
      </c>
      <c r="F130" s="51">
        <f>SUMIFS('PIB-Mpal 2015-2022 Corrient '!I$5:I$1012,'PIB-Mpal 2015-2022 Corrient '!$A$5:$A$1012,$W$2,'PIB-Mpal 2015-2022 Corrient '!$E$5:$E$1012,$A130)</f>
        <v>0</v>
      </c>
      <c r="G130" s="51">
        <f>SUMIFS('PIB-Mpal 2015-2022 Corrient '!K$5:K$1012,'PIB-Mpal 2015-2022 Corrient '!$A$5:$A$1012,$W$2,'PIB-Mpal 2015-2022 Corrient '!$E$5:$E$1012,$A130)</f>
        <v>3.2915723425051033</v>
      </c>
      <c r="H130" s="51">
        <f>SUMIFS('PIB-Mpal 2015-2022 Corrient '!L$5:L$1012,'PIB-Mpal 2015-2022 Corrient '!$A$5:$A$1012,$W$2,'PIB-Mpal 2015-2022 Corrient '!$E$5:$E$1012,$A130)</f>
        <v>20.612065383590174</v>
      </c>
      <c r="I130" s="51">
        <f>SUMIFS('PIB-Mpal 2015-2022 Corrient '!N$5:N$1012,'PIB-Mpal 2015-2022 Corrient '!$A$5:$A$1012,$W$2,'PIB-Mpal 2015-2022 Corrient '!$E$5:$E$1012,$A130)</f>
        <v>8.9974594800573779</v>
      </c>
      <c r="J130" s="51">
        <f>SUMIFS('PIB-Mpal 2015-2022 Corrient '!O$5:O$1012,'PIB-Mpal 2015-2022 Corrient '!$A$5:$A$1012,$W$2,'PIB-Mpal 2015-2022 Corrient '!$E$5:$E$1012,$A130)</f>
        <v>71.133666475536572</v>
      </c>
      <c r="K130" s="51">
        <f>SUMIFS('PIB-Mpal 2015-2022 Corrient '!P$5:P$1012,'PIB-Mpal 2015-2022 Corrient '!$A$5:$A$1012,$W$2,'PIB-Mpal 2015-2022 Corrient '!$E$5:$E$1012,$A130)</f>
        <v>9.3428813586347719</v>
      </c>
      <c r="L130" s="51">
        <f>SUMIFS('PIB-Mpal 2015-2022 Corrient '!Q$5:Q$1012,'PIB-Mpal 2015-2022 Corrient '!$A$5:$A$1012,$W$2,'PIB-Mpal 2015-2022 Corrient '!$E$5:$E$1012,$A130)</f>
        <v>5.6348487711532824</v>
      </c>
      <c r="M130" s="51">
        <f>SUMIFS('PIB-Mpal 2015-2022 Corrient '!R$5:R$1012,'PIB-Mpal 2015-2022 Corrient '!$A$5:$A$1012,$W$2,'PIB-Mpal 2015-2022 Corrient '!$E$5:$E$1012,$A130)</f>
        <v>15.712735245496642</v>
      </c>
      <c r="N130" s="51">
        <f>SUMIFS('PIB-Mpal 2015-2022 Corrient '!S$5:S$1012,'PIB-Mpal 2015-2022 Corrient '!$A$5:$A$1012,$W$2,'PIB-Mpal 2015-2022 Corrient '!$E$5:$E$1012,$A130)</f>
        <v>27.313475321496579</v>
      </c>
      <c r="O130" s="51">
        <f>SUMIFS('PIB-Mpal 2015-2022 Corrient '!T$5:T$1012,'PIB-Mpal 2015-2022 Corrient '!$A$5:$A$1012,$W$2,'PIB-Mpal 2015-2022 Corrient '!$E$5:$E$1012,$A130)</f>
        <v>61.589368942574133</v>
      </c>
      <c r="P130" s="150">
        <f>SUMIFS('PIB-Mpal 2015-2022 Corrient '!U$5:U$1012,'PIB-Mpal 2015-2022 Corrient '!$A$5:$A$1012,$W$2,'PIB-Mpal 2015-2022 Corrient '!$E$5:$E$1012,$A130)</f>
        <v>6.988620724705692</v>
      </c>
      <c r="Q130" s="156">
        <f>SUMIFS('PIB-Mpal 2015-2022 Corrient '!J$5:J$1012,'PIB-Mpal 2015-2022 Corrient '!$A$5:$A$1012,$W$2,'PIB-Mpal 2015-2022 Corrient '!$E$5:$E$1012,$A130)</f>
        <v>54.877295151339816</v>
      </c>
      <c r="R130" s="52">
        <f>SUMIFS('PIB-Mpal 2015-2022 Corrient '!M$5:M$1012,'PIB-Mpal 2015-2022 Corrient '!$A$5:$A$1012,$W$2,'PIB-Mpal 2015-2022 Corrient '!$E$5:$E$1012,$A130)</f>
        <v>23.903637726095276</v>
      </c>
      <c r="S130" s="53">
        <f>SUMIFS('PIB-Mpal 2015-2022 Corrient '!V$5:V$1012,'PIB-Mpal 2015-2022 Corrient '!$A$5:$A$1012,$W$2,'PIB-Mpal 2015-2022 Corrient '!$E$5:$E$1012,$A130)</f>
        <v>206.71305631965507</v>
      </c>
      <c r="T130" s="207">
        <f>SUMIFS('PIB-Mpal 2015-2022 Corrient '!W$5:W$1012,'PIB-Mpal 2015-2022 Corrient '!$A$5:$A$1012,$W$2,'PIB-Mpal 2015-2022 Corrient '!$E$5:$E$1012,$A130)</f>
        <v>285.49398919709017</v>
      </c>
      <c r="U130" s="203">
        <f>SUMIFS('PIB-Mpal 2015-2022 Corrient '!X$5:X$1012,'PIB-Mpal 2015-2022 Corrient '!$A$5:$A$1012,$W$2,'PIB-Mpal 2015-2022 Corrient '!$E$5:$E$1012,$A130)</f>
        <v>28.851771083946119</v>
      </c>
      <c r="V130" s="88">
        <f>SUMIFS('PIB-Mpal 2015-2022 Corrient '!Y$5:Y$1012,'PIB-Mpal 2015-2022 Corrient '!$A$5:$A$1012,$W$2,'PIB-Mpal 2015-2022 Corrient '!$E$5:$E$1012,$A130)</f>
        <v>314.34576028103629</v>
      </c>
      <c r="W130" s="92">
        <f t="shared" si="14"/>
        <v>2.0470623100944459E-3</v>
      </c>
      <c r="X130" s="268">
        <f>INDEX(POBLACION!$C$4:$W$128,MATCH(A130,POBLACION!$A$4:$A$128,0),MATCH($W$2,POBLACION!$C$3:$W$3,0))</f>
        <v>29942</v>
      </c>
      <c r="Y130" s="258">
        <f t="shared" si="15"/>
        <v>9534.900447434713</v>
      </c>
      <c r="Z130" s="270">
        <f t="shared" si="16"/>
        <v>10498.489088271868</v>
      </c>
      <c r="AA130" s="273">
        <f t="shared" si="17"/>
        <v>3.9793161629976019</v>
      </c>
      <c r="AB130" s="273">
        <f t="shared" si="18"/>
        <v>4.0211268011802526</v>
      </c>
      <c r="AG130" s="281"/>
      <c r="AH130" s="282"/>
      <c r="AI130" s="282"/>
    </row>
    <row r="131" spans="1:35" ht="30" x14ac:dyDescent="0.2">
      <c r="A131" s="35" t="s">
        <v>373</v>
      </c>
      <c r="B131" s="32" t="s">
        <v>368</v>
      </c>
      <c r="C131" s="33" t="s">
        <v>369</v>
      </c>
      <c r="D131" s="32" t="s">
        <v>374</v>
      </c>
      <c r="E131" s="51">
        <f>SUMIFS('PIB-Mpal 2015-2022 Corrient '!H$5:H$1012,'PIB-Mpal 2015-2022 Corrient '!$A$5:$A$1012,$W$2,'PIB-Mpal 2015-2022 Corrient '!$E$5:$E$1012,$A131)</f>
        <v>623.16368337237031</v>
      </c>
      <c r="F131" s="51">
        <f>SUMIFS('PIB-Mpal 2015-2022 Corrient '!I$5:I$1012,'PIB-Mpal 2015-2022 Corrient '!$A$5:$A$1012,$W$2,'PIB-Mpal 2015-2022 Corrient '!$E$5:$E$1012,$A131)</f>
        <v>7.3397760190398458</v>
      </c>
      <c r="G131" s="51">
        <f>SUMIFS('PIB-Mpal 2015-2022 Corrient '!K$5:K$1012,'PIB-Mpal 2015-2022 Corrient '!$A$5:$A$1012,$W$2,'PIB-Mpal 2015-2022 Corrient '!$E$5:$E$1012,$A131)</f>
        <v>49.17943212259992</v>
      </c>
      <c r="H131" s="51">
        <f>SUMIFS('PIB-Mpal 2015-2022 Corrient '!L$5:L$1012,'PIB-Mpal 2015-2022 Corrient '!$A$5:$A$1012,$W$2,'PIB-Mpal 2015-2022 Corrient '!$E$5:$E$1012,$A131)</f>
        <v>46.749308757770933</v>
      </c>
      <c r="I131" s="51">
        <f>SUMIFS('PIB-Mpal 2015-2022 Corrient '!N$5:N$1012,'PIB-Mpal 2015-2022 Corrient '!$A$5:$A$1012,$W$2,'PIB-Mpal 2015-2022 Corrient '!$E$5:$E$1012,$A131)</f>
        <v>28.098301660496439</v>
      </c>
      <c r="J131" s="51">
        <f>SUMIFS('PIB-Mpal 2015-2022 Corrient '!O$5:O$1012,'PIB-Mpal 2015-2022 Corrient '!$A$5:$A$1012,$W$2,'PIB-Mpal 2015-2022 Corrient '!$E$5:$E$1012,$A131)</f>
        <v>144.63246104231555</v>
      </c>
      <c r="K131" s="51">
        <f>SUMIFS('PIB-Mpal 2015-2022 Corrient '!P$5:P$1012,'PIB-Mpal 2015-2022 Corrient '!$A$5:$A$1012,$W$2,'PIB-Mpal 2015-2022 Corrient '!$E$5:$E$1012,$A131)</f>
        <v>23.952304705183323</v>
      </c>
      <c r="L131" s="51">
        <f>SUMIFS('PIB-Mpal 2015-2022 Corrient '!Q$5:Q$1012,'PIB-Mpal 2015-2022 Corrient '!$A$5:$A$1012,$W$2,'PIB-Mpal 2015-2022 Corrient '!$E$5:$E$1012,$A131)</f>
        <v>17.748395879133646</v>
      </c>
      <c r="M131" s="51">
        <f>SUMIFS('PIB-Mpal 2015-2022 Corrient '!R$5:R$1012,'PIB-Mpal 2015-2022 Corrient '!$A$5:$A$1012,$W$2,'PIB-Mpal 2015-2022 Corrient '!$E$5:$E$1012,$A131)</f>
        <v>43.873186383202587</v>
      </c>
      <c r="N131" s="51">
        <f>SUMIFS('PIB-Mpal 2015-2022 Corrient '!S$5:S$1012,'PIB-Mpal 2015-2022 Corrient '!$A$5:$A$1012,$W$2,'PIB-Mpal 2015-2022 Corrient '!$E$5:$E$1012,$A131)</f>
        <v>62.515606883003656</v>
      </c>
      <c r="O131" s="51">
        <f>SUMIFS('PIB-Mpal 2015-2022 Corrient '!T$5:T$1012,'PIB-Mpal 2015-2022 Corrient '!$A$5:$A$1012,$W$2,'PIB-Mpal 2015-2022 Corrient '!$E$5:$E$1012,$A131)</f>
        <v>83.318729584662535</v>
      </c>
      <c r="P131" s="150">
        <f>SUMIFS('PIB-Mpal 2015-2022 Corrient '!U$5:U$1012,'PIB-Mpal 2015-2022 Corrient '!$A$5:$A$1012,$W$2,'PIB-Mpal 2015-2022 Corrient '!$E$5:$E$1012,$A131)</f>
        <v>18.132742136108217</v>
      </c>
      <c r="Q131" s="156">
        <f>SUMIFS('PIB-Mpal 2015-2022 Corrient '!J$5:J$1012,'PIB-Mpal 2015-2022 Corrient '!$A$5:$A$1012,$W$2,'PIB-Mpal 2015-2022 Corrient '!$E$5:$E$1012,$A131)</f>
        <v>630.50345939141016</v>
      </c>
      <c r="R131" s="52">
        <f>SUMIFS('PIB-Mpal 2015-2022 Corrient '!M$5:M$1012,'PIB-Mpal 2015-2022 Corrient '!$A$5:$A$1012,$W$2,'PIB-Mpal 2015-2022 Corrient '!$E$5:$E$1012,$A131)</f>
        <v>95.928740880370853</v>
      </c>
      <c r="S131" s="53">
        <f>SUMIFS('PIB-Mpal 2015-2022 Corrient '!V$5:V$1012,'PIB-Mpal 2015-2022 Corrient '!$A$5:$A$1012,$W$2,'PIB-Mpal 2015-2022 Corrient '!$E$5:$E$1012,$A131)</f>
        <v>422.27172827410601</v>
      </c>
      <c r="T131" s="207">
        <f>SUMIFS('PIB-Mpal 2015-2022 Corrient '!W$5:W$1012,'PIB-Mpal 2015-2022 Corrient '!$A$5:$A$1012,$W$2,'PIB-Mpal 2015-2022 Corrient '!$E$5:$E$1012,$A131)</f>
        <v>1148.703928545887</v>
      </c>
      <c r="U131" s="203">
        <f>SUMIFS('PIB-Mpal 2015-2022 Corrient '!X$5:X$1012,'PIB-Mpal 2015-2022 Corrient '!$A$5:$A$1012,$W$2,'PIB-Mpal 2015-2022 Corrient '!$E$5:$E$1012,$A131)</f>
        <v>116.08700723557412</v>
      </c>
      <c r="V131" s="88">
        <f>SUMIFS('PIB-Mpal 2015-2022 Corrient '!Y$5:Y$1012,'PIB-Mpal 2015-2022 Corrient '!$A$5:$A$1012,$W$2,'PIB-Mpal 2015-2022 Corrient '!$E$5:$E$1012,$A131)</f>
        <v>1264.7909357814613</v>
      </c>
      <c r="W131" s="92">
        <f t="shared" si="14"/>
        <v>8.2364904571086348E-3</v>
      </c>
      <c r="X131" s="268">
        <f>INDEX(POBLACION!$C$4:$W$128,MATCH(A131,POBLACION!$A$4:$A$128,0),MATCH($W$2,POBLACION!$C$3:$W$3,0))</f>
        <v>49659</v>
      </c>
      <c r="Y131" s="258">
        <f t="shared" si="15"/>
        <v>23131.837704059428</v>
      </c>
      <c r="Z131" s="270">
        <f t="shared" si="16"/>
        <v>25469.520847811298</v>
      </c>
      <c r="AA131" s="273">
        <f t="shared" si="17"/>
        <v>4.3642101365764523</v>
      </c>
      <c r="AB131" s="273">
        <f t="shared" si="18"/>
        <v>4.406020774759102</v>
      </c>
      <c r="AG131" s="281"/>
      <c r="AH131" s="282"/>
      <c r="AI131" s="282"/>
    </row>
    <row r="132" spans="1:35" ht="30" x14ac:dyDescent="0.2">
      <c r="A132" s="35" t="s">
        <v>375</v>
      </c>
      <c r="B132" s="32" t="s">
        <v>368</v>
      </c>
      <c r="C132" s="33" t="s">
        <v>369</v>
      </c>
      <c r="D132" s="32" t="s">
        <v>376</v>
      </c>
      <c r="E132" s="51">
        <f>SUMIFS('PIB-Mpal 2015-2022 Corrient '!H$5:H$1012,'PIB-Mpal 2015-2022 Corrient '!$A$5:$A$1012,$W$2,'PIB-Mpal 2015-2022 Corrient '!$E$5:$E$1012,$A132)</f>
        <v>291.66222149386704</v>
      </c>
      <c r="F132" s="51">
        <f>SUMIFS('PIB-Mpal 2015-2022 Corrient '!I$5:I$1012,'PIB-Mpal 2015-2022 Corrient '!$A$5:$A$1012,$W$2,'PIB-Mpal 2015-2022 Corrient '!$E$5:$E$1012,$A132)</f>
        <v>3.89256077545366</v>
      </c>
      <c r="G132" s="51">
        <f>SUMIFS('PIB-Mpal 2015-2022 Corrient '!K$5:K$1012,'PIB-Mpal 2015-2022 Corrient '!$A$5:$A$1012,$W$2,'PIB-Mpal 2015-2022 Corrient '!$E$5:$E$1012,$A132)</f>
        <v>21.122580736708695</v>
      </c>
      <c r="H132" s="51">
        <f>SUMIFS('PIB-Mpal 2015-2022 Corrient '!L$5:L$1012,'PIB-Mpal 2015-2022 Corrient '!$A$5:$A$1012,$W$2,'PIB-Mpal 2015-2022 Corrient '!$E$5:$E$1012,$A132)</f>
        <v>53.262902347546856</v>
      </c>
      <c r="I132" s="51">
        <f>SUMIFS('PIB-Mpal 2015-2022 Corrient '!N$5:N$1012,'PIB-Mpal 2015-2022 Corrient '!$A$5:$A$1012,$W$2,'PIB-Mpal 2015-2022 Corrient '!$E$5:$E$1012,$A132)</f>
        <v>34.58717289721865</v>
      </c>
      <c r="J132" s="51">
        <f>SUMIFS('PIB-Mpal 2015-2022 Corrient '!O$5:O$1012,'PIB-Mpal 2015-2022 Corrient '!$A$5:$A$1012,$W$2,'PIB-Mpal 2015-2022 Corrient '!$E$5:$E$1012,$A132)</f>
        <v>137.21152601045026</v>
      </c>
      <c r="K132" s="51">
        <f>SUMIFS('PIB-Mpal 2015-2022 Corrient '!P$5:P$1012,'PIB-Mpal 2015-2022 Corrient '!$A$5:$A$1012,$W$2,'PIB-Mpal 2015-2022 Corrient '!$E$5:$E$1012,$A132)</f>
        <v>30.996233688072827</v>
      </c>
      <c r="L132" s="51">
        <f>SUMIFS('PIB-Mpal 2015-2022 Corrient '!Q$5:Q$1012,'PIB-Mpal 2015-2022 Corrient '!$A$5:$A$1012,$W$2,'PIB-Mpal 2015-2022 Corrient '!$E$5:$E$1012,$A132)</f>
        <v>29.04270265392422</v>
      </c>
      <c r="M132" s="51">
        <f>SUMIFS('PIB-Mpal 2015-2022 Corrient '!R$5:R$1012,'PIB-Mpal 2015-2022 Corrient '!$A$5:$A$1012,$W$2,'PIB-Mpal 2015-2022 Corrient '!$E$5:$E$1012,$A132)</f>
        <v>53.917531384647887</v>
      </c>
      <c r="N132" s="51">
        <f>SUMIFS('PIB-Mpal 2015-2022 Corrient '!S$5:S$1012,'PIB-Mpal 2015-2022 Corrient '!$A$5:$A$1012,$W$2,'PIB-Mpal 2015-2022 Corrient '!$E$5:$E$1012,$A132)</f>
        <v>73.614901981763211</v>
      </c>
      <c r="O132" s="51">
        <f>SUMIFS('PIB-Mpal 2015-2022 Corrient '!T$5:T$1012,'PIB-Mpal 2015-2022 Corrient '!$A$5:$A$1012,$W$2,'PIB-Mpal 2015-2022 Corrient '!$E$5:$E$1012,$A132)</f>
        <v>130.84653695550099</v>
      </c>
      <c r="P132" s="150">
        <f>SUMIFS('PIB-Mpal 2015-2022 Corrient '!U$5:U$1012,'PIB-Mpal 2015-2022 Corrient '!$A$5:$A$1012,$W$2,'PIB-Mpal 2015-2022 Corrient '!$E$5:$E$1012,$A132)</f>
        <v>27.554434370570782</v>
      </c>
      <c r="Q132" s="156">
        <f>SUMIFS('PIB-Mpal 2015-2022 Corrient '!J$5:J$1012,'PIB-Mpal 2015-2022 Corrient '!$A$5:$A$1012,$W$2,'PIB-Mpal 2015-2022 Corrient '!$E$5:$E$1012,$A132)</f>
        <v>295.5547822693207</v>
      </c>
      <c r="R132" s="52">
        <f>SUMIFS('PIB-Mpal 2015-2022 Corrient '!M$5:M$1012,'PIB-Mpal 2015-2022 Corrient '!$A$5:$A$1012,$W$2,'PIB-Mpal 2015-2022 Corrient '!$E$5:$E$1012,$A132)</f>
        <v>74.385483084255554</v>
      </c>
      <c r="S132" s="53">
        <f>SUMIFS('PIB-Mpal 2015-2022 Corrient '!V$5:V$1012,'PIB-Mpal 2015-2022 Corrient '!$A$5:$A$1012,$W$2,'PIB-Mpal 2015-2022 Corrient '!$E$5:$E$1012,$A132)</f>
        <v>517.77103994214872</v>
      </c>
      <c r="T132" s="207">
        <f>SUMIFS('PIB-Mpal 2015-2022 Corrient '!W$5:W$1012,'PIB-Mpal 2015-2022 Corrient '!$A$5:$A$1012,$W$2,'PIB-Mpal 2015-2022 Corrient '!$E$5:$E$1012,$A132)</f>
        <v>887.71130529572497</v>
      </c>
      <c r="U132" s="203">
        <f>SUMIFS('PIB-Mpal 2015-2022 Corrient '!X$5:X$1012,'PIB-Mpal 2015-2022 Corrient '!$A$5:$A$1012,$W$2,'PIB-Mpal 2015-2022 Corrient '!$E$5:$E$1012,$A132)</f>
        <v>89.711322613317932</v>
      </c>
      <c r="V132" s="88">
        <f>SUMIFS('PIB-Mpal 2015-2022 Corrient '!Y$5:Y$1012,'PIB-Mpal 2015-2022 Corrient '!$A$5:$A$1012,$W$2,'PIB-Mpal 2015-2022 Corrient '!$E$5:$E$1012,$A132)</f>
        <v>977.42262790904294</v>
      </c>
      <c r="W132" s="92">
        <f t="shared" si="14"/>
        <v>6.3651089832967456E-3</v>
      </c>
      <c r="X132" s="268">
        <f>INDEX(POBLACION!$C$4:$W$128,MATCH(A132,POBLACION!$A$4:$A$128,0),MATCH($W$2,POBLACION!$C$3:$W$3,0))</f>
        <v>58684</v>
      </c>
      <c r="Y132" s="258">
        <f t="shared" si="15"/>
        <v>15126.973370863012</v>
      </c>
      <c r="Z132" s="270">
        <f t="shared" si="16"/>
        <v>16655.691975820377</v>
      </c>
      <c r="AA132" s="273">
        <f t="shared" si="17"/>
        <v>4.1797520423772738</v>
      </c>
      <c r="AB132" s="273">
        <f t="shared" si="18"/>
        <v>4.2215626805599245</v>
      </c>
      <c r="AG132" s="281"/>
      <c r="AH132" s="282"/>
      <c r="AI132" s="282"/>
    </row>
    <row r="133" spans="1:35" ht="30" x14ac:dyDescent="0.2">
      <c r="A133" s="35" t="s">
        <v>377</v>
      </c>
      <c r="B133" s="32" t="s">
        <v>368</v>
      </c>
      <c r="C133" s="33" t="s">
        <v>369</v>
      </c>
      <c r="D133" s="32" t="s">
        <v>378</v>
      </c>
      <c r="E133" s="51">
        <f>SUMIFS('PIB-Mpal 2015-2022 Corrient '!H$5:H$1012,'PIB-Mpal 2015-2022 Corrient '!$A$5:$A$1012,$W$2,'PIB-Mpal 2015-2022 Corrient '!$E$5:$E$1012,$A133)</f>
        <v>1.4920403936984292</v>
      </c>
      <c r="F133" s="51">
        <f>SUMIFS('PIB-Mpal 2015-2022 Corrient '!I$5:I$1012,'PIB-Mpal 2015-2022 Corrient '!$A$5:$A$1012,$W$2,'PIB-Mpal 2015-2022 Corrient '!$E$5:$E$1012,$A133)</f>
        <v>0</v>
      </c>
      <c r="G133" s="51">
        <f>SUMIFS('PIB-Mpal 2015-2022 Corrient '!K$5:K$1012,'PIB-Mpal 2015-2022 Corrient '!$A$5:$A$1012,$W$2,'PIB-Mpal 2015-2022 Corrient '!$E$5:$E$1012,$A133)</f>
        <v>0.38217631692900467</v>
      </c>
      <c r="H133" s="51">
        <f>SUMIFS('PIB-Mpal 2015-2022 Corrient '!L$5:L$1012,'PIB-Mpal 2015-2022 Corrient '!$A$5:$A$1012,$W$2,'PIB-Mpal 2015-2022 Corrient '!$E$5:$E$1012,$A133)</f>
        <v>3.5857899632735841</v>
      </c>
      <c r="I133" s="51">
        <f>SUMIFS('PIB-Mpal 2015-2022 Corrient '!N$5:N$1012,'PIB-Mpal 2015-2022 Corrient '!$A$5:$A$1012,$W$2,'PIB-Mpal 2015-2022 Corrient '!$E$5:$E$1012,$A133)</f>
        <v>1.057164709919165</v>
      </c>
      <c r="J133" s="51">
        <f>SUMIFS('PIB-Mpal 2015-2022 Corrient '!O$5:O$1012,'PIB-Mpal 2015-2022 Corrient '!$A$5:$A$1012,$W$2,'PIB-Mpal 2015-2022 Corrient '!$E$5:$E$1012,$A133)</f>
        <v>10.140881044747145</v>
      </c>
      <c r="K133" s="51">
        <f>SUMIFS('PIB-Mpal 2015-2022 Corrient '!P$5:P$1012,'PIB-Mpal 2015-2022 Corrient '!$A$5:$A$1012,$W$2,'PIB-Mpal 2015-2022 Corrient '!$E$5:$E$1012,$A133)</f>
        <v>1.8413843417377953</v>
      </c>
      <c r="L133" s="51">
        <f>SUMIFS('PIB-Mpal 2015-2022 Corrient '!Q$5:Q$1012,'PIB-Mpal 2015-2022 Corrient '!$A$5:$A$1012,$W$2,'PIB-Mpal 2015-2022 Corrient '!$E$5:$E$1012,$A133)</f>
        <v>0.80387540037107386</v>
      </c>
      <c r="M133" s="51">
        <f>SUMIFS('PIB-Mpal 2015-2022 Corrient '!R$5:R$1012,'PIB-Mpal 2015-2022 Corrient '!$A$5:$A$1012,$W$2,'PIB-Mpal 2015-2022 Corrient '!$E$5:$E$1012,$A133)</f>
        <v>2.53056022755234</v>
      </c>
      <c r="N133" s="51">
        <f>SUMIFS('PIB-Mpal 2015-2022 Corrient '!S$5:S$1012,'PIB-Mpal 2015-2022 Corrient '!$A$5:$A$1012,$W$2,'PIB-Mpal 2015-2022 Corrient '!$E$5:$E$1012,$A133)</f>
        <v>6.8445506607514117</v>
      </c>
      <c r="O133" s="51">
        <f>SUMIFS('PIB-Mpal 2015-2022 Corrient '!T$5:T$1012,'PIB-Mpal 2015-2022 Corrient '!$A$5:$A$1012,$W$2,'PIB-Mpal 2015-2022 Corrient '!$E$5:$E$1012,$A133)</f>
        <v>18.825885655046324</v>
      </c>
      <c r="P133" s="150">
        <f>SUMIFS('PIB-Mpal 2015-2022 Corrient '!U$5:U$1012,'PIB-Mpal 2015-2022 Corrient '!$A$5:$A$1012,$W$2,'PIB-Mpal 2015-2022 Corrient '!$E$5:$E$1012,$A133)</f>
        <v>1.4416935376959767</v>
      </c>
      <c r="Q133" s="156">
        <f>SUMIFS('PIB-Mpal 2015-2022 Corrient '!J$5:J$1012,'PIB-Mpal 2015-2022 Corrient '!$A$5:$A$1012,$W$2,'PIB-Mpal 2015-2022 Corrient '!$E$5:$E$1012,$A133)</f>
        <v>1.4920403936984292</v>
      </c>
      <c r="R133" s="52">
        <f>SUMIFS('PIB-Mpal 2015-2022 Corrient '!M$5:M$1012,'PIB-Mpal 2015-2022 Corrient '!$A$5:$A$1012,$W$2,'PIB-Mpal 2015-2022 Corrient '!$E$5:$E$1012,$A133)</f>
        <v>3.9679662802025888</v>
      </c>
      <c r="S133" s="53">
        <f>SUMIFS('PIB-Mpal 2015-2022 Corrient '!V$5:V$1012,'PIB-Mpal 2015-2022 Corrient '!$A$5:$A$1012,$W$2,'PIB-Mpal 2015-2022 Corrient '!$E$5:$E$1012,$A133)</f>
        <v>43.485995577821235</v>
      </c>
      <c r="T133" s="207">
        <f>SUMIFS('PIB-Mpal 2015-2022 Corrient '!W$5:W$1012,'PIB-Mpal 2015-2022 Corrient '!$A$5:$A$1012,$W$2,'PIB-Mpal 2015-2022 Corrient '!$E$5:$E$1012,$A133)</f>
        <v>48.946002251722255</v>
      </c>
      <c r="U133" s="203">
        <f>SUMIFS('PIB-Mpal 2015-2022 Corrient '!X$5:X$1012,'PIB-Mpal 2015-2022 Corrient '!$A$5:$A$1012,$W$2,'PIB-Mpal 2015-2022 Corrient '!$E$5:$E$1012,$A133)</f>
        <v>4.9464398757134855</v>
      </c>
      <c r="V133" s="88">
        <f>SUMIFS('PIB-Mpal 2015-2022 Corrient '!Y$5:Y$1012,'PIB-Mpal 2015-2022 Corrient '!$A$5:$A$1012,$W$2,'PIB-Mpal 2015-2022 Corrient '!$E$5:$E$1012,$A133)</f>
        <v>53.892442127435743</v>
      </c>
      <c r="W133" s="92">
        <f t="shared" si="14"/>
        <v>3.5095490704054283E-4</v>
      </c>
      <c r="X133" s="268">
        <f>INDEX(POBLACION!$C$4:$W$128,MATCH(A133,POBLACION!$A$4:$A$128,0),MATCH($W$2,POBLACION!$C$3:$W$3,0))</f>
        <v>5088</v>
      </c>
      <c r="Y133" s="258">
        <f t="shared" si="15"/>
        <v>9619.8903796623927</v>
      </c>
      <c r="Z133" s="270">
        <f t="shared" si="16"/>
        <v>10592.068028190988</v>
      </c>
      <c r="AA133" s="273">
        <f t="shared" si="17"/>
        <v>3.9831701232042396</v>
      </c>
      <c r="AB133" s="273">
        <f t="shared" si="18"/>
        <v>4.0249807613868906</v>
      </c>
      <c r="AG133" s="281"/>
      <c r="AH133" s="282"/>
      <c r="AI133" s="282"/>
    </row>
    <row r="134" spans="1:35" ht="30" x14ac:dyDescent="0.2">
      <c r="A134" s="35" t="s">
        <v>379</v>
      </c>
      <c r="B134" s="32" t="s">
        <v>368</v>
      </c>
      <c r="C134" s="33" t="s">
        <v>369</v>
      </c>
      <c r="D134" s="32" t="s">
        <v>380</v>
      </c>
      <c r="E134" s="51">
        <f>SUMIFS('PIB-Mpal 2015-2022 Corrient '!H$5:H$1012,'PIB-Mpal 2015-2022 Corrient '!$A$5:$A$1012,$W$2,'PIB-Mpal 2015-2022 Corrient '!$E$5:$E$1012,$A134)</f>
        <v>59.531530859740784</v>
      </c>
      <c r="F134" s="51">
        <f>SUMIFS('PIB-Mpal 2015-2022 Corrient '!I$5:I$1012,'PIB-Mpal 2015-2022 Corrient '!$A$5:$A$1012,$W$2,'PIB-Mpal 2015-2022 Corrient '!$E$5:$E$1012,$A134)</f>
        <v>31.716280473814336</v>
      </c>
      <c r="G134" s="51">
        <f>SUMIFS('PIB-Mpal 2015-2022 Corrient '!K$5:K$1012,'PIB-Mpal 2015-2022 Corrient '!$A$5:$A$1012,$W$2,'PIB-Mpal 2015-2022 Corrient '!$E$5:$E$1012,$A134)</f>
        <v>1.5473343858413833</v>
      </c>
      <c r="H134" s="51">
        <f>SUMIFS('PIB-Mpal 2015-2022 Corrient '!L$5:L$1012,'PIB-Mpal 2015-2022 Corrient '!$A$5:$A$1012,$W$2,'PIB-Mpal 2015-2022 Corrient '!$E$5:$E$1012,$A134)</f>
        <v>15.1694468418239</v>
      </c>
      <c r="I134" s="51">
        <f>SUMIFS('PIB-Mpal 2015-2022 Corrient '!N$5:N$1012,'PIB-Mpal 2015-2022 Corrient '!$A$5:$A$1012,$W$2,'PIB-Mpal 2015-2022 Corrient '!$E$5:$E$1012,$A134)</f>
        <v>8.9157071844637752</v>
      </c>
      <c r="J134" s="51">
        <f>SUMIFS('PIB-Mpal 2015-2022 Corrient '!O$5:O$1012,'PIB-Mpal 2015-2022 Corrient '!$A$5:$A$1012,$W$2,'PIB-Mpal 2015-2022 Corrient '!$E$5:$E$1012,$A134)</f>
        <v>37.817995681330011</v>
      </c>
      <c r="K134" s="51">
        <f>SUMIFS('PIB-Mpal 2015-2022 Corrient '!P$5:P$1012,'PIB-Mpal 2015-2022 Corrient '!$A$5:$A$1012,$W$2,'PIB-Mpal 2015-2022 Corrient '!$E$5:$E$1012,$A134)</f>
        <v>4.9778064055819655</v>
      </c>
      <c r="L134" s="51">
        <f>SUMIFS('PIB-Mpal 2015-2022 Corrient '!Q$5:Q$1012,'PIB-Mpal 2015-2022 Corrient '!$A$5:$A$1012,$W$2,'PIB-Mpal 2015-2022 Corrient '!$E$5:$E$1012,$A134)</f>
        <v>3.6215284624938207</v>
      </c>
      <c r="M134" s="51">
        <f>SUMIFS('PIB-Mpal 2015-2022 Corrient '!R$5:R$1012,'PIB-Mpal 2015-2022 Corrient '!$A$5:$A$1012,$W$2,'PIB-Mpal 2015-2022 Corrient '!$E$5:$E$1012,$A134)</f>
        <v>9.6486384380591712</v>
      </c>
      <c r="N134" s="51">
        <f>SUMIFS('PIB-Mpal 2015-2022 Corrient '!S$5:S$1012,'PIB-Mpal 2015-2022 Corrient '!$A$5:$A$1012,$W$2,'PIB-Mpal 2015-2022 Corrient '!$E$5:$E$1012,$A134)</f>
        <v>21.416914990830087</v>
      </c>
      <c r="O134" s="51">
        <f>SUMIFS('PIB-Mpal 2015-2022 Corrient '!T$5:T$1012,'PIB-Mpal 2015-2022 Corrient '!$A$5:$A$1012,$W$2,'PIB-Mpal 2015-2022 Corrient '!$E$5:$E$1012,$A134)</f>
        <v>44.877433375045804</v>
      </c>
      <c r="P134" s="150">
        <f>SUMIFS('PIB-Mpal 2015-2022 Corrient '!U$5:U$1012,'PIB-Mpal 2015-2022 Corrient '!$A$5:$A$1012,$W$2,'PIB-Mpal 2015-2022 Corrient '!$E$5:$E$1012,$A134)</f>
        <v>3.7800725146677094</v>
      </c>
      <c r="Q134" s="156">
        <f>SUMIFS('PIB-Mpal 2015-2022 Corrient '!J$5:J$1012,'PIB-Mpal 2015-2022 Corrient '!$A$5:$A$1012,$W$2,'PIB-Mpal 2015-2022 Corrient '!$E$5:$E$1012,$A134)</f>
        <v>91.24781133355512</v>
      </c>
      <c r="R134" s="52">
        <f>SUMIFS('PIB-Mpal 2015-2022 Corrient '!M$5:M$1012,'PIB-Mpal 2015-2022 Corrient '!$A$5:$A$1012,$W$2,'PIB-Mpal 2015-2022 Corrient '!$E$5:$E$1012,$A134)</f>
        <v>16.716781227665283</v>
      </c>
      <c r="S134" s="53">
        <f>SUMIFS('PIB-Mpal 2015-2022 Corrient '!V$5:V$1012,'PIB-Mpal 2015-2022 Corrient '!$A$5:$A$1012,$W$2,'PIB-Mpal 2015-2022 Corrient '!$E$5:$E$1012,$A134)</f>
        <v>135.05609705247235</v>
      </c>
      <c r="T134" s="207">
        <f>SUMIFS('PIB-Mpal 2015-2022 Corrient '!W$5:W$1012,'PIB-Mpal 2015-2022 Corrient '!$A$5:$A$1012,$W$2,'PIB-Mpal 2015-2022 Corrient '!$E$5:$E$1012,$A134)</f>
        <v>243.02068961369275</v>
      </c>
      <c r="U134" s="203">
        <f>SUMIFS('PIB-Mpal 2015-2022 Corrient '!X$5:X$1012,'PIB-Mpal 2015-2022 Corrient '!$A$5:$A$1012,$W$2,'PIB-Mpal 2015-2022 Corrient '!$E$5:$E$1012,$A134)</f>
        <v>24.559456838709682</v>
      </c>
      <c r="V134" s="88">
        <f>SUMIFS('PIB-Mpal 2015-2022 Corrient '!Y$5:Y$1012,'PIB-Mpal 2015-2022 Corrient '!$A$5:$A$1012,$W$2,'PIB-Mpal 2015-2022 Corrient '!$E$5:$E$1012,$A134)</f>
        <v>267.58014645240246</v>
      </c>
      <c r="W134" s="92">
        <f t="shared" ref="W134:W151" si="22">V134/$V$5</f>
        <v>1.7425182774615897E-3</v>
      </c>
      <c r="X134" s="268">
        <f>INDEX(POBLACION!$C$4:$W$128,MATCH(A134,POBLACION!$A$4:$A$128,0),MATCH($W$2,POBLACION!$C$3:$W$3,0))</f>
        <v>14196</v>
      </c>
      <c r="Y134" s="258">
        <f t="shared" ref="Y134:Y151" si="23">(T134/X134)*1000000</f>
        <v>17118.955312319864</v>
      </c>
      <c r="Z134" s="270">
        <f t="shared" ref="Z134:Z151" si="24">(V134/X134)*1000000</f>
        <v>18848.981857734747</v>
      </c>
      <c r="AA134" s="273">
        <f t="shared" ref="AA134:AA151" si="25">LOG(Y134)</f>
        <v>4.233477258241944</v>
      </c>
      <c r="AB134" s="273">
        <f t="shared" ref="AB134:AB151" si="26">LOG(Z134)</f>
        <v>4.2752878964245946</v>
      </c>
      <c r="AG134" s="281"/>
      <c r="AH134" s="282"/>
      <c r="AI134" s="282"/>
    </row>
    <row r="135" spans="1:35" ht="30" x14ac:dyDescent="0.2">
      <c r="A135" s="35" t="s">
        <v>381</v>
      </c>
      <c r="B135" s="32" t="s">
        <v>368</v>
      </c>
      <c r="C135" s="33" t="s">
        <v>369</v>
      </c>
      <c r="D135" s="32" t="s">
        <v>382</v>
      </c>
      <c r="E135" s="51">
        <f>SUMIFS('PIB-Mpal 2015-2022 Corrient '!H$5:H$1012,'PIB-Mpal 2015-2022 Corrient '!$A$5:$A$1012,$W$2,'PIB-Mpal 2015-2022 Corrient '!$E$5:$E$1012,$A135)</f>
        <v>105.44099196553296</v>
      </c>
      <c r="F135" s="51">
        <f>SUMIFS('PIB-Mpal 2015-2022 Corrient '!I$5:I$1012,'PIB-Mpal 2015-2022 Corrient '!$A$5:$A$1012,$W$2,'PIB-Mpal 2015-2022 Corrient '!$E$5:$E$1012,$A135)</f>
        <v>0</v>
      </c>
      <c r="G135" s="51">
        <f>SUMIFS('PIB-Mpal 2015-2022 Corrient '!K$5:K$1012,'PIB-Mpal 2015-2022 Corrient '!$A$5:$A$1012,$W$2,'PIB-Mpal 2015-2022 Corrient '!$E$5:$E$1012,$A135)</f>
        <v>7.301050631532747</v>
      </c>
      <c r="H135" s="51">
        <f>SUMIFS('PIB-Mpal 2015-2022 Corrient '!L$5:L$1012,'PIB-Mpal 2015-2022 Corrient '!$A$5:$A$1012,$W$2,'PIB-Mpal 2015-2022 Corrient '!$E$5:$E$1012,$A135)</f>
        <v>35.070537863611342</v>
      </c>
      <c r="I135" s="51">
        <f>SUMIFS('PIB-Mpal 2015-2022 Corrient '!N$5:N$1012,'PIB-Mpal 2015-2022 Corrient '!$A$5:$A$1012,$W$2,'PIB-Mpal 2015-2022 Corrient '!$E$5:$E$1012,$A135)</f>
        <v>27.813090098529162</v>
      </c>
      <c r="J135" s="51">
        <f>SUMIFS('PIB-Mpal 2015-2022 Corrient '!O$5:O$1012,'PIB-Mpal 2015-2022 Corrient '!$A$5:$A$1012,$W$2,'PIB-Mpal 2015-2022 Corrient '!$E$5:$E$1012,$A135)</f>
        <v>107.81958108676929</v>
      </c>
      <c r="K135" s="51">
        <f>SUMIFS('PIB-Mpal 2015-2022 Corrient '!P$5:P$1012,'PIB-Mpal 2015-2022 Corrient '!$A$5:$A$1012,$W$2,'PIB-Mpal 2015-2022 Corrient '!$E$5:$E$1012,$A135)</f>
        <v>14.826685685870395</v>
      </c>
      <c r="L135" s="51">
        <f>SUMIFS('PIB-Mpal 2015-2022 Corrient '!Q$5:Q$1012,'PIB-Mpal 2015-2022 Corrient '!$A$5:$A$1012,$W$2,'PIB-Mpal 2015-2022 Corrient '!$E$5:$E$1012,$A135)</f>
        <v>10.527287062489561</v>
      </c>
      <c r="M135" s="51">
        <f>SUMIFS('PIB-Mpal 2015-2022 Corrient '!R$5:R$1012,'PIB-Mpal 2015-2022 Corrient '!$A$5:$A$1012,$W$2,'PIB-Mpal 2015-2022 Corrient '!$E$5:$E$1012,$A135)</f>
        <v>28.869111020690667</v>
      </c>
      <c r="N135" s="51">
        <f>SUMIFS('PIB-Mpal 2015-2022 Corrient '!S$5:S$1012,'PIB-Mpal 2015-2022 Corrient '!$A$5:$A$1012,$W$2,'PIB-Mpal 2015-2022 Corrient '!$E$5:$E$1012,$A135)</f>
        <v>46.953318850441676</v>
      </c>
      <c r="O135" s="51">
        <f>SUMIFS('PIB-Mpal 2015-2022 Corrient '!T$5:T$1012,'PIB-Mpal 2015-2022 Corrient '!$A$5:$A$1012,$W$2,'PIB-Mpal 2015-2022 Corrient '!$E$5:$E$1012,$A135)</f>
        <v>110.61171601194572</v>
      </c>
      <c r="P135" s="150">
        <f>SUMIFS('PIB-Mpal 2015-2022 Corrient '!U$5:U$1012,'PIB-Mpal 2015-2022 Corrient '!$A$5:$A$1012,$W$2,'PIB-Mpal 2015-2022 Corrient '!$E$5:$E$1012,$A135)</f>
        <v>11.579326215892745</v>
      </c>
      <c r="Q135" s="156">
        <f>SUMIFS('PIB-Mpal 2015-2022 Corrient '!J$5:J$1012,'PIB-Mpal 2015-2022 Corrient '!$A$5:$A$1012,$W$2,'PIB-Mpal 2015-2022 Corrient '!$E$5:$E$1012,$A135)</f>
        <v>105.44099196553296</v>
      </c>
      <c r="R135" s="52">
        <f>SUMIFS('PIB-Mpal 2015-2022 Corrient '!M$5:M$1012,'PIB-Mpal 2015-2022 Corrient '!$A$5:$A$1012,$W$2,'PIB-Mpal 2015-2022 Corrient '!$E$5:$E$1012,$A135)</f>
        <v>42.371588495144088</v>
      </c>
      <c r="S135" s="53">
        <f>SUMIFS('PIB-Mpal 2015-2022 Corrient '!V$5:V$1012,'PIB-Mpal 2015-2022 Corrient '!$A$5:$A$1012,$W$2,'PIB-Mpal 2015-2022 Corrient '!$E$5:$E$1012,$A135)</f>
        <v>359.00011603262919</v>
      </c>
      <c r="T135" s="207">
        <f>SUMIFS('PIB-Mpal 2015-2022 Corrient '!W$5:W$1012,'PIB-Mpal 2015-2022 Corrient '!$A$5:$A$1012,$W$2,'PIB-Mpal 2015-2022 Corrient '!$E$5:$E$1012,$A135)</f>
        <v>506.81269649330625</v>
      </c>
      <c r="U135" s="203">
        <f>SUMIFS('PIB-Mpal 2015-2022 Corrient '!X$5:X$1012,'PIB-Mpal 2015-2022 Corrient '!$A$5:$A$1012,$W$2,'PIB-Mpal 2015-2022 Corrient '!$E$5:$E$1012,$A135)</f>
        <v>51.218044704849319</v>
      </c>
      <c r="V135" s="88">
        <f>SUMIFS('PIB-Mpal 2015-2022 Corrient '!Y$5:Y$1012,'PIB-Mpal 2015-2022 Corrient '!$A$5:$A$1012,$W$2,'PIB-Mpal 2015-2022 Corrient '!$E$5:$E$1012,$A135)</f>
        <v>558.03074119815551</v>
      </c>
      <c r="W135" s="92">
        <f t="shared" si="22"/>
        <v>3.6339720222710627E-3</v>
      </c>
      <c r="X135" s="268">
        <f>INDEX(POBLACION!$C$4:$W$128,MATCH(A135,POBLACION!$A$4:$A$128,0),MATCH($W$2,POBLACION!$C$3:$W$3,0))</f>
        <v>43257</v>
      </c>
      <c r="Y135" s="258">
        <f t="shared" si="23"/>
        <v>11716.316353267825</v>
      </c>
      <c r="Z135" s="270">
        <f t="shared" si="24"/>
        <v>12900.356964148126</v>
      </c>
      <c r="AA135" s="273">
        <f t="shared" si="25"/>
        <v>4.0687910895906203</v>
      </c>
      <c r="AB135" s="273">
        <f t="shared" si="26"/>
        <v>4.11060172777327</v>
      </c>
      <c r="AG135" s="281"/>
      <c r="AH135" s="282"/>
      <c r="AI135" s="282"/>
    </row>
    <row r="136" spans="1:35" ht="30" x14ac:dyDescent="0.2">
      <c r="A136" s="35" t="s">
        <v>383</v>
      </c>
      <c r="B136" s="32" t="s">
        <v>368</v>
      </c>
      <c r="C136" s="33" t="s">
        <v>369</v>
      </c>
      <c r="D136" s="32" t="s">
        <v>384</v>
      </c>
      <c r="E136" s="51">
        <f>SUMIFS('PIB-Mpal 2015-2022 Corrient '!H$5:H$1012,'PIB-Mpal 2015-2022 Corrient '!$A$5:$A$1012,$W$2,'PIB-Mpal 2015-2022 Corrient '!$E$5:$E$1012,$A136)</f>
        <v>64.429145912743394</v>
      </c>
      <c r="F136" s="51">
        <f>SUMIFS('PIB-Mpal 2015-2022 Corrient '!I$5:I$1012,'PIB-Mpal 2015-2022 Corrient '!$A$5:$A$1012,$W$2,'PIB-Mpal 2015-2022 Corrient '!$E$5:$E$1012,$A136)</f>
        <v>0</v>
      </c>
      <c r="G136" s="51">
        <f>SUMIFS('PIB-Mpal 2015-2022 Corrient '!K$5:K$1012,'PIB-Mpal 2015-2022 Corrient '!$A$5:$A$1012,$W$2,'PIB-Mpal 2015-2022 Corrient '!$E$5:$E$1012,$A136)</f>
        <v>2.6555744405804189</v>
      </c>
      <c r="H136" s="51">
        <f>SUMIFS('PIB-Mpal 2015-2022 Corrient '!L$5:L$1012,'PIB-Mpal 2015-2022 Corrient '!$A$5:$A$1012,$W$2,'PIB-Mpal 2015-2022 Corrient '!$E$5:$E$1012,$A136)</f>
        <v>15.799620690547819</v>
      </c>
      <c r="I136" s="51">
        <f>SUMIFS('PIB-Mpal 2015-2022 Corrient '!N$5:N$1012,'PIB-Mpal 2015-2022 Corrient '!$A$5:$A$1012,$W$2,'PIB-Mpal 2015-2022 Corrient '!$E$5:$E$1012,$A136)</f>
        <v>11.530923538210274</v>
      </c>
      <c r="J136" s="51">
        <f>SUMIFS('PIB-Mpal 2015-2022 Corrient '!O$5:O$1012,'PIB-Mpal 2015-2022 Corrient '!$A$5:$A$1012,$W$2,'PIB-Mpal 2015-2022 Corrient '!$E$5:$E$1012,$A136)</f>
        <v>35.516428358311735</v>
      </c>
      <c r="K136" s="51">
        <f>SUMIFS('PIB-Mpal 2015-2022 Corrient '!P$5:P$1012,'PIB-Mpal 2015-2022 Corrient '!$A$5:$A$1012,$W$2,'PIB-Mpal 2015-2022 Corrient '!$E$5:$E$1012,$A136)</f>
        <v>6.8042652850244965</v>
      </c>
      <c r="L136" s="51">
        <f>SUMIFS('PIB-Mpal 2015-2022 Corrient '!Q$5:Q$1012,'PIB-Mpal 2015-2022 Corrient '!$A$5:$A$1012,$W$2,'PIB-Mpal 2015-2022 Corrient '!$E$5:$E$1012,$A136)</f>
        <v>3.8687605835039474</v>
      </c>
      <c r="M136" s="51">
        <f>SUMIFS('PIB-Mpal 2015-2022 Corrient '!R$5:R$1012,'PIB-Mpal 2015-2022 Corrient '!$A$5:$A$1012,$W$2,'PIB-Mpal 2015-2022 Corrient '!$E$5:$E$1012,$A136)</f>
        <v>6.9697014472535921</v>
      </c>
      <c r="N136" s="51">
        <f>SUMIFS('PIB-Mpal 2015-2022 Corrient '!S$5:S$1012,'PIB-Mpal 2015-2022 Corrient '!$A$5:$A$1012,$W$2,'PIB-Mpal 2015-2022 Corrient '!$E$5:$E$1012,$A136)</f>
        <v>19.297776754591403</v>
      </c>
      <c r="O136" s="51">
        <f>SUMIFS('PIB-Mpal 2015-2022 Corrient '!T$5:T$1012,'PIB-Mpal 2015-2022 Corrient '!$A$5:$A$1012,$W$2,'PIB-Mpal 2015-2022 Corrient '!$E$5:$E$1012,$A136)</f>
        <v>52.714258840637378</v>
      </c>
      <c r="P136" s="150">
        <f>SUMIFS('PIB-Mpal 2015-2022 Corrient '!U$5:U$1012,'PIB-Mpal 2015-2022 Corrient '!$A$5:$A$1012,$W$2,'PIB-Mpal 2015-2022 Corrient '!$E$5:$E$1012,$A136)</f>
        <v>4.8183527501269197</v>
      </c>
      <c r="Q136" s="156">
        <f>SUMIFS('PIB-Mpal 2015-2022 Corrient '!J$5:J$1012,'PIB-Mpal 2015-2022 Corrient '!$A$5:$A$1012,$W$2,'PIB-Mpal 2015-2022 Corrient '!$E$5:$E$1012,$A136)</f>
        <v>64.429145912743394</v>
      </c>
      <c r="R136" s="52">
        <f>SUMIFS('PIB-Mpal 2015-2022 Corrient '!M$5:M$1012,'PIB-Mpal 2015-2022 Corrient '!$A$5:$A$1012,$W$2,'PIB-Mpal 2015-2022 Corrient '!$E$5:$E$1012,$A136)</f>
        <v>18.455195131128239</v>
      </c>
      <c r="S136" s="53">
        <f>SUMIFS('PIB-Mpal 2015-2022 Corrient '!V$5:V$1012,'PIB-Mpal 2015-2022 Corrient '!$A$5:$A$1012,$W$2,'PIB-Mpal 2015-2022 Corrient '!$E$5:$E$1012,$A136)</f>
        <v>141.52046755765974</v>
      </c>
      <c r="T136" s="207">
        <f>SUMIFS('PIB-Mpal 2015-2022 Corrient '!W$5:W$1012,'PIB-Mpal 2015-2022 Corrient '!$A$5:$A$1012,$W$2,'PIB-Mpal 2015-2022 Corrient '!$E$5:$E$1012,$A136)</f>
        <v>224.40480860153139</v>
      </c>
      <c r="U136" s="203">
        <f>SUMIFS('PIB-Mpal 2015-2022 Corrient '!X$5:X$1012,'PIB-Mpal 2015-2022 Corrient '!$A$5:$A$1012,$W$2,'PIB-Mpal 2015-2022 Corrient '!$E$5:$E$1012,$A136)</f>
        <v>22.678152300567302</v>
      </c>
      <c r="V136" s="88">
        <f>SUMIFS('PIB-Mpal 2015-2022 Corrient '!Y$5:Y$1012,'PIB-Mpal 2015-2022 Corrient '!$A$5:$A$1012,$W$2,'PIB-Mpal 2015-2022 Corrient '!$E$5:$E$1012,$A136)</f>
        <v>247.08296090209868</v>
      </c>
      <c r="W136" s="92">
        <f t="shared" si="22"/>
        <v>1.6090378196194782E-3</v>
      </c>
      <c r="X136" s="268">
        <f>INDEX(POBLACION!$C$4:$W$128,MATCH(A136,POBLACION!$A$4:$A$128,0),MATCH($W$2,POBLACION!$C$3:$W$3,0))</f>
        <v>20549</v>
      </c>
      <c r="Y136" s="258">
        <f t="shared" si="23"/>
        <v>10920.473434304899</v>
      </c>
      <c r="Z136" s="270">
        <f t="shared" si="24"/>
        <v>12024.086860776617</v>
      </c>
      <c r="AA136" s="273">
        <f t="shared" si="25"/>
        <v>4.0382414667065571</v>
      </c>
      <c r="AB136" s="273">
        <f t="shared" si="26"/>
        <v>4.0800521048892078</v>
      </c>
      <c r="AG136" s="281"/>
      <c r="AH136" s="282"/>
      <c r="AI136" s="282"/>
    </row>
    <row r="137" spans="1:35" ht="30" x14ac:dyDescent="0.2">
      <c r="A137" s="35" t="s">
        <v>385</v>
      </c>
      <c r="B137" s="32" t="s">
        <v>368</v>
      </c>
      <c r="C137" s="33" t="s">
        <v>369</v>
      </c>
      <c r="D137" s="32" t="s">
        <v>386</v>
      </c>
      <c r="E137" s="51">
        <f>SUMIFS('PIB-Mpal 2015-2022 Corrient '!H$5:H$1012,'PIB-Mpal 2015-2022 Corrient '!$A$5:$A$1012,$W$2,'PIB-Mpal 2015-2022 Corrient '!$E$5:$E$1012,$A137)</f>
        <v>43.729453258265977</v>
      </c>
      <c r="F137" s="51">
        <f>SUMIFS('PIB-Mpal 2015-2022 Corrient '!I$5:I$1012,'PIB-Mpal 2015-2022 Corrient '!$A$5:$A$1012,$W$2,'PIB-Mpal 2015-2022 Corrient '!$E$5:$E$1012,$A137)</f>
        <v>0</v>
      </c>
      <c r="G137" s="51">
        <f>SUMIFS('PIB-Mpal 2015-2022 Corrient '!K$5:K$1012,'PIB-Mpal 2015-2022 Corrient '!$A$5:$A$1012,$W$2,'PIB-Mpal 2015-2022 Corrient '!$E$5:$E$1012,$A137)</f>
        <v>2.8663313358797682</v>
      </c>
      <c r="H137" s="51">
        <f>SUMIFS('PIB-Mpal 2015-2022 Corrient '!L$5:L$1012,'PIB-Mpal 2015-2022 Corrient '!$A$5:$A$1012,$W$2,'PIB-Mpal 2015-2022 Corrient '!$E$5:$E$1012,$A137)</f>
        <v>20.375582486038205</v>
      </c>
      <c r="I137" s="51">
        <f>SUMIFS('PIB-Mpal 2015-2022 Corrient '!N$5:N$1012,'PIB-Mpal 2015-2022 Corrient '!$A$5:$A$1012,$W$2,'PIB-Mpal 2015-2022 Corrient '!$E$5:$E$1012,$A137)</f>
        <v>11.099758821251097</v>
      </c>
      <c r="J137" s="51">
        <f>SUMIFS('PIB-Mpal 2015-2022 Corrient '!O$5:O$1012,'PIB-Mpal 2015-2022 Corrient '!$A$5:$A$1012,$W$2,'PIB-Mpal 2015-2022 Corrient '!$E$5:$E$1012,$A137)</f>
        <v>73.207058581280108</v>
      </c>
      <c r="K137" s="51">
        <f>SUMIFS('PIB-Mpal 2015-2022 Corrient '!P$5:P$1012,'PIB-Mpal 2015-2022 Corrient '!$A$5:$A$1012,$W$2,'PIB-Mpal 2015-2022 Corrient '!$E$5:$E$1012,$A137)</f>
        <v>9.0187251918001579</v>
      </c>
      <c r="L137" s="51">
        <f>SUMIFS('PIB-Mpal 2015-2022 Corrient '!Q$5:Q$1012,'PIB-Mpal 2015-2022 Corrient '!$A$5:$A$1012,$W$2,'PIB-Mpal 2015-2022 Corrient '!$E$5:$E$1012,$A137)</f>
        <v>5.1013956131954936</v>
      </c>
      <c r="M137" s="51">
        <f>SUMIFS('PIB-Mpal 2015-2022 Corrient '!R$5:R$1012,'PIB-Mpal 2015-2022 Corrient '!$A$5:$A$1012,$W$2,'PIB-Mpal 2015-2022 Corrient '!$E$5:$E$1012,$A137)</f>
        <v>12.15322861852507</v>
      </c>
      <c r="N137" s="51">
        <f>SUMIFS('PIB-Mpal 2015-2022 Corrient '!S$5:S$1012,'PIB-Mpal 2015-2022 Corrient '!$A$5:$A$1012,$W$2,'PIB-Mpal 2015-2022 Corrient '!$E$5:$E$1012,$A137)</f>
        <v>29.913188101733375</v>
      </c>
      <c r="O137" s="51">
        <f>SUMIFS('PIB-Mpal 2015-2022 Corrient '!T$5:T$1012,'PIB-Mpal 2015-2022 Corrient '!$A$5:$A$1012,$W$2,'PIB-Mpal 2015-2022 Corrient '!$E$5:$E$1012,$A137)</f>
        <v>69.471209508854244</v>
      </c>
      <c r="P137" s="150">
        <f>SUMIFS('PIB-Mpal 2015-2022 Corrient '!U$5:U$1012,'PIB-Mpal 2015-2022 Corrient '!$A$5:$A$1012,$W$2,'PIB-Mpal 2015-2022 Corrient '!$E$5:$E$1012,$A137)</f>
        <v>5.6496017232933093</v>
      </c>
      <c r="Q137" s="156">
        <f>SUMIFS('PIB-Mpal 2015-2022 Corrient '!J$5:J$1012,'PIB-Mpal 2015-2022 Corrient '!$A$5:$A$1012,$W$2,'PIB-Mpal 2015-2022 Corrient '!$E$5:$E$1012,$A137)</f>
        <v>43.729453258265977</v>
      </c>
      <c r="R137" s="52">
        <f>SUMIFS('PIB-Mpal 2015-2022 Corrient '!M$5:M$1012,'PIB-Mpal 2015-2022 Corrient '!$A$5:$A$1012,$W$2,'PIB-Mpal 2015-2022 Corrient '!$E$5:$E$1012,$A137)</f>
        <v>23.241913821917972</v>
      </c>
      <c r="S137" s="53">
        <f>SUMIFS('PIB-Mpal 2015-2022 Corrient '!V$5:V$1012,'PIB-Mpal 2015-2022 Corrient '!$A$5:$A$1012,$W$2,'PIB-Mpal 2015-2022 Corrient '!$E$5:$E$1012,$A137)</f>
        <v>215.61416615993284</v>
      </c>
      <c r="T137" s="207">
        <f>SUMIFS('PIB-Mpal 2015-2022 Corrient '!W$5:W$1012,'PIB-Mpal 2015-2022 Corrient '!$A$5:$A$1012,$W$2,'PIB-Mpal 2015-2022 Corrient '!$E$5:$E$1012,$A137)</f>
        <v>282.58553324011677</v>
      </c>
      <c r="U137" s="203">
        <f>SUMIFS('PIB-Mpal 2015-2022 Corrient '!X$5:X$1012,'PIB-Mpal 2015-2022 Corrient '!$A$5:$A$1012,$W$2,'PIB-Mpal 2015-2022 Corrient '!$E$5:$E$1012,$A137)</f>
        <v>28.557845086714682</v>
      </c>
      <c r="V137" s="88">
        <f>SUMIFS('PIB-Mpal 2015-2022 Corrient '!Y$5:Y$1012,'PIB-Mpal 2015-2022 Corrient '!$A$5:$A$1012,$W$2,'PIB-Mpal 2015-2022 Corrient '!$E$5:$E$1012,$A137)</f>
        <v>311.14337832683145</v>
      </c>
      <c r="W137" s="92">
        <f t="shared" si="22"/>
        <v>2.0262079636094847E-3</v>
      </c>
      <c r="X137" s="268">
        <f>INDEX(POBLACION!$C$4:$W$128,MATCH(A137,POBLACION!$A$4:$A$128,0),MATCH($W$2,POBLACION!$C$3:$W$3,0))</f>
        <v>31571</v>
      </c>
      <c r="Y137" s="258">
        <f t="shared" si="23"/>
        <v>8950.7945025535064</v>
      </c>
      <c r="Z137" s="270">
        <f t="shared" si="24"/>
        <v>9855.353911083952</v>
      </c>
      <c r="AA137" s="273">
        <f t="shared" si="25"/>
        <v>3.9518615864623454</v>
      </c>
      <c r="AB137" s="273">
        <f t="shared" si="26"/>
        <v>3.993672224644996</v>
      </c>
      <c r="AG137" s="281"/>
      <c r="AH137" s="282"/>
      <c r="AI137" s="282"/>
    </row>
    <row r="138" spans="1:35" ht="30" x14ac:dyDescent="0.2">
      <c r="A138" s="35" t="s">
        <v>387</v>
      </c>
      <c r="B138" s="32" t="s">
        <v>368</v>
      </c>
      <c r="C138" s="33" t="s">
        <v>369</v>
      </c>
      <c r="D138" s="32" t="s">
        <v>388</v>
      </c>
      <c r="E138" s="51">
        <f>SUMIFS('PIB-Mpal 2015-2022 Corrient '!H$5:H$1012,'PIB-Mpal 2015-2022 Corrient '!$A$5:$A$1012,$W$2,'PIB-Mpal 2015-2022 Corrient '!$E$5:$E$1012,$A138)</f>
        <v>773.24098080622991</v>
      </c>
      <c r="F138" s="51">
        <f>SUMIFS('PIB-Mpal 2015-2022 Corrient '!I$5:I$1012,'PIB-Mpal 2015-2022 Corrient '!$A$5:$A$1012,$W$2,'PIB-Mpal 2015-2022 Corrient '!$E$5:$E$1012,$A138)</f>
        <v>0</v>
      </c>
      <c r="G138" s="51">
        <f>SUMIFS('PIB-Mpal 2015-2022 Corrient '!K$5:K$1012,'PIB-Mpal 2015-2022 Corrient '!$A$5:$A$1012,$W$2,'PIB-Mpal 2015-2022 Corrient '!$E$5:$E$1012,$A138)</f>
        <v>26.659920472741241</v>
      </c>
      <c r="H138" s="51">
        <f>SUMIFS('PIB-Mpal 2015-2022 Corrient '!L$5:L$1012,'PIB-Mpal 2015-2022 Corrient '!$A$5:$A$1012,$W$2,'PIB-Mpal 2015-2022 Corrient '!$E$5:$E$1012,$A138)</f>
        <v>164.78289457538688</v>
      </c>
      <c r="I138" s="51">
        <f>SUMIFS('PIB-Mpal 2015-2022 Corrient '!N$5:N$1012,'PIB-Mpal 2015-2022 Corrient '!$A$5:$A$1012,$W$2,'PIB-Mpal 2015-2022 Corrient '!$E$5:$E$1012,$A138)</f>
        <v>62.493760127028686</v>
      </c>
      <c r="J138" s="51">
        <f>SUMIFS('PIB-Mpal 2015-2022 Corrient '!O$5:O$1012,'PIB-Mpal 2015-2022 Corrient '!$A$5:$A$1012,$W$2,'PIB-Mpal 2015-2022 Corrient '!$E$5:$E$1012,$A138)</f>
        <v>405.91048701721354</v>
      </c>
      <c r="K138" s="51">
        <f>SUMIFS('PIB-Mpal 2015-2022 Corrient '!P$5:P$1012,'PIB-Mpal 2015-2022 Corrient '!$A$5:$A$1012,$W$2,'PIB-Mpal 2015-2022 Corrient '!$E$5:$E$1012,$A138)</f>
        <v>55.562312912093567</v>
      </c>
      <c r="L138" s="51">
        <f>SUMIFS('PIB-Mpal 2015-2022 Corrient '!Q$5:Q$1012,'PIB-Mpal 2015-2022 Corrient '!$A$5:$A$1012,$W$2,'PIB-Mpal 2015-2022 Corrient '!$E$5:$E$1012,$A138)</f>
        <v>40.567619963986459</v>
      </c>
      <c r="M138" s="51">
        <f>SUMIFS('PIB-Mpal 2015-2022 Corrient '!R$5:R$1012,'PIB-Mpal 2015-2022 Corrient '!$A$5:$A$1012,$W$2,'PIB-Mpal 2015-2022 Corrient '!$E$5:$E$1012,$A138)</f>
        <v>90.273445747811706</v>
      </c>
      <c r="N138" s="51">
        <f>SUMIFS('PIB-Mpal 2015-2022 Corrient '!S$5:S$1012,'PIB-Mpal 2015-2022 Corrient '!$A$5:$A$1012,$W$2,'PIB-Mpal 2015-2022 Corrient '!$E$5:$E$1012,$A138)</f>
        <v>187.70847638000805</v>
      </c>
      <c r="O138" s="51">
        <f>SUMIFS('PIB-Mpal 2015-2022 Corrient '!T$5:T$1012,'PIB-Mpal 2015-2022 Corrient '!$A$5:$A$1012,$W$2,'PIB-Mpal 2015-2022 Corrient '!$E$5:$E$1012,$A138)</f>
        <v>447.04237374170464</v>
      </c>
      <c r="P138" s="150">
        <f>SUMIFS('PIB-Mpal 2015-2022 Corrient '!U$5:U$1012,'PIB-Mpal 2015-2022 Corrient '!$A$5:$A$1012,$W$2,'PIB-Mpal 2015-2022 Corrient '!$E$5:$E$1012,$A138)</f>
        <v>38.59522882511525</v>
      </c>
      <c r="Q138" s="156">
        <f>SUMIFS('PIB-Mpal 2015-2022 Corrient '!J$5:J$1012,'PIB-Mpal 2015-2022 Corrient '!$A$5:$A$1012,$W$2,'PIB-Mpal 2015-2022 Corrient '!$E$5:$E$1012,$A138)</f>
        <v>773.24098080622991</v>
      </c>
      <c r="R138" s="52">
        <f>SUMIFS('PIB-Mpal 2015-2022 Corrient '!M$5:M$1012,'PIB-Mpal 2015-2022 Corrient '!$A$5:$A$1012,$W$2,'PIB-Mpal 2015-2022 Corrient '!$E$5:$E$1012,$A138)</f>
        <v>191.44281504812812</v>
      </c>
      <c r="S138" s="53">
        <f>SUMIFS('PIB-Mpal 2015-2022 Corrient '!V$5:V$1012,'PIB-Mpal 2015-2022 Corrient '!$A$5:$A$1012,$W$2,'PIB-Mpal 2015-2022 Corrient '!$E$5:$E$1012,$A138)</f>
        <v>1328.153704714962</v>
      </c>
      <c r="T138" s="207">
        <f>SUMIFS('PIB-Mpal 2015-2022 Corrient '!W$5:W$1012,'PIB-Mpal 2015-2022 Corrient '!$A$5:$A$1012,$W$2,'PIB-Mpal 2015-2022 Corrient '!$E$5:$E$1012,$A138)</f>
        <v>2292.8375005693201</v>
      </c>
      <c r="U138" s="203">
        <f>SUMIFS('PIB-Mpal 2015-2022 Corrient '!X$5:X$1012,'PIB-Mpal 2015-2022 Corrient '!$A$5:$A$1012,$W$2,'PIB-Mpal 2015-2022 Corrient '!$E$5:$E$1012,$A138)</f>
        <v>231.71213826657836</v>
      </c>
      <c r="V138" s="88">
        <f>SUMIFS('PIB-Mpal 2015-2022 Corrient '!Y$5:Y$1012,'PIB-Mpal 2015-2022 Corrient '!$A$5:$A$1012,$W$2,'PIB-Mpal 2015-2022 Corrient '!$E$5:$E$1012,$A138)</f>
        <v>2524.5496388358983</v>
      </c>
      <c r="W138" s="92">
        <f t="shared" si="22"/>
        <v>1.6440210330825579E-2</v>
      </c>
      <c r="X138" s="268">
        <f>INDEX(POBLACION!$C$4:$W$128,MATCH(A138,POBLACION!$A$4:$A$128,0),MATCH($W$2,POBLACION!$C$3:$W$3,0))</f>
        <v>127565</v>
      </c>
      <c r="Y138" s="258">
        <f t="shared" si="23"/>
        <v>17973.876067646455</v>
      </c>
      <c r="Z138" s="270">
        <f t="shared" si="24"/>
        <v>19790.30015157683</v>
      </c>
      <c r="AA138" s="273">
        <f t="shared" si="25"/>
        <v>4.2546417428446164</v>
      </c>
      <c r="AB138" s="273">
        <f t="shared" si="26"/>
        <v>4.296452381027267</v>
      </c>
      <c r="AG138" s="281"/>
      <c r="AH138" s="282"/>
      <c r="AI138" s="282"/>
    </row>
    <row r="139" spans="1:35" ht="31" thickBot="1" x14ac:dyDescent="0.25">
      <c r="A139" s="68" t="s">
        <v>389</v>
      </c>
      <c r="B139" s="40" t="s">
        <v>368</v>
      </c>
      <c r="C139" s="39" t="s">
        <v>369</v>
      </c>
      <c r="D139" s="40" t="s">
        <v>390</v>
      </c>
      <c r="E139" s="51">
        <f>SUMIFS('PIB-Mpal 2015-2022 Corrient '!H$5:H$1012,'PIB-Mpal 2015-2022 Corrient '!$A$5:$A$1012,$W$2,'PIB-Mpal 2015-2022 Corrient '!$E$5:$E$1012,$A139)</f>
        <v>11.350702279084786</v>
      </c>
      <c r="F139" s="51">
        <f>SUMIFS('PIB-Mpal 2015-2022 Corrient '!I$5:I$1012,'PIB-Mpal 2015-2022 Corrient '!$A$5:$A$1012,$W$2,'PIB-Mpal 2015-2022 Corrient '!$E$5:$E$1012,$A139)</f>
        <v>0.24263145378533402</v>
      </c>
      <c r="G139" s="51">
        <f>SUMIFS('PIB-Mpal 2015-2022 Corrient '!K$5:K$1012,'PIB-Mpal 2015-2022 Corrient '!$A$5:$A$1012,$W$2,'PIB-Mpal 2015-2022 Corrient '!$E$5:$E$1012,$A139)</f>
        <v>0.77398036704525475</v>
      </c>
      <c r="H139" s="51">
        <f>SUMIFS('PIB-Mpal 2015-2022 Corrient '!L$5:L$1012,'PIB-Mpal 2015-2022 Corrient '!$A$5:$A$1012,$W$2,'PIB-Mpal 2015-2022 Corrient '!$E$5:$E$1012,$A139)</f>
        <v>5.7548978015148613</v>
      </c>
      <c r="I139" s="51">
        <f>SUMIFS('PIB-Mpal 2015-2022 Corrient '!N$5:N$1012,'PIB-Mpal 2015-2022 Corrient '!$A$5:$A$1012,$W$2,'PIB-Mpal 2015-2022 Corrient '!$E$5:$E$1012,$A139)</f>
        <v>2.1636282090273387</v>
      </c>
      <c r="J139" s="51">
        <f>SUMIFS('PIB-Mpal 2015-2022 Corrient '!O$5:O$1012,'PIB-Mpal 2015-2022 Corrient '!$A$5:$A$1012,$W$2,'PIB-Mpal 2015-2022 Corrient '!$E$5:$E$1012,$A139)</f>
        <v>14.312850302919701</v>
      </c>
      <c r="K139" s="51">
        <f>SUMIFS('PIB-Mpal 2015-2022 Corrient '!P$5:P$1012,'PIB-Mpal 2015-2022 Corrient '!$A$5:$A$1012,$W$2,'PIB-Mpal 2015-2022 Corrient '!$E$5:$E$1012,$A139)</f>
        <v>9.8268450776100487</v>
      </c>
      <c r="L139" s="51">
        <f>SUMIFS('PIB-Mpal 2015-2022 Corrient '!Q$5:Q$1012,'PIB-Mpal 2015-2022 Corrient '!$A$5:$A$1012,$W$2,'PIB-Mpal 2015-2022 Corrient '!$E$5:$E$1012,$A139)</f>
        <v>0.71348901757125205</v>
      </c>
      <c r="M139" s="51">
        <f>SUMIFS('PIB-Mpal 2015-2022 Corrient '!R$5:R$1012,'PIB-Mpal 2015-2022 Corrient '!$A$5:$A$1012,$W$2,'PIB-Mpal 2015-2022 Corrient '!$E$5:$E$1012,$A139)</f>
        <v>2.9139134680351568</v>
      </c>
      <c r="N139" s="51">
        <f>SUMIFS('PIB-Mpal 2015-2022 Corrient '!S$5:S$1012,'PIB-Mpal 2015-2022 Corrient '!$A$5:$A$1012,$W$2,'PIB-Mpal 2015-2022 Corrient '!$E$5:$E$1012,$A139)</f>
        <v>11.143224887348643</v>
      </c>
      <c r="O139" s="51">
        <f>SUMIFS('PIB-Mpal 2015-2022 Corrient '!T$5:T$1012,'PIB-Mpal 2015-2022 Corrient '!$A$5:$A$1012,$W$2,'PIB-Mpal 2015-2022 Corrient '!$E$5:$E$1012,$A139)</f>
        <v>19.745408586860538</v>
      </c>
      <c r="P139" s="150">
        <f>SUMIFS('PIB-Mpal 2015-2022 Corrient '!U$5:U$1012,'PIB-Mpal 2015-2022 Corrient '!$A$5:$A$1012,$W$2,'PIB-Mpal 2015-2022 Corrient '!$E$5:$E$1012,$A139)</f>
        <v>1.7807821066303007</v>
      </c>
      <c r="Q139" s="156">
        <f>SUMIFS('PIB-Mpal 2015-2022 Corrient '!J$5:J$1012,'PIB-Mpal 2015-2022 Corrient '!$A$5:$A$1012,$W$2,'PIB-Mpal 2015-2022 Corrient '!$E$5:$E$1012,$A139)</f>
        <v>11.59333373287012</v>
      </c>
      <c r="R139" s="52">
        <f>SUMIFS('PIB-Mpal 2015-2022 Corrient '!M$5:M$1012,'PIB-Mpal 2015-2022 Corrient '!$A$5:$A$1012,$W$2,'PIB-Mpal 2015-2022 Corrient '!$E$5:$E$1012,$A139)</f>
        <v>6.5288781685601158</v>
      </c>
      <c r="S139" s="53">
        <f>SUMIFS('PIB-Mpal 2015-2022 Corrient '!V$5:V$1012,'PIB-Mpal 2015-2022 Corrient '!$A$5:$A$1012,$W$2,'PIB-Mpal 2015-2022 Corrient '!$E$5:$E$1012,$A139)</f>
        <v>62.600141656002975</v>
      </c>
      <c r="T139" s="207">
        <f>SUMIFS('PIB-Mpal 2015-2022 Corrient '!W$5:W$1012,'PIB-Mpal 2015-2022 Corrient '!$A$5:$A$1012,$W$2,'PIB-Mpal 2015-2022 Corrient '!$E$5:$E$1012,$A139)</f>
        <v>80.722353557433209</v>
      </c>
      <c r="U139" s="203">
        <f>SUMIFS('PIB-Mpal 2015-2022 Corrient '!X$5:X$1012,'PIB-Mpal 2015-2022 Corrient '!$A$5:$A$1012,$W$2,'PIB-Mpal 2015-2022 Corrient '!$E$5:$E$1012,$A139)</f>
        <v>8.1577299499241587</v>
      </c>
      <c r="V139" s="88">
        <f>SUMIFS('PIB-Mpal 2015-2022 Corrient '!Y$5:Y$1012,'PIB-Mpal 2015-2022 Corrient '!$A$5:$A$1012,$W$2,'PIB-Mpal 2015-2022 Corrient '!$E$5:$E$1012,$A139)</f>
        <v>88.880083507357369</v>
      </c>
      <c r="W139" s="93">
        <f t="shared" si="22"/>
        <v>5.7879918247758346E-4</v>
      </c>
      <c r="X139" s="269">
        <f>INDEX(POBLACION!$C$4:$W$128,MATCH(A139,POBLACION!$A$4:$A$128,0),MATCH($W$2,POBLACION!$C$3:$W$3,0))</f>
        <v>9265</v>
      </c>
      <c r="Y139" s="259">
        <f t="shared" si="23"/>
        <v>8712.6123645367734</v>
      </c>
      <c r="Z139" s="271">
        <f t="shared" si="24"/>
        <v>9593.1012959910822</v>
      </c>
      <c r="AA139" s="274">
        <f t="shared" si="25"/>
        <v>3.9401483921371825</v>
      </c>
      <c r="AB139" s="274">
        <f t="shared" si="26"/>
        <v>3.9819590303198331</v>
      </c>
      <c r="AG139" s="281"/>
      <c r="AH139" s="282"/>
      <c r="AI139" s="282"/>
    </row>
    <row r="140" spans="1:35" ht="16" thickBot="1" x14ac:dyDescent="0.25">
      <c r="A140" s="71" t="s">
        <v>391</v>
      </c>
      <c r="B140" s="72" t="s">
        <v>392</v>
      </c>
      <c r="C140" s="72" t="s">
        <v>393</v>
      </c>
      <c r="D140" s="72" t="s">
        <v>394</v>
      </c>
      <c r="E140" s="438"/>
      <c r="F140" s="439"/>
      <c r="G140" s="439"/>
      <c r="H140" s="439"/>
      <c r="I140" s="439"/>
      <c r="J140" s="439"/>
      <c r="K140" s="439"/>
      <c r="L140" s="439"/>
      <c r="M140" s="439"/>
      <c r="N140" s="439"/>
      <c r="O140" s="439"/>
      <c r="P140" s="439"/>
      <c r="Q140" s="439"/>
      <c r="R140" s="439"/>
      <c r="S140" s="439"/>
      <c r="T140" s="439"/>
      <c r="U140" s="439"/>
      <c r="V140" s="439"/>
      <c r="W140" s="439"/>
      <c r="X140" s="256"/>
      <c r="Y140" s="256"/>
      <c r="Z140" s="256"/>
      <c r="AA140" s="256"/>
      <c r="AB140" s="256"/>
      <c r="AC140" s="256"/>
      <c r="AD140" s="256"/>
      <c r="AG140" s="281"/>
      <c r="AH140" s="282"/>
      <c r="AI140" s="282"/>
    </row>
    <row r="141" spans="1:35" ht="30" x14ac:dyDescent="0.2">
      <c r="A141" s="73" t="s">
        <v>395</v>
      </c>
      <c r="B141" s="74" t="s">
        <v>317</v>
      </c>
      <c r="C141" s="75" t="s">
        <v>396</v>
      </c>
      <c r="D141" s="76" t="s">
        <v>397</v>
      </c>
      <c r="E141" s="77">
        <f t="shared" ref="E141:E146" si="27">SUMIF($C$7:$C$139,"*Provincia "&amp;$C141&amp;"*",E$7:E$139)</f>
        <v>642.69443905182152</v>
      </c>
      <c r="F141" s="77">
        <f t="shared" ref="F141:X146" si="28">SUMIF($C$7:$C$139,"*Provincia "&amp;$C141&amp;"*",F$7:F$139)</f>
        <v>10.423110089846887</v>
      </c>
      <c r="G141" s="77">
        <f t="shared" si="28"/>
        <v>77.402558715335672</v>
      </c>
      <c r="H141" s="77">
        <f t="shared" si="28"/>
        <v>198.14540071618416</v>
      </c>
      <c r="I141" s="77">
        <f t="shared" si="28"/>
        <v>81.652671560131708</v>
      </c>
      <c r="J141" s="77">
        <f t="shared" si="28"/>
        <v>328.56595650958798</v>
      </c>
      <c r="K141" s="77">
        <f t="shared" si="28"/>
        <v>57.247049143479423</v>
      </c>
      <c r="L141" s="77">
        <f t="shared" si="28"/>
        <v>37.259466786112128</v>
      </c>
      <c r="M141" s="77">
        <f t="shared" si="28"/>
        <v>145.96156931221617</v>
      </c>
      <c r="N141" s="77">
        <f t="shared" si="28"/>
        <v>179.66466376554462</v>
      </c>
      <c r="O141" s="77">
        <f t="shared" si="28"/>
        <v>315.08366763924545</v>
      </c>
      <c r="P141" s="194">
        <f t="shared" si="28"/>
        <v>59.187441427552457</v>
      </c>
      <c r="Q141" s="198">
        <f t="shared" si="28"/>
        <v>653.11754914166841</v>
      </c>
      <c r="R141" s="149">
        <f t="shared" si="28"/>
        <v>275.54795943151981</v>
      </c>
      <c r="S141" s="199">
        <f t="shared" si="28"/>
        <v>1204.62248614387</v>
      </c>
      <c r="T141" s="213">
        <f t="shared" si="28"/>
        <v>2133.2879947170586</v>
      </c>
      <c r="U141" s="210">
        <f t="shared" si="28"/>
        <v>215.58820573702761</v>
      </c>
      <c r="V141" s="95">
        <f t="shared" si="28"/>
        <v>2348.8762004540858</v>
      </c>
      <c r="W141" s="94">
        <f t="shared" si="22"/>
        <v>1.5296201026311341E-2</v>
      </c>
      <c r="X141" s="261">
        <f t="shared" si="28"/>
        <v>133903</v>
      </c>
      <c r="Y141" s="265">
        <f t="shared" si="23"/>
        <v>15931.59223256431</v>
      </c>
      <c r="Z141" s="264">
        <f t="shared" si="24"/>
        <v>17541.624910973511</v>
      </c>
      <c r="AA141" s="272">
        <f t="shared" si="25"/>
        <v>4.2022591821577322</v>
      </c>
      <c r="AB141" s="272">
        <f t="shared" si="26"/>
        <v>4.2440698203403828</v>
      </c>
      <c r="AG141" s="281"/>
      <c r="AH141" s="282"/>
      <c r="AI141" s="282"/>
    </row>
    <row r="142" spans="1:35" x14ac:dyDescent="0.2">
      <c r="A142" s="57" t="s">
        <v>398</v>
      </c>
      <c r="B142" s="58" t="s">
        <v>399</v>
      </c>
      <c r="C142" s="59" t="s">
        <v>400</v>
      </c>
      <c r="D142" s="32" t="s">
        <v>401</v>
      </c>
      <c r="E142" s="61">
        <f t="shared" si="27"/>
        <v>853.1911270073947</v>
      </c>
      <c r="F142" s="61">
        <f t="shared" ref="F142:T142" si="29">SUMIF($C$7:$C$139,"*Provincia "&amp;$C142&amp;"*",F$7:F$139)</f>
        <v>4.3438086815088397</v>
      </c>
      <c r="G142" s="61">
        <f t="shared" si="29"/>
        <v>219.45403114666408</v>
      </c>
      <c r="H142" s="61">
        <f t="shared" si="29"/>
        <v>145.64755298299789</v>
      </c>
      <c r="I142" s="61">
        <f t="shared" si="29"/>
        <v>65.09711361734729</v>
      </c>
      <c r="J142" s="61">
        <f t="shared" si="29"/>
        <v>250.05057236530831</v>
      </c>
      <c r="K142" s="61">
        <f t="shared" si="29"/>
        <v>51.821870835223272</v>
      </c>
      <c r="L142" s="61">
        <f t="shared" si="29"/>
        <v>37.77279402539704</v>
      </c>
      <c r="M142" s="61">
        <f t="shared" si="29"/>
        <v>120.05393128173935</v>
      </c>
      <c r="N142" s="61">
        <f t="shared" si="29"/>
        <v>166.79223255574584</v>
      </c>
      <c r="O142" s="61">
        <f t="shared" si="29"/>
        <v>287.66081384605081</v>
      </c>
      <c r="P142" s="195">
        <f t="shared" si="29"/>
        <v>53.319707040388636</v>
      </c>
      <c r="Q142" s="200">
        <f t="shared" si="29"/>
        <v>857.53493568890349</v>
      </c>
      <c r="R142" s="147">
        <f t="shared" si="29"/>
        <v>365.101584129662</v>
      </c>
      <c r="S142" s="53">
        <f t="shared" si="29"/>
        <v>1032.5690355672007</v>
      </c>
      <c r="T142" s="207">
        <f t="shared" si="29"/>
        <v>2255.2055553857663</v>
      </c>
      <c r="U142" s="211">
        <f t="shared" si="28"/>
        <v>227.90908703270469</v>
      </c>
      <c r="V142" s="88">
        <f t="shared" si="28"/>
        <v>2483.1146424184708</v>
      </c>
      <c r="W142" s="92">
        <f t="shared" si="22"/>
        <v>1.6170380003197864E-2</v>
      </c>
      <c r="X142" s="262">
        <f t="shared" si="28"/>
        <v>130512</v>
      </c>
      <c r="Y142" s="266">
        <f t="shared" si="23"/>
        <v>17279.679687582495</v>
      </c>
      <c r="Z142" s="258">
        <f t="shared" si="24"/>
        <v>19025.948896794704</v>
      </c>
      <c r="AA142" s="273">
        <f t="shared" si="25"/>
        <v>4.2375356877259334</v>
      </c>
      <c r="AB142" s="273">
        <f t="shared" si="26"/>
        <v>4.279346325908584</v>
      </c>
      <c r="AG142" s="281"/>
      <c r="AH142" s="282"/>
      <c r="AI142" s="282"/>
    </row>
    <row r="143" spans="1:35" x14ac:dyDescent="0.2">
      <c r="A143" s="57" t="s">
        <v>402</v>
      </c>
      <c r="B143" s="58" t="s">
        <v>317</v>
      </c>
      <c r="C143" s="59" t="s">
        <v>403</v>
      </c>
      <c r="D143" s="32" t="s">
        <v>404</v>
      </c>
      <c r="E143" s="61">
        <f t="shared" si="27"/>
        <v>479.69022462834357</v>
      </c>
      <c r="F143" s="61">
        <f t="shared" si="28"/>
        <v>4.5598633099984909</v>
      </c>
      <c r="G143" s="61">
        <f t="shared" si="28"/>
        <v>123.30713096321189</v>
      </c>
      <c r="H143" s="61">
        <f t="shared" si="28"/>
        <v>135.58370583748408</v>
      </c>
      <c r="I143" s="61">
        <f t="shared" si="28"/>
        <v>63.898944712948889</v>
      </c>
      <c r="J143" s="61">
        <f t="shared" si="28"/>
        <v>272.38086922920365</v>
      </c>
      <c r="K143" s="61">
        <f t="shared" si="28"/>
        <v>49.939073693617388</v>
      </c>
      <c r="L143" s="61">
        <f t="shared" si="28"/>
        <v>43.990261900104478</v>
      </c>
      <c r="M143" s="61">
        <f t="shared" si="28"/>
        <v>115.71838825508742</v>
      </c>
      <c r="N143" s="61">
        <f t="shared" si="28"/>
        <v>149.55755316005582</v>
      </c>
      <c r="O143" s="61">
        <f t="shared" si="28"/>
        <v>274.96814535419412</v>
      </c>
      <c r="P143" s="195">
        <f t="shared" si="28"/>
        <v>46.101145458532869</v>
      </c>
      <c r="Q143" s="200">
        <f t="shared" si="28"/>
        <v>484.25008793834206</v>
      </c>
      <c r="R143" s="147">
        <f t="shared" si="28"/>
        <v>258.89083680069598</v>
      </c>
      <c r="S143" s="53">
        <f t="shared" si="28"/>
        <v>1016.5543817637445</v>
      </c>
      <c r="T143" s="207">
        <f t="shared" si="28"/>
        <v>1759.6953065027824</v>
      </c>
      <c r="U143" s="211">
        <f t="shared" si="28"/>
        <v>177.83325772811102</v>
      </c>
      <c r="V143" s="88">
        <f t="shared" si="28"/>
        <v>1937.5285642308938</v>
      </c>
      <c r="W143" s="92">
        <f t="shared" si="22"/>
        <v>1.2617449317663796E-2</v>
      </c>
      <c r="X143" s="262">
        <f t="shared" si="28"/>
        <v>118557</v>
      </c>
      <c r="Y143" s="266">
        <f t="shared" si="23"/>
        <v>14842.609938702753</v>
      </c>
      <c r="Z143" s="258">
        <f t="shared" si="24"/>
        <v>16342.591025674517</v>
      </c>
      <c r="AA143" s="273">
        <f t="shared" si="25"/>
        <v>4.1715102744143424</v>
      </c>
      <c r="AB143" s="273">
        <f t="shared" si="26"/>
        <v>4.2133209125969922</v>
      </c>
      <c r="AG143" s="281"/>
      <c r="AH143" s="282"/>
      <c r="AI143" s="282"/>
    </row>
    <row r="144" spans="1:35" x14ac:dyDescent="0.2">
      <c r="A144" s="57" t="s">
        <v>405</v>
      </c>
      <c r="B144" s="58" t="s">
        <v>264</v>
      </c>
      <c r="C144" s="59" t="s">
        <v>406</v>
      </c>
      <c r="D144" s="32" t="s">
        <v>407</v>
      </c>
      <c r="E144" s="61">
        <f t="shared" si="27"/>
        <v>539.1695471341751</v>
      </c>
      <c r="F144" s="61">
        <f t="shared" si="28"/>
        <v>19.962481792858902</v>
      </c>
      <c r="G144" s="61">
        <f t="shared" si="28"/>
        <v>351.6538241610437</v>
      </c>
      <c r="H144" s="61">
        <f t="shared" si="28"/>
        <v>63.679651560794682</v>
      </c>
      <c r="I144" s="61">
        <f t="shared" si="28"/>
        <v>58.135412184416246</v>
      </c>
      <c r="J144" s="61">
        <f t="shared" si="28"/>
        <v>147.11082124038757</v>
      </c>
      <c r="K144" s="61">
        <f t="shared" si="28"/>
        <v>31.161157890156169</v>
      </c>
      <c r="L144" s="61">
        <f t="shared" si="28"/>
        <v>25.325688857356631</v>
      </c>
      <c r="M144" s="61">
        <f t="shared" si="28"/>
        <v>96.23775467803739</v>
      </c>
      <c r="N144" s="61">
        <f t="shared" si="28"/>
        <v>118.28426587629298</v>
      </c>
      <c r="O144" s="61">
        <f t="shared" si="28"/>
        <v>152.22673301879476</v>
      </c>
      <c r="P144" s="195">
        <f t="shared" si="28"/>
        <v>27.845693045013032</v>
      </c>
      <c r="Q144" s="200">
        <f t="shared" si="28"/>
        <v>559.13202892703396</v>
      </c>
      <c r="R144" s="147">
        <f t="shared" si="28"/>
        <v>415.3334757218384</v>
      </c>
      <c r="S144" s="53">
        <f t="shared" si="28"/>
        <v>656.32752679045484</v>
      </c>
      <c r="T144" s="207">
        <f t="shared" si="28"/>
        <v>1630.793031439327</v>
      </c>
      <c r="U144" s="211">
        <f t="shared" si="28"/>
        <v>164.80650734786667</v>
      </c>
      <c r="V144" s="88">
        <f t="shared" si="28"/>
        <v>1795.599538787194</v>
      </c>
      <c r="W144" s="92">
        <f t="shared" si="22"/>
        <v>1.1693188216020552E-2</v>
      </c>
      <c r="X144" s="262">
        <f t="shared" si="28"/>
        <v>75931</v>
      </c>
      <c r="Y144" s="266">
        <f t="shared" si="23"/>
        <v>21477.302174860426</v>
      </c>
      <c r="Z144" s="258">
        <f t="shared" si="24"/>
        <v>23647.779415353332</v>
      </c>
      <c r="AA144" s="273">
        <f t="shared" si="25"/>
        <v>4.3319797274858347</v>
      </c>
      <c r="AB144" s="273">
        <f t="shared" si="26"/>
        <v>4.3737903656684853</v>
      </c>
      <c r="AG144" s="281"/>
      <c r="AH144" s="282"/>
      <c r="AI144" s="282"/>
    </row>
    <row r="145" spans="1:35" ht="30" x14ac:dyDescent="0.2">
      <c r="A145" s="57" t="s">
        <v>408</v>
      </c>
      <c r="B145" s="58" t="s">
        <v>264</v>
      </c>
      <c r="C145" s="59" t="s">
        <v>409</v>
      </c>
      <c r="D145" s="32" t="s">
        <v>410</v>
      </c>
      <c r="E145" s="61">
        <f t="shared" si="27"/>
        <v>631.7797473650711</v>
      </c>
      <c r="F145" s="61">
        <f t="shared" si="28"/>
        <v>1.6004290931892351</v>
      </c>
      <c r="G145" s="61">
        <f t="shared" si="28"/>
        <v>277.12756719402989</v>
      </c>
      <c r="H145" s="61">
        <f t="shared" si="28"/>
        <v>310.89068359881361</v>
      </c>
      <c r="I145" s="61">
        <f t="shared" si="28"/>
        <v>953.43456833281675</v>
      </c>
      <c r="J145" s="61">
        <f t="shared" si="28"/>
        <v>515.05984029403612</v>
      </c>
      <c r="K145" s="61">
        <f t="shared" si="28"/>
        <v>80.947804464634402</v>
      </c>
      <c r="L145" s="61">
        <f t="shared" si="28"/>
        <v>56.881618159090728</v>
      </c>
      <c r="M145" s="61">
        <f t="shared" si="28"/>
        <v>311.97839277822965</v>
      </c>
      <c r="N145" s="61">
        <f t="shared" si="28"/>
        <v>272.13182246062377</v>
      </c>
      <c r="O145" s="61">
        <f t="shared" si="28"/>
        <v>376.16600485683858</v>
      </c>
      <c r="P145" s="195">
        <f t="shared" si="28"/>
        <v>81.471788623633714</v>
      </c>
      <c r="Q145" s="200">
        <f t="shared" si="28"/>
        <v>633.38017645826028</v>
      </c>
      <c r="R145" s="147">
        <f t="shared" si="28"/>
        <v>588.01825079284345</v>
      </c>
      <c r="S145" s="53">
        <f t="shared" si="28"/>
        <v>2648.0718399699035</v>
      </c>
      <c r="T145" s="207">
        <f t="shared" si="28"/>
        <v>3869.4702672210069</v>
      </c>
      <c r="U145" s="211">
        <f t="shared" si="28"/>
        <v>391.04525695959626</v>
      </c>
      <c r="V145" s="88">
        <f t="shared" si="28"/>
        <v>4260.5155241806033</v>
      </c>
      <c r="W145" s="92">
        <f t="shared" si="22"/>
        <v>2.7745056091499461E-2</v>
      </c>
      <c r="X145" s="262">
        <f t="shared" si="28"/>
        <v>203356</v>
      </c>
      <c r="Y145" s="266">
        <f t="shared" si="23"/>
        <v>19028.060481229997</v>
      </c>
      <c r="Z145" s="258">
        <f t="shared" si="24"/>
        <v>20951.019513467039</v>
      </c>
      <c r="AA145" s="273">
        <f t="shared" si="25"/>
        <v>4.2793945231673884</v>
      </c>
      <c r="AB145" s="273">
        <f t="shared" si="26"/>
        <v>4.3212051613500382</v>
      </c>
      <c r="AG145" s="281"/>
      <c r="AH145" s="282"/>
      <c r="AI145" s="282"/>
    </row>
    <row r="146" spans="1:35" ht="16" thickBot="1" x14ac:dyDescent="0.25">
      <c r="A146" s="78" t="s">
        <v>411</v>
      </c>
      <c r="B146" s="79" t="s">
        <v>160</v>
      </c>
      <c r="C146" s="80" t="s">
        <v>412</v>
      </c>
      <c r="D146" s="40" t="s">
        <v>413</v>
      </c>
      <c r="E146" s="81">
        <f t="shared" si="27"/>
        <v>165.52027446582701</v>
      </c>
      <c r="F146" s="81">
        <f t="shared" si="28"/>
        <v>1047.4103553041102</v>
      </c>
      <c r="G146" s="81">
        <f t="shared" si="28"/>
        <v>51.439481650803621</v>
      </c>
      <c r="H146" s="81">
        <f t="shared" si="28"/>
        <v>50.424374166496619</v>
      </c>
      <c r="I146" s="81">
        <f t="shared" si="28"/>
        <v>59.411358392384834</v>
      </c>
      <c r="J146" s="81">
        <f t="shared" si="28"/>
        <v>226.15246016783749</v>
      </c>
      <c r="K146" s="81">
        <f t="shared" si="28"/>
        <v>40.377454423098484</v>
      </c>
      <c r="L146" s="81">
        <f t="shared" si="28"/>
        <v>22.585825853080664</v>
      </c>
      <c r="M146" s="81">
        <f t="shared" si="28"/>
        <v>95.743694425651995</v>
      </c>
      <c r="N146" s="81">
        <f t="shared" si="28"/>
        <v>180.70072707434409</v>
      </c>
      <c r="O146" s="81">
        <f t="shared" si="28"/>
        <v>214.2917026792247</v>
      </c>
      <c r="P146" s="196">
        <f t="shared" si="28"/>
        <v>57.18571772753883</v>
      </c>
      <c r="Q146" s="201">
        <f t="shared" si="28"/>
        <v>1212.9306297699372</v>
      </c>
      <c r="R146" s="148">
        <f t="shared" si="28"/>
        <v>101.86385581730025</v>
      </c>
      <c r="S146" s="70">
        <f t="shared" si="28"/>
        <v>896.44894074316107</v>
      </c>
      <c r="T146" s="209">
        <f t="shared" si="28"/>
        <v>2211.2434263303985</v>
      </c>
      <c r="U146" s="212">
        <f t="shared" si="28"/>
        <v>223.46631299239829</v>
      </c>
      <c r="V146" s="89">
        <f t="shared" si="28"/>
        <v>2434.7097393227964</v>
      </c>
      <c r="W146" s="93">
        <f t="shared" si="22"/>
        <v>1.5855160696080946E-2</v>
      </c>
      <c r="X146" s="263">
        <f t="shared" si="28"/>
        <v>110343</v>
      </c>
      <c r="Y146" s="267">
        <f t="shared" si="23"/>
        <v>20039.725459072153</v>
      </c>
      <c r="Z146" s="259">
        <f t="shared" si="24"/>
        <v>22064.922462891132</v>
      </c>
      <c r="AA146" s="274">
        <f t="shared" si="25"/>
        <v>4.3018917674733146</v>
      </c>
      <c r="AB146" s="274">
        <f t="shared" si="26"/>
        <v>4.3437024056559652</v>
      </c>
      <c r="AG146" s="281"/>
      <c r="AH146" s="282"/>
      <c r="AI146" s="282"/>
    </row>
    <row r="147" spans="1:35" ht="16" thickBot="1" x14ac:dyDescent="0.25">
      <c r="A147" s="71" t="s">
        <v>414</v>
      </c>
      <c r="B147" s="72" t="s">
        <v>392</v>
      </c>
      <c r="C147" s="72" t="s">
        <v>415</v>
      </c>
      <c r="D147" s="72" t="s">
        <v>416</v>
      </c>
      <c r="E147" s="424"/>
      <c r="F147" s="425"/>
      <c r="G147" s="425"/>
      <c r="H147" s="425"/>
      <c r="I147" s="425"/>
      <c r="J147" s="425"/>
      <c r="K147" s="425"/>
      <c r="L147" s="425"/>
      <c r="M147" s="425"/>
      <c r="N147" s="425"/>
      <c r="O147" s="425"/>
      <c r="P147" s="425"/>
      <c r="Q147" s="425"/>
      <c r="R147" s="425"/>
      <c r="S147" s="425"/>
      <c r="T147" s="425"/>
      <c r="U147" s="425"/>
      <c r="V147" s="425"/>
      <c r="W147" s="425"/>
      <c r="X147" s="257"/>
      <c r="Y147" s="257"/>
      <c r="Z147" s="257"/>
      <c r="AA147" s="257"/>
      <c r="AB147" s="257"/>
      <c r="AC147" s="257"/>
      <c r="AG147" s="281"/>
      <c r="AH147" s="282"/>
      <c r="AI147" s="282"/>
    </row>
    <row r="148" spans="1:35" x14ac:dyDescent="0.2">
      <c r="A148" s="82" t="s">
        <v>417</v>
      </c>
      <c r="B148" s="76" t="s">
        <v>126</v>
      </c>
      <c r="C148" s="83" t="s">
        <v>127</v>
      </c>
      <c r="D148" s="76" t="s">
        <v>418</v>
      </c>
      <c r="E148" s="77">
        <f>SUMIF($C$7:$C$139,"*"&amp;$C148&amp;"*",E$7:E$139)</f>
        <v>220.37683069708822</v>
      </c>
      <c r="F148" s="77">
        <f t="shared" ref="F148:X151" si="30">SUMIF($C$7:$C$139,"*"&amp;$C148&amp;"*",F$7:F$139)</f>
        <v>960.10777924937247</v>
      </c>
      <c r="G148" s="77">
        <f t="shared" si="30"/>
        <v>48.362137941277552</v>
      </c>
      <c r="H148" s="77">
        <f t="shared" si="30"/>
        <v>172.56224978317812</v>
      </c>
      <c r="I148" s="77">
        <f t="shared" si="30"/>
        <v>182.51372266224652</v>
      </c>
      <c r="J148" s="77">
        <f t="shared" si="30"/>
        <v>672.9220140606235</v>
      </c>
      <c r="K148" s="77">
        <f t="shared" si="30"/>
        <v>97.300627461532812</v>
      </c>
      <c r="L148" s="77">
        <f t="shared" si="30"/>
        <v>69.493035662127909</v>
      </c>
      <c r="M148" s="77">
        <f t="shared" si="30"/>
        <v>161.60337087049686</v>
      </c>
      <c r="N148" s="77">
        <f t="shared" si="30"/>
        <v>362.76195859213192</v>
      </c>
      <c r="O148" s="77">
        <f t="shared" si="30"/>
        <v>590.3399348006958</v>
      </c>
      <c r="P148" s="194">
        <f t="shared" si="30"/>
        <v>68.528385532320385</v>
      </c>
      <c r="Q148" s="198">
        <f t="shared" si="30"/>
        <v>1180.4846099464608</v>
      </c>
      <c r="R148" s="149">
        <f t="shared" si="30"/>
        <v>220.9243877244557</v>
      </c>
      <c r="S148" s="199">
        <f t="shared" si="30"/>
        <v>2205.4630496421755</v>
      </c>
      <c r="T148" s="213">
        <f t="shared" si="30"/>
        <v>3606.872047313092</v>
      </c>
      <c r="U148" s="210">
        <f t="shared" si="30"/>
        <v>364.50731215332382</v>
      </c>
      <c r="V148" s="95">
        <f t="shared" si="30"/>
        <v>3971.3793594664162</v>
      </c>
      <c r="W148" s="94">
        <f t="shared" si="22"/>
        <v>2.5862162093684728E-2</v>
      </c>
      <c r="X148" s="261">
        <f t="shared" si="30"/>
        <v>255064</v>
      </c>
      <c r="Y148" s="265">
        <f t="shared" si="23"/>
        <v>14141.047138416601</v>
      </c>
      <c r="Z148" s="265">
        <f t="shared" si="24"/>
        <v>15570.128906730924</v>
      </c>
      <c r="AA148" s="272">
        <f t="shared" si="25"/>
        <v>4.150481569969938</v>
      </c>
      <c r="AB148" s="272">
        <f t="shared" si="26"/>
        <v>4.1922922081525886</v>
      </c>
      <c r="AG148" s="281"/>
      <c r="AH148" s="282"/>
      <c r="AI148" s="282"/>
    </row>
    <row r="149" spans="1:35" x14ac:dyDescent="0.2">
      <c r="A149" s="36" t="s">
        <v>419</v>
      </c>
      <c r="B149" s="34" t="s">
        <v>264</v>
      </c>
      <c r="C149" s="33" t="s">
        <v>283</v>
      </c>
      <c r="D149" s="32" t="s">
        <v>420</v>
      </c>
      <c r="E149" s="61">
        <f>SUMIF($C$7:$C$139,"*"&amp;$C149&amp;"*",E$7:E$139)</f>
        <v>272.7442499289632</v>
      </c>
      <c r="F149" s="61">
        <f t="shared" ref="F149:T149" si="31">SUMIF($C$7:$C$139,"*"&amp;$C149&amp;"*",F$7:F$139)</f>
        <v>1.1216274110917865</v>
      </c>
      <c r="G149" s="61">
        <f t="shared" si="31"/>
        <v>1636.7434149777703</v>
      </c>
      <c r="H149" s="61">
        <f t="shared" si="31"/>
        <v>587.43660162908952</v>
      </c>
      <c r="I149" s="61">
        <f t="shared" si="31"/>
        <v>187.87023360259184</v>
      </c>
      <c r="J149" s="61">
        <f t="shared" si="31"/>
        <v>920.62664101099176</v>
      </c>
      <c r="K149" s="61">
        <f t="shared" si="31"/>
        <v>143.12022392996971</v>
      </c>
      <c r="L149" s="61">
        <f t="shared" si="31"/>
        <v>111.19949069366791</v>
      </c>
      <c r="M149" s="61">
        <f t="shared" si="31"/>
        <v>502.04990064652179</v>
      </c>
      <c r="N149" s="61">
        <f t="shared" si="31"/>
        <v>481.35735674189056</v>
      </c>
      <c r="O149" s="61">
        <f t="shared" si="31"/>
        <v>619.62155269403956</v>
      </c>
      <c r="P149" s="195">
        <f t="shared" si="31"/>
        <v>115.77974184599063</v>
      </c>
      <c r="Q149" s="200">
        <f t="shared" si="31"/>
        <v>273.86587734005502</v>
      </c>
      <c r="R149" s="147">
        <f t="shared" si="31"/>
        <v>2224.1800166068601</v>
      </c>
      <c r="S149" s="53">
        <f t="shared" si="31"/>
        <v>3081.625141165664</v>
      </c>
      <c r="T149" s="207">
        <f t="shared" si="31"/>
        <v>5579.6710351125785</v>
      </c>
      <c r="U149" s="211">
        <f t="shared" si="30"/>
        <v>563.87664021065689</v>
      </c>
      <c r="V149" s="88">
        <f t="shared" si="30"/>
        <v>6143.547675323236</v>
      </c>
      <c r="W149" s="92">
        <f t="shared" si="22"/>
        <v>4.0007617361147017E-2</v>
      </c>
      <c r="X149" s="262">
        <f t="shared" si="30"/>
        <v>264305</v>
      </c>
      <c r="Y149" s="266">
        <f t="shared" si="23"/>
        <v>21110.728268903647</v>
      </c>
      <c r="Z149" s="266">
        <f t="shared" si="24"/>
        <v>23244.159873340406</v>
      </c>
      <c r="AA149" s="273">
        <f t="shared" si="25"/>
        <v>4.3245032156719683</v>
      </c>
      <c r="AB149" s="273">
        <f t="shared" si="26"/>
        <v>4.3663138538546189</v>
      </c>
      <c r="AG149" s="281"/>
      <c r="AH149" s="282"/>
      <c r="AI149" s="282"/>
    </row>
    <row r="150" spans="1:35" ht="30" x14ac:dyDescent="0.2">
      <c r="A150" s="36" t="s">
        <v>421</v>
      </c>
      <c r="B150" s="34" t="s">
        <v>221</v>
      </c>
      <c r="C150" s="33" t="s">
        <v>222</v>
      </c>
      <c r="D150" s="32" t="s">
        <v>422</v>
      </c>
      <c r="E150" s="61">
        <f>SUMIF($C$7:$C$139,"*"&amp;$C150&amp;"*",E$7:E$139)</f>
        <v>280.2183993420872</v>
      </c>
      <c r="F150" s="61">
        <f t="shared" si="30"/>
        <v>43.511560802425528</v>
      </c>
      <c r="G150" s="61">
        <f t="shared" si="30"/>
        <v>19.097600359665055</v>
      </c>
      <c r="H150" s="61">
        <f t="shared" si="30"/>
        <v>108.29945910849132</v>
      </c>
      <c r="I150" s="61">
        <f t="shared" si="30"/>
        <v>68.436460859468284</v>
      </c>
      <c r="J150" s="61">
        <f t="shared" si="30"/>
        <v>245.40988005187177</v>
      </c>
      <c r="K150" s="61">
        <f t="shared" si="30"/>
        <v>45.676391080258725</v>
      </c>
      <c r="L150" s="61">
        <f t="shared" si="30"/>
        <v>32.99331919957659</v>
      </c>
      <c r="M150" s="61">
        <f t="shared" si="30"/>
        <v>111.3658158246902</v>
      </c>
      <c r="N150" s="61">
        <f t="shared" si="30"/>
        <v>147.13812902399562</v>
      </c>
      <c r="O150" s="61">
        <f t="shared" si="30"/>
        <v>295.41593522124487</v>
      </c>
      <c r="P150" s="195">
        <f t="shared" si="30"/>
        <v>46.790053893101138</v>
      </c>
      <c r="Q150" s="200">
        <f t="shared" si="30"/>
        <v>323.72996014451269</v>
      </c>
      <c r="R150" s="147">
        <f t="shared" si="30"/>
        <v>127.3970594681564</v>
      </c>
      <c r="S150" s="53">
        <f t="shared" si="30"/>
        <v>993.22598515420736</v>
      </c>
      <c r="T150" s="207">
        <f t="shared" si="30"/>
        <v>1444.3530047668762</v>
      </c>
      <c r="U150" s="211">
        <f t="shared" si="30"/>
        <v>145.96504246951193</v>
      </c>
      <c r="V150" s="88">
        <f t="shared" si="30"/>
        <v>1590.3180472363881</v>
      </c>
      <c r="W150" s="92">
        <f t="shared" si="22"/>
        <v>1.035636724557727E-2</v>
      </c>
      <c r="X150" s="262">
        <f t="shared" si="30"/>
        <v>126060</v>
      </c>
      <c r="Y150" s="266">
        <f t="shared" si="23"/>
        <v>11457.663055425006</v>
      </c>
      <c r="Z150" s="266">
        <f t="shared" si="24"/>
        <v>12615.564391848231</v>
      </c>
      <c r="AA150" s="273">
        <f t="shared" si="25"/>
        <v>4.0590960464594765</v>
      </c>
      <c r="AB150" s="273">
        <f t="shared" si="26"/>
        <v>4.1009066846421272</v>
      </c>
      <c r="AG150" s="281"/>
      <c r="AH150" s="282"/>
      <c r="AI150" s="282"/>
    </row>
    <row r="151" spans="1:35" ht="46" thickBot="1" x14ac:dyDescent="0.25">
      <c r="A151" s="37" t="s">
        <v>423</v>
      </c>
      <c r="B151" s="38" t="s">
        <v>368</v>
      </c>
      <c r="C151" s="39" t="s">
        <v>424</v>
      </c>
      <c r="D151" s="40" t="s">
        <v>425</v>
      </c>
      <c r="E151" s="81">
        <f>SUMIF($C$7:$C$139,"*"&amp;$C151&amp;"*",E$7:E$139)</f>
        <v>2667.578489721931</v>
      </c>
      <c r="F151" s="81">
        <f t="shared" si="30"/>
        <v>51.300447629044697</v>
      </c>
      <c r="G151" s="81">
        <f t="shared" si="30"/>
        <v>211.2890574734634</v>
      </c>
      <c r="H151" s="81">
        <f t="shared" si="30"/>
        <v>566.29559144289522</v>
      </c>
      <c r="I151" s="81">
        <f t="shared" si="30"/>
        <v>287.88651225164364</v>
      </c>
      <c r="J151" s="81">
        <f t="shared" si="30"/>
        <v>1573.0906365236747</v>
      </c>
      <c r="K151" s="81">
        <f t="shared" si="30"/>
        <v>239.10177851916893</v>
      </c>
      <c r="L151" s="81">
        <f t="shared" si="30"/>
        <v>203.5201349643435</v>
      </c>
      <c r="M151" s="81">
        <f t="shared" si="30"/>
        <v>431.72941296204868</v>
      </c>
      <c r="N151" s="81">
        <f t="shared" si="30"/>
        <v>695.06715081267964</v>
      </c>
      <c r="O151" s="81">
        <f t="shared" si="30"/>
        <v>1356.9113659317936</v>
      </c>
      <c r="P151" s="196">
        <f t="shared" si="30"/>
        <v>180.11414171852402</v>
      </c>
      <c r="Q151" s="201">
        <f t="shared" si="30"/>
        <v>2718.8789373509753</v>
      </c>
      <c r="R151" s="148">
        <f t="shared" si="30"/>
        <v>777.58464891635867</v>
      </c>
      <c r="S151" s="70">
        <f t="shared" si="30"/>
        <v>4967.4211336838771</v>
      </c>
      <c r="T151" s="209">
        <f t="shared" si="30"/>
        <v>8463.8847199512111</v>
      </c>
      <c r="U151" s="212">
        <f t="shared" si="30"/>
        <v>855.35273477285045</v>
      </c>
      <c r="V151" s="89">
        <f t="shared" si="30"/>
        <v>9319.2374547240615</v>
      </c>
      <c r="W151" s="93">
        <f t="shared" si="22"/>
        <v>6.0688140776355794E-2</v>
      </c>
      <c r="X151" s="263">
        <f t="shared" si="30"/>
        <v>514423</v>
      </c>
      <c r="Y151" s="267">
        <f t="shared" si="23"/>
        <v>16453.161542060156</v>
      </c>
      <c r="Z151" s="267">
        <f t="shared" si="24"/>
        <v>18115.903555486559</v>
      </c>
      <c r="AA151" s="274">
        <f t="shared" si="25"/>
        <v>4.2162493617598491</v>
      </c>
      <c r="AB151" s="274">
        <f t="shared" si="26"/>
        <v>4.2580599999424997</v>
      </c>
      <c r="AG151" s="281"/>
      <c r="AH151" s="282"/>
      <c r="AI151" s="282"/>
    </row>
    <row r="152" spans="1:35" x14ac:dyDescent="0.2">
      <c r="AG152" s="281"/>
      <c r="AH152" s="282"/>
      <c r="AI152" s="282"/>
    </row>
    <row r="153" spans="1:35" x14ac:dyDescent="0.2">
      <c r="C153" s="60"/>
      <c r="E153" s="64"/>
      <c r="F153" s="64"/>
      <c r="G153" s="64"/>
      <c r="H153" s="64"/>
      <c r="I153" s="64"/>
      <c r="J153" s="64"/>
      <c r="K153" s="64"/>
      <c r="L153" s="64"/>
      <c r="M153" s="64"/>
      <c r="N153" s="64"/>
      <c r="O153" s="64"/>
      <c r="P153" s="64"/>
      <c r="Q153" s="64"/>
      <c r="R153" s="64"/>
      <c r="S153" s="64"/>
      <c r="T153" s="64"/>
      <c r="U153" s="64"/>
      <c r="V153" s="64"/>
      <c r="AG153" s="281"/>
      <c r="AH153" s="282"/>
      <c r="AI153" s="282"/>
    </row>
    <row r="154" spans="1:35" x14ac:dyDescent="0.2">
      <c r="C154" s="60"/>
      <c r="E154" s="64"/>
      <c r="F154" s="64"/>
      <c r="G154" s="64"/>
      <c r="H154" s="64"/>
      <c r="I154" s="64"/>
      <c r="J154" s="64"/>
      <c r="K154" s="64"/>
      <c r="L154" s="64"/>
      <c r="M154" s="64"/>
      <c r="N154" s="64"/>
      <c r="O154" s="64"/>
      <c r="P154" s="64"/>
      <c r="Q154" s="64"/>
      <c r="R154" s="64"/>
      <c r="S154" s="64"/>
      <c r="T154" s="64"/>
      <c r="U154" s="64"/>
      <c r="V154" s="64"/>
      <c r="AI154" s="60"/>
    </row>
    <row r="155" spans="1:35" x14ac:dyDescent="0.2">
      <c r="E155" s="65"/>
      <c r="F155" s="65"/>
      <c r="G155" s="65"/>
      <c r="H155" s="65"/>
      <c r="I155" s="65"/>
      <c r="J155" s="65"/>
      <c r="K155" s="65"/>
      <c r="L155" s="65"/>
      <c r="M155" s="65"/>
      <c r="N155" s="65"/>
      <c r="O155" s="65"/>
      <c r="P155" s="65"/>
      <c r="Q155" s="65"/>
      <c r="R155" s="65"/>
      <c r="S155" s="65"/>
      <c r="T155" s="65"/>
      <c r="U155" s="65"/>
      <c r="V155" s="65"/>
      <c r="AI155" s="60"/>
    </row>
    <row r="156" spans="1:35" x14ac:dyDescent="0.2">
      <c r="E156" s="66"/>
      <c r="F156" s="66"/>
      <c r="G156" s="66"/>
      <c r="H156" s="66"/>
      <c r="I156" s="66"/>
      <c r="J156" s="66"/>
      <c r="K156" s="66"/>
      <c r="L156" s="66"/>
      <c r="M156" s="66"/>
      <c r="N156" s="66"/>
      <c r="O156" s="66"/>
      <c r="P156" s="66"/>
      <c r="Q156" s="66"/>
      <c r="R156" s="66"/>
      <c r="S156" s="66"/>
      <c r="T156" s="66"/>
      <c r="U156" s="66"/>
      <c r="V156" s="66"/>
      <c r="AI156" s="60"/>
    </row>
    <row r="157" spans="1:35" x14ac:dyDescent="0.2">
      <c r="E157" s="67"/>
      <c r="F157" s="67"/>
      <c r="G157" s="67"/>
      <c r="H157" s="67"/>
      <c r="I157" s="67"/>
      <c r="J157" s="67"/>
      <c r="K157" s="67"/>
      <c r="L157" s="67"/>
      <c r="M157" s="67"/>
      <c r="N157" s="67"/>
      <c r="O157" s="67"/>
      <c r="P157" s="67"/>
      <c r="Q157" s="67"/>
      <c r="R157" s="67"/>
      <c r="S157" s="67"/>
      <c r="T157" s="67"/>
      <c r="U157" s="67"/>
      <c r="V157" s="67"/>
      <c r="AI157" s="60"/>
    </row>
    <row r="158" spans="1:35" x14ac:dyDescent="0.2">
      <c r="AI158" s="60"/>
    </row>
    <row r="159" spans="1:35" x14ac:dyDescent="0.2">
      <c r="AI159" s="60"/>
    </row>
    <row r="160" spans="1:35" x14ac:dyDescent="0.2">
      <c r="AI160" s="60"/>
    </row>
    <row r="161" spans="35:35" x14ac:dyDescent="0.2">
      <c r="AI161" s="60"/>
    </row>
  </sheetData>
  <protectedRanges>
    <protectedRange algorithmName="SHA-512" hashValue="kpD5SVtfl6/WrDaYUJBW1z1NFkK/xMP2hB2LS+v1/T9RIDXCw92TbIlUX4l1bekdsjJ/Jb5nEN4PmO7ly9krDA==" saltValue="dlKOTGoK6aXtjHjG8rUnpA==" spinCount="100000" sqref="A140:D140 B141:D146 A147:D147 D149:D151 B149:B151" name="Rango1"/>
    <protectedRange algorithmName="SHA-512" hashValue="kpD5SVtfl6/WrDaYUJBW1z1NFkK/xMP2hB2LS+v1/T9RIDXCw92TbIlUX4l1bekdsjJ/Jb5nEN4PmO7ly9krDA==" saltValue="dlKOTGoK6aXtjHjG8rUnpA==" spinCount="100000" sqref="A141" name="Rango1_1"/>
    <protectedRange algorithmName="SHA-512" hashValue="kpD5SVtfl6/WrDaYUJBW1z1NFkK/xMP2hB2LS+v1/T9RIDXCw92TbIlUX4l1bekdsjJ/Jb5nEN4PmO7ly9krDA==" saltValue="dlKOTGoK6aXtjHjG8rUnpA==" spinCount="100000" sqref="A142:A146 A148:A151" name="Rango1_2"/>
  </protectedRanges>
  <autoFilter ref="A4:V151" xr:uid="{00000000-0009-0000-0000-000001000000}"/>
  <mergeCells count="20">
    <mergeCell ref="AE19:AJ19"/>
    <mergeCell ref="A1:V1"/>
    <mergeCell ref="A2:V2"/>
    <mergeCell ref="E140:W140"/>
    <mergeCell ref="E147:W147"/>
    <mergeCell ref="AE4:AJ4"/>
    <mergeCell ref="AE5:AJ5"/>
    <mergeCell ref="AE6:AJ6"/>
    <mergeCell ref="AE7:AJ7"/>
    <mergeCell ref="AE8:AJ8"/>
    <mergeCell ref="AE9:AJ9"/>
    <mergeCell ref="AE10:AJ10"/>
    <mergeCell ref="AE11:AJ11"/>
    <mergeCell ref="AE12:AJ12"/>
    <mergeCell ref="AE13:AJ13"/>
    <mergeCell ref="AE14:AJ14"/>
    <mergeCell ref="AE15:AJ15"/>
    <mergeCell ref="AE16:AJ16"/>
    <mergeCell ref="AE17:AJ17"/>
    <mergeCell ref="AE18:AJ18"/>
  </mergeCells>
  <pageMargins left="0.7" right="0.7" top="0.75" bottom="0.75" header="0.3" footer="0.3"/>
  <pageSetup orientation="portrait" horizontalDpi="4294967295" verticalDpi="4294967295"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prompt="Seleccione el año del cual desea los resultados" xr:uid="{00000000-0002-0000-0100-000000000000}">
          <x14:formula1>
            <xm:f>'PIB-Mpal 2015-2022 Corrient '!$AE$4:$AE$9</xm:f>
          </x14:formula1>
          <xm:sqref>X2:AB2</xm:sqref>
        </x14:dataValidation>
        <x14:dataValidation type="list" allowBlank="1" showInputMessage="1" showErrorMessage="1" prompt="Seleccione el año del cual desea los resultados" xr:uid="{00000000-0002-0000-0100-000001000000}">
          <x14:formula1>
            <xm:f>'PIB-Mpal 2015-2022 Corrient '!$AE$4:$AE$11</xm:f>
          </x14:formula1>
          <xm:sqref>W2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157"/>
  <sheetViews>
    <sheetView showGridLines="0" topLeftCell="A19" zoomScale="145" zoomScaleNormal="145" workbookViewId="0">
      <selection activeCell="T42" sqref="Q42:T42"/>
    </sheetView>
  </sheetViews>
  <sheetFormatPr baseColWidth="10" defaultColWidth="10.83203125" defaultRowHeight="15" x14ac:dyDescent="0.2"/>
  <cols>
    <col min="1" max="1" width="12.5" customWidth="1"/>
    <col min="2" max="2" width="31.83203125" customWidth="1"/>
    <col min="3" max="3" width="53.6640625" customWidth="1"/>
    <col min="4" max="4" width="57.6640625" customWidth="1"/>
    <col min="5" max="5" width="12.33203125" bestFit="1" customWidth="1"/>
    <col min="6" max="6" width="11.6640625" bestFit="1" customWidth="1"/>
    <col min="7" max="7" width="13.33203125" bestFit="1" customWidth="1"/>
    <col min="8" max="8" width="12.1640625" bestFit="1" customWidth="1"/>
    <col min="9" max="9" width="19.6640625" bestFit="1" customWidth="1"/>
    <col min="10" max="10" width="17.1640625" bestFit="1" customWidth="1"/>
    <col min="11" max="11" width="11.6640625" bestFit="1" customWidth="1"/>
    <col min="12" max="12" width="11.33203125" bestFit="1" customWidth="1"/>
    <col min="13" max="13" width="12.5" bestFit="1" customWidth="1"/>
    <col min="14" max="14" width="11.6640625" bestFit="1" customWidth="1"/>
    <col min="15" max="15" width="17.1640625" bestFit="1" customWidth="1"/>
    <col min="16" max="16" width="27.5" bestFit="1" customWidth="1"/>
    <col min="17" max="17" width="12" bestFit="1" customWidth="1"/>
    <col min="18" max="19" width="12.83203125" bestFit="1" customWidth="1"/>
    <col min="20" max="20" width="14.6640625" bestFit="1" customWidth="1"/>
    <col min="21" max="21" width="13.33203125" bestFit="1" customWidth="1"/>
    <col min="22" max="22" width="14.33203125" bestFit="1" customWidth="1"/>
    <col min="24" max="24" width="15.5" bestFit="1" customWidth="1"/>
    <col min="25" max="26" width="12.83203125" bestFit="1" customWidth="1"/>
    <col min="27" max="28" width="9.33203125" bestFit="1" customWidth="1"/>
    <col min="30" max="35" width="19.83203125" customWidth="1"/>
  </cols>
  <sheetData>
    <row r="1" spans="1:35" ht="24" x14ac:dyDescent="0.25">
      <c r="A1" s="436" t="s">
        <v>7</v>
      </c>
      <c r="B1" s="436"/>
      <c r="C1" s="436"/>
      <c r="D1" s="436"/>
      <c r="E1" s="436"/>
      <c r="F1" s="436"/>
      <c r="G1" s="436"/>
      <c r="H1" s="436"/>
      <c r="I1" s="436"/>
      <c r="J1" s="436"/>
      <c r="K1" s="436"/>
      <c r="L1" s="436"/>
      <c r="M1" s="436"/>
      <c r="N1" s="436"/>
      <c r="O1" s="436"/>
      <c r="P1" s="436"/>
      <c r="Q1" s="436"/>
      <c r="R1" s="436"/>
      <c r="S1" s="436"/>
      <c r="T1" s="436"/>
      <c r="U1" s="436"/>
      <c r="V1" s="436"/>
      <c r="W1" s="84" t="s">
        <v>58</v>
      </c>
    </row>
    <row r="2" spans="1:35" ht="43.25" customHeight="1" thickBot="1" x14ac:dyDescent="0.25">
      <c r="A2" s="437" t="str">
        <f>"Valor Agregado por grandes ramas de actividad, sector Económico y PIB para los 125 municipios de Antioquia año: "&amp;W2&amp;IF(OR(W2=2021,W2=2020)," provisional ",IF(W2=2022," preliminar ",""))&amp;"
Cifras a precios constantes, Series encadenadas de volumen con año de referencia 2015 Miles de  millones de pesos"</f>
        <v>Valor Agregado por grandes ramas de actividad, sector Económico y PIB para los 125 municipios de Antioquia año: 2015
Cifras a precios constantes, Series encadenadas de volumen con año de referencia 2015 Miles de  millones de pesos</v>
      </c>
      <c r="B2" s="437"/>
      <c r="C2" s="437"/>
      <c r="D2" s="437"/>
      <c r="E2" s="437"/>
      <c r="F2" s="437"/>
      <c r="G2" s="437"/>
      <c r="H2" s="437"/>
      <c r="I2" s="437"/>
      <c r="J2" s="437"/>
      <c r="K2" s="437"/>
      <c r="L2" s="437"/>
      <c r="M2" s="437"/>
      <c r="N2" s="437"/>
      <c r="O2" s="437"/>
      <c r="P2" s="437"/>
      <c r="Q2" s="437"/>
      <c r="R2" s="437"/>
      <c r="S2" s="437"/>
      <c r="T2" s="437"/>
      <c r="U2" s="437"/>
      <c r="V2" s="437"/>
      <c r="W2" s="85">
        <v>2015</v>
      </c>
    </row>
    <row r="3" spans="1:35" ht="16" thickBot="1" x14ac:dyDescent="0.25"/>
    <row r="4" spans="1:35" ht="193.25" customHeight="1" thickBot="1" x14ac:dyDescent="0.25">
      <c r="A4" s="41" t="s">
        <v>59</v>
      </c>
      <c r="B4" s="42" t="s">
        <v>60</v>
      </c>
      <c r="C4" s="42" t="s">
        <v>61</v>
      </c>
      <c r="D4" s="43" t="s">
        <v>62</v>
      </c>
      <c r="E4" s="1" t="s">
        <v>63</v>
      </c>
      <c r="F4" s="1" t="s">
        <v>64</v>
      </c>
      <c r="G4" s="1" t="s">
        <v>65</v>
      </c>
      <c r="H4" s="1" t="s">
        <v>66</v>
      </c>
      <c r="I4" s="1" t="s">
        <v>67</v>
      </c>
      <c r="J4" s="1" t="s">
        <v>68</v>
      </c>
      <c r="K4" s="1" t="s">
        <v>69</v>
      </c>
      <c r="L4" s="1" t="s">
        <v>70</v>
      </c>
      <c r="M4" s="1" t="s">
        <v>71</v>
      </c>
      <c r="N4" s="1" t="s">
        <v>72</v>
      </c>
      <c r="O4" s="1" t="s">
        <v>73</v>
      </c>
      <c r="P4" s="158" t="s">
        <v>74</v>
      </c>
      <c r="Q4" s="166" t="s">
        <v>75</v>
      </c>
      <c r="R4" s="44" t="s">
        <v>76</v>
      </c>
      <c r="S4" s="48" t="s">
        <v>77</v>
      </c>
      <c r="T4" s="48" t="s">
        <v>78</v>
      </c>
      <c r="U4" s="1" t="s">
        <v>79</v>
      </c>
      <c r="V4" s="48" t="s">
        <v>80</v>
      </c>
      <c r="W4" s="91" t="s">
        <v>81</v>
      </c>
      <c r="X4" s="2" t="s">
        <v>82</v>
      </c>
      <c r="Y4" s="204" t="s">
        <v>83</v>
      </c>
      <c r="Z4" s="275" t="s">
        <v>84</v>
      </c>
      <c r="AA4" s="204" t="s">
        <v>85</v>
      </c>
      <c r="AB4" s="204" t="s">
        <v>86</v>
      </c>
      <c r="AD4" s="426" t="s">
        <v>87</v>
      </c>
      <c r="AE4" s="426"/>
      <c r="AF4" s="426"/>
      <c r="AG4" s="426"/>
      <c r="AH4" s="426"/>
      <c r="AI4" s="426"/>
    </row>
    <row r="5" spans="1:35" ht="16" thickBot="1" x14ac:dyDescent="0.25">
      <c r="A5" s="54"/>
      <c r="B5" s="103"/>
      <c r="C5" s="104"/>
      <c r="D5" s="105" t="s">
        <v>88</v>
      </c>
      <c r="E5" s="106">
        <f>E6+E17+E24+E31+E42+E60+E80+E104+E128</f>
        <v>6153.0623286166638</v>
      </c>
      <c r="F5" s="106">
        <f t="shared" ref="F5:V5" si="0">F6+F17+F24+F31+F42+F60+F80+F104+F128</f>
        <v>2430.0514517960778</v>
      </c>
      <c r="G5" s="106">
        <f t="shared" si="0"/>
        <v>19852.649523508648</v>
      </c>
      <c r="H5" s="106">
        <f t="shared" si="0"/>
        <v>8573.3862697719833</v>
      </c>
      <c r="I5" s="106">
        <f t="shared" si="0"/>
        <v>4920.4932764469168</v>
      </c>
      <c r="J5" s="106">
        <f t="shared" si="0"/>
        <v>18733.951378250924</v>
      </c>
      <c r="K5" s="106">
        <f t="shared" si="0"/>
        <v>3382.9248516878442</v>
      </c>
      <c r="L5" s="106">
        <f t="shared" si="0"/>
        <v>5517.1808407893577</v>
      </c>
      <c r="M5" s="106">
        <f t="shared" si="0"/>
        <v>9932.8028534265577</v>
      </c>
      <c r="N5" s="106">
        <f t="shared" si="0"/>
        <v>10374.548469999998</v>
      </c>
      <c r="O5" s="106">
        <f t="shared" si="0"/>
        <v>12532.151501840766</v>
      </c>
      <c r="P5" s="214">
        <f t="shared" si="0"/>
        <v>2500.0730881368672</v>
      </c>
      <c r="Q5" s="216">
        <f>Q6+Q17+Q24+Q31+Q42+Q60+Q80+Q104+Q128</f>
        <v>8583.1137804127411</v>
      </c>
      <c r="R5" s="106">
        <f>R6+R17+R24+R31+R42+R60+R80+R104+R128</f>
        <v>28426.035793280633</v>
      </c>
      <c r="S5" s="107">
        <f t="shared" si="0"/>
        <v>67894.126260579244</v>
      </c>
      <c r="T5" s="215">
        <f t="shared" si="0"/>
        <v>104903.27583427262</v>
      </c>
      <c r="U5" s="106">
        <f t="shared" si="0"/>
        <v>10542.981141487056</v>
      </c>
      <c r="V5" s="107">
        <f t="shared" si="0"/>
        <v>115446.25697575964</v>
      </c>
      <c r="W5" s="98">
        <f>V5/$V$5</f>
        <v>1</v>
      </c>
      <c r="X5" s="205">
        <f t="shared" ref="X5" si="1">X6+X17+X24+X31+X42+X60+X80+X104+X128</f>
        <v>6134953</v>
      </c>
      <c r="Y5" s="260">
        <f>(T5/X5)*1000000</f>
        <v>17099.279462169085</v>
      </c>
      <c r="Z5" s="265">
        <f>(V5/X5)*1000000</f>
        <v>18817.789961187907</v>
      </c>
      <c r="AA5" s="276">
        <f>LOG(Y5)</f>
        <v>4.2329778102636757</v>
      </c>
      <c r="AB5" s="276">
        <f>LOG(Z5)</f>
        <v>4.274568616752207</v>
      </c>
      <c r="AD5" s="427" t="s">
        <v>89</v>
      </c>
      <c r="AE5" s="428"/>
      <c r="AF5" s="428"/>
      <c r="AG5" s="428"/>
      <c r="AH5" s="428"/>
      <c r="AI5" s="429"/>
    </row>
    <row r="6" spans="1:35" ht="16" thickBot="1" x14ac:dyDescent="0.25">
      <c r="A6" s="102" t="s">
        <v>90</v>
      </c>
      <c r="B6" s="111" t="s">
        <v>91</v>
      </c>
      <c r="C6" s="112"/>
      <c r="D6" s="112"/>
      <c r="E6" s="113">
        <f>SUM(E7:E16)</f>
        <v>362.40506225041258</v>
      </c>
      <c r="F6" s="113">
        <f t="shared" ref="F6:V6" si="2">SUM(F7:F16)</f>
        <v>21.222112502217808</v>
      </c>
      <c r="G6" s="113">
        <f t="shared" si="2"/>
        <v>15881.474800526526</v>
      </c>
      <c r="H6" s="113">
        <f t="shared" si="2"/>
        <v>6618.8658443527638</v>
      </c>
      <c r="I6" s="113">
        <f t="shared" si="2"/>
        <v>2647.3357913426116</v>
      </c>
      <c r="J6" s="113">
        <f t="shared" si="2"/>
        <v>13506.197516989801</v>
      </c>
      <c r="K6" s="113">
        <f t="shared" si="2"/>
        <v>2523.5925540145668</v>
      </c>
      <c r="L6" s="113">
        <f t="shared" si="2"/>
        <v>4789.717248447766</v>
      </c>
      <c r="M6" s="113">
        <f t="shared" si="2"/>
        <v>7702.1578646300723</v>
      </c>
      <c r="N6" s="113">
        <f t="shared" si="2"/>
        <v>7456.0171599381229</v>
      </c>
      <c r="O6" s="113">
        <f t="shared" si="2"/>
        <v>8366.9276075491362</v>
      </c>
      <c r="P6" s="123">
        <f t="shared" si="2"/>
        <v>1869.2376051738656</v>
      </c>
      <c r="Q6" s="193">
        <f>SUM(Q7:Q16)</f>
        <v>383.62717475263042</v>
      </c>
      <c r="R6" s="113">
        <f>SUM(R7:R16)</f>
        <v>22500.340644879292</v>
      </c>
      <c r="S6" s="114">
        <f t="shared" si="2"/>
        <v>48861.18334808595</v>
      </c>
      <c r="T6" s="186">
        <f t="shared" si="2"/>
        <v>71745.151167717864</v>
      </c>
      <c r="U6" s="113">
        <f t="shared" si="2"/>
        <v>7210.5257890346238</v>
      </c>
      <c r="V6" s="114">
        <f t="shared" si="2"/>
        <v>78955.676956752475</v>
      </c>
      <c r="W6" s="115">
        <f t="shared" ref="W6:W69" si="3">V6/$V$5</f>
        <v>0.68391716652477419</v>
      </c>
      <c r="X6" s="206">
        <f t="shared" ref="X6" si="4">SUM(X7:X16)</f>
        <v>3678325</v>
      </c>
      <c r="Y6" s="258">
        <f t="shared" ref="Y6:Y69" si="5">(T6/X6)*1000000</f>
        <v>19504.842874873171</v>
      </c>
      <c r="Z6" s="270">
        <f t="shared" ref="Z6:Z69" si="6">(V6/X6)*1000000</f>
        <v>21465.117127157733</v>
      </c>
      <c r="AA6" s="273">
        <f t="shared" ref="AA6:AB69" si="7">LOG(Y6)</f>
        <v>4.2901424561166435</v>
      </c>
      <c r="AB6" s="273">
        <f t="shared" si="7"/>
        <v>4.3317332626053249</v>
      </c>
      <c r="AD6" s="430" t="s">
        <v>92</v>
      </c>
      <c r="AE6" s="431"/>
      <c r="AF6" s="431"/>
      <c r="AG6" s="431"/>
      <c r="AH6" s="431"/>
      <c r="AI6" s="432"/>
    </row>
    <row r="7" spans="1:35" x14ac:dyDescent="0.2">
      <c r="A7" s="35" t="s">
        <v>93</v>
      </c>
      <c r="B7" s="101" t="s">
        <v>94</v>
      </c>
      <c r="C7" s="108" t="s">
        <v>95</v>
      </c>
      <c r="D7" s="101" t="s">
        <v>96</v>
      </c>
      <c r="E7" s="109">
        <f>SUMIFS('PIB Mpal 2015-2022 Cons'!H$5:H$1012,'PIB Mpal 2015-2022 Cons'!$A$5:$A$1012,$W$2,'PIB Mpal 2015-2022 Cons'!$E$5:$E$1012,$A7)</f>
        <v>119.68201840333261</v>
      </c>
      <c r="F7" s="109">
        <f>SUMIFS('PIB Mpal 2015-2022 Cons'!I$5:I$1012,'PIB Mpal 2015-2022 Cons'!$A$5:$A$1012,$W$2,'PIB Mpal 2015-2022 Cons'!$E$5:$E$1012,$A7)</f>
        <v>5.6349865901046314</v>
      </c>
      <c r="G7" s="109">
        <f>SUMIFS('PIB Mpal 2015-2022 Cons'!K$5:K$1012,'PIB Mpal 2015-2022 Cons'!$A$5:$A$1012,$W$2,'PIB Mpal 2015-2022 Cons'!$E$5:$E$1012,$A7)</f>
        <v>7256.5499187240021</v>
      </c>
      <c r="H7" s="109">
        <f>SUMIFS('PIB Mpal 2015-2022 Cons'!L$5:L$1012,'PIB Mpal 2015-2022 Cons'!$A$5:$A$1012,$W$2,'PIB Mpal 2015-2022 Cons'!$E$5:$E$1012,$A7)</f>
        <v>4520.6769751070669</v>
      </c>
      <c r="I7" s="109">
        <f>SUMIFS('PIB Mpal 2015-2022 Cons'!N$5:N$1012,'PIB Mpal 2015-2022 Cons'!$A$5:$A$1012,$W$2,'PIB Mpal 2015-2022 Cons'!$E$5:$E$1012,$A7)</f>
        <v>1653.413479418085</v>
      </c>
      <c r="J7" s="109">
        <f>SUMIFS('PIB Mpal 2015-2022 Cons'!O$5:O$1012,'PIB Mpal 2015-2022 Cons'!$A$5:$A$1012,$W$2,'PIB Mpal 2015-2022 Cons'!$E$5:$E$1012,$A7)</f>
        <v>9007.4328495569735</v>
      </c>
      <c r="K7" s="109">
        <f>SUMIFS('PIB Mpal 2015-2022 Cons'!P$5:P$1012,'PIB Mpal 2015-2022 Cons'!$A$5:$A$1012,$W$2,'PIB Mpal 2015-2022 Cons'!$E$5:$E$1012,$A7)</f>
        <v>1616.9389720099052</v>
      </c>
      <c r="L7" s="109">
        <f>SUMIFS('PIB Mpal 2015-2022 Cons'!Q$5:Q$1012,'PIB Mpal 2015-2022 Cons'!$A$5:$A$1012,$W$2,'PIB Mpal 2015-2022 Cons'!$E$5:$E$1012,$A7)</f>
        <v>4172.897745111014</v>
      </c>
      <c r="M7" s="109">
        <f>SUMIFS('PIB Mpal 2015-2022 Cons'!R$5:R$1012,'PIB Mpal 2015-2022 Cons'!$A$5:$A$1012,$W$2,'PIB Mpal 2015-2022 Cons'!$E$5:$E$1012,$A7)</f>
        <v>5034.0174379085811</v>
      </c>
      <c r="N7" s="109">
        <f>SUMIFS('PIB Mpal 2015-2022 Cons'!S$5:S$1012,'PIB Mpal 2015-2022 Cons'!$A$5:$A$1012,$W$2,'PIB Mpal 2015-2022 Cons'!$E$5:$E$1012,$A7)</f>
        <v>4907.4649519085615</v>
      </c>
      <c r="O7" s="109">
        <f>SUMIFS('PIB Mpal 2015-2022 Cons'!T$5:T$1012,'PIB Mpal 2015-2022 Cons'!$A$5:$A$1012,$W$2,'PIB Mpal 2015-2022 Cons'!$E$5:$E$1012,$A7)</f>
        <v>6034.3929194257507</v>
      </c>
      <c r="P7" s="182">
        <f>SUMIFS('PIB Mpal 2015-2022 Cons'!U$5:U$1012,'PIB Mpal 2015-2022 Cons'!$A$5:$A$1012,$W$2,'PIB Mpal 2015-2022 Cons'!$E$5:$E$1012,$A7)</f>
        <v>1222.3023498360963</v>
      </c>
      <c r="Q7" s="217">
        <f>SUMIFS('PIB Mpal 2015-2022 Cons'!J$5:J$1012,'PIB Mpal 2015-2022 Cons'!$A$5:$A$1012,$W$2,'PIB Mpal 2015-2022 Cons'!$E$5:$E$1012,$A7)</f>
        <v>125.31700499343724</v>
      </c>
      <c r="R7" s="99">
        <f>SUMIFS('PIB Mpal 2015-2022 Cons'!M$5:M$1012,'PIB Mpal 2015-2022 Cons'!$A$5:$A$1012,$W$2,'PIB Mpal 2015-2022 Cons'!$E$5:$E$1012,$A7)</f>
        <v>11777.22689383107</v>
      </c>
      <c r="S7" s="110">
        <f>SUMIFS('PIB Mpal 2015-2022 Cons'!V$5:V$1012,'PIB Mpal 2015-2022 Cons'!$A$5:$A$1012,$W$2,'PIB Mpal 2015-2022 Cons'!$E$5:$E$1012,$A7)</f>
        <v>33648.860705174971</v>
      </c>
      <c r="T7" s="187">
        <f>SUMIFS('PIB Mpal 2015-2022 Cons'!W$5:W$1012,'PIB Mpal 2015-2022 Cons'!$A$5:$A$1012,$W$2,'PIB Mpal 2015-2022 Cons'!$E$5:$E$1012,$A7)</f>
        <v>45551.404603999479</v>
      </c>
      <c r="U7" s="109">
        <f>SUMIFS('PIB Mpal 2015-2022 Cons'!X$5:X$1012,'PIB Mpal 2015-2022 Cons'!$A$5:$A$1012,$W$2,'PIB Mpal 2015-2022 Cons'!$E$5:$E$1012,$A7)</f>
        <v>4578.0038410983825</v>
      </c>
      <c r="V7" s="110">
        <f>SUMIFS('PIB Mpal 2015-2022 Cons'!Y$5:Y$1012,'PIB Mpal 2015-2022 Cons'!$A$5:$A$1012,$W$2,'PIB Mpal 2015-2022 Cons'!$E$5:$E$1012,$A7)</f>
        <v>50129.408445097863</v>
      </c>
      <c r="W7" s="100">
        <f t="shared" si="3"/>
        <v>0.43422289954037735</v>
      </c>
      <c r="X7" s="268">
        <f>INDEX(POBLACION!$C$4:$W$128,MATCH(A7,POBLACION!$A$4:$A$128,0),MATCH($W$2,POBLACION!$C$3:$W$3,0))</f>
        <v>2320791</v>
      </c>
      <c r="Y7" s="258">
        <f t="shared" si="5"/>
        <v>19627.534148486218</v>
      </c>
      <c r="Z7" s="270">
        <f t="shared" si="6"/>
        <v>21600.139109940475</v>
      </c>
      <c r="AA7" s="273">
        <f t="shared" si="7"/>
        <v>4.2928657416288925</v>
      </c>
      <c r="AB7" s="273">
        <f t="shared" si="7"/>
        <v>4.3344565481178279</v>
      </c>
      <c r="AD7" s="433" t="s">
        <v>97</v>
      </c>
      <c r="AE7" s="434"/>
      <c r="AF7" s="434"/>
      <c r="AG7" s="434"/>
      <c r="AH7" s="434"/>
      <c r="AI7" s="435"/>
    </row>
    <row r="8" spans="1:35" x14ac:dyDescent="0.2">
      <c r="A8" s="35" t="s">
        <v>98</v>
      </c>
      <c r="B8" s="32" t="s">
        <v>94</v>
      </c>
      <c r="C8" s="33" t="s">
        <v>95</v>
      </c>
      <c r="D8" s="32" t="s">
        <v>99</v>
      </c>
      <c r="E8" s="51">
        <f>SUMIFS('PIB Mpal 2015-2022 Cons'!H$5:H$1012,'PIB Mpal 2015-2022 Cons'!$A$5:$A$1012,$W$2,'PIB Mpal 2015-2022 Cons'!$E$5:$E$1012,$A8)</f>
        <v>87.150146859951107</v>
      </c>
      <c r="F8" s="51">
        <f>SUMIFS('PIB Mpal 2015-2022 Cons'!I$5:I$1012,'PIB Mpal 2015-2022 Cons'!$A$5:$A$1012,$W$2,'PIB Mpal 2015-2022 Cons'!$E$5:$E$1012,$A8)</f>
        <v>2.2355447251512288</v>
      </c>
      <c r="G8" s="51">
        <f>SUMIFS('PIB Mpal 2015-2022 Cons'!K$5:K$1012,'PIB Mpal 2015-2022 Cons'!$A$5:$A$1012,$W$2,'PIB Mpal 2015-2022 Cons'!$E$5:$E$1012,$A8)</f>
        <v>332.02207539214368</v>
      </c>
      <c r="H8" s="51">
        <f>SUMIFS('PIB Mpal 2015-2022 Cons'!L$5:L$1012,'PIB Mpal 2015-2022 Cons'!$A$5:$A$1012,$W$2,'PIB Mpal 2015-2022 Cons'!$E$5:$E$1012,$A8)</f>
        <v>40.664886329503766</v>
      </c>
      <c r="I8" s="51">
        <f>SUMIFS('PIB Mpal 2015-2022 Cons'!N$5:N$1012,'PIB Mpal 2015-2022 Cons'!$A$5:$A$1012,$W$2,'PIB Mpal 2015-2022 Cons'!$E$5:$E$1012,$A8)</f>
        <v>92.780474051561384</v>
      </c>
      <c r="J8" s="51">
        <f>SUMIFS('PIB Mpal 2015-2022 Cons'!O$5:O$1012,'PIB Mpal 2015-2022 Cons'!$A$5:$A$1012,$W$2,'PIB Mpal 2015-2022 Cons'!$E$5:$E$1012,$A8)</f>
        <v>74.242204795224282</v>
      </c>
      <c r="K8" s="51">
        <f>SUMIFS('PIB Mpal 2015-2022 Cons'!P$5:P$1012,'PIB Mpal 2015-2022 Cons'!$A$5:$A$1012,$W$2,'PIB Mpal 2015-2022 Cons'!$E$5:$E$1012,$A8)</f>
        <v>12.916094246956543</v>
      </c>
      <c r="L8" s="51">
        <f>SUMIFS('PIB Mpal 2015-2022 Cons'!Q$5:Q$1012,'PIB Mpal 2015-2022 Cons'!$A$5:$A$1012,$W$2,'PIB Mpal 2015-2022 Cons'!$E$5:$E$1012,$A8)</f>
        <v>7.4006266940251999</v>
      </c>
      <c r="M8" s="51">
        <f>SUMIFS('PIB Mpal 2015-2022 Cons'!R$5:R$1012,'PIB Mpal 2015-2022 Cons'!$A$5:$A$1012,$W$2,'PIB Mpal 2015-2022 Cons'!$E$5:$E$1012,$A8)</f>
        <v>42.842552522967395</v>
      </c>
      <c r="N8" s="51">
        <f>SUMIFS('PIB Mpal 2015-2022 Cons'!S$5:S$1012,'PIB Mpal 2015-2022 Cons'!$A$5:$A$1012,$W$2,'PIB Mpal 2015-2022 Cons'!$E$5:$E$1012,$A8)</f>
        <v>48.21509483003102</v>
      </c>
      <c r="O8" s="51">
        <f>SUMIFS('PIB Mpal 2015-2022 Cons'!T$5:T$1012,'PIB Mpal 2015-2022 Cons'!$A$5:$A$1012,$W$2,'PIB Mpal 2015-2022 Cons'!$E$5:$E$1012,$A8)</f>
        <v>34.884195455923191</v>
      </c>
      <c r="P8" s="150">
        <f>SUMIFS('PIB Mpal 2015-2022 Cons'!U$5:U$1012,'PIB Mpal 2015-2022 Cons'!$A$5:$A$1012,$W$2,'PIB Mpal 2015-2022 Cons'!$E$5:$E$1012,$A8)</f>
        <v>10.199362722056831</v>
      </c>
      <c r="Q8" s="217">
        <f>SUMIFS('PIB Mpal 2015-2022 Cons'!J$5:J$1012,'PIB Mpal 2015-2022 Cons'!$A$5:$A$1012,$W$2,'PIB Mpal 2015-2022 Cons'!$E$5:$E$1012,$A8)</f>
        <v>89.385691585102336</v>
      </c>
      <c r="R8" s="99">
        <f>SUMIFS('PIB Mpal 2015-2022 Cons'!M$5:M$1012,'PIB Mpal 2015-2022 Cons'!$A$5:$A$1012,$W$2,'PIB Mpal 2015-2022 Cons'!$E$5:$E$1012,$A8)</f>
        <v>372.68696172164744</v>
      </c>
      <c r="S8" s="53">
        <f>SUMIFS('PIB Mpal 2015-2022 Cons'!V$5:V$1012,'PIB Mpal 2015-2022 Cons'!$A$5:$A$1012,$W$2,'PIB Mpal 2015-2022 Cons'!$E$5:$E$1012,$A8)</f>
        <v>323.4806053187458</v>
      </c>
      <c r="T8" s="153">
        <f>SUMIFS('PIB Mpal 2015-2022 Cons'!W$5:W$1012,'PIB Mpal 2015-2022 Cons'!$A$5:$A$1012,$W$2,'PIB Mpal 2015-2022 Cons'!$E$5:$E$1012,$A8)</f>
        <v>785.55325862549557</v>
      </c>
      <c r="U8" s="51">
        <f>SUMIFS('PIB Mpal 2015-2022 Cons'!X$5:X$1012,'PIB Mpal 2015-2022 Cons'!$A$5:$A$1012,$W$2,'PIB Mpal 2015-2022 Cons'!$E$5:$E$1012,$A8)</f>
        <v>78.949614540059073</v>
      </c>
      <c r="V8" s="53">
        <f>SUMIFS('PIB Mpal 2015-2022 Cons'!Y$5:Y$1012,'PIB Mpal 2015-2022 Cons'!$A$5:$A$1012,$W$2,'PIB Mpal 2015-2022 Cons'!$E$5:$E$1012,$A8)</f>
        <v>864.50287316555466</v>
      </c>
      <c r="W8" s="92">
        <f t="shared" si="3"/>
        <v>7.4883577502826721E-3</v>
      </c>
      <c r="X8" s="268">
        <f>INDEX(POBLACION!$C$4:$W$128,MATCH(A8,POBLACION!$A$4:$A$128,0),MATCH($W$2,POBLACION!$C$3:$W$3,0))</f>
        <v>49550</v>
      </c>
      <c r="Y8" s="258">
        <f t="shared" si="5"/>
        <v>15853.748912724432</v>
      </c>
      <c r="Z8" s="270">
        <f t="shared" si="6"/>
        <v>17447.081194057613</v>
      </c>
      <c r="AA8" s="273">
        <f t="shared" si="7"/>
        <v>4.200131975676368</v>
      </c>
      <c r="AB8" s="273">
        <f t="shared" si="7"/>
        <v>4.241722782163861</v>
      </c>
      <c r="AD8" s="427" t="s">
        <v>100</v>
      </c>
      <c r="AE8" s="428"/>
      <c r="AF8" s="428"/>
      <c r="AG8" s="428"/>
      <c r="AH8" s="428"/>
      <c r="AI8" s="429"/>
    </row>
    <row r="9" spans="1:35" x14ac:dyDescent="0.2">
      <c r="A9" s="35" t="s">
        <v>101</v>
      </c>
      <c r="B9" s="32" t="s">
        <v>94</v>
      </c>
      <c r="C9" s="33" t="s">
        <v>95</v>
      </c>
      <c r="D9" s="32" t="s">
        <v>102</v>
      </c>
      <c r="E9" s="51">
        <f>SUMIFS('PIB Mpal 2015-2022 Cons'!H$5:H$1012,'PIB Mpal 2015-2022 Cons'!$A$5:$A$1012,$W$2,'PIB Mpal 2015-2022 Cons'!$E$5:$E$1012,$A9)</f>
        <v>32.86042774985561</v>
      </c>
      <c r="F9" s="51">
        <f>SUMIFS('PIB Mpal 2015-2022 Cons'!I$5:I$1012,'PIB Mpal 2015-2022 Cons'!$A$5:$A$1012,$W$2,'PIB Mpal 2015-2022 Cons'!$E$5:$E$1012,$A9)</f>
        <v>1.3847273861067322</v>
      </c>
      <c r="G9" s="51">
        <f>SUMIFS('PIB Mpal 2015-2022 Cons'!K$5:K$1012,'PIB Mpal 2015-2022 Cons'!$A$5:$A$1012,$W$2,'PIB Mpal 2015-2022 Cons'!$E$5:$E$1012,$A9)</f>
        <v>709.73076032472932</v>
      </c>
      <c r="H9" s="51">
        <f>SUMIFS('PIB Mpal 2015-2022 Cons'!L$5:L$1012,'PIB Mpal 2015-2022 Cons'!$A$5:$A$1012,$W$2,'PIB Mpal 2015-2022 Cons'!$E$5:$E$1012,$A9)</f>
        <v>442.56120670496762</v>
      </c>
      <c r="I9" s="51">
        <f>SUMIFS('PIB Mpal 2015-2022 Cons'!N$5:N$1012,'PIB Mpal 2015-2022 Cons'!$A$5:$A$1012,$W$2,'PIB Mpal 2015-2022 Cons'!$E$5:$E$1012,$A9)</f>
        <v>186.45274173402839</v>
      </c>
      <c r="J9" s="51">
        <f>SUMIFS('PIB Mpal 2015-2022 Cons'!O$5:O$1012,'PIB Mpal 2015-2022 Cons'!$A$5:$A$1012,$W$2,'PIB Mpal 2015-2022 Cons'!$E$5:$E$1012,$A9)</f>
        <v>1066.2356503951914</v>
      </c>
      <c r="K9" s="51">
        <f>SUMIFS('PIB Mpal 2015-2022 Cons'!P$5:P$1012,'PIB Mpal 2015-2022 Cons'!$A$5:$A$1012,$W$2,'PIB Mpal 2015-2022 Cons'!$E$5:$E$1012,$A9)</f>
        <v>245.27910805213486</v>
      </c>
      <c r="L9" s="51">
        <f>SUMIFS('PIB Mpal 2015-2022 Cons'!Q$5:Q$1012,'PIB Mpal 2015-2022 Cons'!$A$5:$A$1012,$W$2,'PIB Mpal 2015-2022 Cons'!$E$5:$E$1012,$A9)</f>
        <v>147.35512088211757</v>
      </c>
      <c r="M9" s="51">
        <f>SUMIFS('PIB Mpal 2015-2022 Cons'!R$5:R$1012,'PIB Mpal 2015-2022 Cons'!$A$5:$A$1012,$W$2,'PIB Mpal 2015-2022 Cons'!$E$5:$E$1012,$A9)</f>
        <v>570.62858347535507</v>
      </c>
      <c r="N9" s="51">
        <f>SUMIFS('PIB Mpal 2015-2022 Cons'!S$5:S$1012,'PIB Mpal 2015-2022 Cons'!$A$5:$A$1012,$W$2,'PIB Mpal 2015-2022 Cons'!$E$5:$E$1012,$A9)</f>
        <v>475.14832433753566</v>
      </c>
      <c r="O9" s="51">
        <f>SUMIFS('PIB Mpal 2015-2022 Cons'!T$5:T$1012,'PIB Mpal 2015-2022 Cons'!$A$5:$A$1012,$W$2,'PIB Mpal 2015-2022 Cons'!$E$5:$E$1012,$A9)</f>
        <v>711.00225316166518</v>
      </c>
      <c r="P9" s="150">
        <f>SUMIFS('PIB Mpal 2015-2022 Cons'!U$5:U$1012,'PIB Mpal 2015-2022 Cons'!$A$5:$A$1012,$W$2,'PIB Mpal 2015-2022 Cons'!$E$5:$E$1012,$A9)</f>
        <v>153.50494384773336</v>
      </c>
      <c r="Q9" s="217">
        <f>SUMIFS('PIB Mpal 2015-2022 Cons'!J$5:J$1012,'PIB Mpal 2015-2022 Cons'!$A$5:$A$1012,$W$2,'PIB Mpal 2015-2022 Cons'!$E$5:$E$1012,$A9)</f>
        <v>34.245155135962342</v>
      </c>
      <c r="R9" s="99">
        <f>SUMIFS('PIB Mpal 2015-2022 Cons'!M$5:M$1012,'PIB Mpal 2015-2022 Cons'!$A$5:$A$1012,$W$2,'PIB Mpal 2015-2022 Cons'!$E$5:$E$1012,$A9)</f>
        <v>1152.2919670296969</v>
      </c>
      <c r="S9" s="53">
        <f>SUMIFS('PIB Mpal 2015-2022 Cons'!V$5:V$1012,'PIB Mpal 2015-2022 Cons'!$A$5:$A$1012,$W$2,'PIB Mpal 2015-2022 Cons'!$E$5:$E$1012,$A9)</f>
        <v>3555.6067258857615</v>
      </c>
      <c r="T9" s="153">
        <f>SUMIFS('PIB Mpal 2015-2022 Cons'!W$5:W$1012,'PIB Mpal 2015-2022 Cons'!$A$5:$A$1012,$W$2,'PIB Mpal 2015-2022 Cons'!$E$5:$E$1012,$A9)</f>
        <v>4742.1438480514207</v>
      </c>
      <c r="U9" s="51">
        <f>SUMIFS('PIB Mpal 2015-2022 Cons'!X$5:X$1012,'PIB Mpal 2015-2022 Cons'!$A$5:$A$1012,$W$2,'PIB Mpal 2015-2022 Cons'!$E$5:$E$1012,$A9)</f>
        <v>476.59458451784241</v>
      </c>
      <c r="V9" s="53">
        <f>SUMIFS('PIB Mpal 2015-2022 Cons'!Y$5:Y$1012,'PIB Mpal 2015-2022 Cons'!$A$5:$A$1012,$W$2,'PIB Mpal 2015-2022 Cons'!$E$5:$E$1012,$A9)</f>
        <v>5218.7384325692628</v>
      </c>
      <c r="W9" s="92">
        <f t="shared" si="3"/>
        <v>4.5204916722982595E-2</v>
      </c>
      <c r="X9" s="268">
        <f>INDEX(POBLACION!$C$4:$W$128,MATCH(A9,POBLACION!$A$4:$A$128,0),MATCH($W$2,POBLACION!$C$3:$W$3,0))</f>
        <v>490014</v>
      </c>
      <c r="Y9" s="258">
        <f t="shared" si="5"/>
        <v>9677.5680859147305</v>
      </c>
      <c r="Z9" s="270">
        <f t="shared" si="6"/>
        <v>10650.182306157096</v>
      </c>
      <c r="AA9" s="273">
        <f t="shared" si="7"/>
        <v>3.9857662354529451</v>
      </c>
      <c r="AB9" s="273">
        <f t="shared" si="7"/>
        <v>4.0273570419419302</v>
      </c>
      <c r="AD9" s="430" t="s">
        <v>103</v>
      </c>
      <c r="AE9" s="431"/>
      <c r="AF9" s="431"/>
      <c r="AG9" s="431"/>
      <c r="AH9" s="431"/>
      <c r="AI9" s="432"/>
    </row>
    <row r="10" spans="1:35" x14ac:dyDescent="0.2">
      <c r="A10" s="35" t="s">
        <v>104</v>
      </c>
      <c r="B10" s="32" t="s">
        <v>94</v>
      </c>
      <c r="C10" s="33" t="s">
        <v>95</v>
      </c>
      <c r="D10" s="32" t="s">
        <v>105</v>
      </c>
      <c r="E10" s="51">
        <f>SUMIFS('PIB Mpal 2015-2022 Cons'!H$5:H$1012,'PIB Mpal 2015-2022 Cons'!$A$5:$A$1012,$W$2,'PIB Mpal 2015-2022 Cons'!$E$5:$E$1012,$A10)</f>
        <v>57.042390614574813</v>
      </c>
      <c r="F10" s="51">
        <f>SUMIFS('PIB Mpal 2015-2022 Cons'!I$5:I$1012,'PIB Mpal 2015-2022 Cons'!$A$5:$A$1012,$W$2,'PIB Mpal 2015-2022 Cons'!$E$5:$E$1012,$A10)</f>
        <v>0</v>
      </c>
      <c r="G10" s="51">
        <f>SUMIFS('PIB Mpal 2015-2022 Cons'!K$5:K$1012,'PIB Mpal 2015-2022 Cons'!$A$5:$A$1012,$W$2,'PIB Mpal 2015-2022 Cons'!$E$5:$E$1012,$A10)</f>
        <v>229.70378326003308</v>
      </c>
      <c r="H10" s="51">
        <f>SUMIFS('PIB Mpal 2015-2022 Cons'!L$5:L$1012,'PIB Mpal 2015-2022 Cons'!$A$5:$A$1012,$W$2,'PIB Mpal 2015-2022 Cons'!$E$5:$E$1012,$A10)</f>
        <v>26.390475357050349</v>
      </c>
      <c r="I10" s="51">
        <f>SUMIFS('PIB Mpal 2015-2022 Cons'!N$5:N$1012,'PIB Mpal 2015-2022 Cons'!$A$5:$A$1012,$W$2,'PIB Mpal 2015-2022 Cons'!$E$5:$E$1012,$A10)</f>
        <v>26.671889355962858</v>
      </c>
      <c r="J10" s="51">
        <f>SUMIFS('PIB Mpal 2015-2022 Cons'!O$5:O$1012,'PIB Mpal 2015-2022 Cons'!$A$5:$A$1012,$W$2,'PIB Mpal 2015-2022 Cons'!$E$5:$E$1012,$A10)</f>
        <v>235.62960169368398</v>
      </c>
      <c r="K10" s="51">
        <f>SUMIFS('PIB Mpal 2015-2022 Cons'!P$5:P$1012,'PIB Mpal 2015-2022 Cons'!$A$5:$A$1012,$W$2,'PIB Mpal 2015-2022 Cons'!$E$5:$E$1012,$A10)</f>
        <v>33.264812260945256</v>
      </c>
      <c r="L10" s="51">
        <f>SUMIFS('PIB Mpal 2015-2022 Cons'!Q$5:Q$1012,'PIB Mpal 2015-2022 Cons'!$A$5:$A$1012,$W$2,'PIB Mpal 2015-2022 Cons'!$E$5:$E$1012,$A10)</f>
        <v>22.771150351849343</v>
      </c>
      <c r="M10" s="51">
        <f>SUMIFS('PIB Mpal 2015-2022 Cons'!R$5:R$1012,'PIB Mpal 2015-2022 Cons'!$A$5:$A$1012,$W$2,'PIB Mpal 2015-2022 Cons'!$E$5:$E$1012,$A10)</f>
        <v>84.339935762224428</v>
      </c>
      <c r="N10" s="51">
        <f>SUMIFS('PIB Mpal 2015-2022 Cons'!S$5:S$1012,'PIB Mpal 2015-2022 Cons'!$A$5:$A$1012,$W$2,'PIB Mpal 2015-2022 Cons'!$E$5:$E$1012,$A10)</f>
        <v>73.348054899179346</v>
      </c>
      <c r="O10" s="51">
        <f>SUMIFS('PIB Mpal 2015-2022 Cons'!T$5:T$1012,'PIB Mpal 2015-2022 Cons'!$A$5:$A$1012,$W$2,'PIB Mpal 2015-2022 Cons'!$E$5:$E$1012,$A10)</f>
        <v>84.742568025770936</v>
      </c>
      <c r="P10" s="150">
        <f>SUMIFS('PIB Mpal 2015-2022 Cons'!U$5:U$1012,'PIB Mpal 2015-2022 Cons'!$A$5:$A$1012,$W$2,'PIB Mpal 2015-2022 Cons'!$E$5:$E$1012,$A10)</f>
        <v>16.133317143564955</v>
      </c>
      <c r="Q10" s="217">
        <f>SUMIFS('PIB Mpal 2015-2022 Cons'!J$5:J$1012,'PIB Mpal 2015-2022 Cons'!$A$5:$A$1012,$W$2,'PIB Mpal 2015-2022 Cons'!$E$5:$E$1012,$A10)</f>
        <v>57.042390614574813</v>
      </c>
      <c r="R10" s="99">
        <f>SUMIFS('PIB Mpal 2015-2022 Cons'!M$5:M$1012,'PIB Mpal 2015-2022 Cons'!$A$5:$A$1012,$W$2,'PIB Mpal 2015-2022 Cons'!$E$5:$E$1012,$A10)</f>
        <v>256.09425861708343</v>
      </c>
      <c r="S10" s="53">
        <f>SUMIFS('PIB Mpal 2015-2022 Cons'!V$5:V$1012,'PIB Mpal 2015-2022 Cons'!$A$5:$A$1012,$W$2,'PIB Mpal 2015-2022 Cons'!$E$5:$E$1012,$A10)</f>
        <v>576.90132949318104</v>
      </c>
      <c r="T10" s="153">
        <f>SUMIFS('PIB Mpal 2015-2022 Cons'!W$5:W$1012,'PIB Mpal 2015-2022 Cons'!$A$5:$A$1012,$W$2,'PIB Mpal 2015-2022 Cons'!$E$5:$E$1012,$A10)</f>
        <v>890.03797872483926</v>
      </c>
      <c r="U10" s="51">
        <f>SUMIFS('PIB Mpal 2015-2022 Cons'!X$5:X$1012,'PIB Mpal 2015-2022 Cons'!$A$5:$A$1012,$W$2,'PIB Mpal 2015-2022 Cons'!$E$5:$E$1012,$A10)</f>
        <v>89.45053002661858</v>
      </c>
      <c r="V10" s="53">
        <f>SUMIFS('PIB Mpal 2015-2022 Cons'!Y$5:Y$1012,'PIB Mpal 2015-2022 Cons'!$A$5:$A$1012,$W$2,'PIB Mpal 2015-2022 Cons'!$E$5:$E$1012,$A10)</f>
        <v>979.48850875145786</v>
      </c>
      <c r="W10" s="92">
        <f t="shared" si="3"/>
        <v>8.4843678297610112E-3</v>
      </c>
      <c r="X10" s="268">
        <f>INDEX(POBLACION!$C$4:$W$128,MATCH(A10,POBLACION!$A$4:$A$128,0),MATCH($W$2,POBLACION!$C$3:$W$3,0))</f>
        <v>75622</v>
      </c>
      <c r="Y10" s="258">
        <f t="shared" si="5"/>
        <v>11769.56413113696</v>
      </c>
      <c r="Z10" s="270">
        <f t="shared" si="6"/>
        <v>12952.427980633385</v>
      </c>
      <c r="AA10" s="273">
        <f t="shared" si="7"/>
        <v>4.0707603796703546</v>
      </c>
      <c r="AB10" s="273">
        <f t="shared" si="7"/>
        <v>4.1123511861588913</v>
      </c>
      <c r="AD10" s="433" t="s">
        <v>66</v>
      </c>
      <c r="AE10" s="434"/>
      <c r="AF10" s="434"/>
      <c r="AG10" s="434"/>
      <c r="AH10" s="434"/>
      <c r="AI10" s="435"/>
    </row>
    <row r="11" spans="1:35" x14ac:dyDescent="0.2">
      <c r="A11" s="35" t="s">
        <v>106</v>
      </c>
      <c r="B11" s="32" t="s">
        <v>94</v>
      </c>
      <c r="C11" s="33" t="s">
        <v>95</v>
      </c>
      <c r="D11" s="32" t="s">
        <v>107</v>
      </c>
      <c r="E11" s="51">
        <f>SUMIFS('PIB Mpal 2015-2022 Cons'!H$5:H$1012,'PIB Mpal 2015-2022 Cons'!$A$5:$A$1012,$W$2,'PIB Mpal 2015-2022 Cons'!$E$5:$E$1012,$A11)</f>
        <v>9.2642081926827373</v>
      </c>
      <c r="F11" s="51">
        <f>SUMIFS('PIB Mpal 2015-2022 Cons'!I$5:I$1012,'PIB Mpal 2015-2022 Cons'!$A$5:$A$1012,$W$2,'PIB Mpal 2015-2022 Cons'!$E$5:$E$1012,$A11)</f>
        <v>0</v>
      </c>
      <c r="G11" s="51">
        <f>SUMIFS('PIB Mpal 2015-2022 Cons'!K$5:K$1012,'PIB Mpal 2015-2022 Cons'!$A$5:$A$1012,$W$2,'PIB Mpal 2015-2022 Cons'!$E$5:$E$1012,$A11)</f>
        <v>393.84947086073026</v>
      </c>
      <c r="H11" s="51">
        <f>SUMIFS('PIB Mpal 2015-2022 Cons'!L$5:L$1012,'PIB Mpal 2015-2022 Cons'!$A$5:$A$1012,$W$2,'PIB Mpal 2015-2022 Cons'!$E$5:$E$1012,$A11)</f>
        <v>86.142284629092174</v>
      </c>
      <c r="I11" s="51">
        <f>SUMIFS('PIB Mpal 2015-2022 Cons'!N$5:N$1012,'PIB Mpal 2015-2022 Cons'!$A$5:$A$1012,$W$2,'PIB Mpal 2015-2022 Cons'!$E$5:$E$1012,$A11)</f>
        <v>38.128515741489636</v>
      </c>
      <c r="J11" s="51">
        <f>SUMIFS('PIB Mpal 2015-2022 Cons'!O$5:O$1012,'PIB Mpal 2015-2022 Cons'!$A$5:$A$1012,$W$2,'PIB Mpal 2015-2022 Cons'!$E$5:$E$1012,$A11)</f>
        <v>170.56818393274074</v>
      </c>
      <c r="K11" s="51">
        <f>SUMIFS('PIB Mpal 2015-2022 Cons'!P$5:P$1012,'PIB Mpal 2015-2022 Cons'!$A$5:$A$1012,$W$2,'PIB Mpal 2015-2022 Cons'!$E$5:$E$1012,$A11)</f>
        <v>40.940700346769844</v>
      </c>
      <c r="L11" s="51">
        <f>SUMIFS('PIB Mpal 2015-2022 Cons'!Q$5:Q$1012,'PIB Mpal 2015-2022 Cons'!$A$5:$A$1012,$W$2,'PIB Mpal 2015-2022 Cons'!$E$5:$E$1012,$A11)</f>
        <v>20.073552009436057</v>
      </c>
      <c r="M11" s="51">
        <f>SUMIFS('PIB Mpal 2015-2022 Cons'!R$5:R$1012,'PIB Mpal 2015-2022 Cons'!$A$5:$A$1012,$W$2,'PIB Mpal 2015-2022 Cons'!$E$5:$E$1012,$A11)</f>
        <v>111.11344478365751</v>
      </c>
      <c r="N11" s="51">
        <f>SUMIFS('PIB Mpal 2015-2022 Cons'!S$5:S$1012,'PIB Mpal 2015-2022 Cons'!$A$5:$A$1012,$W$2,'PIB Mpal 2015-2022 Cons'!$E$5:$E$1012,$A11)</f>
        <v>87.291258840240161</v>
      </c>
      <c r="O11" s="51">
        <f>SUMIFS('PIB Mpal 2015-2022 Cons'!T$5:T$1012,'PIB Mpal 2015-2022 Cons'!$A$5:$A$1012,$W$2,'PIB Mpal 2015-2022 Cons'!$E$5:$E$1012,$A11)</f>
        <v>72.943423577123909</v>
      </c>
      <c r="P11" s="150">
        <f>SUMIFS('PIB Mpal 2015-2022 Cons'!U$5:U$1012,'PIB Mpal 2015-2022 Cons'!$A$5:$A$1012,$W$2,'PIB Mpal 2015-2022 Cons'!$E$5:$E$1012,$A11)</f>
        <v>21.304899177729389</v>
      </c>
      <c r="Q11" s="217">
        <f>SUMIFS('PIB Mpal 2015-2022 Cons'!J$5:J$1012,'PIB Mpal 2015-2022 Cons'!$A$5:$A$1012,$W$2,'PIB Mpal 2015-2022 Cons'!$E$5:$E$1012,$A11)</f>
        <v>9.2642081926827373</v>
      </c>
      <c r="R11" s="99">
        <f>SUMIFS('PIB Mpal 2015-2022 Cons'!M$5:M$1012,'PIB Mpal 2015-2022 Cons'!$A$5:$A$1012,$W$2,'PIB Mpal 2015-2022 Cons'!$E$5:$E$1012,$A11)</f>
        <v>479.99175548982242</v>
      </c>
      <c r="S11" s="53">
        <f>SUMIFS('PIB Mpal 2015-2022 Cons'!V$5:V$1012,'PIB Mpal 2015-2022 Cons'!$A$5:$A$1012,$W$2,'PIB Mpal 2015-2022 Cons'!$E$5:$E$1012,$A11)</f>
        <v>562.36397840918721</v>
      </c>
      <c r="T11" s="153">
        <f>SUMIFS('PIB Mpal 2015-2022 Cons'!W$5:W$1012,'PIB Mpal 2015-2022 Cons'!$A$5:$A$1012,$W$2,'PIB Mpal 2015-2022 Cons'!$E$5:$E$1012,$A11)</f>
        <v>1051.6199420916923</v>
      </c>
      <c r="U11" s="51">
        <f>SUMIFS('PIB Mpal 2015-2022 Cons'!X$5:X$1012,'PIB Mpal 2015-2022 Cons'!$A$5:$A$1012,$W$2,'PIB Mpal 2015-2022 Cons'!$E$5:$E$1012,$A11)</f>
        <v>105.68982836018749</v>
      </c>
      <c r="V11" s="53">
        <f>SUMIFS('PIB Mpal 2015-2022 Cons'!Y$5:Y$1012,'PIB Mpal 2015-2022 Cons'!$A$5:$A$1012,$W$2,'PIB Mpal 2015-2022 Cons'!$E$5:$E$1012,$A11)</f>
        <v>1157.3097704518798</v>
      </c>
      <c r="W11" s="92">
        <f t="shared" si="3"/>
        <v>1.0024662563939871E-2</v>
      </c>
      <c r="X11" s="268">
        <f>INDEX(POBLACION!$C$4:$W$128,MATCH(A11,POBLACION!$A$4:$A$128,0),MATCH($W$2,POBLACION!$C$3:$W$3,0))</f>
        <v>73796</v>
      </c>
      <c r="Y11" s="258">
        <f t="shared" si="5"/>
        <v>14250.365088781131</v>
      </c>
      <c r="Z11" s="270">
        <f t="shared" si="6"/>
        <v>15682.554209603228</v>
      </c>
      <c r="AA11" s="273">
        <f t="shared" si="7"/>
        <v>4.1538259909418596</v>
      </c>
      <c r="AB11" s="273">
        <f t="shared" si="7"/>
        <v>4.1954167974298953</v>
      </c>
      <c r="AD11" s="427" t="s">
        <v>108</v>
      </c>
      <c r="AE11" s="428"/>
      <c r="AF11" s="428"/>
      <c r="AG11" s="428"/>
      <c r="AH11" s="428"/>
      <c r="AI11" s="429"/>
    </row>
    <row r="12" spans="1:35" x14ac:dyDescent="0.2">
      <c r="A12" s="35" t="s">
        <v>109</v>
      </c>
      <c r="B12" s="32" t="s">
        <v>94</v>
      </c>
      <c r="C12" s="33" t="s">
        <v>95</v>
      </c>
      <c r="D12" s="32" t="s">
        <v>110</v>
      </c>
      <c r="E12" s="51">
        <f>SUMIFS('PIB Mpal 2015-2022 Cons'!H$5:H$1012,'PIB Mpal 2015-2022 Cons'!$A$5:$A$1012,$W$2,'PIB Mpal 2015-2022 Cons'!$E$5:$E$1012,$A12)</f>
        <v>22.479678372914684</v>
      </c>
      <c r="F12" s="51">
        <f>SUMIFS('PIB Mpal 2015-2022 Cons'!I$5:I$1012,'PIB Mpal 2015-2022 Cons'!$A$5:$A$1012,$W$2,'PIB Mpal 2015-2022 Cons'!$E$5:$E$1012,$A12)</f>
        <v>0</v>
      </c>
      <c r="G12" s="51">
        <f>SUMIFS('PIB Mpal 2015-2022 Cons'!K$5:K$1012,'PIB Mpal 2015-2022 Cons'!$A$5:$A$1012,$W$2,'PIB Mpal 2015-2022 Cons'!$E$5:$E$1012,$A12)</f>
        <v>2453.3019512264786</v>
      </c>
      <c r="H12" s="51">
        <f>SUMIFS('PIB Mpal 2015-2022 Cons'!L$5:L$1012,'PIB Mpal 2015-2022 Cons'!$A$5:$A$1012,$W$2,'PIB Mpal 2015-2022 Cons'!$E$5:$E$1012,$A12)</f>
        <v>318.46624865600916</v>
      </c>
      <c r="I12" s="51">
        <f>SUMIFS('PIB Mpal 2015-2022 Cons'!N$5:N$1012,'PIB Mpal 2015-2022 Cons'!$A$5:$A$1012,$W$2,'PIB Mpal 2015-2022 Cons'!$E$5:$E$1012,$A12)</f>
        <v>242.39040527107537</v>
      </c>
      <c r="J12" s="51">
        <f>SUMIFS('PIB Mpal 2015-2022 Cons'!O$5:O$1012,'PIB Mpal 2015-2022 Cons'!$A$5:$A$1012,$W$2,'PIB Mpal 2015-2022 Cons'!$E$5:$E$1012,$A12)</f>
        <v>1169.6177934877462</v>
      </c>
      <c r="K12" s="51">
        <f>SUMIFS('PIB Mpal 2015-2022 Cons'!P$5:P$1012,'PIB Mpal 2015-2022 Cons'!$A$5:$A$1012,$W$2,'PIB Mpal 2015-2022 Cons'!$E$5:$E$1012,$A12)</f>
        <v>225.28860049987085</v>
      </c>
      <c r="L12" s="51">
        <f>SUMIFS('PIB Mpal 2015-2022 Cons'!Q$5:Q$1012,'PIB Mpal 2015-2022 Cons'!$A$5:$A$1012,$W$2,'PIB Mpal 2015-2022 Cons'!$E$5:$E$1012,$A12)</f>
        <v>155.74231506972649</v>
      </c>
      <c r="M12" s="51">
        <f>SUMIFS('PIB Mpal 2015-2022 Cons'!R$5:R$1012,'PIB Mpal 2015-2022 Cons'!$A$5:$A$1012,$W$2,'PIB Mpal 2015-2022 Cons'!$E$5:$E$1012,$A12)</f>
        <v>852.36397088747617</v>
      </c>
      <c r="N12" s="51">
        <f>SUMIFS('PIB Mpal 2015-2022 Cons'!S$5:S$1012,'PIB Mpal 2015-2022 Cons'!$A$5:$A$1012,$W$2,'PIB Mpal 2015-2022 Cons'!$E$5:$E$1012,$A12)</f>
        <v>761.23380629219173</v>
      </c>
      <c r="O12" s="51">
        <f>SUMIFS('PIB Mpal 2015-2022 Cons'!T$5:T$1012,'PIB Mpal 2015-2022 Cons'!$A$5:$A$1012,$W$2,'PIB Mpal 2015-2022 Cons'!$E$5:$E$1012,$A12)</f>
        <v>574.18597629647775</v>
      </c>
      <c r="P12" s="150">
        <f>SUMIFS('PIB Mpal 2015-2022 Cons'!U$5:U$1012,'PIB Mpal 2015-2022 Cons'!$A$5:$A$1012,$W$2,'PIB Mpal 2015-2022 Cons'!$E$5:$E$1012,$A12)</f>
        <v>246.63438317825234</v>
      </c>
      <c r="Q12" s="217">
        <f>SUMIFS('PIB Mpal 2015-2022 Cons'!J$5:J$1012,'PIB Mpal 2015-2022 Cons'!$A$5:$A$1012,$W$2,'PIB Mpal 2015-2022 Cons'!$E$5:$E$1012,$A12)</f>
        <v>22.479678372914684</v>
      </c>
      <c r="R12" s="99">
        <f>SUMIFS('PIB Mpal 2015-2022 Cons'!M$5:M$1012,'PIB Mpal 2015-2022 Cons'!$A$5:$A$1012,$W$2,'PIB Mpal 2015-2022 Cons'!$E$5:$E$1012,$A12)</f>
        <v>2771.7681998824878</v>
      </c>
      <c r="S12" s="53">
        <f>SUMIFS('PIB Mpal 2015-2022 Cons'!V$5:V$1012,'PIB Mpal 2015-2022 Cons'!$A$5:$A$1012,$W$2,'PIB Mpal 2015-2022 Cons'!$E$5:$E$1012,$A12)</f>
        <v>4227.4572509828167</v>
      </c>
      <c r="T12" s="153">
        <f>SUMIFS('PIB Mpal 2015-2022 Cons'!W$5:W$1012,'PIB Mpal 2015-2022 Cons'!$A$5:$A$1012,$W$2,'PIB Mpal 2015-2022 Cons'!$E$5:$E$1012,$A12)</f>
        <v>7021.7051292382184</v>
      </c>
      <c r="U12" s="51">
        <f>SUMIFS('PIB Mpal 2015-2022 Cons'!X$5:X$1012,'PIB Mpal 2015-2022 Cons'!$A$5:$A$1012,$W$2,'PIB Mpal 2015-2022 Cons'!$E$5:$E$1012,$A12)</f>
        <v>705.69488101803859</v>
      </c>
      <c r="V12" s="53">
        <f>SUMIFS('PIB Mpal 2015-2022 Cons'!Y$5:Y$1012,'PIB Mpal 2015-2022 Cons'!$A$5:$A$1012,$W$2,'PIB Mpal 2015-2022 Cons'!$E$5:$E$1012,$A12)</f>
        <v>7727.4000102562568</v>
      </c>
      <c r="W12" s="92">
        <f t="shared" si="3"/>
        <v>6.6935041574182758E-2</v>
      </c>
      <c r="X12" s="268">
        <f>INDEX(POBLACION!$C$4:$W$128,MATCH(A12,POBLACION!$A$4:$A$128,0),MATCH($W$2,POBLACION!$C$3:$W$3,0))</f>
        <v>214539</v>
      </c>
      <c r="Y12" s="258">
        <f t="shared" si="5"/>
        <v>32729.271271135869</v>
      </c>
      <c r="Z12" s="270">
        <f t="shared" si="6"/>
        <v>36018.626031892833</v>
      </c>
      <c r="AA12" s="273">
        <f t="shared" si="7"/>
        <v>4.5149363356945678</v>
      </c>
      <c r="AB12" s="273">
        <f t="shared" si="7"/>
        <v>4.556527142182901</v>
      </c>
      <c r="AD12" s="430" t="s">
        <v>111</v>
      </c>
      <c r="AE12" s="431"/>
      <c r="AF12" s="431"/>
      <c r="AG12" s="431"/>
      <c r="AH12" s="431"/>
      <c r="AI12" s="432"/>
    </row>
    <row r="13" spans="1:35" x14ac:dyDescent="0.2">
      <c r="A13" s="35" t="s">
        <v>112</v>
      </c>
      <c r="B13" s="32" t="s">
        <v>94</v>
      </c>
      <c r="C13" s="33" t="s">
        <v>95</v>
      </c>
      <c r="D13" s="32" t="s">
        <v>113</v>
      </c>
      <c r="E13" s="51">
        <f>SUMIFS('PIB Mpal 2015-2022 Cons'!H$5:H$1012,'PIB Mpal 2015-2022 Cons'!$A$5:$A$1012,$W$2,'PIB Mpal 2015-2022 Cons'!$E$5:$E$1012,$A13)</f>
        <v>21.622788573036885</v>
      </c>
      <c r="F13" s="51">
        <f>SUMIFS('PIB Mpal 2015-2022 Cons'!I$5:I$1012,'PIB Mpal 2015-2022 Cons'!$A$5:$A$1012,$W$2,'PIB Mpal 2015-2022 Cons'!$E$5:$E$1012,$A13)</f>
        <v>11.696436821122184</v>
      </c>
      <c r="G13" s="51">
        <f>SUMIFS('PIB Mpal 2015-2022 Cons'!K$5:K$1012,'PIB Mpal 2015-2022 Cons'!$A$5:$A$1012,$W$2,'PIB Mpal 2015-2022 Cons'!$E$5:$E$1012,$A13)</f>
        <v>894.34892888238733</v>
      </c>
      <c r="H13" s="51">
        <f>SUMIFS('PIB Mpal 2015-2022 Cons'!L$5:L$1012,'PIB Mpal 2015-2022 Cons'!$A$5:$A$1012,$W$2,'PIB Mpal 2015-2022 Cons'!$E$5:$E$1012,$A13)</f>
        <v>190.88343024606502</v>
      </c>
      <c r="I13" s="51">
        <f>SUMIFS('PIB Mpal 2015-2022 Cons'!N$5:N$1012,'PIB Mpal 2015-2022 Cons'!$A$5:$A$1012,$W$2,'PIB Mpal 2015-2022 Cons'!$E$5:$E$1012,$A13)</f>
        <v>31.319378432899413</v>
      </c>
      <c r="J13" s="51">
        <f>SUMIFS('PIB Mpal 2015-2022 Cons'!O$5:O$1012,'PIB Mpal 2015-2022 Cons'!$A$5:$A$1012,$W$2,'PIB Mpal 2015-2022 Cons'!$E$5:$E$1012,$A13)</f>
        <v>204.85798669437082</v>
      </c>
      <c r="K13" s="51">
        <f>SUMIFS('PIB Mpal 2015-2022 Cons'!P$5:P$1012,'PIB Mpal 2015-2022 Cons'!$A$5:$A$1012,$W$2,'PIB Mpal 2015-2022 Cons'!$E$5:$E$1012,$A13)</f>
        <v>17.844504004623023</v>
      </c>
      <c r="L13" s="51">
        <f>SUMIFS('PIB Mpal 2015-2022 Cons'!Q$5:Q$1012,'PIB Mpal 2015-2022 Cons'!$A$5:$A$1012,$W$2,'PIB Mpal 2015-2022 Cons'!$E$5:$E$1012,$A13)</f>
        <v>11.135967854491469</v>
      </c>
      <c r="M13" s="51">
        <f>SUMIFS('PIB Mpal 2015-2022 Cons'!R$5:R$1012,'PIB Mpal 2015-2022 Cons'!$A$5:$A$1012,$W$2,'PIB Mpal 2015-2022 Cons'!$E$5:$E$1012,$A13)</f>
        <v>50.241327551515766</v>
      </c>
      <c r="N13" s="51">
        <f>SUMIFS('PIB Mpal 2015-2022 Cons'!S$5:S$1012,'PIB Mpal 2015-2022 Cons'!$A$5:$A$1012,$W$2,'PIB Mpal 2015-2022 Cons'!$E$5:$E$1012,$A13)</f>
        <v>103.08881536223879</v>
      </c>
      <c r="O13" s="51">
        <f>SUMIFS('PIB Mpal 2015-2022 Cons'!T$5:T$1012,'PIB Mpal 2015-2022 Cons'!$A$5:$A$1012,$W$2,'PIB Mpal 2015-2022 Cons'!$E$5:$E$1012,$A13)</f>
        <v>47.490276937738528</v>
      </c>
      <c r="P13" s="150">
        <f>SUMIFS('PIB Mpal 2015-2022 Cons'!U$5:U$1012,'PIB Mpal 2015-2022 Cons'!$A$5:$A$1012,$W$2,'PIB Mpal 2015-2022 Cons'!$E$5:$E$1012,$A13)</f>
        <v>10.373608941247015</v>
      </c>
      <c r="Q13" s="217">
        <f>SUMIFS('PIB Mpal 2015-2022 Cons'!J$5:J$1012,'PIB Mpal 2015-2022 Cons'!$A$5:$A$1012,$W$2,'PIB Mpal 2015-2022 Cons'!$E$5:$E$1012,$A13)</f>
        <v>33.319225394159069</v>
      </c>
      <c r="R13" s="99">
        <f>SUMIFS('PIB Mpal 2015-2022 Cons'!M$5:M$1012,'PIB Mpal 2015-2022 Cons'!$A$5:$A$1012,$W$2,'PIB Mpal 2015-2022 Cons'!$E$5:$E$1012,$A13)</f>
        <v>1085.2323591284523</v>
      </c>
      <c r="S13" s="53">
        <f>SUMIFS('PIB Mpal 2015-2022 Cons'!V$5:V$1012,'PIB Mpal 2015-2022 Cons'!$A$5:$A$1012,$W$2,'PIB Mpal 2015-2022 Cons'!$E$5:$E$1012,$A13)</f>
        <v>476.35186577912486</v>
      </c>
      <c r="T13" s="153">
        <f>SUMIFS('PIB Mpal 2015-2022 Cons'!W$5:W$1012,'PIB Mpal 2015-2022 Cons'!$A$5:$A$1012,$W$2,'PIB Mpal 2015-2022 Cons'!$E$5:$E$1012,$A13)</f>
        <v>1594.9034503017363</v>
      </c>
      <c r="U13" s="51">
        <f>SUMIFS('PIB Mpal 2015-2022 Cons'!X$5:X$1012,'PIB Mpal 2015-2022 Cons'!$A$5:$A$1012,$W$2,'PIB Mpal 2015-2022 Cons'!$E$5:$E$1012,$A13)</f>
        <v>160.29086665449992</v>
      </c>
      <c r="V13" s="53">
        <f>SUMIFS('PIB Mpal 2015-2022 Cons'!Y$5:Y$1012,'PIB Mpal 2015-2022 Cons'!$A$5:$A$1012,$W$2,'PIB Mpal 2015-2022 Cons'!$E$5:$E$1012,$A13)</f>
        <v>1755.1943169562362</v>
      </c>
      <c r="W13" s="92">
        <f t="shared" si="3"/>
        <v>1.5203561925136959E-2</v>
      </c>
      <c r="X13" s="268">
        <f>INDEX(POBLACION!$C$4:$W$128,MATCH(A13,POBLACION!$A$4:$A$128,0),MATCH($W$2,POBLACION!$C$3:$W$3,0))</f>
        <v>48759</v>
      </c>
      <c r="Y13" s="258">
        <f t="shared" si="5"/>
        <v>32709.929455110574</v>
      </c>
      <c r="Z13" s="270">
        <f t="shared" si="6"/>
        <v>35997.340326016456</v>
      </c>
      <c r="AA13" s="273">
        <f t="shared" si="7"/>
        <v>4.5146796074912539</v>
      </c>
      <c r="AB13" s="273">
        <f t="shared" si="7"/>
        <v>4.5562704139782477</v>
      </c>
      <c r="AD13" s="430" t="s">
        <v>114</v>
      </c>
      <c r="AE13" s="431"/>
      <c r="AF13" s="431"/>
      <c r="AG13" s="431"/>
      <c r="AH13" s="431"/>
      <c r="AI13" s="432"/>
    </row>
    <row r="14" spans="1:35" x14ac:dyDescent="0.2">
      <c r="A14" s="35" t="s">
        <v>115</v>
      </c>
      <c r="B14" s="32" t="s">
        <v>94</v>
      </c>
      <c r="C14" s="33" t="s">
        <v>95</v>
      </c>
      <c r="D14" s="32" t="s">
        <v>116</v>
      </c>
      <c r="E14" s="51">
        <f>SUMIFS('PIB Mpal 2015-2022 Cons'!H$5:H$1012,'PIB Mpal 2015-2022 Cons'!$A$5:$A$1012,$W$2,'PIB Mpal 2015-2022 Cons'!$E$5:$E$1012,$A14)</f>
        <v>0.55442873099112122</v>
      </c>
      <c r="F14" s="51">
        <f>SUMIFS('PIB Mpal 2015-2022 Cons'!I$5:I$1012,'PIB Mpal 2015-2022 Cons'!$A$5:$A$1012,$W$2,'PIB Mpal 2015-2022 Cons'!$E$5:$E$1012,$A14)</f>
        <v>0.27041697973303003</v>
      </c>
      <c r="G14" s="51">
        <f>SUMIFS('PIB Mpal 2015-2022 Cons'!K$5:K$1012,'PIB Mpal 2015-2022 Cons'!$A$5:$A$1012,$W$2,'PIB Mpal 2015-2022 Cons'!$E$5:$E$1012,$A14)</f>
        <v>2192.4897335923961</v>
      </c>
      <c r="H14" s="51">
        <f>SUMIFS('PIB Mpal 2015-2022 Cons'!L$5:L$1012,'PIB Mpal 2015-2022 Cons'!$A$5:$A$1012,$W$2,'PIB Mpal 2015-2022 Cons'!$E$5:$E$1012,$A14)</f>
        <v>618.32935615540191</v>
      </c>
      <c r="I14" s="51">
        <f>SUMIFS('PIB Mpal 2015-2022 Cons'!N$5:N$1012,'PIB Mpal 2015-2022 Cons'!$A$5:$A$1012,$W$2,'PIB Mpal 2015-2022 Cons'!$E$5:$E$1012,$A14)</f>
        <v>244.11523829142413</v>
      </c>
      <c r="J14" s="51">
        <f>SUMIFS('PIB Mpal 2015-2022 Cons'!O$5:O$1012,'PIB Mpal 2015-2022 Cons'!$A$5:$A$1012,$W$2,'PIB Mpal 2015-2022 Cons'!$E$5:$E$1012,$A14)</f>
        <v>1074.5609124697905</v>
      </c>
      <c r="K14" s="51">
        <f>SUMIFS('PIB Mpal 2015-2022 Cons'!P$5:P$1012,'PIB Mpal 2015-2022 Cons'!$A$5:$A$1012,$W$2,'PIB Mpal 2015-2022 Cons'!$E$5:$E$1012,$A14)</f>
        <v>222.62840109169287</v>
      </c>
      <c r="L14" s="51">
        <f>SUMIFS('PIB Mpal 2015-2022 Cons'!Q$5:Q$1012,'PIB Mpal 2015-2022 Cons'!$A$5:$A$1012,$W$2,'PIB Mpal 2015-2022 Cons'!$E$5:$E$1012,$A14)</f>
        <v>193.18315991243378</v>
      </c>
      <c r="M14" s="51">
        <f>SUMIFS('PIB Mpal 2015-2022 Cons'!R$5:R$1012,'PIB Mpal 2015-2022 Cons'!$A$5:$A$1012,$W$2,'PIB Mpal 2015-2022 Cons'!$E$5:$E$1012,$A14)</f>
        <v>579.55120787037504</v>
      </c>
      <c r="N14" s="51">
        <f>SUMIFS('PIB Mpal 2015-2022 Cons'!S$5:S$1012,'PIB Mpal 2015-2022 Cons'!$A$5:$A$1012,$W$2,'PIB Mpal 2015-2022 Cons'!$E$5:$E$1012,$A14)</f>
        <v>652.8956708673926</v>
      </c>
      <c r="O14" s="51">
        <f>SUMIFS('PIB Mpal 2015-2022 Cons'!T$5:T$1012,'PIB Mpal 2015-2022 Cons'!$A$5:$A$1012,$W$2,'PIB Mpal 2015-2022 Cons'!$E$5:$E$1012,$A14)</f>
        <v>470.91557141200445</v>
      </c>
      <c r="P14" s="150">
        <f>SUMIFS('PIB Mpal 2015-2022 Cons'!U$5:U$1012,'PIB Mpal 2015-2022 Cons'!$A$5:$A$1012,$W$2,'PIB Mpal 2015-2022 Cons'!$E$5:$E$1012,$A14)</f>
        <v>115.15740188989577</v>
      </c>
      <c r="Q14" s="217">
        <f>SUMIFS('PIB Mpal 2015-2022 Cons'!J$5:J$1012,'PIB Mpal 2015-2022 Cons'!$A$5:$A$1012,$W$2,'PIB Mpal 2015-2022 Cons'!$E$5:$E$1012,$A14)</f>
        <v>0.82484571072415125</v>
      </c>
      <c r="R14" s="99">
        <f>SUMIFS('PIB Mpal 2015-2022 Cons'!M$5:M$1012,'PIB Mpal 2015-2022 Cons'!$A$5:$A$1012,$W$2,'PIB Mpal 2015-2022 Cons'!$E$5:$E$1012,$A14)</f>
        <v>2810.819089747798</v>
      </c>
      <c r="S14" s="53">
        <f>SUMIFS('PIB Mpal 2015-2022 Cons'!V$5:V$1012,'PIB Mpal 2015-2022 Cons'!$A$5:$A$1012,$W$2,'PIB Mpal 2015-2022 Cons'!$E$5:$E$1012,$A14)</f>
        <v>3553.0075638050093</v>
      </c>
      <c r="T14" s="153">
        <f>SUMIFS('PIB Mpal 2015-2022 Cons'!W$5:W$1012,'PIB Mpal 2015-2022 Cons'!$A$5:$A$1012,$W$2,'PIB Mpal 2015-2022 Cons'!$E$5:$E$1012,$A14)</f>
        <v>6364.6514992635312</v>
      </c>
      <c r="U14" s="51">
        <f>SUMIFS('PIB Mpal 2015-2022 Cons'!X$5:X$1012,'PIB Mpal 2015-2022 Cons'!$A$5:$A$1012,$W$2,'PIB Mpal 2015-2022 Cons'!$E$5:$E$1012,$A14)</f>
        <v>639.65972649145363</v>
      </c>
      <c r="V14" s="53">
        <f>SUMIFS('PIB Mpal 2015-2022 Cons'!Y$5:Y$1012,'PIB Mpal 2015-2022 Cons'!$A$5:$A$1012,$W$2,'PIB Mpal 2015-2022 Cons'!$E$5:$E$1012,$A14)</f>
        <v>7004.3112257549847</v>
      </c>
      <c r="W14" s="92">
        <f t="shared" si="3"/>
        <v>6.0671618199156396E-2</v>
      </c>
      <c r="X14" s="268">
        <f>INDEX(POBLACION!$C$4:$W$128,MATCH(A14,POBLACION!$A$4:$A$128,0),MATCH($W$2,POBLACION!$C$3:$W$3,0))</f>
        <v>261957</v>
      </c>
      <c r="Y14" s="258">
        <f t="shared" si="5"/>
        <v>24296.550576100395</v>
      </c>
      <c r="Z14" s="270">
        <f t="shared" si="6"/>
        <v>26738.400675511573</v>
      </c>
      <c r="AA14" s="273">
        <f t="shared" si="7"/>
        <v>4.3855446204253976</v>
      </c>
      <c r="AB14" s="273">
        <f t="shared" si="7"/>
        <v>4.4271354269135372</v>
      </c>
      <c r="AD14" s="430" t="s">
        <v>117</v>
      </c>
      <c r="AE14" s="431"/>
      <c r="AF14" s="431"/>
      <c r="AG14" s="431"/>
      <c r="AH14" s="431"/>
      <c r="AI14" s="432"/>
    </row>
    <row r="15" spans="1:35" x14ac:dyDescent="0.2">
      <c r="A15" s="35" t="s">
        <v>118</v>
      </c>
      <c r="B15" s="32" t="s">
        <v>94</v>
      </c>
      <c r="C15" s="33" t="s">
        <v>95</v>
      </c>
      <c r="D15" s="32" t="s">
        <v>119</v>
      </c>
      <c r="E15" s="51">
        <f>SUMIFS('PIB Mpal 2015-2022 Cons'!H$5:H$1012,'PIB Mpal 2015-2022 Cons'!$A$5:$A$1012,$W$2,'PIB Mpal 2015-2022 Cons'!$E$5:$E$1012,$A15)</f>
        <v>3.6424973072756601</v>
      </c>
      <c r="F15" s="51">
        <f>SUMIFS('PIB Mpal 2015-2022 Cons'!I$5:I$1012,'PIB Mpal 2015-2022 Cons'!$A$5:$A$1012,$W$2,'PIB Mpal 2015-2022 Cons'!$E$5:$E$1012,$A15)</f>
        <v>0</v>
      </c>
      <c r="G15" s="51">
        <f>SUMIFS('PIB Mpal 2015-2022 Cons'!K$5:K$1012,'PIB Mpal 2015-2022 Cons'!$A$5:$A$1012,$W$2,'PIB Mpal 2015-2022 Cons'!$E$5:$E$1012,$A15)</f>
        <v>576.53053345198214</v>
      </c>
      <c r="H15" s="51">
        <f>SUMIFS('PIB Mpal 2015-2022 Cons'!L$5:L$1012,'PIB Mpal 2015-2022 Cons'!$A$5:$A$1012,$W$2,'PIB Mpal 2015-2022 Cons'!$E$5:$E$1012,$A15)</f>
        <v>90.480731642694309</v>
      </c>
      <c r="I15" s="51">
        <f>SUMIFS('PIB Mpal 2015-2022 Cons'!N$5:N$1012,'PIB Mpal 2015-2022 Cons'!$A$5:$A$1012,$W$2,'PIB Mpal 2015-2022 Cons'!$E$5:$E$1012,$A15)</f>
        <v>49.23974311489745</v>
      </c>
      <c r="J15" s="51">
        <f>SUMIFS('PIB Mpal 2015-2022 Cons'!O$5:O$1012,'PIB Mpal 2015-2022 Cons'!$A$5:$A$1012,$W$2,'PIB Mpal 2015-2022 Cons'!$E$5:$E$1012,$A15)</f>
        <v>215.97589521821843</v>
      </c>
      <c r="K15" s="51">
        <f>SUMIFS('PIB Mpal 2015-2022 Cons'!P$5:P$1012,'PIB Mpal 2015-2022 Cons'!$A$5:$A$1012,$W$2,'PIB Mpal 2015-2022 Cons'!$E$5:$E$1012,$A15)</f>
        <v>38.706144232645258</v>
      </c>
      <c r="L15" s="51">
        <f>SUMIFS('PIB Mpal 2015-2022 Cons'!Q$5:Q$1012,'PIB Mpal 2015-2022 Cons'!$A$5:$A$1012,$W$2,'PIB Mpal 2015-2022 Cons'!$E$5:$E$1012,$A15)</f>
        <v>13.81912564895546</v>
      </c>
      <c r="M15" s="51">
        <f>SUMIFS('PIB Mpal 2015-2022 Cons'!R$5:R$1012,'PIB Mpal 2015-2022 Cons'!$A$5:$A$1012,$W$2,'PIB Mpal 2015-2022 Cons'!$E$5:$E$1012,$A15)</f>
        <v>99.33891159561162</v>
      </c>
      <c r="N15" s="51">
        <f>SUMIFS('PIB Mpal 2015-2022 Cons'!S$5:S$1012,'PIB Mpal 2015-2022 Cons'!$A$5:$A$1012,$W$2,'PIB Mpal 2015-2022 Cons'!$E$5:$E$1012,$A15)</f>
        <v>111.01050736983041</v>
      </c>
      <c r="O15" s="51">
        <f>SUMIFS('PIB Mpal 2015-2022 Cons'!T$5:T$1012,'PIB Mpal 2015-2022 Cons'!$A$5:$A$1012,$W$2,'PIB Mpal 2015-2022 Cons'!$E$5:$E$1012,$A15)</f>
        <v>76.479213683856727</v>
      </c>
      <c r="P15" s="150">
        <f>SUMIFS('PIB Mpal 2015-2022 Cons'!U$5:U$1012,'PIB Mpal 2015-2022 Cons'!$A$5:$A$1012,$W$2,'PIB Mpal 2015-2022 Cons'!$E$5:$E$1012,$A15)</f>
        <v>23.166925671960438</v>
      </c>
      <c r="Q15" s="217">
        <f>SUMIFS('PIB Mpal 2015-2022 Cons'!J$5:J$1012,'PIB Mpal 2015-2022 Cons'!$A$5:$A$1012,$W$2,'PIB Mpal 2015-2022 Cons'!$E$5:$E$1012,$A15)</f>
        <v>3.6424973072756601</v>
      </c>
      <c r="R15" s="99">
        <f>SUMIFS('PIB Mpal 2015-2022 Cons'!M$5:M$1012,'PIB Mpal 2015-2022 Cons'!$A$5:$A$1012,$W$2,'PIB Mpal 2015-2022 Cons'!$E$5:$E$1012,$A15)</f>
        <v>667.01126509467645</v>
      </c>
      <c r="S15" s="53">
        <f>SUMIFS('PIB Mpal 2015-2022 Cons'!V$5:V$1012,'PIB Mpal 2015-2022 Cons'!$A$5:$A$1012,$W$2,'PIB Mpal 2015-2022 Cons'!$E$5:$E$1012,$A15)</f>
        <v>627.73646653597586</v>
      </c>
      <c r="T15" s="153">
        <f>SUMIFS('PIB Mpal 2015-2022 Cons'!W$5:W$1012,'PIB Mpal 2015-2022 Cons'!$A$5:$A$1012,$W$2,'PIB Mpal 2015-2022 Cons'!$E$5:$E$1012,$A15)</f>
        <v>1298.3902289379278</v>
      </c>
      <c r="U15" s="51">
        <f>SUMIFS('PIB Mpal 2015-2022 Cons'!X$5:X$1012,'PIB Mpal 2015-2022 Cons'!$A$5:$A$1012,$W$2,'PIB Mpal 2015-2022 Cons'!$E$5:$E$1012,$A15)</f>
        <v>130.49071717607831</v>
      </c>
      <c r="V15" s="53">
        <f>SUMIFS('PIB Mpal 2015-2022 Cons'!Y$5:Y$1012,'PIB Mpal 2015-2022 Cons'!$A$5:$A$1012,$W$2,'PIB Mpal 2015-2022 Cons'!$E$5:$E$1012,$A15)</f>
        <v>1428.8809461140061</v>
      </c>
      <c r="W15" s="92">
        <f t="shared" si="3"/>
        <v>1.2377022725076566E-2</v>
      </c>
      <c r="X15" s="268">
        <f>INDEX(POBLACION!$C$4:$W$128,MATCH(A15,POBLACION!$A$4:$A$128,0),MATCH($W$2,POBLACION!$C$3:$W$3,0))</f>
        <v>67208</v>
      </c>
      <c r="Y15" s="258">
        <f t="shared" si="5"/>
        <v>19318.983289756095</v>
      </c>
      <c r="Z15" s="270">
        <f t="shared" si="6"/>
        <v>21260.578295947002</v>
      </c>
      <c r="AA15" s="273">
        <f t="shared" si="7"/>
        <v>4.2859842668378958</v>
      </c>
      <c r="AB15" s="273">
        <f t="shared" si="7"/>
        <v>4.327575073325705</v>
      </c>
      <c r="AD15" s="430" t="s">
        <v>70</v>
      </c>
      <c r="AE15" s="431"/>
      <c r="AF15" s="431"/>
      <c r="AG15" s="431"/>
      <c r="AH15" s="431"/>
      <c r="AI15" s="432"/>
    </row>
    <row r="16" spans="1:35" ht="16" thickBot="1" x14ac:dyDescent="0.25">
      <c r="A16" s="35" t="s">
        <v>120</v>
      </c>
      <c r="B16" s="63" t="s">
        <v>94</v>
      </c>
      <c r="C16" s="62" t="s">
        <v>95</v>
      </c>
      <c r="D16" s="63" t="s">
        <v>121</v>
      </c>
      <c r="E16" s="96">
        <f>SUMIFS('PIB Mpal 2015-2022 Cons'!H$5:H$1012,'PIB Mpal 2015-2022 Cons'!$A$5:$A$1012,$W$2,'PIB Mpal 2015-2022 Cons'!$E$5:$E$1012,$A16)</f>
        <v>8.1064774457973297</v>
      </c>
      <c r="F16" s="96">
        <f>SUMIFS('PIB Mpal 2015-2022 Cons'!I$5:I$1012,'PIB Mpal 2015-2022 Cons'!$A$5:$A$1012,$W$2,'PIB Mpal 2015-2022 Cons'!$E$5:$E$1012,$A16)</f>
        <v>0</v>
      </c>
      <c r="G16" s="96">
        <f>SUMIFS('PIB Mpal 2015-2022 Cons'!K$5:K$1012,'PIB Mpal 2015-2022 Cons'!$A$5:$A$1012,$W$2,'PIB Mpal 2015-2022 Cons'!$E$5:$E$1012,$A16)</f>
        <v>842.9476448116443</v>
      </c>
      <c r="H16" s="96">
        <f>SUMIFS('PIB Mpal 2015-2022 Cons'!L$5:L$1012,'PIB Mpal 2015-2022 Cons'!$A$5:$A$1012,$W$2,'PIB Mpal 2015-2022 Cons'!$E$5:$E$1012,$A16)</f>
        <v>284.27024952491206</v>
      </c>
      <c r="I16" s="96">
        <f>SUMIFS('PIB Mpal 2015-2022 Cons'!N$5:N$1012,'PIB Mpal 2015-2022 Cons'!$A$5:$A$1012,$W$2,'PIB Mpal 2015-2022 Cons'!$E$5:$E$1012,$A16)</f>
        <v>82.823925931187716</v>
      </c>
      <c r="J16" s="96">
        <f>SUMIFS('PIB Mpal 2015-2022 Cons'!O$5:O$1012,'PIB Mpal 2015-2022 Cons'!$A$5:$A$1012,$W$2,'PIB Mpal 2015-2022 Cons'!$E$5:$E$1012,$A16)</f>
        <v>287.07643874586296</v>
      </c>
      <c r="K16" s="96">
        <f>SUMIFS('PIB Mpal 2015-2022 Cons'!P$5:P$1012,'PIB Mpal 2015-2022 Cons'!$A$5:$A$1012,$W$2,'PIB Mpal 2015-2022 Cons'!$E$5:$E$1012,$A16)</f>
        <v>69.785217269022937</v>
      </c>
      <c r="L16" s="96">
        <f>SUMIFS('PIB Mpal 2015-2022 Cons'!Q$5:Q$1012,'PIB Mpal 2015-2022 Cons'!$A$5:$A$1012,$W$2,'PIB Mpal 2015-2022 Cons'!$E$5:$E$1012,$A16)</f>
        <v>45.338484913717437</v>
      </c>
      <c r="M16" s="96">
        <f>SUMIFS('PIB Mpal 2015-2022 Cons'!R$5:R$1012,'PIB Mpal 2015-2022 Cons'!$A$5:$A$1012,$W$2,'PIB Mpal 2015-2022 Cons'!$E$5:$E$1012,$A16)</f>
        <v>277.7204922723073</v>
      </c>
      <c r="N16" s="96">
        <f>SUMIFS('PIB Mpal 2015-2022 Cons'!S$5:S$1012,'PIB Mpal 2015-2022 Cons'!$A$5:$A$1012,$W$2,'PIB Mpal 2015-2022 Cons'!$E$5:$E$1012,$A16)</f>
        <v>236.32067523092059</v>
      </c>
      <c r="O16" s="96">
        <f>SUMIFS('PIB Mpal 2015-2022 Cons'!T$5:T$1012,'PIB Mpal 2015-2022 Cons'!$A$5:$A$1012,$W$2,'PIB Mpal 2015-2022 Cons'!$E$5:$E$1012,$A16)</f>
        <v>259.89120957282415</v>
      </c>
      <c r="P16" s="151">
        <f>SUMIFS('PIB Mpal 2015-2022 Cons'!U$5:U$1012,'PIB Mpal 2015-2022 Cons'!$A$5:$A$1012,$W$2,'PIB Mpal 2015-2022 Cons'!$E$5:$E$1012,$A16)</f>
        <v>50.460412765329544</v>
      </c>
      <c r="Q16" s="217">
        <f>SUMIFS('PIB Mpal 2015-2022 Cons'!J$5:J$1012,'PIB Mpal 2015-2022 Cons'!$A$5:$A$1012,$W$2,'PIB Mpal 2015-2022 Cons'!$E$5:$E$1012,$A16)</f>
        <v>8.1064774457973297</v>
      </c>
      <c r="R16" s="99">
        <f>SUMIFS('PIB Mpal 2015-2022 Cons'!M$5:M$1012,'PIB Mpal 2015-2022 Cons'!$A$5:$A$1012,$W$2,'PIB Mpal 2015-2022 Cons'!$E$5:$E$1012,$A16)</f>
        <v>1127.2178943365564</v>
      </c>
      <c r="S16" s="97">
        <f>SUMIFS('PIB Mpal 2015-2022 Cons'!V$5:V$1012,'PIB Mpal 2015-2022 Cons'!$A$5:$A$1012,$W$2,'PIB Mpal 2015-2022 Cons'!$E$5:$E$1012,$A16)</f>
        <v>1309.4168567011727</v>
      </c>
      <c r="T16" s="154">
        <f>SUMIFS('PIB Mpal 2015-2022 Cons'!W$5:W$1012,'PIB Mpal 2015-2022 Cons'!$A$5:$A$1012,$W$2,'PIB Mpal 2015-2022 Cons'!$E$5:$E$1012,$A16)</f>
        <v>2444.7412284835264</v>
      </c>
      <c r="U16" s="96">
        <f>SUMIFS('PIB Mpal 2015-2022 Cons'!X$5:X$1012,'PIB Mpal 2015-2022 Cons'!$A$5:$A$1012,$W$2,'PIB Mpal 2015-2022 Cons'!$E$5:$E$1012,$A16)</f>
        <v>245.70119915146418</v>
      </c>
      <c r="V16" s="97">
        <f>SUMIFS('PIB Mpal 2015-2022 Cons'!Y$5:Y$1012,'PIB Mpal 2015-2022 Cons'!$A$5:$A$1012,$W$2,'PIB Mpal 2015-2022 Cons'!$E$5:$E$1012,$A16)</f>
        <v>2690.4424276349905</v>
      </c>
      <c r="W16" s="98">
        <f t="shared" si="3"/>
        <v>2.3304717693878159E-2</v>
      </c>
      <c r="X16" s="268">
        <f>INDEX(POBLACION!$C$4:$W$128,MATCH(A16,POBLACION!$A$4:$A$128,0),MATCH($W$2,POBLACION!$C$3:$W$3,0))</f>
        <v>76089</v>
      </c>
      <c r="Y16" s="258">
        <f t="shared" si="5"/>
        <v>32130.021796626661</v>
      </c>
      <c r="Z16" s="270">
        <f t="shared" si="6"/>
        <v>35359.150831723251</v>
      </c>
      <c r="AA16" s="273">
        <f t="shared" si="7"/>
        <v>4.5069110201718567</v>
      </c>
      <c r="AB16" s="273">
        <f t="shared" si="7"/>
        <v>4.548501826659896</v>
      </c>
      <c r="AD16" s="430" t="s">
        <v>71</v>
      </c>
      <c r="AE16" s="431"/>
      <c r="AF16" s="431"/>
      <c r="AG16" s="431"/>
      <c r="AH16" s="431"/>
      <c r="AI16" s="432"/>
    </row>
    <row r="17" spans="1:35" ht="16" thickBot="1" x14ac:dyDescent="0.25">
      <c r="A17" s="116" t="s">
        <v>122</v>
      </c>
      <c r="B17" s="111" t="s">
        <v>123</v>
      </c>
      <c r="C17" s="117"/>
      <c r="D17" s="118"/>
      <c r="E17" s="113">
        <f>SUM(E18:E23)</f>
        <v>195.97893038062861</v>
      </c>
      <c r="F17" s="113">
        <f t="shared" ref="F17:V17" si="8">SUM(F18:F23)</f>
        <v>852.68768586932879</v>
      </c>
      <c r="G17" s="113">
        <f t="shared" si="8"/>
        <v>104.02514083612988</v>
      </c>
      <c r="H17" s="113">
        <f t="shared" si="8"/>
        <v>78.330311975763905</v>
      </c>
      <c r="I17" s="113">
        <f t="shared" si="8"/>
        <v>144.13988857266389</v>
      </c>
      <c r="J17" s="113">
        <f t="shared" si="8"/>
        <v>617.31310926861431</v>
      </c>
      <c r="K17" s="113">
        <f t="shared" si="8"/>
        <v>62.85414091142966</v>
      </c>
      <c r="L17" s="113">
        <f t="shared" si="8"/>
        <v>51.847909104888771</v>
      </c>
      <c r="M17" s="113">
        <f t="shared" si="8"/>
        <v>95.828603614048504</v>
      </c>
      <c r="N17" s="113">
        <f t="shared" si="8"/>
        <v>262.69015943501068</v>
      </c>
      <c r="O17" s="113">
        <f t="shared" si="8"/>
        <v>381.33135872421781</v>
      </c>
      <c r="P17" s="123">
        <f t="shared" si="8"/>
        <v>38.287986524580006</v>
      </c>
      <c r="Q17" s="193">
        <f t="shared" si="8"/>
        <v>1048.6666162499573</v>
      </c>
      <c r="R17" s="113">
        <f t="shared" si="8"/>
        <v>182.3554528118938</v>
      </c>
      <c r="S17" s="114">
        <f t="shared" si="8"/>
        <v>1654.2931561554535</v>
      </c>
      <c r="T17" s="186">
        <f t="shared" si="8"/>
        <v>2885.3152252173049</v>
      </c>
      <c r="U17" s="113">
        <f t="shared" si="8"/>
        <v>289.97973385043827</v>
      </c>
      <c r="V17" s="114">
        <f t="shared" si="8"/>
        <v>3175.2949590677435</v>
      </c>
      <c r="W17" s="115">
        <f t="shared" si="3"/>
        <v>2.7504529313015866E-2</v>
      </c>
      <c r="X17" s="208">
        <f t="shared" ref="X17" si="9">SUM(X18:X23)</f>
        <v>235199</v>
      </c>
      <c r="Y17" s="258">
        <f t="shared" si="5"/>
        <v>12267.548863801738</v>
      </c>
      <c r="Z17" s="270">
        <f t="shared" si="6"/>
        <v>13500.461137452725</v>
      </c>
      <c r="AA17" s="273">
        <f t="shared" si="7"/>
        <v>4.088757796527597</v>
      </c>
      <c r="AB17" s="273">
        <f t="shared" si="7"/>
        <v>4.1303486030158032</v>
      </c>
      <c r="AC17" s="292">
        <f>H17/T17</f>
        <v>2.7147921756058568E-2</v>
      </c>
      <c r="AD17" s="430" t="s">
        <v>124</v>
      </c>
      <c r="AE17" s="431"/>
      <c r="AF17" s="431"/>
      <c r="AG17" s="431"/>
      <c r="AH17" s="431"/>
      <c r="AI17" s="432"/>
    </row>
    <row r="18" spans="1:35" x14ac:dyDescent="0.2">
      <c r="A18" s="35" t="s">
        <v>125</v>
      </c>
      <c r="B18" s="101" t="s">
        <v>126</v>
      </c>
      <c r="C18" s="108" t="s">
        <v>127</v>
      </c>
      <c r="D18" s="101" t="s">
        <v>128</v>
      </c>
      <c r="E18" s="109">
        <f>SUMIFS('PIB Mpal 2015-2022 Cons'!H$5:H$1012,'PIB Mpal 2015-2022 Cons'!$A$5:$A$1012,$W$2,'PIB Mpal 2015-2022 Cons'!$E$5:$E$1012,$A18)</f>
        <v>54.403559871533105</v>
      </c>
      <c r="F18" s="109">
        <f>SUMIFS('PIB Mpal 2015-2022 Cons'!I$5:I$1012,'PIB Mpal 2015-2022 Cons'!$A$5:$A$1012,$W$2,'PIB Mpal 2015-2022 Cons'!$E$5:$E$1012,$A18)</f>
        <v>27.037867184342492</v>
      </c>
      <c r="G18" s="109">
        <f>SUMIFS('PIB Mpal 2015-2022 Cons'!K$5:K$1012,'PIB Mpal 2015-2022 Cons'!$A$5:$A$1012,$W$2,'PIB Mpal 2015-2022 Cons'!$E$5:$E$1012,$A18)</f>
        <v>24.964586770726473</v>
      </c>
      <c r="H18" s="109">
        <f>SUMIFS('PIB Mpal 2015-2022 Cons'!L$5:L$1012,'PIB Mpal 2015-2022 Cons'!$A$5:$A$1012,$W$2,'PIB Mpal 2015-2022 Cons'!$E$5:$E$1012,$A18)</f>
        <v>0.76271419200374169</v>
      </c>
      <c r="I18" s="109">
        <f>SUMIFS('PIB Mpal 2015-2022 Cons'!N$5:N$1012,'PIB Mpal 2015-2022 Cons'!$A$5:$A$1012,$W$2,'PIB Mpal 2015-2022 Cons'!$E$5:$E$1012,$A18)</f>
        <v>52.326062045677538</v>
      </c>
      <c r="J18" s="109">
        <f>SUMIFS('PIB Mpal 2015-2022 Cons'!O$5:O$1012,'PIB Mpal 2015-2022 Cons'!$A$5:$A$1012,$W$2,'PIB Mpal 2015-2022 Cons'!$E$5:$E$1012,$A18)</f>
        <v>51.590356920232622</v>
      </c>
      <c r="K18" s="109">
        <f>SUMIFS('PIB Mpal 2015-2022 Cons'!P$5:P$1012,'PIB Mpal 2015-2022 Cons'!$A$5:$A$1012,$W$2,'PIB Mpal 2015-2022 Cons'!$E$5:$E$1012,$A18)</f>
        <v>8.4296870564656707</v>
      </c>
      <c r="L18" s="109">
        <f>SUMIFS('PIB Mpal 2015-2022 Cons'!Q$5:Q$1012,'PIB Mpal 2015-2022 Cons'!$A$5:$A$1012,$W$2,'PIB Mpal 2015-2022 Cons'!$E$5:$E$1012,$A18)</f>
        <v>5.4712801793701189</v>
      </c>
      <c r="M18" s="109">
        <f>SUMIFS('PIB Mpal 2015-2022 Cons'!R$5:R$1012,'PIB Mpal 2015-2022 Cons'!$A$5:$A$1012,$W$2,'PIB Mpal 2015-2022 Cons'!$E$5:$E$1012,$A18)</f>
        <v>10.080405813374343</v>
      </c>
      <c r="N18" s="109">
        <f>SUMIFS('PIB Mpal 2015-2022 Cons'!S$5:S$1012,'PIB Mpal 2015-2022 Cons'!$A$5:$A$1012,$W$2,'PIB Mpal 2015-2022 Cons'!$E$5:$E$1012,$A18)</f>
        <v>30.797908940727179</v>
      </c>
      <c r="O18" s="109">
        <f>SUMIFS('PIB Mpal 2015-2022 Cons'!T$5:T$1012,'PIB Mpal 2015-2022 Cons'!$A$5:$A$1012,$W$2,'PIB Mpal 2015-2022 Cons'!$E$5:$E$1012,$A18)</f>
        <v>50.709697614462549</v>
      </c>
      <c r="P18" s="182">
        <f>SUMIFS('PIB Mpal 2015-2022 Cons'!U$5:U$1012,'PIB Mpal 2015-2022 Cons'!$A$5:$A$1012,$W$2,'PIB Mpal 2015-2022 Cons'!$E$5:$E$1012,$A18)</f>
        <v>4.9928992798360099</v>
      </c>
      <c r="Q18" s="217">
        <f>SUMIFS('PIB Mpal 2015-2022 Cons'!J$5:J$1012,'PIB Mpal 2015-2022 Cons'!$A$5:$A$1012,$W$2,'PIB Mpal 2015-2022 Cons'!$E$5:$E$1012,$A18)</f>
        <v>81.441427055875593</v>
      </c>
      <c r="R18" s="99">
        <f>SUMIFS('PIB Mpal 2015-2022 Cons'!M$5:M$1012,'PIB Mpal 2015-2022 Cons'!$A$5:$A$1012,$W$2,'PIB Mpal 2015-2022 Cons'!$E$5:$E$1012,$A18)</f>
        <v>25.727300962730215</v>
      </c>
      <c r="S18" s="110">
        <f>SUMIFS('PIB Mpal 2015-2022 Cons'!V$5:V$1012,'PIB Mpal 2015-2022 Cons'!$A$5:$A$1012,$W$2,'PIB Mpal 2015-2022 Cons'!$E$5:$E$1012,$A18)</f>
        <v>214.39829785014604</v>
      </c>
      <c r="T18" s="187">
        <f>SUMIFS('PIB Mpal 2015-2022 Cons'!W$5:W$1012,'PIB Mpal 2015-2022 Cons'!$A$5:$A$1012,$W$2,'PIB Mpal 2015-2022 Cons'!$E$5:$E$1012,$A18)</f>
        <v>321.56702586875184</v>
      </c>
      <c r="U18" s="109">
        <f>SUMIFS('PIB Mpal 2015-2022 Cons'!X$5:X$1012,'PIB Mpal 2015-2022 Cons'!$A$5:$A$1012,$W$2,'PIB Mpal 2015-2022 Cons'!$E$5:$E$1012,$A18)</f>
        <v>32.31810505919465</v>
      </c>
      <c r="V18" s="110">
        <f>SUMIFS('PIB Mpal 2015-2022 Cons'!Y$5:Y$1012,'PIB Mpal 2015-2022 Cons'!$A$5:$A$1012,$W$2,'PIB Mpal 2015-2022 Cons'!$E$5:$E$1012,$A18)</f>
        <v>353.88513092794648</v>
      </c>
      <c r="W18" s="100">
        <f t="shared" si="3"/>
        <v>3.0653668659197161E-3</v>
      </c>
      <c r="X18" s="268">
        <f>INDEX(POBLACION!$C$4:$W$128,MATCH(A18,POBLACION!$A$4:$A$128,0),MATCH($W$2,POBLACION!$C$3:$W$3,0))</f>
        <v>27811</v>
      </c>
      <c r="Y18" s="258">
        <f t="shared" si="5"/>
        <v>11562.584080714531</v>
      </c>
      <c r="Z18" s="270">
        <f t="shared" si="6"/>
        <v>12724.646036746124</v>
      </c>
      <c r="AA18" s="273">
        <f t="shared" si="7"/>
        <v>4.0630549038580153</v>
      </c>
      <c r="AB18" s="273">
        <f t="shared" si="7"/>
        <v>4.1046457103466336</v>
      </c>
      <c r="AD18" s="430" t="s">
        <v>129</v>
      </c>
      <c r="AE18" s="431"/>
      <c r="AF18" s="431"/>
      <c r="AG18" s="431"/>
      <c r="AH18" s="431"/>
      <c r="AI18" s="432"/>
    </row>
    <row r="19" spans="1:35" x14ac:dyDescent="0.2">
      <c r="A19" s="35" t="s">
        <v>130</v>
      </c>
      <c r="B19" s="32" t="s">
        <v>126</v>
      </c>
      <c r="C19" s="33" t="s">
        <v>127</v>
      </c>
      <c r="D19" s="32" t="s">
        <v>131</v>
      </c>
      <c r="E19" s="51">
        <f>SUMIFS('PIB Mpal 2015-2022 Cons'!H$5:H$1012,'PIB Mpal 2015-2022 Cons'!$A$5:$A$1012,$W$2,'PIB Mpal 2015-2022 Cons'!$E$5:$E$1012,$A19)</f>
        <v>59.977308489397323</v>
      </c>
      <c r="F19" s="51">
        <f>SUMIFS('PIB Mpal 2015-2022 Cons'!I$5:I$1012,'PIB Mpal 2015-2022 Cons'!$A$5:$A$1012,$W$2,'PIB Mpal 2015-2022 Cons'!$E$5:$E$1012,$A19)</f>
        <v>26.771405008369221</v>
      </c>
      <c r="G19" s="51">
        <f>SUMIFS('PIB Mpal 2015-2022 Cons'!K$5:K$1012,'PIB Mpal 2015-2022 Cons'!$A$5:$A$1012,$W$2,'PIB Mpal 2015-2022 Cons'!$E$5:$E$1012,$A19)</f>
        <v>45.411090680524694</v>
      </c>
      <c r="H19" s="51">
        <f>SUMIFS('PIB Mpal 2015-2022 Cons'!L$5:L$1012,'PIB Mpal 2015-2022 Cons'!$A$5:$A$1012,$W$2,'PIB Mpal 2015-2022 Cons'!$E$5:$E$1012,$A19)</f>
        <v>27.237641780635258</v>
      </c>
      <c r="I19" s="51">
        <f>SUMIFS('PIB Mpal 2015-2022 Cons'!N$5:N$1012,'PIB Mpal 2015-2022 Cons'!$A$5:$A$1012,$W$2,'PIB Mpal 2015-2022 Cons'!$E$5:$E$1012,$A19)</f>
        <v>36.067089383063504</v>
      </c>
      <c r="J19" s="51">
        <f>SUMIFS('PIB Mpal 2015-2022 Cons'!O$5:O$1012,'PIB Mpal 2015-2022 Cons'!$A$5:$A$1012,$W$2,'PIB Mpal 2015-2022 Cons'!$E$5:$E$1012,$A19)</f>
        <v>337.50894463986259</v>
      </c>
      <c r="K19" s="51">
        <f>SUMIFS('PIB Mpal 2015-2022 Cons'!P$5:P$1012,'PIB Mpal 2015-2022 Cons'!$A$5:$A$1012,$W$2,'PIB Mpal 2015-2022 Cons'!$E$5:$E$1012,$A19)</f>
        <v>22.312605443063596</v>
      </c>
      <c r="L19" s="51">
        <f>SUMIFS('PIB Mpal 2015-2022 Cons'!Q$5:Q$1012,'PIB Mpal 2015-2022 Cons'!$A$5:$A$1012,$W$2,'PIB Mpal 2015-2022 Cons'!$E$5:$E$1012,$A19)</f>
        <v>21.603099001894563</v>
      </c>
      <c r="M19" s="51">
        <f>SUMIFS('PIB Mpal 2015-2022 Cons'!R$5:R$1012,'PIB Mpal 2015-2022 Cons'!$A$5:$A$1012,$W$2,'PIB Mpal 2015-2022 Cons'!$E$5:$E$1012,$A19)</f>
        <v>38.364562686277367</v>
      </c>
      <c r="N19" s="51">
        <f>SUMIFS('PIB Mpal 2015-2022 Cons'!S$5:S$1012,'PIB Mpal 2015-2022 Cons'!$A$5:$A$1012,$W$2,'PIB Mpal 2015-2022 Cons'!$E$5:$E$1012,$A19)</f>
        <v>87.303422303072196</v>
      </c>
      <c r="O19" s="51">
        <f>SUMIFS('PIB Mpal 2015-2022 Cons'!T$5:T$1012,'PIB Mpal 2015-2022 Cons'!$A$5:$A$1012,$W$2,'PIB Mpal 2015-2022 Cons'!$E$5:$E$1012,$A19)</f>
        <v>125.05809046458431</v>
      </c>
      <c r="P19" s="150">
        <f>SUMIFS('PIB Mpal 2015-2022 Cons'!U$5:U$1012,'PIB Mpal 2015-2022 Cons'!$A$5:$A$1012,$W$2,'PIB Mpal 2015-2022 Cons'!$E$5:$E$1012,$A19)</f>
        <v>12.957486213738651</v>
      </c>
      <c r="Q19" s="217">
        <f>SUMIFS('PIB Mpal 2015-2022 Cons'!J$5:J$1012,'PIB Mpal 2015-2022 Cons'!$A$5:$A$1012,$W$2,'PIB Mpal 2015-2022 Cons'!$E$5:$E$1012,$A19)</f>
        <v>86.748713497766545</v>
      </c>
      <c r="R19" s="99">
        <f>SUMIFS('PIB Mpal 2015-2022 Cons'!M$5:M$1012,'PIB Mpal 2015-2022 Cons'!$A$5:$A$1012,$W$2,'PIB Mpal 2015-2022 Cons'!$E$5:$E$1012,$A19)</f>
        <v>72.648732461159952</v>
      </c>
      <c r="S19" s="53">
        <f>SUMIFS('PIB Mpal 2015-2022 Cons'!V$5:V$1012,'PIB Mpal 2015-2022 Cons'!$A$5:$A$1012,$W$2,'PIB Mpal 2015-2022 Cons'!$E$5:$E$1012,$A19)</f>
        <v>681.17530013555688</v>
      </c>
      <c r="T19" s="153">
        <f>SUMIFS('PIB Mpal 2015-2022 Cons'!W$5:W$1012,'PIB Mpal 2015-2022 Cons'!$A$5:$A$1012,$W$2,'PIB Mpal 2015-2022 Cons'!$E$5:$E$1012,$A19)</f>
        <v>840.57274609448336</v>
      </c>
      <c r="U19" s="51">
        <f>SUMIFS('PIB Mpal 2015-2022 Cons'!X$5:X$1012,'PIB Mpal 2015-2022 Cons'!$A$5:$A$1012,$W$2,'PIB Mpal 2015-2022 Cons'!$E$5:$E$1012,$A19)</f>
        <v>84.479178937019668</v>
      </c>
      <c r="V19" s="53">
        <f>SUMIFS('PIB Mpal 2015-2022 Cons'!Y$5:Y$1012,'PIB Mpal 2015-2022 Cons'!$A$5:$A$1012,$W$2,'PIB Mpal 2015-2022 Cons'!$E$5:$E$1012,$A19)</f>
        <v>925.05192503150306</v>
      </c>
      <c r="W19" s="92">
        <f t="shared" si="3"/>
        <v>8.0128360092760493E-3</v>
      </c>
      <c r="X19" s="268">
        <f>INDEX(POBLACION!$C$4:$W$128,MATCH(A19,POBLACION!$A$4:$A$128,0),MATCH($W$2,POBLACION!$C$3:$W$3,0))</f>
        <v>84926</v>
      </c>
      <c r="Y19" s="258">
        <f t="shared" si="5"/>
        <v>9897.7079586284926</v>
      </c>
      <c r="Z19" s="270">
        <f t="shared" si="6"/>
        <v>10892.44665981564</v>
      </c>
      <c r="AA19" s="273">
        <f t="shared" si="7"/>
        <v>3.9955346353887298</v>
      </c>
      <c r="AB19" s="273">
        <f t="shared" si="7"/>
        <v>4.0371254418779818</v>
      </c>
      <c r="AD19" s="433" t="s">
        <v>132</v>
      </c>
      <c r="AE19" s="434"/>
      <c r="AF19" s="434"/>
      <c r="AG19" s="434"/>
      <c r="AH19" s="434"/>
      <c r="AI19" s="435"/>
    </row>
    <row r="20" spans="1:35" x14ac:dyDescent="0.2">
      <c r="A20" s="35" t="s">
        <v>133</v>
      </c>
      <c r="B20" s="32" t="s">
        <v>126</v>
      </c>
      <c r="C20" s="33" t="s">
        <v>127</v>
      </c>
      <c r="D20" s="32" t="s">
        <v>134</v>
      </c>
      <c r="E20" s="51">
        <f>SUMIFS('PIB Mpal 2015-2022 Cons'!H$5:H$1012,'PIB Mpal 2015-2022 Cons'!$A$5:$A$1012,$W$2,'PIB Mpal 2015-2022 Cons'!$E$5:$E$1012,$A20)</f>
        <v>22.07967854532891</v>
      </c>
      <c r="F20" s="51">
        <f>SUMIFS('PIB Mpal 2015-2022 Cons'!I$5:I$1012,'PIB Mpal 2015-2022 Cons'!$A$5:$A$1012,$W$2,'PIB Mpal 2015-2022 Cons'!$E$5:$E$1012,$A20)</f>
        <v>464.63710990041011</v>
      </c>
      <c r="G20" s="51">
        <f>SUMIFS('PIB Mpal 2015-2022 Cons'!K$5:K$1012,'PIB Mpal 2015-2022 Cons'!$A$5:$A$1012,$W$2,'PIB Mpal 2015-2022 Cons'!$E$5:$E$1012,$A20)</f>
        <v>21.414536194683318</v>
      </c>
      <c r="H20" s="51">
        <f>SUMIFS('PIB Mpal 2015-2022 Cons'!L$5:L$1012,'PIB Mpal 2015-2022 Cons'!$A$5:$A$1012,$W$2,'PIB Mpal 2015-2022 Cons'!$E$5:$E$1012,$A20)</f>
        <v>10.570160293887387</v>
      </c>
      <c r="I20" s="51">
        <f>SUMIFS('PIB Mpal 2015-2022 Cons'!N$5:N$1012,'PIB Mpal 2015-2022 Cons'!$A$5:$A$1012,$W$2,'PIB Mpal 2015-2022 Cons'!$E$5:$E$1012,$A20)</f>
        <v>17.557273283939296</v>
      </c>
      <c r="J20" s="51">
        <f>SUMIFS('PIB Mpal 2015-2022 Cons'!O$5:O$1012,'PIB Mpal 2015-2022 Cons'!$A$5:$A$1012,$W$2,'PIB Mpal 2015-2022 Cons'!$E$5:$E$1012,$A20)</f>
        <v>101.19281922365285</v>
      </c>
      <c r="K20" s="51">
        <f>SUMIFS('PIB Mpal 2015-2022 Cons'!P$5:P$1012,'PIB Mpal 2015-2022 Cons'!$A$5:$A$1012,$W$2,'PIB Mpal 2015-2022 Cons'!$E$5:$E$1012,$A20)</f>
        <v>13.280624004293864</v>
      </c>
      <c r="L20" s="51">
        <f>SUMIFS('PIB Mpal 2015-2022 Cons'!Q$5:Q$1012,'PIB Mpal 2015-2022 Cons'!$A$5:$A$1012,$W$2,'PIB Mpal 2015-2022 Cons'!$E$5:$E$1012,$A20)</f>
        <v>10.011854925506233</v>
      </c>
      <c r="M20" s="51">
        <f>SUMIFS('PIB Mpal 2015-2022 Cons'!R$5:R$1012,'PIB Mpal 2015-2022 Cons'!$A$5:$A$1012,$W$2,'PIB Mpal 2015-2022 Cons'!$E$5:$E$1012,$A20)</f>
        <v>16.997627179132998</v>
      </c>
      <c r="N20" s="51">
        <f>SUMIFS('PIB Mpal 2015-2022 Cons'!S$5:S$1012,'PIB Mpal 2015-2022 Cons'!$A$5:$A$1012,$W$2,'PIB Mpal 2015-2022 Cons'!$E$5:$E$1012,$A20)</f>
        <v>65.818948277541395</v>
      </c>
      <c r="O20" s="51">
        <f>SUMIFS('PIB Mpal 2015-2022 Cons'!T$5:T$1012,'PIB Mpal 2015-2022 Cons'!$A$5:$A$1012,$W$2,'PIB Mpal 2015-2022 Cons'!$E$5:$E$1012,$A20)</f>
        <v>71.24306900665654</v>
      </c>
      <c r="P20" s="150">
        <f>SUMIFS('PIB Mpal 2015-2022 Cons'!U$5:U$1012,'PIB Mpal 2015-2022 Cons'!$A$5:$A$1012,$W$2,'PIB Mpal 2015-2022 Cons'!$E$5:$E$1012,$A20)</f>
        <v>7.7272103848811309</v>
      </c>
      <c r="Q20" s="217">
        <f>SUMIFS('PIB Mpal 2015-2022 Cons'!J$5:J$1012,'PIB Mpal 2015-2022 Cons'!$A$5:$A$1012,$W$2,'PIB Mpal 2015-2022 Cons'!$E$5:$E$1012,$A20)</f>
        <v>486.71678844573904</v>
      </c>
      <c r="R20" s="99">
        <f>SUMIFS('PIB Mpal 2015-2022 Cons'!M$5:M$1012,'PIB Mpal 2015-2022 Cons'!$A$5:$A$1012,$W$2,'PIB Mpal 2015-2022 Cons'!$E$5:$E$1012,$A20)</f>
        <v>31.984696488570705</v>
      </c>
      <c r="S20" s="53">
        <f>SUMIFS('PIB Mpal 2015-2022 Cons'!V$5:V$1012,'PIB Mpal 2015-2022 Cons'!$A$5:$A$1012,$W$2,'PIB Mpal 2015-2022 Cons'!$E$5:$E$1012,$A20)</f>
        <v>303.82942628560426</v>
      </c>
      <c r="T20" s="153">
        <f>SUMIFS('PIB Mpal 2015-2022 Cons'!W$5:W$1012,'PIB Mpal 2015-2022 Cons'!$A$5:$A$1012,$W$2,'PIB Mpal 2015-2022 Cons'!$E$5:$E$1012,$A20)</f>
        <v>822.53091121991406</v>
      </c>
      <c r="U20" s="51">
        <f>SUMIFS('PIB Mpal 2015-2022 Cons'!X$5:X$1012,'PIB Mpal 2015-2022 Cons'!$A$5:$A$1012,$W$2,'PIB Mpal 2015-2022 Cons'!$E$5:$E$1012,$A20)</f>
        <v>82.66593980071319</v>
      </c>
      <c r="V20" s="53">
        <f>SUMIFS('PIB Mpal 2015-2022 Cons'!Y$5:Y$1012,'PIB Mpal 2015-2022 Cons'!$A$5:$A$1012,$W$2,'PIB Mpal 2015-2022 Cons'!$E$5:$E$1012,$A20)</f>
        <v>905.19685102062726</v>
      </c>
      <c r="W20" s="92">
        <f t="shared" si="3"/>
        <v>7.8408505804626674E-3</v>
      </c>
      <c r="X20" s="268">
        <f>INDEX(POBLACION!$C$4:$W$128,MATCH(A20,POBLACION!$A$4:$A$128,0),MATCH($W$2,POBLACION!$C$3:$W$3,0))</f>
        <v>48493</v>
      </c>
      <c r="Y20" s="258">
        <f t="shared" si="5"/>
        <v>16961.848333159716</v>
      </c>
      <c r="Z20" s="270">
        <f t="shared" si="6"/>
        <v>18666.546739129921</v>
      </c>
      <c r="AA20" s="273">
        <f t="shared" si="7"/>
        <v>4.2294731755830854</v>
      </c>
      <c r="AB20" s="273">
        <f t="shared" si="7"/>
        <v>4.2710639820703911</v>
      </c>
    </row>
    <row r="21" spans="1:35" x14ac:dyDescent="0.2">
      <c r="A21" s="35" t="s">
        <v>135</v>
      </c>
      <c r="B21" s="32" t="s">
        <v>126</v>
      </c>
      <c r="C21" s="33" t="s">
        <v>127</v>
      </c>
      <c r="D21" s="32" t="s">
        <v>136</v>
      </c>
      <c r="E21" s="51">
        <f>SUMIFS('PIB Mpal 2015-2022 Cons'!H$5:H$1012,'PIB Mpal 2015-2022 Cons'!$A$5:$A$1012,$W$2,'PIB Mpal 2015-2022 Cons'!$E$5:$E$1012,$A21)</f>
        <v>20.876349312992367</v>
      </c>
      <c r="F21" s="51">
        <f>SUMIFS('PIB Mpal 2015-2022 Cons'!I$5:I$1012,'PIB Mpal 2015-2022 Cons'!$A$5:$A$1012,$W$2,'PIB Mpal 2015-2022 Cons'!$E$5:$E$1012,$A21)</f>
        <v>27.233673444960111</v>
      </c>
      <c r="G21" s="51">
        <f>SUMIFS('PIB Mpal 2015-2022 Cons'!K$5:K$1012,'PIB Mpal 2015-2022 Cons'!$A$5:$A$1012,$W$2,'PIB Mpal 2015-2022 Cons'!$E$5:$E$1012,$A21)</f>
        <v>6.518648179359432</v>
      </c>
      <c r="H21" s="51">
        <f>SUMIFS('PIB Mpal 2015-2022 Cons'!L$5:L$1012,'PIB Mpal 2015-2022 Cons'!$A$5:$A$1012,$W$2,'PIB Mpal 2015-2022 Cons'!$E$5:$E$1012,$A21)</f>
        <v>9.5482594899312225</v>
      </c>
      <c r="I21" s="51">
        <f>SUMIFS('PIB Mpal 2015-2022 Cons'!N$5:N$1012,'PIB Mpal 2015-2022 Cons'!$A$5:$A$1012,$W$2,'PIB Mpal 2015-2022 Cons'!$E$5:$E$1012,$A21)</f>
        <v>9.3507543901995778</v>
      </c>
      <c r="J21" s="51">
        <f>SUMIFS('PIB Mpal 2015-2022 Cons'!O$5:O$1012,'PIB Mpal 2015-2022 Cons'!$A$5:$A$1012,$W$2,'PIB Mpal 2015-2022 Cons'!$E$5:$E$1012,$A21)</f>
        <v>37.819877946687988</v>
      </c>
      <c r="K21" s="51">
        <f>SUMIFS('PIB Mpal 2015-2022 Cons'!P$5:P$1012,'PIB Mpal 2015-2022 Cons'!$A$5:$A$1012,$W$2,'PIB Mpal 2015-2022 Cons'!$E$5:$E$1012,$A21)</f>
        <v>5.4540973486123772</v>
      </c>
      <c r="L21" s="51">
        <f>SUMIFS('PIB Mpal 2015-2022 Cons'!Q$5:Q$1012,'PIB Mpal 2015-2022 Cons'!$A$5:$A$1012,$W$2,'PIB Mpal 2015-2022 Cons'!$E$5:$E$1012,$A21)</f>
        <v>4.3152911549965092</v>
      </c>
      <c r="M21" s="51">
        <f>SUMIFS('PIB Mpal 2015-2022 Cons'!R$5:R$1012,'PIB Mpal 2015-2022 Cons'!$A$5:$A$1012,$W$2,'PIB Mpal 2015-2022 Cons'!$E$5:$E$1012,$A21)</f>
        <v>8.6366149017463361</v>
      </c>
      <c r="N21" s="51">
        <f>SUMIFS('PIB Mpal 2015-2022 Cons'!S$5:S$1012,'PIB Mpal 2015-2022 Cons'!$A$5:$A$1012,$W$2,'PIB Mpal 2015-2022 Cons'!$E$5:$E$1012,$A21)</f>
        <v>19.594683454314225</v>
      </c>
      <c r="O21" s="51">
        <f>SUMIFS('PIB Mpal 2015-2022 Cons'!T$5:T$1012,'PIB Mpal 2015-2022 Cons'!$A$5:$A$1012,$W$2,'PIB Mpal 2015-2022 Cons'!$E$5:$E$1012,$A21)</f>
        <v>42.939168484017458</v>
      </c>
      <c r="P21" s="150">
        <f>SUMIFS('PIB Mpal 2015-2022 Cons'!U$5:U$1012,'PIB Mpal 2015-2022 Cons'!$A$5:$A$1012,$W$2,'PIB Mpal 2015-2022 Cons'!$E$5:$E$1012,$A21)</f>
        <v>3.9875880126353094</v>
      </c>
      <c r="Q21" s="217">
        <f>SUMIFS('PIB Mpal 2015-2022 Cons'!J$5:J$1012,'PIB Mpal 2015-2022 Cons'!$A$5:$A$1012,$W$2,'PIB Mpal 2015-2022 Cons'!$E$5:$E$1012,$A21)</f>
        <v>48.110022757952478</v>
      </c>
      <c r="R21" s="99">
        <f>SUMIFS('PIB Mpal 2015-2022 Cons'!M$5:M$1012,'PIB Mpal 2015-2022 Cons'!$A$5:$A$1012,$W$2,'PIB Mpal 2015-2022 Cons'!$E$5:$E$1012,$A21)</f>
        <v>16.066907669290654</v>
      </c>
      <c r="S21" s="53">
        <f>SUMIFS('PIB Mpal 2015-2022 Cons'!V$5:V$1012,'PIB Mpal 2015-2022 Cons'!$A$5:$A$1012,$W$2,'PIB Mpal 2015-2022 Cons'!$E$5:$E$1012,$A21)</f>
        <v>132.09807569320978</v>
      </c>
      <c r="T21" s="153">
        <f>SUMIFS('PIB Mpal 2015-2022 Cons'!W$5:W$1012,'PIB Mpal 2015-2022 Cons'!$A$5:$A$1012,$W$2,'PIB Mpal 2015-2022 Cons'!$E$5:$E$1012,$A21)</f>
        <v>196.27500612045293</v>
      </c>
      <c r="U21" s="51">
        <f>SUMIFS('PIB Mpal 2015-2022 Cons'!X$5:X$1012,'PIB Mpal 2015-2022 Cons'!$A$5:$A$1012,$W$2,'PIB Mpal 2015-2022 Cons'!$E$5:$E$1012,$A21)</f>
        <v>19.72601590962973</v>
      </c>
      <c r="V21" s="53">
        <f>SUMIFS('PIB Mpal 2015-2022 Cons'!Y$5:Y$1012,'PIB Mpal 2015-2022 Cons'!$A$5:$A$1012,$W$2,'PIB Mpal 2015-2022 Cons'!$E$5:$E$1012,$A21)</f>
        <v>216.00102203008265</v>
      </c>
      <c r="W21" s="92">
        <f t="shared" si="3"/>
        <v>1.8710093136708331E-3</v>
      </c>
      <c r="X21" s="268">
        <f>INDEX(POBLACION!$C$4:$W$128,MATCH(A21,POBLACION!$A$4:$A$128,0),MATCH($W$2,POBLACION!$C$3:$W$3,0))</f>
        <v>24258</v>
      </c>
      <c r="Y21" s="258">
        <f t="shared" si="5"/>
        <v>8091.1454415225053</v>
      </c>
      <c r="Z21" s="270">
        <f t="shared" si="6"/>
        <v>8904.3211324133335</v>
      </c>
      <c r="AA21" s="273">
        <f t="shared" si="7"/>
        <v>3.9080100078568889</v>
      </c>
      <c r="AB21" s="273">
        <f t="shared" si="7"/>
        <v>3.9496008143455348</v>
      </c>
    </row>
    <row r="22" spans="1:35" x14ac:dyDescent="0.2">
      <c r="A22" s="35" t="s">
        <v>137</v>
      </c>
      <c r="B22" s="32" t="s">
        <v>126</v>
      </c>
      <c r="C22" s="33" t="s">
        <v>127</v>
      </c>
      <c r="D22" s="32" t="s">
        <v>138</v>
      </c>
      <c r="E22" s="51">
        <f>SUMIFS('PIB Mpal 2015-2022 Cons'!H$5:H$1012,'PIB Mpal 2015-2022 Cons'!$A$5:$A$1012,$W$2,'PIB Mpal 2015-2022 Cons'!$E$5:$E$1012,$A22)</f>
        <v>21.784981070314068</v>
      </c>
      <c r="F22" s="51">
        <f>SUMIFS('PIB Mpal 2015-2022 Cons'!I$5:I$1012,'PIB Mpal 2015-2022 Cons'!$A$5:$A$1012,$W$2,'PIB Mpal 2015-2022 Cons'!$E$5:$E$1012,$A22)</f>
        <v>50.575661406526599</v>
      </c>
      <c r="G22" s="51">
        <f>SUMIFS('PIB Mpal 2015-2022 Cons'!K$5:K$1012,'PIB Mpal 2015-2022 Cons'!$A$5:$A$1012,$W$2,'PIB Mpal 2015-2022 Cons'!$E$5:$E$1012,$A22)</f>
        <v>1.9583697616664182</v>
      </c>
      <c r="H22" s="51">
        <f>SUMIFS('PIB Mpal 2015-2022 Cons'!L$5:L$1012,'PIB Mpal 2015-2022 Cons'!$A$5:$A$1012,$W$2,'PIB Mpal 2015-2022 Cons'!$E$5:$E$1012,$A22)</f>
        <v>16.937031298260429</v>
      </c>
      <c r="I22" s="51">
        <f>SUMIFS('PIB Mpal 2015-2022 Cons'!N$5:N$1012,'PIB Mpal 2015-2022 Cons'!$A$5:$A$1012,$W$2,'PIB Mpal 2015-2022 Cons'!$E$5:$E$1012,$A22)</f>
        <v>10.851636953393655</v>
      </c>
      <c r="J22" s="51">
        <f>SUMIFS('PIB Mpal 2015-2022 Cons'!O$5:O$1012,'PIB Mpal 2015-2022 Cons'!$A$5:$A$1012,$W$2,'PIB Mpal 2015-2022 Cons'!$E$5:$E$1012,$A22)</f>
        <v>46.049219479941577</v>
      </c>
      <c r="K22" s="51">
        <f>SUMIFS('PIB Mpal 2015-2022 Cons'!P$5:P$1012,'PIB Mpal 2015-2022 Cons'!$A$5:$A$1012,$W$2,'PIB Mpal 2015-2022 Cons'!$E$5:$E$1012,$A22)</f>
        <v>8.87344697469943</v>
      </c>
      <c r="L22" s="51">
        <f>SUMIFS('PIB Mpal 2015-2022 Cons'!Q$5:Q$1012,'PIB Mpal 2015-2022 Cons'!$A$5:$A$1012,$W$2,'PIB Mpal 2015-2022 Cons'!$E$5:$E$1012,$A22)</f>
        <v>7.2295087218787657</v>
      </c>
      <c r="M22" s="51">
        <f>SUMIFS('PIB Mpal 2015-2022 Cons'!R$5:R$1012,'PIB Mpal 2015-2022 Cons'!$A$5:$A$1012,$W$2,'PIB Mpal 2015-2022 Cons'!$E$5:$E$1012,$A22)</f>
        <v>13.24724827529413</v>
      </c>
      <c r="N22" s="51">
        <f>SUMIFS('PIB Mpal 2015-2022 Cons'!S$5:S$1012,'PIB Mpal 2015-2022 Cons'!$A$5:$A$1012,$W$2,'PIB Mpal 2015-2022 Cons'!$E$5:$E$1012,$A22)</f>
        <v>27.442582260682489</v>
      </c>
      <c r="O22" s="51">
        <f>SUMIFS('PIB Mpal 2015-2022 Cons'!T$5:T$1012,'PIB Mpal 2015-2022 Cons'!$A$5:$A$1012,$W$2,'PIB Mpal 2015-2022 Cons'!$E$5:$E$1012,$A22)</f>
        <v>55.208827187849835</v>
      </c>
      <c r="P22" s="150">
        <f>SUMIFS('PIB Mpal 2015-2022 Cons'!U$5:U$1012,'PIB Mpal 2015-2022 Cons'!$A$5:$A$1012,$W$2,'PIB Mpal 2015-2022 Cons'!$E$5:$E$1012,$A22)</f>
        <v>5.0265177573610345</v>
      </c>
      <c r="Q22" s="217">
        <f>SUMIFS('PIB Mpal 2015-2022 Cons'!J$5:J$1012,'PIB Mpal 2015-2022 Cons'!$A$5:$A$1012,$W$2,'PIB Mpal 2015-2022 Cons'!$E$5:$E$1012,$A22)</f>
        <v>72.360642476840667</v>
      </c>
      <c r="R22" s="99">
        <f>SUMIFS('PIB Mpal 2015-2022 Cons'!M$5:M$1012,'PIB Mpal 2015-2022 Cons'!$A$5:$A$1012,$W$2,'PIB Mpal 2015-2022 Cons'!$E$5:$E$1012,$A22)</f>
        <v>18.895401059926847</v>
      </c>
      <c r="S22" s="53">
        <f>SUMIFS('PIB Mpal 2015-2022 Cons'!V$5:V$1012,'PIB Mpal 2015-2022 Cons'!$A$5:$A$1012,$W$2,'PIB Mpal 2015-2022 Cons'!$E$5:$E$1012,$A22)</f>
        <v>173.92898761110092</v>
      </c>
      <c r="T22" s="153">
        <f>SUMIFS('PIB Mpal 2015-2022 Cons'!W$5:W$1012,'PIB Mpal 2015-2022 Cons'!$A$5:$A$1012,$W$2,'PIB Mpal 2015-2022 Cons'!$E$5:$E$1012,$A22)</f>
        <v>265.18503114786847</v>
      </c>
      <c r="U22" s="51">
        <f>SUMIFS('PIB Mpal 2015-2022 Cons'!X$5:X$1012,'PIB Mpal 2015-2022 Cons'!$A$5:$A$1012,$W$2,'PIB Mpal 2015-2022 Cons'!$E$5:$E$1012,$A22)</f>
        <v>26.651606064392439</v>
      </c>
      <c r="V22" s="53">
        <f>SUMIFS('PIB Mpal 2015-2022 Cons'!Y$5:Y$1012,'PIB Mpal 2015-2022 Cons'!$A$5:$A$1012,$W$2,'PIB Mpal 2015-2022 Cons'!$E$5:$E$1012,$A22)</f>
        <v>291.83663721226094</v>
      </c>
      <c r="W22" s="92">
        <f t="shared" si="3"/>
        <v>2.5279003828901805E-3</v>
      </c>
      <c r="X22" s="268">
        <f>INDEX(POBLACION!$C$4:$W$128,MATCH(A22,POBLACION!$A$4:$A$128,0),MATCH($W$2,POBLACION!$C$3:$W$3,0))</f>
        <v>25566</v>
      </c>
      <c r="Y22" s="258">
        <f t="shared" si="5"/>
        <v>10372.56634388909</v>
      </c>
      <c r="Z22" s="270">
        <f t="shared" si="6"/>
        <v>11415.029226795779</v>
      </c>
      <c r="AA22" s="273">
        <f t="shared" si="7"/>
        <v>4.0158862212973752</v>
      </c>
      <c r="AB22" s="273">
        <f t="shared" si="7"/>
        <v>4.0574770277859455</v>
      </c>
    </row>
    <row r="23" spans="1:35" ht="16" thickBot="1" x14ac:dyDescent="0.25">
      <c r="A23" s="35" t="s">
        <v>139</v>
      </c>
      <c r="B23" s="63" t="s">
        <v>126</v>
      </c>
      <c r="C23" s="62" t="s">
        <v>127</v>
      </c>
      <c r="D23" s="63" t="s">
        <v>140</v>
      </c>
      <c r="E23" s="96">
        <f>SUMIFS('PIB Mpal 2015-2022 Cons'!H$5:H$1012,'PIB Mpal 2015-2022 Cons'!$A$5:$A$1012,$W$2,'PIB Mpal 2015-2022 Cons'!$E$5:$E$1012,$A23)</f>
        <v>16.85705309106282</v>
      </c>
      <c r="F23" s="96">
        <f>SUMIFS('PIB Mpal 2015-2022 Cons'!I$5:I$1012,'PIB Mpal 2015-2022 Cons'!$A$5:$A$1012,$W$2,'PIB Mpal 2015-2022 Cons'!$E$5:$E$1012,$A23)</f>
        <v>256.43196892472025</v>
      </c>
      <c r="G23" s="96">
        <f>SUMIFS('PIB Mpal 2015-2022 Cons'!K$5:K$1012,'PIB Mpal 2015-2022 Cons'!$A$5:$A$1012,$W$2,'PIB Mpal 2015-2022 Cons'!$E$5:$E$1012,$A23)</f>
        <v>3.7579092491695372</v>
      </c>
      <c r="H23" s="96">
        <f>SUMIFS('PIB Mpal 2015-2022 Cons'!L$5:L$1012,'PIB Mpal 2015-2022 Cons'!$A$5:$A$1012,$W$2,'PIB Mpal 2015-2022 Cons'!$E$5:$E$1012,$A23)</f>
        <v>13.274504921045873</v>
      </c>
      <c r="I23" s="96">
        <f>SUMIFS('PIB Mpal 2015-2022 Cons'!N$5:N$1012,'PIB Mpal 2015-2022 Cons'!$A$5:$A$1012,$W$2,'PIB Mpal 2015-2022 Cons'!$E$5:$E$1012,$A23)</f>
        <v>17.987072516390299</v>
      </c>
      <c r="J23" s="96">
        <f>SUMIFS('PIB Mpal 2015-2022 Cons'!O$5:O$1012,'PIB Mpal 2015-2022 Cons'!$A$5:$A$1012,$W$2,'PIB Mpal 2015-2022 Cons'!$E$5:$E$1012,$A23)</f>
        <v>43.151891058236579</v>
      </c>
      <c r="K23" s="96">
        <f>SUMIFS('PIB Mpal 2015-2022 Cons'!P$5:P$1012,'PIB Mpal 2015-2022 Cons'!$A$5:$A$1012,$W$2,'PIB Mpal 2015-2022 Cons'!$E$5:$E$1012,$A23)</f>
        <v>4.5036800842947233</v>
      </c>
      <c r="L23" s="96">
        <f>SUMIFS('PIB Mpal 2015-2022 Cons'!Q$5:Q$1012,'PIB Mpal 2015-2022 Cons'!$A$5:$A$1012,$W$2,'PIB Mpal 2015-2022 Cons'!$E$5:$E$1012,$A23)</f>
        <v>3.2168751212425812</v>
      </c>
      <c r="M23" s="96">
        <f>SUMIFS('PIB Mpal 2015-2022 Cons'!R$5:R$1012,'PIB Mpal 2015-2022 Cons'!$A$5:$A$1012,$W$2,'PIB Mpal 2015-2022 Cons'!$E$5:$E$1012,$A23)</f>
        <v>8.5021447582233343</v>
      </c>
      <c r="N23" s="96">
        <f>SUMIFS('PIB Mpal 2015-2022 Cons'!S$5:S$1012,'PIB Mpal 2015-2022 Cons'!$A$5:$A$1012,$W$2,'PIB Mpal 2015-2022 Cons'!$E$5:$E$1012,$A23)</f>
        <v>31.732614198673183</v>
      </c>
      <c r="O23" s="96">
        <f>SUMIFS('PIB Mpal 2015-2022 Cons'!T$5:T$1012,'PIB Mpal 2015-2022 Cons'!$A$5:$A$1012,$W$2,'PIB Mpal 2015-2022 Cons'!$E$5:$E$1012,$A23)</f>
        <v>36.172505966647115</v>
      </c>
      <c r="P23" s="151">
        <f>SUMIFS('PIB Mpal 2015-2022 Cons'!U$5:U$1012,'PIB Mpal 2015-2022 Cons'!$A$5:$A$1012,$W$2,'PIB Mpal 2015-2022 Cons'!$E$5:$E$1012,$A23)</f>
        <v>3.5962848761278661</v>
      </c>
      <c r="Q23" s="217">
        <f>SUMIFS('PIB Mpal 2015-2022 Cons'!J$5:J$1012,'PIB Mpal 2015-2022 Cons'!$A$5:$A$1012,$W$2,'PIB Mpal 2015-2022 Cons'!$E$5:$E$1012,$A23)</f>
        <v>273.28902201578308</v>
      </c>
      <c r="R23" s="99">
        <f>SUMIFS('PIB Mpal 2015-2022 Cons'!M$5:M$1012,'PIB Mpal 2015-2022 Cons'!$A$5:$A$1012,$W$2,'PIB Mpal 2015-2022 Cons'!$E$5:$E$1012,$A23)</f>
        <v>17.032414170215411</v>
      </c>
      <c r="S23" s="97">
        <f>SUMIFS('PIB Mpal 2015-2022 Cons'!V$5:V$1012,'PIB Mpal 2015-2022 Cons'!$A$5:$A$1012,$W$2,'PIB Mpal 2015-2022 Cons'!$E$5:$E$1012,$A23)</f>
        <v>148.8630685798357</v>
      </c>
      <c r="T23" s="154">
        <f>SUMIFS('PIB Mpal 2015-2022 Cons'!W$5:W$1012,'PIB Mpal 2015-2022 Cons'!$A$5:$A$1012,$W$2,'PIB Mpal 2015-2022 Cons'!$E$5:$E$1012,$A23)</f>
        <v>439.18450476583416</v>
      </c>
      <c r="U23" s="96">
        <f>SUMIFS('PIB Mpal 2015-2022 Cons'!X$5:X$1012,'PIB Mpal 2015-2022 Cons'!$A$5:$A$1012,$W$2,'PIB Mpal 2015-2022 Cons'!$E$5:$E$1012,$A23)</f>
        <v>44.138888079488574</v>
      </c>
      <c r="V23" s="97">
        <f>SUMIFS('PIB Mpal 2015-2022 Cons'!Y$5:Y$1012,'PIB Mpal 2015-2022 Cons'!$A$5:$A$1012,$W$2,'PIB Mpal 2015-2022 Cons'!$E$5:$E$1012,$A23)</f>
        <v>483.32339284532276</v>
      </c>
      <c r="W23" s="98">
        <f t="shared" si="3"/>
        <v>4.1865661607964188E-3</v>
      </c>
      <c r="X23" s="268">
        <f>INDEX(POBLACION!$C$4:$W$128,MATCH(A23,POBLACION!$A$4:$A$128,0),MATCH($W$2,POBLACION!$C$3:$W$3,0))</f>
        <v>24145</v>
      </c>
      <c r="Y23" s="258">
        <f t="shared" si="5"/>
        <v>18189.45971281152</v>
      </c>
      <c r="Z23" s="270">
        <f t="shared" si="6"/>
        <v>20017.535425360231</v>
      </c>
      <c r="AA23" s="273">
        <f t="shared" si="7"/>
        <v>4.2598197992707725</v>
      </c>
      <c r="AB23" s="273">
        <f t="shared" si="7"/>
        <v>4.301410605757944</v>
      </c>
    </row>
    <row r="24" spans="1:35" ht="16" thickBot="1" x14ac:dyDescent="0.25">
      <c r="A24" s="116" t="s">
        <v>141</v>
      </c>
      <c r="B24" s="111" t="s">
        <v>142</v>
      </c>
      <c r="C24" s="117"/>
      <c r="D24" s="118"/>
      <c r="E24" s="113">
        <f>SUM(E25:E30)</f>
        <v>132.74524261398727</v>
      </c>
      <c r="F24" s="113">
        <f t="shared" ref="F24:V24" si="10">SUM(F25:F30)</f>
        <v>898.83958372432653</v>
      </c>
      <c r="G24" s="113">
        <f t="shared" si="10"/>
        <v>105.03001677576793</v>
      </c>
      <c r="H24" s="113">
        <f t="shared" si="10"/>
        <v>39.967276379367576</v>
      </c>
      <c r="I24" s="113">
        <f t="shared" si="10"/>
        <v>134.3215396684065</v>
      </c>
      <c r="J24" s="113">
        <f t="shared" si="10"/>
        <v>247.08243775511468</v>
      </c>
      <c r="K24" s="113">
        <f t="shared" si="10"/>
        <v>32.260032969777171</v>
      </c>
      <c r="L24" s="113">
        <f t="shared" si="10"/>
        <v>26.595859934550784</v>
      </c>
      <c r="M24" s="113">
        <f t="shared" si="10"/>
        <v>78.512625739287387</v>
      </c>
      <c r="N24" s="113">
        <f t="shared" si="10"/>
        <v>164.04523155956326</v>
      </c>
      <c r="O24" s="113">
        <f t="shared" si="10"/>
        <v>161.70922147228038</v>
      </c>
      <c r="P24" s="123">
        <f t="shared" si="10"/>
        <v>25.878269685123101</v>
      </c>
      <c r="Q24" s="193">
        <f t="shared" si="10"/>
        <v>1031.5848263383136</v>
      </c>
      <c r="R24" s="113">
        <f t="shared" si="10"/>
        <v>144.99729315513551</v>
      </c>
      <c r="S24" s="114">
        <f t="shared" si="10"/>
        <v>870.40521878410311</v>
      </c>
      <c r="T24" s="186">
        <f t="shared" si="10"/>
        <v>2046.9873382775525</v>
      </c>
      <c r="U24" s="113">
        <f t="shared" si="10"/>
        <v>205.72616757825847</v>
      </c>
      <c r="V24" s="114">
        <f t="shared" si="10"/>
        <v>2252.7135058558106</v>
      </c>
      <c r="W24" s="115">
        <f t="shared" si="3"/>
        <v>1.9513092627410304E-2</v>
      </c>
      <c r="X24" s="208">
        <f t="shared" ref="X24" si="11">SUM(X25:X30)</f>
        <v>100289</v>
      </c>
      <c r="Y24" s="258">
        <f t="shared" si="5"/>
        <v>20410.885922459616</v>
      </c>
      <c r="Z24" s="270">
        <f t="shared" si="6"/>
        <v>22462.219244940228</v>
      </c>
      <c r="AA24" s="273">
        <f t="shared" si="7"/>
        <v>4.3098618554208983</v>
      </c>
      <c r="AB24" s="273">
        <f t="shared" si="7"/>
        <v>4.3514526619084499</v>
      </c>
    </row>
    <row r="25" spans="1:35" x14ac:dyDescent="0.2">
      <c r="A25" s="35" t="s">
        <v>143</v>
      </c>
      <c r="B25" s="101" t="s">
        <v>144</v>
      </c>
      <c r="C25" s="108" t="s">
        <v>145</v>
      </c>
      <c r="D25" s="101" t="s">
        <v>146</v>
      </c>
      <c r="E25" s="109">
        <f>SUMIFS('PIB Mpal 2015-2022 Cons'!H$5:H$1012,'PIB Mpal 2015-2022 Cons'!$A$5:$A$1012,$W$2,'PIB Mpal 2015-2022 Cons'!$E$5:$E$1012,$A25)</f>
        <v>8.3076943806885701</v>
      </c>
      <c r="F25" s="109">
        <f>SUMIFS('PIB Mpal 2015-2022 Cons'!I$5:I$1012,'PIB Mpal 2015-2022 Cons'!$A$5:$A$1012,$W$2,'PIB Mpal 2015-2022 Cons'!$E$5:$E$1012,$A25)</f>
        <v>2.8049059195731978</v>
      </c>
      <c r="G25" s="109">
        <f>SUMIFS('PIB Mpal 2015-2022 Cons'!K$5:K$1012,'PIB Mpal 2015-2022 Cons'!$A$5:$A$1012,$W$2,'PIB Mpal 2015-2022 Cons'!$E$5:$E$1012,$A25)</f>
        <v>2.7597689757266584</v>
      </c>
      <c r="H25" s="109">
        <f>SUMIFS('PIB Mpal 2015-2022 Cons'!L$5:L$1012,'PIB Mpal 2015-2022 Cons'!$A$5:$A$1012,$W$2,'PIB Mpal 2015-2022 Cons'!$E$5:$E$1012,$A25)</f>
        <v>1.3534106585245769</v>
      </c>
      <c r="I25" s="109">
        <f>SUMIFS('PIB Mpal 2015-2022 Cons'!N$5:N$1012,'PIB Mpal 2015-2022 Cons'!$A$5:$A$1012,$W$2,'PIB Mpal 2015-2022 Cons'!$E$5:$E$1012,$A25)</f>
        <v>2.9688740896762345</v>
      </c>
      <c r="J25" s="109">
        <f>SUMIFS('PIB Mpal 2015-2022 Cons'!O$5:O$1012,'PIB Mpal 2015-2022 Cons'!$A$5:$A$1012,$W$2,'PIB Mpal 2015-2022 Cons'!$E$5:$E$1012,$A25)</f>
        <v>7.4527134574356468</v>
      </c>
      <c r="K25" s="109">
        <f>SUMIFS('PIB Mpal 2015-2022 Cons'!P$5:P$1012,'PIB Mpal 2015-2022 Cons'!$A$5:$A$1012,$W$2,'PIB Mpal 2015-2022 Cons'!$E$5:$E$1012,$A25)</f>
        <v>1.551453344497111</v>
      </c>
      <c r="L25" s="109">
        <f>SUMIFS('PIB Mpal 2015-2022 Cons'!Q$5:Q$1012,'PIB Mpal 2015-2022 Cons'!$A$5:$A$1012,$W$2,'PIB Mpal 2015-2022 Cons'!$E$5:$E$1012,$A25)</f>
        <v>1.2147545239575335</v>
      </c>
      <c r="M25" s="109">
        <f>SUMIFS('PIB Mpal 2015-2022 Cons'!R$5:R$1012,'PIB Mpal 2015-2022 Cons'!$A$5:$A$1012,$W$2,'PIB Mpal 2015-2022 Cons'!$E$5:$E$1012,$A25)</f>
        <v>3.8838124435549601</v>
      </c>
      <c r="N25" s="109">
        <f>SUMIFS('PIB Mpal 2015-2022 Cons'!S$5:S$1012,'PIB Mpal 2015-2022 Cons'!$A$5:$A$1012,$W$2,'PIB Mpal 2015-2022 Cons'!$E$5:$E$1012,$A25)</f>
        <v>5.0098470500419063</v>
      </c>
      <c r="O25" s="109">
        <f>SUMIFS('PIB Mpal 2015-2022 Cons'!T$5:T$1012,'PIB Mpal 2015-2022 Cons'!$A$5:$A$1012,$W$2,'PIB Mpal 2015-2022 Cons'!$E$5:$E$1012,$A25)</f>
        <v>9.2013614063356375</v>
      </c>
      <c r="P25" s="182">
        <f>SUMIFS('PIB Mpal 2015-2022 Cons'!U$5:U$1012,'PIB Mpal 2015-2022 Cons'!$A$5:$A$1012,$W$2,'PIB Mpal 2015-2022 Cons'!$E$5:$E$1012,$A25)</f>
        <v>1.6811147463067571</v>
      </c>
      <c r="Q25" s="217">
        <f>SUMIFS('PIB Mpal 2015-2022 Cons'!J$5:J$1012,'PIB Mpal 2015-2022 Cons'!$A$5:$A$1012,$W$2,'PIB Mpal 2015-2022 Cons'!$E$5:$E$1012,$A25)</f>
        <v>11.112600300261768</v>
      </c>
      <c r="R25" s="99">
        <f>SUMIFS('PIB Mpal 2015-2022 Cons'!M$5:M$1012,'PIB Mpal 2015-2022 Cons'!$A$5:$A$1012,$W$2,'PIB Mpal 2015-2022 Cons'!$E$5:$E$1012,$A25)</f>
        <v>4.1131796342512352</v>
      </c>
      <c r="S25" s="110">
        <f>SUMIFS('PIB Mpal 2015-2022 Cons'!V$5:V$1012,'PIB Mpal 2015-2022 Cons'!$A$5:$A$1012,$W$2,'PIB Mpal 2015-2022 Cons'!$E$5:$E$1012,$A25)</f>
        <v>32.963931061805781</v>
      </c>
      <c r="T25" s="187">
        <f>SUMIFS('PIB Mpal 2015-2022 Cons'!W$5:W$1012,'PIB Mpal 2015-2022 Cons'!$A$5:$A$1012,$W$2,'PIB Mpal 2015-2022 Cons'!$E$5:$E$1012,$A25)</f>
        <v>48.189710996318787</v>
      </c>
      <c r="U25" s="109">
        <f>SUMIFS('PIB Mpal 2015-2022 Cons'!X$5:X$1012,'PIB Mpal 2015-2022 Cons'!$A$5:$A$1012,$W$2,'PIB Mpal 2015-2022 Cons'!$E$5:$E$1012,$A25)</f>
        <v>4.8431587117701396</v>
      </c>
      <c r="V25" s="110">
        <f>SUMIFS('PIB Mpal 2015-2022 Cons'!Y$5:Y$1012,'PIB Mpal 2015-2022 Cons'!$A$5:$A$1012,$W$2,'PIB Mpal 2015-2022 Cons'!$E$5:$E$1012,$A25)</f>
        <v>53.032869708088924</v>
      </c>
      <c r="W25" s="100">
        <f t="shared" si="3"/>
        <v>4.5937279473014258E-4</v>
      </c>
      <c r="X25" s="268">
        <f>INDEX(POBLACION!$C$4:$W$128,MATCH(A25,POBLACION!$A$4:$A$128,0),MATCH($W$2,POBLACION!$C$3:$W$3,0))</f>
        <v>4763</v>
      </c>
      <c r="Y25" s="258">
        <f t="shared" si="5"/>
        <v>10117.512281402223</v>
      </c>
      <c r="Z25" s="270">
        <f t="shared" si="6"/>
        <v>11134.341740098453</v>
      </c>
      <c r="AA25" s="273">
        <f t="shared" si="7"/>
        <v>4.0050737402434393</v>
      </c>
      <c r="AB25" s="273">
        <f t="shared" si="7"/>
        <v>4.046664546732134</v>
      </c>
    </row>
    <row r="26" spans="1:35" x14ac:dyDescent="0.2">
      <c r="A26" s="35" t="s">
        <v>147</v>
      </c>
      <c r="B26" s="32" t="s">
        <v>144</v>
      </c>
      <c r="C26" s="33" t="s">
        <v>145</v>
      </c>
      <c r="D26" s="32" t="s">
        <v>148</v>
      </c>
      <c r="E26" s="51">
        <f>SUMIFS('PIB Mpal 2015-2022 Cons'!H$5:H$1012,'PIB Mpal 2015-2022 Cons'!$A$5:$A$1012,$W$2,'PIB Mpal 2015-2022 Cons'!$E$5:$E$1012,$A26)</f>
        <v>13.496026043374878</v>
      </c>
      <c r="F26" s="51">
        <f>SUMIFS('PIB Mpal 2015-2022 Cons'!I$5:I$1012,'PIB Mpal 2015-2022 Cons'!$A$5:$A$1012,$W$2,'PIB Mpal 2015-2022 Cons'!$E$5:$E$1012,$A26)</f>
        <v>2.4895008184966105</v>
      </c>
      <c r="G26" s="51">
        <f>SUMIFS('PIB Mpal 2015-2022 Cons'!K$5:K$1012,'PIB Mpal 2015-2022 Cons'!$A$5:$A$1012,$W$2,'PIB Mpal 2015-2022 Cons'!$E$5:$E$1012,$A26)</f>
        <v>4.2711004063496629</v>
      </c>
      <c r="H26" s="51">
        <f>SUMIFS('PIB Mpal 2015-2022 Cons'!L$5:L$1012,'PIB Mpal 2015-2022 Cons'!$A$5:$A$1012,$W$2,'PIB Mpal 2015-2022 Cons'!$E$5:$E$1012,$A26)</f>
        <v>3.0703494384973418</v>
      </c>
      <c r="I26" s="51">
        <f>SUMIFS('PIB Mpal 2015-2022 Cons'!N$5:N$1012,'PIB Mpal 2015-2022 Cons'!$A$5:$A$1012,$W$2,'PIB Mpal 2015-2022 Cons'!$E$5:$E$1012,$A26)</f>
        <v>3.1414957883874215</v>
      </c>
      <c r="J26" s="51">
        <f>SUMIFS('PIB Mpal 2015-2022 Cons'!O$5:O$1012,'PIB Mpal 2015-2022 Cons'!$A$5:$A$1012,$W$2,'PIB Mpal 2015-2022 Cons'!$E$5:$E$1012,$A26)</f>
        <v>16.016740298152783</v>
      </c>
      <c r="K26" s="51">
        <f>SUMIFS('PIB Mpal 2015-2022 Cons'!P$5:P$1012,'PIB Mpal 2015-2022 Cons'!$A$5:$A$1012,$W$2,'PIB Mpal 2015-2022 Cons'!$E$5:$E$1012,$A26)</f>
        <v>2.5716478966332601</v>
      </c>
      <c r="L26" s="51">
        <f>SUMIFS('PIB Mpal 2015-2022 Cons'!Q$5:Q$1012,'PIB Mpal 2015-2022 Cons'!$A$5:$A$1012,$W$2,'PIB Mpal 2015-2022 Cons'!$E$5:$E$1012,$A26)</f>
        <v>1.9301330180816842</v>
      </c>
      <c r="M26" s="51">
        <f>SUMIFS('PIB Mpal 2015-2022 Cons'!R$5:R$1012,'PIB Mpal 2015-2022 Cons'!$A$5:$A$1012,$W$2,'PIB Mpal 2015-2022 Cons'!$E$5:$E$1012,$A26)</f>
        <v>6.9553499792935432</v>
      </c>
      <c r="N26" s="51">
        <f>SUMIFS('PIB Mpal 2015-2022 Cons'!S$5:S$1012,'PIB Mpal 2015-2022 Cons'!$A$5:$A$1012,$W$2,'PIB Mpal 2015-2022 Cons'!$E$5:$E$1012,$A26)</f>
        <v>7.3228909786710288</v>
      </c>
      <c r="O26" s="51">
        <f>SUMIFS('PIB Mpal 2015-2022 Cons'!T$5:T$1012,'PIB Mpal 2015-2022 Cons'!$A$5:$A$1012,$W$2,'PIB Mpal 2015-2022 Cons'!$E$5:$E$1012,$A26)</f>
        <v>13.500454509052769</v>
      </c>
      <c r="P26" s="150">
        <f>SUMIFS('PIB Mpal 2015-2022 Cons'!U$5:U$1012,'PIB Mpal 2015-2022 Cons'!$A$5:$A$1012,$W$2,'PIB Mpal 2015-2022 Cons'!$E$5:$E$1012,$A26)</f>
        <v>2.3172286455951445</v>
      </c>
      <c r="Q26" s="217">
        <f>SUMIFS('PIB Mpal 2015-2022 Cons'!J$5:J$1012,'PIB Mpal 2015-2022 Cons'!$A$5:$A$1012,$W$2,'PIB Mpal 2015-2022 Cons'!$E$5:$E$1012,$A26)</f>
        <v>15.985526861871488</v>
      </c>
      <c r="R26" s="99">
        <f>SUMIFS('PIB Mpal 2015-2022 Cons'!M$5:M$1012,'PIB Mpal 2015-2022 Cons'!$A$5:$A$1012,$W$2,'PIB Mpal 2015-2022 Cons'!$E$5:$E$1012,$A26)</f>
        <v>7.3414498448470047</v>
      </c>
      <c r="S26" s="53">
        <f>SUMIFS('PIB Mpal 2015-2022 Cons'!V$5:V$1012,'PIB Mpal 2015-2022 Cons'!$A$5:$A$1012,$W$2,'PIB Mpal 2015-2022 Cons'!$E$5:$E$1012,$A26)</f>
        <v>53.755941113867628</v>
      </c>
      <c r="T26" s="153">
        <f>SUMIFS('PIB Mpal 2015-2022 Cons'!W$5:W$1012,'PIB Mpal 2015-2022 Cons'!$A$5:$A$1012,$W$2,'PIB Mpal 2015-2022 Cons'!$E$5:$E$1012,$A26)</f>
        <v>77.082917820586118</v>
      </c>
      <c r="U26" s="51">
        <f>SUMIFS('PIB Mpal 2015-2022 Cons'!X$5:X$1012,'PIB Mpal 2015-2022 Cons'!$A$5:$A$1012,$W$2,'PIB Mpal 2015-2022 Cons'!$E$5:$E$1012,$A26)</f>
        <v>7.7469816119151593</v>
      </c>
      <c r="V26" s="53">
        <f>SUMIFS('PIB Mpal 2015-2022 Cons'!Y$5:Y$1012,'PIB Mpal 2015-2022 Cons'!$A$5:$A$1012,$W$2,'PIB Mpal 2015-2022 Cons'!$E$5:$E$1012,$A26)</f>
        <v>84.829899432501279</v>
      </c>
      <c r="W26" s="92">
        <f t="shared" si="3"/>
        <v>7.3479991170534963E-4</v>
      </c>
      <c r="X26" s="268">
        <f>INDEX(POBLACION!$C$4:$W$128,MATCH(A26,POBLACION!$A$4:$A$128,0),MATCH($W$2,POBLACION!$C$3:$W$3,0))</f>
        <v>8317</v>
      </c>
      <c r="Y26" s="258">
        <f t="shared" si="5"/>
        <v>9268.1156451347979</v>
      </c>
      <c r="Z26" s="270">
        <f t="shared" si="6"/>
        <v>10199.579106949775</v>
      </c>
      <c r="AA26" s="273">
        <f t="shared" si="7"/>
        <v>3.9669914441652576</v>
      </c>
      <c r="AB26" s="273">
        <f t="shared" si="7"/>
        <v>4.008582250654011</v>
      </c>
    </row>
    <row r="27" spans="1:35" x14ac:dyDescent="0.2">
      <c r="A27" s="35" t="s">
        <v>149</v>
      </c>
      <c r="B27" s="32" t="s">
        <v>144</v>
      </c>
      <c r="C27" s="33" t="s">
        <v>145</v>
      </c>
      <c r="D27" s="32" t="s">
        <v>150</v>
      </c>
      <c r="E27" s="51">
        <f>SUMIFS('PIB Mpal 2015-2022 Cons'!H$5:H$1012,'PIB Mpal 2015-2022 Cons'!$A$5:$A$1012,$W$2,'PIB Mpal 2015-2022 Cons'!$E$5:$E$1012,$A27)</f>
        <v>25.199822646370638</v>
      </c>
      <c r="F27" s="51">
        <f>SUMIFS('PIB Mpal 2015-2022 Cons'!I$5:I$1012,'PIB Mpal 2015-2022 Cons'!$A$5:$A$1012,$W$2,'PIB Mpal 2015-2022 Cons'!$E$5:$E$1012,$A27)</f>
        <v>4.1363149743981715</v>
      </c>
      <c r="G27" s="51">
        <f>SUMIFS('PIB Mpal 2015-2022 Cons'!K$5:K$1012,'PIB Mpal 2015-2022 Cons'!$A$5:$A$1012,$W$2,'PIB Mpal 2015-2022 Cons'!$E$5:$E$1012,$A27)</f>
        <v>40.796413300632423</v>
      </c>
      <c r="H27" s="51">
        <f>SUMIFS('PIB Mpal 2015-2022 Cons'!L$5:L$1012,'PIB Mpal 2015-2022 Cons'!$A$5:$A$1012,$W$2,'PIB Mpal 2015-2022 Cons'!$E$5:$E$1012,$A27)</f>
        <v>12.391867003948271</v>
      </c>
      <c r="I27" s="51">
        <f>SUMIFS('PIB Mpal 2015-2022 Cons'!N$5:N$1012,'PIB Mpal 2015-2022 Cons'!$A$5:$A$1012,$W$2,'PIB Mpal 2015-2022 Cons'!$E$5:$E$1012,$A27)</f>
        <v>32.545483116864531</v>
      </c>
      <c r="J27" s="51">
        <f>SUMIFS('PIB Mpal 2015-2022 Cons'!O$5:O$1012,'PIB Mpal 2015-2022 Cons'!$A$5:$A$1012,$W$2,'PIB Mpal 2015-2022 Cons'!$E$5:$E$1012,$A27)</f>
        <v>141.29221535838585</v>
      </c>
      <c r="K27" s="51">
        <f>SUMIFS('PIB Mpal 2015-2022 Cons'!P$5:P$1012,'PIB Mpal 2015-2022 Cons'!$A$5:$A$1012,$W$2,'PIB Mpal 2015-2022 Cons'!$E$5:$E$1012,$A27)</f>
        <v>14.84201096454899</v>
      </c>
      <c r="L27" s="51">
        <f>SUMIFS('PIB Mpal 2015-2022 Cons'!Q$5:Q$1012,'PIB Mpal 2015-2022 Cons'!$A$5:$A$1012,$W$2,'PIB Mpal 2015-2022 Cons'!$E$5:$E$1012,$A27)</f>
        <v>15.467101206524264</v>
      </c>
      <c r="M27" s="51">
        <f>SUMIFS('PIB Mpal 2015-2022 Cons'!R$5:R$1012,'PIB Mpal 2015-2022 Cons'!$A$5:$A$1012,$W$2,'PIB Mpal 2015-2022 Cons'!$E$5:$E$1012,$A27)</f>
        <v>35.18813703642293</v>
      </c>
      <c r="N27" s="51">
        <f>SUMIFS('PIB Mpal 2015-2022 Cons'!S$5:S$1012,'PIB Mpal 2015-2022 Cons'!$A$5:$A$1012,$W$2,'PIB Mpal 2015-2022 Cons'!$E$5:$E$1012,$A27)</f>
        <v>50.598255644787933</v>
      </c>
      <c r="O27" s="51">
        <f>SUMIFS('PIB Mpal 2015-2022 Cons'!T$5:T$1012,'PIB Mpal 2015-2022 Cons'!$A$5:$A$1012,$W$2,'PIB Mpal 2015-2022 Cons'!$E$5:$E$1012,$A27)</f>
        <v>68.470495574903481</v>
      </c>
      <c r="P27" s="150">
        <f>SUMIFS('PIB Mpal 2015-2022 Cons'!U$5:U$1012,'PIB Mpal 2015-2022 Cons'!$A$5:$A$1012,$W$2,'PIB Mpal 2015-2022 Cons'!$E$5:$E$1012,$A27)</f>
        <v>12.423923746313163</v>
      </c>
      <c r="Q27" s="217">
        <f>SUMIFS('PIB Mpal 2015-2022 Cons'!J$5:J$1012,'PIB Mpal 2015-2022 Cons'!$A$5:$A$1012,$W$2,'PIB Mpal 2015-2022 Cons'!$E$5:$E$1012,$A27)</f>
        <v>29.33613762076881</v>
      </c>
      <c r="R27" s="99">
        <f>SUMIFS('PIB Mpal 2015-2022 Cons'!M$5:M$1012,'PIB Mpal 2015-2022 Cons'!$A$5:$A$1012,$W$2,'PIB Mpal 2015-2022 Cons'!$E$5:$E$1012,$A27)</f>
        <v>53.188280304580694</v>
      </c>
      <c r="S27" s="53">
        <f>SUMIFS('PIB Mpal 2015-2022 Cons'!V$5:V$1012,'PIB Mpal 2015-2022 Cons'!$A$5:$A$1012,$W$2,'PIB Mpal 2015-2022 Cons'!$E$5:$E$1012,$A27)</f>
        <v>370.82762264875106</v>
      </c>
      <c r="T27" s="153">
        <f>SUMIFS('PIB Mpal 2015-2022 Cons'!W$5:W$1012,'PIB Mpal 2015-2022 Cons'!$A$5:$A$1012,$W$2,'PIB Mpal 2015-2022 Cons'!$E$5:$E$1012,$A27)</f>
        <v>453.35204057410056</v>
      </c>
      <c r="U27" s="51">
        <f>SUMIFS('PIB Mpal 2015-2022 Cons'!X$5:X$1012,'PIB Mpal 2015-2022 Cons'!$A$5:$A$1012,$W$2,'PIB Mpal 2015-2022 Cons'!$E$5:$E$1012,$A27)</f>
        <v>45.562752700585321</v>
      </c>
      <c r="V27" s="53">
        <f>SUMIFS('PIB Mpal 2015-2022 Cons'!Y$5:Y$1012,'PIB Mpal 2015-2022 Cons'!$A$5:$A$1012,$W$2,'PIB Mpal 2015-2022 Cons'!$E$5:$E$1012,$A27)</f>
        <v>498.91479327468585</v>
      </c>
      <c r="W27" s="92">
        <f t="shared" si="3"/>
        <v>4.3216194820369404E-3</v>
      </c>
      <c r="X27" s="268">
        <f>INDEX(POBLACION!$C$4:$W$128,MATCH(A27,POBLACION!$A$4:$A$128,0),MATCH($W$2,POBLACION!$C$3:$W$3,0))</f>
        <v>37917</v>
      </c>
      <c r="Y27" s="258">
        <f t="shared" si="5"/>
        <v>11956.432222330368</v>
      </c>
      <c r="Z27" s="270">
        <f t="shared" si="6"/>
        <v>13158.076674702268</v>
      </c>
      <c r="AA27" s="273">
        <f t="shared" si="7"/>
        <v>4.0776016062986686</v>
      </c>
      <c r="AB27" s="273">
        <f t="shared" si="7"/>
        <v>4.119192412787954</v>
      </c>
    </row>
    <row r="28" spans="1:35" x14ac:dyDescent="0.2">
      <c r="A28" s="35" t="s">
        <v>151</v>
      </c>
      <c r="B28" s="32" t="s">
        <v>144</v>
      </c>
      <c r="C28" s="33" t="s">
        <v>145</v>
      </c>
      <c r="D28" s="32" t="s">
        <v>152</v>
      </c>
      <c r="E28" s="51">
        <f>SUMIFS('PIB Mpal 2015-2022 Cons'!H$5:H$1012,'PIB Mpal 2015-2022 Cons'!$A$5:$A$1012,$W$2,'PIB Mpal 2015-2022 Cons'!$E$5:$E$1012,$A28)</f>
        <v>13.070679406174838</v>
      </c>
      <c r="F28" s="51">
        <f>SUMIFS('PIB Mpal 2015-2022 Cons'!I$5:I$1012,'PIB Mpal 2015-2022 Cons'!$A$5:$A$1012,$W$2,'PIB Mpal 2015-2022 Cons'!$E$5:$E$1012,$A28)</f>
        <v>103.92050044762622</v>
      </c>
      <c r="G28" s="51">
        <f>SUMIFS('PIB Mpal 2015-2022 Cons'!K$5:K$1012,'PIB Mpal 2015-2022 Cons'!$A$5:$A$1012,$W$2,'PIB Mpal 2015-2022 Cons'!$E$5:$E$1012,$A28)</f>
        <v>51.037321589072448</v>
      </c>
      <c r="H28" s="51">
        <f>SUMIFS('PIB Mpal 2015-2022 Cons'!L$5:L$1012,'PIB Mpal 2015-2022 Cons'!$A$5:$A$1012,$W$2,'PIB Mpal 2015-2022 Cons'!$E$5:$E$1012,$A28)</f>
        <v>3.9810694784942626</v>
      </c>
      <c r="I28" s="51">
        <f>SUMIFS('PIB Mpal 2015-2022 Cons'!N$5:N$1012,'PIB Mpal 2015-2022 Cons'!$A$5:$A$1012,$W$2,'PIB Mpal 2015-2022 Cons'!$E$5:$E$1012,$A28)</f>
        <v>79.172919446089381</v>
      </c>
      <c r="J28" s="51">
        <f>SUMIFS('PIB Mpal 2015-2022 Cons'!O$5:O$1012,'PIB Mpal 2015-2022 Cons'!$A$5:$A$1012,$W$2,'PIB Mpal 2015-2022 Cons'!$E$5:$E$1012,$A28)</f>
        <v>24.302482985107975</v>
      </c>
      <c r="K28" s="51">
        <f>SUMIFS('PIB Mpal 2015-2022 Cons'!P$5:P$1012,'PIB Mpal 2015-2022 Cons'!$A$5:$A$1012,$W$2,'PIB Mpal 2015-2022 Cons'!$E$5:$E$1012,$A28)</f>
        <v>5.3542361369872555</v>
      </c>
      <c r="L28" s="51">
        <f>SUMIFS('PIB Mpal 2015-2022 Cons'!Q$5:Q$1012,'PIB Mpal 2015-2022 Cons'!$A$5:$A$1012,$W$2,'PIB Mpal 2015-2022 Cons'!$E$5:$E$1012,$A28)</f>
        <v>3.6803345891957058</v>
      </c>
      <c r="M28" s="51">
        <f>SUMIFS('PIB Mpal 2015-2022 Cons'!R$5:R$1012,'PIB Mpal 2015-2022 Cons'!$A$5:$A$1012,$W$2,'PIB Mpal 2015-2022 Cons'!$E$5:$E$1012,$A28)</f>
        <v>11.564731837160183</v>
      </c>
      <c r="N28" s="51">
        <f>SUMIFS('PIB Mpal 2015-2022 Cons'!S$5:S$1012,'PIB Mpal 2015-2022 Cons'!$A$5:$A$1012,$W$2,'PIB Mpal 2015-2022 Cons'!$E$5:$E$1012,$A28)</f>
        <v>35.5482613335314</v>
      </c>
      <c r="O28" s="51">
        <f>SUMIFS('PIB Mpal 2015-2022 Cons'!T$5:T$1012,'PIB Mpal 2015-2022 Cons'!$A$5:$A$1012,$W$2,'PIB Mpal 2015-2022 Cons'!$E$5:$E$1012,$A28)</f>
        <v>35.229462626284231</v>
      </c>
      <c r="P28" s="150">
        <f>SUMIFS('PIB Mpal 2015-2022 Cons'!U$5:U$1012,'PIB Mpal 2015-2022 Cons'!$A$5:$A$1012,$W$2,'PIB Mpal 2015-2022 Cons'!$E$5:$E$1012,$A28)</f>
        <v>3.506571705316571</v>
      </c>
      <c r="Q28" s="217">
        <f>SUMIFS('PIB Mpal 2015-2022 Cons'!J$5:J$1012,'PIB Mpal 2015-2022 Cons'!$A$5:$A$1012,$W$2,'PIB Mpal 2015-2022 Cons'!$E$5:$E$1012,$A28)</f>
        <v>116.99117985380106</v>
      </c>
      <c r="R28" s="99">
        <f>SUMIFS('PIB Mpal 2015-2022 Cons'!M$5:M$1012,'PIB Mpal 2015-2022 Cons'!$A$5:$A$1012,$W$2,'PIB Mpal 2015-2022 Cons'!$E$5:$E$1012,$A28)</f>
        <v>55.018391067566711</v>
      </c>
      <c r="S28" s="53">
        <f>SUMIFS('PIB Mpal 2015-2022 Cons'!V$5:V$1012,'PIB Mpal 2015-2022 Cons'!$A$5:$A$1012,$W$2,'PIB Mpal 2015-2022 Cons'!$E$5:$E$1012,$A28)</f>
        <v>198.35900065967269</v>
      </c>
      <c r="T28" s="153">
        <f>SUMIFS('PIB Mpal 2015-2022 Cons'!W$5:W$1012,'PIB Mpal 2015-2022 Cons'!$A$5:$A$1012,$W$2,'PIB Mpal 2015-2022 Cons'!$E$5:$E$1012,$A28)</f>
        <v>370.36857158104044</v>
      </c>
      <c r="U28" s="51">
        <f>SUMIFS('PIB Mpal 2015-2022 Cons'!X$5:X$1012,'PIB Mpal 2015-2022 Cons'!$A$5:$A$1012,$W$2,'PIB Mpal 2015-2022 Cons'!$E$5:$E$1012,$A28)</f>
        <v>37.222754337040207</v>
      </c>
      <c r="V28" s="53">
        <f>SUMIFS('PIB Mpal 2015-2022 Cons'!Y$5:Y$1012,'PIB Mpal 2015-2022 Cons'!$A$5:$A$1012,$W$2,'PIB Mpal 2015-2022 Cons'!$E$5:$E$1012,$A28)</f>
        <v>407.59132591808066</v>
      </c>
      <c r="W28" s="92">
        <f t="shared" si="3"/>
        <v>3.5305720306173546E-3</v>
      </c>
      <c r="X28" s="268">
        <f>INDEX(POBLACION!$C$4:$W$128,MATCH(A28,POBLACION!$A$4:$A$128,0),MATCH($W$2,POBLACION!$C$3:$W$3,0))</f>
        <v>14474</v>
      </c>
      <c r="Y28" s="258">
        <f t="shared" si="5"/>
        <v>25588.543013751583</v>
      </c>
      <c r="Z28" s="270">
        <f t="shared" si="6"/>
        <v>28160.24083999452</v>
      </c>
      <c r="AA28" s="273">
        <f t="shared" si="7"/>
        <v>4.4080455582942992</v>
      </c>
      <c r="AB28" s="273">
        <f t="shared" si="7"/>
        <v>4.4496363647823394</v>
      </c>
    </row>
    <row r="29" spans="1:35" x14ac:dyDescent="0.2">
      <c r="A29" s="35" t="s">
        <v>153</v>
      </c>
      <c r="B29" s="32" t="s">
        <v>144</v>
      </c>
      <c r="C29" s="33" t="s">
        <v>145</v>
      </c>
      <c r="D29" s="32" t="s">
        <v>154</v>
      </c>
      <c r="E29" s="51">
        <f>SUMIFS('PIB Mpal 2015-2022 Cons'!H$5:H$1012,'PIB Mpal 2015-2022 Cons'!$A$5:$A$1012,$W$2,'PIB Mpal 2015-2022 Cons'!$E$5:$E$1012,$A29)</f>
        <v>14.676584837784189</v>
      </c>
      <c r="F29" s="51">
        <f>SUMIFS('PIB Mpal 2015-2022 Cons'!I$5:I$1012,'PIB Mpal 2015-2022 Cons'!$A$5:$A$1012,$W$2,'PIB Mpal 2015-2022 Cons'!$E$5:$E$1012,$A29)</f>
        <v>19.584460236095293</v>
      </c>
      <c r="G29" s="51">
        <f>SUMIFS('PIB Mpal 2015-2022 Cons'!K$5:K$1012,'PIB Mpal 2015-2022 Cons'!$A$5:$A$1012,$W$2,'PIB Mpal 2015-2022 Cons'!$E$5:$E$1012,$A29)</f>
        <v>5.4355402488657329</v>
      </c>
      <c r="H29" s="51">
        <f>SUMIFS('PIB Mpal 2015-2022 Cons'!L$5:L$1012,'PIB Mpal 2015-2022 Cons'!$A$5:$A$1012,$W$2,'PIB Mpal 2015-2022 Cons'!$E$5:$E$1012,$A29)</f>
        <v>6.1378930385286097</v>
      </c>
      <c r="I29" s="51">
        <f>SUMIFS('PIB Mpal 2015-2022 Cons'!N$5:N$1012,'PIB Mpal 2015-2022 Cons'!$A$5:$A$1012,$W$2,'PIB Mpal 2015-2022 Cons'!$E$5:$E$1012,$A29)</f>
        <v>9.7524890600957264</v>
      </c>
      <c r="J29" s="51">
        <f>SUMIFS('PIB Mpal 2015-2022 Cons'!O$5:O$1012,'PIB Mpal 2015-2022 Cons'!$A$5:$A$1012,$W$2,'PIB Mpal 2015-2022 Cons'!$E$5:$E$1012,$A29)</f>
        <v>43.446229879070955</v>
      </c>
      <c r="K29" s="51">
        <f>SUMIFS('PIB Mpal 2015-2022 Cons'!P$5:P$1012,'PIB Mpal 2015-2022 Cons'!$A$5:$A$1012,$W$2,'PIB Mpal 2015-2022 Cons'!$E$5:$E$1012,$A29)</f>
        <v>4.2551518814475751</v>
      </c>
      <c r="L29" s="51">
        <f>SUMIFS('PIB Mpal 2015-2022 Cons'!Q$5:Q$1012,'PIB Mpal 2015-2022 Cons'!$A$5:$A$1012,$W$2,'PIB Mpal 2015-2022 Cons'!$E$5:$E$1012,$A29)</f>
        <v>2.2372236046484142</v>
      </c>
      <c r="M29" s="51">
        <f>SUMIFS('PIB Mpal 2015-2022 Cons'!R$5:R$1012,'PIB Mpal 2015-2022 Cons'!$A$5:$A$1012,$W$2,'PIB Mpal 2015-2022 Cons'!$E$5:$E$1012,$A29)</f>
        <v>12.42206696265392</v>
      </c>
      <c r="N29" s="51">
        <f>SUMIFS('PIB Mpal 2015-2022 Cons'!S$5:S$1012,'PIB Mpal 2015-2022 Cons'!$A$5:$A$1012,$W$2,'PIB Mpal 2015-2022 Cons'!$E$5:$E$1012,$A29)</f>
        <v>13.570540888976566</v>
      </c>
      <c r="O29" s="51">
        <f>SUMIFS('PIB Mpal 2015-2022 Cons'!T$5:T$1012,'PIB Mpal 2015-2022 Cons'!$A$5:$A$1012,$W$2,'PIB Mpal 2015-2022 Cons'!$E$5:$E$1012,$A29)</f>
        <v>17.390971250919318</v>
      </c>
      <c r="P29" s="150">
        <f>SUMIFS('PIB Mpal 2015-2022 Cons'!U$5:U$1012,'PIB Mpal 2015-2022 Cons'!$A$5:$A$1012,$W$2,'PIB Mpal 2015-2022 Cons'!$E$5:$E$1012,$A29)</f>
        <v>2.6816525958063613</v>
      </c>
      <c r="Q29" s="217">
        <f>SUMIFS('PIB Mpal 2015-2022 Cons'!J$5:J$1012,'PIB Mpal 2015-2022 Cons'!$A$5:$A$1012,$W$2,'PIB Mpal 2015-2022 Cons'!$E$5:$E$1012,$A29)</f>
        <v>34.26104507387948</v>
      </c>
      <c r="R29" s="99">
        <f>SUMIFS('PIB Mpal 2015-2022 Cons'!M$5:M$1012,'PIB Mpal 2015-2022 Cons'!$A$5:$A$1012,$W$2,'PIB Mpal 2015-2022 Cons'!$E$5:$E$1012,$A29)</f>
        <v>11.573433287394343</v>
      </c>
      <c r="S29" s="53">
        <f>SUMIFS('PIB Mpal 2015-2022 Cons'!V$5:V$1012,'PIB Mpal 2015-2022 Cons'!$A$5:$A$1012,$W$2,'PIB Mpal 2015-2022 Cons'!$E$5:$E$1012,$A29)</f>
        <v>105.75632612361883</v>
      </c>
      <c r="T29" s="153">
        <f>SUMIFS('PIB Mpal 2015-2022 Cons'!W$5:W$1012,'PIB Mpal 2015-2022 Cons'!$A$5:$A$1012,$W$2,'PIB Mpal 2015-2022 Cons'!$E$5:$E$1012,$A29)</f>
        <v>151.59080448489266</v>
      </c>
      <c r="U29" s="51">
        <f>SUMIFS('PIB Mpal 2015-2022 Cons'!X$5:X$1012,'PIB Mpal 2015-2022 Cons'!$A$5:$A$1012,$W$2,'PIB Mpal 2015-2022 Cons'!$E$5:$E$1012,$A29)</f>
        <v>15.23516763614637</v>
      </c>
      <c r="V29" s="53">
        <f>SUMIFS('PIB Mpal 2015-2022 Cons'!Y$5:Y$1012,'PIB Mpal 2015-2022 Cons'!$A$5:$A$1012,$W$2,'PIB Mpal 2015-2022 Cons'!$E$5:$E$1012,$A29)</f>
        <v>166.82597212103903</v>
      </c>
      <c r="W29" s="92">
        <f t="shared" si="3"/>
        <v>1.4450531051523623E-3</v>
      </c>
      <c r="X29" s="268">
        <f>INDEX(POBLACION!$C$4:$W$128,MATCH(A29,POBLACION!$A$4:$A$128,0),MATCH($W$2,POBLACION!$C$3:$W$3,0))</f>
        <v>17005</v>
      </c>
      <c r="Y29" s="258">
        <f t="shared" si="5"/>
        <v>8914.4842390410267</v>
      </c>
      <c r="Z29" s="270">
        <f t="shared" si="6"/>
        <v>9810.407063865865</v>
      </c>
      <c r="AA29" s="273">
        <f t="shared" si="7"/>
        <v>3.9500962214745772</v>
      </c>
      <c r="AB29" s="273">
        <f t="shared" si="7"/>
        <v>3.9916870279633319</v>
      </c>
    </row>
    <row r="30" spans="1:35" ht="16" thickBot="1" x14ac:dyDescent="0.25">
      <c r="A30" s="35" t="s">
        <v>155</v>
      </c>
      <c r="B30" s="63" t="s">
        <v>144</v>
      </c>
      <c r="C30" s="62" t="s">
        <v>145</v>
      </c>
      <c r="D30" s="63" t="s">
        <v>156</v>
      </c>
      <c r="E30" s="96">
        <f>SUMIFS('PIB Mpal 2015-2022 Cons'!H$5:H$1012,'PIB Mpal 2015-2022 Cons'!$A$5:$A$1012,$W$2,'PIB Mpal 2015-2022 Cons'!$E$5:$E$1012,$A30)</f>
        <v>57.994435299594144</v>
      </c>
      <c r="F30" s="96">
        <f>SUMIFS('PIB Mpal 2015-2022 Cons'!I$5:I$1012,'PIB Mpal 2015-2022 Cons'!$A$5:$A$1012,$W$2,'PIB Mpal 2015-2022 Cons'!$E$5:$E$1012,$A30)</f>
        <v>765.90390132813707</v>
      </c>
      <c r="G30" s="96">
        <f>SUMIFS('PIB Mpal 2015-2022 Cons'!K$5:K$1012,'PIB Mpal 2015-2022 Cons'!$A$5:$A$1012,$W$2,'PIB Mpal 2015-2022 Cons'!$E$5:$E$1012,$A30)</f>
        <v>0.72987225512101483</v>
      </c>
      <c r="H30" s="96">
        <f>SUMIFS('PIB Mpal 2015-2022 Cons'!L$5:L$1012,'PIB Mpal 2015-2022 Cons'!$A$5:$A$1012,$W$2,'PIB Mpal 2015-2022 Cons'!$E$5:$E$1012,$A30)</f>
        <v>13.032686761374512</v>
      </c>
      <c r="I30" s="96">
        <f>SUMIFS('PIB Mpal 2015-2022 Cons'!N$5:N$1012,'PIB Mpal 2015-2022 Cons'!$A$5:$A$1012,$W$2,'PIB Mpal 2015-2022 Cons'!$E$5:$E$1012,$A30)</f>
        <v>6.7402781672931837</v>
      </c>
      <c r="J30" s="96">
        <f>SUMIFS('PIB Mpal 2015-2022 Cons'!O$5:O$1012,'PIB Mpal 2015-2022 Cons'!$A$5:$A$1012,$W$2,'PIB Mpal 2015-2022 Cons'!$E$5:$E$1012,$A30)</f>
        <v>14.57205577696147</v>
      </c>
      <c r="K30" s="96">
        <f>SUMIFS('PIB Mpal 2015-2022 Cons'!P$5:P$1012,'PIB Mpal 2015-2022 Cons'!$A$5:$A$1012,$W$2,'PIB Mpal 2015-2022 Cons'!$E$5:$E$1012,$A30)</f>
        <v>3.6855327456629832</v>
      </c>
      <c r="L30" s="96">
        <f>SUMIFS('PIB Mpal 2015-2022 Cons'!Q$5:Q$1012,'PIB Mpal 2015-2022 Cons'!$A$5:$A$1012,$W$2,'PIB Mpal 2015-2022 Cons'!$E$5:$E$1012,$A30)</f>
        <v>2.0663129921431804</v>
      </c>
      <c r="M30" s="96">
        <f>SUMIFS('PIB Mpal 2015-2022 Cons'!R$5:R$1012,'PIB Mpal 2015-2022 Cons'!$A$5:$A$1012,$W$2,'PIB Mpal 2015-2022 Cons'!$E$5:$E$1012,$A30)</f>
        <v>8.4985274802018544</v>
      </c>
      <c r="N30" s="96">
        <f>SUMIFS('PIB Mpal 2015-2022 Cons'!S$5:S$1012,'PIB Mpal 2015-2022 Cons'!$A$5:$A$1012,$W$2,'PIB Mpal 2015-2022 Cons'!$E$5:$E$1012,$A30)</f>
        <v>51.995435663554431</v>
      </c>
      <c r="O30" s="96">
        <f>SUMIFS('PIB Mpal 2015-2022 Cons'!T$5:T$1012,'PIB Mpal 2015-2022 Cons'!$A$5:$A$1012,$W$2,'PIB Mpal 2015-2022 Cons'!$E$5:$E$1012,$A30)</f>
        <v>17.916476104784962</v>
      </c>
      <c r="P30" s="151">
        <f>SUMIFS('PIB Mpal 2015-2022 Cons'!U$5:U$1012,'PIB Mpal 2015-2022 Cons'!$A$5:$A$1012,$W$2,'PIB Mpal 2015-2022 Cons'!$E$5:$E$1012,$A30)</f>
        <v>3.2677782457851077</v>
      </c>
      <c r="Q30" s="217">
        <f>SUMIFS('PIB Mpal 2015-2022 Cons'!J$5:J$1012,'PIB Mpal 2015-2022 Cons'!$A$5:$A$1012,$W$2,'PIB Mpal 2015-2022 Cons'!$E$5:$E$1012,$A30)</f>
        <v>823.89833662773117</v>
      </c>
      <c r="R30" s="99">
        <f>SUMIFS('PIB Mpal 2015-2022 Cons'!M$5:M$1012,'PIB Mpal 2015-2022 Cons'!$A$5:$A$1012,$W$2,'PIB Mpal 2015-2022 Cons'!$E$5:$E$1012,$A30)</f>
        <v>13.762559016495526</v>
      </c>
      <c r="S30" s="97">
        <f>SUMIFS('PIB Mpal 2015-2022 Cons'!V$5:V$1012,'PIB Mpal 2015-2022 Cons'!$A$5:$A$1012,$W$2,'PIB Mpal 2015-2022 Cons'!$E$5:$E$1012,$A30)</f>
        <v>108.74239717638717</v>
      </c>
      <c r="T30" s="154">
        <f>SUMIFS('PIB Mpal 2015-2022 Cons'!W$5:W$1012,'PIB Mpal 2015-2022 Cons'!$A$5:$A$1012,$W$2,'PIB Mpal 2015-2022 Cons'!$E$5:$E$1012,$A30)</f>
        <v>946.40329282061384</v>
      </c>
      <c r="U30" s="96">
        <f>SUMIFS('PIB Mpal 2015-2022 Cons'!X$5:X$1012,'PIB Mpal 2015-2022 Cons'!$A$5:$A$1012,$W$2,'PIB Mpal 2015-2022 Cons'!$E$5:$E$1012,$A30)</f>
        <v>95.115352580801286</v>
      </c>
      <c r="V30" s="97">
        <f>SUMIFS('PIB Mpal 2015-2022 Cons'!Y$5:Y$1012,'PIB Mpal 2015-2022 Cons'!$A$5:$A$1012,$W$2,'PIB Mpal 2015-2022 Cons'!$E$5:$E$1012,$A30)</f>
        <v>1041.5186454014151</v>
      </c>
      <c r="W30" s="98">
        <f t="shared" si="3"/>
        <v>9.0216753031681553E-3</v>
      </c>
      <c r="X30" s="268">
        <f>INDEX(POBLACION!$C$4:$W$128,MATCH(A30,POBLACION!$A$4:$A$128,0),MATCH($W$2,POBLACION!$C$3:$W$3,0))</f>
        <v>17813</v>
      </c>
      <c r="Y30" s="258">
        <f t="shared" si="5"/>
        <v>53129.921564060729</v>
      </c>
      <c r="Z30" s="270">
        <f t="shared" si="6"/>
        <v>58469.58094657919</v>
      </c>
      <c r="AA30" s="273">
        <f t="shared" si="7"/>
        <v>4.7253391747593367</v>
      </c>
      <c r="AB30" s="273">
        <f t="shared" si="7"/>
        <v>4.7669299812455197</v>
      </c>
    </row>
    <row r="31" spans="1:35" ht="16" thickBot="1" x14ac:dyDescent="0.25">
      <c r="A31" s="116" t="s">
        <v>157</v>
      </c>
      <c r="B31" s="119" t="s">
        <v>158</v>
      </c>
      <c r="C31" s="117"/>
      <c r="D31" s="112"/>
      <c r="E31" s="113">
        <f>SUM(E32:E41)</f>
        <v>227.26502725417174</v>
      </c>
      <c r="F31" s="113">
        <f t="shared" ref="F31:V31" si="12">SUM(F32:F41)</f>
        <v>436.54834495395454</v>
      </c>
      <c r="G31" s="113">
        <f t="shared" si="12"/>
        <v>80.802430459856112</v>
      </c>
      <c r="H31" s="113">
        <f t="shared" si="12"/>
        <v>105.11934085526229</v>
      </c>
      <c r="I31" s="113">
        <f t="shared" si="12"/>
        <v>333.8065485922798</v>
      </c>
      <c r="J31" s="113">
        <f t="shared" si="12"/>
        <v>338.87028830225131</v>
      </c>
      <c r="K31" s="113">
        <f t="shared" si="12"/>
        <v>57.727720055477782</v>
      </c>
      <c r="L31" s="113">
        <f t="shared" si="12"/>
        <v>42.266321018968689</v>
      </c>
      <c r="M31" s="113">
        <f t="shared" si="12"/>
        <v>138.69705361922442</v>
      </c>
      <c r="N31" s="113">
        <f t="shared" si="12"/>
        <v>209.05629964402118</v>
      </c>
      <c r="O31" s="113">
        <f t="shared" si="12"/>
        <v>284.8557265488908</v>
      </c>
      <c r="P31" s="123">
        <f t="shared" si="12"/>
        <v>46.761935149801587</v>
      </c>
      <c r="Q31" s="193">
        <f t="shared" si="12"/>
        <v>663.81337220812622</v>
      </c>
      <c r="R31" s="113">
        <f t="shared" si="12"/>
        <v>185.92177131511841</v>
      </c>
      <c r="S31" s="114">
        <f t="shared" si="12"/>
        <v>1452.0418929309153</v>
      </c>
      <c r="T31" s="186">
        <f t="shared" si="12"/>
        <v>2301.7770364541602</v>
      </c>
      <c r="U31" s="113">
        <f t="shared" si="12"/>
        <v>231.3330226745081</v>
      </c>
      <c r="V31" s="114">
        <f t="shared" si="12"/>
        <v>2533.1100591286686</v>
      </c>
      <c r="W31" s="115">
        <f t="shared" si="3"/>
        <v>2.194189855510472E-2</v>
      </c>
      <c r="X31" s="208">
        <f t="shared" ref="X31" si="13">SUM(X32:X41)</f>
        <v>190714</v>
      </c>
      <c r="Y31" s="258">
        <f t="shared" si="5"/>
        <v>12069.260969064464</v>
      </c>
      <c r="Z31" s="270">
        <f t="shared" si="6"/>
        <v>13282.244927633359</v>
      </c>
      <c r="AA31" s="273">
        <f t="shared" si="7"/>
        <v>4.0816806779777499</v>
      </c>
      <c r="AB31" s="273">
        <f t="shared" si="7"/>
        <v>4.1232714844662102</v>
      </c>
    </row>
    <row r="32" spans="1:35" x14ac:dyDescent="0.2">
      <c r="A32" s="35" t="s">
        <v>159</v>
      </c>
      <c r="B32" s="101" t="s">
        <v>160</v>
      </c>
      <c r="C32" s="108" t="s">
        <v>145</v>
      </c>
      <c r="D32" s="101" t="s">
        <v>161</v>
      </c>
      <c r="E32" s="109">
        <f>SUMIFS('PIB Mpal 2015-2022 Cons'!H$5:H$1012,'PIB Mpal 2015-2022 Cons'!$A$5:$A$1012,$W$2,'PIB Mpal 2015-2022 Cons'!$E$5:$E$1012,$A32)</f>
        <v>26.977925415279522</v>
      </c>
      <c r="F32" s="109">
        <f>SUMIFS('PIB Mpal 2015-2022 Cons'!I$5:I$1012,'PIB Mpal 2015-2022 Cons'!$A$5:$A$1012,$W$2,'PIB Mpal 2015-2022 Cons'!$E$5:$E$1012,$A32)</f>
        <v>25.904930841222168</v>
      </c>
      <c r="G32" s="109">
        <f>SUMIFS('PIB Mpal 2015-2022 Cons'!K$5:K$1012,'PIB Mpal 2015-2022 Cons'!$A$5:$A$1012,$W$2,'PIB Mpal 2015-2022 Cons'!$E$5:$E$1012,$A32)</f>
        <v>17.773991760096294</v>
      </c>
      <c r="H32" s="109">
        <f>SUMIFS('PIB Mpal 2015-2022 Cons'!L$5:L$1012,'PIB Mpal 2015-2022 Cons'!$A$5:$A$1012,$W$2,'PIB Mpal 2015-2022 Cons'!$E$5:$E$1012,$A32)</f>
        <v>28.409952506393921</v>
      </c>
      <c r="I32" s="109">
        <f>SUMIFS('PIB Mpal 2015-2022 Cons'!N$5:N$1012,'PIB Mpal 2015-2022 Cons'!$A$5:$A$1012,$W$2,'PIB Mpal 2015-2022 Cons'!$E$5:$E$1012,$A32)</f>
        <v>208.07860867971135</v>
      </c>
      <c r="J32" s="109">
        <f>SUMIFS('PIB Mpal 2015-2022 Cons'!O$5:O$1012,'PIB Mpal 2015-2022 Cons'!$A$5:$A$1012,$W$2,'PIB Mpal 2015-2022 Cons'!$E$5:$E$1012,$A32)</f>
        <v>60.148534688929381</v>
      </c>
      <c r="K32" s="109">
        <f>SUMIFS('PIB Mpal 2015-2022 Cons'!P$5:P$1012,'PIB Mpal 2015-2022 Cons'!$A$5:$A$1012,$W$2,'PIB Mpal 2015-2022 Cons'!$E$5:$E$1012,$A32)</f>
        <v>12.059661735989943</v>
      </c>
      <c r="L32" s="109">
        <f>SUMIFS('PIB Mpal 2015-2022 Cons'!Q$5:Q$1012,'PIB Mpal 2015-2022 Cons'!$A$5:$A$1012,$W$2,'PIB Mpal 2015-2022 Cons'!$E$5:$E$1012,$A32)</f>
        <v>10.937796751849552</v>
      </c>
      <c r="M32" s="109">
        <f>SUMIFS('PIB Mpal 2015-2022 Cons'!R$5:R$1012,'PIB Mpal 2015-2022 Cons'!$A$5:$A$1012,$W$2,'PIB Mpal 2015-2022 Cons'!$E$5:$E$1012,$A32)</f>
        <v>28.270595482835972</v>
      </c>
      <c r="N32" s="109">
        <f>SUMIFS('PIB Mpal 2015-2022 Cons'!S$5:S$1012,'PIB Mpal 2015-2022 Cons'!$A$5:$A$1012,$W$2,'PIB Mpal 2015-2022 Cons'!$E$5:$E$1012,$A32)</f>
        <v>59.474938972390575</v>
      </c>
      <c r="O32" s="109">
        <f>SUMIFS('PIB Mpal 2015-2022 Cons'!T$5:T$1012,'PIB Mpal 2015-2022 Cons'!$A$5:$A$1012,$W$2,'PIB Mpal 2015-2022 Cons'!$E$5:$E$1012,$A32)</f>
        <v>62.407588363978249</v>
      </c>
      <c r="P32" s="182">
        <f>SUMIFS('PIB Mpal 2015-2022 Cons'!U$5:U$1012,'PIB Mpal 2015-2022 Cons'!$A$5:$A$1012,$W$2,'PIB Mpal 2015-2022 Cons'!$E$5:$E$1012,$A32)</f>
        <v>10.862821096724442</v>
      </c>
      <c r="Q32" s="217">
        <f>SUMIFS('PIB Mpal 2015-2022 Cons'!J$5:J$1012,'PIB Mpal 2015-2022 Cons'!$A$5:$A$1012,$W$2,'PIB Mpal 2015-2022 Cons'!$E$5:$E$1012,$A32)</f>
        <v>52.88285625650169</v>
      </c>
      <c r="R32" s="99">
        <f>SUMIFS('PIB Mpal 2015-2022 Cons'!M$5:M$1012,'PIB Mpal 2015-2022 Cons'!$A$5:$A$1012,$W$2,'PIB Mpal 2015-2022 Cons'!$E$5:$E$1012,$A32)</f>
        <v>46.183944266490215</v>
      </c>
      <c r="S32" s="110">
        <f>SUMIFS('PIB Mpal 2015-2022 Cons'!V$5:V$1012,'PIB Mpal 2015-2022 Cons'!$A$5:$A$1012,$W$2,'PIB Mpal 2015-2022 Cons'!$E$5:$E$1012,$A32)</f>
        <v>452.24054577240946</v>
      </c>
      <c r="T32" s="187">
        <f>SUMIFS('PIB Mpal 2015-2022 Cons'!W$5:W$1012,'PIB Mpal 2015-2022 Cons'!$A$5:$A$1012,$W$2,'PIB Mpal 2015-2022 Cons'!$E$5:$E$1012,$A32)</f>
        <v>551.30734629540132</v>
      </c>
      <c r="U32" s="109">
        <f>SUMIFS('PIB Mpal 2015-2022 Cons'!X$5:X$1012,'PIB Mpal 2015-2022 Cons'!$A$5:$A$1012,$W$2,'PIB Mpal 2015-2022 Cons'!$E$5:$E$1012,$A32)</f>
        <v>55.40744947231385</v>
      </c>
      <c r="V32" s="110">
        <f>SUMIFS('PIB Mpal 2015-2022 Cons'!Y$5:Y$1012,'PIB Mpal 2015-2022 Cons'!$A$5:$A$1012,$W$2,'PIB Mpal 2015-2022 Cons'!$E$5:$E$1012,$A32)</f>
        <v>606.71479576771515</v>
      </c>
      <c r="W32" s="100">
        <f t="shared" si="3"/>
        <v>5.25538732620069E-3</v>
      </c>
      <c r="X32" s="268">
        <f>INDEX(POBLACION!$C$4:$W$128,MATCH(A32,POBLACION!$A$4:$A$128,0),MATCH($W$2,POBLACION!$C$3:$W$3,0))</f>
        <v>24951</v>
      </c>
      <c r="Y32" s="258">
        <f t="shared" si="5"/>
        <v>22095.601230227297</v>
      </c>
      <c r="Z32" s="270">
        <f t="shared" si="6"/>
        <v>24316.251684009261</v>
      </c>
      <c r="AA32" s="273">
        <f t="shared" si="7"/>
        <v>4.3443058233872272</v>
      </c>
      <c r="AB32" s="273">
        <f t="shared" si="7"/>
        <v>4.3858966298765232</v>
      </c>
    </row>
    <row r="33" spans="1:28" x14ac:dyDescent="0.2">
      <c r="A33" s="35" t="s">
        <v>162</v>
      </c>
      <c r="B33" s="32" t="s">
        <v>160</v>
      </c>
      <c r="C33" s="33" t="s">
        <v>145</v>
      </c>
      <c r="D33" s="32" t="s">
        <v>163</v>
      </c>
      <c r="E33" s="51">
        <f>SUMIFS('PIB Mpal 2015-2022 Cons'!H$5:H$1012,'PIB Mpal 2015-2022 Cons'!$A$5:$A$1012,$W$2,'PIB Mpal 2015-2022 Cons'!$E$5:$E$1012,$A33)</f>
        <v>14.12416588708575</v>
      </c>
      <c r="F33" s="51">
        <f>SUMIFS('PIB Mpal 2015-2022 Cons'!I$5:I$1012,'PIB Mpal 2015-2022 Cons'!$A$5:$A$1012,$W$2,'PIB Mpal 2015-2022 Cons'!$E$5:$E$1012,$A33)</f>
        <v>38.161620790594888</v>
      </c>
      <c r="G33" s="51">
        <f>SUMIFS('PIB Mpal 2015-2022 Cons'!K$5:K$1012,'PIB Mpal 2015-2022 Cons'!$A$5:$A$1012,$W$2,'PIB Mpal 2015-2022 Cons'!$E$5:$E$1012,$A33)</f>
        <v>2.5327872498967645</v>
      </c>
      <c r="H33" s="51">
        <f>SUMIFS('PIB Mpal 2015-2022 Cons'!L$5:L$1012,'PIB Mpal 2015-2022 Cons'!$A$5:$A$1012,$W$2,'PIB Mpal 2015-2022 Cons'!$E$5:$E$1012,$A33)</f>
        <v>7.0357451610071413</v>
      </c>
      <c r="I33" s="51">
        <f>SUMIFS('PIB Mpal 2015-2022 Cons'!N$5:N$1012,'PIB Mpal 2015-2022 Cons'!$A$5:$A$1012,$W$2,'PIB Mpal 2015-2022 Cons'!$E$5:$E$1012,$A33)</f>
        <v>65.169017612688975</v>
      </c>
      <c r="J33" s="51">
        <f>SUMIFS('PIB Mpal 2015-2022 Cons'!O$5:O$1012,'PIB Mpal 2015-2022 Cons'!$A$5:$A$1012,$W$2,'PIB Mpal 2015-2022 Cons'!$E$5:$E$1012,$A33)</f>
        <v>5.3896780054811346</v>
      </c>
      <c r="K33" s="51">
        <f>SUMIFS('PIB Mpal 2015-2022 Cons'!P$5:P$1012,'PIB Mpal 2015-2022 Cons'!$A$5:$A$1012,$W$2,'PIB Mpal 2015-2022 Cons'!$E$5:$E$1012,$A33)</f>
        <v>1.0165751530462175</v>
      </c>
      <c r="L33" s="51">
        <f>SUMIFS('PIB Mpal 2015-2022 Cons'!Q$5:Q$1012,'PIB Mpal 2015-2022 Cons'!$A$5:$A$1012,$W$2,'PIB Mpal 2015-2022 Cons'!$E$5:$E$1012,$A33)</f>
        <v>0.73811930620646227</v>
      </c>
      <c r="M33" s="51">
        <f>SUMIFS('PIB Mpal 2015-2022 Cons'!R$5:R$1012,'PIB Mpal 2015-2022 Cons'!$A$5:$A$1012,$W$2,'PIB Mpal 2015-2022 Cons'!$E$5:$E$1012,$A33)</f>
        <v>2.010202873686886</v>
      </c>
      <c r="N33" s="51">
        <f>SUMIFS('PIB Mpal 2015-2022 Cons'!S$5:S$1012,'PIB Mpal 2015-2022 Cons'!$A$5:$A$1012,$W$2,'PIB Mpal 2015-2022 Cons'!$E$5:$E$1012,$A33)</f>
        <v>8.463604238380027</v>
      </c>
      <c r="O33" s="51">
        <f>SUMIFS('PIB Mpal 2015-2022 Cons'!T$5:T$1012,'PIB Mpal 2015-2022 Cons'!$A$5:$A$1012,$W$2,'PIB Mpal 2015-2022 Cons'!$E$5:$E$1012,$A33)</f>
        <v>8.4746143488316932</v>
      </c>
      <c r="P33" s="150">
        <f>SUMIFS('PIB Mpal 2015-2022 Cons'!U$5:U$1012,'PIB Mpal 2015-2022 Cons'!$A$5:$A$1012,$W$2,'PIB Mpal 2015-2022 Cons'!$E$5:$E$1012,$A33)</f>
        <v>1.0132912801737428</v>
      </c>
      <c r="Q33" s="217">
        <f>SUMIFS('PIB Mpal 2015-2022 Cons'!J$5:J$1012,'PIB Mpal 2015-2022 Cons'!$A$5:$A$1012,$W$2,'PIB Mpal 2015-2022 Cons'!$E$5:$E$1012,$A33)</f>
        <v>52.28578667768064</v>
      </c>
      <c r="R33" s="99">
        <f>SUMIFS('PIB Mpal 2015-2022 Cons'!M$5:M$1012,'PIB Mpal 2015-2022 Cons'!$A$5:$A$1012,$W$2,'PIB Mpal 2015-2022 Cons'!$E$5:$E$1012,$A33)</f>
        <v>9.5685324109039058</v>
      </c>
      <c r="S33" s="53">
        <f>SUMIFS('PIB Mpal 2015-2022 Cons'!V$5:V$1012,'PIB Mpal 2015-2022 Cons'!$A$5:$A$1012,$W$2,'PIB Mpal 2015-2022 Cons'!$E$5:$E$1012,$A33)</f>
        <v>92.275102818495142</v>
      </c>
      <c r="T33" s="153">
        <f>SUMIFS('PIB Mpal 2015-2022 Cons'!W$5:W$1012,'PIB Mpal 2015-2022 Cons'!$A$5:$A$1012,$W$2,'PIB Mpal 2015-2022 Cons'!$E$5:$E$1012,$A33)</f>
        <v>154.12942190707969</v>
      </c>
      <c r="U33" s="51">
        <f>SUMIFS('PIB Mpal 2015-2022 Cons'!X$5:X$1012,'PIB Mpal 2015-2022 Cons'!$A$5:$A$1012,$W$2,'PIB Mpal 2015-2022 Cons'!$E$5:$E$1012,$A33)</f>
        <v>15.490303573293897</v>
      </c>
      <c r="V33" s="53">
        <f>SUMIFS('PIB Mpal 2015-2022 Cons'!Y$5:Y$1012,'PIB Mpal 2015-2022 Cons'!$A$5:$A$1012,$W$2,'PIB Mpal 2015-2022 Cons'!$E$5:$E$1012,$A33)</f>
        <v>169.61972548037357</v>
      </c>
      <c r="W33" s="92">
        <f t="shared" si="3"/>
        <v>1.4692527061833523E-3</v>
      </c>
      <c r="X33" s="268">
        <f>INDEX(POBLACION!$C$4:$W$128,MATCH(A33,POBLACION!$A$4:$A$128,0),MATCH($W$2,POBLACION!$C$3:$W$3,0))</f>
        <v>17534</v>
      </c>
      <c r="Y33" s="258">
        <f t="shared" si="5"/>
        <v>8790.317206973863</v>
      </c>
      <c r="Z33" s="270">
        <f t="shared" si="6"/>
        <v>9673.7610060667048</v>
      </c>
      <c r="AA33" s="273">
        <f t="shared" si="7"/>
        <v>3.9440045472868226</v>
      </c>
      <c r="AB33" s="273">
        <f t="shared" si="7"/>
        <v>3.9855953537751407</v>
      </c>
    </row>
    <row r="34" spans="1:28" x14ac:dyDescent="0.2">
      <c r="A34" s="35" t="s">
        <v>164</v>
      </c>
      <c r="B34" s="32" t="s">
        <v>160</v>
      </c>
      <c r="C34" s="33" t="s">
        <v>145</v>
      </c>
      <c r="D34" s="32" t="s">
        <v>165</v>
      </c>
      <c r="E34" s="51">
        <f>SUMIFS('PIB Mpal 2015-2022 Cons'!H$5:H$1012,'PIB Mpal 2015-2022 Cons'!$A$5:$A$1012,$W$2,'PIB Mpal 2015-2022 Cons'!$E$5:$E$1012,$A34)</f>
        <v>3.8754904561662431</v>
      </c>
      <c r="F34" s="51">
        <f>SUMIFS('PIB Mpal 2015-2022 Cons'!I$5:I$1012,'PIB Mpal 2015-2022 Cons'!$A$5:$A$1012,$W$2,'PIB Mpal 2015-2022 Cons'!$E$5:$E$1012,$A34)</f>
        <v>0.3255222240803346</v>
      </c>
      <c r="G34" s="51">
        <f>SUMIFS('PIB Mpal 2015-2022 Cons'!K$5:K$1012,'PIB Mpal 2015-2022 Cons'!$A$5:$A$1012,$W$2,'PIB Mpal 2015-2022 Cons'!$E$5:$E$1012,$A34)</f>
        <v>7.1042827706478358</v>
      </c>
      <c r="H34" s="51">
        <f>SUMIFS('PIB Mpal 2015-2022 Cons'!L$5:L$1012,'PIB Mpal 2015-2022 Cons'!$A$5:$A$1012,$W$2,'PIB Mpal 2015-2022 Cons'!$E$5:$E$1012,$A34)</f>
        <v>3.4695804045720884</v>
      </c>
      <c r="I34" s="51">
        <f>SUMIFS('PIB Mpal 2015-2022 Cons'!N$5:N$1012,'PIB Mpal 2015-2022 Cons'!$A$5:$A$1012,$W$2,'PIB Mpal 2015-2022 Cons'!$E$5:$E$1012,$A34)</f>
        <v>7.2573061444246747</v>
      </c>
      <c r="J34" s="51">
        <f>SUMIFS('PIB Mpal 2015-2022 Cons'!O$5:O$1012,'PIB Mpal 2015-2022 Cons'!$A$5:$A$1012,$W$2,'PIB Mpal 2015-2022 Cons'!$E$5:$E$1012,$A34)</f>
        <v>22.668411193348639</v>
      </c>
      <c r="K34" s="51">
        <f>SUMIFS('PIB Mpal 2015-2022 Cons'!P$5:P$1012,'PIB Mpal 2015-2022 Cons'!$A$5:$A$1012,$W$2,'PIB Mpal 2015-2022 Cons'!$E$5:$E$1012,$A34)</f>
        <v>4.8695724915341394</v>
      </c>
      <c r="L34" s="51">
        <f>SUMIFS('PIB Mpal 2015-2022 Cons'!Q$5:Q$1012,'PIB Mpal 2015-2022 Cons'!$A$5:$A$1012,$W$2,'PIB Mpal 2015-2022 Cons'!$E$5:$E$1012,$A34)</f>
        <v>3.4386842923160135</v>
      </c>
      <c r="M34" s="51">
        <f>SUMIFS('PIB Mpal 2015-2022 Cons'!R$5:R$1012,'PIB Mpal 2015-2022 Cons'!$A$5:$A$1012,$W$2,'PIB Mpal 2015-2022 Cons'!$E$5:$E$1012,$A34)</f>
        <v>12.406068616226564</v>
      </c>
      <c r="N34" s="51">
        <f>SUMIFS('PIB Mpal 2015-2022 Cons'!S$5:S$1012,'PIB Mpal 2015-2022 Cons'!$A$5:$A$1012,$W$2,'PIB Mpal 2015-2022 Cons'!$E$5:$E$1012,$A34)</f>
        <v>11.08407506424436</v>
      </c>
      <c r="O34" s="51">
        <f>SUMIFS('PIB Mpal 2015-2022 Cons'!T$5:T$1012,'PIB Mpal 2015-2022 Cons'!$A$5:$A$1012,$W$2,'PIB Mpal 2015-2022 Cons'!$E$5:$E$1012,$A34)</f>
        <v>17.805799849563556</v>
      </c>
      <c r="P34" s="150">
        <f>SUMIFS('PIB Mpal 2015-2022 Cons'!U$5:U$1012,'PIB Mpal 2015-2022 Cons'!$A$5:$A$1012,$W$2,'PIB Mpal 2015-2022 Cons'!$E$5:$E$1012,$A34)</f>
        <v>2.7369527874267381</v>
      </c>
      <c r="Q34" s="217">
        <f>SUMIFS('PIB Mpal 2015-2022 Cons'!J$5:J$1012,'PIB Mpal 2015-2022 Cons'!$A$5:$A$1012,$W$2,'PIB Mpal 2015-2022 Cons'!$E$5:$E$1012,$A34)</f>
        <v>4.2010126802465777</v>
      </c>
      <c r="R34" s="99">
        <f>SUMIFS('PIB Mpal 2015-2022 Cons'!M$5:M$1012,'PIB Mpal 2015-2022 Cons'!$A$5:$A$1012,$W$2,'PIB Mpal 2015-2022 Cons'!$E$5:$E$1012,$A34)</f>
        <v>10.573863175219923</v>
      </c>
      <c r="S34" s="53">
        <f>SUMIFS('PIB Mpal 2015-2022 Cons'!V$5:V$1012,'PIB Mpal 2015-2022 Cons'!$A$5:$A$1012,$W$2,'PIB Mpal 2015-2022 Cons'!$E$5:$E$1012,$A34)</f>
        <v>82.266870439084684</v>
      </c>
      <c r="T34" s="153">
        <f>SUMIFS('PIB Mpal 2015-2022 Cons'!W$5:W$1012,'PIB Mpal 2015-2022 Cons'!$A$5:$A$1012,$W$2,'PIB Mpal 2015-2022 Cons'!$E$5:$E$1012,$A34)</f>
        <v>97.041746294551189</v>
      </c>
      <c r="U34" s="51">
        <f>SUMIFS('PIB Mpal 2015-2022 Cons'!X$5:X$1012,'PIB Mpal 2015-2022 Cons'!$A$5:$A$1012,$W$2,'PIB Mpal 2015-2022 Cons'!$E$5:$E$1012,$A34)</f>
        <v>9.7528822909169985</v>
      </c>
      <c r="V34" s="53">
        <f>SUMIFS('PIB Mpal 2015-2022 Cons'!Y$5:Y$1012,'PIB Mpal 2015-2022 Cons'!$A$5:$A$1012,$W$2,'PIB Mpal 2015-2022 Cons'!$E$5:$E$1012,$A34)</f>
        <v>106.79462858546819</v>
      </c>
      <c r="W34" s="92">
        <f t="shared" si="3"/>
        <v>9.2505925599555786E-4</v>
      </c>
      <c r="X34" s="268">
        <f>INDEX(POBLACION!$C$4:$W$128,MATCH(A34,POBLACION!$A$4:$A$128,0),MATCH($W$2,POBLACION!$C$3:$W$3,0))</f>
        <v>9587</v>
      </c>
      <c r="Y34" s="258">
        <f t="shared" si="5"/>
        <v>10122.222415203003</v>
      </c>
      <c r="Z34" s="270">
        <f t="shared" si="6"/>
        <v>11139.525251430916</v>
      </c>
      <c r="AA34" s="273">
        <f t="shared" si="7"/>
        <v>4.0052758758135241</v>
      </c>
      <c r="AB34" s="273">
        <f t="shared" si="7"/>
        <v>4.0468666823029409</v>
      </c>
    </row>
    <row r="35" spans="1:28" x14ac:dyDescent="0.2">
      <c r="A35" s="35" t="s">
        <v>166</v>
      </c>
      <c r="B35" s="32" t="s">
        <v>160</v>
      </c>
      <c r="C35" s="33" t="s">
        <v>167</v>
      </c>
      <c r="D35" s="32" t="s">
        <v>168</v>
      </c>
      <c r="E35" s="51">
        <f>SUMIFS('PIB Mpal 2015-2022 Cons'!H$5:H$1012,'PIB Mpal 2015-2022 Cons'!$A$5:$A$1012,$W$2,'PIB Mpal 2015-2022 Cons'!$E$5:$E$1012,$A35)</f>
        <v>37.520607630560512</v>
      </c>
      <c r="F35" s="51">
        <f>SUMIFS('PIB Mpal 2015-2022 Cons'!I$5:I$1012,'PIB Mpal 2015-2022 Cons'!$A$5:$A$1012,$W$2,'PIB Mpal 2015-2022 Cons'!$E$5:$E$1012,$A35)</f>
        <v>128.12742994573475</v>
      </c>
      <c r="G35" s="51">
        <f>SUMIFS('PIB Mpal 2015-2022 Cons'!K$5:K$1012,'PIB Mpal 2015-2022 Cons'!$A$5:$A$1012,$W$2,'PIB Mpal 2015-2022 Cons'!$E$5:$E$1012,$A35)</f>
        <v>15.278048655571265</v>
      </c>
      <c r="H35" s="51">
        <f>SUMIFS('PIB Mpal 2015-2022 Cons'!L$5:L$1012,'PIB Mpal 2015-2022 Cons'!$A$5:$A$1012,$W$2,'PIB Mpal 2015-2022 Cons'!$E$5:$E$1012,$A35)</f>
        <v>1.978337976388616</v>
      </c>
      <c r="I35" s="51">
        <f>SUMIFS('PIB Mpal 2015-2022 Cons'!N$5:N$1012,'PIB Mpal 2015-2022 Cons'!$A$5:$A$1012,$W$2,'PIB Mpal 2015-2022 Cons'!$E$5:$E$1012,$A35)</f>
        <v>8.9419117560323684</v>
      </c>
      <c r="J35" s="51">
        <f>SUMIFS('PIB Mpal 2015-2022 Cons'!O$5:O$1012,'PIB Mpal 2015-2022 Cons'!$A$5:$A$1012,$W$2,'PIB Mpal 2015-2022 Cons'!$E$5:$E$1012,$A35)</f>
        <v>51.645792313750881</v>
      </c>
      <c r="K35" s="51">
        <f>SUMIFS('PIB Mpal 2015-2022 Cons'!P$5:P$1012,'PIB Mpal 2015-2022 Cons'!$A$5:$A$1012,$W$2,'PIB Mpal 2015-2022 Cons'!$E$5:$E$1012,$A35)</f>
        <v>6.4826569860059342</v>
      </c>
      <c r="L35" s="51">
        <f>SUMIFS('PIB Mpal 2015-2022 Cons'!Q$5:Q$1012,'PIB Mpal 2015-2022 Cons'!$A$5:$A$1012,$W$2,'PIB Mpal 2015-2022 Cons'!$E$5:$E$1012,$A35)</f>
        <v>3.8821880098221975</v>
      </c>
      <c r="M35" s="51">
        <f>SUMIFS('PIB Mpal 2015-2022 Cons'!R$5:R$1012,'PIB Mpal 2015-2022 Cons'!$A$5:$A$1012,$W$2,'PIB Mpal 2015-2022 Cons'!$E$5:$E$1012,$A35)</f>
        <v>14.859183569804236</v>
      </c>
      <c r="N35" s="51">
        <f>SUMIFS('PIB Mpal 2015-2022 Cons'!S$5:S$1012,'PIB Mpal 2015-2022 Cons'!$A$5:$A$1012,$W$2,'PIB Mpal 2015-2022 Cons'!$E$5:$E$1012,$A35)</f>
        <v>24.100851616967905</v>
      </c>
      <c r="O35" s="51">
        <f>SUMIFS('PIB Mpal 2015-2022 Cons'!T$5:T$1012,'PIB Mpal 2015-2022 Cons'!$A$5:$A$1012,$W$2,'PIB Mpal 2015-2022 Cons'!$E$5:$E$1012,$A35)</f>
        <v>30.046159567338311</v>
      </c>
      <c r="P35" s="150">
        <f>SUMIFS('PIB Mpal 2015-2022 Cons'!U$5:U$1012,'PIB Mpal 2015-2022 Cons'!$A$5:$A$1012,$W$2,'PIB Mpal 2015-2022 Cons'!$E$5:$E$1012,$A35)</f>
        <v>4.9284998878224195</v>
      </c>
      <c r="Q35" s="217">
        <f>SUMIFS('PIB Mpal 2015-2022 Cons'!J$5:J$1012,'PIB Mpal 2015-2022 Cons'!$A$5:$A$1012,$W$2,'PIB Mpal 2015-2022 Cons'!$E$5:$E$1012,$A35)</f>
        <v>165.64803757629525</v>
      </c>
      <c r="R35" s="99">
        <f>SUMIFS('PIB Mpal 2015-2022 Cons'!M$5:M$1012,'PIB Mpal 2015-2022 Cons'!$A$5:$A$1012,$W$2,'PIB Mpal 2015-2022 Cons'!$E$5:$E$1012,$A35)</f>
        <v>17.256386631959881</v>
      </c>
      <c r="S35" s="53">
        <f>SUMIFS('PIB Mpal 2015-2022 Cons'!V$5:V$1012,'PIB Mpal 2015-2022 Cons'!$A$5:$A$1012,$W$2,'PIB Mpal 2015-2022 Cons'!$E$5:$E$1012,$A35)</f>
        <v>144.88724370754426</v>
      </c>
      <c r="T35" s="153">
        <f>SUMIFS('PIB Mpal 2015-2022 Cons'!W$5:W$1012,'PIB Mpal 2015-2022 Cons'!$A$5:$A$1012,$W$2,'PIB Mpal 2015-2022 Cons'!$E$5:$E$1012,$A35)</f>
        <v>327.79166791579939</v>
      </c>
      <c r="U35" s="51">
        <f>SUMIFS('PIB Mpal 2015-2022 Cons'!X$5:X$1012,'PIB Mpal 2015-2022 Cons'!$A$5:$A$1012,$W$2,'PIB Mpal 2015-2022 Cons'!$E$5:$E$1012,$A35)</f>
        <v>32.943693565428909</v>
      </c>
      <c r="V35" s="53">
        <f>SUMIFS('PIB Mpal 2015-2022 Cons'!Y$5:Y$1012,'PIB Mpal 2015-2022 Cons'!$A$5:$A$1012,$W$2,'PIB Mpal 2015-2022 Cons'!$E$5:$E$1012,$A35)</f>
        <v>360.73536148122832</v>
      </c>
      <c r="W35" s="92">
        <f t="shared" si="3"/>
        <v>3.1247038312985087E-3</v>
      </c>
      <c r="X35" s="268">
        <f>INDEX(POBLACION!$C$4:$W$128,MATCH(A35,POBLACION!$A$4:$A$128,0),MATCH($W$2,POBLACION!$C$3:$W$3,0))</f>
        <v>27214</v>
      </c>
      <c r="Y35" s="258">
        <f t="shared" si="5"/>
        <v>12044.964647453493</v>
      </c>
      <c r="Z35" s="270">
        <f t="shared" si="6"/>
        <v>13255.506778908957</v>
      </c>
      <c r="AA35" s="273">
        <f t="shared" si="7"/>
        <v>4.0808055296611867</v>
      </c>
      <c r="AB35" s="273">
        <f t="shared" si="7"/>
        <v>4.122396336148813</v>
      </c>
    </row>
    <row r="36" spans="1:28" x14ac:dyDescent="0.2">
      <c r="A36" s="35" t="s">
        <v>169</v>
      </c>
      <c r="B36" s="32" t="s">
        <v>160</v>
      </c>
      <c r="C36" s="33" t="s">
        <v>145</v>
      </c>
      <c r="D36" s="32" t="s">
        <v>170</v>
      </c>
      <c r="E36" s="51">
        <f>SUMIFS('PIB Mpal 2015-2022 Cons'!H$5:H$1012,'PIB Mpal 2015-2022 Cons'!$A$5:$A$1012,$W$2,'PIB Mpal 2015-2022 Cons'!$E$5:$E$1012,$A36)</f>
        <v>21.717585984255756</v>
      </c>
      <c r="F36" s="51">
        <f>SUMIFS('PIB Mpal 2015-2022 Cons'!I$5:I$1012,'PIB Mpal 2015-2022 Cons'!$A$5:$A$1012,$W$2,'PIB Mpal 2015-2022 Cons'!$E$5:$E$1012,$A36)</f>
        <v>0</v>
      </c>
      <c r="G36" s="51">
        <f>SUMIFS('PIB Mpal 2015-2022 Cons'!K$5:K$1012,'PIB Mpal 2015-2022 Cons'!$A$5:$A$1012,$W$2,'PIB Mpal 2015-2022 Cons'!$E$5:$E$1012,$A36)</f>
        <v>5.018301794762122</v>
      </c>
      <c r="H36" s="51">
        <f>SUMIFS('PIB Mpal 2015-2022 Cons'!L$5:L$1012,'PIB Mpal 2015-2022 Cons'!$A$5:$A$1012,$W$2,'PIB Mpal 2015-2022 Cons'!$E$5:$E$1012,$A36)</f>
        <v>14.381266599451642</v>
      </c>
      <c r="I36" s="51">
        <f>SUMIFS('PIB Mpal 2015-2022 Cons'!N$5:N$1012,'PIB Mpal 2015-2022 Cons'!$A$5:$A$1012,$W$2,'PIB Mpal 2015-2022 Cons'!$E$5:$E$1012,$A36)</f>
        <v>7.565445053946342</v>
      </c>
      <c r="J36" s="51">
        <f>SUMIFS('PIB Mpal 2015-2022 Cons'!O$5:O$1012,'PIB Mpal 2015-2022 Cons'!$A$5:$A$1012,$W$2,'PIB Mpal 2015-2022 Cons'!$E$5:$E$1012,$A36)</f>
        <v>22.740114832462375</v>
      </c>
      <c r="K36" s="51">
        <f>SUMIFS('PIB Mpal 2015-2022 Cons'!P$5:P$1012,'PIB Mpal 2015-2022 Cons'!$A$5:$A$1012,$W$2,'PIB Mpal 2015-2022 Cons'!$E$5:$E$1012,$A36)</f>
        <v>8.2223204397060918</v>
      </c>
      <c r="L36" s="51">
        <f>SUMIFS('PIB Mpal 2015-2022 Cons'!Q$5:Q$1012,'PIB Mpal 2015-2022 Cons'!$A$5:$A$1012,$W$2,'PIB Mpal 2015-2022 Cons'!$E$5:$E$1012,$A36)</f>
        <v>5.5863128266076396</v>
      </c>
      <c r="M36" s="51">
        <f>SUMIFS('PIB Mpal 2015-2022 Cons'!R$5:R$1012,'PIB Mpal 2015-2022 Cons'!$A$5:$A$1012,$W$2,'PIB Mpal 2015-2022 Cons'!$E$5:$E$1012,$A36)</f>
        <v>15.974094834280818</v>
      </c>
      <c r="N36" s="51">
        <f>SUMIFS('PIB Mpal 2015-2022 Cons'!S$5:S$1012,'PIB Mpal 2015-2022 Cons'!$A$5:$A$1012,$W$2,'PIB Mpal 2015-2022 Cons'!$E$5:$E$1012,$A36)</f>
        <v>16.495826549058762</v>
      </c>
      <c r="O36" s="51">
        <f>SUMIFS('PIB Mpal 2015-2022 Cons'!T$5:T$1012,'PIB Mpal 2015-2022 Cons'!$A$5:$A$1012,$W$2,'PIB Mpal 2015-2022 Cons'!$E$5:$E$1012,$A36)</f>
        <v>32.849917035379008</v>
      </c>
      <c r="P36" s="150">
        <f>SUMIFS('PIB Mpal 2015-2022 Cons'!U$5:U$1012,'PIB Mpal 2015-2022 Cons'!$A$5:$A$1012,$W$2,'PIB Mpal 2015-2022 Cons'!$E$5:$E$1012,$A36)</f>
        <v>6.4549876252805722</v>
      </c>
      <c r="Q36" s="217">
        <f>SUMIFS('PIB Mpal 2015-2022 Cons'!J$5:J$1012,'PIB Mpal 2015-2022 Cons'!$A$5:$A$1012,$W$2,'PIB Mpal 2015-2022 Cons'!$E$5:$E$1012,$A36)</f>
        <v>21.717585984255756</v>
      </c>
      <c r="R36" s="99">
        <f>SUMIFS('PIB Mpal 2015-2022 Cons'!M$5:M$1012,'PIB Mpal 2015-2022 Cons'!$A$5:$A$1012,$W$2,'PIB Mpal 2015-2022 Cons'!$E$5:$E$1012,$A36)</f>
        <v>19.399568394213766</v>
      </c>
      <c r="S36" s="53">
        <f>SUMIFS('PIB Mpal 2015-2022 Cons'!V$5:V$1012,'PIB Mpal 2015-2022 Cons'!$A$5:$A$1012,$W$2,'PIB Mpal 2015-2022 Cons'!$E$5:$E$1012,$A36)</f>
        <v>115.88901919672161</v>
      </c>
      <c r="T36" s="153">
        <f>SUMIFS('PIB Mpal 2015-2022 Cons'!W$5:W$1012,'PIB Mpal 2015-2022 Cons'!$A$5:$A$1012,$W$2,'PIB Mpal 2015-2022 Cons'!$E$5:$E$1012,$A36)</f>
        <v>157.00617357519113</v>
      </c>
      <c r="U36" s="51">
        <f>SUMIFS('PIB Mpal 2015-2022 Cons'!X$5:X$1012,'PIB Mpal 2015-2022 Cons'!$A$5:$A$1012,$W$2,'PIB Mpal 2015-2022 Cons'!$E$5:$E$1012,$A36)</f>
        <v>15.779422653417551</v>
      </c>
      <c r="V36" s="53">
        <f>SUMIFS('PIB Mpal 2015-2022 Cons'!Y$5:Y$1012,'PIB Mpal 2015-2022 Cons'!$A$5:$A$1012,$W$2,'PIB Mpal 2015-2022 Cons'!$E$5:$E$1012,$A36)</f>
        <v>172.78559622860868</v>
      </c>
      <c r="W36" s="92">
        <f t="shared" si="3"/>
        <v>1.4966756026129858E-3</v>
      </c>
      <c r="X36" s="268">
        <f>INDEX(POBLACION!$C$4:$W$128,MATCH(A36,POBLACION!$A$4:$A$128,0),MATCH($W$2,POBLACION!$C$3:$W$3,0))</f>
        <v>21171</v>
      </c>
      <c r="Y36" s="258">
        <f t="shared" si="5"/>
        <v>7416.0962436914233</v>
      </c>
      <c r="Z36" s="270">
        <f t="shared" si="6"/>
        <v>8161.428190855826</v>
      </c>
      <c r="AA36" s="273">
        <f t="shared" si="7"/>
        <v>3.8701753573059228</v>
      </c>
      <c r="AB36" s="273">
        <f t="shared" si="7"/>
        <v>3.9117661637948564</v>
      </c>
    </row>
    <row r="37" spans="1:28" x14ac:dyDescent="0.2">
      <c r="A37" s="35" t="s">
        <v>171</v>
      </c>
      <c r="B37" s="32" t="s">
        <v>160</v>
      </c>
      <c r="C37" s="33" t="s">
        <v>145</v>
      </c>
      <c r="D37" s="32" t="s">
        <v>172</v>
      </c>
      <c r="E37" s="51">
        <f>SUMIFS('PIB Mpal 2015-2022 Cons'!H$5:H$1012,'PIB Mpal 2015-2022 Cons'!$A$5:$A$1012,$W$2,'PIB Mpal 2015-2022 Cons'!$E$5:$E$1012,$A37)</f>
        <v>53.62253513062759</v>
      </c>
      <c r="F37" s="51">
        <f>SUMIFS('PIB Mpal 2015-2022 Cons'!I$5:I$1012,'PIB Mpal 2015-2022 Cons'!$A$5:$A$1012,$W$2,'PIB Mpal 2015-2022 Cons'!$E$5:$E$1012,$A37)</f>
        <v>1.020150221793557</v>
      </c>
      <c r="G37" s="51">
        <f>SUMIFS('PIB Mpal 2015-2022 Cons'!K$5:K$1012,'PIB Mpal 2015-2022 Cons'!$A$5:$A$1012,$W$2,'PIB Mpal 2015-2022 Cons'!$E$5:$E$1012,$A37)</f>
        <v>4.7358559481042342</v>
      </c>
      <c r="H37" s="51">
        <f>SUMIFS('PIB Mpal 2015-2022 Cons'!L$5:L$1012,'PIB Mpal 2015-2022 Cons'!$A$5:$A$1012,$W$2,'PIB Mpal 2015-2022 Cons'!$E$5:$E$1012,$A37)</f>
        <v>10.423544751236557</v>
      </c>
      <c r="I37" s="51">
        <f>SUMIFS('PIB Mpal 2015-2022 Cons'!N$5:N$1012,'PIB Mpal 2015-2022 Cons'!$A$5:$A$1012,$W$2,'PIB Mpal 2015-2022 Cons'!$E$5:$E$1012,$A37)</f>
        <v>4.4285460805584966</v>
      </c>
      <c r="J37" s="51">
        <f>SUMIFS('PIB Mpal 2015-2022 Cons'!O$5:O$1012,'PIB Mpal 2015-2022 Cons'!$A$5:$A$1012,$W$2,'PIB Mpal 2015-2022 Cons'!$E$5:$E$1012,$A37)</f>
        <v>21.429021109973963</v>
      </c>
      <c r="K37" s="51">
        <f>SUMIFS('PIB Mpal 2015-2022 Cons'!P$5:P$1012,'PIB Mpal 2015-2022 Cons'!$A$5:$A$1012,$W$2,'PIB Mpal 2015-2022 Cons'!$E$5:$E$1012,$A37)</f>
        <v>3.3774819503714157</v>
      </c>
      <c r="L37" s="51">
        <f>SUMIFS('PIB Mpal 2015-2022 Cons'!Q$5:Q$1012,'PIB Mpal 2015-2022 Cons'!$A$5:$A$1012,$W$2,'PIB Mpal 2015-2022 Cons'!$E$5:$E$1012,$A37)</f>
        <v>2.366770173078498</v>
      </c>
      <c r="M37" s="51">
        <f>SUMIFS('PIB Mpal 2015-2022 Cons'!R$5:R$1012,'PIB Mpal 2015-2022 Cons'!$A$5:$A$1012,$W$2,'PIB Mpal 2015-2022 Cons'!$E$5:$E$1012,$A37)</f>
        <v>10.318131546120881</v>
      </c>
      <c r="N37" s="51">
        <f>SUMIFS('PIB Mpal 2015-2022 Cons'!S$5:S$1012,'PIB Mpal 2015-2022 Cons'!$A$5:$A$1012,$W$2,'PIB Mpal 2015-2022 Cons'!$E$5:$E$1012,$A37)</f>
        <v>11.514589507581034</v>
      </c>
      <c r="O37" s="51">
        <f>SUMIFS('PIB Mpal 2015-2022 Cons'!T$5:T$1012,'PIB Mpal 2015-2022 Cons'!$A$5:$A$1012,$W$2,'PIB Mpal 2015-2022 Cons'!$E$5:$E$1012,$A37)</f>
        <v>18.461174026513167</v>
      </c>
      <c r="P37" s="150">
        <f>SUMIFS('PIB Mpal 2015-2022 Cons'!U$5:U$1012,'PIB Mpal 2015-2022 Cons'!$A$5:$A$1012,$W$2,'PIB Mpal 2015-2022 Cons'!$E$5:$E$1012,$A37)</f>
        <v>3.4474927035602776</v>
      </c>
      <c r="Q37" s="217">
        <f>SUMIFS('PIB Mpal 2015-2022 Cons'!J$5:J$1012,'PIB Mpal 2015-2022 Cons'!$A$5:$A$1012,$W$2,'PIB Mpal 2015-2022 Cons'!$E$5:$E$1012,$A37)</f>
        <v>54.642685352421147</v>
      </c>
      <c r="R37" s="99">
        <f>SUMIFS('PIB Mpal 2015-2022 Cons'!M$5:M$1012,'PIB Mpal 2015-2022 Cons'!$A$5:$A$1012,$W$2,'PIB Mpal 2015-2022 Cons'!$E$5:$E$1012,$A37)</f>
        <v>15.159400699340791</v>
      </c>
      <c r="S37" s="53">
        <f>SUMIFS('PIB Mpal 2015-2022 Cons'!V$5:V$1012,'PIB Mpal 2015-2022 Cons'!$A$5:$A$1012,$W$2,'PIB Mpal 2015-2022 Cons'!$E$5:$E$1012,$A37)</f>
        <v>75.343207097757727</v>
      </c>
      <c r="T37" s="153">
        <f>SUMIFS('PIB Mpal 2015-2022 Cons'!W$5:W$1012,'PIB Mpal 2015-2022 Cons'!$A$5:$A$1012,$W$2,'PIB Mpal 2015-2022 Cons'!$E$5:$E$1012,$A37)</f>
        <v>145.14529314951966</v>
      </c>
      <c r="U37" s="51">
        <f>SUMIFS('PIB Mpal 2015-2022 Cons'!X$5:X$1012,'PIB Mpal 2015-2022 Cons'!$A$5:$A$1012,$W$2,'PIB Mpal 2015-2022 Cons'!$E$5:$E$1012,$A37)</f>
        <v>14.587381340185278</v>
      </c>
      <c r="V37" s="53">
        <f>SUMIFS('PIB Mpal 2015-2022 Cons'!Y$5:Y$1012,'PIB Mpal 2015-2022 Cons'!$A$5:$A$1012,$W$2,'PIB Mpal 2015-2022 Cons'!$E$5:$E$1012,$A37)</f>
        <v>159.73267448970495</v>
      </c>
      <c r="W37" s="92">
        <f t="shared" si="3"/>
        <v>1.3836106832224467E-3</v>
      </c>
      <c r="X37" s="268">
        <f>INDEX(POBLACION!$C$4:$W$128,MATCH(A37,POBLACION!$A$4:$A$128,0),MATCH($W$2,POBLACION!$C$3:$W$3,0))</f>
        <v>12604</v>
      </c>
      <c r="Y37" s="258">
        <f t="shared" si="5"/>
        <v>11515.811896978708</v>
      </c>
      <c r="Z37" s="270">
        <f t="shared" si="6"/>
        <v>12673.173158497695</v>
      </c>
      <c r="AA37" s="273">
        <f t="shared" si="7"/>
        <v>4.0612945623564993</v>
      </c>
      <c r="AB37" s="273">
        <f t="shared" si="7"/>
        <v>4.1028853688444658</v>
      </c>
    </row>
    <row r="38" spans="1:28" x14ac:dyDescent="0.2">
      <c r="A38" s="35" t="s">
        <v>173</v>
      </c>
      <c r="B38" s="32" t="s">
        <v>160</v>
      </c>
      <c r="C38" s="33" t="s">
        <v>167</v>
      </c>
      <c r="D38" s="32" t="s">
        <v>174</v>
      </c>
      <c r="E38" s="51">
        <f>SUMIFS('PIB Mpal 2015-2022 Cons'!H$5:H$1012,'PIB Mpal 2015-2022 Cons'!$A$5:$A$1012,$W$2,'PIB Mpal 2015-2022 Cons'!$E$5:$E$1012,$A38)</f>
        <v>9.6341582193180066</v>
      </c>
      <c r="F38" s="51">
        <f>SUMIFS('PIB Mpal 2015-2022 Cons'!I$5:I$1012,'PIB Mpal 2015-2022 Cons'!$A$5:$A$1012,$W$2,'PIB Mpal 2015-2022 Cons'!$E$5:$E$1012,$A38)</f>
        <v>225.03309172689626</v>
      </c>
      <c r="G38" s="51">
        <f>SUMIFS('PIB Mpal 2015-2022 Cons'!K$5:K$1012,'PIB Mpal 2015-2022 Cons'!$A$5:$A$1012,$W$2,'PIB Mpal 2015-2022 Cons'!$E$5:$E$1012,$A38)</f>
        <v>16.743336525972236</v>
      </c>
      <c r="H38" s="51">
        <f>SUMIFS('PIB Mpal 2015-2022 Cons'!L$5:L$1012,'PIB Mpal 2015-2022 Cons'!$A$5:$A$1012,$W$2,'PIB Mpal 2015-2022 Cons'!$E$5:$E$1012,$A38)</f>
        <v>10.708440585548949</v>
      </c>
      <c r="I38" s="51">
        <f>SUMIFS('PIB Mpal 2015-2022 Cons'!N$5:N$1012,'PIB Mpal 2015-2022 Cons'!$A$5:$A$1012,$W$2,'PIB Mpal 2015-2022 Cons'!$E$5:$E$1012,$A38)</f>
        <v>21.418510345658692</v>
      </c>
      <c r="J38" s="51">
        <f>SUMIFS('PIB Mpal 2015-2022 Cons'!O$5:O$1012,'PIB Mpal 2015-2022 Cons'!$A$5:$A$1012,$W$2,'PIB Mpal 2015-2022 Cons'!$E$5:$E$1012,$A38)</f>
        <v>79.603619733088209</v>
      </c>
      <c r="K38" s="51">
        <f>SUMIFS('PIB Mpal 2015-2022 Cons'!P$5:P$1012,'PIB Mpal 2015-2022 Cons'!$A$5:$A$1012,$W$2,'PIB Mpal 2015-2022 Cons'!$E$5:$E$1012,$A38)</f>
        <v>10.368154152938901</v>
      </c>
      <c r="L38" s="51">
        <f>SUMIFS('PIB Mpal 2015-2022 Cons'!Q$5:Q$1012,'PIB Mpal 2015-2022 Cons'!$A$5:$A$1012,$W$2,'PIB Mpal 2015-2022 Cons'!$E$5:$E$1012,$A38)</f>
        <v>7.3078619169308885</v>
      </c>
      <c r="M38" s="51">
        <f>SUMIFS('PIB Mpal 2015-2022 Cons'!R$5:R$1012,'PIB Mpal 2015-2022 Cons'!$A$5:$A$1012,$W$2,'PIB Mpal 2015-2022 Cons'!$E$5:$E$1012,$A38)</f>
        <v>34.344831026121803</v>
      </c>
      <c r="N38" s="51">
        <f>SUMIFS('PIB Mpal 2015-2022 Cons'!S$5:S$1012,'PIB Mpal 2015-2022 Cons'!$A$5:$A$1012,$W$2,'PIB Mpal 2015-2022 Cons'!$E$5:$E$1012,$A38)</f>
        <v>42.679524965763157</v>
      </c>
      <c r="O38" s="51">
        <f>SUMIFS('PIB Mpal 2015-2022 Cons'!T$5:T$1012,'PIB Mpal 2015-2022 Cons'!$A$5:$A$1012,$W$2,'PIB Mpal 2015-2022 Cons'!$E$5:$E$1012,$A38)</f>
        <v>43.707196390656129</v>
      </c>
      <c r="P38" s="150">
        <f>SUMIFS('PIB Mpal 2015-2022 Cons'!U$5:U$1012,'PIB Mpal 2015-2022 Cons'!$A$5:$A$1012,$W$2,'PIB Mpal 2015-2022 Cons'!$E$5:$E$1012,$A38)</f>
        <v>8.7491072033324215</v>
      </c>
      <c r="Q38" s="217">
        <f>SUMIFS('PIB Mpal 2015-2022 Cons'!J$5:J$1012,'PIB Mpal 2015-2022 Cons'!$A$5:$A$1012,$W$2,'PIB Mpal 2015-2022 Cons'!$E$5:$E$1012,$A38)</f>
        <v>234.66724994621427</v>
      </c>
      <c r="R38" s="99">
        <f>SUMIFS('PIB Mpal 2015-2022 Cons'!M$5:M$1012,'PIB Mpal 2015-2022 Cons'!$A$5:$A$1012,$W$2,'PIB Mpal 2015-2022 Cons'!$E$5:$E$1012,$A38)</f>
        <v>27.451777111521185</v>
      </c>
      <c r="S38" s="53">
        <f>SUMIFS('PIB Mpal 2015-2022 Cons'!V$5:V$1012,'PIB Mpal 2015-2022 Cons'!$A$5:$A$1012,$W$2,'PIB Mpal 2015-2022 Cons'!$E$5:$E$1012,$A38)</f>
        <v>248.1788057344902</v>
      </c>
      <c r="T38" s="153">
        <f>SUMIFS('PIB Mpal 2015-2022 Cons'!W$5:W$1012,'PIB Mpal 2015-2022 Cons'!$A$5:$A$1012,$W$2,'PIB Mpal 2015-2022 Cons'!$E$5:$E$1012,$A38)</f>
        <v>510.29783279222568</v>
      </c>
      <c r="U38" s="51">
        <f>SUMIFS('PIB Mpal 2015-2022 Cons'!X$5:X$1012,'PIB Mpal 2015-2022 Cons'!$A$5:$A$1012,$W$2,'PIB Mpal 2015-2022 Cons'!$E$5:$E$1012,$A38)</f>
        <v>51.285914427241657</v>
      </c>
      <c r="V38" s="53">
        <f>SUMIFS('PIB Mpal 2015-2022 Cons'!Y$5:Y$1012,'PIB Mpal 2015-2022 Cons'!$A$5:$A$1012,$W$2,'PIB Mpal 2015-2022 Cons'!$E$5:$E$1012,$A38)</f>
        <v>561.58374721946734</v>
      </c>
      <c r="W38" s="92">
        <f t="shared" si="3"/>
        <v>4.8644604158745797E-3</v>
      </c>
      <c r="X38" s="268">
        <f>INDEX(POBLACION!$C$4:$W$128,MATCH(A38,POBLACION!$A$4:$A$128,0),MATCH($W$2,POBLACION!$C$3:$W$3,0))</f>
        <v>36088</v>
      </c>
      <c r="Y38" s="258">
        <f t="shared" si="5"/>
        <v>14140.374440041722</v>
      </c>
      <c r="Z38" s="270">
        <f t="shared" si="6"/>
        <v>15561.509288945559</v>
      </c>
      <c r="AA38" s="273">
        <f t="shared" si="7"/>
        <v>4.1504609098209118</v>
      </c>
      <c r="AB38" s="273">
        <f t="shared" si="7"/>
        <v>4.1920517163087334</v>
      </c>
    </row>
    <row r="39" spans="1:28" x14ac:dyDescent="0.2">
      <c r="A39" s="35" t="s">
        <v>175</v>
      </c>
      <c r="B39" s="32" t="s">
        <v>160</v>
      </c>
      <c r="C39" s="33" t="s">
        <v>167</v>
      </c>
      <c r="D39" s="32" t="s">
        <v>176</v>
      </c>
      <c r="E39" s="51">
        <f>SUMIFS('PIB Mpal 2015-2022 Cons'!H$5:H$1012,'PIB Mpal 2015-2022 Cons'!$A$5:$A$1012,$W$2,'PIB Mpal 2015-2022 Cons'!$E$5:$E$1012,$A39)</f>
        <v>18.906259697791551</v>
      </c>
      <c r="F39" s="51">
        <f>SUMIFS('PIB Mpal 2015-2022 Cons'!I$5:I$1012,'PIB Mpal 2015-2022 Cons'!$A$5:$A$1012,$W$2,'PIB Mpal 2015-2022 Cons'!$E$5:$E$1012,$A39)</f>
        <v>16.530923445963129</v>
      </c>
      <c r="G39" s="51">
        <f>SUMIFS('PIB Mpal 2015-2022 Cons'!K$5:K$1012,'PIB Mpal 2015-2022 Cons'!$A$5:$A$1012,$W$2,'PIB Mpal 2015-2022 Cons'!$E$5:$E$1012,$A39)</f>
        <v>1.5691728029175429</v>
      </c>
      <c r="H39" s="51">
        <f>SUMIFS('PIB Mpal 2015-2022 Cons'!L$5:L$1012,'PIB Mpal 2015-2022 Cons'!$A$5:$A$1012,$W$2,'PIB Mpal 2015-2022 Cons'!$E$5:$E$1012,$A39)</f>
        <v>9.4984299668623748</v>
      </c>
      <c r="I39" s="51">
        <f>SUMIFS('PIB Mpal 2015-2022 Cons'!N$5:N$1012,'PIB Mpal 2015-2022 Cons'!$A$5:$A$1012,$W$2,'PIB Mpal 2015-2022 Cons'!$E$5:$E$1012,$A39)</f>
        <v>4.9311447636387955</v>
      </c>
      <c r="J39" s="51">
        <f>SUMIFS('PIB Mpal 2015-2022 Cons'!O$5:O$1012,'PIB Mpal 2015-2022 Cons'!$A$5:$A$1012,$W$2,'PIB Mpal 2015-2022 Cons'!$E$5:$E$1012,$A39)</f>
        <v>23.400911944867197</v>
      </c>
      <c r="K39" s="51">
        <f>SUMIFS('PIB Mpal 2015-2022 Cons'!P$5:P$1012,'PIB Mpal 2015-2022 Cons'!$A$5:$A$1012,$W$2,'PIB Mpal 2015-2022 Cons'!$E$5:$E$1012,$A39)</f>
        <v>3.9678798183288269</v>
      </c>
      <c r="L39" s="51">
        <f>SUMIFS('PIB Mpal 2015-2022 Cons'!Q$5:Q$1012,'PIB Mpal 2015-2022 Cons'!$A$5:$A$1012,$W$2,'PIB Mpal 2015-2022 Cons'!$E$5:$E$1012,$A39)</f>
        <v>2.897638944483738</v>
      </c>
      <c r="M39" s="51">
        <f>SUMIFS('PIB Mpal 2015-2022 Cons'!R$5:R$1012,'PIB Mpal 2015-2022 Cons'!$A$5:$A$1012,$W$2,'PIB Mpal 2015-2022 Cons'!$E$5:$E$1012,$A39)</f>
        <v>6.2055763990410489</v>
      </c>
      <c r="N39" s="51">
        <f>SUMIFS('PIB Mpal 2015-2022 Cons'!S$5:S$1012,'PIB Mpal 2015-2022 Cons'!$A$5:$A$1012,$W$2,'PIB Mpal 2015-2022 Cons'!$E$5:$E$1012,$A39)</f>
        <v>11.640026655104625</v>
      </c>
      <c r="O39" s="51">
        <f>SUMIFS('PIB Mpal 2015-2022 Cons'!T$5:T$1012,'PIB Mpal 2015-2022 Cons'!$A$5:$A$1012,$W$2,'PIB Mpal 2015-2022 Cons'!$E$5:$E$1012,$A39)</f>
        <v>19.585845868707796</v>
      </c>
      <c r="P39" s="150">
        <f>SUMIFS('PIB Mpal 2015-2022 Cons'!U$5:U$1012,'PIB Mpal 2015-2022 Cons'!$A$5:$A$1012,$W$2,'PIB Mpal 2015-2022 Cons'!$E$5:$E$1012,$A39)</f>
        <v>2.5567565577986096</v>
      </c>
      <c r="Q39" s="217">
        <f>SUMIFS('PIB Mpal 2015-2022 Cons'!J$5:J$1012,'PIB Mpal 2015-2022 Cons'!$A$5:$A$1012,$W$2,'PIB Mpal 2015-2022 Cons'!$E$5:$E$1012,$A39)</f>
        <v>35.43718314375468</v>
      </c>
      <c r="R39" s="99">
        <f>SUMIFS('PIB Mpal 2015-2022 Cons'!M$5:M$1012,'PIB Mpal 2015-2022 Cons'!$A$5:$A$1012,$W$2,'PIB Mpal 2015-2022 Cons'!$E$5:$E$1012,$A39)</f>
        <v>11.067602769779917</v>
      </c>
      <c r="S39" s="53">
        <f>SUMIFS('PIB Mpal 2015-2022 Cons'!V$5:V$1012,'PIB Mpal 2015-2022 Cons'!$A$5:$A$1012,$W$2,'PIB Mpal 2015-2022 Cons'!$E$5:$E$1012,$A39)</f>
        <v>75.185780951970642</v>
      </c>
      <c r="T39" s="153">
        <f>SUMIFS('PIB Mpal 2015-2022 Cons'!W$5:W$1012,'PIB Mpal 2015-2022 Cons'!$A$5:$A$1012,$W$2,'PIB Mpal 2015-2022 Cons'!$E$5:$E$1012,$A39)</f>
        <v>121.69056686550525</v>
      </c>
      <c r="U39" s="51">
        <f>SUMIFS('PIB Mpal 2015-2022 Cons'!X$5:X$1012,'PIB Mpal 2015-2022 Cons'!$A$5:$A$1012,$W$2,'PIB Mpal 2015-2022 Cons'!$E$5:$E$1012,$A39)</f>
        <v>12.230136202634581</v>
      </c>
      <c r="V39" s="53">
        <f>SUMIFS('PIB Mpal 2015-2022 Cons'!Y$5:Y$1012,'PIB Mpal 2015-2022 Cons'!$A$5:$A$1012,$W$2,'PIB Mpal 2015-2022 Cons'!$E$5:$E$1012,$A39)</f>
        <v>133.92070306813983</v>
      </c>
      <c r="W39" s="92">
        <f t="shared" si="3"/>
        <v>1.1600263757036253E-3</v>
      </c>
      <c r="X39" s="268">
        <f>INDEX(POBLACION!$C$4:$W$128,MATCH(A39,POBLACION!$A$4:$A$128,0),MATCH($W$2,POBLACION!$C$3:$W$3,0))</f>
        <v>11750</v>
      </c>
      <c r="Y39" s="258">
        <f t="shared" si="5"/>
        <v>10356.643988553638</v>
      </c>
      <c r="Z39" s="270">
        <f t="shared" si="6"/>
        <v>11397.506644097006</v>
      </c>
      <c r="AA39" s="273">
        <f t="shared" si="7"/>
        <v>4.0152190475546101</v>
      </c>
      <c r="AB39" s="273">
        <f t="shared" si="7"/>
        <v>4.0568098540430126</v>
      </c>
    </row>
    <row r="40" spans="1:28" x14ac:dyDescent="0.2">
      <c r="A40" s="35" t="s">
        <v>177</v>
      </c>
      <c r="B40" s="32" t="s">
        <v>160</v>
      </c>
      <c r="C40" s="33" t="s">
        <v>167</v>
      </c>
      <c r="D40" s="32" t="s">
        <v>178</v>
      </c>
      <c r="E40" s="51">
        <f>SUMIFS('PIB Mpal 2015-2022 Cons'!H$5:H$1012,'PIB Mpal 2015-2022 Cons'!$A$5:$A$1012,$W$2,'PIB Mpal 2015-2022 Cons'!$E$5:$E$1012,$A40)</f>
        <v>10.382109670500597</v>
      </c>
      <c r="F40" s="51">
        <f>SUMIFS('PIB Mpal 2015-2022 Cons'!I$5:I$1012,'PIB Mpal 2015-2022 Cons'!$A$5:$A$1012,$W$2,'PIB Mpal 2015-2022 Cons'!$E$5:$E$1012,$A40)</f>
        <v>0.66076063930865025</v>
      </c>
      <c r="G40" s="51">
        <f>SUMIFS('PIB Mpal 2015-2022 Cons'!K$5:K$1012,'PIB Mpal 2015-2022 Cons'!$A$5:$A$1012,$W$2,'PIB Mpal 2015-2022 Cons'!$E$5:$E$1012,$A40)</f>
        <v>2.7526106845685447</v>
      </c>
      <c r="H40" s="51">
        <f>SUMIFS('PIB Mpal 2015-2022 Cons'!L$5:L$1012,'PIB Mpal 2015-2022 Cons'!$A$5:$A$1012,$W$2,'PIB Mpal 2015-2022 Cons'!$E$5:$E$1012,$A40)</f>
        <v>2.1948281845903894</v>
      </c>
      <c r="I40" s="51">
        <f>SUMIFS('PIB Mpal 2015-2022 Cons'!N$5:N$1012,'PIB Mpal 2015-2022 Cons'!$A$5:$A$1012,$W$2,'PIB Mpal 2015-2022 Cons'!$E$5:$E$1012,$A40)</f>
        <v>1.9495666233064219</v>
      </c>
      <c r="J40" s="51">
        <f>SUMIFS('PIB Mpal 2015-2022 Cons'!O$5:O$1012,'PIB Mpal 2015-2022 Cons'!$A$5:$A$1012,$W$2,'PIB Mpal 2015-2022 Cons'!$E$5:$E$1012,$A40)</f>
        <v>12.135585459331713</v>
      </c>
      <c r="K40" s="51">
        <f>SUMIFS('PIB Mpal 2015-2022 Cons'!P$5:P$1012,'PIB Mpal 2015-2022 Cons'!$A$5:$A$1012,$W$2,'PIB Mpal 2015-2022 Cons'!$E$5:$E$1012,$A40)</f>
        <v>2.2490472385794367</v>
      </c>
      <c r="L40" s="51">
        <f>SUMIFS('PIB Mpal 2015-2022 Cons'!Q$5:Q$1012,'PIB Mpal 2015-2022 Cons'!$A$5:$A$1012,$W$2,'PIB Mpal 2015-2022 Cons'!$E$5:$E$1012,$A40)</f>
        <v>1.3953760611682757</v>
      </c>
      <c r="M40" s="51">
        <f>SUMIFS('PIB Mpal 2015-2022 Cons'!R$5:R$1012,'PIB Mpal 2015-2022 Cons'!$A$5:$A$1012,$W$2,'PIB Mpal 2015-2022 Cons'!$E$5:$E$1012,$A40)</f>
        <v>4.0242556326898473</v>
      </c>
      <c r="N40" s="51">
        <f>SUMIFS('PIB Mpal 2015-2022 Cons'!S$5:S$1012,'PIB Mpal 2015-2022 Cons'!$A$5:$A$1012,$W$2,'PIB Mpal 2015-2022 Cons'!$E$5:$E$1012,$A40)</f>
        <v>6.2161407401411441</v>
      </c>
      <c r="O40" s="51">
        <f>SUMIFS('PIB Mpal 2015-2022 Cons'!T$5:T$1012,'PIB Mpal 2015-2022 Cons'!$A$5:$A$1012,$W$2,'PIB Mpal 2015-2022 Cons'!$E$5:$E$1012,$A40)</f>
        <v>11.780851760106325</v>
      </c>
      <c r="P40" s="150">
        <f>SUMIFS('PIB Mpal 2015-2022 Cons'!U$5:U$1012,'PIB Mpal 2015-2022 Cons'!$A$5:$A$1012,$W$2,'PIB Mpal 2015-2022 Cons'!$E$5:$E$1012,$A40)</f>
        <v>2.1088437157648481</v>
      </c>
      <c r="Q40" s="217">
        <f>SUMIFS('PIB Mpal 2015-2022 Cons'!J$5:J$1012,'PIB Mpal 2015-2022 Cons'!$A$5:$A$1012,$W$2,'PIB Mpal 2015-2022 Cons'!$E$5:$E$1012,$A40)</f>
        <v>11.042870309809247</v>
      </c>
      <c r="R40" s="99">
        <f>SUMIFS('PIB Mpal 2015-2022 Cons'!M$5:M$1012,'PIB Mpal 2015-2022 Cons'!$A$5:$A$1012,$W$2,'PIB Mpal 2015-2022 Cons'!$E$5:$E$1012,$A40)</f>
        <v>4.9474388691589342</v>
      </c>
      <c r="S40" s="53">
        <f>SUMIFS('PIB Mpal 2015-2022 Cons'!V$5:V$1012,'PIB Mpal 2015-2022 Cons'!$A$5:$A$1012,$W$2,'PIB Mpal 2015-2022 Cons'!$E$5:$E$1012,$A40)</f>
        <v>41.859667231088011</v>
      </c>
      <c r="T40" s="153">
        <f>SUMIFS('PIB Mpal 2015-2022 Cons'!W$5:W$1012,'PIB Mpal 2015-2022 Cons'!$A$5:$A$1012,$W$2,'PIB Mpal 2015-2022 Cons'!$E$5:$E$1012,$A40)</f>
        <v>57.849976410056193</v>
      </c>
      <c r="U40" s="51">
        <f>SUMIFS('PIB Mpal 2015-2022 Cons'!X$5:X$1012,'PIB Mpal 2015-2022 Cons'!$A$5:$A$1012,$W$2,'PIB Mpal 2015-2022 Cons'!$E$5:$E$1012,$A40)</f>
        <v>5.8140339801725816</v>
      </c>
      <c r="V40" s="53">
        <f>SUMIFS('PIB Mpal 2015-2022 Cons'!Y$5:Y$1012,'PIB Mpal 2015-2022 Cons'!$A$5:$A$1012,$W$2,'PIB Mpal 2015-2022 Cons'!$E$5:$E$1012,$A40)</f>
        <v>63.664010390228775</v>
      </c>
      <c r="W40" s="92">
        <f t="shared" si="3"/>
        <v>5.5146015174486226E-4</v>
      </c>
      <c r="X40" s="268">
        <f>INDEX(POBLACION!$C$4:$W$128,MATCH(A40,POBLACION!$A$4:$A$128,0),MATCH($W$2,POBLACION!$C$3:$W$3,0))</f>
        <v>7606</v>
      </c>
      <c r="Y40" s="258">
        <f t="shared" si="5"/>
        <v>7605.8343952216928</v>
      </c>
      <c r="Z40" s="270">
        <f t="shared" si="6"/>
        <v>8370.2353918260287</v>
      </c>
      <c r="AA40" s="273">
        <f t="shared" si="7"/>
        <v>3.8811468651165346</v>
      </c>
      <c r="AB40" s="273">
        <f t="shared" si="7"/>
        <v>3.9227376716054039</v>
      </c>
    </row>
    <row r="41" spans="1:28" ht="16" thickBot="1" x14ac:dyDescent="0.25">
      <c r="A41" s="35" t="s">
        <v>179</v>
      </c>
      <c r="B41" s="63" t="s">
        <v>160</v>
      </c>
      <c r="C41" s="62" t="s">
        <v>167</v>
      </c>
      <c r="D41" s="63" t="s">
        <v>180</v>
      </c>
      <c r="E41" s="96">
        <f>SUMIFS('PIB Mpal 2015-2022 Cons'!H$5:H$1012,'PIB Mpal 2015-2022 Cons'!$A$5:$A$1012,$W$2,'PIB Mpal 2015-2022 Cons'!$E$5:$E$1012,$A41)</f>
        <v>30.504189162586222</v>
      </c>
      <c r="F41" s="96">
        <f>SUMIFS('PIB Mpal 2015-2022 Cons'!I$5:I$1012,'PIB Mpal 2015-2022 Cons'!$A$5:$A$1012,$W$2,'PIB Mpal 2015-2022 Cons'!$E$5:$E$1012,$A41)</f>
        <v>0.78391511836080952</v>
      </c>
      <c r="G41" s="96">
        <f>SUMIFS('PIB Mpal 2015-2022 Cons'!K$5:K$1012,'PIB Mpal 2015-2022 Cons'!$A$5:$A$1012,$W$2,'PIB Mpal 2015-2022 Cons'!$E$5:$E$1012,$A41)</f>
        <v>7.2940422673192744</v>
      </c>
      <c r="H41" s="96">
        <f>SUMIFS('PIB Mpal 2015-2022 Cons'!L$5:L$1012,'PIB Mpal 2015-2022 Cons'!$A$5:$A$1012,$W$2,'PIB Mpal 2015-2022 Cons'!$E$5:$E$1012,$A41)</f>
        <v>17.019214719210627</v>
      </c>
      <c r="I41" s="96">
        <f>SUMIFS('PIB Mpal 2015-2022 Cons'!N$5:N$1012,'PIB Mpal 2015-2022 Cons'!$A$5:$A$1012,$W$2,'PIB Mpal 2015-2022 Cons'!$E$5:$E$1012,$A41)</f>
        <v>4.0664915323136812</v>
      </c>
      <c r="J41" s="96">
        <f>SUMIFS('PIB Mpal 2015-2022 Cons'!O$5:O$1012,'PIB Mpal 2015-2022 Cons'!$A$5:$A$1012,$W$2,'PIB Mpal 2015-2022 Cons'!$E$5:$E$1012,$A41)</f>
        <v>39.708619021017782</v>
      </c>
      <c r="K41" s="96">
        <f>SUMIFS('PIB Mpal 2015-2022 Cons'!P$5:P$1012,'PIB Mpal 2015-2022 Cons'!$A$5:$A$1012,$W$2,'PIB Mpal 2015-2022 Cons'!$E$5:$E$1012,$A41)</f>
        <v>5.1143700889768784</v>
      </c>
      <c r="L41" s="96">
        <f>SUMIFS('PIB Mpal 2015-2022 Cons'!Q$5:Q$1012,'PIB Mpal 2015-2022 Cons'!$A$5:$A$1012,$W$2,'PIB Mpal 2015-2022 Cons'!$E$5:$E$1012,$A41)</f>
        <v>3.7155727365054232</v>
      </c>
      <c r="M41" s="96">
        <f>SUMIFS('PIB Mpal 2015-2022 Cons'!R$5:R$1012,'PIB Mpal 2015-2022 Cons'!$A$5:$A$1012,$W$2,'PIB Mpal 2015-2022 Cons'!$E$5:$E$1012,$A41)</f>
        <v>10.284113638416361</v>
      </c>
      <c r="N41" s="96">
        <f>SUMIFS('PIB Mpal 2015-2022 Cons'!S$5:S$1012,'PIB Mpal 2015-2022 Cons'!$A$5:$A$1012,$W$2,'PIB Mpal 2015-2022 Cons'!$E$5:$E$1012,$A41)</f>
        <v>17.386721334389566</v>
      </c>
      <c r="O41" s="96">
        <f>SUMIFS('PIB Mpal 2015-2022 Cons'!T$5:T$1012,'PIB Mpal 2015-2022 Cons'!$A$5:$A$1012,$W$2,'PIB Mpal 2015-2022 Cons'!$E$5:$E$1012,$A41)</f>
        <v>39.736579337816558</v>
      </c>
      <c r="P41" s="151">
        <f>SUMIFS('PIB Mpal 2015-2022 Cons'!U$5:U$1012,'PIB Mpal 2015-2022 Cons'!$A$5:$A$1012,$W$2,'PIB Mpal 2015-2022 Cons'!$E$5:$E$1012,$A41)</f>
        <v>3.9031822919175179</v>
      </c>
      <c r="Q41" s="217">
        <f>SUMIFS('PIB Mpal 2015-2022 Cons'!J$5:J$1012,'PIB Mpal 2015-2022 Cons'!$A$5:$A$1012,$W$2,'PIB Mpal 2015-2022 Cons'!$E$5:$E$1012,$A41)</f>
        <v>31.288104280947032</v>
      </c>
      <c r="R41" s="99">
        <f>SUMIFS('PIB Mpal 2015-2022 Cons'!M$5:M$1012,'PIB Mpal 2015-2022 Cons'!$A$5:$A$1012,$W$2,'PIB Mpal 2015-2022 Cons'!$E$5:$E$1012,$A41)</f>
        <v>24.3132569865299</v>
      </c>
      <c r="S41" s="97">
        <f>SUMIFS('PIB Mpal 2015-2022 Cons'!V$5:V$1012,'PIB Mpal 2015-2022 Cons'!$A$5:$A$1012,$W$2,'PIB Mpal 2015-2022 Cons'!$E$5:$E$1012,$A41)</f>
        <v>123.91564998135377</v>
      </c>
      <c r="T41" s="154">
        <f>SUMIFS('PIB Mpal 2015-2022 Cons'!W$5:W$1012,'PIB Mpal 2015-2022 Cons'!$A$5:$A$1012,$W$2,'PIB Mpal 2015-2022 Cons'!$E$5:$E$1012,$A41)</f>
        <v>179.5170112488307</v>
      </c>
      <c r="U41" s="96">
        <f>SUMIFS('PIB Mpal 2015-2022 Cons'!X$5:X$1012,'PIB Mpal 2015-2022 Cons'!$A$5:$A$1012,$W$2,'PIB Mpal 2015-2022 Cons'!$E$5:$E$1012,$A41)</f>
        <v>18.041805168902773</v>
      </c>
      <c r="V41" s="97">
        <f>SUMIFS('PIB Mpal 2015-2022 Cons'!Y$5:Y$1012,'PIB Mpal 2015-2022 Cons'!$A$5:$A$1012,$W$2,'PIB Mpal 2015-2022 Cons'!$E$5:$E$1012,$A41)</f>
        <v>197.55881641773348</v>
      </c>
      <c r="W41" s="98">
        <f t="shared" si="3"/>
        <v>1.7112622062681088E-3</v>
      </c>
      <c r="X41" s="268">
        <f>INDEX(POBLACION!$C$4:$W$128,MATCH(A41,POBLACION!$A$4:$A$128,0),MATCH($W$2,POBLACION!$C$3:$W$3,0))</f>
        <v>22209</v>
      </c>
      <c r="Y41" s="258">
        <f t="shared" si="5"/>
        <v>8083.0749357841732</v>
      </c>
      <c r="Z41" s="270">
        <f t="shared" si="6"/>
        <v>8895.439525315569</v>
      </c>
      <c r="AA41" s="273">
        <f t="shared" si="7"/>
        <v>3.9075766050322152</v>
      </c>
      <c r="AB41" s="273">
        <f t="shared" si="7"/>
        <v>3.9491674115209374</v>
      </c>
    </row>
    <row r="42" spans="1:28" ht="16" thickBot="1" x14ac:dyDescent="0.25">
      <c r="A42" s="116" t="s">
        <v>181</v>
      </c>
      <c r="B42" s="119" t="s">
        <v>182</v>
      </c>
      <c r="C42" s="117"/>
      <c r="D42" s="112"/>
      <c r="E42" s="113">
        <f>SUM(E43:E59)</f>
        <v>634.34618985079533</v>
      </c>
      <c r="F42" s="113">
        <f t="shared" ref="F42:V42" si="14">SUM(F43:F59)</f>
        <v>17.103453227886021</v>
      </c>
      <c r="G42" s="113">
        <f t="shared" si="14"/>
        <v>678.57003408561354</v>
      </c>
      <c r="H42" s="113">
        <f t="shared" si="14"/>
        <v>216.28400202436666</v>
      </c>
      <c r="I42" s="113">
        <f t="shared" si="14"/>
        <v>267.74016121149356</v>
      </c>
      <c r="J42" s="113">
        <f t="shared" si="14"/>
        <v>473.00801463523374</v>
      </c>
      <c r="K42" s="113">
        <f t="shared" si="14"/>
        <v>77.728538186841277</v>
      </c>
      <c r="L42" s="113">
        <f t="shared" si="14"/>
        <v>68.643487974678621</v>
      </c>
      <c r="M42" s="113">
        <f t="shared" si="14"/>
        <v>180.22522310538611</v>
      </c>
      <c r="N42" s="113">
        <f t="shared" si="14"/>
        <v>285.72756221051742</v>
      </c>
      <c r="O42" s="113">
        <f t="shared" si="14"/>
        <v>402.9949297907097</v>
      </c>
      <c r="P42" s="123">
        <f t="shared" si="14"/>
        <v>62.448667038852719</v>
      </c>
      <c r="Q42" s="193">
        <f t="shared" si="14"/>
        <v>651.44964307868145</v>
      </c>
      <c r="R42" s="113">
        <f t="shared" si="14"/>
        <v>894.85403610998014</v>
      </c>
      <c r="S42" s="114">
        <f t="shared" si="14"/>
        <v>1818.5165841537132</v>
      </c>
      <c r="T42" s="186">
        <f t="shared" si="14"/>
        <v>3364.8202633423753</v>
      </c>
      <c r="U42" s="113">
        <f t="shared" si="14"/>
        <v>338.17091314226326</v>
      </c>
      <c r="V42" s="114">
        <f t="shared" si="14"/>
        <v>3702.9911764846374</v>
      </c>
      <c r="W42" s="115">
        <f t="shared" si="3"/>
        <v>3.2075454618352491E-2</v>
      </c>
      <c r="X42" s="208">
        <f t="shared" ref="X42" si="15">SUM(X43:X59)</f>
        <v>236100</v>
      </c>
      <c r="Y42" s="258">
        <f t="shared" si="5"/>
        <v>14251.674135291722</v>
      </c>
      <c r="Z42" s="270">
        <f t="shared" si="6"/>
        <v>15683.994817808712</v>
      </c>
      <c r="AA42" s="273">
        <f t="shared" si="7"/>
        <v>4.1538658836437143</v>
      </c>
      <c r="AB42" s="273">
        <f t="shared" si="7"/>
        <v>4.1954566901317749</v>
      </c>
    </row>
    <row r="43" spans="1:28" x14ac:dyDescent="0.2">
      <c r="A43" s="35" t="s">
        <v>183</v>
      </c>
      <c r="B43" s="101" t="s">
        <v>184</v>
      </c>
      <c r="C43" s="108" t="s">
        <v>145</v>
      </c>
      <c r="D43" s="101" t="s">
        <v>185</v>
      </c>
      <c r="E43" s="109">
        <f>SUMIFS('PIB Mpal 2015-2022 Cons'!H$5:H$1012,'PIB Mpal 2015-2022 Cons'!$A$5:$A$1012,$W$2,'PIB Mpal 2015-2022 Cons'!$E$5:$E$1012,$A43)</f>
        <v>26.736430991118876</v>
      </c>
      <c r="F43" s="109">
        <f>SUMIFS('PIB Mpal 2015-2022 Cons'!I$5:I$1012,'PIB Mpal 2015-2022 Cons'!$A$5:$A$1012,$W$2,'PIB Mpal 2015-2022 Cons'!$E$5:$E$1012,$A43)</f>
        <v>0</v>
      </c>
      <c r="G43" s="109">
        <f>SUMIFS('PIB Mpal 2015-2022 Cons'!K$5:K$1012,'PIB Mpal 2015-2022 Cons'!$A$5:$A$1012,$W$2,'PIB Mpal 2015-2022 Cons'!$E$5:$E$1012,$A43)</f>
        <v>7.0840182592666565</v>
      </c>
      <c r="H43" s="109">
        <f>SUMIFS('PIB Mpal 2015-2022 Cons'!L$5:L$1012,'PIB Mpal 2015-2022 Cons'!$A$5:$A$1012,$W$2,'PIB Mpal 2015-2022 Cons'!$E$5:$E$1012,$A43)</f>
        <v>16.433605831598697</v>
      </c>
      <c r="I43" s="109">
        <f>SUMIFS('PIB Mpal 2015-2022 Cons'!N$5:N$1012,'PIB Mpal 2015-2022 Cons'!$A$5:$A$1012,$W$2,'PIB Mpal 2015-2022 Cons'!$E$5:$E$1012,$A43)</f>
        <v>3.9186837020420211</v>
      </c>
      <c r="J43" s="109">
        <f>SUMIFS('PIB Mpal 2015-2022 Cons'!O$5:O$1012,'PIB Mpal 2015-2022 Cons'!$A$5:$A$1012,$W$2,'PIB Mpal 2015-2022 Cons'!$E$5:$E$1012,$A43)</f>
        <v>17.146682150992401</v>
      </c>
      <c r="K43" s="109">
        <f>SUMIFS('PIB Mpal 2015-2022 Cons'!P$5:P$1012,'PIB Mpal 2015-2022 Cons'!$A$5:$A$1012,$W$2,'PIB Mpal 2015-2022 Cons'!$E$5:$E$1012,$A43)</f>
        <v>3.146608692140517</v>
      </c>
      <c r="L43" s="109">
        <f>SUMIFS('PIB Mpal 2015-2022 Cons'!Q$5:Q$1012,'PIB Mpal 2015-2022 Cons'!$A$5:$A$1012,$W$2,'PIB Mpal 2015-2022 Cons'!$E$5:$E$1012,$A43)</f>
        <v>2.6408615829837574</v>
      </c>
      <c r="M43" s="109">
        <f>SUMIFS('PIB Mpal 2015-2022 Cons'!R$5:R$1012,'PIB Mpal 2015-2022 Cons'!$A$5:$A$1012,$W$2,'PIB Mpal 2015-2022 Cons'!$E$5:$E$1012,$A43)</f>
        <v>7.0240284807192737</v>
      </c>
      <c r="N43" s="109">
        <f>SUMIFS('PIB Mpal 2015-2022 Cons'!S$5:S$1012,'PIB Mpal 2015-2022 Cons'!$A$5:$A$1012,$W$2,'PIB Mpal 2015-2022 Cons'!$E$5:$E$1012,$A43)</f>
        <v>9.8666505362304751</v>
      </c>
      <c r="O43" s="109">
        <f>SUMIFS('PIB Mpal 2015-2022 Cons'!T$5:T$1012,'PIB Mpal 2015-2022 Cons'!$A$5:$A$1012,$W$2,'PIB Mpal 2015-2022 Cons'!$E$5:$E$1012,$A43)</f>
        <v>19.566333098581254</v>
      </c>
      <c r="P43" s="182">
        <f>SUMIFS('PIB Mpal 2015-2022 Cons'!U$5:U$1012,'PIB Mpal 2015-2022 Cons'!$A$5:$A$1012,$W$2,'PIB Mpal 2015-2022 Cons'!$E$5:$E$1012,$A43)</f>
        <v>2.8032193830280958</v>
      </c>
      <c r="Q43" s="217">
        <f>SUMIFS('PIB Mpal 2015-2022 Cons'!J$5:J$1012,'PIB Mpal 2015-2022 Cons'!$A$5:$A$1012,$W$2,'PIB Mpal 2015-2022 Cons'!$E$5:$E$1012,$A43)</f>
        <v>26.736430991118876</v>
      </c>
      <c r="R43" s="99">
        <f>SUMIFS('PIB Mpal 2015-2022 Cons'!M$5:M$1012,'PIB Mpal 2015-2022 Cons'!$A$5:$A$1012,$W$2,'PIB Mpal 2015-2022 Cons'!$E$5:$E$1012,$A43)</f>
        <v>23.517624090865354</v>
      </c>
      <c r="S43" s="110">
        <f>SUMIFS('PIB Mpal 2015-2022 Cons'!V$5:V$1012,'PIB Mpal 2015-2022 Cons'!$A$5:$A$1012,$W$2,'PIB Mpal 2015-2022 Cons'!$E$5:$E$1012,$A43)</f>
        <v>66.113067626717793</v>
      </c>
      <c r="T43" s="187">
        <f>SUMIFS('PIB Mpal 2015-2022 Cons'!W$5:W$1012,'PIB Mpal 2015-2022 Cons'!$A$5:$A$1012,$W$2,'PIB Mpal 2015-2022 Cons'!$E$5:$E$1012,$A43)</f>
        <v>116.36712270870203</v>
      </c>
      <c r="U43" s="109">
        <f>SUMIFS('PIB Mpal 2015-2022 Cons'!X$5:X$1012,'PIB Mpal 2015-2022 Cons'!$A$5:$A$1012,$W$2,'PIB Mpal 2015-2022 Cons'!$E$5:$E$1012,$A43)</f>
        <v>11.695119818130008</v>
      </c>
      <c r="V43" s="110">
        <f>SUMIFS('PIB Mpal 2015-2022 Cons'!Y$5:Y$1012,'PIB Mpal 2015-2022 Cons'!$A$5:$A$1012,$W$2,'PIB Mpal 2015-2022 Cons'!$E$5:$E$1012,$A43)</f>
        <v>128.06224252683202</v>
      </c>
      <c r="W43" s="100">
        <f t="shared" si="3"/>
        <v>1.1092801610165792E-3</v>
      </c>
      <c r="X43" s="268">
        <f>INDEX(POBLACION!$C$4:$W$128,MATCH(A43,POBLACION!$A$4:$A$128,0),MATCH($W$2,POBLACION!$C$3:$W$3,0))</f>
        <v>11538</v>
      </c>
      <c r="Y43" s="258">
        <f t="shared" si="5"/>
        <v>10085.554056916453</v>
      </c>
      <c r="Z43" s="270">
        <f t="shared" si="6"/>
        <v>11099.171652524876</v>
      </c>
      <c r="AA43" s="273">
        <f t="shared" si="7"/>
        <v>4.0036997614731211</v>
      </c>
      <c r="AB43" s="273">
        <f t="shared" si="7"/>
        <v>4.0452905679613043</v>
      </c>
    </row>
    <row r="44" spans="1:28" x14ac:dyDescent="0.2">
      <c r="A44" s="35" t="s">
        <v>186</v>
      </c>
      <c r="B44" s="32" t="s">
        <v>184</v>
      </c>
      <c r="C44" s="33" t="s">
        <v>145</v>
      </c>
      <c r="D44" s="32" t="s">
        <v>187</v>
      </c>
      <c r="E44" s="51">
        <f>SUMIFS('PIB Mpal 2015-2022 Cons'!H$5:H$1012,'PIB Mpal 2015-2022 Cons'!$A$5:$A$1012,$W$2,'PIB Mpal 2015-2022 Cons'!$E$5:$E$1012,$A44)</f>
        <v>14.613103649666801</v>
      </c>
      <c r="F44" s="51">
        <f>SUMIFS('PIB Mpal 2015-2022 Cons'!I$5:I$1012,'PIB Mpal 2015-2022 Cons'!$A$5:$A$1012,$W$2,'PIB Mpal 2015-2022 Cons'!$E$5:$E$1012,$A44)</f>
        <v>0</v>
      </c>
      <c r="G44" s="51">
        <f>SUMIFS('PIB Mpal 2015-2022 Cons'!K$5:K$1012,'PIB Mpal 2015-2022 Cons'!$A$5:$A$1012,$W$2,'PIB Mpal 2015-2022 Cons'!$E$5:$E$1012,$A44)</f>
        <v>3.9939967662984337</v>
      </c>
      <c r="H44" s="51">
        <f>SUMIFS('PIB Mpal 2015-2022 Cons'!L$5:L$1012,'PIB Mpal 2015-2022 Cons'!$A$5:$A$1012,$W$2,'PIB Mpal 2015-2022 Cons'!$E$5:$E$1012,$A44)</f>
        <v>1.1386470447120784</v>
      </c>
      <c r="I44" s="51">
        <f>SUMIFS('PIB Mpal 2015-2022 Cons'!N$5:N$1012,'PIB Mpal 2015-2022 Cons'!$A$5:$A$1012,$W$2,'PIB Mpal 2015-2022 Cons'!$E$5:$E$1012,$A44)</f>
        <v>2.4071819445244396</v>
      </c>
      <c r="J44" s="51">
        <f>SUMIFS('PIB Mpal 2015-2022 Cons'!O$5:O$1012,'PIB Mpal 2015-2022 Cons'!$A$5:$A$1012,$W$2,'PIB Mpal 2015-2022 Cons'!$E$5:$E$1012,$A44)</f>
        <v>9.9912377878616496</v>
      </c>
      <c r="K44" s="51">
        <f>SUMIFS('PIB Mpal 2015-2022 Cons'!P$5:P$1012,'PIB Mpal 2015-2022 Cons'!$A$5:$A$1012,$W$2,'PIB Mpal 2015-2022 Cons'!$E$5:$E$1012,$A44)</f>
        <v>1.7819791294707641</v>
      </c>
      <c r="L44" s="51">
        <f>SUMIFS('PIB Mpal 2015-2022 Cons'!Q$5:Q$1012,'PIB Mpal 2015-2022 Cons'!$A$5:$A$1012,$W$2,'PIB Mpal 2015-2022 Cons'!$E$5:$E$1012,$A44)</f>
        <v>1.1119065624281324</v>
      </c>
      <c r="M44" s="51">
        <f>SUMIFS('PIB Mpal 2015-2022 Cons'!R$5:R$1012,'PIB Mpal 2015-2022 Cons'!$A$5:$A$1012,$W$2,'PIB Mpal 2015-2022 Cons'!$E$5:$E$1012,$A44)</f>
        <v>6.4288002237058413</v>
      </c>
      <c r="N44" s="51">
        <f>SUMIFS('PIB Mpal 2015-2022 Cons'!S$5:S$1012,'PIB Mpal 2015-2022 Cons'!$A$5:$A$1012,$W$2,'PIB Mpal 2015-2022 Cons'!$E$5:$E$1012,$A44)</f>
        <v>5.4109595468808687</v>
      </c>
      <c r="O44" s="51">
        <f>SUMIFS('PIB Mpal 2015-2022 Cons'!T$5:T$1012,'PIB Mpal 2015-2022 Cons'!$A$5:$A$1012,$W$2,'PIB Mpal 2015-2022 Cons'!$E$5:$E$1012,$A44)</f>
        <v>9.6651635302194112</v>
      </c>
      <c r="P44" s="150">
        <f>SUMIFS('PIB Mpal 2015-2022 Cons'!U$5:U$1012,'PIB Mpal 2015-2022 Cons'!$A$5:$A$1012,$W$2,'PIB Mpal 2015-2022 Cons'!$E$5:$E$1012,$A44)</f>
        <v>1.5929174360214153</v>
      </c>
      <c r="Q44" s="217">
        <f>SUMIFS('PIB Mpal 2015-2022 Cons'!J$5:J$1012,'PIB Mpal 2015-2022 Cons'!$A$5:$A$1012,$W$2,'PIB Mpal 2015-2022 Cons'!$E$5:$E$1012,$A44)</f>
        <v>14.613103649666801</v>
      </c>
      <c r="R44" s="99">
        <f>SUMIFS('PIB Mpal 2015-2022 Cons'!M$5:M$1012,'PIB Mpal 2015-2022 Cons'!$A$5:$A$1012,$W$2,'PIB Mpal 2015-2022 Cons'!$E$5:$E$1012,$A44)</f>
        <v>5.1326438110105119</v>
      </c>
      <c r="S44" s="53">
        <f>SUMIFS('PIB Mpal 2015-2022 Cons'!V$5:V$1012,'PIB Mpal 2015-2022 Cons'!$A$5:$A$1012,$W$2,'PIB Mpal 2015-2022 Cons'!$E$5:$E$1012,$A44)</f>
        <v>38.390146161112519</v>
      </c>
      <c r="T44" s="153">
        <f>SUMIFS('PIB Mpal 2015-2022 Cons'!W$5:W$1012,'PIB Mpal 2015-2022 Cons'!$A$5:$A$1012,$W$2,'PIB Mpal 2015-2022 Cons'!$E$5:$E$1012,$A44)</f>
        <v>58.135893621789833</v>
      </c>
      <c r="U44" s="51">
        <f>SUMIFS('PIB Mpal 2015-2022 Cons'!X$5:X$1012,'PIB Mpal 2015-2022 Cons'!$A$5:$A$1012,$W$2,'PIB Mpal 2015-2022 Cons'!$E$5:$E$1012,$A44)</f>
        <v>5.842769210250701</v>
      </c>
      <c r="V44" s="53">
        <f>SUMIFS('PIB Mpal 2015-2022 Cons'!Y$5:Y$1012,'PIB Mpal 2015-2022 Cons'!$A$5:$A$1012,$W$2,'PIB Mpal 2015-2022 Cons'!$E$5:$E$1012,$A44)</f>
        <v>63.978662832040534</v>
      </c>
      <c r="W44" s="92">
        <f t="shared" si="3"/>
        <v>5.5418568352089744E-4</v>
      </c>
      <c r="X44" s="268">
        <f>INDEX(POBLACION!$C$4:$W$128,MATCH(A44,POBLACION!$A$4:$A$128,0),MATCH($W$2,POBLACION!$C$3:$W$3,0))</f>
        <v>5946</v>
      </c>
      <c r="Y44" s="258">
        <f t="shared" si="5"/>
        <v>9777.3114062882323</v>
      </c>
      <c r="Z44" s="270">
        <f t="shared" si="6"/>
        <v>10759.950022206616</v>
      </c>
      <c r="AA44" s="273">
        <f t="shared" si="7"/>
        <v>3.9902194476363628</v>
      </c>
      <c r="AB44" s="273">
        <f t="shared" si="7"/>
        <v>4.0318102541249532</v>
      </c>
    </row>
    <row r="45" spans="1:28" x14ac:dyDescent="0.2">
      <c r="A45" s="35" t="s">
        <v>188</v>
      </c>
      <c r="B45" s="32" t="s">
        <v>184</v>
      </c>
      <c r="C45" s="33" t="s">
        <v>145</v>
      </c>
      <c r="D45" s="32" t="s">
        <v>189</v>
      </c>
      <c r="E45" s="51">
        <f>SUMIFS('PIB Mpal 2015-2022 Cons'!H$5:H$1012,'PIB Mpal 2015-2022 Cons'!$A$5:$A$1012,$W$2,'PIB Mpal 2015-2022 Cons'!$E$5:$E$1012,$A45)</f>
        <v>11.239933404299936</v>
      </c>
      <c r="F45" s="51">
        <f>SUMIFS('PIB Mpal 2015-2022 Cons'!I$5:I$1012,'PIB Mpal 2015-2022 Cons'!$A$5:$A$1012,$W$2,'PIB Mpal 2015-2022 Cons'!$E$5:$E$1012,$A45)</f>
        <v>0.17652596985275615</v>
      </c>
      <c r="G45" s="51">
        <f>SUMIFS('PIB Mpal 2015-2022 Cons'!K$5:K$1012,'PIB Mpal 2015-2022 Cons'!$A$5:$A$1012,$W$2,'PIB Mpal 2015-2022 Cons'!$E$5:$E$1012,$A45)</f>
        <v>0.47002521062695379</v>
      </c>
      <c r="H45" s="51">
        <f>SUMIFS('PIB Mpal 2015-2022 Cons'!L$5:L$1012,'PIB Mpal 2015-2022 Cons'!$A$5:$A$1012,$W$2,'PIB Mpal 2015-2022 Cons'!$E$5:$E$1012,$A45)</f>
        <v>4.7251794102636335</v>
      </c>
      <c r="I45" s="51">
        <f>SUMIFS('PIB Mpal 2015-2022 Cons'!N$5:N$1012,'PIB Mpal 2015-2022 Cons'!$A$5:$A$1012,$W$2,'PIB Mpal 2015-2022 Cons'!$E$5:$E$1012,$A45)</f>
        <v>1.2593834364613483</v>
      </c>
      <c r="J45" s="51">
        <f>SUMIFS('PIB Mpal 2015-2022 Cons'!O$5:O$1012,'PIB Mpal 2015-2022 Cons'!$A$5:$A$1012,$W$2,'PIB Mpal 2015-2022 Cons'!$E$5:$E$1012,$A45)</f>
        <v>6.6323349812751848</v>
      </c>
      <c r="K45" s="51">
        <f>SUMIFS('PIB Mpal 2015-2022 Cons'!P$5:P$1012,'PIB Mpal 2015-2022 Cons'!$A$5:$A$1012,$W$2,'PIB Mpal 2015-2022 Cons'!$E$5:$E$1012,$A45)</f>
        <v>2.3326762479577909</v>
      </c>
      <c r="L45" s="51">
        <f>SUMIFS('PIB Mpal 2015-2022 Cons'!Q$5:Q$1012,'PIB Mpal 2015-2022 Cons'!$A$5:$A$1012,$W$2,'PIB Mpal 2015-2022 Cons'!$E$5:$E$1012,$A45)</f>
        <v>1.7965532430730464</v>
      </c>
      <c r="M45" s="51">
        <f>SUMIFS('PIB Mpal 2015-2022 Cons'!R$5:R$1012,'PIB Mpal 2015-2022 Cons'!$A$5:$A$1012,$W$2,'PIB Mpal 2015-2022 Cons'!$E$5:$E$1012,$A45)</f>
        <v>4.1867634987848046</v>
      </c>
      <c r="N45" s="51">
        <f>SUMIFS('PIB Mpal 2015-2022 Cons'!S$5:S$1012,'PIB Mpal 2015-2022 Cons'!$A$5:$A$1012,$W$2,'PIB Mpal 2015-2022 Cons'!$E$5:$E$1012,$A45)</f>
        <v>6.6418594766174293</v>
      </c>
      <c r="O45" s="51">
        <f>SUMIFS('PIB Mpal 2015-2022 Cons'!T$5:T$1012,'PIB Mpal 2015-2022 Cons'!$A$5:$A$1012,$W$2,'PIB Mpal 2015-2022 Cons'!$E$5:$E$1012,$A45)</f>
        <v>16.718730559707801</v>
      </c>
      <c r="P45" s="150">
        <f>SUMIFS('PIB Mpal 2015-2022 Cons'!U$5:U$1012,'PIB Mpal 2015-2022 Cons'!$A$5:$A$1012,$W$2,'PIB Mpal 2015-2022 Cons'!$E$5:$E$1012,$A45)</f>
        <v>2.3594924314251373</v>
      </c>
      <c r="Q45" s="217">
        <f>SUMIFS('PIB Mpal 2015-2022 Cons'!J$5:J$1012,'PIB Mpal 2015-2022 Cons'!$A$5:$A$1012,$W$2,'PIB Mpal 2015-2022 Cons'!$E$5:$E$1012,$A45)</f>
        <v>11.416459374152693</v>
      </c>
      <c r="R45" s="99">
        <f>SUMIFS('PIB Mpal 2015-2022 Cons'!M$5:M$1012,'PIB Mpal 2015-2022 Cons'!$A$5:$A$1012,$W$2,'PIB Mpal 2015-2022 Cons'!$E$5:$E$1012,$A45)</f>
        <v>5.1952046208905873</v>
      </c>
      <c r="S45" s="53">
        <f>SUMIFS('PIB Mpal 2015-2022 Cons'!V$5:V$1012,'PIB Mpal 2015-2022 Cons'!$A$5:$A$1012,$W$2,'PIB Mpal 2015-2022 Cons'!$E$5:$E$1012,$A45)</f>
        <v>41.927793875302541</v>
      </c>
      <c r="T45" s="153">
        <f>SUMIFS('PIB Mpal 2015-2022 Cons'!W$5:W$1012,'PIB Mpal 2015-2022 Cons'!$A$5:$A$1012,$W$2,'PIB Mpal 2015-2022 Cons'!$E$5:$E$1012,$A45)</f>
        <v>58.539457870345821</v>
      </c>
      <c r="U45" s="51">
        <f>SUMIFS('PIB Mpal 2015-2022 Cons'!X$5:X$1012,'PIB Mpal 2015-2022 Cons'!$A$5:$A$1012,$W$2,'PIB Mpal 2015-2022 Cons'!$E$5:$E$1012,$A45)</f>
        <v>5.8833281940566051</v>
      </c>
      <c r="V45" s="53">
        <f>SUMIFS('PIB Mpal 2015-2022 Cons'!Y$5:Y$1012,'PIB Mpal 2015-2022 Cons'!$A$5:$A$1012,$W$2,'PIB Mpal 2015-2022 Cons'!$E$5:$E$1012,$A45)</f>
        <v>64.42278606440243</v>
      </c>
      <c r="W45" s="92">
        <f t="shared" si="3"/>
        <v>5.5803269635610058E-4</v>
      </c>
      <c r="X45" s="268">
        <f>INDEX(POBLACION!$C$4:$W$128,MATCH(A45,POBLACION!$A$4:$A$128,0),MATCH($W$2,POBLACION!$C$3:$W$3,0))</f>
        <v>8088</v>
      </c>
      <c r="Y45" s="258">
        <f t="shared" si="5"/>
        <v>7237.8162549883555</v>
      </c>
      <c r="Z45" s="270">
        <f t="shared" si="6"/>
        <v>7965.2307201288859</v>
      </c>
      <c r="AA45" s="273">
        <f t="shared" si="7"/>
        <v>3.8596075535638974</v>
      </c>
      <c r="AB45" s="273">
        <f t="shared" si="7"/>
        <v>3.9011983600527342</v>
      </c>
    </row>
    <row r="46" spans="1:28" x14ac:dyDescent="0.2">
      <c r="A46" s="35" t="s">
        <v>190</v>
      </c>
      <c r="B46" s="32" t="s">
        <v>184</v>
      </c>
      <c r="C46" s="33" t="s">
        <v>145</v>
      </c>
      <c r="D46" s="32" t="s">
        <v>191</v>
      </c>
      <c r="E46" s="51">
        <f>SUMIFS('PIB Mpal 2015-2022 Cons'!H$5:H$1012,'PIB Mpal 2015-2022 Cons'!$A$5:$A$1012,$W$2,'PIB Mpal 2015-2022 Cons'!$E$5:$E$1012,$A46)</f>
        <v>4.1320853436208633</v>
      </c>
      <c r="F46" s="51">
        <f>SUMIFS('PIB Mpal 2015-2022 Cons'!I$5:I$1012,'PIB Mpal 2015-2022 Cons'!$A$5:$A$1012,$W$2,'PIB Mpal 2015-2022 Cons'!$E$5:$E$1012,$A46)</f>
        <v>0</v>
      </c>
      <c r="G46" s="51">
        <f>SUMIFS('PIB Mpal 2015-2022 Cons'!K$5:K$1012,'PIB Mpal 2015-2022 Cons'!$A$5:$A$1012,$W$2,'PIB Mpal 2015-2022 Cons'!$E$5:$E$1012,$A46)</f>
        <v>4.9820365911770548</v>
      </c>
      <c r="H46" s="51">
        <f>SUMIFS('PIB Mpal 2015-2022 Cons'!L$5:L$1012,'PIB Mpal 2015-2022 Cons'!$A$5:$A$1012,$W$2,'PIB Mpal 2015-2022 Cons'!$E$5:$E$1012,$A46)</f>
        <v>0.83721332956255523</v>
      </c>
      <c r="I46" s="51">
        <f>SUMIFS('PIB Mpal 2015-2022 Cons'!N$5:N$1012,'PIB Mpal 2015-2022 Cons'!$A$5:$A$1012,$W$2,'PIB Mpal 2015-2022 Cons'!$E$5:$E$1012,$A46)</f>
        <v>2.9850951828177101</v>
      </c>
      <c r="J46" s="51">
        <f>SUMIFS('PIB Mpal 2015-2022 Cons'!O$5:O$1012,'PIB Mpal 2015-2022 Cons'!$A$5:$A$1012,$W$2,'PIB Mpal 2015-2022 Cons'!$E$5:$E$1012,$A46)</f>
        <v>9.9308745300141883</v>
      </c>
      <c r="K46" s="51">
        <f>SUMIFS('PIB Mpal 2015-2022 Cons'!P$5:P$1012,'PIB Mpal 2015-2022 Cons'!$A$5:$A$1012,$W$2,'PIB Mpal 2015-2022 Cons'!$E$5:$E$1012,$A46)</f>
        <v>2.4405377611404302</v>
      </c>
      <c r="L46" s="51">
        <f>SUMIFS('PIB Mpal 2015-2022 Cons'!Q$5:Q$1012,'PIB Mpal 2015-2022 Cons'!$A$5:$A$1012,$W$2,'PIB Mpal 2015-2022 Cons'!$E$5:$E$1012,$A46)</f>
        <v>1.9300695346564438</v>
      </c>
      <c r="M46" s="51">
        <f>SUMIFS('PIB Mpal 2015-2022 Cons'!R$5:R$1012,'PIB Mpal 2015-2022 Cons'!$A$5:$A$1012,$W$2,'PIB Mpal 2015-2022 Cons'!$E$5:$E$1012,$A46)</f>
        <v>4.4157349871800342</v>
      </c>
      <c r="N46" s="51">
        <f>SUMIFS('PIB Mpal 2015-2022 Cons'!S$5:S$1012,'PIB Mpal 2015-2022 Cons'!$A$5:$A$1012,$W$2,'PIB Mpal 2015-2022 Cons'!$E$5:$E$1012,$A46)</f>
        <v>6.9739788259563396</v>
      </c>
      <c r="O46" s="51">
        <f>SUMIFS('PIB Mpal 2015-2022 Cons'!T$5:T$1012,'PIB Mpal 2015-2022 Cons'!$A$5:$A$1012,$W$2,'PIB Mpal 2015-2022 Cons'!$E$5:$E$1012,$A46)</f>
        <v>15.594446814915422</v>
      </c>
      <c r="P46" s="150">
        <f>SUMIFS('PIB Mpal 2015-2022 Cons'!U$5:U$1012,'PIB Mpal 2015-2022 Cons'!$A$5:$A$1012,$W$2,'PIB Mpal 2015-2022 Cons'!$E$5:$E$1012,$A46)</f>
        <v>1.91102823672948</v>
      </c>
      <c r="Q46" s="217">
        <f>SUMIFS('PIB Mpal 2015-2022 Cons'!J$5:J$1012,'PIB Mpal 2015-2022 Cons'!$A$5:$A$1012,$W$2,'PIB Mpal 2015-2022 Cons'!$E$5:$E$1012,$A46)</f>
        <v>4.1320853436208633</v>
      </c>
      <c r="R46" s="99">
        <f>SUMIFS('PIB Mpal 2015-2022 Cons'!M$5:M$1012,'PIB Mpal 2015-2022 Cons'!$A$5:$A$1012,$W$2,'PIB Mpal 2015-2022 Cons'!$E$5:$E$1012,$A46)</f>
        <v>5.81924992073961</v>
      </c>
      <c r="S46" s="53">
        <f>SUMIFS('PIB Mpal 2015-2022 Cons'!V$5:V$1012,'PIB Mpal 2015-2022 Cons'!$A$5:$A$1012,$W$2,'PIB Mpal 2015-2022 Cons'!$E$5:$E$1012,$A46)</f>
        <v>46.181765873410043</v>
      </c>
      <c r="T46" s="153">
        <f>SUMIFS('PIB Mpal 2015-2022 Cons'!W$5:W$1012,'PIB Mpal 2015-2022 Cons'!$A$5:$A$1012,$W$2,'PIB Mpal 2015-2022 Cons'!$E$5:$E$1012,$A46)</f>
        <v>56.133101137770517</v>
      </c>
      <c r="U46" s="51">
        <f>SUMIFS('PIB Mpal 2015-2022 Cons'!X$5:X$1012,'PIB Mpal 2015-2022 Cons'!$A$5:$A$1012,$W$2,'PIB Mpal 2015-2022 Cons'!$E$5:$E$1012,$A46)</f>
        <v>5.6414847106891912</v>
      </c>
      <c r="V46" s="53">
        <f>SUMIFS('PIB Mpal 2015-2022 Cons'!Y$5:Y$1012,'PIB Mpal 2015-2022 Cons'!$A$5:$A$1012,$W$2,'PIB Mpal 2015-2022 Cons'!$E$5:$E$1012,$A46)</f>
        <v>61.774585848459708</v>
      </c>
      <c r="W46" s="92">
        <f t="shared" si="3"/>
        <v>5.3509388235454505E-4</v>
      </c>
      <c r="X46" s="268">
        <f>INDEX(POBLACION!$C$4:$W$128,MATCH(A46,POBLACION!$A$4:$A$128,0),MATCH($W$2,POBLACION!$C$3:$W$3,0))</f>
        <v>9273</v>
      </c>
      <c r="Y46" s="258">
        <f t="shared" si="5"/>
        <v>6053.3916896118317</v>
      </c>
      <c r="Z46" s="270">
        <f t="shared" si="6"/>
        <v>6661.7692061317493</v>
      </c>
      <c r="AA46" s="273">
        <f t="shared" si="7"/>
        <v>3.7819987761979328</v>
      </c>
      <c r="AB46" s="273">
        <f t="shared" si="7"/>
        <v>3.8235895826872395</v>
      </c>
    </row>
    <row r="47" spans="1:28" x14ac:dyDescent="0.2">
      <c r="A47" s="35" t="s">
        <v>192</v>
      </c>
      <c r="B47" s="32" t="s">
        <v>184</v>
      </c>
      <c r="C47" s="33" t="s">
        <v>145</v>
      </c>
      <c r="D47" s="32" t="s">
        <v>193</v>
      </c>
      <c r="E47" s="51">
        <f>SUMIFS('PIB Mpal 2015-2022 Cons'!H$5:H$1012,'PIB Mpal 2015-2022 Cons'!$A$5:$A$1012,$W$2,'PIB Mpal 2015-2022 Cons'!$E$5:$E$1012,$A47)</f>
        <v>4.9779141317947868</v>
      </c>
      <c r="F47" s="51">
        <f>SUMIFS('PIB Mpal 2015-2022 Cons'!I$5:I$1012,'PIB Mpal 2015-2022 Cons'!$A$5:$A$1012,$W$2,'PIB Mpal 2015-2022 Cons'!$E$5:$E$1012,$A47)</f>
        <v>0</v>
      </c>
      <c r="G47" s="51">
        <f>SUMIFS('PIB Mpal 2015-2022 Cons'!K$5:K$1012,'PIB Mpal 2015-2022 Cons'!$A$5:$A$1012,$W$2,'PIB Mpal 2015-2022 Cons'!$E$5:$E$1012,$A47)</f>
        <v>0.37702172514256282</v>
      </c>
      <c r="H47" s="51">
        <f>SUMIFS('PIB Mpal 2015-2022 Cons'!L$5:L$1012,'PIB Mpal 2015-2022 Cons'!$A$5:$A$1012,$W$2,'PIB Mpal 2015-2022 Cons'!$E$5:$E$1012,$A47)</f>
        <v>2.6758663913478742</v>
      </c>
      <c r="I47" s="51">
        <f>SUMIFS('PIB Mpal 2015-2022 Cons'!N$5:N$1012,'PIB Mpal 2015-2022 Cons'!$A$5:$A$1012,$W$2,'PIB Mpal 2015-2022 Cons'!$E$5:$E$1012,$A47)</f>
        <v>11.725970498926673</v>
      </c>
      <c r="J47" s="51">
        <f>SUMIFS('PIB Mpal 2015-2022 Cons'!O$5:O$1012,'PIB Mpal 2015-2022 Cons'!$A$5:$A$1012,$W$2,'PIB Mpal 2015-2022 Cons'!$E$5:$E$1012,$A47)</f>
        <v>2.6765934670499423</v>
      </c>
      <c r="K47" s="51">
        <f>SUMIFS('PIB Mpal 2015-2022 Cons'!P$5:P$1012,'PIB Mpal 2015-2022 Cons'!$A$5:$A$1012,$W$2,'PIB Mpal 2015-2022 Cons'!$E$5:$E$1012,$A47)</f>
        <v>0.91837162711976772</v>
      </c>
      <c r="L47" s="51">
        <f>SUMIFS('PIB Mpal 2015-2022 Cons'!Q$5:Q$1012,'PIB Mpal 2015-2022 Cons'!$A$5:$A$1012,$W$2,'PIB Mpal 2015-2022 Cons'!$E$5:$E$1012,$A47)</f>
        <v>0.50533927446725491</v>
      </c>
      <c r="M47" s="51">
        <f>SUMIFS('PIB Mpal 2015-2022 Cons'!R$5:R$1012,'PIB Mpal 2015-2022 Cons'!$A$5:$A$1012,$W$2,'PIB Mpal 2015-2022 Cons'!$E$5:$E$1012,$A47)</f>
        <v>2.0467764551644905</v>
      </c>
      <c r="N47" s="51">
        <f>SUMIFS('PIB Mpal 2015-2022 Cons'!S$5:S$1012,'PIB Mpal 2015-2022 Cons'!$A$5:$A$1012,$W$2,'PIB Mpal 2015-2022 Cons'!$E$5:$E$1012,$A47)</f>
        <v>2.9443129212531693</v>
      </c>
      <c r="O47" s="51">
        <f>SUMIFS('PIB Mpal 2015-2022 Cons'!T$5:T$1012,'PIB Mpal 2015-2022 Cons'!$A$5:$A$1012,$W$2,'PIB Mpal 2015-2022 Cons'!$E$5:$E$1012,$A47)</f>
        <v>4.8366615472711807</v>
      </c>
      <c r="P47" s="150">
        <f>SUMIFS('PIB Mpal 2015-2022 Cons'!U$5:U$1012,'PIB Mpal 2015-2022 Cons'!$A$5:$A$1012,$W$2,'PIB Mpal 2015-2022 Cons'!$E$5:$E$1012,$A47)</f>
        <v>0.88184506171210975</v>
      </c>
      <c r="Q47" s="217">
        <f>SUMIFS('PIB Mpal 2015-2022 Cons'!J$5:J$1012,'PIB Mpal 2015-2022 Cons'!$A$5:$A$1012,$W$2,'PIB Mpal 2015-2022 Cons'!$E$5:$E$1012,$A47)</f>
        <v>4.9779141317947868</v>
      </c>
      <c r="R47" s="99">
        <f>SUMIFS('PIB Mpal 2015-2022 Cons'!M$5:M$1012,'PIB Mpal 2015-2022 Cons'!$A$5:$A$1012,$W$2,'PIB Mpal 2015-2022 Cons'!$E$5:$E$1012,$A47)</f>
        <v>3.0528881164904371</v>
      </c>
      <c r="S47" s="53">
        <f>SUMIFS('PIB Mpal 2015-2022 Cons'!V$5:V$1012,'PIB Mpal 2015-2022 Cons'!$A$5:$A$1012,$W$2,'PIB Mpal 2015-2022 Cons'!$E$5:$E$1012,$A47)</f>
        <v>26.535870852964589</v>
      </c>
      <c r="T47" s="153">
        <f>SUMIFS('PIB Mpal 2015-2022 Cons'!W$5:W$1012,'PIB Mpal 2015-2022 Cons'!$A$5:$A$1012,$W$2,'PIB Mpal 2015-2022 Cons'!$E$5:$E$1012,$A47)</f>
        <v>34.566673101249812</v>
      </c>
      <c r="U47" s="51">
        <f>SUMIFS('PIB Mpal 2015-2022 Cons'!X$5:X$1012,'PIB Mpal 2015-2022 Cons'!$A$5:$A$1012,$W$2,'PIB Mpal 2015-2022 Cons'!$E$5:$E$1012,$A47)</f>
        <v>3.4740171814181497</v>
      </c>
      <c r="V47" s="53">
        <f>SUMIFS('PIB Mpal 2015-2022 Cons'!Y$5:Y$1012,'PIB Mpal 2015-2022 Cons'!$A$5:$A$1012,$W$2,'PIB Mpal 2015-2022 Cons'!$E$5:$E$1012,$A47)</f>
        <v>38.04069028266796</v>
      </c>
      <c r="W47" s="92">
        <f t="shared" si="3"/>
        <v>3.295099492974935E-4</v>
      </c>
      <c r="X47" s="268">
        <f>INDEX(POBLACION!$C$4:$W$128,MATCH(A47,POBLACION!$A$4:$A$128,0),MATCH($W$2,POBLACION!$C$3:$W$3,0))</f>
        <v>3932</v>
      </c>
      <c r="Y47" s="258">
        <f t="shared" si="5"/>
        <v>8791.1172688834722</v>
      </c>
      <c r="Z47" s="270">
        <f t="shared" si="6"/>
        <v>9674.6414757548227</v>
      </c>
      <c r="AA47" s="273">
        <f t="shared" si="7"/>
        <v>3.9440440733531674</v>
      </c>
      <c r="AB47" s="273">
        <f t="shared" si="7"/>
        <v>3.9856348798422312</v>
      </c>
    </row>
    <row r="48" spans="1:28" x14ac:dyDescent="0.2">
      <c r="A48" s="35" t="s">
        <v>194</v>
      </c>
      <c r="B48" s="32" t="s">
        <v>184</v>
      </c>
      <c r="C48" s="33" t="s">
        <v>145</v>
      </c>
      <c r="D48" s="32" t="s">
        <v>195</v>
      </c>
      <c r="E48" s="51">
        <f>SUMIFS('PIB Mpal 2015-2022 Cons'!H$5:H$1012,'PIB Mpal 2015-2022 Cons'!$A$5:$A$1012,$W$2,'PIB Mpal 2015-2022 Cons'!$E$5:$E$1012,$A48)</f>
        <v>114.17011653279326</v>
      </c>
      <c r="F48" s="51">
        <f>SUMIFS('PIB Mpal 2015-2022 Cons'!I$5:I$1012,'PIB Mpal 2015-2022 Cons'!$A$5:$A$1012,$W$2,'PIB Mpal 2015-2022 Cons'!$E$5:$E$1012,$A48)</f>
        <v>1.4485996543951245</v>
      </c>
      <c r="G48" s="51">
        <f>SUMIFS('PIB Mpal 2015-2022 Cons'!K$5:K$1012,'PIB Mpal 2015-2022 Cons'!$A$5:$A$1012,$W$2,'PIB Mpal 2015-2022 Cons'!$E$5:$E$1012,$A48)</f>
        <v>34.673142526750965</v>
      </c>
      <c r="H48" s="51">
        <f>SUMIFS('PIB Mpal 2015-2022 Cons'!L$5:L$1012,'PIB Mpal 2015-2022 Cons'!$A$5:$A$1012,$W$2,'PIB Mpal 2015-2022 Cons'!$E$5:$E$1012,$A48)</f>
        <v>5.4989548759626956</v>
      </c>
      <c r="I48" s="51">
        <f>SUMIFS('PIB Mpal 2015-2022 Cons'!N$5:N$1012,'PIB Mpal 2015-2022 Cons'!$A$5:$A$1012,$W$2,'PIB Mpal 2015-2022 Cons'!$E$5:$E$1012,$A48)</f>
        <v>3.5905504036288782</v>
      </c>
      <c r="J48" s="51">
        <f>SUMIFS('PIB Mpal 2015-2022 Cons'!O$5:O$1012,'PIB Mpal 2015-2022 Cons'!$A$5:$A$1012,$W$2,'PIB Mpal 2015-2022 Cons'!$E$5:$E$1012,$A48)</f>
        <v>46.700847770713395</v>
      </c>
      <c r="K48" s="51">
        <f>SUMIFS('PIB Mpal 2015-2022 Cons'!P$5:P$1012,'PIB Mpal 2015-2022 Cons'!$A$5:$A$1012,$W$2,'PIB Mpal 2015-2022 Cons'!$E$5:$E$1012,$A48)</f>
        <v>9.5756051770351736</v>
      </c>
      <c r="L48" s="51">
        <f>SUMIFS('PIB Mpal 2015-2022 Cons'!Q$5:Q$1012,'PIB Mpal 2015-2022 Cons'!$A$5:$A$1012,$W$2,'PIB Mpal 2015-2022 Cons'!$E$5:$E$1012,$A48)</f>
        <v>10.082309828995399</v>
      </c>
      <c r="M48" s="51">
        <f>SUMIFS('PIB Mpal 2015-2022 Cons'!R$5:R$1012,'PIB Mpal 2015-2022 Cons'!$A$5:$A$1012,$W$2,'PIB Mpal 2015-2022 Cons'!$E$5:$E$1012,$A48)</f>
        <v>21.434870441320793</v>
      </c>
      <c r="N48" s="51">
        <f>SUMIFS('PIB Mpal 2015-2022 Cons'!S$5:S$1012,'PIB Mpal 2015-2022 Cons'!$A$5:$A$1012,$W$2,'PIB Mpal 2015-2022 Cons'!$E$5:$E$1012,$A48)</f>
        <v>25.083297762474054</v>
      </c>
      <c r="O48" s="51">
        <f>SUMIFS('PIB Mpal 2015-2022 Cons'!T$5:T$1012,'PIB Mpal 2015-2022 Cons'!$A$5:$A$1012,$W$2,'PIB Mpal 2015-2022 Cons'!$E$5:$E$1012,$A48)</f>
        <v>27.466579670379623</v>
      </c>
      <c r="P48" s="150">
        <f>SUMIFS('PIB Mpal 2015-2022 Cons'!U$5:U$1012,'PIB Mpal 2015-2022 Cons'!$A$5:$A$1012,$W$2,'PIB Mpal 2015-2022 Cons'!$E$5:$E$1012,$A48)</f>
        <v>7.2366691423024996</v>
      </c>
      <c r="Q48" s="217">
        <f>SUMIFS('PIB Mpal 2015-2022 Cons'!J$5:J$1012,'PIB Mpal 2015-2022 Cons'!$A$5:$A$1012,$W$2,'PIB Mpal 2015-2022 Cons'!$E$5:$E$1012,$A48)</f>
        <v>115.61871618718838</v>
      </c>
      <c r="R48" s="99">
        <f>SUMIFS('PIB Mpal 2015-2022 Cons'!M$5:M$1012,'PIB Mpal 2015-2022 Cons'!$A$5:$A$1012,$W$2,'PIB Mpal 2015-2022 Cons'!$E$5:$E$1012,$A48)</f>
        <v>40.172097402713661</v>
      </c>
      <c r="S48" s="53">
        <f>SUMIFS('PIB Mpal 2015-2022 Cons'!V$5:V$1012,'PIB Mpal 2015-2022 Cons'!$A$5:$A$1012,$W$2,'PIB Mpal 2015-2022 Cons'!$E$5:$E$1012,$A48)</f>
        <v>151.17073019684983</v>
      </c>
      <c r="T48" s="153">
        <f>SUMIFS('PIB Mpal 2015-2022 Cons'!W$5:W$1012,'PIB Mpal 2015-2022 Cons'!$A$5:$A$1012,$W$2,'PIB Mpal 2015-2022 Cons'!$E$5:$E$1012,$A48)</f>
        <v>306.96154378675186</v>
      </c>
      <c r="U48" s="51">
        <f>SUMIFS('PIB Mpal 2015-2022 Cons'!X$5:X$1012,'PIB Mpal 2015-2022 Cons'!$A$5:$A$1012,$W$2,'PIB Mpal 2015-2022 Cons'!$E$5:$E$1012,$A48)</f>
        <v>30.85022599639764</v>
      </c>
      <c r="V48" s="53">
        <f>SUMIFS('PIB Mpal 2015-2022 Cons'!Y$5:Y$1012,'PIB Mpal 2015-2022 Cons'!$A$5:$A$1012,$W$2,'PIB Mpal 2015-2022 Cons'!$E$5:$E$1012,$A48)</f>
        <v>337.81176978314949</v>
      </c>
      <c r="W48" s="92">
        <f t="shared" si="3"/>
        <v>2.9261387820835121E-3</v>
      </c>
      <c r="X48" s="268">
        <f>INDEX(POBLACION!$C$4:$W$128,MATCH(A48,POBLACION!$A$4:$A$128,0),MATCH($W$2,POBLACION!$C$3:$W$3,0))</f>
        <v>18084</v>
      </c>
      <c r="Y48" s="258">
        <f t="shared" si="5"/>
        <v>16974.206137289973</v>
      </c>
      <c r="Z48" s="270">
        <f t="shared" si="6"/>
        <v>18680.146526385171</v>
      </c>
      <c r="AA48" s="273">
        <f t="shared" si="7"/>
        <v>4.2297894720095961</v>
      </c>
      <c r="AB48" s="273">
        <f t="shared" si="7"/>
        <v>4.2713802784974444</v>
      </c>
    </row>
    <row r="49" spans="1:28" x14ac:dyDescent="0.2">
      <c r="A49" s="35" t="s">
        <v>196</v>
      </c>
      <c r="B49" s="32" t="s">
        <v>184</v>
      </c>
      <c r="C49" s="33" t="s">
        <v>145</v>
      </c>
      <c r="D49" s="32" t="s">
        <v>197</v>
      </c>
      <c r="E49" s="51">
        <f>SUMIFS('PIB Mpal 2015-2022 Cons'!H$5:H$1012,'PIB Mpal 2015-2022 Cons'!$A$5:$A$1012,$W$2,'PIB Mpal 2015-2022 Cons'!$E$5:$E$1012,$A49)</f>
        <v>44.793161587845852</v>
      </c>
      <c r="F49" s="51">
        <f>SUMIFS('PIB Mpal 2015-2022 Cons'!I$5:I$1012,'PIB Mpal 2015-2022 Cons'!$A$5:$A$1012,$W$2,'PIB Mpal 2015-2022 Cons'!$E$5:$E$1012,$A49)</f>
        <v>0</v>
      </c>
      <c r="G49" s="51">
        <f>SUMIFS('PIB Mpal 2015-2022 Cons'!K$5:K$1012,'PIB Mpal 2015-2022 Cons'!$A$5:$A$1012,$W$2,'PIB Mpal 2015-2022 Cons'!$E$5:$E$1012,$A49)</f>
        <v>114.36658243095501</v>
      </c>
      <c r="H49" s="51">
        <f>SUMIFS('PIB Mpal 2015-2022 Cons'!L$5:L$1012,'PIB Mpal 2015-2022 Cons'!$A$5:$A$1012,$W$2,'PIB Mpal 2015-2022 Cons'!$E$5:$E$1012,$A49)</f>
        <v>41.604184987883393</v>
      </c>
      <c r="I49" s="51">
        <f>SUMIFS('PIB Mpal 2015-2022 Cons'!N$5:N$1012,'PIB Mpal 2015-2022 Cons'!$A$5:$A$1012,$W$2,'PIB Mpal 2015-2022 Cons'!$E$5:$E$1012,$A49)</f>
        <v>5.6480742962173052</v>
      </c>
      <c r="J49" s="51">
        <f>SUMIFS('PIB Mpal 2015-2022 Cons'!O$5:O$1012,'PIB Mpal 2015-2022 Cons'!$A$5:$A$1012,$W$2,'PIB Mpal 2015-2022 Cons'!$E$5:$E$1012,$A49)</f>
        <v>30.224965511017466</v>
      </c>
      <c r="K49" s="51">
        <f>SUMIFS('PIB Mpal 2015-2022 Cons'!P$5:P$1012,'PIB Mpal 2015-2022 Cons'!$A$5:$A$1012,$W$2,'PIB Mpal 2015-2022 Cons'!$E$5:$E$1012,$A49)</f>
        <v>3.1395899679129675</v>
      </c>
      <c r="L49" s="51">
        <f>SUMIFS('PIB Mpal 2015-2022 Cons'!Q$5:Q$1012,'PIB Mpal 2015-2022 Cons'!$A$5:$A$1012,$W$2,'PIB Mpal 2015-2022 Cons'!$E$5:$E$1012,$A49)</f>
        <v>3.372706391716815</v>
      </c>
      <c r="M49" s="51">
        <f>SUMIFS('PIB Mpal 2015-2022 Cons'!R$5:R$1012,'PIB Mpal 2015-2022 Cons'!$A$5:$A$1012,$W$2,'PIB Mpal 2015-2022 Cons'!$E$5:$E$1012,$A49)</f>
        <v>8.7453471445248407</v>
      </c>
      <c r="N49" s="51">
        <f>SUMIFS('PIB Mpal 2015-2022 Cons'!S$5:S$1012,'PIB Mpal 2015-2022 Cons'!$A$5:$A$1012,$W$2,'PIB Mpal 2015-2022 Cons'!$E$5:$E$1012,$A49)</f>
        <v>18.644038210232853</v>
      </c>
      <c r="O49" s="51">
        <f>SUMIFS('PIB Mpal 2015-2022 Cons'!T$5:T$1012,'PIB Mpal 2015-2022 Cons'!$A$5:$A$1012,$W$2,'PIB Mpal 2015-2022 Cons'!$E$5:$E$1012,$A49)</f>
        <v>10.616916303043842</v>
      </c>
      <c r="P49" s="150">
        <f>SUMIFS('PIB Mpal 2015-2022 Cons'!U$5:U$1012,'PIB Mpal 2015-2022 Cons'!$A$5:$A$1012,$W$2,'PIB Mpal 2015-2022 Cons'!$E$5:$E$1012,$A49)</f>
        <v>3.7173609858976708</v>
      </c>
      <c r="Q49" s="217">
        <f>SUMIFS('PIB Mpal 2015-2022 Cons'!J$5:J$1012,'PIB Mpal 2015-2022 Cons'!$A$5:$A$1012,$W$2,'PIB Mpal 2015-2022 Cons'!$E$5:$E$1012,$A49)</f>
        <v>44.793161587845852</v>
      </c>
      <c r="R49" s="99">
        <f>SUMIFS('PIB Mpal 2015-2022 Cons'!M$5:M$1012,'PIB Mpal 2015-2022 Cons'!$A$5:$A$1012,$W$2,'PIB Mpal 2015-2022 Cons'!$E$5:$E$1012,$A49)</f>
        <v>155.97076741883839</v>
      </c>
      <c r="S49" s="53">
        <f>SUMIFS('PIB Mpal 2015-2022 Cons'!V$5:V$1012,'PIB Mpal 2015-2022 Cons'!$A$5:$A$1012,$W$2,'PIB Mpal 2015-2022 Cons'!$E$5:$E$1012,$A49)</f>
        <v>84.108998810563762</v>
      </c>
      <c r="T49" s="153">
        <f>SUMIFS('PIB Mpal 2015-2022 Cons'!W$5:W$1012,'PIB Mpal 2015-2022 Cons'!$A$5:$A$1012,$W$2,'PIB Mpal 2015-2022 Cons'!$E$5:$E$1012,$A49)</f>
        <v>284.87292781724801</v>
      </c>
      <c r="U49" s="51">
        <f>SUMIFS('PIB Mpal 2015-2022 Cons'!X$5:X$1012,'PIB Mpal 2015-2022 Cons'!$A$5:$A$1012,$W$2,'PIB Mpal 2015-2022 Cons'!$E$5:$E$1012,$A49)</f>
        <v>28.630277574216368</v>
      </c>
      <c r="V49" s="53">
        <f>SUMIFS('PIB Mpal 2015-2022 Cons'!Y$5:Y$1012,'PIB Mpal 2015-2022 Cons'!$A$5:$A$1012,$W$2,'PIB Mpal 2015-2022 Cons'!$E$5:$E$1012,$A49)</f>
        <v>313.50320539146441</v>
      </c>
      <c r="W49" s="92">
        <f t="shared" si="3"/>
        <v>2.7155770451465651E-3</v>
      </c>
      <c r="X49" s="268">
        <f>INDEX(POBLACION!$C$4:$W$128,MATCH(A49,POBLACION!$A$4:$A$128,0),MATCH($W$2,POBLACION!$C$3:$W$3,0))</f>
        <v>10594</v>
      </c>
      <c r="Y49" s="258">
        <f t="shared" si="5"/>
        <v>26890.025280087597</v>
      </c>
      <c r="Z49" s="270">
        <f t="shared" si="6"/>
        <v>29592.524579145218</v>
      </c>
      <c r="AA49" s="273">
        <f t="shared" si="7"/>
        <v>4.42959121051625</v>
      </c>
      <c r="AB49" s="273">
        <f t="shared" si="7"/>
        <v>4.4711820170032288</v>
      </c>
    </row>
    <row r="50" spans="1:28" x14ac:dyDescent="0.2">
      <c r="A50" s="35" t="s">
        <v>198</v>
      </c>
      <c r="B50" s="32" t="s">
        <v>184</v>
      </c>
      <c r="C50" s="33" t="s">
        <v>145</v>
      </c>
      <c r="D50" s="32" t="s">
        <v>199</v>
      </c>
      <c r="E50" s="51">
        <f>SUMIFS('PIB Mpal 2015-2022 Cons'!H$5:H$1012,'PIB Mpal 2015-2022 Cons'!$A$5:$A$1012,$W$2,'PIB Mpal 2015-2022 Cons'!$E$5:$E$1012,$A50)</f>
        <v>15.433708059667801</v>
      </c>
      <c r="F50" s="51">
        <f>SUMIFS('PIB Mpal 2015-2022 Cons'!I$5:I$1012,'PIB Mpal 2015-2022 Cons'!$A$5:$A$1012,$W$2,'PIB Mpal 2015-2022 Cons'!$E$5:$E$1012,$A50)</f>
        <v>0.88234292794756009</v>
      </c>
      <c r="G50" s="51">
        <f>SUMIFS('PIB Mpal 2015-2022 Cons'!K$5:K$1012,'PIB Mpal 2015-2022 Cons'!$A$5:$A$1012,$W$2,'PIB Mpal 2015-2022 Cons'!$E$5:$E$1012,$A50)</f>
        <v>13.478555003244679</v>
      </c>
      <c r="H50" s="51">
        <f>SUMIFS('PIB Mpal 2015-2022 Cons'!L$5:L$1012,'PIB Mpal 2015-2022 Cons'!$A$5:$A$1012,$W$2,'PIB Mpal 2015-2022 Cons'!$E$5:$E$1012,$A50)</f>
        <v>8.1443326794753244</v>
      </c>
      <c r="I50" s="51">
        <f>SUMIFS('PIB Mpal 2015-2022 Cons'!N$5:N$1012,'PIB Mpal 2015-2022 Cons'!$A$5:$A$1012,$W$2,'PIB Mpal 2015-2022 Cons'!$E$5:$E$1012,$A50)</f>
        <v>128.14038011222465</v>
      </c>
      <c r="J50" s="51">
        <f>SUMIFS('PIB Mpal 2015-2022 Cons'!O$5:O$1012,'PIB Mpal 2015-2022 Cons'!$A$5:$A$1012,$W$2,'PIB Mpal 2015-2022 Cons'!$E$5:$E$1012,$A50)</f>
        <v>16.900394688147045</v>
      </c>
      <c r="K50" s="51">
        <f>SUMIFS('PIB Mpal 2015-2022 Cons'!P$5:P$1012,'PIB Mpal 2015-2022 Cons'!$A$5:$A$1012,$W$2,'PIB Mpal 2015-2022 Cons'!$E$5:$E$1012,$A50)</f>
        <v>3.0348169434758887</v>
      </c>
      <c r="L50" s="51">
        <f>SUMIFS('PIB Mpal 2015-2022 Cons'!Q$5:Q$1012,'PIB Mpal 2015-2022 Cons'!$A$5:$A$1012,$W$2,'PIB Mpal 2015-2022 Cons'!$E$5:$E$1012,$A50)</f>
        <v>1.6575300837396847</v>
      </c>
      <c r="M50" s="51">
        <f>SUMIFS('PIB Mpal 2015-2022 Cons'!R$5:R$1012,'PIB Mpal 2015-2022 Cons'!$A$5:$A$1012,$W$2,'PIB Mpal 2015-2022 Cons'!$E$5:$E$1012,$A50)</f>
        <v>7.6604133353494728</v>
      </c>
      <c r="N50" s="51">
        <f>SUMIFS('PIB Mpal 2015-2022 Cons'!S$5:S$1012,'PIB Mpal 2015-2022 Cons'!$A$5:$A$1012,$W$2,'PIB Mpal 2015-2022 Cons'!$E$5:$E$1012,$A50)</f>
        <v>19.945133825492594</v>
      </c>
      <c r="O50" s="51">
        <f>SUMIFS('PIB Mpal 2015-2022 Cons'!T$5:T$1012,'PIB Mpal 2015-2022 Cons'!$A$5:$A$1012,$W$2,'PIB Mpal 2015-2022 Cons'!$E$5:$E$1012,$A50)</f>
        <v>14.874939099738965</v>
      </c>
      <c r="P50" s="150">
        <f>SUMIFS('PIB Mpal 2015-2022 Cons'!U$5:U$1012,'PIB Mpal 2015-2022 Cons'!$A$5:$A$1012,$W$2,'PIB Mpal 2015-2022 Cons'!$E$5:$E$1012,$A50)</f>
        <v>3.0958108278095118</v>
      </c>
      <c r="Q50" s="217">
        <f>SUMIFS('PIB Mpal 2015-2022 Cons'!J$5:J$1012,'PIB Mpal 2015-2022 Cons'!$A$5:$A$1012,$W$2,'PIB Mpal 2015-2022 Cons'!$E$5:$E$1012,$A50)</f>
        <v>16.316050987615363</v>
      </c>
      <c r="R50" s="99">
        <f>SUMIFS('PIB Mpal 2015-2022 Cons'!M$5:M$1012,'PIB Mpal 2015-2022 Cons'!$A$5:$A$1012,$W$2,'PIB Mpal 2015-2022 Cons'!$E$5:$E$1012,$A50)</f>
        <v>21.622887682720005</v>
      </c>
      <c r="S50" s="53">
        <f>SUMIFS('PIB Mpal 2015-2022 Cons'!V$5:V$1012,'PIB Mpal 2015-2022 Cons'!$A$5:$A$1012,$W$2,'PIB Mpal 2015-2022 Cons'!$E$5:$E$1012,$A50)</f>
        <v>195.30941891597783</v>
      </c>
      <c r="T50" s="153">
        <f>SUMIFS('PIB Mpal 2015-2022 Cons'!W$5:W$1012,'PIB Mpal 2015-2022 Cons'!$A$5:$A$1012,$W$2,'PIB Mpal 2015-2022 Cons'!$E$5:$E$1012,$A50)</f>
        <v>233.2483575863132</v>
      </c>
      <c r="U50" s="51">
        <f>SUMIFS('PIB Mpal 2015-2022 Cons'!X$5:X$1012,'PIB Mpal 2015-2022 Cons'!$A$5:$A$1012,$W$2,'PIB Mpal 2015-2022 Cons'!$E$5:$E$1012,$A50)</f>
        <v>23.441908899511695</v>
      </c>
      <c r="V50" s="53">
        <f>SUMIFS('PIB Mpal 2015-2022 Cons'!Y$5:Y$1012,'PIB Mpal 2015-2022 Cons'!$A$5:$A$1012,$W$2,'PIB Mpal 2015-2022 Cons'!$E$5:$E$1012,$A50)</f>
        <v>256.69026648582491</v>
      </c>
      <c r="W50" s="92">
        <f t="shared" si="3"/>
        <v>2.2234611429604203E-3</v>
      </c>
      <c r="X50" s="268">
        <f>INDEX(POBLACION!$C$4:$W$128,MATCH(A50,POBLACION!$A$4:$A$128,0),MATCH($W$2,POBLACION!$C$3:$W$3,0))</f>
        <v>9693</v>
      </c>
      <c r="Y50" s="258">
        <f t="shared" si="5"/>
        <v>24063.587907388137</v>
      </c>
      <c r="Z50" s="270">
        <f t="shared" si="6"/>
        <v>26482.024810257393</v>
      </c>
      <c r="AA50" s="273">
        <f t="shared" si="7"/>
        <v>4.3813603816160116</v>
      </c>
      <c r="AB50" s="273">
        <f t="shared" si="7"/>
        <v>4.4229511881053831</v>
      </c>
    </row>
    <row r="51" spans="1:28" x14ac:dyDescent="0.2">
      <c r="A51" s="35" t="s">
        <v>200</v>
      </c>
      <c r="B51" s="32" t="s">
        <v>184</v>
      </c>
      <c r="C51" s="33" t="s">
        <v>145</v>
      </c>
      <c r="D51" s="32" t="s">
        <v>201</v>
      </c>
      <c r="E51" s="51">
        <f>SUMIFS('PIB Mpal 2015-2022 Cons'!H$5:H$1012,'PIB Mpal 2015-2022 Cons'!$A$5:$A$1012,$W$2,'PIB Mpal 2015-2022 Cons'!$E$5:$E$1012,$A51)</f>
        <v>5.6105048484799083</v>
      </c>
      <c r="F51" s="51">
        <f>SUMIFS('PIB Mpal 2015-2022 Cons'!I$5:I$1012,'PIB Mpal 2015-2022 Cons'!$A$5:$A$1012,$W$2,'PIB Mpal 2015-2022 Cons'!$E$5:$E$1012,$A51)</f>
        <v>0</v>
      </c>
      <c r="G51" s="51">
        <f>SUMIFS('PIB Mpal 2015-2022 Cons'!K$5:K$1012,'PIB Mpal 2015-2022 Cons'!$A$5:$A$1012,$W$2,'PIB Mpal 2015-2022 Cons'!$E$5:$E$1012,$A51)</f>
        <v>1.3940230784086756</v>
      </c>
      <c r="H51" s="51">
        <f>SUMIFS('PIB Mpal 2015-2022 Cons'!L$5:L$1012,'PIB Mpal 2015-2022 Cons'!$A$5:$A$1012,$W$2,'PIB Mpal 2015-2022 Cons'!$E$5:$E$1012,$A51)</f>
        <v>3.924449046297477</v>
      </c>
      <c r="I51" s="51">
        <f>SUMIFS('PIB Mpal 2015-2022 Cons'!N$5:N$1012,'PIB Mpal 2015-2022 Cons'!$A$5:$A$1012,$W$2,'PIB Mpal 2015-2022 Cons'!$E$5:$E$1012,$A51)</f>
        <v>28.325375957183049</v>
      </c>
      <c r="J51" s="51">
        <f>SUMIFS('PIB Mpal 2015-2022 Cons'!O$5:O$1012,'PIB Mpal 2015-2022 Cons'!$A$5:$A$1012,$W$2,'PIB Mpal 2015-2022 Cons'!$E$5:$E$1012,$A51)</f>
        <v>1.80615088063493</v>
      </c>
      <c r="K51" s="51">
        <f>SUMIFS('PIB Mpal 2015-2022 Cons'!P$5:P$1012,'PIB Mpal 2015-2022 Cons'!$A$5:$A$1012,$W$2,'PIB Mpal 2015-2022 Cons'!$E$5:$E$1012,$A51)</f>
        <v>0.58222677752794771</v>
      </c>
      <c r="L51" s="51">
        <f>SUMIFS('PIB Mpal 2015-2022 Cons'!Q$5:Q$1012,'PIB Mpal 2015-2022 Cons'!$A$5:$A$1012,$W$2,'PIB Mpal 2015-2022 Cons'!$E$5:$E$1012,$A51)</f>
        <v>0.4107162446795195</v>
      </c>
      <c r="M51" s="51">
        <f>SUMIFS('PIB Mpal 2015-2022 Cons'!R$5:R$1012,'PIB Mpal 2015-2022 Cons'!$A$5:$A$1012,$W$2,'PIB Mpal 2015-2022 Cons'!$E$5:$E$1012,$A51)</f>
        <v>0.91504535952546162</v>
      </c>
      <c r="N51" s="51">
        <f>SUMIFS('PIB Mpal 2015-2022 Cons'!S$5:S$1012,'PIB Mpal 2015-2022 Cons'!$A$5:$A$1012,$W$2,'PIB Mpal 2015-2022 Cons'!$E$5:$E$1012,$A51)</f>
        <v>3.1759437952378398</v>
      </c>
      <c r="O51" s="51">
        <f>SUMIFS('PIB Mpal 2015-2022 Cons'!T$5:T$1012,'PIB Mpal 2015-2022 Cons'!$A$5:$A$1012,$W$2,'PIB Mpal 2015-2022 Cons'!$E$5:$E$1012,$A51)</f>
        <v>3.0273563352150052</v>
      </c>
      <c r="P51" s="150">
        <f>SUMIFS('PIB Mpal 2015-2022 Cons'!U$5:U$1012,'PIB Mpal 2015-2022 Cons'!$A$5:$A$1012,$W$2,'PIB Mpal 2015-2022 Cons'!$E$5:$E$1012,$A51)</f>
        <v>0.57904827908493195</v>
      </c>
      <c r="Q51" s="217">
        <f>SUMIFS('PIB Mpal 2015-2022 Cons'!J$5:J$1012,'PIB Mpal 2015-2022 Cons'!$A$5:$A$1012,$W$2,'PIB Mpal 2015-2022 Cons'!$E$5:$E$1012,$A51)</f>
        <v>5.6105048484799083</v>
      </c>
      <c r="R51" s="99">
        <f>SUMIFS('PIB Mpal 2015-2022 Cons'!M$5:M$1012,'PIB Mpal 2015-2022 Cons'!$A$5:$A$1012,$W$2,'PIB Mpal 2015-2022 Cons'!$E$5:$E$1012,$A51)</f>
        <v>5.3184721247061528</v>
      </c>
      <c r="S51" s="53">
        <f>SUMIFS('PIB Mpal 2015-2022 Cons'!V$5:V$1012,'PIB Mpal 2015-2022 Cons'!$A$5:$A$1012,$W$2,'PIB Mpal 2015-2022 Cons'!$E$5:$E$1012,$A51)</f>
        <v>38.821863629088682</v>
      </c>
      <c r="T51" s="153">
        <f>SUMIFS('PIB Mpal 2015-2022 Cons'!W$5:W$1012,'PIB Mpal 2015-2022 Cons'!$A$5:$A$1012,$W$2,'PIB Mpal 2015-2022 Cons'!$E$5:$E$1012,$A51)</f>
        <v>49.750840602274742</v>
      </c>
      <c r="U51" s="51">
        <f>SUMIFS('PIB Mpal 2015-2022 Cons'!X$5:X$1012,'PIB Mpal 2015-2022 Cons'!$A$5:$A$1012,$W$2,'PIB Mpal 2015-2022 Cons'!$E$5:$E$1012,$A51)</f>
        <v>5.0000552421196831</v>
      </c>
      <c r="V51" s="53">
        <f>SUMIFS('PIB Mpal 2015-2022 Cons'!Y$5:Y$1012,'PIB Mpal 2015-2022 Cons'!$A$5:$A$1012,$W$2,'PIB Mpal 2015-2022 Cons'!$E$5:$E$1012,$A51)</f>
        <v>54.750895844394428</v>
      </c>
      <c r="W51" s="92">
        <f t="shared" si="3"/>
        <v>4.7425440441859043E-4</v>
      </c>
      <c r="X51" s="268">
        <f>INDEX(POBLACION!$C$4:$W$128,MATCH(A51,POBLACION!$A$4:$A$128,0),MATCH($W$2,POBLACION!$C$3:$W$3,0))</f>
        <v>6494</v>
      </c>
      <c r="Y51" s="258">
        <f t="shared" si="5"/>
        <v>7661.04721316211</v>
      </c>
      <c r="Z51" s="270">
        <f t="shared" si="6"/>
        <v>8430.9972042492191</v>
      </c>
      <c r="AA51" s="273">
        <f t="shared" si="7"/>
        <v>3.8842881387987007</v>
      </c>
      <c r="AB51" s="273">
        <f t="shared" si="7"/>
        <v>3.9258789452878204</v>
      </c>
    </row>
    <row r="52" spans="1:28" x14ac:dyDescent="0.2">
      <c r="A52" s="35" t="s">
        <v>202</v>
      </c>
      <c r="B52" s="32" t="s">
        <v>184</v>
      </c>
      <c r="C52" s="33" t="s">
        <v>145</v>
      </c>
      <c r="D52" s="32" t="s">
        <v>203</v>
      </c>
      <c r="E52" s="51">
        <f>SUMIFS('PIB Mpal 2015-2022 Cons'!H$5:H$1012,'PIB Mpal 2015-2022 Cons'!$A$5:$A$1012,$W$2,'PIB Mpal 2015-2022 Cons'!$E$5:$E$1012,$A52)</f>
        <v>34.351459274384226</v>
      </c>
      <c r="F52" s="51">
        <f>SUMIFS('PIB Mpal 2015-2022 Cons'!I$5:I$1012,'PIB Mpal 2015-2022 Cons'!$A$5:$A$1012,$W$2,'PIB Mpal 2015-2022 Cons'!$E$5:$E$1012,$A52)</f>
        <v>4.9203872419168349</v>
      </c>
      <c r="G52" s="51">
        <f>SUMIFS('PIB Mpal 2015-2022 Cons'!K$5:K$1012,'PIB Mpal 2015-2022 Cons'!$A$5:$A$1012,$W$2,'PIB Mpal 2015-2022 Cons'!$E$5:$E$1012,$A52)</f>
        <v>7.0556926688267882</v>
      </c>
      <c r="H52" s="51">
        <f>SUMIFS('PIB Mpal 2015-2022 Cons'!L$5:L$1012,'PIB Mpal 2015-2022 Cons'!$A$5:$A$1012,$W$2,'PIB Mpal 2015-2022 Cons'!$E$5:$E$1012,$A52)</f>
        <v>9.4958357650924246</v>
      </c>
      <c r="I52" s="51">
        <f>SUMIFS('PIB Mpal 2015-2022 Cons'!N$5:N$1012,'PIB Mpal 2015-2022 Cons'!$A$5:$A$1012,$W$2,'PIB Mpal 2015-2022 Cons'!$E$5:$E$1012,$A52)</f>
        <v>6.8022659866314799</v>
      </c>
      <c r="J52" s="51">
        <f>SUMIFS('PIB Mpal 2015-2022 Cons'!O$5:O$1012,'PIB Mpal 2015-2022 Cons'!$A$5:$A$1012,$W$2,'PIB Mpal 2015-2022 Cons'!$E$5:$E$1012,$A52)</f>
        <v>23.173138905354399</v>
      </c>
      <c r="K52" s="51">
        <f>SUMIFS('PIB Mpal 2015-2022 Cons'!P$5:P$1012,'PIB Mpal 2015-2022 Cons'!$A$5:$A$1012,$W$2,'PIB Mpal 2015-2022 Cons'!$E$5:$E$1012,$A52)</f>
        <v>9.4556860475486815</v>
      </c>
      <c r="L52" s="51">
        <f>SUMIFS('PIB Mpal 2015-2022 Cons'!Q$5:Q$1012,'PIB Mpal 2015-2022 Cons'!$A$5:$A$1012,$W$2,'PIB Mpal 2015-2022 Cons'!$E$5:$E$1012,$A52)</f>
        <v>6.5009561283836943</v>
      </c>
      <c r="M52" s="51">
        <f>SUMIFS('PIB Mpal 2015-2022 Cons'!R$5:R$1012,'PIB Mpal 2015-2022 Cons'!$A$5:$A$1012,$W$2,'PIB Mpal 2015-2022 Cons'!$E$5:$E$1012,$A52)</f>
        <v>16.882542777304</v>
      </c>
      <c r="N52" s="51">
        <f>SUMIFS('PIB Mpal 2015-2022 Cons'!S$5:S$1012,'PIB Mpal 2015-2022 Cons'!$A$5:$A$1012,$W$2,'PIB Mpal 2015-2022 Cons'!$E$5:$E$1012,$A52)</f>
        <v>19.402948356270549</v>
      </c>
      <c r="O52" s="51">
        <f>SUMIFS('PIB Mpal 2015-2022 Cons'!T$5:T$1012,'PIB Mpal 2015-2022 Cons'!$A$5:$A$1012,$W$2,'PIB Mpal 2015-2022 Cons'!$E$5:$E$1012,$A52)</f>
        <v>47.19580046939415</v>
      </c>
      <c r="P52" s="150">
        <f>SUMIFS('PIB Mpal 2015-2022 Cons'!U$5:U$1012,'PIB Mpal 2015-2022 Cons'!$A$5:$A$1012,$W$2,'PIB Mpal 2015-2022 Cons'!$E$5:$E$1012,$A52)</f>
        <v>4.9216339191779257</v>
      </c>
      <c r="Q52" s="217">
        <f>SUMIFS('PIB Mpal 2015-2022 Cons'!J$5:J$1012,'PIB Mpal 2015-2022 Cons'!$A$5:$A$1012,$W$2,'PIB Mpal 2015-2022 Cons'!$E$5:$E$1012,$A52)</f>
        <v>39.271846516301061</v>
      </c>
      <c r="R52" s="99">
        <f>SUMIFS('PIB Mpal 2015-2022 Cons'!M$5:M$1012,'PIB Mpal 2015-2022 Cons'!$A$5:$A$1012,$W$2,'PIB Mpal 2015-2022 Cons'!$E$5:$E$1012,$A52)</f>
        <v>16.551528433919213</v>
      </c>
      <c r="S52" s="53">
        <f>SUMIFS('PIB Mpal 2015-2022 Cons'!V$5:V$1012,'PIB Mpal 2015-2022 Cons'!$A$5:$A$1012,$W$2,'PIB Mpal 2015-2022 Cons'!$E$5:$E$1012,$A52)</f>
        <v>134.33497259006489</v>
      </c>
      <c r="T52" s="153">
        <f>SUMIFS('PIB Mpal 2015-2022 Cons'!W$5:W$1012,'PIB Mpal 2015-2022 Cons'!$A$5:$A$1012,$W$2,'PIB Mpal 2015-2022 Cons'!$E$5:$E$1012,$A52)</f>
        <v>190.15834754028515</v>
      </c>
      <c r="U52" s="51">
        <f>SUMIFS('PIB Mpal 2015-2022 Cons'!X$5:X$1012,'PIB Mpal 2015-2022 Cons'!$A$5:$A$1012,$W$2,'PIB Mpal 2015-2022 Cons'!$E$5:$E$1012,$A52)</f>
        <v>19.11127994891261</v>
      </c>
      <c r="V52" s="53">
        <f>SUMIFS('PIB Mpal 2015-2022 Cons'!Y$5:Y$1012,'PIB Mpal 2015-2022 Cons'!$A$5:$A$1012,$W$2,'PIB Mpal 2015-2022 Cons'!$E$5:$E$1012,$A52)</f>
        <v>209.26962748919777</v>
      </c>
      <c r="W52" s="92">
        <f t="shared" si="3"/>
        <v>1.8127017104862769E-3</v>
      </c>
      <c r="X52" s="268">
        <f>INDEX(POBLACION!$C$4:$W$128,MATCH(A52,POBLACION!$A$4:$A$128,0),MATCH($W$2,POBLACION!$C$3:$W$3,0))</f>
        <v>26529</v>
      </c>
      <c r="Y52" s="258">
        <f t="shared" si="5"/>
        <v>7167.9425361033263</v>
      </c>
      <c r="Z52" s="270">
        <f t="shared" si="6"/>
        <v>7888.3345580005944</v>
      </c>
      <c r="AA52" s="273">
        <f t="shared" si="7"/>
        <v>3.8553945150199631</v>
      </c>
      <c r="AB52" s="273">
        <f t="shared" si="7"/>
        <v>3.8969853215087569</v>
      </c>
    </row>
    <row r="53" spans="1:28" x14ac:dyDescent="0.2">
      <c r="A53" s="35" t="s">
        <v>204</v>
      </c>
      <c r="B53" s="32" t="s">
        <v>184</v>
      </c>
      <c r="C53" s="33" t="s">
        <v>145</v>
      </c>
      <c r="D53" s="32" t="s">
        <v>205</v>
      </c>
      <c r="E53" s="51">
        <f>SUMIFS('PIB Mpal 2015-2022 Cons'!H$5:H$1012,'PIB Mpal 2015-2022 Cons'!$A$5:$A$1012,$W$2,'PIB Mpal 2015-2022 Cons'!$E$5:$E$1012,$A53)</f>
        <v>12.848280873802318</v>
      </c>
      <c r="F53" s="51">
        <f>SUMIFS('PIB Mpal 2015-2022 Cons'!I$5:I$1012,'PIB Mpal 2015-2022 Cons'!$A$5:$A$1012,$W$2,'PIB Mpal 2015-2022 Cons'!$E$5:$E$1012,$A53)</f>
        <v>0</v>
      </c>
      <c r="G53" s="51">
        <f>SUMIFS('PIB Mpal 2015-2022 Cons'!K$5:K$1012,'PIB Mpal 2015-2022 Cons'!$A$5:$A$1012,$W$2,'PIB Mpal 2015-2022 Cons'!$E$5:$E$1012,$A53)</f>
        <v>0.96149089350276773</v>
      </c>
      <c r="H53" s="51">
        <f>SUMIFS('PIB Mpal 2015-2022 Cons'!L$5:L$1012,'PIB Mpal 2015-2022 Cons'!$A$5:$A$1012,$W$2,'PIB Mpal 2015-2022 Cons'!$E$5:$E$1012,$A53)</f>
        <v>4.0067441504535672</v>
      </c>
      <c r="I53" s="51">
        <f>SUMIFS('PIB Mpal 2015-2022 Cons'!N$5:N$1012,'PIB Mpal 2015-2022 Cons'!$A$5:$A$1012,$W$2,'PIB Mpal 2015-2022 Cons'!$E$5:$E$1012,$A53)</f>
        <v>2.2432620323523538</v>
      </c>
      <c r="J53" s="51">
        <f>SUMIFS('PIB Mpal 2015-2022 Cons'!O$5:O$1012,'PIB Mpal 2015-2022 Cons'!$A$5:$A$1012,$W$2,'PIB Mpal 2015-2022 Cons'!$E$5:$E$1012,$A53)</f>
        <v>5.455992843907735</v>
      </c>
      <c r="K53" s="51">
        <f>SUMIFS('PIB Mpal 2015-2022 Cons'!P$5:P$1012,'PIB Mpal 2015-2022 Cons'!$A$5:$A$1012,$W$2,'PIB Mpal 2015-2022 Cons'!$E$5:$E$1012,$A53)</f>
        <v>2.278412219833831</v>
      </c>
      <c r="L53" s="51">
        <f>SUMIFS('PIB Mpal 2015-2022 Cons'!Q$5:Q$1012,'PIB Mpal 2015-2022 Cons'!$A$5:$A$1012,$W$2,'PIB Mpal 2015-2022 Cons'!$E$5:$E$1012,$A53)</f>
        <v>1.8676431656811636</v>
      </c>
      <c r="M53" s="51">
        <f>SUMIFS('PIB Mpal 2015-2022 Cons'!R$5:R$1012,'PIB Mpal 2015-2022 Cons'!$A$5:$A$1012,$W$2,'PIB Mpal 2015-2022 Cons'!$E$5:$E$1012,$A53)</f>
        <v>7.4121121293198282</v>
      </c>
      <c r="N53" s="51">
        <f>SUMIFS('PIB Mpal 2015-2022 Cons'!S$5:S$1012,'PIB Mpal 2015-2022 Cons'!$A$5:$A$1012,$W$2,'PIB Mpal 2015-2022 Cons'!$E$5:$E$1012,$A53)</f>
        <v>5.3185043023983489</v>
      </c>
      <c r="O53" s="51">
        <f>SUMIFS('PIB Mpal 2015-2022 Cons'!T$5:T$1012,'PIB Mpal 2015-2022 Cons'!$A$5:$A$1012,$W$2,'PIB Mpal 2015-2022 Cons'!$E$5:$E$1012,$A53)</f>
        <v>11.721190650240535</v>
      </c>
      <c r="P53" s="150">
        <f>SUMIFS('PIB Mpal 2015-2022 Cons'!U$5:U$1012,'PIB Mpal 2015-2022 Cons'!$A$5:$A$1012,$W$2,'PIB Mpal 2015-2022 Cons'!$E$5:$E$1012,$A53)</f>
        <v>2.5192893868212138</v>
      </c>
      <c r="Q53" s="217">
        <f>SUMIFS('PIB Mpal 2015-2022 Cons'!J$5:J$1012,'PIB Mpal 2015-2022 Cons'!$A$5:$A$1012,$W$2,'PIB Mpal 2015-2022 Cons'!$E$5:$E$1012,$A53)</f>
        <v>12.848280873802318</v>
      </c>
      <c r="R53" s="99">
        <f>SUMIFS('PIB Mpal 2015-2022 Cons'!M$5:M$1012,'PIB Mpal 2015-2022 Cons'!$A$5:$A$1012,$W$2,'PIB Mpal 2015-2022 Cons'!$E$5:$E$1012,$A53)</f>
        <v>4.9682350439563354</v>
      </c>
      <c r="S53" s="53">
        <f>SUMIFS('PIB Mpal 2015-2022 Cons'!V$5:V$1012,'PIB Mpal 2015-2022 Cons'!$A$5:$A$1012,$W$2,'PIB Mpal 2015-2022 Cons'!$E$5:$E$1012,$A53)</f>
        <v>38.816406730555009</v>
      </c>
      <c r="T53" s="153">
        <f>SUMIFS('PIB Mpal 2015-2022 Cons'!W$5:W$1012,'PIB Mpal 2015-2022 Cons'!$A$5:$A$1012,$W$2,'PIB Mpal 2015-2022 Cons'!$E$5:$E$1012,$A53)</f>
        <v>56.632922648313659</v>
      </c>
      <c r="U53" s="51">
        <f>SUMIFS('PIB Mpal 2015-2022 Cons'!X$5:X$1012,'PIB Mpal 2015-2022 Cons'!$A$5:$A$1012,$W$2,'PIB Mpal 2015-2022 Cons'!$E$5:$E$1012,$A53)</f>
        <v>5.691717734480263</v>
      </c>
      <c r="V53" s="53">
        <f>SUMIFS('PIB Mpal 2015-2022 Cons'!Y$5:Y$1012,'PIB Mpal 2015-2022 Cons'!$A$5:$A$1012,$W$2,'PIB Mpal 2015-2022 Cons'!$E$5:$E$1012,$A53)</f>
        <v>62.324640382793923</v>
      </c>
      <c r="W53" s="92">
        <f t="shared" si="3"/>
        <v>5.3985847627680374E-4</v>
      </c>
      <c r="X53" s="268">
        <f>INDEX(POBLACION!$C$4:$W$128,MATCH(A53,POBLACION!$A$4:$A$128,0),MATCH($W$2,POBLACION!$C$3:$W$3,0))</f>
        <v>7280</v>
      </c>
      <c r="Y53" s="258">
        <f t="shared" si="5"/>
        <v>7779.2476165266016</v>
      </c>
      <c r="Z53" s="270">
        <f t="shared" si="6"/>
        <v>8561.0769756585069</v>
      </c>
      <c r="AA53" s="273">
        <f t="shared" si="7"/>
        <v>3.8909375954740528</v>
      </c>
      <c r="AB53" s="273">
        <f t="shared" si="7"/>
        <v>3.9325284019627533</v>
      </c>
    </row>
    <row r="54" spans="1:28" x14ac:dyDescent="0.2">
      <c r="A54" s="35" t="s">
        <v>206</v>
      </c>
      <c r="B54" s="32" t="s">
        <v>184</v>
      </c>
      <c r="C54" s="33" t="s">
        <v>145</v>
      </c>
      <c r="D54" s="32" t="s">
        <v>207</v>
      </c>
      <c r="E54" s="51">
        <f>SUMIFS('PIB Mpal 2015-2022 Cons'!H$5:H$1012,'PIB Mpal 2015-2022 Cons'!$A$5:$A$1012,$W$2,'PIB Mpal 2015-2022 Cons'!$E$5:$E$1012,$A54)</f>
        <v>3.6820038113988849</v>
      </c>
      <c r="F54" s="51">
        <f>SUMIFS('PIB Mpal 2015-2022 Cons'!I$5:I$1012,'PIB Mpal 2015-2022 Cons'!$A$5:$A$1012,$W$2,'PIB Mpal 2015-2022 Cons'!$E$5:$E$1012,$A54)</f>
        <v>0</v>
      </c>
      <c r="G54" s="51">
        <f>SUMIFS('PIB Mpal 2015-2022 Cons'!K$5:K$1012,'PIB Mpal 2015-2022 Cons'!$A$5:$A$1012,$W$2,'PIB Mpal 2015-2022 Cons'!$E$5:$E$1012,$A54)</f>
        <v>1.6207203540921156</v>
      </c>
      <c r="H54" s="51">
        <f>SUMIFS('PIB Mpal 2015-2022 Cons'!L$5:L$1012,'PIB Mpal 2015-2022 Cons'!$A$5:$A$1012,$W$2,'PIB Mpal 2015-2022 Cons'!$E$5:$E$1012,$A54)</f>
        <v>1.1976854420908478</v>
      </c>
      <c r="I54" s="51">
        <f>SUMIFS('PIB Mpal 2015-2022 Cons'!N$5:N$1012,'PIB Mpal 2015-2022 Cons'!$A$5:$A$1012,$W$2,'PIB Mpal 2015-2022 Cons'!$E$5:$E$1012,$A54)</f>
        <v>2.7622522402596328</v>
      </c>
      <c r="J54" s="51">
        <f>SUMIFS('PIB Mpal 2015-2022 Cons'!O$5:O$1012,'PIB Mpal 2015-2022 Cons'!$A$5:$A$1012,$W$2,'PIB Mpal 2015-2022 Cons'!$E$5:$E$1012,$A54)</f>
        <v>5.2129809511679452</v>
      </c>
      <c r="K54" s="51">
        <f>SUMIFS('PIB Mpal 2015-2022 Cons'!P$5:P$1012,'PIB Mpal 2015-2022 Cons'!$A$5:$A$1012,$W$2,'PIB Mpal 2015-2022 Cons'!$E$5:$E$1012,$A54)</f>
        <v>1.2220318370663623</v>
      </c>
      <c r="L54" s="51">
        <f>SUMIFS('PIB Mpal 2015-2022 Cons'!Q$5:Q$1012,'PIB Mpal 2015-2022 Cons'!$A$5:$A$1012,$W$2,'PIB Mpal 2015-2022 Cons'!$E$5:$E$1012,$A54)</f>
        <v>0.87234519178741998</v>
      </c>
      <c r="M54" s="51">
        <f>SUMIFS('PIB Mpal 2015-2022 Cons'!R$5:R$1012,'PIB Mpal 2015-2022 Cons'!$A$5:$A$1012,$W$2,'PIB Mpal 2015-2022 Cons'!$E$5:$E$1012,$A54)</f>
        <v>2.7980370624923192</v>
      </c>
      <c r="N54" s="51">
        <f>SUMIFS('PIB Mpal 2015-2022 Cons'!S$5:S$1012,'PIB Mpal 2015-2022 Cons'!$A$5:$A$1012,$W$2,'PIB Mpal 2015-2022 Cons'!$E$5:$E$1012,$A54)</f>
        <v>3.0623499929387852</v>
      </c>
      <c r="O54" s="51">
        <f>SUMIFS('PIB Mpal 2015-2022 Cons'!T$5:T$1012,'PIB Mpal 2015-2022 Cons'!$A$5:$A$1012,$W$2,'PIB Mpal 2015-2022 Cons'!$E$5:$E$1012,$A54)</f>
        <v>5.0917961559727463</v>
      </c>
      <c r="P54" s="150">
        <f>SUMIFS('PIB Mpal 2015-2022 Cons'!U$5:U$1012,'PIB Mpal 2015-2022 Cons'!$A$5:$A$1012,$W$2,'PIB Mpal 2015-2022 Cons'!$E$5:$E$1012,$A54)</f>
        <v>1.067103283112711</v>
      </c>
      <c r="Q54" s="217">
        <f>SUMIFS('PIB Mpal 2015-2022 Cons'!J$5:J$1012,'PIB Mpal 2015-2022 Cons'!$A$5:$A$1012,$W$2,'PIB Mpal 2015-2022 Cons'!$E$5:$E$1012,$A54)</f>
        <v>3.6820038113988849</v>
      </c>
      <c r="R54" s="99">
        <f>SUMIFS('PIB Mpal 2015-2022 Cons'!M$5:M$1012,'PIB Mpal 2015-2022 Cons'!$A$5:$A$1012,$W$2,'PIB Mpal 2015-2022 Cons'!$E$5:$E$1012,$A54)</f>
        <v>2.8184057961829634</v>
      </c>
      <c r="S54" s="53">
        <f>SUMIFS('PIB Mpal 2015-2022 Cons'!V$5:V$1012,'PIB Mpal 2015-2022 Cons'!$A$5:$A$1012,$W$2,'PIB Mpal 2015-2022 Cons'!$E$5:$E$1012,$A54)</f>
        <v>22.088896714797922</v>
      </c>
      <c r="T54" s="153">
        <f>SUMIFS('PIB Mpal 2015-2022 Cons'!W$5:W$1012,'PIB Mpal 2015-2022 Cons'!$A$5:$A$1012,$W$2,'PIB Mpal 2015-2022 Cons'!$E$5:$E$1012,$A54)</f>
        <v>28.58930632237977</v>
      </c>
      <c r="U54" s="51">
        <f>SUMIFS('PIB Mpal 2015-2022 Cons'!X$5:X$1012,'PIB Mpal 2015-2022 Cons'!$A$5:$A$1012,$W$2,'PIB Mpal 2015-2022 Cons'!$E$5:$E$1012,$A54)</f>
        <v>2.8732803147676256</v>
      </c>
      <c r="V54" s="53">
        <f>SUMIFS('PIB Mpal 2015-2022 Cons'!Y$5:Y$1012,'PIB Mpal 2015-2022 Cons'!$A$5:$A$1012,$W$2,'PIB Mpal 2015-2022 Cons'!$E$5:$E$1012,$A54)</f>
        <v>31.462586637147396</v>
      </c>
      <c r="W54" s="92">
        <f t="shared" si="3"/>
        <v>2.7253015785304866E-4</v>
      </c>
      <c r="X54" s="268">
        <f>INDEX(POBLACION!$C$4:$W$128,MATCH(A54,POBLACION!$A$4:$A$128,0),MATCH($W$2,POBLACION!$C$3:$W$3,0))</f>
        <v>3591</v>
      </c>
      <c r="Y54" s="258">
        <f t="shared" si="5"/>
        <v>7961.3774219938105</v>
      </c>
      <c r="Z54" s="270">
        <f t="shared" si="6"/>
        <v>8761.5111771504871</v>
      </c>
      <c r="AA54" s="273">
        <f t="shared" si="7"/>
        <v>3.9009882128406086</v>
      </c>
      <c r="AB54" s="273">
        <f t="shared" si="7"/>
        <v>3.9425790193296941</v>
      </c>
    </row>
    <row r="55" spans="1:28" x14ac:dyDescent="0.2">
      <c r="A55" s="35" t="s">
        <v>208</v>
      </c>
      <c r="B55" s="32" t="s">
        <v>184</v>
      </c>
      <c r="C55" s="33" t="s">
        <v>145</v>
      </c>
      <c r="D55" s="32" t="s">
        <v>209</v>
      </c>
      <c r="E55" s="51">
        <f>SUMIFS('PIB Mpal 2015-2022 Cons'!H$5:H$1012,'PIB Mpal 2015-2022 Cons'!$A$5:$A$1012,$W$2,'PIB Mpal 2015-2022 Cons'!$E$5:$E$1012,$A55)</f>
        <v>101.52645128068859</v>
      </c>
      <c r="F55" s="51">
        <f>SUMIFS('PIB Mpal 2015-2022 Cons'!I$5:I$1012,'PIB Mpal 2015-2022 Cons'!$A$5:$A$1012,$W$2,'PIB Mpal 2015-2022 Cons'!$E$5:$E$1012,$A55)</f>
        <v>1.28666068114012</v>
      </c>
      <c r="G55" s="51">
        <f>SUMIFS('PIB Mpal 2015-2022 Cons'!K$5:K$1012,'PIB Mpal 2015-2022 Cons'!$A$5:$A$1012,$W$2,'PIB Mpal 2015-2022 Cons'!$E$5:$E$1012,$A55)</f>
        <v>292.8403188570673</v>
      </c>
      <c r="H55" s="51">
        <f>SUMIFS('PIB Mpal 2015-2022 Cons'!L$5:L$1012,'PIB Mpal 2015-2022 Cons'!$A$5:$A$1012,$W$2,'PIB Mpal 2015-2022 Cons'!$E$5:$E$1012,$A55)</f>
        <v>51.489952812639615</v>
      </c>
      <c r="I55" s="51">
        <f>SUMIFS('PIB Mpal 2015-2022 Cons'!N$5:N$1012,'PIB Mpal 2015-2022 Cons'!$A$5:$A$1012,$W$2,'PIB Mpal 2015-2022 Cons'!$E$5:$E$1012,$A55)</f>
        <v>4.6611538187347259</v>
      </c>
      <c r="J55" s="51">
        <f>SUMIFS('PIB Mpal 2015-2022 Cons'!O$5:O$1012,'PIB Mpal 2015-2022 Cons'!$A$5:$A$1012,$W$2,'PIB Mpal 2015-2022 Cons'!$E$5:$E$1012,$A55)</f>
        <v>63.751791242256033</v>
      </c>
      <c r="K55" s="51">
        <f>SUMIFS('PIB Mpal 2015-2022 Cons'!P$5:P$1012,'PIB Mpal 2015-2022 Cons'!$A$5:$A$1012,$W$2,'PIB Mpal 2015-2022 Cons'!$E$5:$E$1012,$A55)</f>
        <v>8.4246946756022805</v>
      </c>
      <c r="L55" s="51">
        <f>SUMIFS('PIB Mpal 2015-2022 Cons'!Q$5:Q$1012,'PIB Mpal 2015-2022 Cons'!$A$5:$A$1012,$W$2,'PIB Mpal 2015-2022 Cons'!$E$5:$E$1012,$A55)</f>
        <v>9.2007425921909576</v>
      </c>
      <c r="M55" s="51">
        <f>SUMIFS('PIB Mpal 2015-2022 Cons'!R$5:R$1012,'PIB Mpal 2015-2022 Cons'!$A$5:$A$1012,$W$2,'PIB Mpal 2015-2022 Cons'!$E$5:$E$1012,$A55)</f>
        <v>25.304462548306645</v>
      </c>
      <c r="N55" s="51">
        <f>SUMIFS('PIB Mpal 2015-2022 Cons'!S$5:S$1012,'PIB Mpal 2015-2022 Cons'!$A$5:$A$1012,$W$2,'PIB Mpal 2015-2022 Cons'!$E$5:$E$1012,$A55)</f>
        <v>48.449488101150543</v>
      </c>
      <c r="O55" s="51">
        <f>SUMIFS('PIB Mpal 2015-2022 Cons'!T$5:T$1012,'PIB Mpal 2015-2022 Cons'!$A$5:$A$1012,$W$2,'PIB Mpal 2015-2022 Cons'!$E$5:$E$1012,$A55)</f>
        <v>31.169299392374995</v>
      </c>
      <c r="P55" s="150">
        <f>SUMIFS('PIB Mpal 2015-2022 Cons'!U$5:U$1012,'PIB Mpal 2015-2022 Cons'!$A$5:$A$1012,$W$2,'PIB Mpal 2015-2022 Cons'!$E$5:$E$1012,$A55)</f>
        <v>6.0777820633623847</v>
      </c>
      <c r="Q55" s="217">
        <f>SUMIFS('PIB Mpal 2015-2022 Cons'!J$5:J$1012,'PIB Mpal 2015-2022 Cons'!$A$5:$A$1012,$W$2,'PIB Mpal 2015-2022 Cons'!$E$5:$E$1012,$A55)</f>
        <v>102.81311196182871</v>
      </c>
      <c r="R55" s="99">
        <f>SUMIFS('PIB Mpal 2015-2022 Cons'!M$5:M$1012,'PIB Mpal 2015-2022 Cons'!$A$5:$A$1012,$W$2,'PIB Mpal 2015-2022 Cons'!$E$5:$E$1012,$A55)</f>
        <v>344.33027166970692</v>
      </c>
      <c r="S55" s="53">
        <f>SUMIFS('PIB Mpal 2015-2022 Cons'!V$5:V$1012,'PIB Mpal 2015-2022 Cons'!$A$5:$A$1012,$W$2,'PIB Mpal 2015-2022 Cons'!$E$5:$E$1012,$A55)</f>
        <v>197.03941443397858</v>
      </c>
      <c r="T55" s="153">
        <f>SUMIFS('PIB Mpal 2015-2022 Cons'!W$5:W$1012,'PIB Mpal 2015-2022 Cons'!$A$5:$A$1012,$W$2,'PIB Mpal 2015-2022 Cons'!$E$5:$E$1012,$A55)</f>
        <v>644.18279806551413</v>
      </c>
      <c r="U55" s="51">
        <f>SUMIFS('PIB Mpal 2015-2022 Cons'!X$5:X$1012,'PIB Mpal 2015-2022 Cons'!$A$5:$A$1012,$W$2,'PIB Mpal 2015-2022 Cons'!$E$5:$E$1012,$A55)</f>
        <v>64.741611140404686</v>
      </c>
      <c r="V55" s="53">
        <f>SUMIFS('PIB Mpal 2015-2022 Cons'!Y$5:Y$1012,'PIB Mpal 2015-2022 Cons'!$A$5:$A$1012,$W$2,'PIB Mpal 2015-2022 Cons'!$E$5:$E$1012,$A55)</f>
        <v>708.92440920591878</v>
      </c>
      <c r="W55" s="92">
        <f t="shared" si="3"/>
        <v>6.1407310013937679E-3</v>
      </c>
      <c r="X55" s="268">
        <f>INDEX(POBLACION!$C$4:$W$128,MATCH(A55,POBLACION!$A$4:$A$128,0),MATCH($W$2,POBLACION!$C$3:$W$3,0))</f>
        <v>20970</v>
      </c>
      <c r="Y55" s="258">
        <f t="shared" si="5"/>
        <v>30719.255987864286</v>
      </c>
      <c r="Z55" s="270">
        <f t="shared" si="6"/>
        <v>33806.600343629885</v>
      </c>
      <c r="AA55" s="273">
        <f t="shared" si="7"/>
        <v>4.4874106929910527</v>
      </c>
      <c r="AB55" s="273">
        <f t="shared" si="7"/>
        <v>4.5290014994780776</v>
      </c>
    </row>
    <row r="56" spans="1:28" x14ac:dyDescent="0.2">
      <c r="A56" s="35" t="s">
        <v>210</v>
      </c>
      <c r="B56" s="32" t="s">
        <v>184</v>
      </c>
      <c r="C56" s="33" t="s">
        <v>145</v>
      </c>
      <c r="D56" s="32" t="s">
        <v>211</v>
      </c>
      <c r="E56" s="51">
        <f>SUMIFS('PIB Mpal 2015-2022 Cons'!H$5:H$1012,'PIB Mpal 2015-2022 Cons'!$A$5:$A$1012,$W$2,'PIB Mpal 2015-2022 Cons'!$E$5:$E$1012,$A56)</f>
        <v>174.71996372891772</v>
      </c>
      <c r="F56" s="51">
        <f>SUMIFS('PIB Mpal 2015-2022 Cons'!I$5:I$1012,'PIB Mpal 2015-2022 Cons'!$A$5:$A$1012,$W$2,'PIB Mpal 2015-2022 Cons'!$E$5:$E$1012,$A56)</f>
        <v>2.6036141259282033</v>
      </c>
      <c r="G56" s="51">
        <f>SUMIFS('PIB Mpal 2015-2022 Cons'!K$5:K$1012,'PIB Mpal 2015-2022 Cons'!$A$5:$A$1012,$W$2,'PIB Mpal 2015-2022 Cons'!$E$5:$E$1012,$A56)</f>
        <v>110.76474242912003</v>
      </c>
      <c r="H56" s="51">
        <f>SUMIFS('PIB Mpal 2015-2022 Cons'!L$5:L$1012,'PIB Mpal 2015-2022 Cons'!$A$5:$A$1012,$W$2,'PIB Mpal 2015-2022 Cons'!$E$5:$E$1012,$A56)</f>
        <v>28.651067040046328</v>
      </c>
      <c r="I56" s="51">
        <f>SUMIFS('PIB Mpal 2015-2022 Cons'!N$5:N$1012,'PIB Mpal 2015-2022 Cons'!$A$5:$A$1012,$W$2,'PIB Mpal 2015-2022 Cons'!$E$5:$E$1012,$A56)</f>
        <v>29.486019071939541</v>
      </c>
      <c r="J56" s="51">
        <f>SUMIFS('PIB Mpal 2015-2022 Cons'!O$5:O$1012,'PIB Mpal 2015-2022 Cons'!$A$5:$A$1012,$W$2,'PIB Mpal 2015-2022 Cons'!$E$5:$E$1012,$A56)</f>
        <v>81.968975605707797</v>
      </c>
      <c r="K56" s="51">
        <f>SUMIFS('PIB Mpal 2015-2022 Cons'!P$5:P$1012,'PIB Mpal 2015-2022 Cons'!$A$5:$A$1012,$W$2,'PIB Mpal 2015-2022 Cons'!$E$5:$E$1012,$A56)</f>
        <v>10.830842760310457</v>
      </c>
      <c r="L56" s="51">
        <f>SUMIFS('PIB Mpal 2015-2022 Cons'!Q$5:Q$1012,'PIB Mpal 2015-2022 Cons'!$A$5:$A$1012,$W$2,'PIB Mpal 2015-2022 Cons'!$E$5:$E$1012,$A56)</f>
        <v>10.164993753248481</v>
      </c>
      <c r="M56" s="51">
        <f>SUMIFS('PIB Mpal 2015-2022 Cons'!R$5:R$1012,'PIB Mpal 2015-2022 Cons'!$A$5:$A$1012,$W$2,'PIB Mpal 2015-2022 Cons'!$E$5:$E$1012,$A56)</f>
        <v>25.375740722508255</v>
      </c>
      <c r="N56" s="51">
        <f>SUMIFS('PIB Mpal 2015-2022 Cons'!S$5:S$1012,'PIB Mpal 2015-2022 Cons'!$A$5:$A$1012,$W$2,'PIB Mpal 2015-2022 Cons'!$E$5:$E$1012,$A56)</f>
        <v>49.21552153444464</v>
      </c>
      <c r="O56" s="51">
        <f>SUMIFS('PIB Mpal 2015-2022 Cons'!T$5:T$1012,'PIB Mpal 2015-2022 Cons'!$A$5:$A$1012,$W$2,'PIB Mpal 2015-2022 Cons'!$E$5:$E$1012,$A56)</f>
        <v>83.887812410147134</v>
      </c>
      <c r="P56" s="150">
        <f>SUMIFS('PIB Mpal 2015-2022 Cons'!U$5:U$1012,'PIB Mpal 2015-2022 Cons'!$A$5:$A$1012,$W$2,'PIB Mpal 2015-2022 Cons'!$E$5:$E$1012,$A56)</f>
        <v>8.5095415783525699</v>
      </c>
      <c r="Q56" s="217">
        <f>SUMIFS('PIB Mpal 2015-2022 Cons'!J$5:J$1012,'PIB Mpal 2015-2022 Cons'!$A$5:$A$1012,$W$2,'PIB Mpal 2015-2022 Cons'!$E$5:$E$1012,$A56)</f>
        <v>177.32357785484592</v>
      </c>
      <c r="R56" s="99">
        <f>SUMIFS('PIB Mpal 2015-2022 Cons'!M$5:M$1012,'PIB Mpal 2015-2022 Cons'!$A$5:$A$1012,$W$2,'PIB Mpal 2015-2022 Cons'!$E$5:$E$1012,$A56)</f>
        <v>139.41580946916636</v>
      </c>
      <c r="S56" s="53">
        <f>SUMIFS('PIB Mpal 2015-2022 Cons'!V$5:V$1012,'PIB Mpal 2015-2022 Cons'!$A$5:$A$1012,$W$2,'PIB Mpal 2015-2022 Cons'!$E$5:$E$1012,$A56)</f>
        <v>299.4394474366589</v>
      </c>
      <c r="T56" s="153">
        <f>SUMIFS('PIB Mpal 2015-2022 Cons'!W$5:W$1012,'PIB Mpal 2015-2022 Cons'!$A$5:$A$1012,$W$2,'PIB Mpal 2015-2022 Cons'!$E$5:$E$1012,$A56)</f>
        <v>616.17883476067118</v>
      </c>
      <c r="U56" s="51">
        <f>SUMIFS('PIB Mpal 2015-2022 Cons'!X$5:X$1012,'PIB Mpal 2015-2022 Cons'!$A$5:$A$1012,$W$2,'PIB Mpal 2015-2022 Cons'!$E$5:$E$1012,$A56)</f>
        <v>61.927158926968829</v>
      </c>
      <c r="V56" s="53">
        <f>SUMIFS('PIB Mpal 2015-2022 Cons'!Y$5:Y$1012,'PIB Mpal 2015-2022 Cons'!$A$5:$A$1012,$W$2,'PIB Mpal 2015-2022 Cons'!$E$5:$E$1012,$A56)</f>
        <v>678.10599368763997</v>
      </c>
      <c r="W56" s="92">
        <f t="shared" si="3"/>
        <v>5.8737806790047989E-3</v>
      </c>
      <c r="X56" s="268">
        <f>INDEX(POBLACION!$C$4:$W$128,MATCH(A56,POBLACION!$A$4:$A$128,0),MATCH($W$2,POBLACION!$C$3:$W$3,0))</f>
        <v>34887</v>
      </c>
      <c r="Y56" s="258">
        <f t="shared" si="5"/>
        <v>17662.133022635113</v>
      </c>
      <c r="Z56" s="270">
        <f t="shared" si="6"/>
        <v>19437.21138784189</v>
      </c>
      <c r="AA56" s="273">
        <f t="shared" si="7"/>
        <v>4.247043151337845</v>
      </c>
      <c r="AB56" s="273">
        <f t="shared" si="7"/>
        <v>4.2886339578256658</v>
      </c>
    </row>
    <row r="57" spans="1:28" x14ac:dyDescent="0.2">
      <c r="A57" s="35" t="s">
        <v>212</v>
      </c>
      <c r="B57" s="32" t="s">
        <v>184</v>
      </c>
      <c r="C57" s="33" t="s">
        <v>145</v>
      </c>
      <c r="D57" s="32" t="s">
        <v>213</v>
      </c>
      <c r="E57" s="51">
        <f>SUMIFS('PIB Mpal 2015-2022 Cons'!H$5:H$1012,'PIB Mpal 2015-2022 Cons'!$A$5:$A$1012,$W$2,'PIB Mpal 2015-2022 Cons'!$E$5:$E$1012,$A57)</f>
        <v>8.230741155707042</v>
      </c>
      <c r="F57" s="51">
        <f>SUMIFS('PIB Mpal 2015-2022 Cons'!I$5:I$1012,'PIB Mpal 2015-2022 Cons'!$A$5:$A$1012,$W$2,'PIB Mpal 2015-2022 Cons'!$E$5:$E$1012,$A57)</f>
        <v>0</v>
      </c>
      <c r="G57" s="51">
        <f>SUMIFS('PIB Mpal 2015-2022 Cons'!K$5:K$1012,'PIB Mpal 2015-2022 Cons'!$A$5:$A$1012,$W$2,'PIB Mpal 2015-2022 Cons'!$E$5:$E$1012,$A57)</f>
        <v>5.122007165858502</v>
      </c>
      <c r="H57" s="51">
        <f>SUMIFS('PIB Mpal 2015-2022 Cons'!L$5:L$1012,'PIB Mpal 2015-2022 Cons'!$A$5:$A$1012,$W$2,'PIB Mpal 2015-2022 Cons'!$E$5:$E$1012,$A57)</f>
        <v>0.24037255819101233</v>
      </c>
      <c r="I57" s="51">
        <f>SUMIFS('PIB Mpal 2015-2022 Cons'!N$5:N$1012,'PIB Mpal 2015-2022 Cons'!$A$5:$A$1012,$W$2,'PIB Mpal 2015-2022 Cons'!$E$5:$E$1012,$A57)</f>
        <v>10.490733609389929</v>
      </c>
      <c r="J57" s="51">
        <f>SUMIFS('PIB Mpal 2015-2022 Cons'!O$5:O$1012,'PIB Mpal 2015-2022 Cons'!$A$5:$A$1012,$W$2,'PIB Mpal 2015-2022 Cons'!$E$5:$E$1012,$A57)</f>
        <v>12.181562382961232</v>
      </c>
      <c r="K57" s="51">
        <f>SUMIFS('PIB Mpal 2015-2022 Cons'!P$5:P$1012,'PIB Mpal 2015-2022 Cons'!$A$5:$A$1012,$W$2,'PIB Mpal 2015-2022 Cons'!$E$5:$E$1012,$A57)</f>
        <v>1.4130024055429475</v>
      </c>
      <c r="L57" s="51">
        <f>SUMIFS('PIB Mpal 2015-2022 Cons'!Q$5:Q$1012,'PIB Mpal 2015-2022 Cons'!$A$5:$A$1012,$W$2,'PIB Mpal 2015-2022 Cons'!$E$5:$E$1012,$A57)</f>
        <v>1.2498530365999294</v>
      </c>
      <c r="M57" s="51">
        <f>SUMIFS('PIB Mpal 2015-2022 Cons'!R$5:R$1012,'PIB Mpal 2015-2022 Cons'!$A$5:$A$1012,$W$2,'PIB Mpal 2015-2022 Cons'!$E$5:$E$1012,$A57)</f>
        <v>3.7465656589496166</v>
      </c>
      <c r="N57" s="51">
        <f>SUMIFS('PIB Mpal 2015-2022 Cons'!S$5:S$1012,'PIB Mpal 2015-2022 Cons'!$A$5:$A$1012,$W$2,'PIB Mpal 2015-2022 Cons'!$E$5:$E$1012,$A57)</f>
        <v>5.9462365522313991</v>
      </c>
      <c r="O57" s="51">
        <f>SUMIFS('PIB Mpal 2015-2022 Cons'!T$5:T$1012,'PIB Mpal 2015-2022 Cons'!$A$5:$A$1012,$W$2,'PIB Mpal 2015-2022 Cons'!$E$5:$E$1012,$A57)</f>
        <v>8.6264555039416244</v>
      </c>
      <c r="P57" s="150">
        <f>SUMIFS('PIB Mpal 2015-2022 Cons'!U$5:U$1012,'PIB Mpal 2015-2022 Cons'!$A$5:$A$1012,$W$2,'PIB Mpal 2015-2022 Cons'!$E$5:$E$1012,$A57)</f>
        <v>1.859034486583687</v>
      </c>
      <c r="Q57" s="217">
        <f>SUMIFS('PIB Mpal 2015-2022 Cons'!J$5:J$1012,'PIB Mpal 2015-2022 Cons'!$A$5:$A$1012,$W$2,'PIB Mpal 2015-2022 Cons'!$E$5:$E$1012,$A57)</f>
        <v>8.230741155707042</v>
      </c>
      <c r="R57" s="99">
        <f>SUMIFS('PIB Mpal 2015-2022 Cons'!M$5:M$1012,'PIB Mpal 2015-2022 Cons'!$A$5:$A$1012,$W$2,'PIB Mpal 2015-2022 Cons'!$E$5:$E$1012,$A57)</f>
        <v>5.3623797240495144</v>
      </c>
      <c r="S57" s="53">
        <f>SUMIFS('PIB Mpal 2015-2022 Cons'!V$5:V$1012,'PIB Mpal 2015-2022 Cons'!$A$5:$A$1012,$W$2,'PIB Mpal 2015-2022 Cons'!$E$5:$E$1012,$A57)</f>
        <v>45.513443636200371</v>
      </c>
      <c r="T57" s="153">
        <f>SUMIFS('PIB Mpal 2015-2022 Cons'!W$5:W$1012,'PIB Mpal 2015-2022 Cons'!$A$5:$A$1012,$W$2,'PIB Mpal 2015-2022 Cons'!$E$5:$E$1012,$A57)</f>
        <v>59.106564515956926</v>
      </c>
      <c r="U57" s="51">
        <f>SUMIFS('PIB Mpal 2015-2022 Cons'!X$5:X$1012,'PIB Mpal 2015-2022 Cons'!$A$5:$A$1012,$W$2,'PIB Mpal 2015-2022 Cons'!$E$5:$E$1012,$A57)</f>
        <v>5.9403235035559208</v>
      </c>
      <c r="V57" s="53">
        <f>SUMIFS('PIB Mpal 2015-2022 Cons'!Y$5:Y$1012,'PIB Mpal 2015-2022 Cons'!$A$5:$A$1012,$W$2,'PIB Mpal 2015-2022 Cons'!$E$5:$E$1012,$A57)</f>
        <v>65.046888019512849</v>
      </c>
      <c r="W57" s="92">
        <f t="shared" si="3"/>
        <v>5.6343869193758967E-4</v>
      </c>
      <c r="X57" s="268">
        <f>INDEX(POBLACION!$C$4:$W$128,MATCH(A57,POBLACION!$A$4:$A$128,0),MATCH($W$2,POBLACION!$C$3:$W$3,0))</f>
        <v>5085</v>
      </c>
      <c r="Y57" s="258">
        <f t="shared" si="5"/>
        <v>11623.709835979729</v>
      </c>
      <c r="Z57" s="270">
        <f t="shared" si="6"/>
        <v>12791.915048085122</v>
      </c>
      <c r="AA57" s="273">
        <f t="shared" si="7"/>
        <v>4.0653447600816275</v>
      </c>
      <c r="AB57" s="273">
        <f t="shared" si="7"/>
        <v>4.1069355665707015</v>
      </c>
    </row>
    <row r="58" spans="1:28" x14ac:dyDescent="0.2">
      <c r="A58" s="35" t="s">
        <v>214</v>
      </c>
      <c r="B58" s="32" t="s">
        <v>184</v>
      </c>
      <c r="C58" s="33" t="s">
        <v>145</v>
      </c>
      <c r="D58" s="32" t="s">
        <v>215</v>
      </c>
      <c r="E58" s="51">
        <f>SUMIFS('PIB Mpal 2015-2022 Cons'!H$5:H$1012,'PIB Mpal 2015-2022 Cons'!$A$5:$A$1012,$W$2,'PIB Mpal 2015-2022 Cons'!$E$5:$E$1012,$A58)</f>
        <v>10.794961437476154</v>
      </c>
      <c r="F58" s="51">
        <f>SUMIFS('PIB Mpal 2015-2022 Cons'!I$5:I$1012,'PIB Mpal 2015-2022 Cons'!$A$5:$A$1012,$W$2,'PIB Mpal 2015-2022 Cons'!$E$5:$E$1012,$A58)</f>
        <v>5.1386674251214899</v>
      </c>
      <c r="G58" s="51">
        <f>SUMIFS('PIB Mpal 2015-2022 Cons'!K$5:K$1012,'PIB Mpal 2015-2022 Cons'!$A$5:$A$1012,$W$2,'PIB Mpal 2015-2022 Cons'!$E$5:$E$1012,$A58)</f>
        <v>4.2409915068113113</v>
      </c>
      <c r="H58" s="51">
        <f>SUMIFS('PIB Mpal 2015-2022 Cons'!L$5:L$1012,'PIB Mpal 2015-2022 Cons'!$A$5:$A$1012,$W$2,'PIB Mpal 2015-2022 Cons'!$E$5:$E$1012,$A58)</f>
        <v>5.2088139452347262</v>
      </c>
      <c r="I58" s="51">
        <f>SUMIFS('PIB Mpal 2015-2022 Cons'!N$5:N$1012,'PIB Mpal 2015-2022 Cons'!$A$5:$A$1012,$W$2,'PIB Mpal 2015-2022 Cons'!$E$5:$E$1012,$A58)</f>
        <v>4.3101823653889326</v>
      </c>
      <c r="J58" s="51">
        <f>SUMIFS('PIB Mpal 2015-2022 Cons'!O$5:O$1012,'PIB Mpal 2015-2022 Cons'!$A$5:$A$1012,$W$2,'PIB Mpal 2015-2022 Cons'!$E$5:$E$1012,$A58)</f>
        <v>34.548538293527145</v>
      </c>
      <c r="K58" s="51">
        <f>SUMIFS('PIB Mpal 2015-2022 Cons'!P$5:P$1012,'PIB Mpal 2015-2022 Cons'!$A$5:$A$1012,$W$2,'PIB Mpal 2015-2022 Cons'!$E$5:$E$1012,$A58)</f>
        <v>3.0101219747754269</v>
      </c>
      <c r="L58" s="51">
        <f>SUMIFS('PIB Mpal 2015-2022 Cons'!Q$5:Q$1012,'PIB Mpal 2015-2022 Cons'!$A$5:$A$1012,$W$2,'PIB Mpal 2015-2022 Cons'!$E$5:$E$1012,$A58)</f>
        <v>2.5463284905967534</v>
      </c>
      <c r="M58" s="51">
        <f>SUMIFS('PIB Mpal 2015-2022 Cons'!R$5:R$1012,'PIB Mpal 2015-2022 Cons'!$A$5:$A$1012,$W$2,'PIB Mpal 2015-2022 Cons'!$E$5:$E$1012,$A58)</f>
        <v>6.143941980981487</v>
      </c>
      <c r="N58" s="51">
        <f>SUMIFS('PIB Mpal 2015-2022 Cons'!S$5:S$1012,'PIB Mpal 2015-2022 Cons'!$A$5:$A$1012,$W$2,'PIB Mpal 2015-2022 Cons'!$E$5:$E$1012,$A58)</f>
        <v>11.574807789158097</v>
      </c>
      <c r="O58" s="51">
        <f>SUMIFS('PIB Mpal 2015-2022 Cons'!T$5:T$1012,'PIB Mpal 2015-2022 Cons'!$A$5:$A$1012,$W$2,'PIB Mpal 2015-2022 Cons'!$E$5:$E$1012,$A58)</f>
        <v>20.944730457422938</v>
      </c>
      <c r="P58" s="150">
        <f>SUMIFS('PIB Mpal 2015-2022 Cons'!U$5:U$1012,'PIB Mpal 2015-2022 Cons'!$A$5:$A$1012,$W$2,'PIB Mpal 2015-2022 Cons'!$E$5:$E$1012,$A58)</f>
        <v>2.6474452240515407</v>
      </c>
      <c r="Q58" s="217">
        <f>SUMIFS('PIB Mpal 2015-2022 Cons'!J$5:J$1012,'PIB Mpal 2015-2022 Cons'!$A$5:$A$1012,$W$2,'PIB Mpal 2015-2022 Cons'!$E$5:$E$1012,$A58)</f>
        <v>15.933628862597644</v>
      </c>
      <c r="R58" s="99">
        <f>SUMIFS('PIB Mpal 2015-2022 Cons'!M$5:M$1012,'PIB Mpal 2015-2022 Cons'!$A$5:$A$1012,$W$2,'PIB Mpal 2015-2022 Cons'!$E$5:$E$1012,$A58)</f>
        <v>9.4498054520460375</v>
      </c>
      <c r="S58" s="53">
        <f>SUMIFS('PIB Mpal 2015-2022 Cons'!V$5:V$1012,'PIB Mpal 2015-2022 Cons'!$A$5:$A$1012,$W$2,'PIB Mpal 2015-2022 Cons'!$E$5:$E$1012,$A58)</f>
        <v>85.726096575902318</v>
      </c>
      <c r="T58" s="153">
        <f>SUMIFS('PIB Mpal 2015-2022 Cons'!W$5:W$1012,'PIB Mpal 2015-2022 Cons'!$A$5:$A$1012,$W$2,'PIB Mpal 2015-2022 Cons'!$E$5:$E$1012,$A58)</f>
        <v>111.109530890546</v>
      </c>
      <c r="U58" s="51">
        <f>SUMIFS('PIB Mpal 2015-2022 Cons'!X$5:X$1012,'PIB Mpal 2015-2022 Cons'!$A$5:$A$1012,$W$2,'PIB Mpal 2015-2022 Cons'!$E$5:$E$1012,$A58)</f>
        <v>11.166721720733882</v>
      </c>
      <c r="V58" s="53">
        <f>SUMIFS('PIB Mpal 2015-2022 Cons'!Y$5:Y$1012,'PIB Mpal 2015-2022 Cons'!$A$5:$A$1012,$W$2,'PIB Mpal 2015-2022 Cons'!$E$5:$E$1012,$A58)</f>
        <v>122.27625261127989</v>
      </c>
      <c r="W58" s="92">
        <f t="shared" si="3"/>
        <v>1.059161689728532E-3</v>
      </c>
      <c r="X58" s="268">
        <f>INDEX(POBLACION!$C$4:$W$128,MATCH(A58,POBLACION!$A$4:$A$128,0),MATCH($W$2,POBLACION!$C$3:$W$3,0))</f>
        <v>13698</v>
      </c>
      <c r="Y58" s="258">
        <f t="shared" si="5"/>
        <v>8111.3688779782451</v>
      </c>
      <c r="Z58" s="270">
        <f t="shared" si="6"/>
        <v>8926.5770631683372</v>
      </c>
      <c r="AA58" s="273">
        <f t="shared" si="7"/>
        <v>3.9090941521132301</v>
      </c>
      <c r="AB58" s="273">
        <f t="shared" si="7"/>
        <v>3.9506849586023107</v>
      </c>
    </row>
    <row r="59" spans="1:28" ht="16" thickBot="1" x14ac:dyDescent="0.25">
      <c r="A59" s="35" t="s">
        <v>216</v>
      </c>
      <c r="B59" s="63" t="s">
        <v>184</v>
      </c>
      <c r="C59" s="62" t="s">
        <v>145</v>
      </c>
      <c r="D59" s="63" t="s">
        <v>217</v>
      </c>
      <c r="E59" s="96">
        <f>SUMIFS('PIB Mpal 2015-2022 Cons'!H$5:H$1012,'PIB Mpal 2015-2022 Cons'!$A$5:$A$1012,$W$2,'PIB Mpal 2015-2022 Cons'!$E$5:$E$1012,$A59)</f>
        <v>46.485369739132302</v>
      </c>
      <c r="F59" s="96">
        <f>SUMIFS('PIB Mpal 2015-2022 Cons'!I$5:I$1012,'PIB Mpal 2015-2022 Cons'!$A$5:$A$1012,$W$2,'PIB Mpal 2015-2022 Cons'!$E$5:$E$1012,$A59)</f>
        <v>0.64665520158393264</v>
      </c>
      <c r="G59" s="96">
        <f>SUMIFS('PIB Mpal 2015-2022 Cons'!K$5:K$1012,'PIB Mpal 2015-2022 Cons'!$A$5:$A$1012,$W$2,'PIB Mpal 2015-2022 Cons'!$E$5:$E$1012,$A59)</f>
        <v>75.144668618463754</v>
      </c>
      <c r="H59" s="96">
        <f>SUMIFS('PIB Mpal 2015-2022 Cons'!L$5:L$1012,'PIB Mpal 2015-2022 Cons'!$A$5:$A$1012,$W$2,'PIB Mpal 2015-2022 Cons'!$E$5:$E$1012,$A59)</f>
        <v>31.011096713514377</v>
      </c>
      <c r="I59" s="96">
        <f>SUMIFS('PIB Mpal 2015-2022 Cons'!N$5:N$1012,'PIB Mpal 2015-2022 Cons'!$A$5:$A$1012,$W$2,'PIB Mpal 2015-2022 Cons'!$E$5:$E$1012,$A59)</f>
        <v>18.983596552770837</v>
      </c>
      <c r="J59" s="96">
        <f>SUMIFS('PIB Mpal 2015-2022 Cons'!O$5:O$1012,'PIB Mpal 2015-2022 Cons'!$A$5:$A$1012,$W$2,'PIB Mpal 2015-2022 Cons'!$E$5:$E$1012,$A59)</f>
        <v>104.70495264264527</v>
      </c>
      <c r="K59" s="96">
        <f>SUMIFS('PIB Mpal 2015-2022 Cons'!P$5:P$1012,'PIB Mpal 2015-2022 Cons'!$A$5:$A$1012,$W$2,'PIB Mpal 2015-2022 Cons'!$E$5:$E$1012,$A59)</f>
        <v>14.141333942380031</v>
      </c>
      <c r="L59" s="96">
        <f>SUMIFS('PIB Mpal 2015-2022 Cons'!Q$5:Q$1012,'PIB Mpal 2015-2022 Cons'!$A$5:$A$1012,$W$2,'PIB Mpal 2015-2022 Cons'!$E$5:$E$1012,$A59)</f>
        <v>12.732632869450166</v>
      </c>
      <c r="M59" s="96">
        <f>SUMIFS('PIB Mpal 2015-2022 Cons'!R$5:R$1012,'PIB Mpal 2015-2022 Cons'!$A$5:$A$1012,$W$2,'PIB Mpal 2015-2022 Cons'!$E$5:$E$1012,$A59)</f>
        <v>29.704040299248966</v>
      </c>
      <c r="N59" s="96">
        <f>SUMIFS('PIB Mpal 2015-2022 Cons'!S$5:S$1012,'PIB Mpal 2015-2022 Cons'!$A$5:$A$1012,$W$2,'PIB Mpal 2015-2022 Cons'!$E$5:$E$1012,$A59)</f>
        <v>44.071530681549469</v>
      </c>
      <c r="O59" s="96">
        <f>SUMIFS('PIB Mpal 2015-2022 Cons'!T$5:T$1012,'PIB Mpal 2015-2022 Cons'!$A$5:$A$1012,$W$2,'PIB Mpal 2015-2022 Cons'!$E$5:$E$1012,$A59)</f>
        <v>71.990717792143073</v>
      </c>
      <c r="P59" s="151">
        <f>SUMIFS('PIB Mpal 2015-2022 Cons'!U$5:U$1012,'PIB Mpal 2015-2022 Cons'!$A$5:$A$1012,$W$2,'PIB Mpal 2015-2022 Cons'!$E$5:$E$1012,$A59)</f>
        <v>10.669445313379837</v>
      </c>
      <c r="Q59" s="217">
        <f>SUMIFS('PIB Mpal 2015-2022 Cons'!J$5:J$1012,'PIB Mpal 2015-2022 Cons'!$A$5:$A$1012,$W$2,'PIB Mpal 2015-2022 Cons'!$E$5:$E$1012,$A59)</f>
        <v>47.132024940716235</v>
      </c>
      <c r="R59" s="99">
        <f>SUMIFS('PIB Mpal 2015-2022 Cons'!M$5:M$1012,'PIB Mpal 2015-2022 Cons'!$A$5:$A$1012,$W$2,'PIB Mpal 2015-2022 Cons'!$E$5:$E$1012,$A59)</f>
        <v>106.15576533197813</v>
      </c>
      <c r="S59" s="97">
        <f>SUMIFS('PIB Mpal 2015-2022 Cons'!V$5:V$1012,'PIB Mpal 2015-2022 Cons'!$A$5:$A$1012,$W$2,'PIB Mpal 2015-2022 Cons'!$E$5:$E$1012,$A59)</f>
        <v>306.99825009356761</v>
      </c>
      <c r="T59" s="154">
        <f>SUMIFS('PIB Mpal 2015-2022 Cons'!W$5:W$1012,'PIB Mpal 2015-2022 Cons'!$A$5:$A$1012,$W$2,'PIB Mpal 2015-2022 Cons'!$E$5:$E$1012,$A59)</f>
        <v>460.28604036626194</v>
      </c>
      <c r="U59" s="96">
        <f>SUMIFS('PIB Mpal 2015-2022 Cons'!X$5:X$1012,'PIB Mpal 2015-2022 Cons'!$A$5:$A$1012,$W$2,'PIB Mpal 2015-2022 Cons'!$E$5:$E$1012,$A59)</f>
        <v>46.2596330256494</v>
      </c>
      <c r="V59" s="97">
        <f>SUMIFS('PIB Mpal 2015-2022 Cons'!Y$5:Y$1012,'PIB Mpal 2015-2022 Cons'!$A$5:$A$1012,$W$2,'PIB Mpal 2015-2022 Cons'!$E$5:$E$1012,$A59)</f>
        <v>506.54567339191135</v>
      </c>
      <c r="W59" s="98">
        <f t="shared" si="3"/>
        <v>4.3877184645169679E-3</v>
      </c>
      <c r="X59" s="268">
        <f>INDEX(POBLACION!$C$4:$W$128,MATCH(A59,POBLACION!$A$4:$A$128,0),MATCH($W$2,POBLACION!$C$3:$W$3,0))</f>
        <v>40418</v>
      </c>
      <c r="Y59" s="258">
        <f t="shared" si="5"/>
        <v>11388.144895003759</v>
      </c>
      <c r="Z59" s="270">
        <f t="shared" si="6"/>
        <v>12532.675377107016</v>
      </c>
      <c r="AA59" s="273">
        <f t="shared" si="7"/>
        <v>4.0564529841774348</v>
      </c>
      <c r="AB59" s="273">
        <f t="shared" si="7"/>
        <v>4.0980437906660541</v>
      </c>
    </row>
    <row r="60" spans="1:28" ht="16" thickBot="1" x14ac:dyDescent="0.25">
      <c r="A60" s="116" t="s">
        <v>218</v>
      </c>
      <c r="B60" s="119" t="s">
        <v>219</v>
      </c>
      <c r="C60" s="117"/>
      <c r="D60" s="112"/>
      <c r="E60" s="113">
        <f>SUM(E61:E79)</f>
        <v>359.38172285524274</v>
      </c>
      <c r="F60" s="113">
        <f t="shared" ref="F60:V60" si="16">SUM(F61:F79)</f>
        <v>26.676497580852789</v>
      </c>
      <c r="G60" s="113">
        <f t="shared" si="16"/>
        <v>48.541289716863865</v>
      </c>
      <c r="H60" s="113">
        <f t="shared" si="16"/>
        <v>123.5510007556561</v>
      </c>
      <c r="I60" s="113">
        <f t="shared" si="16"/>
        <v>81.322477786302173</v>
      </c>
      <c r="J60" s="113">
        <f t="shared" si="16"/>
        <v>335.85560654409363</v>
      </c>
      <c r="K60" s="113">
        <f t="shared" si="16"/>
        <v>68.351307637168006</v>
      </c>
      <c r="L60" s="113">
        <f t="shared" si="16"/>
        <v>51.537556912522106</v>
      </c>
      <c r="M60" s="113">
        <f t="shared" si="16"/>
        <v>177.23088743434332</v>
      </c>
      <c r="N60" s="113">
        <f t="shared" si="16"/>
        <v>189.60876715597709</v>
      </c>
      <c r="O60" s="113">
        <f t="shared" si="16"/>
        <v>356.83503747397742</v>
      </c>
      <c r="P60" s="123">
        <f t="shared" si="16"/>
        <v>56.337556491890574</v>
      </c>
      <c r="Q60" s="193">
        <f t="shared" si="16"/>
        <v>386.05822043609555</v>
      </c>
      <c r="R60" s="113">
        <f t="shared" si="16"/>
        <v>172.09229047251998</v>
      </c>
      <c r="S60" s="114">
        <f t="shared" si="16"/>
        <v>1317.0791974362744</v>
      </c>
      <c r="T60" s="186">
        <f t="shared" si="16"/>
        <v>1875.22970834489</v>
      </c>
      <c r="U60" s="113">
        <f t="shared" si="16"/>
        <v>188.46419517338498</v>
      </c>
      <c r="V60" s="114">
        <f t="shared" si="16"/>
        <v>2063.693903518275</v>
      </c>
      <c r="W60" s="115">
        <f t="shared" si="3"/>
        <v>1.7875797427989292E-2</v>
      </c>
      <c r="X60" s="208">
        <f t="shared" ref="X60" si="17">SUM(X61:X79)</f>
        <v>206580</v>
      </c>
      <c r="Y60" s="258">
        <f t="shared" si="5"/>
        <v>9077.498830210523</v>
      </c>
      <c r="Z60" s="270">
        <f t="shared" si="6"/>
        <v>9989.8049352225535</v>
      </c>
      <c r="AA60" s="273">
        <f t="shared" si="7"/>
        <v>3.9579662016187336</v>
      </c>
      <c r="AB60" s="273">
        <f t="shared" si="7"/>
        <v>3.9995570081075091</v>
      </c>
    </row>
    <row r="61" spans="1:28" x14ac:dyDescent="0.2">
      <c r="A61" s="35" t="s">
        <v>220</v>
      </c>
      <c r="B61" s="101" t="s">
        <v>221</v>
      </c>
      <c r="C61" s="108" t="s">
        <v>222</v>
      </c>
      <c r="D61" s="101" t="s">
        <v>223</v>
      </c>
      <c r="E61" s="109">
        <f>SUMIFS('PIB Mpal 2015-2022 Cons'!H$5:H$1012,'PIB Mpal 2015-2022 Cons'!$A$5:$A$1012,$W$2,'PIB Mpal 2015-2022 Cons'!$E$5:$E$1012,$A61)</f>
        <v>2.6404835171951766</v>
      </c>
      <c r="F61" s="109">
        <f>SUMIFS('PIB Mpal 2015-2022 Cons'!I$5:I$1012,'PIB Mpal 2015-2022 Cons'!$A$5:$A$1012,$W$2,'PIB Mpal 2015-2022 Cons'!$E$5:$E$1012,$A61)</f>
        <v>0.63284285267910922</v>
      </c>
      <c r="G61" s="109">
        <f>SUMIFS('PIB Mpal 2015-2022 Cons'!K$5:K$1012,'PIB Mpal 2015-2022 Cons'!$A$5:$A$1012,$W$2,'PIB Mpal 2015-2022 Cons'!$E$5:$E$1012,$A61)</f>
        <v>0.63543300995407748</v>
      </c>
      <c r="H61" s="109">
        <f>SUMIFS('PIB Mpal 2015-2022 Cons'!L$5:L$1012,'PIB Mpal 2015-2022 Cons'!$A$5:$A$1012,$W$2,'PIB Mpal 2015-2022 Cons'!$E$5:$E$1012,$A61)</f>
        <v>1.0867919306043707</v>
      </c>
      <c r="I61" s="109">
        <f>SUMIFS('PIB Mpal 2015-2022 Cons'!N$5:N$1012,'PIB Mpal 2015-2022 Cons'!$A$5:$A$1012,$W$2,'PIB Mpal 2015-2022 Cons'!$E$5:$E$1012,$A61)</f>
        <v>0.89918179177465207</v>
      </c>
      <c r="J61" s="109">
        <f>SUMIFS('PIB Mpal 2015-2022 Cons'!O$5:O$1012,'PIB Mpal 2015-2022 Cons'!$A$5:$A$1012,$W$2,'PIB Mpal 2015-2022 Cons'!$E$5:$E$1012,$A61)</f>
        <v>1.8289276805979502</v>
      </c>
      <c r="K61" s="109">
        <f>SUMIFS('PIB Mpal 2015-2022 Cons'!P$5:P$1012,'PIB Mpal 2015-2022 Cons'!$A$5:$A$1012,$W$2,'PIB Mpal 2015-2022 Cons'!$E$5:$E$1012,$A61)</f>
        <v>0.53259864155030756</v>
      </c>
      <c r="L61" s="109">
        <f>SUMIFS('PIB Mpal 2015-2022 Cons'!Q$5:Q$1012,'PIB Mpal 2015-2022 Cons'!$A$5:$A$1012,$W$2,'PIB Mpal 2015-2022 Cons'!$E$5:$E$1012,$A61)</f>
        <v>0.33163986886695612</v>
      </c>
      <c r="M61" s="109">
        <f>SUMIFS('PIB Mpal 2015-2022 Cons'!R$5:R$1012,'PIB Mpal 2015-2022 Cons'!$A$5:$A$1012,$W$2,'PIB Mpal 2015-2022 Cons'!$E$5:$E$1012,$A61)</f>
        <v>1.1523264206029333</v>
      </c>
      <c r="N61" s="109">
        <f>SUMIFS('PIB Mpal 2015-2022 Cons'!S$5:S$1012,'PIB Mpal 2015-2022 Cons'!$A$5:$A$1012,$W$2,'PIB Mpal 2015-2022 Cons'!$E$5:$E$1012,$A61)</f>
        <v>2.0345901094866843</v>
      </c>
      <c r="O61" s="109">
        <f>SUMIFS('PIB Mpal 2015-2022 Cons'!T$5:T$1012,'PIB Mpal 2015-2022 Cons'!$A$5:$A$1012,$W$2,'PIB Mpal 2015-2022 Cons'!$E$5:$E$1012,$A61)</f>
        <v>5.9793067752151785</v>
      </c>
      <c r="P61" s="182">
        <f>SUMIFS('PIB Mpal 2015-2022 Cons'!U$5:U$1012,'PIB Mpal 2015-2022 Cons'!$A$5:$A$1012,$W$2,'PIB Mpal 2015-2022 Cons'!$E$5:$E$1012,$A61)</f>
        <v>0.44290730495920561</v>
      </c>
      <c r="Q61" s="217">
        <f>SUMIFS('PIB Mpal 2015-2022 Cons'!J$5:J$1012,'PIB Mpal 2015-2022 Cons'!$A$5:$A$1012,$W$2,'PIB Mpal 2015-2022 Cons'!$E$5:$E$1012,$A61)</f>
        <v>3.2733263698742858</v>
      </c>
      <c r="R61" s="99">
        <f>SUMIFS('PIB Mpal 2015-2022 Cons'!M$5:M$1012,'PIB Mpal 2015-2022 Cons'!$A$5:$A$1012,$W$2,'PIB Mpal 2015-2022 Cons'!$E$5:$E$1012,$A61)</f>
        <v>1.7222249405584482</v>
      </c>
      <c r="S61" s="110">
        <f>SUMIFS('PIB Mpal 2015-2022 Cons'!V$5:V$1012,'PIB Mpal 2015-2022 Cons'!$A$5:$A$1012,$W$2,'PIB Mpal 2015-2022 Cons'!$E$5:$E$1012,$A61)</f>
        <v>13.201478593053869</v>
      </c>
      <c r="T61" s="187">
        <f>SUMIFS('PIB Mpal 2015-2022 Cons'!W$5:W$1012,'PIB Mpal 2015-2022 Cons'!$A$5:$A$1012,$W$2,'PIB Mpal 2015-2022 Cons'!$E$5:$E$1012,$A61)</f>
        <v>18.197029903486602</v>
      </c>
      <c r="U61" s="109">
        <f>SUMIFS('PIB Mpal 2015-2022 Cons'!X$5:X$1012,'PIB Mpal 2015-2022 Cons'!$A$5:$A$1012,$W$2,'PIB Mpal 2015-2022 Cons'!$E$5:$E$1012,$A61)</f>
        <v>1.8288365313614674</v>
      </c>
      <c r="V61" s="110">
        <f>SUMIFS('PIB Mpal 2015-2022 Cons'!Y$5:Y$1012,'PIB Mpal 2015-2022 Cons'!$A$5:$A$1012,$W$2,'PIB Mpal 2015-2022 Cons'!$E$5:$E$1012,$A61)</f>
        <v>20.025866434848069</v>
      </c>
      <c r="W61" s="100">
        <f t="shared" si="3"/>
        <v>1.7346483947983622E-4</v>
      </c>
      <c r="X61" s="268">
        <f>INDEX(POBLACION!$C$4:$W$128,MATCH(A61,POBLACION!$A$4:$A$128,0),MATCH($W$2,POBLACION!$C$3:$W$3,0))</f>
        <v>2630</v>
      </c>
      <c r="Y61" s="258">
        <f t="shared" si="5"/>
        <v>6919.0227769911025</v>
      </c>
      <c r="Z61" s="270">
        <f t="shared" si="6"/>
        <v>7614.3978839726497</v>
      </c>
      <c r="AA61" s="273">
        <f t="shared" si="7"/>
        <v>3.8400447602761734</v>
      </c>
      <c r="AB61" s="273">
        <f t="shared" si="7"/>
        <v>3.8816355667650511</v>
      </c>
    </row>
    <row r="62" spans="1:28" x14ac:dyDescent="0.2">
      <c r="A62" s="35" t="s">
        <v>224</v>
      </c>
      <c r="B62" s="32" t="s">
        <v>221</v>
      </c>
      <c r="C62" s="33" t="s">
        <v>225</v>
      </c>
      <c r="D62" s="32" t="s">
        <v>226</v>
      </c>
      <c r="E62" s="51">
        <f>SUMIFS('PIB Mpal 2015-2022 Cons'!H$5:H$1012,'PIB Mpal 2015-2022 Cons'!$A$5:$A$1012,$W$2,'PIB Mpal 2015-2022 Cons'!$E$5:$E$1012,$A62)</f>
        <v>17.456241658474212</v>
      </c>
      <c r="F62" s="51">
        <f>SUMIFS('PIB Mpal 2015-2022 Cons'!I$5:I$1012,'PIB Mpal 2015-2022 Cons'!$A$5:$A$1012,$W$2,'PIB Mpal 2015-2022 Cons'!$E$5:$E$1012,$A62)</f>
        <v>0</v>
      </c>
      <c r="G62" s="51">
        <f>SUMIFS('PIB Mpal 2015-2022 Cons'!K$5:K$1012,'PIB Mpal 2015-2022 Cons'!$A$5:$A$1012,$W$2,'PIB Mpal 2015-2022 Cons'!$E$5:$E$1012,$A62)</f>
        <v>1.2940619212441111</v>
      </c>
      <c r="H62" s="51">
        <f>SUMIFS('PIB Mpal 2015-2022 Cons'!L$5:L$1012,'PIB Mpal 2015-2022 Cons'!$A$5:$A$1012,$W$2,'PIB Mpal 2015-2022 Cons'!$E$5:$E$1012,$A62)</f>
        <v>4.941121587013229</v>
      </c>
      <c r="I62" s="51">
        <f>SUMIFS('PIB Mpal 2015-2022 Cons'!N$5:N$1012,'PIB Mpal 2015-2022 Cons'!$A$5:$A$1012,$W$2,'PIB Mpal 2015-2022 Cons'!$E$5:$E$1012,$A62)</f>
        <v>1.6752241364836848</v>
      </c>
      <c r="J62" s="51">
        <f>SUMIFS('PIB Mpal 2015-2022 Cons'!O$5:O$1012,'PIB Mpal 2015-2022 Cons'!$A$5:$A$1012,$W$2,'PIB Mpal 2015-2022 Cons'!$E$5:$E$1012,$A62)</f>
        <v>5.7367464428869122</v>
      </c>
      <c r="K62" s="51">
        <f>SUMIFS('PIB Mpal 2015-2022 Cons'!P$5:P$1012,'PIB Mpal 2015-2022 Cons'!$A$5:$A$1012,$W$2,'PIB Mpal 2015-2022 Cons'!$E$5:$E$1012,$A62)</f>
        <v>1.9907599592477729</v>
      </c>
      <c r="L62" s="51">
        <f>SUMIFS('PIB Mpal 2015-2022 Cons'!Q$5:Q$1012,'PIB Mpal 2015-2022 Cons'!$A$5:$A$1012,$W$2,'PIB Mpal 2015-2022 Cons'!$E$5:$E$1012,$A62)</f>
        <v>1.8964852681919289</v>
      </c>
      <c r="M62" s="51">
        <f>SUMIFS('PIB Mpal 2015-2022 Cons'!R$5:R$1012,'PIB Mpal 2015-2022 Cons'!$A$5:$A$1012,$W$2,'PIB Mpal 2015-2022 Cons'!$E$5:$E$1012,$A62)</f>
        <v>4.9551983172983318</v>
      </c>
      <c r="N62" s="51">
        <f>SUMIFS('PIB Mpal 2015-2022 Cons'!S$5:S$1012,'PIB Mpal 2015-2022 Cons'!$A$5:$A$1012,$W$2,'PIB Mpal 2015-2022 Cons'!$E$5:$E$1012,$A62)</f>
        <v>6.6664927799548872</v>
      </c>
      <c r="O62" s="51">
        <f>SUMIFS('PIB Mpal 2015-2022 Cons'!T$5:T$1012,'PIB Mpal 2015-2022 Cons'!$A$5:$A$1012,$W$2,'PIB Mpal 2015-2022 Cons'!$E$5:$E$1012,$A62)</f>
        <v>13.250952876857532</v>
      </c>
      <c r="P62" s="150">
        <f>SUMIFS('PIB Mpal 2015-2022 Cons'!U$5:U$1012,'PIB Mpal 2015-2022 Cons'!$A$5:$A$1012,$W$2,'PIB Mpal 2015-2022 Cons'!$E$5:$E$1012,$A62)</f>
        <v>1.766913875447282</v>
      </c>
      <c r="Q62" s="217">
        <f>SUMIFS('PIB Mpal 2015-2022 Cons'!J$5:J$1012,'PIB Mpal 2015-2022 Cons'!$A$5:$A$1012,$W$2,'PIB Mpal 2015-2022 Cons'!$E$5:$E$1012,$A62)</f>
        <v>17.456241658474212</v>
      </c>
      <c r="R62" s="99">
        <f>SUMIFS('PIB Mpal 2015-2022 Cons'!M$5:M$1012,'PIB Mpal 2015-2022 Cons'!$A$5:$A$1012,$W$2,'PIB Mpal 2015-2022 Cons'!$E$5:$E$1012,$A62)</f>
        <v>6.2351835082573404</v>
      </c>
      <c r="S62" s="53">
        <f>SUMIFS('PIB Mpal 2015-2022 Cons'!V$5:V$1012,'PIB Mpal 2015-2022 Cons'!$A$5:$A$1012,$W$2,'PIB Mpal 2015-2022 Cons'!$E$5:$E$1012,$A62)</f>
        <v>37.938773656368333</v>
      </c>
      <c r="T62" s="153">
        <f>SUMIFS('PIB Mpal 2015-2022 Cons'!W$5:W$1012,'PIB Mpal 2015-2022 Cons'!$A$5:$A$1012,$W$2,'PIB Mpal 2015-2022 Cons'!$E$5:$E$1012,$A62)</f>
        <v>61.630198823099889</v>
      </c>
      <c r="U62" s="51">
        <f>SUMIFS('PIB Mpal 2015-2022 Cons'!X$5:X$1012,'PIB Mpal 2015-2022 Cons'!$A$5:$A$1012,$W$2,'PIB Mpal 2015-2022 Cons'!$E$5:$E$1012,$A62)</f>
        <v>6.1939536088678606</v>
      </c>
      <c r="V62" s="53">
        <f>SUMIFS('PIB Mpal 2015-2022 Cons'!Y$5:Y$1012,'PIB Mpal 2015-2022 Cons'!$A$5:$A$1012,$W$2,'PIB Mpal 2015-2022 Cons'!$E$5:$E$1012,$A62)</f>
        <v>67.824152431967747</v>
      </c>
      <c r="W62" s="92">
        <f t="shared" si="3"/>
        <v>5.8749546506482969E-4</v>
      </c>
      <c r="X62" s="268">
        <f>INDEX(POBLACION!$C$4:$W$128,MATCH(A62,POBLACION!$A$4:$A$128,0),MATCH($W$2,POBLACION!$C$3:$W$3,0))</f>
        <v>6976</v>
      </c>
      <c r="Y62" s="258">
        <f t="shared" si="5"/>
        <v>8834.6041890911529</v>
      </c>
      <c r="Z62" s="270">
        <f t="shared" si="6"/>
        <v>9722.4989151329919</v>
      </c>
      <c r="AA62" s="273">
        <f t="shared" si="7"/>
        <v>3.9461870968711632</v>
      </c>
      <c r="AB62" s="273">
        <f t="shared" si="7"/>
        <v>3.987777903359556</v>
      </c>
    </row>
    <row r="63" spans="1:28" x14ac:dyDescent="0.2">
      <c r="A63" s="35" t="s">
        <v>227</v>
      </c>
      <c r="B63" s="32" t="s">
        <v>221</v>
      </c>
      <c r="C63" s="33" t="s">
        <v>222</v>
      </c>
      <c r="D63" s="32" t="s">
        <v>228</v>
      </c>
      <c r="E63" s="51">
        <f>SUMIFS('PIB Mpal 2015-2022 Cons'!H$5:H$1012,'PIB Mpal 2015-2022 Cons'!$A$5:$A$1012,$W$2,'PIB Mpal 2015-2022 Cons'!$E$5:$E$1012,$A63)</f>
        <v>11.084227467458289</v>
      </c>
      <c r="F63" s="51">
        <f>SUMIFS('PIB Mpal 2015-2022 Cons'!I$5:I$1012,'PIB Mpal 2015-2022 Cons'!$A$5:$A$1012,$W$2,'PIB Mpal 2015-2022 Cons'!$E$5:$E$1012,$A63)</f>
        <v>0</v>
      </c>
      <c r="G63" s="51">
        <f>SUMIFS('PIB Mpal 2015-2022 Cons'!K$5:K$1012,'PIB Mpal 2015-2022 Cons'!$A$5:$A$1012,$W$2,'PIB Mpal 2015-2022 Cons'!$E$5:$E$1012,$A63)</f>
        <v>1.1344079563794203</v>
      </c>
      <c r="H63" s="51">
        <f>SUMIFS('PIB Mpal 2015-2022 Cons'!L$5:L$1012,'PIB Mpal 2015-2022 Cons'!$A$5:$A$1012,$W$2,'PIB Mpal 2015-2022 Cons'!$E$5:$E$1012,$A63)</f>
        <v>3.3119839093772478</v>
      </c>
      <c r="I63" s="51">
        <f>SUMIFS('PIB Mpal 2015-2022 Cons'!N$5:N$1012,'PIB Mpal 2015-2022 Cons'!$A$5:$A$1012,$W$2,'PIB Mpal 2015-2022 Cons'!$E$5:$E$1012,$A63)</f>
        <v>1.8294716499946304</v>
      </c>
      <c r="J63" s="51">
        <f>SUMIFS('PIB Mpal 2015-2022 Cons'!O$5:O$1012,'PIB Mpal 2015-2022 Cons'!$A$5:$A$1012,$W$2,'PIB Mpal 2015-2022 Cons'!$E$5:$E$1012,$A63)</f>
        <v>5.9713608828974714</v>
      </c>
      <c r="K63" s="51">
        <f>SUMIFS('PIB Mpal 2015-2022 Cons'!P$5:P$1012,'PIB Mpal 2015-2022 Cons'!$A$5:$A$1012,$W$2,'PIB Mpal 2015-2022 Cons'!$E$5:$E$1012,$A63)</f>
        <v>1.9428344228696164</v>
      </c>
      <c r="L63" s="51">
        <f>SUMIFS('PIB Mpal 2015-2022 Cons'!Q$5:Q$1012,'PIB Mpal 2015-2022 Cons'!$A$5:$A$1012,$W$2,'PIB Mpal 2015-2022 Cons'!$E$5:$E$1012,$A63)</f>
        <v>1.8062100661268854</v>
      </c>
      <c r="M63" s="51">
        <f>SUMIFS('PIB Mpal 2015-2022 Cons'!R$5:R$1012,'PIB Mpal 2015-2022 Cons'!$A$5:$A$1012,$W$2,'PIB Mpal 2015-2022 Cons'!$E$5:$E$1012,$A63)</f>
        <v>4.7869463093198661</v>
      </c>
      <c r="N63" s="51">
        <f>SUMIFS('PIB Mpal 2015-2022 Cons'!S$5:S$1012,'PIB Mpal 2015-2022 Cons'!$A$5:$A$1012,$W$2,'PIB Mpal 2015-2022 Cons'!$E$5:$E$1012,$A63)</f>
        <v>5.8203078824329006</v>
      </c>
      <c r="O63" s="51">
        <f>SUMIFS('PIB Mpal 2015-2022 Cons'!T$5:T$1012,'PIB Mpal 2015-2022 Cons'!$A$5:$A$1012,$W$2,'PIB Mpal 2015-2022 Cons'!$E$5:$E$1012,$A63)</f>
        <v>12.119292719569319</v>
      </c>
      <c r="P63" s="150">
        <f>SUMIFS('PIB Mpal 2015-2022 Cons'!U$5:U$1012,'PIB Mpal 2015-2022 Cons'!$A$5:$A$1012,$W$2,'PIB Mpal 2015-2022 Cons'!$E$5:$E$1012,$A63)</f>
        <v>2.1712115906605498</v>
      </c>
      <c r="Q63" s="217">
        <f>SUMIFS('PIB Mpal 2015-2022 Cons'!J$5:J$1012,'PIB Mpal 2015-2022 Cons'!$A$5:$A$1012,$W$2,'PIB Mpal 2015-2022 Cons'!$E$5:$E$1012,$A63)</f>
        <v>11.084227467458289</v>
      </c>
      <c r="R63" s="99">
        <f>SUMIFS('PIB Mpal 2015-2022 Cons'!M$5:M$1012,'PIB Mpal 2015-2022 Cons'!$A$5:$A$1012,$W$2,'PIB Mpal 2015-2022 Cons'!$E$5:$E$1012,$A63)</f>
        <v>4.4463918657566683</v>
      </c>
      <c r="S63" s="53">
        <f>SUMIFS('PIB Mpal 2015-2022 Cons'!V$5:V$1012,'PIB Mpal 2015-2022 Cons'!$A$5:$A$1012,$W$2,'PIB Mpal 2015-2022 Cons'!$E$5:$E$1012,$A63)</f>
        <v>36.447635523871242</v>
      </c>
      <c r="T63" s="153">
        <f>SUMIFS('PIB Mpal 2015-2022 Cons'!W$5:W$1012,'PIB Mpal 2015-2022 Cons'!$A$5:$A$1012,$W$2,'PIB Mpal 2015-2022 Cons'!$E$5:$E$1012,$A63)</f>
        <v>51.978254857086199</v>
      </c>
      <c r="U63" s="51">
        <f>SUMIFS('PIB Mpal 2015-2022 Cons'!X$5:X$1012,'PIB Mpal 2015-2022 Cons'!$A$5:$A$1012,$W$2,'PIB Mpal 2015-2022 Cons'!$E$5:$E$1012,$A63)</f>
        <v>5.2239146620617172</v>
      </c>
      <c r="V63" s="53">
        <f>SUMIFS('PIB Mpal 2015-2022 Cons'!Y$5:Y$1012,'PIB Mpal 2015-2022 Cons'!$A$5:$A$1012,$W$2,'PIB Mpal 2015-2022 Cons'!$E$5:$E$1012,$A63)</f>
        <v>57.202169519147915</v>
      </c>
      <c r="W63" s="92">
        <f t="shared" si="3"/>
        <v>4.9548743300667345E-4</v>
      </c>
      <c r="X63" s="268">
        <f>INDEX(POBLACION!$C$4:$W$128,MATCH(A63,POBLACION!$A$4:$A$128,0),MATCH($W$2,POBLACION!$C$3:$W$3,0))</f>
        <v>5282</v>
      </c>
      <c r="Y63" s="258">
        <f t="shared" si="5"/>
        <v>9840.6389354574403</v>
      </c>
      <c r="Z63" s="270">
        <f t="shared" si="6"/>
        <v>10829.64208995606</v>
      </c>
      <c r="AA63" s="273">
        <f t="shared" si="7"/>
        <v>3.9930232973271664</v>
      </c>
      <c r="AB63" s="273">
        <f t="shared" si="7"/>
        <v>4.0346141038159367</v>
      </c>
    </row>
    <row r="64" spans="1:28" x14ac:dyDescent="0.2">
      <c r="A64" s="35" t="s">
        <v>229</v>
      </c>
      <c r="B64" s="32" t="s">
        <v>221</v>
      </c>
      <c r="C64" s="33" t="s">
        <v>222</v>
      </c>
      <c r="D64" s="32" t="s">
        <v>230</v>
      </c>
      <c r="E64" s="51">
        <f>SUMIFS('PIB Mpal 2015-2022 Cons'!H$5:H$1012,'PIB Mpal 2015-2022 Cons'!$A$5:$A$1012,$W$2,'PIB Mpal 2015-2022 Cons'!$E$5:$E$1012,$A64)</f>
        <v>6.931829317148364</v>
      </c>
      <c r="F64" s="51">
        <f>SUMIFS('PIB Mpal 2015-2022 Cons'!I$5:I$1012,'PIB Mpal 2015-2022 Cons'!$A$5:$A$1012,$W$2,'PIB Mpal 2015-2022 Cons'!$E$5:$E$1012,$A64)</f>
        <v>12.005107679819897</v>
      </c>
      <c r="G64" s="51">
        <f>SUMIFS('PIB Mpal 2015-2022 Cons'!K$5:K$1012,'PIB Mpal 2015-2022 Cons'!$A$5:$A$1012,$W$2,'PIB Mpal 2015-2022 Cons'!$E$5:$E$1012,$A64)</f>
        <v>3.7402311240058821</v>
      </c>
      <c r="H64" s="51">
        <f>SUMIFS('PIB Mpal 2015-2022 Cons'!L$5:L$1012,'PIB Mpal 2015-2022 Cons'!$A$5:$A$1012,$W$2,'PIB Mpal 2015-2022 Cons'!$E$5:$E$1012,$A64)</f>
        <v>1.2459467435458147</v>
      </c>
      <c r="I64" s="51">
        <f>SUMIFS('PIB Mpal 2015-2022 Cons'!N$5:N$1012,'PIB Mpal 2015-2022 Cons'!$A$5:$A$1012,$W$2,'PIB Mpal 2015-2022 Cons'!$E$5:$E$1012,$A64)</f>
        <v>5.2946474983544043</v>
      </c>
      <c r="J64" s="51">
        <f>SUMIFS('PIB Mpal 2015-2022 Cons'!O$5:O$1012,'PIB Mpal 2015-2022 Cons'!$A$5:$A$1012,$W$2,'PIB Mpal 2015-2022 Cons'!$E$5:$E$1012,$A64)</f>
        <v>5.6553027841956887</v>
      </c>
      <c r="K64" s="51">
        <f>SUMIFS('PIB Mpal 2015-2022 Cons'!P$5:P$1012,'PIB Mpal 2015-2022 Cons'!$A$5:$A$1012,$W$2,'PIB Mpal 2015-2022 Cons'!$E$5:$E$1012,$A64)</f>
        <v>2.7805733618339596</v>
      </c>
      <c r="L64" s="51">
        <f>SUMIFS('PIB Mpal 2015-2022 Cons'!Q$5:Q$1012,'PIB Mpal 2015-2022 Cons'!$A$5:$A$1012,$W$2,'PIB Mpal 2015-2022 Cons'!$E$5:$E$1012,$A64)</f>
        <v>2.0069874239161689</v>
      </c>
      <c r="M64" s="51">
        <f>SUMIFS('PIB Mpal 2015-2022 Cons'!R$5:R$1012,'PIB Mpal 2015-2022 Cons'!$A$5:$A$1012,$W$2,'PIB Mpal 2015-2022 Cons'!$E$5:$E$1012,$A64)</f>
        <v>9.1505226578510186</v>
      </c>
      <c r="N64" s="51">
        <f>SUMIFS('PIB Mpal 2015-2022 Cons'!S$5:S$1012,'PIB Mpal 2015-2022 Cons'!$A$5:$A$1012,$W$2,'PIB Mpal 2015-2022 Cons'!$E$5:$E$1012,$A64)</f>
        <v>6.3234340909719489</v>
      </c>
      <c r="O64" s="51">
        <f>SUMIFS('PIB Mpal 2015-2022 Cons'!T$5:T$1012,'PIB Mpal 2015-2022 Cons'!$A$5:$A$1012,$W$2,'PIB Mpal 2015-2022 Cons'!$E$5:$E$1012,$A64)</f>
        <v>10.354083894372341</v>
      </c>
      <c r="P64" s="150">
        <f>SUMIFS('PIB Mpal 2015-2022 Cons'!U$5:U$1012,'PIB Mpal 2015-2022 Cons'!$A$5:$A$1012,$W$2,'PIB Mpal 2015-2022 Cons'!$E$5:$E$1012,$A64)</f>
        <v>2.8747357048289706</v>
      </c>
      <c r="Q64" s="217">
        <f>SUMIFS('PIB Mpal 2015-2022 Cons'!J$5:J$1012,'PIB Mpal 2015-2022 Cons'!$A$5:$A$1012,$W$2,'PIB Mpal 2015-2022 Cons'!$E$5:$E$1012,$A64)</f>
        <v>18.93693699696826</v>
      </c>
      <c r="R64" s="99">
        <f>SUMIFS('PIB Mpal 2015-2022 Cons'!M$5:M$1012,'PIB Mpal 2015-2022 Cons'!$A$5:$A$1012,$W$2,'PIB Mpal 2015-2022 Cons'!$E$5:$E$1012,$A64)</f>
        <v>4.9861778675516968</v>
      </c>
      <c r="S64" s="53">
        <f>SUMIFS('PIB Mpal 2015-2022 Cons'!V$5:V$1012,'PIB Mpal 2015-2022 Cons'!$A$5:$A$1012,$W$2,'PIB Mpal 2015-2022 Cons'!$E$5:$E$1012,$A64)</f>
        <v>44.440287416324502</v>
      </c>
      <c r="T64" s="153">
        <f>SUMIFS('PIB Mpal 2015-2022 Cons'!W$5:W$1012,'PIB Mpal 2015-2022 Cons'!$A$5:$A$1012,$W$2,'PIB Mpal 2015-2022 Cons'!$E$5:$E$1012,$A64)</f>
        <v>68.363402280844454</v>
      </c>
      <c r="U64" s="51">
        <f>SUMIFS('PIB Mpal 2015-2022 Cons'!X$5:X$1012,'PIB Mpal 2015-2022 Cons'!$A$5:$A$1012,$W$2,'PIB Mpal 2015-2022 Cons'!$E$5:$E$1012,$A64)</f>
        <v>6.8706535166139204</v>
      </c>
      <c r="V64" s="53">
        <f>SUMIFS('PIB Mpal 2015-2022 Cons'!Y$5:Y$1012,'PIB Mpal 2015-2022 Cons'!$A$5:$A$1012,$W$2,'PIB Mpal 2015-2022 Cons'!$E$5:$E$1012,$A64)</f>
        <v>75.234055797458382</v>
      </c>
      <c r="W64" s="92">
        <f t="shared" si="3"/>
        <v>6.5168033826558229E-4</v>
      </c>
      <c r="X64" s="268">
        <f>INDEX(POBLACION!$C$4:$W$128,MATCH(A64,POBLACION!$A$4:$A$128,0),MATCH($W$2,POBLACION!$C$3:$W$3,0))</f>
        <v>9102</v>
      </c>
      <c r="Y64" s="258">
        <f t="shared" si="5"/>
        <v>7510.8110613979852</v>
      </c>
      <c r="Z64" s="270">
        <f t="shared" si="6"/>
        <v>8265.662030043768</v>
      </c>
      <c r="AA64" s="273">
        <f t="shared" si="7"/>
        <v>3.8756868371999742</v>
      </c>
      <c r="AB64" s="273">
        <f t="shared" si="7"/>
        <v>3.9172776436885188</v>
      </c>
    </row>
    <row r="65" spans="1:28" x14ac:dyDescent="0.2">
      <c r="A65" s="35" t="s">
        <v>231</v>
      </c>
      <c r="B65" s="32" t="s">
        <v>221</v>
      </c>
      <c r="C65" s="33" t="s">
        <v>225</v>
      </c>
      <c r="D65" s="32" t="s">
        <v>232</v>
      </c>
      <c r="E65" s="51">
        <f>SUMIFS('PIB Mpal 2015-2022 Cons'!H$5:H$1012,'PIB Mpal 2015-2022 Cons'!$A$5:$A$1012,$W$2,'PIB Mpal 2015-2022 Cons'!$E$5:$E$1012,$A65)</f>
        <v>17.87181303753788</v>
      </c>
      <c r="F65" s="51">
        <f>SUMIFS('PIB Mpal 2015-2022 Cons'!I$5:I$1012,'PIB Mpal 2015-2022 Cons'!$A$5:$A$1012,$W$2,'PIB Mpal 2015-2022 Cons'!$E$5:$E$1012,$A65)</f>
        <v>1.5018384477913109</v>
      </c>
      <c r="G65" s="51">
        <f>SUMIFS('PIB Mpal 2015-2022 Cons'!K$5:K$1012,'PIB Mpal 2015-2022 Cons'!$A$5:$A$1012,$W$2,'PIB Mpal 2015-2022 Cons'!$E$5:$E$1012,$A65)</f>
        <v>2.4458161715917388</v>
      </c>
      <c r="H65" s="51">
        <f>SUMIFS('PIB Mpal 2015-2022 Cons'!L$5:L$1012,'PIB Mpal 2015-2022 Cons'!$A$5:$A$1012,$W$2,'PIB Mpal 2015-2022 Cons'!$E$5:$E$1012,$A65)</f>
        <v>3.665742483553363</v>
      </c>
      <c r="I65" s="51">
        <f>SUMIFS('PIB Mpal 2015-2022 Cons'!N$5:N$1012,'PIB Mpal 2015-2022 Cons'!$A$5:$A$1012,$W$2,'PIB Mpal 2015-2022 Cons'!$E$5:$E$1012,$A65)</f>
        <v>1.869937111328059</v>
      </c>
      <c r="J65" s="51">
        <f>SUMIFS('PIB Mpal 2015-2022 Cons'!O$5:O$1012,'PIB Mpal 2015-2022 Cons'!$A$5:$A$1012,$W$2,'PIB Mpal 2015-2022 Cons'!$E$5:$E$1012,$A65)</f>
        <v>9.4233496177699276</v>
      </c>
      <c r="K65" s="51">
        <f>SUMIFS('PIB Mpal 2015-2022 Cons'!P$5:P$1012,'PIB Mpal 2015-2022 Cons'!$A$5:$A$1012,$W$2,'PIB Mpal 2015-2022 Cons'!$E$5:$E$1012,$A65)</f>
        <v>2.2980552705923594</v>
      </c>
      <c r="L65" s="51">
        <f>SUMIFS('PIB Mpal 2015-2022 Cons'!Q$5:Q$1012,'PIB Mpal 2015-2022 Cons'!$A$5:$A$1012,$W$2,'PIB Mpal 2015-2022 Cons'!$E$5:$E$1012,$A65)</f>
        <v>2.1170464470848001</v>
      </c>
      <c r="M65" s="51">
        <f>SUMIFS('PIB Mpal 2015-2022 Cons'!R$5:R$1012,'PIB Mpal 2015-2022 Cons'!$A$5:$A$1012,$W$2,'PIB Mpal 2015-2022 Cons'!$E$5:$E$1012,$A65)</f>
        <v>5.2864855251938225</v>
      </c>
      <c r="N65" s="51">
        <f>SUMIFS('PIB Mpal 2015-2022 Cons'!S$5:S$1012,'PIB Mpal 2015-2022 Cons'!$A$5:$A$1012,$W$2,'PIB Mpal 2015-2022 Cons'!$E$5:$E$1012,$A65)</f>
        <v>7.4072894256314443</v>
      </c>
      <c r="O65" s="51">
        <f>SUMIFS('PIB Mpal 2015-2022 Cons'!T$5:T$1012,'PIB Mpal 2015-2022 Cons'!$A$5:$A$1012,$W$2,'PIB Mpal 2015-2022 Cons'!$E$5:$E$1012,$A65)</f>
        <v>15.325475173846771</v>
      </c>
      <c r="P65" s="150">
        <f>SUMIFS('PIB Mpal 2015-2022 Cons'!U$5:U$1012,'PIB Mpal 2015-2022 Cons'!$A$5:$A$1012,$W$2,'PIB Mpal 2015-2022 Cons'!$E$5:$E$1012,$A65)</f>
        <v>1.9158655239197702</v>
      </c>
      <c r="Q65" s="217">
        <f>SUMIFS('PIB Mpal 2015-2022 Cons'!J$5:J$1012,'PIB Mpal 2015-2022 Cons'!$A$5:$A$1012,$W$2,'PIB Mpal 2015-2022 Cons'!$E$5:$E$1012,$A65)</f>
        <v>19.373651485329191</v>
      </c>
      <c r="R65" s="99">
        <f>SUMIFS('PIB Mpal 2015-2022 Cons'!M$5:M$1012,'PIB Mpal 2015-2022 Cons'!$A$5:$A$1012,$W$2,'PIB Mpal 2015-2022 Cons'!$E$5:$E$1012,$A65)</f>
        <v>6.1115586551451013</v>
      </c>
      <c r="S65" s="53">
        <f>SUMIFS('PIB Mpal 2015-2022 Cons'!V$5:V$1012,'PIB Mpal 2015-2022 Cons'!$A$5:$A$1012,$W$2,'PIB Mpal 2015-2022 Cons'!$E$5:$E$1012,$A65)</f>
        <v>45.64350409536695</v>
      </c>
      <c r="T65" s="153">
        <f>SUMIFS('PIB Mpal 2015-2022 Cons'!W$5:W$1012,'PIB Mpal 2015-2022 Cons'!$A$5:$A$1012,$W$2,'PIB Mpal 2015-2022 Cons'!$E$5:$E$1012,$A65)</f>
        <v>71.128714235841244</v>
      </c>
      <c r="U65" s="51">
        <f>SUMIFS('PIB Mpal 2015-2022 Cons'!X$5:X$1012,'PIB Mpal 2015-2022 Cons'!$A$5:$A$1012,$W$2,'PIB Mpal 2015-2022 Cons'!$E$5:$E$1012,$A65)</f>
        <v>7.1485726908180744</v>
      </c>
      <c r="V65" s="53">
        <f>SUMIFS('PIB Mpal 2015-2022 Cons'!Y$5:Y$1012,'PIB Mpal 2015-2022 Cons'!$A$5:$A$1012,$W$2,'PIB Mpal 2015-2022 Cons'!$E$5:$E$1012,$A65)</f>
        <v>78.277286926659315</v>
      </c>
      <c r="W65" s="92">
        <f t="shared" si="3"/>
        <v>6.7804092551129898E-4</v>
      </c>
      <c r="X65" s="268">
        <f>INDEX(POBLACION!$C$4:$W$128,MATCH(A65,POBLACION!$A$4:$A$128,0),MATCH($W$2,POBLACION!$C$3:$W$3,0))</f>
        <v>8168</v>
      </c>
      <c r="Y65" s="258">
        <f t="shared" si="5"/>
        <v>8708.216728188203</v>
      </c>
      <c r="Z65" s="270">
        <f t="shared" si="6"/>
        <v>9583.4092711385056</v>
      </c>
      <c r="AA65" s="273">
        <f t="shared" si="7"/>
        <v>3.9399292291293841</v>
      </c>
      <c r="AB65" s="273">
        <f t="shared" si="7"/>
        <v>3.9815200356178919</v>
      </c>
    </row>
    <row r="66" spans="1:28" x14ac:dyDescent="0.2">
      <c r="A66" s="35" t="s">
        <v>233</v>
      </c>
      <c r="B66" s="32" t="s">
        <v>221</v>
      </c>
      <c r="C66" s="33" t="s">
        <v>222</v>
      </c>
      <c r="D66" s="32" t="s">
        <v>234</v>
      </c>
      <c r="E66" s="51">
        <f>SUMIFS('PIB Mpal 2015-2022 Cons'!H$5:H$1012,'PIB Mpal 2015-2022 Cons'!$A$5:$A$1012,$W$2,'PIB Mpal 2015-2022 Cons'!$E$5:$E$1012,$A66)</f>
        <v>21.495908110337176</v>
      </c>
      <c r="F66" s="51">
        <f>SUMIFS('PIB Mpal 2015-2022 Cons'!I$5:I$1012,'PIB Mpal 2015-2022 Cons'!$A$5:$A$1012,$W$2,'PIB Mpal 2015-2022 Cons'!$E$5:$E$1012,$A66)</f>
        <v>0.37886372138074975</v>
      </c>
      <c r="G66" s="51">
        <f>SUMIFS('PIB Mpal 2015-2022 Cons'!K$5:K$1012,'PIB Mpal 2015-2022 Cons'!$A$5:$A$1012,$W$2,'PIB Mpal 2015-2022 Cons'!$E$5:$E$1012,$A66)</f>
        <v>1.3448885319887045</v>
      </c>
      <c r="H66" s="51">
        <f>SUMIFS('PIB Mpal 2015-2022 Cons'!L$5:L$1012,'PIB Mpal 2015-2022 Cons'!$A$5:$A$1012,$W$2,'PIB Mpal 2015-2022 Cons'!$E$5:$E$1012,$A66)</f>
        <v>8.4296836212987838</v>
      </c>
      <c r="I66" s="51">
        <f>SUMIFS('PIB Mpal 2015-2022 Cons'!N$5:N$1012,'PIB Mpal 2015-2022 Cons'!$A$5:$A$1012,$W$2,'PIB Mpal 2015-2022 Cons'!$E$5:$E$1012,$A66)</f>
        <v>12.226744698419726</v>
      </c>
      <c r="J66" s="51">
        <f>SUMIFS('PIB Mpal 2015-2022 Cons'!O$5:O$1012,'PIB Mpal 2015-2022 Cons'!$A$5:$A$1012,$W$2,'PIB Mpal 2015-2022 Cons'!$E$5:$E$1012,$A66)</f>
        <v>18.692284895491706</v>
      </c>
      <c r="K66" s="51">
        <f>SUMIFS('PIB Mpal 2015-2022 Cons'!P$5:P$1012,'PIB Mpal 2015-2022 Cons'!$A$5:$A$1012,$W$2,'PIB Mpal 2015-2022 Cons'!$E$5:$E$1012,$A66)</f>
        <v>3.5745162762863143</v>
      </c>
      <c r="L66" s="51">
        <f>SUMIFS('PIB Mpal 2015-2022 Cons'!Q$5:Q$1012,'PIB Mpal 2015-2022 Cons'!$A$5:$A$1012,$W$2,'PIB Mpal 2015-2022 Cons'!$E$5:$E$1012,$A66)</f>
        <v>2.6075727526259453</v>
      </c>
      <c r="M66" s="51">
        <f>SUMIFS('PIB Mpal 2015-2022 Cons'!R$5:R$1012,'PIB Mpal 2015-2022 Cons'!$A$5:$A$1012,$W$2,'PIB Mpal 2015-2022 Cons'!$E$5:$E$1012,$A66)</f>
        <v>9.2450629923619427</v>
      </c>
      <c r="N66" s="51">
        <f>SUMIFS('PIB Mpal 2015-2022 Cons'!S$5:S$1012,'PIB Mpal 2015-2022 Cons'!$A$5:$A$1012,$W$2,'PIB Mpal 2015-2022 Cons'!$E$5:$E$1012,$A66)</f>
        <v>9.2107235081839693</v>
      </c>
      <c r="O66" s="51">
        <f>SUMIFS('PIB Mpal 2015-2022 Cons'!T$5:T$1012,'PIB Mpal 2015-2022 Cons'!$A$5:$A$1012,$W$2,'PIB Mpal 2015-2022 Cons'!$E$5:$E$1012,$A66)</f>
        <v>20.407542820854538</v>
      </c>
      <c r="P66" s="150">
        <f>SUMIFS('PIB Mpal 2015-2022 Cons'!U$5:U$1012,'PIB Mpal 2015-2022 Cons'!$A$5:$A$1012,$W$2,'PIB Mpal 2015-2022 Cons'!$E$5:$E$1012,$A66)</f>
        <v>2.6232878087215767</v>
      </c>
      <c r="Q66" s="217">
        <f>SUMIFS('PIB Mpal 2015-2022 Cons'!J$5:J$1012,'PIB Mpal 2015-2022 Cons'!$A$5:$A$1012,$W$2,'PIB Mpal 2015-2022 Cons'!$E$5:$E$1012,$A66)</f>
        <v>21.874771831717926</v>
      </c>
      <c r="R66" s="99">
        <f>SUMIFS('PIB Mpal 2015-2022 Cons'!M$5:M$1012,'PIB Mpal 2015-2022 Cons'!$A$5:$A$1012,$W$2,'PIB Mpal 2015-2022 Cons'!$E$5:$E$1012,$A66)</f>
        <v>9.7745721532874885</v>
      </c>
      <c r="S66" s="53">
        <f>SUMIFS('PIB Mpal 2015-2022 Cons'!V$5:V$1012,'PIB Mpal 2015-2022 Cons'!$A$5:$A$1012,$W$2,'PIB Mpal 2015-2022 Cons'!$E$5:$E$1012,$A66)</f>
        <v>78.587735752945719</v>
      </c>
      <c r="T66" s="153">
        <f>SUMIFS('PIB Mpal 2015-2022 Cons'!W$5:W$1012,'PIB Mpal 2015-2022 Cons'!$A$5:$A$1012,$W$2,'PIB Mpal 2015-2022 Cons'!$E$5:$E$1012,$A66)</f>
        <v>110.23707973795113</v>
      </c>
      <c r="U66" s="51">
        <f>SUMIFS('PIB Mpal 2015-2022 Cons'!X$5:X$1012,'PIB Mpal 2015-2022 Cons'!$A$5:$A$1012,$W$2,'PIB Mpal 2015-2022 Cons'!$E$5:$E$1012,$A66)</f>
        <v>11.079038700511322</v>
      </c>
      <c r="V66" s="53">
        <f>SUMIFS('PIB Mpal 2015-2022 Cons'!Y$5:Y$1012,'PIB Mpal 2015-2022 Cons'!$A$5:$A$1012,$W$2,'PIB Mpal 2015-2022 Cons'!$E$5:$E$1012,$A66)</f>
        <v>121.31611843846245</v>
      </c>
      <c r="W66" s="92">
        <f t="shared" si="3"/>
        <v>1.0508449699147486E-3</v>
      </c>
      <c r="X66" s="268">
        <f>INDEX(POBLACION!$C$4:$W$128,MATCH(A66,POBLACION!$A$4:$A$128,0),MATCH($W$2,POBLACION!$C$3:$W$3,0))</f>
        <v>15744</v>
      </c>
      <c r="Y66" s="258">
        <f t="shared" si="5"/>
        <v>7001.8470362011649</v>
      </c>
      <c r="Z66" s="270">
        <f t="shared" si="6"/>
        <v>7705.5461406543736</v>
      </c>
      <c r="AA66" s="273">
        <f t="shared" si="7"/>
        <v>3.8452126188455527</v>
      </c>
      <c r="AB66" s="273">
        <f t="shared" si="7"/>
        <v>3.8868034253343744</v>
      </c>
    </row>
    <row r="67" spans="1:28" x14ac:dyDescent="0.2">
      <c r="A67" s="35" t="s">
        <v>235</v>
      </c>
      <c r="B67" s="32" t="s">
        <v>221</v>
      </c>
      <c r="C67" s="33" t="s">
        <v>222</v>
      </c>
      <c r="D67" s="32" t="s">
        <v>236</v>
      </c>
      <c r="E67" s="51">
        <f>SUMIFS('PIB Mpal 2015-2022 Cons'!H$5:H$1012,'PIB Mpal 2015-2022 Cons'!$A$5:$A$1012,$W$2,'PIB Mpal 2015-2022 Cons'!$E$5:$E$1012,$A67)</f>
        <v>84.849990444724185</v>
      </c>
      <c r="F67" s="51">
        <f>SUMIFS('PIB Mpal 2015-2022 Cons'!I$5:I$1012,'PIB Mpal 2015-2022 Cons'!$A$5:$A$1012,$W$2,'PIB Mpal 2015-2022 Cons'!$E$5:$E$1012,$A67)</f>
        <v>2.1182481343020356</v>
      </c>
      <c r="G67" s="51">
        <f>SUMIFS('PIB Mpal 2015-2022 Cons'!K$5:K$1012,'PIB Mpal 2015-2022 Cons'!$A$5:$A$1012,$W$2,'PIB Mpal 2015-2022 Cons'!$E$5:$E$1012,$A67)</f>
        <v>5.0491846039989383</v>
      </c>
      <c r="H67" s="51">
        <f>SUMIFS('PIB Mpal 2015-2022 Cons'!L$5:L$1012,'PIB Mpal 2015-2022 Cons'!$A$5:$A$1012,$W$2,'PIB Mpal 2015-2022 Cons'!$E$5:$E$1012,$A67)</f>
        <v>15.847763522397909</v>
      </c>
      <c r="I67" s="51">
        <f>SUMIFS('PIB Mpal 2015-2022 Cons'!N$5:N$1012,'PIB Mpal 2015-2022 Cons'!$A$5:$A$1012,$W$2,'PIB Mpal 2015-2022 Cons'!$E$5:$E$1012,$A67)</f>
        <v>6.6365342722082188</v>
      </c>
      <c r="J67" s="51">
        <f>SUMIFS('PIB Mpal 2015-2022 Cons'!O$5:O$1012,'PIB Mpal 2015-2022 Cons'!$A$5:$A$1012,$W$2,'PIB Mpal 2015-2022 Cons'!$E$5:$E$1012,$A67)</f>
        <v>36.342665671284941</v>
      </c>
      <c r="K67" s="51">
        <f>SUMIFS('PIB Mpal 2015-2022 Cons'!P$5:P$1012,'PIB Mpal 2015-2022 Cons'!$A$5:$A$1012,$W$2,'PIB Mpal 2015-2022 Cons'!$E$5:$E$1012,$A67)</f>
        <v>7.1303697218402231</v>
      </c>
      <c r="L67" s="51">
        <f>SUMIFS('PIB Mpal 2015-2022 Cons'!Q$5:Q$1012,'PIB Mpal 2015-2022 Cons'!$A$5:$A$1012,$W$2,'PIB Mpal 2015-2022 Cons'!$E$5:$E$1012,$A67)</f>
        <v>5.6686050157370458</v>
      </c>
      <c r="M67" s="51">
        <f>SUMIFS('PIB Mpal 2015-2022 Cons'!R$5:R$1012,'PIB Mpal 2015-2022 Cons'!$A$5:$A$1012,$W$2,'PIB Mpal 2015-2022 Cons'!$E$5:$E$1012,$A67)</f>
        <v>13.652148077865952</v>
      </c>
      <c r="N67" s="51">
        <f>SUMIFS('PIB Mpal 2015-2022 Cons'!S$5:S$1012,'PIB Mpal 2015-2022 Cons'!$A$5:$A$1012,$W$2,'PIB Mpal 2015-2022 Cons'!$E$5:$E$1012,$A67)</f>
        <v>20.516972271675524</v>
      </c>
      <c r="O67" s="51">
        <f>SUMIFS('PIB Mpal 2015-2022 Cons'!T$5:T$1012,'PIB Mpal 2015-2022 Cons'!$A$5:$A$1012,$W$2,'PIB Mpal 2015-2022 Cons'!$E$5:$E$1012,$A67)</f>
        <v>32.965161968927944</v>
      </c>
      <c r="P67" s="150">
        <f>SUMIFS('PIB Mpal 2015-2022 Cons'!U$5:U$1012,'PIB Mpal 2015-2022 Cons'!$A$5:$A$1012,$W$2,'PIB Mpal 2015-2022 Cons'!$E$5:$E$1012,$A67)</f>
        <v>5.5442202114722692</v>
      </c>
      <c r="Q67" s="217">
        <f>SUMIFS('PIB Mpal 2015-2022 Cons'!J$5:J$1012,'PIB Mpal 2015-2022 Cons'!$A$5:$A$1012,$W$2,'PIB Mpal 2015-2022 Cons'!$E$5:$E$1012,$A67)</f>
        <v>86.96823857902622</v>
      </c>
      <c r="R67" s="99">
        <f>SUMIFS('PIB Mpal 2015-2022 Cons'!M$5:M$1012,'PIB Mpal 2015-2022 Cons'!$A$5:$A$1012,$W$2,'PIB Mpal 2015-2022 Cons'!$E$5:$E$1012,$A67)</f>
        <v>20.896948126396847</v>
      </c>
      <c r="S67" s="53">
        <f>SUMIFS('PIB Mpal 2015-2022 Cons'!V$5:V$1012,'PIB Mpal 2015-2022 Cons'!$A$5:$A$1012,$W$2,'PIB Mpal 2015-2022 Cons'!$E$5:$E$1012,$A67)</f>
        <v>128.45667721101211</v>
      </c>
      <c r="T67" s="153">
        <f>SUMIFS('PIB Mpal 2015-2022 Cons'!W$5:W$1012,'PIB Mpal 2015-2022 Cons'!$A$5:$A$1012,$W$2,'PIB Mpal 2015-2022 Cons'!$E$5:$E$1012,$A67)</f>
        <v>236.32186391643518</v>
      </c>
      <c r="U67" s="51">
        <f>SUMIFS('PIB Mpal 2015-2022 Cons'!X$5:X$1012,'PIB Mpal 2015-2022 Cons'!$A$5:$A$1012,$W$2,'PIB Mpal 2015-2022 Cons'!$E$5:$E$1012,$A67)</f>
        <v>23.750802200871853</v>
      </c>
      <c r="V67" s="53">
        <f>SUMIFS('PIB Mpal 2015-2022 Cons'!Y$5:Y$1012,'PIB Mpal 2015-2022 Cons'!$A$5:$A$1012,$W$2,'PIB Mpal 2015-2022 Cons'!$E$5:$E$1012,$A67)</f>
        <v>260.07266611730705</v>
      </c>
      <c r="W67" s="92">
        <f t="shared" si="3"/>
        <v>2.2527596210582621E-3</v>
      </c>
      <c r="X67" s="268">
        <f>INDEX(POBLACION!$C$4:$W$128,MATCH(A67,POBLACION!$A$4:$A$128,0),MATCH($W$2,POBLACION!$C$3:$W$3,0))</f>
        <v>22593</v>
      </c>
      <c r="Y67" s="258">
        <f t="shared" si="5"/>
        <v>10459.959452770114</v>
      </c>
      <c r="Z67" s="270">
        <f t="shared" si="6"/>
        <v>11511.205511322403</v>
      </c>
      <c r="AA67" s="273">
        <f t="shared" si="7"/>
        <v>4.0195300010252968</v>
      </c>
      <c r="AB67" s="273">
        <f t="shared" si="7"/>
        <v>4.0611208075133716</v>
      </c>
    </row>
    <row r="68" spans="1:28" x14ac:dyDescent="0.2">
      <c r="A68" s="35" t="s">
        <v>237</v>
      </c>
      <c r="B68" s="32" t="s">
        <v>221</v>
      </c>
      <c r="C68" s="33" t="s">
        <v>145</v>
      </c>
      <c r="D68" s="32" t="s">
        <v>238</v>
      </c>
      <c r="E68" s="51">
        <f>SUMIFS('PIB Mpal 2015-2022 Cons'!H$5:H$1012,'PIB Mpal 2015-2022 Cons'!$A$5:$A$1012,$W$2,'PIB Mpal 2015-2022 Cons'!$E$5:$E$1012,$A68)</f>
        <v>21.068876001746883</v>
      </c>
      <c r="F68" s="51">
        <f>SUMIFS('PIB Mpal 2015-2022 Cons'!I$5:I$1012,'PIB Mpal 2015-2022 Cons'!$A$5:$A$1012,$W$2,'PIB Mpal 2015-2022 Cons'!$E$5:$E$1012,$A68)</f>
        <v>0.2915957681787944</v>
      </c>
      <c r="G68" s="51">
        <f>SUMIFS('PIB Mpal 2015-2022 Cons'!K$5:K$1012,'PIB Mpal 2015-2022 Cons'!$A$5:$A$1012,$W$2,'PIB Mpal 2015-2022 Cons'!$E$5:$E$1012,$A68)</f>
        <v>5.7656183593406105</v>
      </c>
      <c r="H68" s="51">
        <f>SUMIFS('PIB Mpal 2015-2022 Cons'!L$5:L$1012,'PIB Mpal 2015-2022 Cons'!$A$5:$A$1012,$W$2,'PIB Mpal 2015-2022 Cons'!$E$5:$E$1012,$A68)</f>
        <v>5.3927023640990406</v>
      </c>
      <c r="I68" s="51">
        <f>SUMIFS('PIB Mpal 2015-2022 Cons'!N$5:N$1012,'PIB Mpal 2015-2022 Cons'!$A$5:$A$1012,$W$2,'PIB Mpal 2015-2022 Cons'!$E$5:$E$1012,$A68)</f>
        <v>2.9022221276196842</v>
      </c>
      <c r="J68" s="51">
        <f>SUMIFS('PIB Mpal 2015-2022 Cons'!O$5:O$1012,'PIB Mpal 2015-2022 Cons'!$A$5:$A$1012,$W$2,'PIB Mpal 2015-2022 Cons'!$E$5:$E$1012,$A68)</f>
        <v>14.413377052231434</v>
      </c>
      <c r="K68" s="51">
        <f>SUMIFS('PIB Mpal 2015-2022 Cons'!P$5:P$1012,'PIB Mpal 2015-2022 Cons'!$A$5:$A$1012,$W$2,'PIB Mpal 2015-2022 Cons'!$E$5:$E$1012,$A68)</f>
        <v>4.4639730195825438</v>
      </c>
      <c r="L68" s="51">
        <f>SUMIFS('PIB Mpal 2015-2022 Cons'!Q$5:Q$1012,'PIB Mpal 2015-2022 Cons'!$A$5:$A$1012,$W$2,'PIB Mpal 2015-2022 Cons'!$E$5:$E$1012,$A68)</f>
        <v>3.0307086032291126</v>
      </c>
      <c r="M68" s="51">
        <f>SUMIFS('PIB Mpal 2015-2022 Cons'!R$5:R$1012,'PIB Mpal 2015-2022 Cons'!$A$5:$A$1012,$W$2,'PIB Mpal 2015-2022 Cons'!$E$5:$E$1012,$A68)</f>
        <v>11.369242590334853</v>
      </c>
      <c r="N68" s="51">
        <f>SUMIFS('PIB Mpal 2015-2022 Cons'!S$5:S$1012,'PIB Mpal 2015-2022 Cons'!$A$5:$A$1012,$W$2,'PIB Mpal 2015-2022 Cons'!$E$5:$E$1012,$A68)</f>
        <v>11.380386720858148</v>
      </c>
      <c r="O68" s="51">
        <f>SUMIFS('PIB Mpal 2015-2022 Cons'!T$5:T$1012,'PIB Mpal 2015-2022 Cons'!$A$5:$A$1012,$W$2,'PIB Mpal 2015-2022 Cons'!$E$5:$E$1012,$A68)</f>
        <v>20.902709151388652</v>
      </c>
      <c r="P68" s="150">
        <f>SUMIFS('PIB Mpal 2015-2022 Cons'!U$5:U$1012,'PIB Mpal 2015-2022 Cons'!$A$5:$A$1012,$W$2,'PIB Mpal 2015-2022 Cons'!$E$5:$E$1012,$A68)</f>
        <v>4.9940962382986562</v>
      </c>
      <c r="Q68" s="217">
        <f>SUMIFS('PIB Mpal 2015-2022 Cons'!J$5:J$1012,'PIB Mpal 2015-2022 Cons'!$A$5:$A$1012,$W$2,'PIB Mpal 2015-2022 Cons'!$E$5:$E$1012,$A68)</f>
        <v>21.360471769925677</v>
      </c>
      <c r="R68" s="99">
        <f>SUMIFS('PIB Mpal 2015-2022 Cons'!M$5:M$1012,'PIB Mpal 2015-2022 Cons'!$A$5:$A$1012,$W$2,'PIB Mpal 2015-2022 Cons'!$E$5:$E$1012,$A68)</f>
        <v>11.158320723439651</v>
      </c>
      <c r="S68" s="53">
        <f>SUMIFS('PIB Mpal 2015-2022 Cons'!V$5:V$1012,'PIB Mpal 2015-2022 Cons'!$A$5:$A$1012,$W$2,'PIB Mpal 2015-2022 Cons'!$E$5:$E$1012,$A68)</f>
        <v>73.45671550354308</v>
      </c>
      <c r="T68" s="153">
        <f>SUMIFS('PIB Mpal 2015-2022 Cons'!W$5:W$1012,'PIB Mpal 2015-2022 Cons'!$A$5:$A$1012,$W$2,'PIB Mpal 2015-2022 Cons'!$E$5:$E$1012,$A68)</f>
        <v>105.97550799690842</v>
      </c>
      <c r="U68" s="51">
        <f>SUMIFS('PIB Mpal 2015-2022 Cons'!X$5:X$1012,'PIB Mpal 2015-2022 Cons'!$A$5:$A$1012,$W$2,'PIB Mpal 2015-2022 Cons'!$E$5:$E$1012,$A68)</f>
        <v>10.650742537742563</v>
      </c>
      <c r="V68" s="53">
        <f>SUMIFS('PIB Mpal 2015-2022 Cons'!Y$5:Y$1012,'PIB Mpal 2015-2022 Cons'!$A$5:$A$1012,$W$2,'PIB Mpal 2015-2022 Cons'!$E$5:$E$1012,$A68)</f>
        <v>116.62625053465098</v>
      </c>
      <c r="W68" s="92">
        <f t="shared" si="3"/>
        <v>1.0102211504279355E-3</v>
      </c>
      <c r="X68" s="268">
        <f>INDEX(POBLACION!$C$4:$W$128,MATCH(A68,POBLACION!$A$4:$A$128,0),MATCH($W$2,POBLACION!$C$3:$W$3,0))</f>
        <v>12308</v>
      </c>
      <c r="Y68" s="258">
        <f t="shared" si="5"/>
        <v>8610.2947673796243</v>
      </c>
      <c r="Z68" s="270">
        <f t="shared" si="6"/>
        <v>9475.6459647912725</v>
      </c>
      <c r="AA68" s="273">
        <f t="shared" si="7"/>
        <v>3.9350180194739943</v>
      </c>
      <c r="AB68" s="273">
        <f t="shared" si="7"/>
        <v>3.9766088259627295</v>
      </c>
    </row>
    <row r="69" spans="1:28" x14ac:dyDescent="0.2">
      <c r="A69" s="35" t="s">
        <v>239</v>
      </c>
      <c r="B69" s="32" t="s">
        <v>221</v>
      </c>
      <c r="C69" s="33" t="s">
        <v>222</v>
      </c>
      <c r="D69" s="32" t="s">
        <v>240</v>
      </c>
      <c r="E69" s="51">
        <f>SUMIFS('PIB Mpal 2015-2022 Cons'!H$5:H$1012,'PIB Mpal 2015-2022 Cons'!$A$5:$A$1012,$W$2,'PIB Mpal 2015-2022 Cons'!$E$5:$E$1012,$A69)</f>
        <v>22.036178750637216</v>
      </c>
      <c r="F69" s="51">
        <f>SUMIFS('PIB Mpal 2015-2022 Cons'!I$5:I$1012,'PIB Mpal 2015-2022 Cons'!$A$5:$A$1012,$W$2,'PIB Mpal 2015-2022 Cons'!$E$5:$E$1012,$A69)</f>
        <v>6.4552403466637527</v>
      </c>
      <c r="G69" s="51">
        <f>SUMIFS('PIB Mpal 2015-2022 Cons'!K$5:K$1012,'PIB Mpal 2015-2022 Cons'!$A$5:$A$1012,$W$2,'PIB Mpal 2015-2022 Cons'!$E$5:$E$1012,$A69)</f>
        <v>1.7954792578709706</v>
      </c>
      <c r="H69" s="51">
        <f>SUMIFS('PIB Mpal 2015-2022 Cons'!L$5:L$1012,'PIB Mpal 2015-2022 Cons'!$A$5:$A$1012,$W$2,'PIB Mpal 2015-2022 Cons'!$E$5:$E$1012,$A69)</f>
        <v>16.791961308771633</v>
      </c>
      <c r="I69" s="51">
        <f>SUMIFS('PIB Mpal 2015-2022 Cons'!N$5:N$1012,'PIB Mpal 2015-2022 Cons'!$A$5:$A$1012,$W$2,'PIB Mpal 2015-2022 Cons'!$E$5:$E$1012,$A69)</f>
        <v>10.947688341668265</v>
      </c>
      <c r="J69" s="51">
        <f>SUMIFS('PIB Mpal 2015-2022 Cons'!O$5:O$1012,'PIB Mpal 2015-2022 Cons'!$A$5:$A$1012,$W$2,'PIB Mpal 2015-2022 Cons'!$E$5:$E$1012,$A69)</f>
        <v>26.157631902517121</v>
      </c>
      <c r="K69" s="51">
        <f>SUMIFS('PIB Mpal 2015-2022 Cons'!P$5:P$1012,'PIB Mpal 2015-2022 Cons'!$A$5:$A$1012,$W$2,'PIB Mpal 2015-2022 Cons'!$E$5:$E$1012,$A69)</f>
        <v>7.1640751115990433</v>
      </c>
      <c r="L69" s="51">
        <f>SUMIFS('PIB Mpal 2015-2022 Cons'!Q$5:Q$1012,'PIB Mpal 2015-2022 Cons'!$A$5:$A$1012,$W$2,'PIB Mpal 2015-2022 Cons'!$E$5:$E$1012,$A69)</f>
        <v>6.1324279002511135</v>
      </c>
      <c r="M69" s="51">
        <f>SUMIFS('PIB Mpal 2015-2022 Cons'!R$5:R$1012,'PIB Mpal 2015-2022 Cons'!$A$5:$A$1012,$W$2,'PIB Mpal 2015-2022 Cons'!$E$5:$E$1012,$A69)</f>
        <v>11.740491285753929</v>
      </c>
      <c r="N69" s="51">
        <f>SUMIFS('PIB Mpal 2015-2022 Cons'!S$5:S$1012,'PIB Mpal 2015-2022 Cons'!$A$5:$A$1012,$W$2,'PIB Mpal 2015-2022 Cons'!$E$5:$E$1012,$A69)</f>
        <v>16.453711748340577</v>
      </c>
      <c r="O69" s="51">
        <f>SUMIFS('PIB Mpal 2015-2022 Cons'!T$5:T$1012,'PIB Mpal 2015-2022 Cons'!$A$5:$A$1012,$W$2,'PIB Mpal 2015-2022 Cons'!$E$5:$E$1012,$A69)</f>
        <v>32.955238146848032</v>
      </c>
      <c r="P69" s="150">
        <f>SUMIFS('PIB Mpal 2015-2022 Cons'!U$5:U$1012,'PIB Mpal 2015-2022 Cons'!$A$5:$A$1012,$W$2,'PIB Mpal 2015-2022 Cons'!$E$5:$E$1012,$A69)</f>
        <v>6.171081005741053</v>
      </c>
      <c r="Q69" s="217">
        <f>SUMIFS('PIB Mpal 2015-2022 Cons'!J$5:J$1012,'PIB Mpal 2015-2022 Cons'!$A$5:$A$1012,$W$2,'PIB Mpal 2015-2022 Cons'!$E$5:$E$1012,$A69)</f>
        <v>28.49141909730097</v>
      </c>
      <c r="R69" s="99">
        <f>SUMIFS('PIB Mpal 2015-2022 Cons'!M$5:M$1012,'PIB Mpal 2015-2022 Cons'!$A$5:$A$1012,$W$2,'PIB Mpal 2015-2022 Cons'!$E$5:$E$1012,$A69)</f>
        <v>18.587440566642602</v>
      </c>
      <c r="S69" s="53">
        <f>SUMIFS('PIB Mpal 2015-2022 Cons'!V$5:V$1012,'PIB Mpal 2015-2022 Cons'!$A$5:$A$1012,$W$2,'PIB Mpal 2015-2022 Cons'!$E$5:$E$1012,$A69)</f>
        <v>117.72234544271915</v>
      </c>
      <c r="T69" s="153">
        <f>SUMIFS('PIB Mpal 2015-2022 Cons'!W$5:W$1012,'PIB Mpal 2015-2022 Cons'!$A$5:$A$1012,$W$2,'PIB Mpal 2015-2022 Cons'!$E$5:$E$1012,$A69)</f>
        <v>164.80120510666271</v>
      </c>
      <c r="U69" s="51">
        <f>SUMIFS('PIB Mpal 2015-2022 Cons'!X$5:X$1012,'PIB Mpal 2015-2022 Cons'!$A$5:$A$1012,$W$2,'PIB Mpal 2015-2022 Cons'!$E$5:$E$1012,$A69)</f>
        <v>16.562838326343403</v>
      </c>
      <c r="V69" s="53">
        <f>SUMIFS('PIB Mpal 2015-2022 Cons'!Y$5:Y$1012,'PIB Mpal 2015-2022 Cons'!$A$5:$A$1012,$W$2,'PIB Mpal 2015-2022 Cons'!$E$5:$E$1012,$A69)</f>
        <v>181.36404343300612</v>
      </c>
      <c r="W69" s="92">
        <f t="shared" si="3"/>
        <v>1.5709824483186778E-3</v>
      </c>
      <c r="X69" s="268">
        <f>INDEX(POBLACION!$C$4:$W$128,MATCH(A69,POBLACION!$A$4:$A$128,0),MATCH($W$2,POBLACION!$C$3:$W$3,0))</f>
        <v>20944</v>
      </c>
      <c r="Y69" s="258">
        <f t="shared" si="5"/>
        <v>7868.6595257191884</v>
      </c>
      <c r="Z69" s="270">
        <f t="shared" si="6"/>
        <v>8659.4749538295509</v>
      </c>
      <c r="AA69" s="273">
        <f t="shared" si="7"/>
        <v>3.8959007539387618</v>
      </c>
      <c r="AB69" s="273">
        <f t="shared" si="7"/>
        <v>3.9374915604275902</v>
      </c>
    </row>
    <row r="70" spans="1:28" x14ac:dyDescent="0.2">
      <c r="A70" s="35" t="s">
        <v>241</v>
      </c>
      <c r="B70" s="32" t="s">
        <v>221</v>
      </c>
      <c r="C70" s="33" t="s">
        <v>145</v>
      </c>
      <c r="D70" s="32" t="s">
        <v>242</v>
      </c>
      <c r="E70" s="51">
        <f>SUMIFS('PIB Mpal 2015-2022 Cons'!H$5:H$1012,'PIB Mpal 2015-2022 Cons'!$A$5:$A$1012,$W$2,'PIB Mpal 2015-2022 Cons'!$E$5:$E$1012,$A70)</f>
        <v>5.365366101354339</v>
      </c>
      <c r="F70" s="51">
        <f>SUMIFS('PIB Mpal 2015-2022 Cons'!I$5:I$1012,'PIB Mpal 2015-2022 Cons'!$A$5:$A$1012,$W$2,'PIB Mpal 2015-2022 Cons'!$E$5:$E$1012,$A70)</f>
        <v>0</v>
      </c>
      <c r="G70" s="51">
        <f>SUMIFS('PIB Mpal 2015-2022 Cons'!K$5:K$1012,'PIB Mpal 2015-2022 Cons'!$A$5:$A$1012,$W$2,'PIB Mpal 2015-2022 Cons'!$E$5:$E$1012,$A70)</f>
        <v>0.83153605951527276</v>
      </c>
      <c r="H70" s="51">
        <f>SUMIFS('PIB Mpal 2015-2022 Cons'!L$5:L$1012,'PIB Mpal 2015-2022 Cons'!$A$5:$A$1012,$W$2,'PIB Mpal 2015-2022 Cons'!$E$5:$E$1012,$A70)</f>
        <v>2.2494191650425259</v>
      </c>
      <c r="I70" s="51">
        <f>SUMIFS('PIB Mpal 2015-2022 Cons'!N$5:N$1012,'PIB Mpal 2015-2022 Cons'!$A$5:$A$1012,$W$2,'PIB Mpal 2015-2022 Cons'!$E$5:$E$1012,$A70)</f>
        <v>1.7880652478439725</v>
      </c>
      <c r="J70" s="51">
        <f>SUMIFS('PIB Mpal 2015-2022 Cons'!O$5:O$1012,'PIB Mpal 2015-2022 Cons'!$A$5:$A$1012,$W$2,'PIB Mpal 2015-2022 Cons'!$E$5:$E$1012,$A70)</f>
        <v>8.8332735683527588</v>
      </c>
      <c r="K70" s="51">
        <f>SUMIFS('PIB Mpal 2015-2022 Cons'!P$5:P$1012,'PIB Mpal 2015-2022 Cons'!$A$5:$A$1012,$W$2,'PIB Mpal 2015-2022 Cons'!$E$5:$E$1012,$A70)</f>
        <v>1.1602397729253251</v>
      </c>
      <c r="L70" s="51">
        <f>SUMIFS('PIB Mpal 2015-2022 Cons'!Q$5:Q$1012,'PIB Mpal 2015-2022 Cons'!$A$5:$A$1012,$W$2,'PIB Mpal 2015-2022 Cons'!$E$5:$E$1012,$A70)</f>
        <v>0.74067539665110449</v>
      </c>
      <c r="M70" s="51">
        <f>SUMIFS('PIB Mpal 2015-2022 Cons'!R$5:R$1012,'PIB Mpal 2015-2022 Cons'!$A$5:$A$1012,$W$2,'PIB Mpal 2015-2022 Cons'!$E$5:$E$1012,$A70)</f>
        <v>3.431098937580864</v>
      </c>
      <c r="N70" s="51">
        <f>SUMIFS('PIB Mpal 2015-2022 Cons'!S$5:S$1012,'PIB Mpal 2015-2022 Cons'!$A$5:$A$1012,$W$2,'PIB Mpal 2015-2022 Cons'!$E$5:$E$1012,$A70)</f>
        <v>3.8779608277365742</v>
      </c>
      <c r="O70" s="51">
        <f>SUMIFS('PIB Mpal 2015-2022 Cons'!T$5:T$1012,'PIB Mpal 2015-2022 Cons'!$A$5:$A$1012,$W$2,'PIB Mpal 2015-2022 Cons'!$E$5:$E$1012,$A70)</f>
        <v>7.5023914264653717</v>
      </c>
      <c r="P70" s="150">
        <f>SUMIFS('PIB Mpal 2015-2022 Cons'!U$5:U$1012,'PIB Mpal 2015-2022 Cons'!$A$5:$A$1012,$W$2,'PIB Mpal 2015-2022 Cons'!$E$5:$E$1012,$A70)</f>
        <v>1.0450279266379983</v>
      </c>
      <c r="Q70" s="217">
        <f>SUMIFS('PIB Mpal 2015-2022 Cons'!J$5:J$1012,'PIB Mpal 2015-2022 Cons'!$A$5:$A$1012,$W$2,'PIB Mpal 2015-2022 Cons'!$E$5:$E$1012,$A70)</f>
        <v>5.365366101354339</v>
      </c>
      <c r="R70" s="99">
        <f>SUMIFS('PIB Mpal 2015-2022 Cons'!M$5:M$1012,'PIB Mpal 2015-2022 Cons'!$A$5:$A$1012,$W$2,'PIB Mpal 2015-2022 Cons'!$E$5:$E$1012,$A70)</f>
        <v>3.0809552245577985</v>
      </c>
      <c r="S70" s="53">
        <f>SUMIFS('PIB Mpal 2015-2022 Cons'!V$5:V$1012,'PIB Mpal 2015-2022 Cons'!$A$5:$A$1012,$W$2,'PIB Mpal 2015-2022 Cons'!$E$5:$E$1012,$A70)</f>
        <v>28.378733104193969</v>
      </c>
      <c r="T70" s="153">
        <f>SUMIFS('PIB Mpal 2015-2022 Cons'!W$5:W$1012,'PIB Mpal 2015-2022 Cons'!$A$5:$A$1012,$W$2,'PIB Mpal 2015-2022 Cons'!$E$5:$E$1012,$A70)</f>
        <v>36.825054430106107</v>
      </c>
      <c r="U70" s="51">
        <f>SUMIFS('PIB Mpal 2015-2022 Cons'!X$5:X$1012,'PIB Mpal 2015-2022 Cons'!$A$5:$A$1012,$W$2,'PIB Mpal 2015-2022 Cons'!$E$5:$E$1012,$A70)</f>
        <v>3.7009888519547411</v>
      </c>
      <c r="V70" s="53">
        <f>SUMIFS('PIB Mpal 2015-2022 Cons'!Y$5:Y$1012,'PIB Mpal 2015-2022 Cons'!$A$5:$A$1012,$W$2,'PIB Mpal 2015-2022 Cons'!$E$5:$E$1012,$A70)</f>
        <v>40.526043282060847</v>
      </c>
      <c r="W70" s="92">
        <f t="shared" ref="W70:W133" si="18">V70/$V$5</f>
        <v>3.5103817433050378E-4</v>
      </c>
      <c r="X70" s="268">
        <f>INDEX(POBLACION!$C$4:$W$128,MATCH(A70,POBLACION!$A$4:$A$128,0),MATCH($W$2,POBLACION!$C$3:$W$3,0))</f>
        <v>5349</v>
      </c>
      <c r="Y70" s="258">
        <f t="shared" ref="Y70:Y133" si="19">(T70/X70)*1000000</f>
        <v>6884.4745616201353</v>
      </c>
      <c r="Z70" s="270">
        <f t="shared" ref="Z70:Z133" si="20">(V70/X70)*1000000</f>
        <v>7576.3775064611791</v>
      </c>
      <c r="AA70" s="273">
        <f t="shared" ref="AA70:AB133" si="21">LOG(Y70)</f>
        <v>3.8378707995389254</v>
      </c>
      <c r="AB70" s="273">
        <f t="shared" si="21"/>
        <v>3.8794616060280021</v>
      </c>
    </row>
    <row r="71" spans="1:28" x14ac:dyDescent="0.2">
      <c r="A71" s="35" t="s">
        <v>243</v>
      </c>
      <c r="B71" s="32" t="s">
        <v>221</v>
      </c>
      <c r="C71" s="33" t="s">
        <v>222</v>
      </c>
      <c r="D71" s="32" t="s">
        <v>244</v>
      </c>
      <c r="E71" s="51">
        <f>SUMIFS('PIB Mpal 2015-2022 Cons'!H$5:H$1012,'PIB Mpal 2015-2022 Cons'!$A$5:$A$1012,$W$2,'PIB Mpal 2015-2022 Cons'!$E$5:$E$1012,$A71)</f>
        <v>20.048172342543591</v>
      </c>
      <c r="F71" s="51">
        <f>SUMIFS('PIB Mpal 2015-2022 Cons'!I$5:I$1012,'PIB Mpal 2015-2022 Cons'!$A$5:$A$1012,$W$2,'PIB Mpal 2015-2022 Cons'!$E$5:$E$1012,$A71)</f>
        <v>0.58502107357474387</v>
      </c>
      <c r="G71" s="51">
        <f>SUMIFS('PIB Mpal 2015-2022 Cons'!K$5:K$1012,'PIB Mpal 2015-2022 Cons'!$A$5:$A$1012,$W$2,'PIB Mpal 2015-2022 Cons'!$E$5:$E$1012,$A71)</f>
        <v>1.9963841462869341</v>
      </c>
      <c r="H71" s="51">
        <f>SUMIFS('PIB Mpal 2015-2022 Cons'!L$5:L$1012,'PIB Mpal 2015-2022 Cons'!$A$5:$A$1012,$W$2,'PIB Mpal 2015-2022 Cons'!$E$5:$E$1012,$A71)</f>
        <v>3.5367279619104628</v>
      </c>
      <c r="I71" s="51">
        <f>SUMIFS('PIB Mpal 2015-2022 Cons'!N$5:N$1012,'PIB Mpal 2015-2022 Cons'!$A$5:$A$1012,$W$2,'PIB Mpal 2015-2022 Cons'!$E$5:$E$1012,$A71)</f>
        <v>1.9019210968823859</v>
      </c>
      <c r="J71" s="51">
        <f>SUMIFS('PIB Mpal 2015-2022 Cons'!O$5:O$1012,'PIB Mpal 2015-2022 Cons'!$A$5:$A$1012,$W$2,'PIB Mpal 2015-2022 Cons'!$E$5:$E$1012,$A71)</f>
        <v>5.1454015669825983</v>
      </c>
      <c r="K71" s="51">
        <f>SUMIFS('PIB Mpal 2015-2022 Cons'!P$5:P$1012,'PIB Mpal 2015-2022 Cons'!$A$5:$A$1012,$W$2,'PIB Mpal 2015-2022 Cons'!$E$5:$E$1012,$A71)</f>
        <v>2.1501576122198474</v>
      </c>
      <c r="L71" s="51">
        <f>SUMIFS('PIB Mpal 2015-2022 Cons'!Q$5:Q$1012,'PIB Mpal 2015-2022 Cons'!$A$5:$A$1012,$W$2,'PIB Mpal 2015-2022 Cons'!$E$5:$E$1012,$A71)</f>
        <v>1.7150578330486232</v>
      </c>
      <c r="M71" s="51">
        <f>SUMIFS('PIB Mpal 2015-2022 Cons'!R$5:R$1012,'PIB Mpal 2015-2022 Cons'!$A$5:$A$1012,$W$2,'PIB Mpal 2015-2022 Cons'!$E$5:$E$1012,$A71)</f>
        <v>5.6412847901578855</v>
      </c>
      <c r="N71" s="51">
        <f>SUMIFS('PIB Mpal 2015-2022 Cons'!S$5:S$1012,'PIB Mpal 2015-2022 Cons'!$A$5:$A$1012,$W$2,'PIB Mpal 2015-2022 Cons'!$E$5:$E$1012,$A71)</f>
        <v>6.5264237470764987</v>
      </c>
      <c r="O71" s="51">
        <f>SUMIFS('PIB Mpal 2015-2022 Cons'!T$5:T$1012,'PIB Mpal 2015-2022 Cons'!$A$5:$A$1012,$W$2,'PIB Mpal 2015-2022 Cons'!$E$5:$E$1012,$A71)</f>
        <v>12.401580563234244</v>
      </c>
      <c r="P71" s="150">
        <f>SUMIFS('PIB Mpal 2015-2022 Cons'!U$5:U$1012,'PIB Mpal 2015-2022 Cons'!$A$5:$A$1012,$W$2,'PIB Mpal 2015-2022 Cons'!$E$5:$E$1012,$A71)</f>
        <v>2.2842902889202636</v>
      </c>
      <c r="Q71" s="217">
        <f>SUMIFS('PIB Mpal 2015-2022 Cons'!J$5:J$1012,'PIB Mpal 2015-2022 Cons'!$A$5:$A$1012,$W$2,'PIB Mpal 2015-2022 Cons'!$E$5:$E$1012,$A71)</f>
        <v>20.633193416118335</v>
      </c>
      <c r="R71" s="99">
        <f>SUMIFS('PIB Mpal 2015-2022 Cons'!M$5:M$1012,'PIB Mpal 2015-2022 Cons'!$A$5:$A$1012,$W$2,'PIB Mpal 2015-2022 Cons'!$E$5:$E$1012,$A71)</f>
        <v>5.5331121081973969</v>
      </c>
      <c r="S71" s="53">
        <f>SUMIFS('PIB Mpal 2015-2022 Cons'!V$5:V$1012,'PIB Mpal 2015-2022 Cons'!$A$5:$A$1012,$W$2,'PIB Mpal 2015-2022 Cons'!$E$5:$E$1012,$A71)</f>
        <v>37.766117498522348</v>
      </c>
      <c r="T71" s="153">
        <f>SUMIFS('PIB Mpal 2015-2022 Cons'!W$5:W$1012,'PIB Mpal 2015-2022 Cons'!$A$5:$A$1012,$W$2,'PIB Mpal 2015-2022 Cons'!$E$5:$E$1012,$A71)</f>
        <v>63.93242302283808</v>
      </c>
      <c r="U71" s="51">
        <f>SUMIFS('PIB Mpal 2015-2022 Cons'!X$5:X$1012,'PIB Mpal 2015-2022 Cons'!$A$5:$A$1012,$W$2,'PIB Mpal 2015-2022 Cons'!$E$5:$E$1012,$A71)</f>
        <v>6.4253315722949482</v>
      </c>
      <c r="V71" s="53">
        <f>SUMIFS('PIB Mpal 2015-2022 Cons'!Y$5:Y$1012,'PIB Mpal 2015-2022 Cons'!$A$5:$A$1012,$W$2,'PIB Mpal 2015-2022 Cons'!$E$5:$E$1012,$A71)</f>
        <v>70.357754595133031</v>
      </c>
      <c r="W71" s="92">
        <f t="shared" si="18"/>
        <v>6.0944162624437554E-4</v>
      </c>
      <c r="X71" s="268">
        <f>INDEX(POBLACION!$C$4:$W$128,MATCH(A71,POBLACION!$A$4:$A$128,0),MATCH($W$2,POBLACION!$C$3:$W$3,0))</f>
        <v>5610</v>
      </c>
      <c r="Y71" s="258">
        <f t="shared" si="19"/>
        <v>11396.153836513027</v>
      </c>
      <c r="Z71" s="270">
        <f t="shared" si="20"/>
        <v>12541.489232644033</v>
      </c>
      <c r="AA71" s="273">
        <f t="shared" si="21"/>
        <v>4.0567583031418328</v>
      </c>
      <c r="AB71" s="273">
        <f t="shared" si="21"/>
        <v>4.0983491096301154</v>
      </c>
    </row>
    <row r="72" spans="1:28" x14ac:dyDescent="0.2">
      <c r="A72" s="35" t="s">
        <v>245</v>
      </c>
      <c r="B72" s="32" t="s">
        <v>221</v>
      </c>
      <c r="C72" s="33" t="s">
        <v>222</v>
      </c>
      <c r="D72" s="32" t="s">
        <v>246</v>
      </c>
      <c r="E72" s="51">
        <f>SUMIFS('PIB Mpal 2015-2022 Cons'!H$5:H$1012,'PIB Mpal 2015-2022 Cons'!$A$5:$A$1012,$W$2,'PIB Mpal 2015-2022 Cons'!$E$5:$E$1012,$A72)</f>
        <v>16.09532595059525</v>
      </c>
      <c r="F72" s="51">
        <f>SUMIFS('PIB Mpal 2015-2022 Cons'!I$5:I$1012,'PIB Mpal 2015-2022 Cons'!$A$5:$A$1012,$W$2,'PIB Mpal 2015-2022 Cons'!$E$5:$E$1012,$A72)</f>
        <v>0.22592135711291661</v>
      </c>
      <c r="G72" s="51">
        <f>SUMIFS('PIB Mpal 2015-2022 Cons'!K$5:K$1012,'PIB Mpal 2015-2022 Cons'!$A$5:$A$1012,$W$2,'PIB Mpal 2015-2022 Cons'!$E$5:$E$1012,$A72)</f>
        <v>1.037775368818779</v>
      </c>
      <c r="H72" s="51">
        <f>SUMIFS('PIB Mpal 2015-2022 Cons'!L$5:L$1012,'PIB Mpal 2015-2022 Cons'!$A$5:$A$1012,$W$2,'PIB Mpal 2015-2022 Cons'!$E$5:$E$1012,$A72)</f>
        <v>6.1410611960397796</v>
      </c>
      <c r="I72" s="51">
        <f>SUMIFS('PIB Mpal 2015-2022 Cons'!N$5:N$1012,'PIB Mpal 2015-2022 Cons'!$A$5:$A$1012,$W$2,'PIB Mpal 2015-2022 Cons'!$E$5:$E$1012,$A72)</f>
        <v>2.3557801948003991</v>
      </c>
      <c r="J72" s="51">
        <f>SUMIFS('PIB Mpal 2015-2022 Cons'!O$5:O$1012,'PIB Mpal 2015-2022 Cons'!$A$5:$A$1012,$W$2,'PIB Mpal 2015-2022 Cons'!$E$5:$E$1012,$A72)</f>
        <v>9.7759200270427797</v>
      </c>
      <c r="K72" s="51">
        <f>SUMIFS('PIB Mpal 2015-2022 Cons'!P$5:P$1012,'PIB Mpal 2015-2022 Cons'!$A$5:$A$1012,$W$2,'PIB Mpal 2015-2022 Cons'!$E$5:$E$1012,$A72)</f>
        <v>3.6026358709756274</v>
      </c>
      <c r="L72" s="51">
        <f>SUMIFS('PIB Mpal 2015-2022 Cons'!Q$5:Q$1012,'PIB Mpal 2015-2022 Cons'!$A$5:$A$1012,$W$2,'PIB Mpal 2015-2022 Cons'!$E$5:$E$1012,$A72)</f>
        <v>2.83959325828683</v>
      </c>
      <c r="M72" s="51">
        <f>SUMIFS('PIB Mpal 2015-2022 Cons'!R$5:R$1012,'PIB Mpal 2015-2022 Cons'!$A$5:$A$1012,$W$2,'PIB Mpal 2015-2022 Cons'!$E$5:$E$1012,$A72)</f>
        <v>6.0372148036088831</v>
      </c>
      <c r="N72" s="51">
        <f>SUMIFS('PIB Mpal 2015-2022 Cons'!S$5:S$1012,'PIB Mpal 2015-2022 Cons'!$A$5:$A$1012,$W$2,'PIB Mpal 2015-2022 Cons'!$E$5:$E$1012,$A72)</f>
        <v>8.6336347646834515</v>
      </c>
      <c r="O72" s="51">
        <f>SUMIFS('PIB Mpal 2015-2022 Cons'!T$5:T$1012,'PIB Mpal 2015-2022 Cons'!$A$5:$A$1012,$W$2,'PIB Mpal 2015-2022 Cons'!$E$5:$E$1012,$A72)</f>
        <v>19.733041111588904</v>
      </c>
      <c r="P72" s="150">
        <f>SUMIFS('PIB Mpal 2015-2022 Cons'!U$5:U$1012,'PIB Mpal 2015-2022 Cons'!$A$5:$A$1012,$W$2,'PIB Mpal 2015-2022 Cons'!$E$5:$E$1012,$A72)</f>
        <v>2.895357545060806</v>
      </c>
      <c r="Q72" s="217">
        <f>SUMIFS('PIB Mpal 2015-2022 Cons'!J$5:J$1012,'PIB Mpal 2015-2022 Cons'!$A$5:$A$1012,$W$2,'PIB Mpal 2015-2022 Cons'!$E$5:$E$1012,$A72)</f>
        <v>16.321247307708166</v>
      </c>
      <c r="R72" s="99">
        <f>SUMIFS('PIB Mpal 2015-2022 Cons'!M$5:M$1012,'PIB Mpal 2015-2022 Cons'!$A$5:$A$1012,$W$2,'PIB Mpal 2015-2022 Cons'!$E$5:$E$1012,$A72)</f>
        <v>7.1788365648585586</v>
      </c>
      <c r="S72" s="53">
        <f>SUMIFS('PIB Mpal 2015-2022 Cons'!V$5:V$1012,'PIB Mpal 2015-2022 Cons'!$A$5:$A$1012,$W$2,'PIB Mpal 2015-2022 Cons'!$E$5:$E$1012,$A72)</f>
        <v>55.873177576047681</v>
      </c>
      <c r="T72" s="153">
        <f>SUMIFS('PIB Mpal 2015-2022 Cons'!W$5:W$1012,'PIB Mpal 2015-2022 Cons'!$A$5:$A$1012,$W$2,'PIB Mpal 2015-2022 Cons'!$E$5:$E$1012,$A72)</f>
        <v>79.3732614486144</v>
      </c>
      <c r="U72" s="51">
        <f>SUMIFS('PIB Mpal 2015-2022 Cons'!X$5:X$1012,'PIB Mpal 2015-2022 Cons'!$A$5:$A$1012,$W$2,'PIB Mpal 2015-2022 Cons'!$E$5:$E$1012,$A72)</f>
        <v>7.9771655550431113</v>
      </c>
      <c r="V72" s="53">
        <f>SUMIFS('PIB Mpal 2015-2022 Cons'!Y$5:Y$1012,'PIB Mpal 2015-2022 Cons'!$A$5:$A$1012,$W$2,'PIB Mpal 2015-2022 Cons'!$E$5:$E$1012,$A72)</f>
        <v>87.350427003657515</v>
      </c>
      <c r="W72" s="92">
        <f t="shared" si="18"/>
        <v>7.5663282025677605E-4</v>
      </c>
      <c r="X72" s="268">
        <f>INDEX(POBLACION!$C$4:$W$128,MATCH(A72,POBLACION!$A$4:$A$128,0),MATCH($W$2,POBLACION!$C$3:$W$3,0))</f>
        <v>10093</v>
      </c>
      <c r="Y72" s="258">
        <f t="shared" si="19"/>
        <v>7864.1891854368769</v>
      </c>
      <c r="Z72" s="270">
        <f t="shared" si="20"/>
        <v>8654.5553357433382</v>
      </c>
      <c r="AA72" s="273">
        <f t="shared" si="21"/>
        <v>3.8956539525864158</v>
      </c>
      <c r="AB72" s="273">
        <f t="shared" si="21"/>
        <v>3.937244759075198</v>
      </c>
    </row>
    <row r="73" spans="1:28" x14ac:dyDescent="0.2">
      <c r="A73" s="35" t="s">
        <v>247</v>
      </c>
      <c r="B73" s="32" t="s">
        <v>221</v>
      </c>
      <c r="C73" s="33" t="s">
        <v>222</v>
      </c>
      <c r="D73" s="32" t="s">
        <v>248</v>
      </c>
      <c r="E73" s="51">
        <f>SUMIFS('PIB Mpal 2015-2022 Cons'!H$5:H$1012,'PIB Mpal 2015-2022 Cons'!$A$5:$A$1012,$W$2,'PIB Mpal 2015-2022 Cons'!$E$5:$E$1012,$A73)</f>
        <v>4.1638870518186639</v>
      </c>
      <c r="F73" s="51">
        <f>SUMIFS('PIB Mpal 2015-2022 Cons'!I$5:I$1012,'PIB Mpal 2015-2022 Cons'!$A$5:$A$1012,$W$2,'PIB Mpal 2015-2022 Cons'!$E$5:$E$1012,$A73)</f>
        <v>0</v>
      </c>
      <c r="G73" s="51">
        <f>SUMIFS('PIB Mpal 2015-2022 Cons'!K$5:K$1012,'PIB Mpal 2015-2022 Cons'!$A$5:$A$1012,$W$2,'PIB Mpal 2015-2022 Cons'!$E$5:$E$1012,$A73)</f>
        <v>0.69079155629151867</v>
      </c>
      <c r="H73" s="51">
        <f>SUMIFS('PIB Mpal 2015-2022 Cons'!L$5:L$1012,'PIB Mpal 2015-2022 Cons'!$A$5:$A$1012,$W$2,'PIB Mpal 2015-2022 Cons'!$E$5:$E$1012,$A73)</f>
        <v>1.7683445044574917</v>
      </c>
      <c r="I73" s="51">
        <f>SUMIFS('PIB Mpal 2015-2022 Cons'!N$5:N$1012,'PIB Mpal 2015-2022 Cons'!$A$5:$A$1012,$W$2,'PIB Mpal 2015-2022 Cons'!$E$5:$E$1012,$A73)</f>
        <v>3.2255098780962994</v>
      </c>
      <c r="J73" s="51">
        <f>SUMIFS('PIB Mpal 2015-2022 Cons'!O$5:O$1012,'PIB Mpal 2015-2022 Cons'!$A$5:$A$1012,$W$2,'PIB Mpal 2015-2022 Cons'!$E$5:$E$1012,$A73)</f>
        <v>5.4107388416892386</v>
      </c>
      <c r="K73" s="51">
        <f>SUMIFS('PIB Mpal 2015-2022 Cons'!P$5:P$1012,'PIB Mpal 2015-2022 Cons'!$A$5:$A$1012,$W$2,'PIB Mpal 2015-2022 Cons'!$E$5:$E$1012,$A73)</f>
        <v>1.046342021027481</v>
      </c>
      <c r="L73" s="51">
        <f>SUMIFS('PIB Mpal 2015-2022 Cons'!Q$5:Q$1012,'PIB Mpal 2015-2022 Cons'!$A$5:$A$1012,$W$2,'PIB Mpal 2015-2022 Cons'!$E$5:$E$1012,$A73)</f>
        <v>0.47664714350326565</v>
      </c>
      <c r="M73" s="51">
        <f>SUMIFS('PIB Mpal 2015-2022 Cons'!R$5:R$1012,'PIB Mpal 2015-2022 Cons'!$A$5:$A$1012,$W$2,'PIB Mpal 2015-2022 Cons'!$E$5:$E$1012,$A73)</f>
        <v>2.7295563204784807</v>
      </c>
      <c r="N73" s="51">
        <f>SUMIFS('PIB Mpal 2015-2022 Cons'!S$5:S$1012,'PIB Mpal 2015-2022 Cons'!$A$5:$A$1012,$W$2,'PIB Mpal 2015-2022 Cons'!$E$5:$E$1012,$A73)</f>
        <v>2.993737723473243</v>
      </c>
      <c r="O73" s="51">
        <f>SUMIFS('PIB Mpal 2015-2022 Cons'!T$5:T$1012,'PIB Mpal 2015-2022 Cons'!$A$5:$A$1012,$W$2,'PIB Mpal 2015-2022 Cons'!$E$5:$E$1012,$A73)</f>
        <v>5.1769577899442263</v>
      </c>
      <c r="P73" s="150">
        <f>SUMIFS('PIB Mpal 2015-2022 Cons'!U$5:U$1012,'PIB Mpal 2015-2022 Cons'!$A$5:$A$1012,$W$2,'PIB Mpal 2015-2022 Cons'!$E$5:$E$1012,$A73)</f>
        <v>0.74363591499710413</v>
      </c>
      <c r="Q73" s="217">
        <f>SUMIFS('PIB Mpal 2015-2022 Cons'!J$5:J$1012,'PIB Mpal 2015-2022 Cons'!$A$5:$A$1012,$W$2,'PIB Mpal 2015-2022 Cons'!$E$5:$E$1012,$A73)</f>
        <v>4.1638870518186639</v>
      </c>
      <c r="R73" s="99">
        <f>SUMIFS('PIB Mpal 2015-2022 Cons'!M$5:M$1012,'PIB Mpal 2015-2022 Cons'!$A$5:$A$1012,$W$2,'PIB Mpal 2015-2022 Cons'!$E$5:$E$1012,$A73)</f>
        <v>2.4591360607490103</v>
      </c>
      <c r="S73" s="53">
        <f>SUMIFS('PIB Mpal 2015-2022 Cons'!V$5:V$1012,'PIB Mpal 2015-2022 Cons'!$A$5:$A$1012,$W$2,'PIB Mpal 2015-2022 Cons'!$E$5:$E$1012,$A73)</f>
        <v>21.803125633209341</v>
      </c>
      <c r="T73" s="153">
        <f>SUMIFS('PIB Mpal 2015-2022 Cons'!W$5:W$1012,'PIB Mpal 2015-2022 Cons'!$A$5:$A$1012,$W$2,'PIB Mpal 2015-2022 Cons'!$E$5:$E$1012,$A73)</f>
        <v>28.426148745777013</v>
      </c>
      <c r="U73" s="51">
        <f>SUMIFS('PIB Mpal 2015-2022 Cons'!X$5:X$1012,'PIB Mpal 2015-2022 Cons'!$A$5:$A$1012,$W$2,'PIB Mpal 2015-2022 Cons'!$E$5:$E$1012,$A73)</f>
        <v>2.856882664267725</v>
      </c>
      <c r="V73" s="53">
        <f>SUMIFS('PIB Mpal 2015-2022 Cons'!Y$5:Y$1012,'PIB Mpal 2015-2022 Cons'!$A$5:$A$1012,$W$2,'PIB Mpal 2015-2022 Cons'!$E$5:$E$1012,$A73)</f>
        <v>31.283031410044739</v>
      </c>
      <c r="W73" s="92">
        <f t="shared" si="18"/>
        <v>2.7097484344263556E-4</v>
      </c>
      <c r="X73" s="268">
        <f>INDEX(POBLACION!$C$4:$W$128,MATCH(A73,POBLACION!$A$4:$A$128,0),MATCH($W$2,POBLACION!$C$3:$W$3,0))</f>
        <v>3093</v>
      </c>
      <c r="Y73" s="258">
        <f t="shared" si="19"/>
        <v>9190.4780943346304</v>
      </c>
      <c r="Z73" s="270">
        <f t="shared" si="20"/>
        <v>10114.138832862833</v>
      </c>
      <c r="AA73" s="273">
        <f t="shared" si="21"/>
        <v>3.9633381042403713</v>
      </c>
      <c r="AB73" s="273">
        <f t="shared" si="21"/>
        <v>4.0049289107294319</v>
      </c>
    </row>
    <row r="74" spans="1:28" x14ac:dyDescent="0.2">
      <c r="A74" s="35" t="s">
        <v>249</v>
      </c>
      <c r="B74" s="32" t="s">
        <v>221</v>
      </c>
      <c r="C74" s="33" t="s">
        <v>222</v>
      </c>
      <c r="D74" s="32" t="s">
        <v>250</v>
      </c>
      <c r="E74" s="51">
        <f>SUMIFS('PIB Mpal 2015-2022 Cons'!H$5:H$1012,'PIB Mpal 2015-2022 Cons'!$A$5:$A$1012,$W$2,'PIB Mpal 2015-2022 Cons'!$E$5:$E$1012,$A74)</f>
        <v>12.011549362367651</v>
      </c>
      <c r="F74" s="51">
        <f>SUMIFS('PIB Mpal 2015-2022 Cons'!I$5:I$1012,'PIB Mpal 2015-2022 Cons'!$A$5:$A$1012,$W$2,'PIB Mpal 2015-2022 Cons'!$E$5:$E$1012,$A74)</f>
        <v>0</v>
      </c>
      <c r="G74" s="51">
        <f>SUMIFS('PIB Mpal 2015-2022 Cons'!K$5:K$1012,'PIB Mpal 2015-2022 Cons'!$A$5:$A$1012,$W$2,'PIB Mpal 2015-2022 Cons'!$E$5:$E$1012,$A74)</f>
        <v>2.6454844165755214</v>
      </c>
      <c r="H74" s="51">
        <f>SUMIFS('PIB Mpal 2015-2022 Cons'!L$5:L$1012,'PIB Mpal 2015-2022 Cons'!$A$5:$A$1012,$W$2,'PIB Mpal 2015-2022 Cons'!$E$5:$E$1012,$A74)</f>
        <v>2.5342813623396974</v>
      </c>
      <c r="I74" s="51">
        <f>SUMIFS('PIB Mpal 2015-2022 Cons'!N$5:N$1012,'PIB Mpal 2015-2022 Cons'!$A$5:$A$1012,$W$2,'PIB Mpal 2015-2022 Cons'!$E$5:$E$1012,$A74)</f>
        <v>1.6581780744688805</v>
      </c>
      <c r="J74" s="51">
        <f>SUMIFS('PIB Mpal 2015-2022 Cons'!O$5:O$1012,'PIB Mpal 2015-2022 Cons'!$A$5:$A$1012,$W$2,'PIB Mpal 2015-2022 Cons'!$E$5:$E$1012,$A74)</f>
        <v>6.057832011599233</v>
      </c>
      <c r="K74" s="51">
        <f>SUMIFS('PIB Mpal 2015-2022 Cons'!P$5:P$1012,'PIB Mpal 2015-2022 Cons'!$A$5:$A$1012,$W$2,'PIB Mpal 2015-2022 Cons'!$E$5:$E$1012,$A74)</f>
        <v>2.3249533730379208</v>
      </c>
      <c r="L74" s="51">
        <f>SUMIFS('PIB Mpal 2015-2022 Cons'!Q$5:Q$1012,'PIB Mpal 2015-2022 Cons'!$A$5:$A$1012,$W$2,'PIB Mpal 2015-2022 Cons'!$E$5:$E$1012,$A74)</f>
        <v>1.874342914665674</v>
      </c>
      <c r="M74" s="51">
        <f>SUMIFS('PIB Mpal 2015-2022 Cons'!R$5:R$1012,'PIB Mpal 2015-2022 Cons'!$A$5:$A$1012,$W$2,'PIB Mpal 2015-2022 Cons'!$E$5:$E$1012,$A74)</f>
        <v>4.9961312107902742</v>
      </c>
      <c r="N74" s="51">
        <f>SUMIFS('PIB Mpal 2015-2022 Cons'!S$5:S$1012,'PIB Mpal 2015-2022 Cons'!$A$5:$A$1012,$W$2,'PIB Mpal 2015-2022 Cons'!$E$5:$E$1012,$A74)</f>
        <v>7.108275309533143</v>
      </c>
      <c r="O74" s="51">
        <f>SUMIFS('PIB Mpal 2015-2022 Cons'!T$5:T$1012,'PIB Mpal 2015-2022 Cons'!$A$5:$A$1012,$W$2,'PIB Mpal 2015-2022 Cons'!$E$5:$E$1012,$A74)</f>
        <v>17.103931245907969</v>
      </c>
      <c r="P74" s="150">
        <f>SUMIFS('PIB Mpal 2015-2022 Cons'!U$5:U$1012,'PIB Mpal 2015-2022 Cons'!$A$5:$A$1012,$W$2,'PIB Mpal 2015-2022 Cons'!$E$5:$E$1012,$A74)</f>
        <v>1.6455875021163437</v>
      </c>
      <c r="Q74" s="217">
        <f>SUMIFS('PIB Mpal 2015-2022 Cons'!J$5:J$1012,'PIB Mpal 2015-2022 Cons'!$A$5:$A$1012,$W$2,'PIB Mpal 2015-2022 Cons'!$E$5:$E$1012,$A74)</f>
        <v>12.011549362367651</v>
      </c>
      <c r="R74" s="99">
        <f>SUMIFS('PIB Mpal 2015-2022 Cons'!M$5:M$1012,'PIB Mpal 2015-2022 Cons'!$A$5:$A$1012,$W$2,'PIB Mpal 2015-2022 Cons'!$E$5:$E$1012,$A74)</f>
        <v>5.1797657789152183</v>
      </c>
      <c r="S74" s="53">
        <f>SUMIFS('PIB Mpal 2015-2022 Cons'!V$5:V$1012,'PIB Mpal 2015-2022 Cons'!$A$5:$A$1012,$W$2,'PIB Mpal 2015-2022 Cons'!$E$5:$E$1012,$A74)</f>
        <v>42.769231642119436</v>
      </c>
      <c r="T74" s="153">
        <f>SUMIFS('PIB Mpal 2015-2022 Cons'!W$5:W$1012,'PIB Mpal 2015-2022 Cons'!$A$5:$A$1012,$W$2,'PIB Mpal 2015-2022 Cons'!$E$5:$E$1012,$A74)</f>
        <v>59.960546783402307</v>
      </c>
      <c r="U74" s="51">
        <f>SUMIFS('PIB Mpal 2015-2022 Cons'!X$5:X$1012,'PIB Mpal 2015-2022 Cons'!$A$5:$A$1012,$W$2,'PIB Mpal 2015-2022 Cons'!$E$5:$E$1012,$A74)</f>
        <v>6.0261503651612394</v>
      </c>
      <c r="V74" s="53">
        <f>SUMIFS('PIB Mpal 2015-2022 Cons'!Y$5:Y$1012,'PIB Mpal 2015-2022 Cons'!$A$5:$A$1012,$W$2,'PIB Mpal 2015-2022 Cons'!$E$5:$E$1012,$A74)</f>
        <v>65.98669714856355</v>
      </c>
      <c r="W74" s="92">
        <f t="shared" si="18"/>
        <v>5.7157935542612561E-4</v>
      </c>
      <c r="X74" s="268">
        <f>INDEX(POBLACION!$C$4:$W$128,MATCH(A74,POBLACION!$A$4:$A$128,0),MATCH($W$2,POBLACION!$C$3:$W$3,0))</f>
        <v>7976</v>
      </c>
      <c r="Y74" s="258">
        <f t="shared" si="19"/>
        <v>7517.6212115599683</v>
      </c>
      <c r="Z74" s="270">
        <f t="shared" si="20"/>
        <v>8273.1566134106761</v>
      </c>
      <c r="AA74" s="273">
        <f t="shared" si="21"/>
        <v>3.8760804392450856</v>
      </c>
      <c r="AB74" s="273">
        <f t="shared" si="21"/>
        <v>3.9176712457339096</v>
      </c>
    </row>
    <row r="75" spans="1:28" x14ac:dyDescent="0.2">
      <c r="A75" s="35" t="s">
        <v>251</v>
      </c>
      <c r="B75" s="32" t="s">
        <v>221</v>
      </c>
      <c r="C75" s="33" t="s">
        <v>145</v>
      </c>
      <c r="D75" s="32" t="s">
        <v>252</v>
      </c>
      <c r="E75" s="51">
        <f>SUMIFS('PIB Mpal 2015-2022 Cons'!H$5:H$1012,'PIB Mpal 2015-2022 Cons'!$A$5:$A$1012,$W$2,'PIB Mpal 2015-2022 Cons'!$E$5:$E$1012,$A75)</f>
        <v>12.573535371582073</v>
      </c>
      <c r="F75" s="51">
        <f>SUMIFS('PIB Mpal 2015-2022 Cons'!I$5:I$1012,'PIB Mpal 2015-2022 Cons'!$A$5:$A$1012,$W$2,'PIB Mpal 2015-2022 Cons'!$E$5:$E$1012,$A75)</f>
        <v>0.96534874266294324</v>
      </c>
      <c r="G75" s="51">
        <f>SUMIFS('PIB Mpal 2015-2022 Cons'!K$5:K$1012,'PIB Mpal 2015-2022 Cons'!$A$5:$A$1012,$W$2,'PIB Mpal 2015-2022 Cons'!$E$5:$E$1012,$A75)</f>
        <v>1.547220873648649</v>
      </c>
      <c r="H75" s="51">
        <f>SUMIFS('PIB Mpal 2015-2022 Cons'!L$5:L$1012,'PIB Mpal 2015-2022 Cons'!$A$5:$A$1012,$W$2,'PIB Mpal 2015-2022 Cons'!$E$5:$E$1012,$A75)</f>
        <v>4.8831158601058622</v>
      </c>
      <c r="I75" s="51">
        <f>SUMIFS('PIB Mpal 2015-2022 Cons'!N$5:N$1012,'PIB Mpal 2015-2022 Cons'!$A$5:$A$1012,$W$2,'PIB Mpal 2015-2022 Cons'!$E$5:$E$1012,$A75)</f>
        <v>1.8272847485409534</v>
      </c>
      <c r="J75" s="51">
        <f>SUMIFS('PIB Mpal 2015-2022 Cons'!O$5:O$1012,'PIB Mpal 2015-2022 Cons'!$A$5:$A$1012,$W$2,'PIB Mpal 2015-2022 Cons'!$E$5:$E$1012,$A75)</f>
        <v>6.0650171029749727</v>
      </c>
      <c r="K75" s="51">
        <f>SUMIFS('PIB Mpal 2015-2022 Cons'!P$5:P$1012,'PIB Mpal 2015-2022 Cons'!$A$5:$A$1012,$W$2,'PIB Mpal 2015-2022 Cons'!$E$5:$E$1012,$A75)</f>
        <v>3.1675766292020144</v>
      </c>
      <c r="L75" s="51">
        <f>SUMIFS('PIB Mpal 2015-2022 Cons'!Q$5:Q$1012,'PIB Mpal 2015-2022 Cons'!$A$5:$A$1012,$W$2,'PIB Mpal 2015-2022 Cons'!$E$5:$E$1012,$A75)</f>
        <v>2.5168574158349339</v>
      </c>
      <c r="M75" s="51">
        <f>SUMIFS('PIB Mpal 2015-2022 Cons'!R$5:R$1012,'PIB Mpal 2015-2022 Cons'!$A$5:$A$1012,$W$2,'PIB Mpal 2015-2022 Cons'!$E$5:$E$1012,$A75)</f>
        <v>7.2398388835074998</v>
      </c>
      <c r="N75" s="51">
        <f>SUMIFS('PIB Mpal 2015-2022 Cons'!S$5:S$1012,'PIB Mpal 2015-2022 Cons'!$A$5:$A$1012,$W$2,'PIB Mpal 2015-2022 Cons'!$E$5:$E$1012,$A75)</f>
        <v>7.9394161429673042</v>
      </c>
      <c r="O75" s="51">
        <f>SUMIFS('PIB Mpal 2015-2022 Cons'!T$5:T$1012,'PIB Mpal 2015-2022 Cons'!$A$5:$A$1012,$W$2,'PIB Mpal 2015-2022 Cons'!$E$5:$E$1012,$A75)</f>
        <v>20.681865318757428</v>
      </c>
      <c r="P75" s="150">
        <f>SUMIFS('PIB Mpal 2015-2022 Cons'!U$5:U$1012,'PIB Mpal 2015-2022 Cons'!$A$5:$A$1012,$W$2,'PIB Mpal 2015-2022 Cons'!$E$5:$E$1012,$A75)</f>
        <v>2.2370604869445661</v>
      </c>
      <c r="Q75" s="217">
        <f>SUMIFS('PIB Mpal 2015-2022 Cons'!J$5:J$1012,'PIB Mpal 2015-2022 Cons'!$A$5:$A$1012,$W$2,'PIB Mpal 2015-2022 Cons'!$E$5:$E$1012,$A75)</f>
        <v>13.538884114245016</v>
      </c>
      <c r="R75" s="99">
        <f>SUMIFS('PIB Mpal 2015-2022 Cons'!M$5:M$1012,'PIB Mpal 2015-2022 Cons'!$A$5:$A$1012,$W$2,'PIB Mpal 2015-2022 Cons'!$E$5:$E$1012,$A75)</f>
        <v>6.430336733754511</v>
      </c>
      <c r="S75" s="53">
        <f>SUMIFS('PIB Mpal 2015-2022 Cons'!V$5:V$1012,'PIB Mpal 2015-2022 Cons'!$A$5:$A$1012,$W$2,'PIB Mpal 2015-2022 Cons'!$E$5:$E$1012,$A75)</f>
        <v>51.67491672872967</v>
      </c>
      <c r="T75" s="153">
        <f>SUMIFS('PIB Mpal 2015-2022 Cons'!W$5:W$1012,'PIB Mpal 2015-2022 Cons'!$A$5:$A$1012,$W$2,'PIB Mpal 2015-2022 Cons'!$E$5:$E$1012,$A75)</f>
        <v>71.644137576729193</v>
      </c>
      <c r="U75" s="51">
        <f>SUMIFS('PIB Mpal 2015-2022 Cons'!X$5:X$1012,'PIB Mpal 2015-2022 Cons'!$A$5:$A$1012,$W$2,'PIB Mpal 2015-2022 Cons'!$E$5:$E$1012,$A75)</f>
        <v>7.2003737287392759</v>
      </c>
      <c r="V75" s="53">
        <f>SUMIFS('PIB Mpal 2015-2022 Cons'!Y$5:Y$1012,'PIB Mpal 2015-2022 Cons'!$A$5:$A$1012,$W$2,'PIB Mpal 2015-2022 Cons'!$E$5:$E$1012,$A75)</f>
        <v>78.844511305468473</v>
      </c>
      <c r="W75" s="92">
        <f t="shared" si="18"/>
        <v>6.8295424529894917E-4</v>
      </c>
      <c r="X75" s="268">
        <f>INDEX(POBLACION!$C$4:$W$128,MATCH(A75,POBLACION!$A$4:$A$128,0),MATCH($W$2,POBLACION!$C$3:$W$3,0))</f>
        <v>8837</v>
      </c>
      <c r="Y75" s="258">
        <f t="shared" si="19"/>
        <v>8107.2917932249848</v>
      </c>
      <c r="Z75" s="270">
        <f t="shared" si="20"/>
        <v>8922.0902235451485</v>
      </c>
      <c r="AA75" s="273">
        <f t="shared" si="21"/>
        <v>3.9088758041887268</v>
      </c>
      <c r="AB75" s="273">
        <f t="shared" si="21"/>
        <v>3.9504666106775859</v>
      </c>
    </row>
    <row r="76" spans="1:28" x14ac:dyDescent="0.2">
      <c r="A76" s="35" t="s">
        <v>253</v>
      </c>
      <c r="B76" s="32" t="s">
        <v>221</v>
      </c>
      <c r="C76" s="33" t="s">
        <v>222</v>
      </c>
      <c r="D76" s="32" t="s">
        <v>254</v>
      </c>
      <c r="E76" s="51">
        <f>SUMIFS('PIB Mpal 2015-2022 Cons'!H$5:H$1012,'PIB Mpal 2015-2022 Cons'!$A$5:$A$1012,$W$2,'PIB Mpal 2015-2022 Cons'!$E$5:$E$1012,$A76)</f>
        <v>11.339180440574477</v>
      </c>
      <c r="F76" s="51">
        <f>SUMIFS('PIB Mpal 2015-2022 Cons'!I$5:I$1012,'PIB Mpal 2015-2022 Cons'!$A$5:$A$1012,$W$2,'PIB Mpal 2015-2022 Cons'!$E$5:$E$1012,$A76)</f>
        <v>0</v>
      </c>
      <c r="G76" s="51">
        <f>SUMIFS('PIB Mpal 2015-2022 Cons'!K$5:K$1012,'PIB Mpal 2015-2022 Cons'!$A$5:$A$1012,$W$2,'PIB Mpal 2015-2022 Cons'!$E$5:$E$1012,$A76)</f>
        <v>2.8830945878946359</v>
      </c>
      <c r="H76" s="51">
        <f>SUMIFS('PIB Mpal 2015-2022 Cons'!L$5:L$1012,'PIB Mpal 2015-2022 Cons'!$A$5:$A$1012,$W$2,'PIB Mpal 2015-2022 Cons'!$E$5:$E$1012,$A76)</f>
        <v>11.525002895840954</v>
      </c>
      <c r="I76" s="51">
        <f>SUMIFS('PIB Mpal 2015-2022 Cons'!N$5:N$1012,'PIB Mpal 2015-2022 Cons'!$A$5:$A$1012,$W$2,'PIB Mpal 2015-2022 Cons'!$E$5:$E$1012,$A76)</f>
        <v>9.9495742257274955</v>
      </c>
      <c r="J76" s="51">
        <f>SUMIFS('PIB Mpal 2015-2022 Cons'!O$5:O$1012,'PIB Mpal 2015-2022 Cons'!$A$5:$A$1012,$W$2,'PIB Mpal 2015-2022 Cons'!$E$5:$E$1012,$A76)</f>
        <v>49.642359360604765</v>
      </c>
      <c r="K76" s="51">
        <f>SUMIFS('PIB Mpal 2015-2022 Cons'!P$5:P$1012,'PIB Mpal 2015-2022 Cons'!$A$5:$A$1012,$W$2,'PIB Mpal 2015-2022 Cons'!$E$5:$E$1012,$A76)</f>
        <v>5.962448351624646</v>
      </c>
      <c r="L76" s="51">
        <f>SUMIFS('PIB Mpal 2015-2022 Cons'!Q$5:Q$1012,'PIB Mpal 2015-2022 Cons'!$A$5:$A$1012,$W$2,'PIB Mpal 2015-2022 Cons'!$E$5:$E$1012,$A76)</f>
        <v>3.8370355605328923</v>
      </c>
      <c r="M76" s="51">
        <f>SUMIFS('PIB Mpal 2015-2022 Cons'!R$5:R$1012,'PIB Mpal 2015-2022 Cons'!$A$5:$A$1012,$W$2,'PIB Mpal 2015-2022 Cons'!$E$5:$E$1012,$A76)</f>
        <v>28.463437647177823</v>
      </c>
      <c r="N76" s="51">
        <f>SUMIFS('PIB Mpal 2015-2022 Cons'!S$5:S$1012,'PIB Mpal 2015-2022 Cons'!$A$5:$A$1012,$W$2,'PIB Mpal 2015-2022 Cons'!$E$5:$E$1012,$A76)</f>
        <v>17.365906755820959</v>
      </c>
      <c r="O76" s="51">
        <f>SUMIFS('PIB Mpal 2015-2022 Cons'!T$5:T$1012,'PIB Mpal 2015-2022 Cons'!$A$5:$A$1012,$W$2,'PIB Mpal 2015-2022 Cons'!$E$5:$E$1012,$A76)</f>
        <v>21.155335952386618</v>
      </c>
      <c r="P76" s="150">
        <f>SUMIFS('PIB Mpal 2015-2022 Cons'!U$5:U$1012,'PIB Mpal 2015-2022 Cons'!$A$5:$A$1012,$W$2,'PIB Mpal 2015-2022 Cons'!$E$5:$E$1012,$A76)</f>
        <v>3.7192607659577792</v>
      </c>
      <c r="Q76" s="217">
        <f>SUMIFS('PIB Mpal 2015-2022 Cons'!J$5:J$1012,'PIB Mpal 2015-2022 Cons'!$A$5:$A$1012,$W$2,'PIB Mpal 2015-2022 Cons'!$E$5:$E$1012,$A76)</f>
        <v>11.339180440574477</v>
      </c>
      <c r="R76" s="99">
        <f>SUMIFS('PIB Mpal 2015-2022 Cons'!M$5:M$1012,'PIB Mpal 2015-2022 Cons'!$A$5:$A$1012,$W$2,'PIB Mpal 2015-2022 Cons'!$E$5:$E$1012,$A76)</f>
        <v>14.40809748373559</v>
      </c>
      <c r="S76" s="53">
        <f>SUMIFS('PIB Mpal 2015-2022 Cons'!V$5:V$1012,'PIB Mpal 2015-2022 Cons'!$A$5:$A$1012,$W$2,'PIB Mpal 2015-2022 Cons'!$E$5:$E$1012,$A76)</f>
        <v>140.09535861983298</v>
      </c>
      <c r="T76" s="153">
        <f>SUMIFS('PIB Mpal 2015-2022 Cons'!W$5:W$1012,'PIB Mpal 2015-2022 Cons'!$A$5:$A$1012,$W$2,'PIB Mpal 2015-2022 Cons'!$E$5:$E$1012,$A76)</f>
        <v>165.84263654414303</v>
      </c>
      <c r="U76" s="51">
        <f>SUMIFS('PIB Mpal 2015-2022 Cons'!X$5:X$1012,'PIB Mpal 2015-2022 Cons'!$A$5:$A$1012,$W$2,'PIB Mpal 2015-2022 Cons'!$E$5:$E$1012,$A76)</f>
        <v>16.667504190623117</v>
      </c>
      <c r="V76" s="53">
        <f>SUMIFS('PIB Mpal 2015-2022 Cons'!Y$5:Y$1012,'PIB Mpal 2015-2022 Cons'!$A$5:$A$1012,$W$2,'PIB Mpal 2015-2022 Cons'!$E$5:$E$1012,$A76)</f>
        <v>182.51014073476614</v>
      </c>
      <c r="W76" s="92">
        <f t="shared" si="18"/>
        <v>1.5809099880396121E-3</v>
      </c>
      <c r="X76" s="268">
        <f>INDEX(POBLACION!$C$4:$W$128,MATCH(A76,POBLACION!$A$4:$A$128,0),MATCH($W$2,POBLACION!$C$3:$W$3,0))</f>
        <v>14800</v>
      </c>
      <c r="Y76" s="258">
        <f t="shared" si="19"/>
        <v>11205.583550279935</v>
      </c>
      <c r="Z76" s="270">
        <f t="shared" si="20"/>
        <v>12331.766265862578</v>
      </c>
      <c r="AA76" s="273">
        <f t="shared" si="21"/>
        <v>4.0494344781015483</v>
      </c>
      <c r="AB76" s="273">
        <f t="shared" si="21"/>
        <v>4.0910252845909527</v>
      </c>
    </row>
    <row r="77" spans="1:28" x14ac:dyDescent="0.2">
      <c r="A77" s="35" t="s">
        <v>255</v>
      </c>
      <c r="B77" s="32" t="s">
        <v>221</v>
      </c>
      <c r="C77" s="33" t="s">
        <v>145</v>
      </c>
      <c r="D77" s="32" t="s">
        <v>256</v>
      </c>
      <c r="E77" s="51">
        <f>SUMIFS('PIB Mpal 2015-2022 Cons'!H$5:H$1012,'PIB Mpal 2015-2022 Cons'!$A$5:$A$1012,$W$2,'PIB Mpal 2015-2022 Cons'!$E$5:$E$1012,$A77)</f>
        <v>43.546067849286878</v>
      </c>
      <c r="F77" s="51">
        <f>SUMIFS('PIB Mpal 2015-2022 Cons'!I$5:I$1012,'PIB Mpal 2015-2022 Cons'!$A$5:$A$1012,$W$2,'PIB Mpal 2015-2022 Cons'!$E$5:$E$1012,$A77)</f>
        <v>0.63166191440162578</v>
      </c>
      <c r="G77" s="51">
        <f>SUMIFS('PIB Mpal 2015-2022 Cons'!K$5:K$1012,'PIB Mpal 2015-2022 Cons'!$A$5:$A$1012,$W$2,'PIB Mpal 2015-2022 Cons'!$E$5:$E$1012,$A77)</f>
        <v>7.8876727243470173</v>
      </c>
      <c r="H77" s="51">
        <f>SUMIFS('PIB Mpal 2015-2022 Cons'!L$5:L$1012,'PIB Mpal 2015-2022 Cons'!$A$5:$A$1012,$W$2,'PIB Mpal 2015-2022 Cons'!$E$5:$E$1012,$A77)</f>
        <v>17.535985000543985</v>
      </c>
      <c r="I77" s="51">
        <f>SUMIFS('PIB Mpal 2015-2022 Cons'!N$5:N$1012,'PIB Mpal 2015-2022 Cons'!$A$5:$A$1012,$W$2,'PIB Mpal 2015-2022 Cons'!$E$5:$E$1012,$A77)</f>
        <v>4.9732340729084701</v>
      </c>
      <c r="J77" s="51">
        <f>SUMIFS('PIB Mpal 2015-2022 Cons'!O$5:O$1012,'PIB Mpal 2015-2022 Cons'!$A$5:$A$1012,$W$2,'PIB Mpal 2015-2022 Cons'!$E$5:$E$1012,$A77)</f>
        <v>76.469794867600726</v>
      </c>
      <c r="K77" s="51">
        <f>SUMIFS('PIB Mpal 2015-2022 Cons'!P$5:P$1012,'PIB Mpal 2015-2022 Cons'!$A$5:$A$1012,$W$2,'PIB Mpal 2015-2022 Cons'!$E$5:$E$1012,$A77)</f>
        <v>9.237820281176532</v>
      </c>
      <c r="L77" s="51">
        <f>SUMIFS('PIB Mpal 2015-2022 Cons'!Q$5:Q$1012,'PIB Mpal 2015-2022 Cons'!$A$5:$A$1012,$W$2,'PIB Mpal 2015-2022 Cons'!$E$5:$E$1012,$A77)</f>
        <v>6.7752145689349517</v>
      </c>
      <c r="M77" s="51">
        <f>SUMIFS('PIB Mpal 2015-2022 Cons'!R$5:R$1012,'PIB Mpal 2015-2022 Cons'!$A$5:$A$1012,$W$2,'PIB Mpal 2015-2022 Cons'!$E$5:$E$1012,$A77)</f>
        <v>24.238250217581736</v>
      </c>
      <c r="N77" s="51">
        <f>SUMIFS('PIB Mpal 2015-2022 Cons'!S$5:S$1012,'PIB Mpal 2015-2022 Cons'!$A$5:$A$1012,$W$2,'PIB Mpal 2015-2022 Cons'!$E$5:$E$1012,$A77)</f>
        <v>27.510472556292246</v>
      </c>
      <c r="O77" s="51">
        <f>SUMIFS('PIB Mpal 2015-2022 Cons'!T$5:T$1012,'PIB Mpal 2015-2022 Cons'!$A$5:$A$1012,$W$2,'PIB Mpal 2015-2022 Cons'!$E$5:$E$1012,$A77)</f>
        <v>52.989034118459763</v>
      </c>
      <c r="P77" s="150">
        <f>SUMIFS('PIB Mpal 2015-2022 Cons'!U$5:U$1012,'PIB Mpal 2015-2022 Cons'!$A$5:$A$1012,$W$2,'PIB Mpal 2015-2022 Cons'!$E$5:$E$1012,$A77)</f>
        <v>7.5551550814299331</v>
      </c>
      <c r="Q77" s="217">
        <f>SUMIFS('PIB Mpal 2015-2022 Cons'!J$5:J$1012,'PIB Mpal 2015-2022 Cons'!$A$5:$A$1012,$W$2,'PIB Mpal 2015-2022 Cons'!$E$5:$E$1012,$A77)</f>
        <v>44.177729763688504</v>
      </c>
      <c r="R77" s="99">
        <f>SUMIFS('PIB Mpal 2015-2022 Cons'!M$5:M$1012,'PIB Mpal 2015-2022 Cons'!$A$5:$A$1012,$W$2,'PIB Mpal 2015-2022 Cons'!$E$5:$E$1012,$A77)</f>
        <v>25.423657724891001</v>
      </c>
      <c r="S77" s="53">
        <f>SUMIFS('PIB Mpal 2015-2022 Cons'!V$5:V$1012,'PIB Mpal 2015-2022 Cons'!$A$5:$A$1012,$W$2,'PIB Mpal 2015-2022 Cons'!$E$5:$E$1012,$A77)</f>
        <v>209.74897576438437</v>
      </c>
      <c r="T77" s="153">
        <f>SUMIFS('PIB Mpal 2015-2022 Cons'!W$5:W$1012,'PIB Mpal 2015-2022 Cons'!$A$5:$A$1012,$W$2,'PIB Mpal 2015-2022 Cons'!$E$5:$E$1012,$A77)</f>
        <v>279.35036325296386</v>
      </c>
      <c r="U77" s="51">
        <f>SUMIFS('PIB Mpal 2015-2022 Cons'!X$5:X$1012,'PIB Mpal 2015-2022 Cons'!$A$5:$A$1012,$W$2,'PIB Mpal 2015-2022 Cons'!$E$5:$E$1012,$A77)</f>
        <v>28.07524920699678</v>
      </c>
      <c r="V77" s="53">
        <f>SUMIFS('PIB Mpal 2015-2022 Cons'!Y$5:Y$1012,'PIB Mpal 2015-2022 Cons'!$A$5:$A$1012,$W$2,'PIB Mpal 2015-2022 Cons'!$E$5:$E$1012,$A77)</f>
        <v>307.42561245996063</v>
      </c>
      <c r="W77" s="92">
        <f t="shared" si="18"/>
        <v>2.6629326971121386E-3</v>
      </c>
      <c r="X77" s="268">
        <f>INDEX(POBLACION!$C$4:$W$128,MATCH(A77,POBLACION!$A$4:$A$128,0),MATCH($W$2,POBLACION!$C$3:$W$3,0))</f>
        <v>25252</v>
      </c>
      <c r="Y77" s="258">
        <f t="shared" si="19"/>
        <v>11062.504484910656</v>
      </c>
      <c r="Z77" s="270">
        <f t="shared" si="20"/>
        <v>12174.307479010004</v>
      </c>
      <c r="AA77" s="273">
        <f t="shared" si="21"/>
        <v>4.0438534597756268</v>
      </c>
      <c r="AB77" s="273">
        <f t="shared" si="21"/>
        <v>4.0854442662646164</v>
      </c>
    </row>
    <row r="78" spans="1:28" x14ac:dyDescent="0.2">
      <c r="A78" s="35" t="s">
        <v>257</v>
      </c>
      <c r="B78" s="32" t="s">
        <v>221</v>
      </c>
      <c r="C78" s="33" t="s">
        <v>145</v>
      </c>
      <c r="D78" s="32" t="s">
        <v>258</v>
      </c>
      <c r="E78" s="51">
        <f>SUMIFS('PIB Mpal 2015-2022 Cons'!H$5:H$1012,'PIB Mpal 2015-2022 Cons'!$A$5:$A$1012,$W$2,'PIB Mpal 2015-2022 Cons'!$E$5:$E$1012,$A78)</f>
        <v>15.681870987404547</v>
      </c>
      <c r="F78" s="51">
        <f>SUMIFS('PIB Mpal 2015-2022 Cons'!I$5:I$1012,'PIB Mpal 2015-2022 Cons'!$A$5:$A$1012,$W$2,'PIB Mpal 2015-2022 Cons'!$E$5:$E$1012,$A78)</f>
        <v>0.32971255382841491</v>
      </c>
      <c r="G78" s="51">
        <f>SUMIFS('PIB Mpal 2015-2022 Cons'!K$5:K$1012,'PIB Mpal 2015-2022 Cons'!$A$5:$A$1012,$W$2,'PIB Mpal 2015-2022 Cons'!$E$5:$E$1012,$A78)</f>
        <v>3.9453191720390075</v>
      </c>
      <c r="H78" s="51">
        <f>SUMIFS('PIB Mpal 2015-2022 Cons'!L$5:L$1012,'PIB Mpal 2015-2022 Cons'!$A$5:$A$1012,$W$2,'PIB Mpal 2015-2022 Cons'!$E$5:$E$1012,$A78)</f>
        <v>9.1278449323353037</v>
      </c>
      <c r="I78" s="51">
        <f>SUMIFS('PIB Mpal 2015-2022 Cons'!N$5:N$1012,'PIB Mpal 2015-2022 Cons'!$A$5:$A$1012,$W$2,'PIB Mpal 2015-2022 Cons'!$E$5:$E$1012,$A78)</f>
        <v>7.4046286545213071</v>
      </c>
      <c r="J78" s="51">
        <f>SUMIFS('PIB Mpal 2015-2022 Cons'!O$5:O$1012,'PIB Mpal 2015-2022 Cons'!$A$5:$A$1012,$W$2,'PIB Mpal 2015-2022 Cons'!$E$5:$E$1012,$A78)</f>
        <v>36.949546004097904</v>
      </c>
      <c r="K78" s="51">
        <f>SUMIFS('PIB Mpal 2015-2022 Cons'!P$5:P$1012,'PIB Mpal 2015-2022 Cons'!$A$5:$A$1012,$W$2,'PIB Mpal 2015-2022 Cons'!$E$5:$E$1012,$A78)</f>
        <v>5.8430781099541296</v>
      </c>
      <c r="L78" s="51">
        <f>SUMIFS('PIB Mpal 2015-2022 Cons'!Q$5:Q$1012,'PIB Mpal 2015-2022 Cons'!$A$5:$A$1012,$W$2,'PIB Mpal 2015-2022 Cons'!$E$5:$E$1012,$A78)</f>
        <v>3.7415294118290365</v>
      </c>
      <c r="M78" s="51">
        <f>SUMIFS('PIB Mpal 2015-2022 Cons'!R$5:R$1012,'PIB Mpal 2015-2022 Cons'!$A$5:$A$1012,$W$2,'PIB Mpal 2015-2022 Cons'!$E$5:$E$1012,$A78)</f>
        <v>18.901058254566482</v>
      </c>
      <c r="N78" s="51">
        <f>SUMIFS('PIB Mpal 2015-2022 Cons'!S$5:S$1012,'PIB Mpal 2015-2022 Cons'!$A$5:$A$1012,$W$2,'PIB Mpal 2015-2022 Cons'!$E$5:$E$1012,$A78)</f>
        <v>16.137160089239135</v>
      </c>
      <c r="O78" s="51">
        <f>SUMIFS('PIB Mpal 2015-2022 Cons'!T$5:T$1012,'PIB Mpal 2015-2022 Cons'!$A$5:$A$1012,$W$2,'PIB Mpal 2015-2022 Cons'!$E$5:$E$1012,$A78)</f>
        <v>23.847781688791038</v>
      </c>
      <c r="P78" s="150">
        <f>SUMIFS('PIB Mpal 2015-2022 Cons'!U$5:U$1012,'PIB Mpal 2015-2022 Cons'!$A$5:$A$1012,$W$2,'PIB Mpal 2015-2022 Cons'!$E$5:$E$1012,$A78)</f>
        <v>4.1657280696546799</v>
      </c>
      <c r="Q78" s="217">
        <f>SUMIFS('PIB Mpal 2015-2022 Cons'!J$5:J$1012,'PIB Mpal 2015-2022 Cons'!$A$5:$A$1012,$W$2,'PIB Mpal 2015-2022 Cons'!$E$5:$E$1012,$A78)</f>
        <v>16.011583541232962</v>
      </c>
      <c r="R78" s="99">
        <f>SUMIFS('PIB Mpal 2015-2022 Cons'!M$5:M$1012,'PIB Mpal 2015-2022 Cons'!$A$5:$A$1012,$W$2,'PIB Mpal 2015-2022 Cons'!$E$5:$E$1012,$A78)</f>
        <v>13.07316410437431</v>
      </c>
      <c r="S78" s="53">
        <f>SUMIFS('PIB Mpal 2015-2022 Cons'!V$5:V$1012,'PIB Mpal 2015-2022 Cons'!$A$5:$A$1012,$W$2,'PIB Mpal 2015-2022 Cons'!$E$5:$E$1012,$A78)</f>
        <v>116.9905102826537</v>
      </c>
      <c r="T78" s="153">
        <f>SUMIFS('PIB Mpal 2015-2022 Cons'!W$5:W$1012,'PIB Mpal 2015-2022 Cons'!$A$5:$A$1012,$W$2,'PIB Mpal 2015-2022 Cons'!$E$5:$E$1012,$A78)</f>
        <v>146.07525792826098</v>
      </c>
      <c r="U78" s="51">
        <f>SUMIFS('PIB Mpal 2015-2022 Cons'!X$5:X$1012,'PIB Mpal 2015-2022 Cons'!$A$5:$A$1012,$W$2,'PIB Mpal 2015-2022 Cons'!$E$5:$E$1012,$A78)</f>
        <v>14.680844590924616</v>
      </c>
      <c r="V78" s="53">
        <f>SUMIFS('PIB Mpal 2015-2022 Cons'!Y$5:Y$1012,'PIB Mpal 2015-2022 Cons'!$A$5:$A$1012,$W$2,'PIB Mpal 2015-2022 Cons'!$E$5:$E$1012,$A78)</f>
        <v>160.75610251918559</v>
      </c>
      <c r="W78" s="92">
        <f t="shared" si="18"/>
        <v>1.3924756569018925E-3</v>
      </c>
      <c r="X78" s="268">
        <f>INDEX(POBLACION!$C$4:$W$128,MATCH(A78,POBLACION!$A$4:$A$128,0),MATCH($W$2,POBLACION!$C$3:$W$3,0))</f>
        <v>14773</v>
      </c>
      <c r="Y78" s="258">
        <f t="shared" si="19"/>
        <v>9887.9887584282806</v>
      </c>
      <c r="Z78" s="270">
        <f t="shared" si="20"/>
        <v>10881.750661286509</v>
      </c>
      <c r="AA78" s="273">
        <f t="shared" si="21"/>
        <v>3.9951079639992573</v>
      </c>
      <c r="AB78" s="273">
        <f t="shared" si="21"/>
        <v>4.0366987704884671</v>
      </c>
    </row>
    <row r="79" spans="1:28" ht="16" thickBot="1" x14ac:dyDescent="0.25">
      <c r="A79" s="35" t="s">
        <v>259</v>
      </c>
      <c r="B79" s="63" t="s">
        <v>221</v>
      </c>
      <c r="C79" s="62" t="s">
        <v>222</v>
      </c>
      <c r="D79" s="63" t="s">
        <v>260</v>
      </c>
      <c r="E79" s="96">
        <f>SUMIFS('PIB Mpal 2015-2022 Cons'!H$5:H$1012,'PIB Mpal 2015-2022 Cons'!$A$5:$A$1012,$W$2,'PIB Mpal 2015-2022 Cons'!$E$5:$E$1012,$A79)</f>
        <v>13.121219092455942</v>
      </c>
      <c r="F79" s="96">
        <f>SUMIFS('PIB Mpal 2015-2022 Cons'!I$5:I$1012,'PIB Mpal 2015-2022 Cons'!$A$5:$A$1012,$W$2,'PIB Mpal 2015-2022 Cons'!$E$5:$E$1012,$A79)</f>
        <v>0.55509498845649397</v>
      </c>
      <c r="G79" s="96">
        <f>SUMIFS('PIB Mpal 2015-2022 Cons'!K$5:K$1012,'PIB Mpal 2015-2022 Cons'!$A$5:$A$1012,$W$2,'PIB Mpal 2015-2022 Cons'!$E$5:$E$1012,$A79)</f>
        <v>1.8708898750720784</v>
      </c>
      <c r="H79" s="96">
        <f>SUMIFS('PIB Mpal 2015-2022 Cons'!L$5:L$1012,'PIB Mpal 2015-2022 Cons'!$A$5:$A$1012,$W$2,'PIB Mpal 2015-2022 Cons'!$E$5:$E$1012,$A79)</f>
        <v>3.5355204063786503</v>
      </c>
      <c r="I79" s="96">
        <f>SUMIFS('PIB Mpal 2015-2022 Cons'!N$5:N$1012,'PIB Mpal 2015-2022 Cons'!$A$5:$A$1012,$W$2,'PIB Mpal 2015-2022 Cons'!$E$5:$E$1012,$A79)</f>
        <v>1.9566499646606885</v>
      </c>
      <c r="J79" s="96">
        <f>SUMIFS('PIB Mpal 2015-2022 Cons'!O$5:O$1012,'PIB Mpal 2015-2022 Cons'!$A$5:$A$1012,$W$2,'PIB Mpal 2015-2022 Cons'!$E$5:$E$1012,$A79)</f>
        <v>7.2840762632754883</v>
      </c>
      <c r="K79" s="96">
        <f>SUMIFS('PIB Mpal 2015-2022 Cons'!P$5:P$1012,'PIB Mpal 2015-2022 Cons'!$A$5:$A$1012,$W$2,'PIB Mpal 2015-2022 Cons'!$E$5:$E$1012,$A79)</f>
        <v>1.9782998296223473</v>
      </c>
      <c r="L79" s="96">
        <f>SUMIFS('PIB Mpal 2015-2022 Cons'!Q$5:Q$1012,'PIB Mpal 2015-2022 Cons'!$A$5:$A$1012,$W$2,'PIB Mpal 2015-2022 Cons'!$E$5:$E$1012,$A79)</f>
        <v>1.4229200632048518</v>
      </c>
      <c r="M79" s="96">
        <f>SUMIFS('PIB Mpal 2015-2022 Cons'!R$5:R$1012,'PIB Mpal 2015-2022 Cons'!$A$5:$A$1012,$W$2,'PIB Mpal 2015-2022 Cons'!$E$5:$E$1012,$A79)</f>
        <v>4.2145921923107394</v>
      </c>
      <c r="N79" s="96">
        <f>SUMIFS('PIB Mpal 2015-2022 Cons'!S$5:S$1012,'PIB Mpal 2015-2022 Cons'!$A$5:$A$1012,$W$2,'PIB Mpal 2015-2022 Cons'!$E$5:$E$1012,$A79)</f>
        <v>5.7018707016184518</v>
      </c>
      <c r="O79" s="96">
        <f>SUMIFS('PIB Mpal 2015-2022 Cons'!T$5:T$1012,'PIB Mpal 2015-2022 Cons'!$A$5:$A$1012,$W$2,'PIB Mpal 2015-2022 Cons'!$E$5:$E$1012,$A79)</f>
        <v>11.983354730561569</v>
      </c>
      <c r="P79" s="151">
        <f>SUMIFS('PIB Mpal 2015-2022 Cons'!U$5:U$1012,'PIB Mpal 2015-2022 Cons'!$A$5:$A$1012,$W$2,'PIB Mpal 2015-2022 Cons'!$E$5:$E$1012,$A79)</f>
        <v>1.5421336461217596</v>
      </c>
      <c r="Q79" s="217">
        <f>SUMIFS('PIB Mpal 2015-2022 Cons'!J$5:J$1012,'PIB Mpal 2015-2022 Cons'!$A$5:$A$1012,$W$2,'PIB Mpal 2015-2022 Cons'!$E$5:$E$1012,$A79)</f>
        <v>13.676314080912436</v>
      </c>
      <c r="R79" s="99">
        <f>SUMIFS('PIB Mpal 2015-2022 Cons'!M$5:M$1012,'PIB Mpal 2015-2022 Cons'!$A$5:$A$1012,$W$2,'PIB Mpal 2015-2022 Cons'!$E$5:$E$1012,$A79)</f>
        <v>5.4064102814507287</v>
      </c>
      <c r="S79" s="97">
        <f>SUMIFS('PIB Mpal 2015-2022 Cons'!V$5:V$1012,'PIB Mpal 2015-2022 Cons'!$A$5:$A$1012,$W$2,'PIB Mpal 2015-2022 Cons'!$E$5:$E$1012,$A79)</f>
        <v>36.083897391375906</v>
      </c>
      <c r="T79" s="154">
        <f>SUMIFS('PIB Mpal 2015-2022 Cons'!W$5:W$1012,'PIB Mpal 2015-2022 Cons'!$A$5:$A$1012,$W$2,'PIB Mpal 2015-2022 Cons'!$E$5:$E$1012,$A79)</f>
        <v>55.166621753739065</v>
      </c>
      <c r="U79" s="96">
        <f>SUMIFS('PIB Mpal 2015-2022 Cons'!X$5:X$1012,'PIB Mpal 2015-2022 Cons'!$A$5:$A$1012,$W$2,'PIB Mpal 2015-2022 Cons'!$E$5:$E$1012,$A79)</f>
        <v>5.544351672187215</v>
      </c>
      <c r="V79" s="97">
        <f>SUMIFS('PIB Mpal 2015-2022 Cons'!Y$5:Y$1012,'PIB Mpal 2015-2022 Cons'!$A$5:$A$1012,$W$2,'PIB Mpal 2015-2022 Cons'!$E$5:$E$1012,$A79)</f>
        <v>60.710973425926284</v>
      </c>
      <c r="W79" s="98">
        <f t="shared" si="18"/>
        <v>5.2588082988843743E-4</v>
      </c>
      <c r="X79" s="268">
        <f>INDEX(POBLACION!$C$4:$W$128,MATCH(A79,POBLACION!$A$4:$A$128,0),MATCH($W$2,POBLACION!$C$3:$W$3,0))</f>
        <v>7050</v>
      </c>
      <c r="Y79" s="258">
        <f t="shared" si="19"/>
        <v>7825.052731026818</v>
      </c>
      <c r="Z79" s="270">
        <f t="shared" si="20"/>
        <v>8611.4855923299692</v>
      </c>
      <c r="AA79" s="273">
        <f t="shared" si="21"/>
        <v>3.893487272827663</v>
      </c>
      <c r="AB79" s="273">
        <f t="shared" si="21"/>
        <v>3.9350780793162254</v>
      </c>
    </row>
    <row r="80" spans="1:28" ht="16" thickBot="1" x14ac:dyDescent="0.25">
      <c r="A80" s="116" t="s">
        <v>261</v>
      </c>
      <c r="B80" s="119" t="s">
        <v>262</v>
      </c>
      <c r="C80" s="117"/>
      <c r="D80" s="112"/>
      <c r="E80" s="113">
        <f>SUM(E81:E103)</f>
        <v>847.95955723339239</v>
      </c>
      <c r="F80" s="113">
        <f t="shared" ref="F80:V80" si="22">SUM(F81:F103)</f>
        <v>115.76810049978221</v>
      </c>
      <c r="G80" s="113">
        <f t="shared" si="22"/>
        <v>2438.3345275695506</v>
      </c>
      <c r="H80" s="113">
        <f t="shared" si="22"/>
        <v>620.72951876269485</v>
      </c>
      <c r="I80" s="113">
        <f t="shared" si="22"/>
        <v>919.26809325459055</v>
      </c>
      <c r="J80" s="113">
        <f t="shared" si="22"/>
        <v>1418.6856858414346</v>
      </c>
      <c r="K80" s="113">
        <f t="shared" si="22"/>
        <v>254.1738904510342</v>
      </c>
      <c r="L80" s="113">
        <f t="shared" si="22"/>
        <v>215.30292563625432</v>
      </c>
      <c r="M80" s="113">
        <f t="shared" si="22"/>
        <v>932.29240642122454</v>
      </c>
      <c r="N80" s="113">
        <f t="shared" si="22"/>
        <v>839.84369657132584</v>
      </c>
      <c r="O80" s="113">
        <f t="shared" si="22"/>
        <v>844.14206288843332</v>
      </c>
      <c r="P80" s="123">
        <f t="shared" si="22"/>
        <v>179.69053090875951</v>
      </c>
      <c r="Q80" s="193">
        <f t="shared" si="22"/>
        <v>963.72765773317451</v>
      </c>
      <c r="R80" s="113">
        <f t="shared" si="22"/>
        <v>3059.0640463322457</v>
      </c>
      <c r="S80" s="114">
        <f t="shared" si="22"/>
        <v>5603.3992919730581</v>
      </c>
      <c r="T80" s="186">
        <f t="shared" si="22"/>
        <v>9626.1909960384801</v>
      </c>
      <c r="U80" s="113">
        <f t="shared" si="22"/>
        <v>967.45072379993053</v>
      </c>
      <c r="V80" s="114">
        <f t="shared" si="22"/>
        <v>10593.641719838408</v>
      </c>
      <c r="W80" s="115">
        <f t="shared" si="18"/>
        <v>9.1762539534415266E-2</v>
      </c>
      <c r="X80" s="208">
        <f t="shared" ref="X80" si="23">SUM(X81:X103)</f>
        <v>648423</v>
      </c>
      <c r="Y80" s="258">
        <f t="shared" si="19"/>
        <v>14845.542178544683</v>
      </c>
      <c r="Z80" s="270">
        <f t="shared" si="20"/>
        <v>16337.547742505134</v>
      </c>
      <c r="AA80" s="273">
        <f t="shared" si="21"/>
        <v>4.1715960632220845</v>
      </c>
      <c r="AB80" s="273">
        <f t="shared" si="21"/>
        <v>4.213186869710329</v>
      </c>
    </row>
    <row r="81" spans="1:28" x14ac:dyDescent="0.2">
      <c r="A81" s="35" t="s">
        <v>263</v>
      </c>
      <c r="B81" s="101" t="s">
        <v>264</v>
      </c>
      <c r="C81" s="108" t="s">
        <v>145</v>
      </c>
      <c r="D81" s="101" t="s">
        <v>265</v>
      </c>
      <c r="E81" s="109">
        <f>SUMIFS('PIB Mpal 2015-2022 Cons'!H$5:H$1012,'PIB Mpal 2015-2022 Cons'!$A$5:$A$1012,$W$2,'PIB Mpal 2015-2022 Cons'!$E$5:$E$1012,$A81)</f>
        <v>45.647128925454886</v>
      </c>
      <c r="F81" s="109">
        <f>SUMIFS('PIB Mpal 2015-2022 Cons'!I$5:I$1012,'PIB Mpal 2015-2022 Cons'!$A$5:$A$1012,$W$2,'PIB Mpal 2015-2022 Cons'!$E$5:$E$1012,$A81)</f>
        <v>2.9305999740621758</v>
      </c>
      <c r="G81" s="109">
        <f>SUMIFS('PIB Mpal 2015-2022 Cons'!K$5:K$1012,'PIB Mpal 2015-2022 Cons'!$A$5:$A$1012,$W$2,'PIB Mpal 2015-2022 Cons'!$E$5:$E$1012,$A81)</f>
        <v>3.2551089417382659</v>
      </c>
      <c r="H81" s="109">
        <f>SUMIFS('PIB Mpal 2015-2022 Cons'!L$5:L$1012,'PIB Mpal 2015-2022 Cons'!$A$5:$A$1012,$W$2,'PIB Mpal 2015-2022 Cons'!$E$5:$E$1012,$A81)</f>
        <v>12.210458397939684</v>
      </c>
      <c r="I81" s="109">
        <f>SUMIFS('PIB Mpal 2015-2022 Cons'!N$5:N$1012,'PIB Mpal 2015-2022 Cons'!$A$5:$A$1012,$W$2,'PIB Mpal 2015-2022 Cons'!$E$5:$E$1012,$A81)</f>
        <v>51.265984920291125</v>
      </c>
      <c r="J81" s="109">
        <f>SUMIFS('PIB Mpal 2015-2022 Cons'!O$5:O$1012,'PIB Mpal 2015-2022 Cons'!$A$5:$A$1012,$W$2,'PIB Mpal 2015-2022 Cons'!$E$5:$E$1012,$A81)</f>
        <v>7.9478251757077265</v>
      </c>
      <c r="K81" s="109">
        <f>SUMIFS('PIB Mpal 2015-2022 Cons'!P$5:P$1012,'PIB Mpal 2015-2022 Cons'!$A$5:$A$1012,$W$2,'PIB Mpal 2015-2022 Cons'!$E$5:$E$1012,$A81)</f>
        <v>2.9457788211475262</v>
      </c>
      <c r="L81" s="109">
        <f>SUMIFS('PIB Mpal 2015-2022 Cons'!Q$5:Q$1012,'PIB Mpal 2015-2022 Cons'!$A$5:$A$1012,$W$2,'PIB Mpal 2015-2022 Cons'!$E$5:$E$1012,$A81)</f>
        <v>2.1675295740260045</v>
      </c>
      <c r="M81" s="109">
        <f>SUMIFS('PIB Mpal 2015-2022 Cons'!R$5:R$1012,'PIB Mpal 2015-2022 Cons'!$A$5:$A$1012,$W$2,'PIB Mpal 2015-2022 Cons'!$E$5:$E$1012,$A81)</f>
        <v>9.613322042452765</v>
      </c>
      <c r="N81" s="109">
        <f>SUMIFS('PIB Mpal 2015-2022 Cons'!S$5:S$1012,'PIB Mpal 2015-2022 Cons'!$A$5:$A$1012,$W$2,'PIB Mpal 2015-2022 Cons'!$E$5:$E$1012,$A81)</f>
        <v>19.656987661283669</v>
      </c>
      <c r="O81" s="109">
        <f>SUMIFS('PIB Mpal 2015-2022 Cons'!T$5:T$1012,'PIB Mpal 2015-2022 Cons'!$A$5:$A$1012,$W$2,'PIB Mpal 2015-2022 Cons'!$E$5:$E$1012,$A81)</f>
        <v>13.280864837552919</v>
      </c>
      <c r="P81" s="182">
        <f>SUMIFS('PIB Mpal 2015-2022 Cons'!U$5:U$1012,'PIB Mpal 2015-2022 Cons'!$A$5:$A$1012,$W$2,'PIB Mpal 2015-2022 Cons'!$E$5:$E$1012,$A81)</f>
        <v>2.0285784656823882</v>
      </c>
      <c r="Q81" s="217">
        <f>SUMIFS('PIB Mpal 2015-2022 Cons'!J$5:J$1012,'PIB Mpal 2015-2022 Cons'!$A$5:$A$1012,$W$2,'PIB Mpal 2015-2022 Cons'!$E$5:$E$1012,$A81)</f>
        <v>48.577728899517062</v>
      </c>
      <c r="R81" s="99">
        <f>SUMIFS('PIB Mpal 2015-2022 Cons'!M$5:M$1012,'PIB Mpal 2015-2022 Cons'!$A$5:$A$1012,$W$2,'PIB Mpal 2015-2022 Cons'!$E$5:$E$1012,$A81)</f>
        <v>15.46556733967795</v>
      </c>
      <c r="S81" s="110">
        <f>SUMIFS('PIB Mpal 2015-2022 Cons'!V$5:V$1012,'PIB Mpal 2015-2022 Cons'!$A$5:$A$1012,$W$2,'PIB Mpal 2015-2022 Cons'!$E$5:$E$1012,$A81)</f>
        <v>108.90687149814411</v>
      </c>
      <c r="T81" s="187">
        <f>SUMIFS('PIB Mpal 2015-2022 Cons'!W$5:W$1012,'PIB Mpal 2015-2022 Cons'!$A$5:$A$1012,$W$2,'PIB Mpal 2015-2022 Cons'!$E$5:$E$1012,$A81)</f>
        <v>172.95016773733911</v>
      </c>
      <c r="U81" s="109">
        <f>SUMIFS('PIB Mpal 2015-2022 Cons'!X$5:X$1012,'PIB Mpal 2015-2022 Cons'!$A$5:$A$1012,$W$2,'PIB Mpal 2015-2022 Cons'!$E$5:$E$1012,$A81)</f>
        <v>17.381824755872081</v>
      </c>
      <c r="V81" s="110">
        <f>SUMIFS('PIB Mpal 2015-2022 Cons'!Y$5:Y$1012,'PIB Mpal 2015-2022 Cons'!$A$5:$A$1012,$W$2,'PIB Mpal 2015-2022 Cons'!$E$5:$E$1012,$A81)</f>
        <v>190.3319924932112</v>
      </c>
      <c r="W81" s="100">
        <f t="shared" si="18"/>
        <v>1.648663174356319E-3</v>
      </c>
      <c r="X81" s="268">
        <f>INDEX(POBLACION!$C$4:$W$128,MATCH(A81,POBLACION!$A$4:$A$128,0),MATCH($W$2,POBLACION!$C$3:$W$3,0))</f>
        <v>20718</v>
      </c>
      <c r="Y81" s="258">
        <f t="shared" si="19"/>
        <v>8347.8215917240614</v>
      </c>
      <c r="Z81" s="270">
        <f t="shared" si="20"/>
        <v>9186.7937297620992</v>
      </c>
      <c r="AA81" s="273">
        <f t="shared" si="21"/>
        <v>3.921573158822055</v>
      </c>
      <c r="AB81" s="273">
        <f t="shared" si="21"/>
        <v>3.96316396531051</v>
      </c>
    </row>
    <row r="82" spans="1:28" x14ac:dyDescent="0.2">
      <c r="A82" s="35" t="s">
        <v>266</v>
      </c>
      <c r="B82" s="32" t="s">
        <v>264</v>
      </c>
      <c r="C82" s="33" t="s">
        <v>267</v>
      </c>
      <c r="D82" s="32" t="s">
        <v>268</v>
      </c>
      <c r="E82" s="51">
        <f>SUMIFS('PIB Mpal 2015-2022 Cons'!H$5:H$1012,'PIB Mpal 2015-2022 Cons'!$A$5:$A$1012,$W$2,'PIB Mpal 2015-2022 Cons'!$E$5:$E$1012,$A82)</f>
        <v>6.3310005934448945</v>
      </c>
      <c r="F82" s="51">
        <f>SUMIFS('PIB Mpal 2015-2022 Cons'!I$5:I$1012,'PIB Mpal 2015-2022 Cons'!$A$5:$A$1012,$W$2,'PIB Mpal 2015-2022 Cons'!$E$5:$E$1012,$A82)</f>
        <v>0</v>
      </c>
      <c r="G82" s="51">
        <f>SUMIFS('PIB Mpal 2015-2022 Cons'!K$5:K$1012,'PIB Mpal 2015-2022 Cons'!$A$5:$A$1012,$W$2,'PIB Mpal 2015-2022 Cons'!$E$5:$E$1012,$A82)</f>
        <v>1.1983371915351602</v>
      </c>
      <c r="H82" s="51">
        <f>SUMIFS('PIB Mpal 2015-2022 Cons'!L$5:L$1012,'PIB Mpal 2015-2022 Cons'!$A$5:$A$1012,$W$2,'PIB Mpal 2015-2022 Cons'!$E$5:$E$1012,$A82)</f>
        <v>2.9584595836428003</v>
      </c>
      <c r="I82" s="51">
        <f>SUMIFS('PIB Mpal 2015-2022 Cons'!N$5:N$1012,'PIB Mpal 2015-2022 Cons'!$A$5:$A$1012,$W$2,'PIB Mpal 2015-2022 Cons'!$E$5:$E$1012,$A82)</f>
        <v>3.2310905139137294</v>
      </c>
      <c r="J82" s="51">
        <f>SUMIFS('PIB Mpal 2015-2022 Cons'!O$5:O$1012,'PIB Mpal 2015-2022 Cons'!$A$5:$A$1012,$W$2,'PIB Mpal 2015-2022 Cons'!$E$5:$E$1012,$A82)</f>
        <v>4.8081867151365438</v>
      </c>
      <c r="K82" s="51">
        <f>SUMIFS('PIB Mpal 2015-2022 Cons'!P$5:P$1012,'PIB Mpal 2015-2022 Cons'!$A$5:$A$1012,$W$2,'PIB Mpal 2015-2022 Cons'!$E$5:$E$1012,$A82)</f>
        <v>1.7080519090371447</v>
      </c>
      <c r="L82" s="51">
        <f>SUMIFS('PIB Mpal 2015-2022 Cons'!Q$5:Q$1012,'PIB Mpal 2015-2022 Cons'!$A$5:$A$1012,$W$2,'PIB Mpal 2015-2022 Cons'!$E$5:$E$1012,$A82)</f>
        <v>1.1757507634888675</v>
      </c>
      <c r="M82" s="51">
        <f>SUMIFS('PIB Mpal 2015-2022 Cons'!R$5:R$1012,'PIB Mpal 2015-2022 Cons'!$A$5:$A$1012,$W$2,'PIB Mpal 2015-2022 Cons'!$E$5:$E$1012,$A82)</f>
        <v>6.5614446387447378</v>
      </c>
      <c r="N82" s="51">
        <f>SUMIFS('PIB Mpal 2015-2022 Cons'!S$5:S$1012,'PIB Mpal 2015-2022 Cons'!$A$5:$A$1012,$W$2,'PIB Mpal 2015-2022 Cons'!$E$5:$E$1012,$A82)</f>
        <v>4.6899091677900859</v>
      </c>
      <c r="O82" s="51">
        <f>SUMIFS('PIB Mpal 2015-2022 Cons'!T$5:T$1012,'PIB Mpal 2015-2022 Cons'!$A$5:$A$1012,$W$2,'PIB Mpal 2015-2022 Cons'!$E$5:$E$1012,$A82)</f>
        <v>8.7350426366109133</v>
      </c>
      <c r="P82" s="150">
        <f>SUMIFS('PIB Mpal 2015-2022 Cons'!U$5:U$1012,'PIB Mpal 2015-2022 Cons'!$A$5:$A$1012,$W$2,'PIB Mpal 2015-2022 Cons'!$E$5:$E$1012,$A82)</f>
        <v>1.2420529094193484</v>
      </c>
      <c r="Q82" s="217">
        <f>SUMIFS('PIB Mpal 2015-2022 Cons'!J$5:J$1012,'PIB Mpal 2015-2022 Cons'!$A$5:$A$1012,$W$2,'PIB Mpal 2015-2022 Cons'!$E$5:$E$1012,$A82)</f>
        <v>6.3310005934448945</v>
      </c>
      <c r="R82" s="99">
        <f>SUMIFS('PIB Mpal 2015-2022 Cons'!M$5:M$1012,'PIB Mpal 2015-2022 Cons'!$A$5:$A$1012,$W$2,'PIB Mpal 2015-2022 Cons'!$E$5:$E$1012,$A82)</f>
        <v>4.1567967751779609</v>
      </c>
      <c r="S82" s="53">
        <f>SUMIFS('PIB Mpal 2015-2022 Cons'!V$5:V$1012,'PIB Mpal 2015-2022 Cons'!$A$5:$A$1012,$W$2,'PIB Mpal 2015-2022 Cons'!$E$5:$E$1012,$A82)</f>
        <v>32.151529254141373</v>
      </c>
      <c r="T82" s="153">
        <f>SUMIFS('PIB Mpal 2015-2022 Cons'!W$5:W$1012,'PIB Mpal 2015-2022 Cons'!$A$5:$A$1012,$W$2,'PIB Mpal 2015-2022 Cons'!$E$5:$E$1012,$A82)</f>
        <v>42.63932662276423</v>
      </c>
      <c r="U82" s="51">
        <f>SUMIFS('PIB Mpal 2015-2022 Cons'!X$5:X$1012,'PIB Mpal 2015-2022 Cons'!$A$5:$A$1012,$W$2,'PIB Mpal 2015-2022 Cons'!$E$5:$E$1012,$A82)</f>
        <v>4.2853343987565466</v>
      </c>
      <c r="V82" s="53">
        <f>SUMIFS('PIB Mpal 2015-2022 Cons'!Y$5:Y$1012,'PIB Mpal 2015-2022 Cons'!$A$5:$A$1012,$W$2,'PIB Mpal 2015-2022 Cons'!$E$5:$E$1012,$A82)</f>
        <v>46.924661021520777</v>
      </c>
      <c r="W82" s="92">
        <f t="shared" si="18"/>
        <v>4.0646325182611674E-4</v>
      </c>
      <c r="X82" s="268">
        <f>INDEX(POBLACION!$C$4:$W$128,MATCH(A82,POBLACION!$A$4:$A$128,0),MATCH($W$2,POBLACION!$C$3:$W$3,0))</f>
        <v>4680</v>
      </c>
      <c r="Y82" s="258">
        <f t="shared" si="19"/>
        <v>9110.9672270863739</v>
      </c>
      <c r="Z82" s="270">
        <f t="shared" si="20"/>
        <v>10026.636970410422</v>
      </c>
      <c r="AA82" s="273">
        <f t="shared" si="21"/>
        <v>3.9595644844470437</v>
      </c>
      <c r="AB82" s="273">
        <f t="shared" si="21"/>
        <v>4.0011552909360475</v>
      </c>
    </row>
    <row r="83" spans="1:28" x14ac:dyDescent="0.2">
      <c r="A83" s="35" t="s">
        <v>269</v>
      </c>
      <c r="B83" s="32" t="s">
        <v>264</v>
      </c>
      <c r="C83" s="33" t="s">
        <v>270</v>
      </c>
      <c r="D83" s="32" t="s">
        <v>271</v>
      </c>
      <c r="E83" s="51">
        <f>SUMIFS('PIB Mpal 2015-2022 Cons'!H$5:H$1012,'PIB Mpal 2015-2022 Cons'!$A$5:$A$1012,$W$2,'PIB Mpal 2015-2022 Cons'!$E$5:$E$1012,$A83)</f>
        <v>10.156531107780969</v>
      </c>
      <c r="F83" s="51">
        <f>SUMIFS('PIB Mpal 2015-2022 Cons'!I$5:I$1012,'PIB Mpal 2015-2022 Cons'!$A$5:$A$1012,$W$2,'PIB Mpal 2015-2022 Cons'!$E$5:$E$1012,$A83)</f>
        <v>0</v>
      </c>
      <c r="G83" s="51">
        <f>SUMIFS('PIB Mpal 2015-2022 Cons'!K$5:K$1012,'PIB Mpal 2015-2022 Cons'!$A$5:$A$1012,$W$2,'PIB Mpal 2015-2022 Cons'!$E$5:$E$1012,$A83)</f>
        <v>1.4005781769381629</v>
      </c>
      <c r="H83" s="51">
        <f>SUMIFS('PIB Mpal 2015-2022 Cons'!L$5:L$1012,'PIB Mpal 2015-2022 Cons'!$A$5:$A$1012,$W$2,'PIB Mpal 2015-2022 Cons'!$E$5:$E$1012,$A83)</f>
        <v>3.4841695945310667</v>
      </c>
      <c r="I83" s="51">
        <f>SUMIFS('PIB Mpal 2015-2022 Cons'!N$5:N$1012,'PIB Mpal 2015-2022 Cons'!$A$5:$A$1012,$W$2,'PIB Mpal 2015-2022 Cons'!$E$5:$E$1012,$A83)</f>
        <v>2.3169688203207879</v>
      </c>
      <c r="J83" s="51">
        <f>SUMIFS('PIB Mpal 2015-2022 Cons'!O$5:O$1012,'PIB Mpal 2015-2022 Cons'!$A$5:$A$1012,$W$2,'PIB Mpal 2015-2022 Cons'!$E$5:$E$1012,$A83)</f>
        <v>3.6481612143136926</v>
      </c>
      <c r="K83" s="51">
        <f>SUMIFS('PIB Mpal 2015-2022 Cons'!P$5:P$1012,'PIB Mpal 2015-2022 Cons'!$A$5:$A$1012,$W$2,'PIB Mpal 2015-2022 Cons'!$E$5:$E$1012,$A83)</f>
        <v>2.1429531018255878</v>
      </c>
      <c r="L83" s="51">
        <f>SUMIFS('PIB Mpal 2015-2022 Cons'!Q$5:Q$1012,'PIB Mpal 2015-2022 Cons'!$A$5:$A$1012,$W$2,'PIB Mpal 2015-2022 Cons'!$E$5:$E$1012,$A83)</f>
        <v>1.7812714732032111</v>
      </c>
      <c r="M83" s="51">
        <f>SUMIFS('PIB Mpal 2015-2022 Cons'!R$5:R$1012,'PIB Mpal 2015-2022 Cons'!$A$5:$A$1012,$W$2,'PIB Mpal 2015-2022 Cons'!$E$5:$E$1012,$A83)</f>
        <v>8.0504802619753733</v>
      </c>
      <c r="N83" s="51">
        <f>SUMIFS('PIB Mpal 2015-2022 Cons'!S$5:S$1012,'PIB Mpal 2015-2022 Cons'!$A$5:$A$1012,$W$2,'PIB Mpal 2015-2022 Cons'!$E$5:$E$1012,$A83)</f>
        <v>5.5449011759827371</v>
      </c>
      <c r="O83" s="51">
        <f>SUMIFS('PIB Mpal 2015-2022 Cons'!T$5:T$1012,'PIB Mpal 2015-2022 Cons'!$A$5:$A$1012,$W$2,'PIB Mpal 2015-2022 Cons'!$E$5:$E$1012,$A83)</f>
        <v>14.138672801830166</v>
      </c>
      <c r="P83" s="150">
        <f>SUMIFS('PIB Mpal 2015-2022 Cons'!U$5:U$1012,'PIB Mpal 2015-2022 Cons'!$A$5:$A$1012,$W$2,'PIB Mpal 2015-2022 Cons'!$E$5:$E$1012,$A83)</f>
        <v>1.6433411592590481</v>
      </c>
      <c r="Q83" s="217">
        <f>SUMIFS('PIB Mpal 2015-2022 Cons'!J$5:J$1012,'PIB Mpal 2015-2022 Cons'!$A$5:$A$1012,$W$2,'PIB Mpal 2015-2022 Cons'!$E$5:$E$1012,$A83)</f>
        <v>10.156531107780969</v>
      </c>
      <c r="R83" s="99">
        <f>SUMIFS('PIB Mpal 2015-2022 Cons'!M$5:M$1012,'PIB Mpal 2015-2022 Cons'!$A$5:$A$1012,$W$2,'PIB Mpal 2015-2022 Cons'!$E$5:$E$1012,$A83)</f>
        <v>4.8847477714692298</v>
      </c>
      <c r="S83" s="53">
        <f>SUMIFS('PIB Mpal 2015-2022 Cons'!V$5:V$1012,'PIB Mpal 2015-2022 Cons'!$A$5:$A$1012,$W$2,'PIB Mpal 2015-2022 Cons'!$E$5:$E$1012,$A83)</f>
        <v>39.266750008710602</v>
      </c>
      <c r="T83" s="153">
        <f>SUMIFS('PIB Mpal 2015-2022 Cons'!W$5:W$1012,'PIB Mpal 2015-2022 Cons'!$A$5:$A$1012,$W$2,'PIB Mpal 2015-2022 Cons'!$E$5:$E$1012,$A83)</f>
        <v>54.308028887960802</v>
      </c>
      <c r="U83" s="51">
        <f>SUMIFS('PIB Mpal 2015-2022 Cons'!X$5:X$1012,'PIB Mpal 2015-2022 Cons'!$A$5:$A$1012,$W$2,'PIB Mpal 2015-2022 Cons'!$E$5:$E$1012,$A83)</f>
        <v>5.4580614365798006</v>
      </c>
      <c r="V83" s="53">
        <f>SUMIFS('PIB Mpal 2015-2022 Cons'!Y$5:Y$1012,'PIB Mpal 2015-2022 Cons'!$A$5:$A$1012,$W$2,'PIB Mpal 2015-2022 Cons'!$E$5:$E$1012,$A83)</f>
        <v>59.766090324540599</v>
      </c>
      <c r="W83" s="92">
        <f t="shared" si="18"/>
        <v>5.1769621545278636E-4</v>
      </c>
      <c r="X83" s="268">
        <f>INDEX(POBLACION!$C$4:$W$128,MATCH(A83,POBLACION!$A$4:$A$128,0),MATCH($W$2,POBLACION!$C$3:$W$3,0))</f>
        <v>8098</v>
      </c>
      <c r="Y83" s="258">
        <f t="shared" si="19"/>
        <v>6706.350813529365</v>
      </c>
      <c r="Z83" s="270">
        <f t="shared" si="20"/>
        <v>7380.351978826945</v>
      </c>
      <c r="AA83" s="273">
        <f t="shared" si="21"/>
        <v>3.826486267911021</v>
      </c>
      <c r="AB83" s="273">
        <f t="shared" si="21"/>
        <v>3.8680770743998876</v>
      </c>
    </row>
    <row r="84" spans="1:28" x14ac:dyDescent="0.2">
      <c r="A84" s="35" t="s">
        <v>272</v>
      </c>
      <c r="B84" s="32" t="s">
        <v>264</v>
      </c>
      <c r="C84" s="33" t="s">
        <v>267</v>
      </c>
      <c r="D84" s="32" t="s">
        <v>273</v>
      </c>
      <c r="E84" s="51">
        <f>SUMIFS('PIB Mpal 2015-2022 Cons'!H$5:H$1012,'PIB Mpal 2015-2022 Cons'!$A$5:$A$1012,$W$2,'PIB Mpal 2015-2022 Cons'!$E$5:$E$1012,$A84)</f>
        <v>14.018742710577801</v>
      </c>
      <c r="F84" s="51">
        <f>SUMIFS('PIB Mpal 2015-2022 Cons'!I$5:I$1012,'PIB Mpal 2015-2022 Cons'!$A$5:$A$1012,$W$2,'PIB Mpal 2015-2022 Cons'!$E$5:$E$1012,$A84)</f>
        <v>0</v>
      </c>
      <c r="G84" s="51">
        <f>SUMIFS('PIB Mpal 2015-2022 Cons'!K$5:K$1012,'PIB Mpal 2015-2022 Cons'!$A$5:$A$1012,$W$2,'PIB Mpal 2015-2022 Cons'!$E$5:$E$1012,$A84)</f>
        <v>7.9331494432240737</v>
      </c>
      <c r="H84" s="51">
        <f>SUMIFS('PIB Mpal 2015-2022 Cons'!L$5:L$1012,'PIB Mpal 2015-2022 Cons'!$A$5:$A$1012,$W$2,'PIB Mpal 2015-2022 Cons'!$E$5:$E$1012,$A84)</f>
        <v>11.012820085350747</v>
      </c>
      <c r="I84" s="51">
        <f>SUMIFS('PIB Mpal 2015-2022 Cons'!N$5:N$1012,'PIB Mpal 2015-2022 Cons'!$A$5:$A$1012,$W$2,'PIB Mpal 2015-2022 Cons'!$E$5:$E$1012,$A84)</f>
        <v>14.818688498734645</v>
      </c>
      <c r="J84" s="51">
        <f>SUMIFS('PIB Mpal 2015-2022 Cons'!O$5:O$1012,'PIB Mpal 2015-2022 Cons'!$A$5:$A$1012,$W$2,'PIB Mpal 2015-2022 Cons'!$E$5:$E$1012,$A84)</f>
        <v>20.129599873768132</v>
      </c>
      <c r="K84" s="51">
        <f>SUMIFS('PIB Mpal 2015-2022 Cons'!P$5:P$1012,'PIB Mpal 2015-2022 Cons'!$A$5:$A$1012,$W$2,'PIB Mpal 2015-2022 Cons'!$E$5:$E$1012,$A84)</f>
        <v>3.6943453114407712</v>
      </c>
      <c r="L84" s="51">
        <f>SUMIFS('PIB Mpal 2015-2022 Cons'!Q$5:Q$1012,'PIB Mpal 2015-2022 Cons'!$A$5:$A$1012,$W$2,'PIB Mpal 2015-2022 Cons'!$E$5:$E$1012,$A84)</f>
        <v>2.9410793480398834</v>
      </c>
      <c r="M84" s="51">
        <f>SUMIFS('PIB Mpal 2015-2022 Cons'!R$5:R$1012,'PIB Mpal 2015-2022 Cons'!$A$5:$A$1012,$W$2,'PIB Mpal 2015-2022 Cons'!$E$5:$E$1012,$A84)</f>
        <v>18.120061554564678</v>
      </c>
      <c r="N84" s="51">
        <f>SUMIFS('PIB Mpal 2015-2022 Cons'!S$5:S$1012,'PIB Mpal 2015-2022 Cons'!$A$5:$A$1012,$W$2,'PIB Mpal 2015-2022 Cons'!$E$5:$E$1012,$A84)</f>
        <v>11.242072654171309</v>
      </c>
      <c r="O84" s="51">
        <f>SUMIFS('PIB Mpal 2015-2022 Cons'!T$5:T$1012,'PIB Mpal 2015-2022 Cons'!$A$5:$A$1012,$W$2,'PIB Mpal 2015-2022 Cons'!$E$5:$E$1012,$A84)</f>
        <v>19.900386669400376</v>
      </c>
      <c r="P84" s="150">
        <f>SUMIFS('PIB Mpal 2015-2022 Cons'!U$5:U$1012,'PIB Mpal 2015-2022 Cons'!$A$5:$A$1012,$W$2,'PIB Mpal 2015-2022 Cons'!$E$5:$E$1012,$A84)</f>
        <v>3.342927984373484</v>
      </c>
      <c r="Q84" s="217">
        <f>SUMIFS('PIB Mpal 2015-2022 Cons'!J$5:J$1012,'PIB Mpal 2015-2022 Cons'!$A$5:$A$1012,$W$2,'PIB Mpal 2015-2022 Cons'!$E$5:$E$1012,$A84)</f>
        <v>14.018742710577801</v>
      </c>
      <c r="R84" s="99">
        <f>SUMIFS('PIB Mpal 2015-2022 Cons'!M$5:M$1012,'PIB Mpal 2015-2022 Cons'!$A$5:$A$1012,$W$2,'PIB Mpal 2015-2022 Cons'!$E$5:$E$1012,$A84)</f>
        <v>18.945969528574821</v>
      </c>
      <c r="S84" s="53">
        <f>SUMIFS('PIB Mpal 2015-2022 Cons'!V$5:V$1012,'PIB Mpal 2015-2022 Cons'!$A$5:$A$1012,$W$2,'PIB Mpal 2015-2022 Cons'!$E$5:$E$1012,$A84)</f>
        <v>94.189161894493282</v>
      </c>
      <c r="T84" s="153">
        <f>SUMIFS('PIB Mpal 2015-2022 Cons'!W$5:W$1012,'PIB Mpal 2015-2022 Cons'!$A$5:$A$1012,$W$2,'PIB Mpal 2015-2022 Cons'!$E$5:$E$1012,$A84)</f>
        <v>127.1538741336459</v>
      </c>
      <c r="U84" s="51">
        <f>SUMIFS('PIB Mpal 2015-2022 Cons'!X$5:X$1012,'PIB Mpal 2015-2022 Cons'!$A$5:$A$1012,$W$2,'PIB Mpal 2015-2022 Cons'!$E$5:$E$1012,$A84)</f>
        <v>12.779209099150233</v>
      </c>
      <c r="V84" s="53">
        <f>SUMIFS('PIB Mpal 2015-2022 Cons'!Y$5:Y$1012,'PIB Mpal 2015-2022 Cons'!$A$5:$A$1012,$W$2,'PIB Mpal 2015-2022 Cons'!$E$5:$E$1012,$A84)</f>
        <v>139.93308323279612</v>
      </c>
      <c r="W84" s="92">
        <f t="shared" si="18"/>
        <v>1.2121058481972093E-3</v>
      </c>
      <c r="X84" s="268">
        <f>INDEX(POBLACION!$C$4:$W$128,MATCH(A84,POBLACION!$A$4:$A$128,0),MATCH($W$2,POBLACION!$C$3:$W$3,0))</f>
        <v>16146</v>
      </c>
      <c r="Y84" s="258">
        <f t="shared" si="19"/>
        <v>7875.2554275762359</v>
      </c>
      <c r="Z84" s="270">
        <f t="shared" si="20"/>
        <v>8666.7337565214984</v>
      </c>
      <c r="AA84" s="273">
        <f t="shared" si="21"/>
        <v>3.8962646486823225</v>
      </c>
      <c r="AB84" s="273">
        <f t="shared" si="21"/>
        <v>3.9378554551712672</v>
      </c>
    </row>
    <row r="85" spans="1:28" x14ac:dyDescent="0.2">
      <c r="A85" s="35" t="s">
        <v>274</v>
      </c>
      <c r="B85" s="32" t="s">
        <v>264</v>
      </c>
      <c r="C85" s="33" t="s">
        <v>267</v>
      </c>
      <c r="D85" s="32" t="s">
        <v>275</v>
      </c>
      <c r="E85" s="51">
        <f>SUMIFS('PIB Mpal 2015-2022 Cons'!H$5:H$1012,'PIB Mpal 2015-2022 Cons'!$A$5:$A$1012,$W$2,'PIB Mpal 2015-2022 Cons'!$E$5:$E$1012,$A85)</f>
        <v>12.006529549444631</v>
      </c>
      <c r="F85" s="51">
        <f>SUMIFS('PIB Mpal 2015-2022 Cons'!I$5:I$1012,'PIB Mpal 2015-2022 Cons'!$A$5:$A$1012,$W$2,'PIB Mpal 2015-2022 Cons'!$E$5:$E$1012,$A85)</f>
        <v>8.3290711521081295</v>
      </c>
      <c r="G85" s="51">
        <f>SUMIFS('PIB Mpal 2015-2022 Cons'!K$5:K$1012,'PIB Mpal 2015-2022 Cons'!$A$5:$A$1012,$W$2,'PIB Mpal 2015-2022 Cons'!$E$5:$E$1012,$A85)</f>
        <v>1.8022049592837597</v>
      </c>
      <c r="H85" s="51">
        <f>SUMIFS('PIB Mpal 2015-2022 Cons'!L$5:L$1012,'PIB Mpal 2015-2022 Cons'!$A$5:$A$1012,$W$2,'PIB Mpal 2015-2022 Cons'!$E$5:$E$1012,$A85)</f>
        <v>3.5347761744674693</v>
      </c>
      <c r="I85" s="51">
        <f>SUMIFS('PIB Mpal 2015-2022 Cons'!N$5:N$1012,'PIB Mpal 2015-2022 Cons'!$A$5:$A$1012,$W$2,'PIB Mpal 2015-2022 Cons'!$E$5:$E$1012,$A85)</f>
        <v>10.567447512282628</v>
      </c>
      <c r="J85" s="51">
        <f>SUMIFS('PIB Mpal 2015-2022 Cons'!O$5:O$1012,'PIB Mpal 2015-2022 Cons'!$A$5:$A$1012,$W$2,'PIB Mpal 2015-2022 Cons'!$E$5:$E$1012,$A85)</f>
        <v>2.4206202089033306</v>
      </c>
      <c r="K85" s="51">
        <f>SUMIFS('PIB Mpal 2015-2022 Cons'!P$5:P$1012,'PIB Mpal 2015-2022 Cons'!$A$5:$A$1012,$W$2,'PIB Mpal 2015-2022 Cons'!$E$5:$E$1012,$A85)</f>
        <v>0.89777762814394946</v>
      </c>
      <c r="L85" s="51">
        <f>SUMIFS('PIB Mpal 2015-2022 Cons'!Q$5:Q$1012,'PIB Mpal 2015-2022 Cons'!$A$5:$A$1012,$W$2,'PIB Mpal 2015-2022 Cons'!$E$5:$E$1012,$A85)</f>
        <v>0.67055612010622068</v>
      </c>
      <c r="M85" s="51">
        <f>SUMIFS('PIB Mpal 2015-2022 Cons'!R$5:R$1012,'PIB Mpal 2015-2022 Cons'!$A$5:$A$1012,$W$2,'PIB Mpal 2015-2022 Cons'!$E$5:$E$1012,$A85)</f>
        <v>5.0770784777821119</v>
      </c>
      <c r="N85" s="51">
        <f>SUMIFS('PIB Mpal 2015-2022 Cons'!S$5:S$1012,'PIB Mpal 2015-2022 Cons'!$A$5:$A$1012,$W$2,'PIB Mpal 2015-2022 Cons'!$E$5:$E$1012,$A85)</f>
        <v>3.5381772424297373</v>
      </c>
      <c r="O85" s="51">
        <f>SUMIFS('PIB Mpal 2015-2022 Cons'!T$5:T$1012,'PIB Mpal 2015-2022 Cons'!$A$5:$A$1012,$W$2,'PIB Mpal 2015-2022 Cons'!$E$5:$E$1012,$A85)</f>
        <v>5.043440150510123</v>
      </c>
      <c r="P85" s="150">
        <f>SUMIFS('PIB Mpal 2015-2022 Cons'!U$5:U$1012,'PIB Mpal 2015-2022 Cons'!$A$5:$A$1012,$W$2,'PIB Mpal 2015-2022 Cons'!$E$5:$E$1012,$A85)</f>
        <v>0.73407852306007826</v>
      </c>
      <c r="Q85" s="217">
        <f>SUMIFS('PIB Mpal 2015-2022 Cons'!J$5:J$1012,'PIB Mpal 2015-2022 Cons'!$A$5:$A$1012,$W$2,'PIB Mpal 2015-2022 Cons'!$E$5:$E$1012,$A85)</f>
        <v>20.33560070155276</v>
      </c>
      <c r="R85" s="99">
        <f>SUMIFS('PIB Mpal 2015-2022 Cons'!M$5:M$1012,'PIB Mpal 2015-2022 Cons'!$A$5:$A$1012,$W$2,'PIB Mpal 2015-2022 Cons'!$E$5:$E$1012,$A85)</f>
        <v>5.3369811337512285</v>
      </c>
      <c r="S85" s="53">
        <f>SUMIFS('PIB Mpal 2015-2022 Cons'!V$5:V$1012,'PIB Mpal 2015-2022 Cons'!$A$5:$A$1012,$W$2,'PIB Mpal 2015-2022 Cons'!$E$5:$E$1012,$A85)</f>
        <v>28.949175863218176</v>
      </c>
      <c r="T85" s="153">
        <f>SUMIFS('PIB Mpal 2015-2022 Cons'!W$5:W$1012,'PIB Mpal 2015-2022 Cons'!$A$5:$A$1012,$W$2,'PIB Mpal 2015-2022 Cons'!$E$5:$E$1012,$A85)</f>
        <v>54.62175769852216</v>
      </c>
      <c r="U85" s="51">
        <f>SUMIFS('PIB Mpal 2015-2022 Cons'!X$5:X$1012,'PIB Mpal 2015-2022 Cons'!$A$5:$A$1012,$W$2,'PIB Mpal 2015-2022 Cons'!$E$5:$E$1012,$A85)</f>
        <v>5.4895917857956924</v>
      </c>
      <c r="V85" s="53">
        <f>SUMIFS('PIB Mpal 2015-2022 Cons'!Y$5:Y$1012,'PIB Mpal 2015-2022 Cons'!$A$5:$A$1012,$W$2,'PIB Mpal 2015-2022 Cons'!$E$5:$E$1012,$A85)</f>
        <v>60.111349484317856</v>
      </c>
      <c r="W85" s="92">
        <f t="shared" si="18"/>
        <v>5.2068686381871601E-4</v>
      </c>
      <c r="X85" s="268">
        <f>INDEX(POBLACION!$C$4:$W$128,MATCH(A85,POBLACION!$A$4:$A$128,0),MATCH($W$2,POBLACION!$C$3:$W$3,0))</f>
        <v>4877</v>
      </c>
      <c r="Y85" s="258">
        <f t="shared" si="19"/>
        <v>11199.868299881517</v>
      </c>
      <c r="Z85" s="270">
        <f t="shared" si="20"/>
        <v>12325.476621758839</v>
      </c>
      <c r="AA85" s="273">
        <f t="shared" si="21"/>
        <v>4.0492129157977699</v>
      </c>
      <c r="AB85" s="273">
        <f t="shared" si="21"/>
        <v>4.0908037222857843</v>
      </c>
    </row>
    <row r="86" spans="1:28" x14ac:dyDescent="0.2">
      <c r="A86" s="35" t="s">
        <v>276</v>
      </c>
      <c r="B86" s="32" t="s">
        <v>264</v>
      </c>
      <c r="C86" s="33" t="s">
        <v>145</v>
      </c>
      <c r="D86" s="32" t="s">
        <v>277</v>
      </c>
      <c r="E86" s="51">
        <f>SUMIFS('PIB Mpal 2015-2022 Cons'!H$5:H$1012,'PIB Mpal 2015-2022 Cons'!$A$5:$A$1012,$W$2,'PIB Mpal 2015-2022 Cons'!$E$5:$E$1012,$A86)</f>
        <v>74.403700619504107</v>
      </c>
      <c r="F86" s="51">
        <f>SUMIFS('PIB Mpal 2015-2022 Cons'!I$5:I$1012,'PIB Mpal 2015-2022 Cons'!$A$5:$A$1012,$W$2,'PIB Mpal 2015-2022 Cons'!$E$5:$E$1012,$A86)</f>
        <v>0</v>
      </c>
      <c r="G86" s="51">
        <f>SUMIFS('PIB Mpal 2015-2022 Cons'!K$5:K$1012,'PIB Mpal 2015-2022 Cons'!$A$5:$A$1012,$W$2,'PIB Mpal 2015-2022 Cons'!$E$5:$E$1012,$A86)</f>
        <v>24.591083924920451</v>
      </c>
      <c r="H86" s="51">
        <f>SUMIFS('PIB Mpal 2015-2022 Cons'!L$5:L$1012,'PIB Mpal 2015-2022 Cons'!$A$5:$A$1012,$W$2,'PIB Mpal 2015-2022 Cons'!$E$5:$E$1012,$A86)</f>
        <v>18.994442748821079</v>
      </c>
      <c r="I86" s="51">
        <f>SUMIFS('PIB Mpal 2015-2022 Cons'!N$5:N$1012,'PIB Mpal 2015-2022 Cons'!$A$5:$A$1012,$W$2,'PIB Mpal 2015-2022 Cons'!$E$5:$E$1012,$A86)</f>
        <v>5.5912970344296715</v>
      </c>
      <c r="J86" s="51">
        <f>SUMIFS('PIB Mpal 2015-2022 Cons'!O$5:O$1012,'PIB Mpal 2015-2022 Cons'!$A$5:$A$1012,$W$2,'PIB Mpal 2015-2022 Cons'!$E$5:$E$1012,$A86)</f>
        <v>104.70197491536337</v>
      </c>
      <c r="K86" s="51">
        <f>SUMIFS('PIB Mpal 2015-2022 Cons'!P$5:P$1012,'PIB Mpal 2015-2022 Cons'!$A$5:$A$1012,$W$2,'PIB Mpal 2015-2022 Cons'!$E$5:$E$1012,$A86)</f>
        <v>20.485640794971864</v>
      </c>
      <c r="L86" s="51">
        <f>SUMIFS('PIB Mpal 2015-2022 Cons'!Q$5:Q$1012,'PIB Mpal 2015-2022 Cons'!$A$5:$A$1012,$W$2,'PIB Mpal 2015-2022 Cons'!$E$5:$E$1012,$A86)</f>
        <v>16.633491342075708</v>
      </c>
      <c r="M86" s="51">
        <f>SUMIFS('PIB Mpal 2015-2022 Cons'!R$5:R$1012,'PIB Mpal 2015-2022 Cons'!$A$5:$A$1012,$W$2,'PIB Mpal 2015-2022 Cons'!$E$5:$E$1012,$A86)</f>
        <v>71.323266162246924</v>
      </c>
      <c r="N86" s="51">
        <f>SUMIFS('PIB Mpal 2015-2022 Cons'!S$5:S$1012,'PIB Mpal 2015-2022 Cons'!$A$5:$A$1012,$W$2,'PIB Mpal 2015-2022 Cons'!$E$5:$E$1012,$A86)</f>
        <v>48.763029266967443</v>
      </c>
      <c r="O86" s="51">
        <f>SUMIFS('PIB Mpal 2015-2022 Cons'!T$5:T$1012,'PIB Mpal 2015-2022 Cons'!$A$5:$A$1012,$W$2,'PIB Mpal 2015-2022 Cons'!$E$5:$E$1012,$A86)</f>
        <v>63.806918429076994</v>
      </c>
      <c r="P86" s="150">
        <f>SUMIFS('PIB Mpal 2015-2022 Cons'!U$5:U$1012,'PIB Mpal 2015-2022 Cons'!$A$5:$A$1012,$W$2,'PIB Mpal 2015-2022 Cons'!$E$5:$E$1012,$A86)</f>
        <v>17.642147292143612</v>
      </c>
      <c r="Q86" s="217">
        <f>SUMIFS('PIB Mpal 2015-2022 Cons'!J$5:J$1012,'PIB Mpal 2015-2022 Cons'!$A$5:$A$1012,$W$2,'PIB Mpal 2015-2022 Cons'!$E$5:$E$1012,$A86)</f>
        <v>74.403700619504107</v>
      </c>
      <c r="R86" s="99">
        <f>SUMIFS('PIB Mpal 2015-2022 Cons'!M$5:M$1012,'PIB Mpal 2015-2022 Cons'!$A$5:$A$1012,$W$2,'PIB Mpal 2015-2022 Cons'!$E$5:$E$1012,$A86)</f>
        <v>43.585526673741526</v>
      </c>
      <c r="S86" s="53">
        <f>SUMIFS('PIB Mpal 2015-2022 Cons'!V$5:V$1012,'PIB Mpal 2015-2022 Cons'!$A$5:$A$1012,$W$2,'PIB Mpal 2015-2022 Cons'!$E$5:$E$1012,$A86)</f>
        <v>348.94776523727558</v>
      </c>
      <c r="T86" s="153">
        <f>SUMIFS('PIB Mpal 2015-2022 Cons'!W$5:W$1012,'PIB Mpal 2015-2022 Cons'!$A$5:$A$1012,$W$2,'PIB Mpal 2015-2022 Cons'!$E$5:$E$1012,$A86)</f>
        <v>466.9369925305212</v>
      </c>
      <c r="U86" s="51">
        <f>SUMIFS('PIB Mpal 2015-2022 Cons'!X$5:X$1012,'PIB Mpal 2015-2022 Cons'!$A$5:$A$1012,$W$2,'PIB Mpal 2015-2022 Cons'!$E$5:$E$1012,$A86)</f>
        <v>46.928066520478133</v>
      </c>
      <c r="V86" s="53">
        <f>SUMIFS('PIB Mpal 2015-2022 Cons'!Y$5:Y$1012,'PIB Mpal 2015-2022 Cons'!$A$5:$A$1012,$W$2,'PIB Mpal 2015-2022 Cons'!$E$5:$E$1012,$A86)</f>
        <v>513.86505905099932</v>
      </c>
      <c r="W86" s="92">
        <f t="shared" si="18"/>
        <v>4.4511192697992462E-3</v>
      </c>
      <c r="X86" s="268">
        <f>INDEX(POBLACION!$C$4:$W$128,MATCH(A86,POBLACION!$A$4:$A$128,0),MATCH($W$2,POBLACION!$C$3:$W$3,0))</f>
        <v>56346</v>
      </c>
      <c r="Y86" s="258">
        <f t="shared" si="19"/>
        <v>8286.959012716452</v>
      </c>
      <c r="Z86" s="270">
        <f t="shared" si="20"/>
        <v>9119.814344425502</v>
      </c>
      <c r="AA86" s="273">
        <f t="shared" si="21"/>
        <v>3.9183951908293291</v>
      </c>
      <c r="AB86" s="273">
        <f t="shared" si="21"/>
        <v>3.9599859973183027</v>
      </c>
    </row>
    <row r="87" spans="1:28" x14ac:dyDescent="0.2">
      <c r="A87" s="35" t="s">
        <v>278</v>
      </c>
      <c r="B87" s="32" t="s">
        <v>264</v>
      </c>
      <c r="C87" s="33" t="s">
        <v>267</v>
      </c>
      <c r="D87" s="32" t="s">
        <v>279</v>
      </c>
      <c r="E87" s="51">
        <f>SUMIFS('PIB Mpal 2015-2022 Cons'!H$5:H$1012,'PIB Mpal 2015-2022 Cons'!$A$5:$A$1012,$W$2,'PIB Mpal 2015-2022 Cons'!$E$5:$E$1012,$A87)</f>
        <v>130.20887092419548</v>
      </c>
      <c r="F87" s="51">
        <f>SUMIFS('PIB Mpal 2015-2022 Cons'!I$5:I$1012,'PIB Mpal 2015-2022 Cons'!$A$5:$A$1012,$W$2,'PIB Mpal 2015-2022 Cons'!$E$5:$E$1012,$A87)</f>
        <v>0</v>
      </c>
      <c r="G87" s="51">
        <f>SUMIFS('PIB Mpal 2015-2022 Cons'!K$5:K$1012,'PIB Mpal 2015-2022 Cons'!$A$5:$A$1012,$W$2,'PIB Mpal 2015-2022 Cons'!$E$5:$E$1012,$A87)</f>
        <v>4.2708026338997884</v>
      </c>
      <c r="H87" s="51">
        <f>SUMIFS('PIB Mpal 2015-2022 Cons'!L$5:L$1012,'PIB Mpal 2015-2022 Cons'!$A$5:$A$1012,$W$2,'PIB Mpal 2015-2022 Cons'!$E$5:$E$1012,$A87)</f>
        <v>21.637647286750315</v>
      </c>
      <c r="I87" s="51">
        <f>SUMIFS('PIB Mpal 2015-2022 Cons'!N$5:N$1012,'PIB Mpal 2015-2022 Cons'!$A$5:$A$1012,$W$2,'PIB Mpal 2015-2022 Cons'!$E$5:$E$1012,$A87)</f>
        <v>9.7782636310689028</v>
      </c>
      <c r="J87" s="51">
        <f>SUMIFS('PIB Mpal 2015-2022 Cons'!O$5:O$1012,'PIB Mpal 2015-2022 Cons'!$A$5:$A$1012,$W$2,'PIB Mpal 2015-2022 Cons'!$E$5:$E$1012,$A87)</f>
        <v>24.42377603552486</v>
      </c>
      <c r="K87" s="51">
        <f>SUMIFS('PIB Mpal 2015-2022 Cons'!P$5:P$1012,'PIB Mpal 2015-2022 Cons'!$A$5:$A$1012,$W$2,'PIB Mpal 2015-2022 Cons'!$E$5:$E$1012,$A87)</f>
        <v>6.2607139652902841</v>
      </c>
      <c r="L87" s="51">
        <f>SUMIFS('PIB Mpal 2015-2022 Cons'!Q$5:Q$1012,'PIB Mpal 2015-2022 Cons'!$A$5:$A$1012,$W$2,'PIB Mpal 2015-2022 Cons'!$E$5:$E$1012,$A87)</f>
        <v>4.2285235060195312</v>
      </c>
      <c r="M87" s="51">
        <f>SUMIFS('PIB Mpal 2015-2022 Cons'!R$5:R$1012,'PIB Mpal 2015-2022 Cons'!$A$5:$A$1012,$W$2,'PIB Mpal 2015-2022 Cons'!$E$5:$E$1012,$A87)</f>
        <v>26.407532041382918</v>
      </c>
      <c r="N87" s="51">
        <f>SUMIFS('PIB Mpal 2015-2022 Cons'!S$5:S$1012,'PIB Mpal 2015-2022 Cons'!$A$5:$A$1012,$W$2,'PIB Mpal 2015-2022 Cons'!$E$5:$E$1012,$A87)</f>
        <v>15.530851460646206</v>
      </c>
      <c r="O87" s="51">
        <f>SUMIFS('PIB Mpal 2015-2022 Cons'!T$5:T$1012,'PIB Mpal 2015-2022 Cons'!$A$5:$A$1012,$W$2,'PIB Mpal 2015-2022 Cons'!$E$5:$E$1012,$A87)</f>
        <v>24.105262231149268</v>
      </c>
      <c r="P87" s="150">
        <f>SUMIFS('PIB Mpal 2015-2022 Cons'!U$5:U$1012,'PIB Mpal 2015-2022 Cons'!$A$5:$A$1012,$W$2,'PIB Mpal 2015-2022 Cons'!$E$5:$E$1012,$A87)</f>
        <v>7.9535781834421329</v>
      </c>
      <c r="Q87" s="217">
        <f>SUMIFS('PIB Mpal 2015-2022 Cons'!J$5:J$1012,'PIB Mpal 2015-2022 Cons'!$A$5:$A$1012,$W$2,'PIB Mpal 2015-2022 Cons'!$E$5:$E$1012,$A87)</f>
        <v>130.20887092419548</v>
      </c>
      <c r="R87" s="99">
        <f>SUMIFS('PIB Mpal 2015-2022 Cons'!M$5:M$1012,'PIB Mpal 2015-2022 Cons'!$A$5:$A$1012,$W$2,'PIB Mpal 2015-2022 Cons'!$E$5:$E$1012,$A87)</f>
        <v>25.908449920650103</v>
      </c>
      <c r="S87" s="53">
        <f>SUMIFS('PIB Mpal 2015-2022 Cons'!V$5:V$1012,'PIB Mpal 2015-2022 Cons'!$A$5:$A$1012,$W$2,'PIB Mpal 2015-2022 Cons'!$E$5:$E$1012,$A87)</f>
        <v>118.68850105452411</v>
      </c>
      <c r="T87" s="153">
        <f>SUMIFS('PIB Mpal 2015-2022 Cons'!W$5:W$1012,'PIB Mpal 2015-2022 Cons'!$A$5:$A$1012,$W$2,'PIB Mpal 2015-2022 Cons'!$E$5:$E$1012,$A87)</f>
        <v>274.80582189936968</v>
      </c>
      <c r="U87" s="51">
        <f>SUMIFS('PIB Mpal 2015-2022 Cons'!X$5:X$1012,'PIB Mpal 2015-2022 Cons'!$A$5:$A$1012,$W$2,'PIB Mpal 2015-2022 Cons'!$E$5:$E$1012,$A87)</f>
        <v>27.618514052541379</v>
      </c>
      <c r="V87" s="53">
        <f>SUMIFS('PIB Mpal 2015-2022 Cons'!Y$5:Y$1012,'PIB Mpal 2015-2022 Cons'!$A$5:$A$1012,$W$2,'PIB Mpal 2015-2022 Cons'!$E$5:$E$1012,$A87)</f>
        <v>302.42433595191108</v>
      </c>
      <c r="W87" s="92">
        <f t="shared" si="18"/>
        <v>2.6196114440974159E-3</v>
      </c>
      <c r="X87" s="268">
        <f>INDEX(POBLACION!$C$4:$W$128,MATCH(A87,POBLACION!$A$4:$A$128,0),MATCH($W$2,POBLACION!$C$3:$W$3,0))</f>
        <v>20119</v>
      </c>
      <c r="Y87" s="258">
        <f t="shared" si="19"/>
        <v>13659.019926406367</v>
      </c>
      <c r="Z87" s="270">
        <f t="shared" si="20"/>
        <v>15031.777720160597</v>
      </c>
      <c r="AA87" s="273">
        <f t="shared" si="21"/>
        <v>4.1354195385970751</v>
      </c>
      <c r="AB87" s="273">
        <f t="shared" si="21"/>
        <v>4.177010345084657</v>
      </c>
    </row>
    <row r="88" spans="1:28" x14ac:dyDescent="0.2">
      <c r="A88" s="35" t="s">
        <v>280</v>
      </c>
      <c r="B88" s="32" t="s">
        <v>264</v>
      </c>
      <c r="C88" s="33" t="s">
        <v>145</v>
      </c>
      <c r="D88" s="32" t="s">
        <v>281</v>
      </c>
      <c r="E88" s="51">
        <f>SUMIFS('PIB Mpal 2015-2022 Cons'!H$5:H$1012,'PIB Mpal 2015-2022 Cons'!$A$5:$A$1012,$W$2,'PIB Mpal 2015-2022 Cons'!$E$5:$E$1012,$A88)</f>
        <v>28.440520942876478</v>
      </c>
      <c r="F88" s="51">
        <f>SUMIFS('PIB Mpal 2015-2022 Cons'!I$5:I$1012,'PIB Mpal 2015-2022 Cons'!$A$5:$A$1012,$W$2,'PIB Mpal 2015-2022 Cons'!$E$5:$E$1012,$A88)</f>
        <v>0.43183193919151819</v>
      </c>
      <c r="G88" s="51">
        <f>SUMIFS('PIB Mpal 2015-2022 Cons'!K$5:K$1012,'PIB Mpal 2015-2022 Cons'!$A$5:$A$1012,$W$2,'PIB Mpal 2015-2022 Cons'!$E$5:$E$1012,$A88)</f>
        <v>23.658877298348671</v>
      </c>
      <c r="H88" s="51">
        <f>SUMIFS('PIB Mpal 2015-2022 Cons'!L$5:L$1012,'PIB Mpal 2015-2022 Cons'!$A$5:$A$1012,$W$2,'PIB Mpal 2015-2022 Cons'!$E$5:$E$1012,$A88)</f>
        <v>15.921212533258185</v>
      </c>
      <c r="I88" s="51">
        <f>SUMIFS('PIB Mpal 2015-2022 Cons'!N$5:N$1012,'PIB Mpal 2015-2022 Cons'!$A$5:$A$1012,$W$2,'PIB Mpal 2015-2022 Cons'!$E$5:$E$1012,$A88)</f>
        <v>43.229043104141489</v>
      </c>
      <c r="J88" s="51">
        <f>SUMIFS('PIB Mpal 2015-2022 Cons'!O$5:O$1012,'PIB Mpal 2015-2022 Cons'!$A$5:$A$1012,$W$2,'PIB Mpal 2015-2022 Cons'!$E$5:$E$1012,$A88)</f>
        <v>56.322152727500658</v>
      </c>
      <c r="K88" s="51">
        <f>SUMIFS('PIB Mpal 2015-2022 Cons'!P$5:P$1012,'PIB Mpal 2015-2022 Cons'!$A$5:$A$1012,$W$2,'PIB Mpal 2015-2022 Cons'!$E$5:$E$1012,$A88)</f>
        <v>17.151831315507035</v>
      </c>
      <c r="L88" s="51">
        <f>SUMIFS('PIB Mpal 2015-2022 Cons'!Q$5:Q$1012,'PIB Mpal 2015-2022 Cons'!$A$5:$A$1012,$W$2,'PIB Mpal 2015-2022 Cons'!$E$5:$E$1012,$A88)</f>
        <v>7.9979863308005319</v>
      </c>
      <c r="M88" s="51">
        <f>SUMIFS('PIB Mpal 2015-2022 Cons'!R$5:R$1012,'PIB Mpal 2015-2022 Cons'!$A$5:$A$1012,$W$2,'PIB Mpal 2015-2022 Cons'!$E$5:$E$1012,$A88)</f>
        <v>56.046342473564856</v>
      </c>
      <c r="N88" s="51">
        <f>SUMIFS('PIB Mpal 2015-2022 Cons'!S$5:S$1012,'PIB Mpal 2015-2022 Cons'!$A$5:$A$1012,$W$2,'PIB Mpal 2015-2022 Cons'!$E$5:$E$1012,$A88)</f>
        <v>33.519179611162897</v>
      </c>
      <c r="O88" s="51">
        <f>SUMIFS('PIB Mpal 2015-2022 Cons'!T$5:T$1012,'PIB Mpal 2015-2022 Cons'!$A$5:$A$1012,$W$2,'PIB Mpal 2015-2022 Cons'!$E$5:$E$1012,$A88)</f>
        <v>36.366558916132384</v>
      </c>
      <c r="P88" s="150">
        <f>SUMIFS('PIB Mpal 2015-2022 Cons'!U$5:U$1012,'PIB Mpal 2015-2022 Cons'!$A$5:$A$1012,$W$2,'PIB Mpal 2015-2022 Cons'!$E$5:$E$1012,$A88)</f>
        <v>9.4938075918202873</v>
      </c>
      <c r="Q88" s="217">
        <f>SUMIFS('PIB Mpal 2015-2022 Cons'!J$5:J$1012,'PIB Mpal 2015-2022 Cons'!$A$5:$A$1012,$W$2,'PIB Mpal 2015-2022 Cons'!$E$5:$E$1012,$A88)</f>
        <v>28.872352882067997</v>
      </c>
      <c r="R88" s="99">
        <f>SUMIFS('PIB Mpal 2015-2022 Cons'!M$5:M$1012,'PIB Mpal 2015-2022 Cons'!$A$5:$A$1012,$W$2,'PIB Mpal 2015-2022 Cons'!$E$5:$E$1012,$A88)</f>
        <v>39.580089831606855</v>
      </c>
      <c r="S88" s="53">
        <f>SUMIFS('PIB Mpal 2015-2022 Cons'!V$5:V$1012,'PIB Mpal 2015-2022 Cons'!$A$5:$A$1012,$W$2,'PIB Mpal 2015-2022 Cons'!$E$5:$E$1012,$A88)</f>
        <v>260.12690207063014</v>
      </c>
      <c r="T88" s="153">
        <f>SUMIFS('PIB Mpal 2015-2022 Cons'!W$5:W$1012,'PIB Mpal 2015-2022 Cons'!$A$5:$A$1012,$W$2,'PIB Mpal 2015-2022 Cons'!$E$5:$E$1012,$A88)</f>
        <v>328.57934478430502</v>
      </c>
      <c r="U88" s="51">
        <f>SUMIFS('PIB Mpal 2015-2022 Cons'!X$5:X$1012,'PIB Mpal 2015-2022 Cons'!$A$5:$A$1012,$W$2,'PIB Mpal 2015-2022 Cons'!$E$5:$E$1012,$A88)</f>
        <v>33.022856608134795</v>
      </c>
      <c r="V88" s="53">
        <f>SUMIFS('PIB Mpal 2015-2022 Cons'!Y$5:Y$1012,'PIB Mpal 2015-2022 Cons'!$A$5:$A$1012,$W$2,'PIB Mpal 2015-2022 Cons'!$E$5:$E$1012,$A88)</f>
        <v>361.60220139243984</v>
      </c>
      <c r="W88" s="92">
        <f t="shared" si="18"/>
        <v>3.132212432563888E-3</v>
      </c>
      <c r="X88" s="268">
        <f>INDEX(POBLACION!$C$4:$W$128,MATCH(A88,POBLACION!$A$4:$A$128,0),MATCH($W$2,POBLACION!$C$3:$W$3,0))</f>
        <v>22178</v>
      </c>
      <c r="Y88" s="258">
        <f t="shared" si="19"/>
        <v>14815.553466692443</v>
      </c>
      <c r="Z88" s="270">
        <f t="shared" si="20"/>
        <v>16304.545107423566</v>
      </c>
      <c r="AA88" s="273">
        <f t="shared" si="21"/>
        <v>4.1707178801185112</v>
      </c>
      <c r="AB88" s="273">
        <f t="shared" si="21"/>
        <v>4.2123086866076811</v>
      </c>
    </row>
    <row r="89" spans="1:28" x14ac:dyDescent="0.2">
      <c r="A89" s="35" t="s">
        <v>282</v>
      </c>
      <c r="B89" s="32" t="s">
        <v>264</v>
      </c>
      <c r="C89" s="33" t="s">
        <v>283</v>
      </c>
      <c r="D89" s="32" t="s">
        <v>284</v>
      </c>
      <c r="E89" s="51">
        <f>SUMIFS('PIB Mpal 2015-2022 Cons'!H$5:H$1012,'PIB Mpal 2015-2022 Cons'!$A$5:$A$1012,$W$2,'PIB Mpal 2015-2022 Cons'!$E$5:$E$1012,$A89)</f>
        <v>82.221824324528896</v>
      </c>
      <c r="F89" s="51">
        <f>SUMIFS('PIB Mpal 2015-2022 Cons'!I$5:I$1012,'PIB Mpal 2015-2022 Cons'!$A$5:$A$1012,$W$2,'PIB Mpal 2015-2022 Cons'!$E$5:$E$1012,$A89)</f>
        <v>0</v>
      </c>
      <c r="G89" s="51">
        <f>SUMIFS('PIB Mpal 2015-2022 Cons'!K$5:K$1012,'PIB Mpal 2015-2022 Cons'!$A$5:$A$1012,$W$2,'PIB Mpal 2015-2022 Cons'!$E$5:$E$1012,$A89)</f>
        <v>24.158222688462253</v>
      </c>
      <c r="H89" s="51">
        <f>SUMIFS('PIB Mpal 2015-2022 Cons'!L$5:L$1012,'PIB Mpal 2015-2022 Cons'!$A$5:$A$1012,$W$2,'PIB Mpal 2015-2022 Cons'!$E$5:$E$1012,$A89)</f>
        <v>14.605533287822567</v>
      </c>
      <c r="I89" s="51">
        <f>SUMIFS('PIB Mpal 2015-2022 Cons'!N$5:N$1012,'PIB Mpal 2015-2022 Cons'!$A$5:$A$1012,$W$2,'PIB Mpal 2015-2022 Cons'!$E$5:$E$1012,$A89)</f>
        <v>3.3524052050579969</v>
      </c>
      <c r="J89" s="51">
        <f>SUMIFS('PIB Mpal 2015-2022 Cons'!O$5:O$1012,'PIB Mpal 2015-2022 Cons'!$A$5:$A$1012,$W$2,'PIB Mpal 2015-2022 Cons'!$E$5:$E$1012,$A89)</f>
        <v>68.746114115767782</v>
      </c>
      <c r="K89" s="51">
        <f>SUMIFS('PIB Mpal 2015-2022 Cons'!P$5:P$1012,'PIB Mpal 2015-2022 Cons'!$A$5:$A$1012,$W$2,'PIB Mpal 2015-2022 Cons'!$E$5:$E$1012,$A89)</f>
        <v>11.223156618628522</v>
      </c>
      <c r="L89" s="51">
        <f>SUMIFS('PIB Mpal 2015-2022 Cons'!Q$5:Q$1012,'PIB Mpal 2015-2022 Cons'!$A$5:$A$1012,$W$2,'PIB Mpal 2015-2022 Cons'!$E$5:$E$1012,$A89)</f>
        <v>10.34608936225194</v>
      </c>
      <c r="M89" s="51">
        <f>SUMIFS('PIB Mpal 2015-2022 Cons'!R$5:R$1012,'PIB Mpal 2015-2022 Cons'!$A$5:$A$1012,$W$2,'PIB Mpal 2015-2022 Cons'!$E$5:$E$1012,$A89)</f>
        <v>40.967004964940742</v>
      </c>
      <c r="N89" s="51">
        <f>SUMIFS('PIB Mpal 2015-2022 Cons'!S$5:S$1012,'PIB Mpal 2015-2022 Cons'!$A$5:$A$1012,$W$2,'PIB Mpal 2015-2022 Cons'!$E$5:$E$1012,$A89)</f>
        <v>24.809262274345258</v>
      </c>
      <c r="O89" s="51">
        <f>SUMIFS('PIB Mpal 2015-2022 Cons'!T$5:T$1012,'PIB Mpal 2015-2022 Cons'!$A$5:$A$1012,$W$2,'PIB Mpal 2015-2022 Cons'!$E$5:$E$1012,$A89)</f>
        <v>32.748678517789543</v>
      </c>
      <c r="P89" s="150">
        <f>SUMIFS('PIB Mpal 2015-2022 Cons'!U$5:U$1012,'PIB Mpal 2015-2022 Cons'!$A$5:$A$1012,$W$2,'PIB Mpal 2015-2022 Cons'!$E$5:$E$1012,$A89)</f>
        <v>8.1844009954507673</v>
      </c>
      <c r="Q89" s="217">
        <f>SUMIFS('PIB Mpal 2015-2022 Cons'!J$5:J$1012,'PIB Mpal 2015-2022 Cons'!$A$5:$A$1012,$W$2,'PIB Mpal 2015-2022 Cons'!$E$5:$E$1012,$A89)</f>
        <v>82.221824324528896</v>
      </c>
      <c r="R89" s="99">
        <f>SUMIFS('PIB Mpal 2015-2022 Cons'!M$5:M$1012,'PIB Mpal 2015-2022 Cons'!$A$5:$A$1012,$W$2,'PIB Mpal 2015-2022 Cons'!$E$5:$E$1012,$A89)</f>
        <v>38.76375597628482</v>
      </c>
      <c r="S89" s="53">
        <f>SUMIFS('PIB Mpal 2015-2022 Cons'!V$5:V$1012,'PIB Mpal 2015-2022 Cons'!$A$5:$A$1012,$W$2,'PIB Mpal 2015-2022 Cons'!$E$5:$E$1012,$A89)</f>
        <v>200.37711205423253</v>
      </c>
      <c r="T89" s="153">
        <f>SUMIFS('PIB Mpal 2015-2022 Cons'!W$5:W$1012,'PIB Mpal 2015-2022 Cons'!$A$5:$A$1012,$W$2,'PIB Mpal 2015-2022 Cons'!$E$5:$E$1012,$A89)</f>
        <v>321.36269235504625</v>
      </c>
      <c r="U89" s="51">
        <f>SUMIFS('PIB Mpal 2015-2022 Cons'!X$5:X$1012,'PIB Mpal 2015-2022 Cons'!$A$5:$A$1012,$W$2,'PIB Mpal 2015-2022 Cons'!$E$5:$E$1012,$A89)</f>
        <v>32.297569147606232</v>
      </c>
      <c r="V89" s="53">
        <f>SUMIFS('PIB Mpal 2015-2022 Cons'!Y$5:Y$1012,'PIB Mpal 2015-2022 Cons'!$A$5:$A$1012,$W$2,'PIB Mpal 2015-2022 Cons'!$E$5:$E$1012,$A89)</f>
        <v>353.66026150265247</v>
      </c>
      <c r="W89" s="92">
        <f t="shared" si="18"/>
        <v>3.0634190381495941E-3</v>
      </c>
      <c r="X89" s="268">
        <f>INDEX(POBLACION!$C$4:$W$128,MATCH(A89,POBLACION!$A$4:$A$128,0),MATCH($W$2,POBLACION!$C$3:$W$3,0))</f>
        <v>33985</v>
      </c>
      <c r="Y89" s="258">
        <f t="shared" si="19"/>
        <v>9456.0156644121307</v>
      </c>
      <c r="Z89" s="270">
        <f t="shared" si="20"/>
        <v>10406.36343983088</v>
      </c>
      <c r="AA89" s="273">
        <f t="shared" si="21"/>
        <v>3.975708182970568</v>
      </c>
      <c r="AB89" s="273">
        <f t="shared" si="21"/>
        <v>4.0172989894589959</v>
      </c>
    </row>
    <row r="90" spans="1:28" x14ac:dyDescent="0.2">
      <c r="A90" s="35" t="s">
        <v>285</v>
      </c>
      <c r="B90" s="32" t="s">
        <v>264</v>
      </c>
      <c r="C90" s="33" t="s">
        <v>267</v>
      </c>
      <c r="D90" s="32" t="s">
        <v>286</v>
      </c>
      <c r="E90" s="51">
        <f>SUMIFS('PIB Mpal 2015-2022 Cons'!H$5:H$1012,'PIB Mpal 2015-2022 Cons'!$A$5:$A$1012,$W$2,'PIB Mpal 2015-2022 Cons'!$E$5:$E$1012,$A90)</f>
        <v>5.3857696895358558</v>
      </c>
      <c r="F90" s="51">
        <f>SUMIFS('PIB Mpal 2015-2022 Cons'!I$5:I$1012,'PIB Mpal 2015-2022 Cons'!$A$5:$A$1012,$W$2,'PIB Mpal 2015-2022 Cons'!$E$5:$E$1012,$A90)</f>
        <v>0</v>
      </c>
      <c r="G90" s="51">
        <f>SUMIFS('PIB Mpal 2015-2022 Cons'!K$5:K$1012,'PIB Mpal 2015-2022 Cons'!$A$5:$A$1012,$W$2,'PIB Mpal 2015-2022 Cons'!$E$5:$E$1012,$A90)</f>
        <v>1.1732071962538955</v>
      </c>
      <c r="H90" s="51">
        <f>SUMIFS('PIB Mpal 2015-2022 Cons'!L$5:L$1012,'PIB Mpal 2015-2022 Cons'!$A$5:$A$1012,$W$2,'PIB Mpal 2015-2022 Cons'!$E$5:$E$1012,$A90)</f>
        <v>4.6827657526380007</v>
      </c>
      <c r="I90" s="51">
        <f>SUMIFS('PIB Mpal 2015-2022 Cons'!N$5:N$1012,'PIB Mpal 2015-2022 Cons'!$A$5:$A$1012,$W$2,'PIB Mpal 2015-2022 Cons'!$E$5:$E$1012,$A90)</f>
        <v>2.2721226114916737</v>
      </c>
      <c r="J90" s="51">
        <f>SUMIFS('PIB Mpal 2015-2022 Cons'!O$5:O$1012,'PIB Mpal 2015-2022 Cons'!$A$5:$A$1012,$W$2,'PIB Mpal 2015-2022 Cons'!$E$5:$E$1012,$A90)</f>
        <v>7.4373511427302068</v>
      </c>
      <c r="K90" s="51">
        <f>SUMIFS('PIB Mpal 2015-2022 Cons'!P$5:P$1012,'PIB Mpal 2015-2022 Cons'!$A$5:$A$1012,$W$2,'PIB Mpal 2015-2022 Cons'!$E$5:$E$1012,$A90)</f>
        <v>2.525608407069678</v>
      </c>
      <c r="L90" s="51">
        <f>SUMIFS('PIB Mpal 2015-2022 Cons'!Q$5:Q$1012,'PIB Mpal 2015-2022 Cons'!$A$5:$A$1012,$W$2,'PIB Mpal 2015-2022 Cons'!$E$5:$E$1012,$A90)</f>
        <v>2.3130024360407213</v>
      </c>
      <c r="M90" s="51">
        <f>SUMIFS('PIB Mpal 2015-2022 Cons'!R$5:R$1012,'PIB Mpal 2015-2022 Cons'!$A$5:$A$1012,$W$2,'PIB Mpal 2015-2022 Cons'!$E$5:$E$1012,$A90)</f>
        <v>17.256127490069201</v>
      </c>
      <c r="N90" s="51">
        <f>SUMIFS('PIB Mpal 2015-2022 Cons'!S$5:S$1012,'PIB Mpal 2015-2022 Cons'!$A$5:$A$1012,$W$2,'PIB Mpal 2015-2022 Cons'!$E$5:$E$1012,$A90)</f>
        <v>8.6769869283030374</v>
      </c>
      <c r="O90" s="51">
        <f>SUMIFS('PIB Mpal 2015-2022 Cons'!T$5:T$1012,'PIB Mpal 2015-2022 Cons'!$A$5:$A$1012,$W$2,'PIB Mpal 2015-2022 Cons'!$E$5:$E$1012,$A90)</f>
        <v>13.101941897969612</v>
      </c>
      <c r="P90" s="150">
        <f>SUMIFS('PIB Mpal 2015-2022 Cons'!U$5:U$1012,'PIB Mpal 2015-2022 Cons'!$A$5:$A$1012,$W$2,'PIB Mpal 2015-2022 Cons'!$E$5:$E$1012,$A90)</f>
        <v>2.0051370888480169</v>
      </c>
      <c r="Q90" s="217">
        <f>SUMIFS('PIB Mpal 2015-2022 Cons'!J$5:J$1012,'PIB Mpal 2015-2022 Cons'!$A$5:$A$1012,$W$2,'PIB Mpal 2015-2022 Cons'!$E$5:$E$1012,$A90)</f>
        <v>5.3857696895358558</v>
      </c>
      <c r="R90" s="99">
        <f>SUMIFS('PIB Mpal 2015-2022 Cons'!M$5:M$1012,'PIB Mpal 2015-2022 Cons'!$A$5:$A$1012,$W$2,'PIB Mpal 2015-2022 Cons'!$E$5:$E$1012,$A90)</f>
        <v>5.8559729488918961</v>
      </c>
      <c r="S90" s="53">
        <f>SUMIFS('PIB Mpal 2015-2022 Cons'!V$5:V$1012,'PIB Mpal 2015-2022 Cons'!$A$5:$A$1012,$W$2,'PIB Mpal 2015-2022 Cons'!$E$5:$E$1012,$A90)</f>
        <v>55.588278002522145</v>
      </c>
      <c r="T90" s="153">
        <f>SUMIFS('PIB Mpal 2015-2022 Cons'!W$5:W$1012,'PIB Mpal 2015-2022 Cons'!$A$5:$A$1012,$W$2,'PIB Mpal 2015-2022 Cons'!$E$5:$E$1012,$A90)</f>
        <v>66.830020640949897</v>
      </c>
      <c r="U90" s="51">
        <f>SUMIFS('PIB Mpal 2015-2022 Cons'!X$5:X$1012,'PIB Mpal 2015-2022 Cons'!$A$5:$A$1012,$W$2,'PIB Mpal 2015-2022 Cons'!$E$5:$E$1012,$A90)</f>
        <v>6.7165457104534534</v>
      </c>
      <c r="V90" s="53">
        <f>SUMIFS('PIB Mpal 2015-2022 Cons'!Y$5:Y$1012,'PIB Mpal 2015-2022 Cons'!$A$5:$A$1012,$W$2,'PIB Mpal 2015-2022 Cons'!$E$5:$E$1012,$A90)</f>
        <v>73.546566351403357</v>
      </c>
      <c r="W90" s="92">
        <f t="shared" si="18"/>
        <v>6.3706323858421846E-4</v>
      </c>
      <c r="X90" s="268">
        <f>INDEX(POBLACION!$C$4:$W$128,MATCH(A90,POBLACION!$A$4:$A$128,0),MATCH($W$2,POBLACION!$C$3:$W$3,0))</f>
        <v>10947</v>
      </c>
      <c r="Y90" s="258">
        <f t="shared" si="19"/>
        <v>6104.8707993925182</v>
      </c>
      <c r="Z90" s="270">
        <f t="shared" si="20"/>
        <v>6718.4220655342433</v>
      </c>
      <c r="AA90" s="273">
        <f t="shared" si="21"/>
        <v>3.7856764771744906</v>
      </c>
      <c r="AB90" s="273">
        <f t="shared" si="21"/>
        <v>3.8272672836638373</v>
      </c>
    </row>
    <row r="91" spans="1:28" x14ac:dyDescent="0.2">
      <c r="A91" s="35" t="s">
        <v>287</v>
      </c>
      <c r="B91" s="32" t="s">
        <v>264</v>
      </c>
      <c r="C91" s="33" t="s">
        <v>145</v>
      </c>
      <c r="D91" s="32" t="s">
        <v>288</v>
      </c>
      <c r="E91" s="51">
        <f>SUMIFS('PIB Mpal 2015-2022 Cons'!H$5:H$1012,'PIB Mpal 2015-2022 Cons'!$A$5:$A$1012,$W$2,'PIB Mpal 2015-2022 Cons'!$E$5:$E$1012,$A91)</f>
        <v>39.290717200634077</v>
      </c>
      <c r="F91" s="51">
        <f>SUMIFS('PIB Mpal 2015-2022 Cons'!I$5:I$1012,'PIB Mpal 2015-2022 Cons'!$A$5:$A$1012,$W$2,'PIB Mpal 2015-2022 Cons'!$E$5:$E$1012,$A91)</f>
        <v>1.0657112416834451</v>
      </c>
      <c r="G91" s="51">
        <f>SUMIFS('PIB Mpal 2015-2022 Cons'!K$5:K$1012,'PIB Mpal 2015-2022 Cons'!$A$5:$A$1012,$W$2,'PIB Mpal 2015-2022 Cons'!$E$5:$E$1012,$A91)</f>
        <v>472.82356181168603</v>
      </c>
      <c r="H91" s="51">
        <f>SUMIFS('PIB Mpal 2015-2022 Cons'!L$5:L$1012,'PIB Mpal 2015-2022 Cons'!$A$5:$A$1012,$W$2,'PIB Mpal 2015-2022 Cons'!$E$5:$E$1012,$A91)</f>
        <v>139.81409976600423</v>
      </c>
      <c r="I91" s="51">
        <f>SUMIFS('PIB Mpal 2015-2022 Cons'!N$5:N$1012,'PIB Mpal 2015-2022 Cons'!$A$5:$A$1012,$W$2,'PIB Mpal 2015-2022 Cons'!$E$5:$E$1012,$A91)</f>
        <v>25.639837147617818</v>
      </c>
      <c r="J91" s="51">
        <f>SUMIFS('PIB Mpal 2015-2022 Cons'!O$5:O$1012,'PIB Mpal 2015-2022 Cons'!$A$5:$A$1012,$W$2,'PIB Mpal 2015-2022 Cons'!$E$5:$E$1012,$A91)</f>
        <v>120.33315523678775</v>
      </c>
      <c r="K91" s="51">
        <f>SUMIFS('PIB Mpal 2015-2022 Cons'!P$5:P$1012,'PIB Mpal 2015-2022 Cons'!$A$5:$A$1012,$W$2,'PIB Mpal 2015-2022 Cons'!$E$5:$E$1012,$A91)</f>
        <v>20.025873511082953</v>
      </c>
      <c r="L91" s="51">
        <f>SUMIFS('PIB Mpal 2015-2022 Cons'!Q$5:Q$1012,'PIB Mpal 2015-2022 Cons'!$A$5:$A$1012,$W$2,'PIB Mpal 2015-2022 Cons'!$E$5:$E$1012,$A91)</f>
        <v>12.244157812575779</v>
      </c>
      <c r="M91" s="51">
        <f>SUMIFS('PIB Mpal 2015-2022 Cons'!R$5:R$1012,'PIB Mpal 2015-2022 Cons'!$A$5:$A$1012,$W$2,'PIB Mpal 2015-2022 Cons'!$E$5:$E$1012,$A91)</f>
        <v>76.352852592724588</v>
      </c>
      <c r="N91" s="51">
        <f>SUMIFS('PIB Mpal 2015-2022 Cons'!S$5:S$1012,'PIB Mpal 2015-2022 Cons'!$A$5:$A$1012,$W$2,'PIB Mpal 2015-2022 Cons'!$E$5:$E$1012,$A91)</f>
        <v>68.704833437740348</v>
      </c>
      <c r="O91" s="51">
        <f>SUMIFS('PIB Mpal 2015-2022 Cons'!T$5:T$1012,'PIB Mpal 2015-2022 Cons'!$A$5:$A$1012,$W$2,'PIB Mpal 2015-2022 Cons'!$E$5:$E$1012,$A91)</f>
        <v>38.6708557733701</v>
      </c>
      <c r="P91" s="150">
        <f>SUMIFS('PIB Mpal 2015-2022 Cons'!U$5:U$1012,'PIB Mpal 2015-2022 Cons'!$A$5:$A$1012,$W$2,'PIB Mpal 2015-2022 Cons'!$E$5:$E$1012,$A91)</f>
        <v>12.577224000796519</v>
      </c>
      <c r="Q91" s="217">
        <f>SUMIFS('PIB Mpal 2015-2022 Cons'!J$5:J$1012,'PIB Mpal 2015-2022 Cons'!$A$5:$A$1012,$W$2,'PIB Mpal 2015-2022 Cons'!$E$5:$E$1012,$A91)</f>
        <v>40.356428442317522</v>
      </c>
      <c r="R91" s="99">
        <f>SUMIFS('PIB Mpal 2015-2022 Cons'!M$5:M$1012,'PIB Mpal 2015-2022 Cons'!$A$5:$A$1012,$W$2,'PIB Mpal 2015-2022 Cons'!$E$5:$E$1012,$A91)</f>
        <v>612.63766157769032</v>
      </c>
      <c r="S91" s="53">
        <f>SUMIFS('PIB Mpal 2015-2022 Cons'!V$5:V$1012,'PIB Mpal 2015-2022 Cons'!$A$5:$A$1012,$W$2,'PIB Mpal 2015-2022 Cons'!$E$5:$E$1012,$A91)</f>
        <v>374.54878951269586</v>
      </c>
      <c r="T91" s="153">
        <f>SUMIFS('PIB Mpal 2015-2022 Cons'!W$5:W$1012,'PIB Mpal 2015-2022 Cons'!$A$5:$A$1012,$W$2,'PIB Mpal 2015-2022 Cons'!$E$5:$E$1012,$A91)</f>
        <v>1027.5428795327036</v>
      </c>
      <c r="U91" s="51">
        <f>SUMIFS('PIB Mpal 2015-2022 Cons'!X$5:X$1012,'PIB Mpal 2015-2022 Cons'!$A$5:$A$1012,$W$2,'PIB Mpal 2015-2022 Cons'!$E$5:$E$1012,$A91)</f>
        <v>103.27003722702084</v>
      </c>
      <c r="V91" s="53">
        <f>SUMIFS('PIB Mpal 2015-2022 Cons'!Y$5:Y$1012,'PIB Mpal 2015-2022 Cons'!$A$5:$A$1012,$W$2,'PIB Mpal 2015-2022 Cons'!$E$5:$E$1012,$A91)</f>
        <v>1130.8129167597244</v>
      </c>
      <c r="W91" s="92">
        <f t="shared" si="18"/>
        <v>9.7951457793660855E-3</v>
      </c>
      <c r="X91" s="268">
        <f>INDEX(POBLACION!$C$4:$W$128,MATCH(A91,POBLACION!$A$4:$A$128,0),MATCH($W$2,POBLACION!$C$3:$W$3,0))</f>
        <v>51910</v>
      </c>
      <c r="Y91" s="258">
        <f t="shared" si="19"/>
        <v>19794.700048790284</v>
      </c>
      <c r="Z91" s="270">
        <f t="shared" si="20"/>
        <v>21784.105504907042</v>
      </c>
      <c r="AA91" s="273">
        <f t="shared" si="21"/>
        <v>4.296548925227289</v>
      </c>
      <c r="AB91" s="273">
        <f t="shared" si="21"/>
        <v>4.3381397317145733</v>
      </c>
    </row>
    <row r="92" spans="1:28" x14ac:dyDescent="0.2">
      <c r="A92" s="35" t="s">
        <v>289</v>
      </c>
      <c r="B92" s="32" t="s">
        <v>264</v>
      </c>
      <c r="C92" s="33" t="s">
        <v>267</v>
      </c>
      <c r="D92" s="32" t="s">
        <v>290</v>
      </c>
      <c r="E92" s="51">
        <f>SUMIFS('PIB Mpal 2015-2022 Cons'!H$5:H$1012,'PIB Mpal 2015-2022 Cons'!$A$5:$A$1012,$W$2,'PIB Mpal 2015-2022 Cons'!$E$5:$E$1012,$A92)</f>
        <v>2.8973141719562014</v>
      </c>
      <c r="F92" s="51">
        <f>SUMIFS('PIB Mpal 2015-2022 Cons'!I$5:I$1012,'PIB Mpal 2015-2022 Cons'!$A$5:$A$1012,$W$2,'PIB Mpal 2015-2022 Cons'!$E$5:$E$1012,$A92)</f>
        <v>0</v>
      </c>
      <c r="G92" s="51">
        <f>SUMIFS('PIB Mpal 2015-2022 Cons'!K$5:K$1012,'PIB Mpal 2015-2022 Cons'!$A$5:$A$1012,$W$2,'PIB Mpal 2015-2022 Cons'!$E$5:$E$1012,$A92)</f>
        <v>8.403219987394845</v>
      </c>
      <c r="H92" s="51">
        <f>SUMIFS('PIB Mpal 2015-2022 Cons'!L$5:L$1012,'PIB Mpal 2015-2022 Cons'!$A$5:$A$1012,$W$2,'PIB Mpal 2015-2022 Cons'!$E$5:$E$1012,$A92)</f>
        <v>11.27947243233152</v>
      </c>
      <c r="I92" s="51">
        <f>SUMIFS('PIB Mpal 2015-2022 Cons'!N$5:N$1012,'PIB Mpal 2015-2022 Cons'!$A$5:$A$1012,$W$2,'PIB Mpal 2015-2022 Cons'!$E$5:$E$1012,$A92)</f>
        <v>9.2450920796395692</v>
      </c>
      <c r="J92" s="51">
        <f>SUMIFS('PIB Mpal 2015-2022 Cons'!O$5:O$1012,'PIB Mpal 2015-2022 Cons'!$A$5:$A$1012,$W$2,'PIB Mpal 2015-2022 Cons'!$E$5:$E$1012,$A92)</f>
        <v>60.435786379290768</v>
      </c>
      <c r="K92" s="51">
        <f>SUMIFS('PIB Mpal 2015-2022 Cons'!P$5:P$1012,'PIB Mpal 2015-2022 Cons'!$A$5:$A$1012,$W$2,'PIB Mpal 2015-2022 Cons'!$E$5:$E$1012,$A92)</f>
        <v>9.5657771470364779</v>
      </c>
      <c r="L92" s="51">
        <f>SUMIFS('PIB Mpal 2015-2022 Cons'!Q$5:Q$1012,'PIB Mpal 2015-2022 Cons'!$A$5:$A$1012,$W$2,'PIB Mpal 2015-2022 Cons'!$E$5:$E$1012,$A92)</f>
        <v>4.6342596537508092</v>
      </c>
      <c r="M92" s="51">
        <f>SUMIFS('PIB Mpal 2015-2022 Cons'!R$5:R$1012,'PIB Mpal 2015-2022 Cons'!$A$5:$A$1012,$W$2,'PIB Mpal 2015-2022 Cons'!$E$5:$E$1012,$A92)</f>
        <v>45.555366622671819</v>
      </c>
      <c r="N92" s="51">
        <f>SUMIFS('PIB Mpal 2015-2022 Cons'!S$5:S$1012,'PIB Mpal 2015-2022 Cons'!$A$5:$A$1012,$W$2,'PIB Mpal 2015-2022 Cons'!$E$5:$E$1012,$A92)</f>
        <v>39.345208298227796</v>
      </c>
      <c r="O92" s="51">
        <f>SUMIFS('PIB Mpal 2015-2022 Cons'!T$5:T$1012,'PIB Mpal 2015-2022 Cons'!$A$5:$A$1012,$W$2,'PIB Mpal 2015-2022 Cons'!$E$5:$E$1012,$A92)</f>
        <v>28.663156153813802</v>
      </c>
      <c r="P92" s="150">
        <f>SUMIFS('PIB Mpal 2015-2022 Cons'!U$5:U$1012,'PIB Mpal 2015-2022 Cons'!$A$5:$A$1012,$W$2,'PIB Mpal 2015-2022 Cons'!$E$5:$E$1012,$A92)</f>
        <v>7.6540348559786606</v>
      </c>
      <c r="Q92" s="217">
        <f>SUMIFS('PIB Mpal 2015-2022 Cons'!J$5:J$1012,'PIB Mpal 2015-2022 Cons'!$A$5:$A$1012,$W$2,'PIB Mpal 2015-2022 Cons'!$E$5:$E$1012,$A92)</f>
        <v>2.8973141719562014</v>
      </c>
      <c r="R92" s="99">
        <f>SUMIFS('PIB Mpal 2015-2022 Cons'!M$5:M$1012,'PIB Mpal 2015-2022 Cons'!$A$5:$A$1012,$W$2,'PIB Mpal 2015-2022 Cons'!$E$5:$E$1012,$A92)</f>
        <v>19.682692419726365</v>
      </c>
      <c r="S92" s="53">
        <f>SUMIFS('PIB Mpal 2015-2022 Cons'!V$5:V$1012,'PIB Mpal 2015-2022 Cons'!$A$5:$A$1012,$W$2,'PIB Mpal 2015-2022 Cons'!$E$5:$E$1012,$A92)</f>
        <v>205.09868119040968</v>
      </c>
      <c r="T92" s="153">
        <f>SUMIFS('PIB Mpal 2015-2022 Cons'!W$5:W$1012,'PIB Mpal 2015-2022 Cons'!$A$5:$A$1012,$W$2,'PIB Mpal 2015-2022 Cons'!$E$5:$E$1012,$A92)</f>
        <v>227.67868778209223</v>
      </c>
      <c r="U92" s="51">
        <f>SUMIFS('PIB Mpal 2015-2022 Cons'!X$5:X$1012,'PIB Mpal 2015-2022 Cons'!$A$5:$A$1012,$W$2,'PIB Mpal 2015-2022 Cons'!$E$5:$E$1012,$A92)</f>
        <v>22.882146363713826</v>
      </c>
      <c r="V92" s="53">
        <f>SUMIFS('PIB Mpal 2015-2022 Cons'!Y$5:Y$1012,'PIB Mpal 2015-2022 Cons'!$A$5:$A$1012,$W$2,'PIB Mpal 2015-2022 Cons'!$E$5:$E$1012,$A92)</f>
        <v>250.56083414580604</v>
      </c>
      <c r="W92" s="92">
        <f t="shared" si="18"/>
        <v>2.1703677599388652E-3</v>
      </c>
      <c r="X92" s="268">
        <f>INDEX(POBLACION!$C$4:$W$128,MATCH(A92,POBLACION!$A$4:$A$128,0),MATCH($W$2,POBLACION!$C$3:$W$3,0))</f>
        <v>7926</v>
      </c>
      <c r="Y92" s="258">
        <f t="shared" si="19"/>
        <v>28725.547285149158</v>
      </c>
      <c r="Z92" s="270">
        <f t="shared" si="20"/>
        <v>31612.520078956095</v>
      </c>
      <c r="AA92" s="273">
        <f t="shared" si="21"/>
        <v>4.4582683117086637</v>
      </c>
      <c r="AB92" s="273">
        <f t="shared" si="21"/>
        <v>4.499859118198315</v>
      </c>
    </row>
    <row r="93" spans="1:28" x14ac:dyDescent="0.2">
      <c r="A93" s="35" t="s">
        <v>291</v>
      </c>
      <c r="B93" s="32" t="s">
        <v>264</v>
      </c>
      <c r="C93" s="33" t="s">
        <v>283</v>
      </c>
      <c r="D93" s="32" t="s">
        <v>292</v>
      </c>
      <c r="E93" s="51">
        <f>SUMIFS('PIB Mpal 2015-2022 Cons'!H$5:H$1012,'PIB Mpal 2015-2022 Cons'!$A$5:$A$1012,$W$2,'PIB Mpal 2015-2022 Cons'!$E$5:$E$1012,$A93)</f>
        <v>24.596727377265104</v>
      </c>
      <c r="F93" s="51">
        <f>SUMIFS('PIB Mpal 2015-2022 Cons'!I$5:I$1012,'PIB Mpal 2015-2022 Cons'!$A$5:$A$1012,$W$2,'PIB Mpal 2015-2022 Cons'!$E$5:$E$1012,$A93)</f>
        <v>0</v>
      </c>
      <c r="G93" s="51">
        <f>SUMIFS('PIB Mpal 2015-2022 Cons'!K$5:K$1012,'PIB Mpal 2015-2022 Cons'!$A$5:$A$1012,$W$2,'PIB Mpal 2015-2022 Cons'!$E$5:$E$1012,$A93)</f>
        <v>67.695438399555115</v>
      </c>
      <c r="H93" s="51">
        <f>SUMIFS('PIB Mpal 2015-2022 Cons'!L$5:L$1012,'PIB Mpal 2015-2022 Cons'!$A$5:$A$1012,$W$2,'PIB Mpal 2015-2022 Cons'!$E$5:$E$1012,$A93)</f>
        <v>34.197433848233651</v>
      </c>
      <c r="I93" s="51">
        <f>SUMIFS('PIB Mpal 2015-2022 Cons'!N$5:N$1012,'PIB Mpal 2015-2022 Cons'!$A$5:$A$1012,$W$2,'PIB Mpal 2015-2022 Cons'!$E$5:$E$1012,$A93)</f>
        <v>30.56605194837439</v>
      </c>
      <c r="J93" s="51">
        <f>SUMIFS('PIB Mpal 2015-2022 Cons'!O$5:O$1012,'PIB Mpal 2015-2022 Cons'!$A$5:$A$1012,$W$2,'PIB Mpal 2015-2022 Cons'!$E$5:$E$1012,$A93)</f>
        <v>131.43127627233156</v>
      </c>
      <c r="K93" s="51">
        <f>SUMIFS('PIB Mpal 2015-2022 Cons'!P$5:P$1012,'PIB Mpal 2015-2022 Cons'!$A$5:$A$1012,$W$2,'PIB Mpal 2015-2022 Cons'!$E$5:$E$1012,$A93)</f>
        <v>30.691433998503065</v>
      </c>
      <c r="L93" s="51">
        <f>SUMIFS('PIB Mpal 2015-2022 Cons'!Q$5:Q$1012,'PIB Mpal 2015-2022 Cons'!$A$5:$A$1012,$W$2,'PIB Mpal 2015-2022 Cons'!$E$5:$E$1012,$A93)</f>
        <v>30.488423720384855</v>
      </c>
      <c r="M93" s="51">
        <f>SUMIFS('PIB Mpal 2015-2022 Cons'!R$5:R$1012,'PIB Mpal 2015-2022 Cons'!$A$5:$A$1012,$W$2,'PIB Mpal 2015-2022 Cons'!$E$5:$E$1012,$A93)</f>
        <v>99.898664044666788</v>
      </c>
      <c r="N93" s="51">
        <f>SUMIFS('PIB Mpal 2015-2022 Cons'!S$5:S$1012,'PIB Mpal 2015-2022 Cons'!$A$5:$A$1012,$W$2,'PIB Mpal 2015-2022 Cons'!$E$5:$E$1012,$A93)</f>
        <v>52.978125717513961</v>
      </c>
      <c r="O93" s="51">
        <f>SUMIFS('PIB Mpal 2015-2022 Cons'!T$5:T$1012,'PIB Mpal 2015-2022 Cons'!$A$5:$A$1012,$W$2,'PIB Mpal 2015-2022 Cons'!$E$5:$E$1012,$A93)</f>
        <v>52.859801581024122</v>
      </c>
      <c r="P93" s="150">
        <f>SUMIFS('PIB Mpal 2015-2022 Cons'!U$5:U$1012,'PIB Mpal 2015-2022 Cons'!$A$5:$A$1012,$W$2,'PIB Mpal 2015-2022 Cons'!$E$5:$E$1012,$A93)</f>
        <v>17.651961597156845</v>
      </c>
      <c r="Q93" s="217">
        <f>SUMIFS('PIB Mpal 2015-2022 Cons'!J$5:J$1012,'PIB Mpal 2015-2022 Cons'!$A$5:$A$1012,$W$2,'PIB Mpal 2015-2022 Cons'!$E$5:$E$1012,$A93)</f>
        <v>24.596727377265104</v>
      </c>
      <c r="R93" s="99">
        <f>SUMIFS('PIB Mpal 2015-2022 Cons'!M$5:M$1012,'PIB Mpal 2015-2022 Cons'!$A$5:$A$1012,$W$2,'PIB Mpal 2015-2022 Cons'!$E$5:$E$1012,$A93)</f>
        <v>101.89287224778877</v>
      </c>
      <c r="S93" s="53">
        <f>SUMIFS('PIB Mpal 2015-2022 Cons'!V$5:V$1012,'PIB Mpal 2015-2022 Cons'!$A$5:$A$1012,$W$2,'PIB Mpal 2015-2022 Cons'!$E$5:$E$1012,$A93)</f>
        <v>446.56573887995563</v>
      </c>
      <c r="T93" s="153">
        <f>SUMIFS('PIB Mpal 2015-2022 Cons'!W$5:W$1012,'PIB Mpal 2015-2022 Cons'!$A$5:$A$1012,$W$2,'PIB Mpal 2015-2022 Cons'!$E$5:$E$1012,$A93)</f>
        <v>573.05533850500956</v>
      </c>
      <c r="U93" s="51">
        <f>SUMIFS('PIB Mpal 2015-2022 Cons'!X$5:X$1012,'PIB Mpal 2015-2022 Cons'!$A$5:$A$1012,$W$2,'PIB Mpal 2015-2022 Cons'!$E$5:$E$1012,$A93)</f>
        <v>57.593164550174386</v>
      </c>
      <c r="V93" s="53">
        <f>SUMIFS('PIB Mpal 2015-2022 Cons'!Y$5:Y$1012,'PIB Mpal 2015-2022 Cons'!$A$5:$A$1012,$W$2,'PIB Mpal 2015-2022 Cons'!$E$5:$E$1012,$A93)</f>
        <v>630.64850305518394</v>
      </c>
      <c r="W93" s="92">
        <f t="shared" si="18"/>
        <v>5.4627020362176129E-3</v>
      </c>
      <c r="X93" s="268">
        <f>INDEX(POBLACION!$C$4:$W$128,MATCH(A93,POBLACION!$A$4:$A$128,0),MATCH($W$2,POBLACION!$C$3:$W$3,0))</f>
        <v>61050</v>
      </c>
      <c r="Y93" s="258">
        <f t="shared" si="19"/>
        <v>9386.6558313678888</v>
      </c>
      <c r="Z93" s="270">
        <f t="shared" si="20"/>
        <v>10330.032810076722</v>
      </c>
      <c r="AA93" s="273">
        <f t="shared" si="21"/>
        <v>3.9725108944315357</v>
      </c>
      <c r="AB93" s="273">
        <f t="shared" si="21"/>
        <v>4.0141017009206506</v>
      </c>
    </row>
    <row r="94" spans="1:28" ht="30" x14ac:dyDescent="0.2">
      <c r="A94" s="35" t="s">
        <v>293</v>
      </c>
      <c r="B94" s="32" t="s">
        <v>264</v>
      </c>
      <c r="C94" s="33" t="s">
        <v>294</v>
      </c>
      <c r="D94" s="32" t="s">
        <v>295</v>
      </c>
      <c r="E94" s="51">
        <f>SUMIFS('PIB Mpal 2015-2022 Cons'!H$5:H$1012,'PIB Mpal 2015-2022 Cons'!$A$5:$A$1012,$W$2,'PIB Mpal 2015-2022 Cons'!$E$5:$E$1012,$A94)</f>
        <v>25.077071555961236</v>
      </c>
      <c r="F94" s="51">
        <f>SUMIFS('PIB Mpal 2015-2022 Cons'!I$5:I$1012,'PIB Mpal 2015-2022 Cons'!$A$5:$A$1012,$W$2,'PIB Mpal 2015-2022 Cons'!$E$5:$E$1012,$A94)</f>
        <v>0.37520723249492954</v>
      </c>
      <c r="G94" s="51">
        <f>SUMIFS('PIB Mpal 2015-2022 Cons'!K$5:K$1012,'PIB Mpal 2015-2022 Cons'!$A$5:$A$1012,$W$2,'PIB Mpal 2015-2022 Cons'!$E$5:$E$1012,$A94)</f>
        <v>20.837692093162417</v>
      </c>
      <c r="H94" s="51">
        <f>SUMIFS('PIB Mpal 2015-2022 Cons'!L$5:L$1012,'PIB Mpal 2015-2022 Cons'!$A$5:$A$1012,$W$2,'PIB Mpal 2015-2022 Cons'!$E$5:$E$1012,$A94)</f>
        <v>5.5218374230776917</v>
      </c>
      <c r="I94" s="51">
        <f>SUMIFS('PIB Mpal 2015-2022 Cons'!N$5:N$1012,'PIB Mpal 2015-2022 Cons'!$A$5:$A$1012,$W$2,'PIB Mpal 2015-2022 Cons'!$E$5:$E$1012,$A94)</f>
        <v>8.4532264092045519</v>
      </c>
      <c r="J94" s="51">
        <f>SUMIFS('PIB Mpal 2015-2022 Cons'!O$5:O$1012,'PIB Mpal 2015-2022 Cons'!$A$5:$A$1012,$W$2,'PIB Mpal 2015-2022 Cons'!$E$5:$E$1012,$A94)</f>
        <v>47.966883832044694</v>
      </c>
      <c r="K94" s="51">
        <f>SUMIFS('PIB Mpal 2015-2022 Cons'!P$5:P$1012,'PIB Mpal 2015-2022 Cons'!$A$5:$A$1012,$W$2,'PIB Mpal 2015-2022 Cons'!$E$5:$E$1012,$A94)</f>
        <v>8.5385943678047287</v>
      </c>
      <c r="L94" s="51">
        <f>SUMIFS('PIB Mpal 2015-2022 Cons'!Q$5:Q$1012,'PIB Mpal 2015-2022 Cons'!$A$5:$A$1012,$W$2,'PIB Mpal 2015-2022 Cons'!$E$5:$E$1012,$A94)</f>
        <v>7.4868030763557885</v>
      </c>
      <c r="M94" s="51">
        <f>SUMIFS('PIB Mpal 2015-2022 Cons'!R$5:R$1012,'PIB Mpal 2015-2022 Cons'!$A$5:$A$1012,$W$2,'PIB Mpal 2015-2022 Cons'!$E$5:$E$1012,$A94)</f>
        <v>23.052550773488662</v>
      </c>
      <c r="N94" s="51">
        <f>SUMIFS('PIB Mpal 2015-2022 Cons'!S$5:S$1012,'PIB Mpal 2015-2022 Cons'!$A$5:$A$1012,$W$2,'PIB Mpal 2015-2022 Cons'!$E$5:$E$1012,$A94)</f>
        <v>19.942329814023438</v>
      </c>
      <c r="O94" s="51">
        <f>SUMIFS('PIB Mpal 2015-2022 Cons'!T$5:T$1012,'PIB Mpal 2015-2022 Cons'!$A$5:$A$1012,$W$2,'PIB Mpal 2015-2022 Cons'!$E$5:$E$1012,$A94)</f>
        <v>24.099038115317502</v>
      </c>
      <c r="P94" s="150">
        <f>SUMIFS('PIB Mpal 2015-2022 Cons'!U$5:U$1012,'PIB Mpal 2015-2022 Cons'!$A$5:$A$1012,$W$2,'PIB Mpal 2015-2022 Cons'!$E$5:$E$1012,$A94)</f>
        <v>7.2045824933762113</v>
      </c>
      <c r="Q94" s="217">
        <f>SUMIFS('PIB Mpal 2015-2022 Cons'!J$5:J$1012,'PIB Mpal 2015-2022 Cons'!$A$5:$A$1012,$W$2,'PIB Mpal 2015-2022 Cons'!$E$5:$E$1012,$A94)</f>
        <v>25.452278788456166</v>
      </c>
      <c r="R94" s="99">
        <f>SUMIFS('PIB Mpal 2015-2022 Cons'!M$5:M$1012,'PIB Mpal 2015-2022 Cons'!$A$5:$A$1012,$W$2,'PIB Mpal 2015-2022 Cons'!$E$5:$E$1012,$A94)</f>
        <v>26.359529516240109</v>
      </c>
      <c r="S94" s="53">
        <f>SUMIFS('PIB Mpal 2015-2022 Cons'!V$5:V$1012,'PIB Mpal 2015-2022 Cons'!$A$5:$A$1012,$W$2,'PIB Mpal 2015-2022 Cons'!$E$5:$E$1012,$A94)</f>
        <v>146.7440088816156</v>
      </c>
      <c r="T94" s="153">
        <f>SUMIFS('PIB Mpal 2015-2022 Cons'!W$5:W$1012,'PIB Mpal 2015-2022 Cons'!$A$5:$A$1012,$W$2,'PIB Mpal 2015-2022 Cons'!$E$5:$E$1012,$A94)</f>
        <v>198.55581718631188</v>
      </c>
      <c r="U94" s="51">
        <f>SUMIFS('PIB Mpal 2015-2022 Cons'!X$5:X$1012,'PIB Mpal 2015-2022 Cons'!$A$5:$A$1012,$W$2,'PIB Mpal 2015-2022 Cons'!$E$5:$E$1012,$A94)</f>
        <v>19.95524181205138</v>
      </c>
      <c r="V94" s="53">
        <f>SUMIFS('PIB Mpal 2015-2022 Cons'!Y$5:Y$1012,'PIB Mpal 2015-2022 Cons'!$A$5:$A$1012,$W$2,'PIB Mpal 2015-2022 Cons'!$E$5:$E$1012,$A94)</f>
        <v>218.51105899836327</v>
      </c>
      <c r="W94" s="92">
        <f t="shared" si="18"/>
        <v>1.8927513522092297E-3</v>
      </c>
      <c r="X94" s="268">
        <f>INDEX(POBLACION!$C$4:$W$128,MATCH(A94,POBLACION!$A$4:$A$128,0),MATCH($W$2,POBLACION!$C$3:$W$3,0))</f>
        <v>20572</v>
      </c>
      <c r="Y94" s="258">
        <f t="shared" si="19"/>
        <v>9651.7507868127486</v>
      </c>
      <c r="Z94" s="270">
        <f t="shared" si="20"/>
        <v>10621.770318800469</v>
      </c>
      <c r="AA94" s="273">
        <f t="shared" si="21"/>
        <v>3.9846060996738255</v>
      </c>
      <c r="AB94" s="273">
        <f t="shared" si="21"/>
        <v>4.0261969061627632</v>
      </c>
    </row>
    <row r="95" spans="1:28" x14ac:dyDescent="0.2">
      <c r="A95" s="35" t="s">
        <v>296</v>
      </c>
      <c r="B95" s="32" t="s">
        <v>264</v>
      </c>
      <c r="C95" s="33" t="s">
        <v>267</v>
      </c>
      <c r="D95" s="32" t="s">
        <v>297</v>
      </c>
      <c r="E95" s="51">
        <f>SUMIFS('PIB Mpal 2015-2022 Cons'!H$5:H$1012,'PIB Mpal 2015-2022 Cons'!$A$5:$A$1012,$W$2,'PIB Mpal 2015-2022 Cons'!$E$5:$E$1012,$A95)</f>
        <v>106.92796881991906</v>
      </c>
      <c r="F95" s="51">
        <f>SUMIFS('PIB Mpal 2015-2022 Cons'!I$5:I$1012,'PIB Mpal 2015-2022 Cons'!$A$5:$A$1012,$W$2,'PIB Mpal 2015-2022 Cons'!$E$5:$E$1012,$A95)</f>
        <v>0</v>
      </c>
      <c r="G95" s="51">
        <f>SUMIFS('PIB Mpal 2015-2022 Cons'!K$5:K$1012,'PIB Mpal 2015-2022 Cons'!$A$5:$A$1012,$W$2,'PIB Mpal 2015-2022 Cons'!$E$5:$E$1012,$A95)</f>
        <v>178.91417425540297</v>
      </c>
      <c r="H95" s="51">
        <f>SUMIFS('PIB Mpal 2015-2022 Cons'!L$5:L$1012,'PIB Mpal 2015-2022 Cons'!$A$5:$A$1012,$W$2,'PIB Mpal 2015-2022 Cons'!$E$5:$E$1012,$A95)</f>
        <v>51.629724420834066</v>
      </c>
      <c r="I95" s="51">
        <f>SUMIFS('PIB Mpal 2015-2022 Cons'!N$5:N$1012,'PIB Mpal 2015-2022 Cons'!$A$5:$A$1012,$W$2,'PIB Mpal 2015-2022 Cons'!$E$5:$E$1012,$A95)</f>
        <v>27.431580847724177</v>
      </c>
      <c r="J95" s="51">
        <f>SUMIFS('PIB Mpal 2015-2022 Cons'!O$5:O$1012,'PIB Mpal 2015-2022 Cons'!$A$5:$A$1012,$W$2,'PIB Mpal 2015-2022 Cons'!$E$5:$E$1012,$A95)</f>
        <v>128.58549874785186</v>
      </c>
      <c r="K95" s="51">
        <f>SUMIFS('PIB Mpal 2015-2022 Cons'!P$5:P$1012,'PIB Mpal 2015-2022 Cons'!$A$5:$A$1012,$W$2,'PIB Mpal 2015-2022 Cons'!$E$5:$E$1012,$A95)</f>
        <v>24.791070140903919</v>
      </c>
      <c r="L95" s="51">
        <f>SUMIFS('PIB Mpal 2015-2022 Cons'!Q$5:Q$1012,'PIB Mpal 2015-2022 Cons'!$A$5:$A$1012,$W$2,'PIB Mpal 2015-2022 Cons'!$E$5:$E$1012,$A95)</f>
        <v>25.219213244157601</v>
      </c>
      <c r="M95" s="51">
        <f>SUMIFS('PIB Mpal 2015-2022 Cons'!R$5:R$1012,'PIB Mpal 2015-2022 Cons'!$A$5:$A$1012,$W$2,'PIB Mpal 2015-2022 Cons'!$E$5:$E$1012,$A95)</f>
        <v>83.382281901317739</v>
      </c>
      <c r="N95" s="51">
        <f>SUMIFS('PIB Mpal 2015-2022 Cons'!S$5:S$1012,'PIB Mpal 2015-2022 Cons'!$A$5:$A$1012,$W$2,'PIB Mpal 2015-2022 Cons'!$E$5:$E$1012,$A95)</f>
        <v>64.275636434880369</v>
      </c>
      <c r="O95" s="51">
        <f>SUMIFS('PIB Mpal 2015-2022 Cons'!T$5:T$1012,'PIB Mpal 2015-2022 Cons'!$A$5:$A$1012,$W$2,'PIB Mpal 2015-2022 Cons'!$E$5:$E$1012,$A95)</f>
        <v>51.504146518219969</v>
      </c>
      <c r="P95" s="150">
        <f>SUMIFS('PIB Mpal 2015-2022 Cons'!U$5:U$1012,'PIB Mpal 2015-2022 Cons'!$A$5:$A$1012,$W$2,'PIB Mpal 2015-2022 Cons'!$E$5:$E$1012,$A95)</f>
        <v>16.858963480549196</v>
      </c>
      <c r="Q95" s="217">
        <f>SUMIFS('PIB Mpal 2015-2022 Cons'!J$5:J$1012,'PIB Mpal 2015-2022 Cons'!$A$5:$A$1012,$W$2,'PIB Mpal 2015-2022 Cons'!$E$5:$E$1012,$A95)</f>
        <v>106.92796881991906</v>
      </c>
      <c r="R95" s="99">
        <f>SUMIFS('PIB Mpal 2015-2022 Cons'!M$5:M$1012,'PIB Mpal 2015-2022 Cons'!$A$5:$A$1012,$W$2,'PIB Mpal 2015-2022 Cons'!$E$5:$E$1012,$A95)</f>
        <v>230.54389867623703</v>
      </c>
      <c r="S95" s="53">
        <f>SUMIFS('PIB Mpal 2015-2022 Cons'!V$5:V$1012,'PIB Mpal 2015-2022 Cons'!$A$5:$A$1012,$W$2,'PIB Mpal 2015-2022 Cons'!$E$5:$E$1012,$A95)</f>
        <v>422.04839131560482</v>
      </c>
      <c r="T95" s="153">
        <f>SUMIFS('PIB Mpal 2015-2022 Cons'!W$5:W$1012,'PIB Mpal 2015-2022 Cons'!$A$5:$A$1012,$W$2,'PIB Mpal 2015-2022 Cons'!$E$5:$E$1012,$A95)</f>
        <v>759.52025881176098</v>
      </c>
      <c r="U95" s="51">
        <f>SUMIFS('PIB Mpal 2015-2022 Cons'!X$5:X$1012,'PIB Mpal 2015-2022 Cons'!$A$5:$A$1012,$W$2,'PIB Mpal 2015-2022 Cons'!$E$5:$E$1012,$A95)</f>
        <v>76.333247951176517</v>
      </c>
      <c r="V95" s="53">
        <f>SUMIFS('PIB Mpal 2015-2022 Cons'!Y$5:Y$1012,'PIB Mpal 2015-2022 Cons'!$A$5:$A$1012,$W$2,'PIB Mpal 2015-2022 Cons'!$E$5:$E$1012,$A95)</f>
        <v>835.85350676293751</v>
      </c>
      <c r="W95" s="92">
        <f t="shared" si="18"/>
        <v>7.2401958162960842E-3</v>
      </c>
      <c r="X95" s="268">
        <f>INDEX(POBLACION!$C$4:$W$128,MATCH(A95,POBLACION!$A$4:$A$128,0),MATCH($W$2,POBLACION!$C$3:$W$3,0))</f>
        <v>61201</v>
      </c>
      <c r="Y95" s="258">
        <f t="shared" si="19"/>
        <v>12410.258963281007</v>
      </c>
      <c r="Z95" s="270">
        <f t="shared" si="20"/>
        <v>13657.513876618641</v>
      </c>
      <c r="AA95" s="273">
        <f t="shared" si="21"/>
        <v>4.0937808439604977</v>
      </c>
      <c r="AB95" s="273">
        <f t="shared" si="21"/>
        <v>4.1353716504486258</v>
      </c>
    </row>
    <row r="96" spans="1:28" x14ac:dyDescent="0.2">
      <c r="A96" s="35" t="s">
        <v>298</v>
      </c>
      <c r="B96" s="32" t="s">
        <v>264</v>
      </c>
      <c r="C96" s="33" t="s">
        <v>270</v>
      </c>
      <c r="D96" s="32" t="s">
        <v>299</v>
      </c>
      <c r="E96" s="51">
        <f>SUMIFS('PIB Mpal 2015-2022 Cons'!H$5:H$1012,'PIB Mpal 2015-2022 Cons'!$A$5:$A$1012,$W$2,'PIB Mpal 2015-2022 Cons'!$E$5:$E$1012,$A96)</f>
        <v>15.15755190376286</v>
      </c>
      <c r="F96" s="51">
        <f>SUMIFS('PIB Mpal 2015-2022 Cons'!I$5:I$1012,'PIB Mpal 2015-2022 Cons'!$A$5:$A$1012,$W$2,'PIB Mpal 2015-2022 Cons'!$E$5:$E$1012,$A96)</f>
        <v>0</v>
      </c>
      <c r="G96" s="51">
        <f>SUMIFS('PIB Mpal 2015-2022 Cons'!K$5:K$1012,'PIB Mpal 2015-2022 Cons'!$A$5:$A$1012,$W$2,'PIB Mpal 2015-2022 Cons'!$E$5:$E$1012,$A96)</f>
        <v>1.2630741314244973</v>
      </c>
      <c r="H96" s="51">
        <f>SUMIFS('PIB Mpal 2015-2022 Cons'!L$5:L$1012,'PIB Mpal 2015-2022 Cons'!$A$5:$A$1012,$W$2,'PIB Mpal 2015-2022 Cons'!$E$5:$E$1012,$A96)</f>
        <v>13.856643689664654</v>
      </c>
      <c r="I96" s="51">
        <f>SUMIFS('PIB Mpal 2015-2022 Cons'!N$5:N$1012,'PIB Mpal 2015-2022 Cons'!$A$5:$A$1012,$W$2,'PIB Mpal 2015-2022 Cons'!$E$5:$E$1012,$A96)</f>
        <v>3.6298232850628533</v>
      </c>
      <c r="J96" s="51">
        <f>SUMIFS('PIB Mpal 2015-2022 Cons'!O$5:O$1012,'PIB Mpal 2015-2022 Cons'!$A$5:$A$1012,$W$2,'PIB Mpal 2015-2022 Cons'!$E$5:$E$1012,$A96)</f>
        <v>11.479456938688529</v>
      </c>
      <c r="K96" s="51">
        <f>SUMIFS('PIB Mpal 2015-2022 Cons'!P$5:P$1012,'PIB Mpal 2015-2022 Cons'!$A$5:$A$1012,$W$2,'PIB Mpal 2015-2022 Cons'!$E$5:$E$1012,$A96)</f>
        <v>2.0718962851539304</v>
      </c>
      <c r="L96" s="51">
        <f>SUMIFS('PIB Mpal 2015-2022 Cons'!Q$5:Q$1012,'PIB Mpal 2015-2022 Cons'!$A$5:$A$1012,$W$2,'PIB Mpal 2015-2022 Cons'!$E$5:$E$1012,$A96)</f>
        <v>1.818829019135944</v>
      </c>
      <c r="M96" s="51">
        <f>SUMIFS('PIB Mpal 2015-2022 Cons'!R$5:R$1012,'PIB Mpal 2015-2022 Cons'!$A$5:$A$1012,$W$2,'PIB Mpal 2015-2022 Cons'!$E$5:$E$1012,$A96)</f>
        <v>8.2369896779454095</v>
      </c>
      <c r="N96" s="51">
        <f>SUMIFS('PIB Mpal 2015-2022 Cons'!S$5:S$1012,'PIB Mpal 2015-2022 Cons'!$A$5:$A$1012,$W$2,'PIB Mpal 2015-2022 Cons'!$E$5:$E$1012,$A96)</f>
        <v>15.213351269078437</v>
      </c>
      <c r="O96" s="51">
        <f>SUMIFS('PIB Mpal 2015-2022 Cons'!T$5:T$1012,'PIB Mpal 2015-2022 Cons'!$A$5:$A$1012,$W$2,'PIB Mpal 2015-2022 Cons'!$E$5:$E$1012,$A96)</f>
        <v>15.106507624484525</v>
      </c>
      <c r="P96" s="150">
        <f>SUMIFS('PIB Mpal 2015-2022 Cons'!U$5:U$1012,'PIB Mpal 2015-2022 Cons'!$A$5:$A$1012,$W$2,'PIB Mpal 2015-2022 Cons'!$E$5:$E$1012,$A96)</f>
        <v>1.7533758732478859</v>
      </c>
      <c r="Q96" s="217">
        <f>SUMIFS('PIB Mpal 2015-2022 Cons'!J$5:J$1012,'PIB Mpal 2015-2022 Cons'!$A$5:$A$1012,$W$2,'PIB Mpal 2015-2022 Cons'!$E$5:$E$1012,$A96)</f>
        <v>15.15755190376286</v>
      </c>
      <c r="R96" s="99">
        <f>SUMIFS('PIB Mpal 2015-2022 Cons'!M$5:M$1012,'PIB Mpal 2015-2022 Cons'!$A$5:$A$1012,$W$2,'PIB Mpal 2015-2022 Cons'!$E$5:$E$1012,$A96)</f>
        <v>15.119717821089152</v>
      </c>
      <c r="S96" s="53">
        <f>SUMIFS('PIB Mpal 2015-2022 Cons'!V$5:V$1012,'PIB Mpal 2015-2022 Cons'!$A$5:$A$1012,$W$2,'PIB Mpal 2015-2022 Cons'!$E$5:$E$1012,$A96)</f>
        <v>59.310229972797508</v>
      </c>
      <c r="T96" s="153">
        <f>SUMIFS('PIB Mpal 2015-2022 Cons'!W$5:W$1012,'PIB Mpal 2015-2022 Cons'!$A$5:$A$1012,$W$2,'PIB Mpal 2015-2022 Cons'!$E$5:$E$1012,$A96)</f>
        <v>89.58749969764952</v>
      </c>
      <c r="U96" s="51">
        <f>SUMIFS('PIB Mpal 2015-2022 Cons'!X$5:X$1012,'PIB Mpal 2015-2022 Cons'!$A$5:$A$1012,$W$2,'PIB Mpal 2015-2022 Cons'!$E$5:$E$1012,$A96)</f>
        <v>9.003716159627059</v>
      </c>
      <c r="V96" s="53">
        <f>SUMIFS('PIB Mpal 2015-2022 Cons'!Y$5:Y$1012,'PIB Mpal 2015-2022 Cons'!$A$5:$A$1012,$W$2,'PIB Mpal 2015-2022 Cons'!$E$5:$E$1012,$A96)</f>
        <v>98.59121585727658</v>
      </c>
      <c r="W96" s="92">
        <f t="shared" si="18"/>
        <v>8.540009736130109E-4</v>
      </c>
      <c r="X96" s="268">
        <f>INDEX(POBLACION!$C$4:$W$128,MATCH(A96,POBLACION!$A$4:$A$128,0),MATCH($W$2,POBLACION!$C$3:$W$3,0))</f>
        <v>10650</v>
      </c>
      <c r="Y96" s="258">
        <f t="shared" si="19"/>
        <v>8411.9718025961993</v>
      </c>
      <c r="Z96" s="270">
        <f t="shared" si="20"/>
        <v>9257.3911603076594</v>
      </c>
      <c r="AA96" s="273">
        <f t="shared" si="21"/>
        <v>3.924897808237132</v>
      </c>
      <c r="AB96" s="273">
        <f t="shared" si="21"/>
        <v>3.9664886147257294</v>
      </c>
    </row>
    <row r="97" spans="1:28" x14ac:dyDescent="0.2">
      <c r="A97" s="35" t="s">
        <v>300</v>
      </c>
      <c r="B97" s="32" t="s">
        <v>264</v>
      </c>
      <c r="C97" s="33" t="s">
        <v>283</v>
      </c>
      <c r="D97" s="32" t="s">
        <v>301</v>
      </c>
      <c r="E97" s="51">
        <f>SUMIFS('PIB Mpal 2015-2022 Cons'!H$5:H$1012,'PIB Mpal 2015-2022 Cons'!$A$5:$A$1012,$W$2,'PIB Mpal 2015-2022 Cons'!$E$5:$E$1012,$A97)</f>
        <v>40.548382028335041</v>
      </c>
      <c r="F97" s="51">
        <f>SUMIFS('PIB Mpal 2015-2022 Cons'!I$5:I$1012,'PIB Mpal 2015-2022 Cons'!$A$5:$A$1012,$W$2,'PIB Mpal 2015-2022 Cons'!$E$5:$E$1012,$A97)</f>
        <v>0.88677226903599404</v>
      </c>
      <c r="G97" s="51">
        <f>SUMIFS('PIB Mpal 2015-2022 Cons'!K$5:K$1012,'PIB Mpal 2015-2022 Cons'!$A$5:$A$1012,$W$2,'PIB Mpal 2015-2022 Cons'!$E$5:$E$1012,$A97)</f>
        <v>1218.8666658810648</v>
      </c>
      <c r="H97" s="51">
        <f>SUMIFS('PIB Mpal 2015-2022 Cons'!L$5:L$1012,'PIB Mpal 2015-2022 Cons'!$A$5:$A$1012,$W$2,'PIB Mpal 2015-2022 Cons'!$E$5:$E$1012,$A97)</f>
        <v>190.26502523944941</v>
      </c>
      <c r="I97" s="51">
        <f>SUMIFS('PIB Mpal 2015-2022 Cons'!N$5:N$1012,'PIB Mpal 2015-2022 Cons'!$A$5:$A$1012,$W$2,'PIB Mpal 2015-2022 Cons'!$E$5:$E$1012,$A97)</f>
        <v>102.3238499373507</v>
      </c>
      <c r="J97" s="51">
        <f>SUMIFS('PIB Mpal 2015-2022 Cons'!O$5:O$1012,'PIB Mpal 2015-2022 Cons'!$A$5:$A$1012,$W$2,'PIB Mpal 2015-2022 Cons'!$E$5:$E$1012,$A97)</f>
        <v>492.47298287436047</v>
      </c>
      <c r="K97" s="51">
        <f>SUMIFS('PIB Mpal 2015-2022 Cons'!P$5:P$1012,'PIB Mpal 2015-2022 Cons'!$A$5:$A$1012,$W$2,'PIB Mpal 2015-2022 Cons'!$E$5:$E$1012,$A97)</f>
        <v>63.794954783228249</v>
      </c>
      <c r="L97" s="51">
        <f>SUMIFS('PIB Mpal 2015-2022 Cons'!Q$5:Q$1012,'PIB Mpal 2015-2022 Cons'!$A$5:$A$1012,$W$2,'PIB Mpal 2015-2022 Cons'!$E$5:$E$1012,$A97)</f>
        <v>62.790787770702543</v>
      </c>
      <c r="M97" s="51">
        <f>SUMIFS('PIB Mpal 2015-2022 Cons'!R$5:R$1012,'PIB Mpal 2015-2022 Cons'!$A$5:$A$1012,$W$2,'PIB Mpal 2015-2022 Cons'!$E$5:$E$1012,$A97)</f>
        <v>236.58229015602112</v>
      </c>
      <c r="N97" s="51">
        <f>SUMIFS('PIB Mpal 2015-2022 Cons'!S$5:S$1012,'PIB Mpal 2015-2022 Cons'!$A$5:$A$1012,$W$2,'PIB Mpal 2015-2022 Cons'!$E$5:$E$1012,$A97)</f>
        <v>282.62828144470041</v>
      </c>
      <c r="O97" s="51">
        <f>SUMIFS('PIB Mpal 2015-2022 Cons'!T$5:T$1012,'PIB Mpal 2015-2022 Cons'!$A$5:$A$1012,$W$2,'PIB Mpal 2015-2022 Cons'!$E$5:$E$1012,$A97)</f>
        <v>270.47728386986483</v>
      </c>
      <c r="P97" s="150">
        <f>SUMIFS('PIB Mpal 2015-2022 Cons'!U$5:U$1012,'PIB Mpal 2015-2022 Cons'!$A$5:$A$1012,$W$2,'PIB Mpal 2015-2022 Cons'!$E$5:$E$1012,$A97)</f>
        <v>39.537186396115871</v>
      </c>
      <c r="Q97" s="217">
        <f>SUMIFS('PIB Mpal 2015-2022 Cons'!J$5:J$1012,'PIB Mpal 2015-2022 Cons'!$A$5:$A$1012,$W$2,'PIB Mpal 2015-2022 Cons'!$E$5:$E$1012,$A97)</f>
        <v>41.435154297371035</v>
      </c>
      <c r="R97" s="99">
        <f>SUMIFS('PIB Mpal 2015-2022 Cons'!M$5:M$1012,'PIB Mpal 2015-2022 Cons'!$A$5:$A$1012,$W$2,'PIB Mpal 2015-2022 Cons'!$E$5:$E$1012,$A97)</f>
        <v>1409.1316911205142</v>
      </c>
      <c r="S97" s="53">
        <f>SUMIFS('PIB Mpal 2015-2022 Cons'!V$5:V$1012,'PIB Mpal 2015-2022 Cons'!$A$5:$A$1012,$W$2,'PIB Mpal 2015-2022 Cons'!$E$5:$E$1012,$A97)</f>
        <v>1550.6076172323442</v>
      </c>
      <c r="T97" s="153">
        <f>SUMIFS('PIB Mpal 2015-2022 Cons'!W$5:W$1012,'PIB Mpal 2015-2022 Cons'!$A$5:$A$1012,$W$2,'PIB Mpal 2015-2022 Cons'!$E$5:$E$1012,$A97)</f>
        <v>3001.1744626502295</v>
      </c>
      <c r="U97" s="51">
        <f>SUMIFS('PIB Mpal 2015-2022 Cons'!X$5:X$1012,'PIB Mpal 2015-2022 Cons'!$A$5:$A$1012,$W$2,'PIB Mpal 2015-2022 Cons'!$E$5:$E$1012,$A97)</f>
        <v>301.62381021886836</v>
      </c>
      <c r="V97" s="53">
        <f>SUMIFS('PIB Mpal 2015-2022 Cons'!Y$5:Y$1012,'PIB Mpal 2015-2022 Cons'!$A$5:$A$1012,$W$2,'PIB Mpal 2015-2022 Cons'!$E$5:$E$1012,$A97)</f>
        <v>3302.7982728690977</v>
      </c>
      <c r="W97" s="92">
        <f t="shared" si="18"/>
        <v>2.8608968011518895E-2</v>
      </c>
      <c r="X97" s="268">
        <f>INDEX(POBLACION!$C$4:$W$128,MATCH(A97,POBLACION!$A$4:$A$128,0),MATCH($W$2,POBLACION!$C$3:$W$3,0))</f>
        <v>127391</v>
      </c>
      <c r="Y97" s="258">
        <f t="shared" si="19"/>
        <v>23558.763669727294</v>
      </c>
      <c r="Z97" s="270">
        <f t="shared" si="20"/>
        <v>25926.464764929216</v>
      </c>
      <c r="AA97" s="273">
        <f t="shared" si="21"/>
        <v>4.37215249555888</v>
      </c>
      <c r="AB97" s="273">
        <f t="shared" si="21"/>
        <v>4.4137433020468357</v>
      </c>
    </row>
    <row r="98" spans="1:28" x14ac:dyDescent="0.2">
      <c r="A98" s="35" t="s">
        <v>302</v>
      </c>
      <c r="B98" s="32" t="s">
        <v>264</v>
      </c>
      <c r="C98" s="33" t="s">
        <v>267</v>
      </c>
      <c r="D98" s="32" t="s">
        <v>303</v>
      </c>
      <c r="E98" s="51">
        <f>SUMIFS('PIB Mpal 2015-2022 Cons'!H$5:H$1012,'PIB Mpal 2015-2022 Cons'!$A$5:$A$1012,$W$2,'PIB Mpal 2015-2022 Cons'!$E$5:$E$1012,$A98)</f>
        <v>14.277562736061467</v>
      </c>
      <c r="F98" s="51">
        <f>SUMIFS('PIB Mpal 2015-2022 Cons'!I$5:I$1012,'PIB Mpal 2015-2022 Cons'!$A$5:$A$1012,$W$2,'PIB Mpal 2015-2022 Cons'!$E$5:$E$1012,$A98)</f>
        <v>8.7557248284497753</v>
      </c>
      <c r="G98" s="51">
        <f>SUMIFS('PIB Mpal 2015-2022 Cons'!K$5:K$1012,'PIB Mpal 2015-2022 Cons'!$A$5:$A$1012,$W$2,'PIB Mpal 2015-2022 Cons'!$E$5:$E$1012,$A98)</f>
        <v>38.574379388609614</v>
      </c>
      <c r="H98" s="51">
        <f>SUMIFS('PIB Mpal 2015-2022 Cons'!L$5:L$1012,'PIB Mpal 2015-2022 Cons'!$A$5:$A$1012,$W$2,'PIB Mpal 2015-2022 Cons'!$E$5:$E$1012,$A98)</f>
        <v>9.9096921945340597</v>
      </c>
      <c r="I98" s="51">
        <f>SUMIFS('PIB Mpal 2015-2022 Cons'!N$5:N$1012,'PIB Mpal 2015-2022 Cons'!$A$5:$A$1012,$W$2,'PIB Mpal 2015-2022 Cons'!$E$5:$E$1012,$A98)</f>
        <v>439.08563642312959</v>
      </c>
      <c r="J98" s="51">
        <f>SUMIFS('PIB Mpal 2015-2022 Cons'!O$5:O$1012,'PIB Mpal 2015-2022 Cons'!$A$5:$A$1012,$W$2,'PIB Mpal 2015-2022 Cons'!$E$5:$E$1012,$A98)</f>
        <v>16.177874901111608</v>
      </c>
      <c r="K98" s="51">
        <f>SUMIFS('PIB Mpal 2015-2022 Cons'!P$5:P$1012,'PIB Mpal 2015-2022 Cons'!$A$5:$A$1012,$W$2,'PIB Mpal 2015-2022 Cons'!$E$5:$E$1012,$A98)</f>
        <v>2.5626606011201583</v>
      </c>
      <c r="L98" s="51">
        <f>SUMIFS('PIB Mpal 2015-2022 Cons'!Q$5:Q$1012,'PIB Mpal 2015-2022 Cons'!$A$5:$A$1012,$W$2,'PIB Mpal 2015-2022 Cons'!$E$5:$E$1012,$A98)</f>
        <v>1.9056179334681347</v>
      </c>
      <c r="M98" s="51">
        <f>SUMIFS('PIB Mpal 2015-2022 Cons'!R$5:R$1012,'PIB Mpal 2015-2022 Cons'!$A$5:$A$1012,$W$2,'PIB Mpal 2015-2022 Cons'!$E$5:$E$1012,$A98)</f>
        <v>12.034262670564779</v>
      </c>
      <c r="N98" s="51">
        <f>SUMIFS('PIB Mpal 2015-2022 Cons'!S$5:S$1012,'PIB Mpal 2015-2022 Cons'!$A$5:$A$1012,$W$2,'PIB Mpal 2015-2022 Cons'!$E$5:$E$1012,$A98)</f>
        <v>14.615507164687049</v>
      </c>
      <c r="O98" s="51">
        <f>SUMIFS('PIB Mpal 2015-2022 Cons'!T$5:T$1012,'PIB Mpal 2015-2022 Cons'!$A$5:$A$1012,$W$2,'PIB Mpal 2015-2022 Cons'!$E$5:$E$1012,$A98)</f>
        <v>14.407048212388776</v>
      </c>
      <c r="P98" s="150">
        <f>SUMIFS('PIB Mpal 2015-2022 Cons'!U$5:U$1012,'PIB Mpal 2015-2022 Cons'!$A$5:$A$1012,$W$2,'PIB Mpal 2015-2022 Cons'!$E$5:$E$1012,$A98)</f>
        <v>2.2503816097334957</v>
      </c>
      <c r="Q98" s="217">
        <f>SUMIFS('PIB Mpal 2015-2022 Cons'!J$5:J$1012,'PIB Mpal 2015-2022 Cons'!$A$5:$A$1012,$W$2,'PIB Mpal 2015-2022 Cons'!$E$5:$E$1012,$A98)</f>
        <v>23.033287564511241</v>
      </c>
      <c r="R98" s="99">
        <f>SUMIFS('PIB Mpal 2015-2022 Cons'!M$5:M$1012,'PIB Mpal 2015-2022 Cons'!$A$5:$A$1012,$W$2,'PIB Mpal 2015-2022 Cons'!$E$5:$E$1012,$A98)</f>
        <v>48.484071583143674</v>
      </c>
      <c r="S98" s="53">
        <f>SUMIFS('PIB Mpal 2015-2022 Cons'!V$5:V$1012,'PIB Mpal 2015-2022 Cons'!$A$5:$A$1012,$W$2,'PIB Mpal 2015-2022 Cons'!$E$5:$E$1012,$A98)</f>
        <v>503.03898951620363</v>
      </c>
      <c r="T98" s="153">
        <f>SUMIFS('PIB Mpal 2015-2022 Cons'!W$5:W$1012,'PIB Mpal 2015-2022 Cons'!$A$5:$A$1012,$W$2,'PIB Mpal 2015-2022 Cons'!$E$5:$E$1012,$A98)</f>
        <v>574.55634866385856</v>
      </c>
      <c r="U98" s="51">
        <f>SUMIFS('PIB Mpal 2015-2022 Cons'!X$5:X$1012,'PIB Mpal 2015-2022 Cons'!$A$5:$A$1012,$W$2,'PIB Mpal 2015-2022 Cons'!$E$5:$E$1012,$A98)</f>
        <v>57.744018960936991</v>
      </c>
      <c r="V98" s="53">
        <f>SUMIFS('PIB Mpal 2015-2022 Cons'!Y$5:Y$1012,'PIB Mpal 2015-2022 Cons'!$A$5:$A$1012,$W$2,'PIB Mpal 2015-2022 Cons'!$E$5:$E$1012,$A98)</f>
        <v>632.30036762479551</v>
      </c>
      <c r="W98" s="92">
        <f t="shared" si="18"/>
        <v>5.4770105518237829E-3</v>
      </c>
      <c r="X98" s="268">
        <f>INDEX(POBLACION!$C$4:$W$128,MATCH(A98,POBLACION!$A$4:$A$128,0),MATCH($W$2,POBLACION!$C$3:$W$3,0))</f>
        <v>17016</v>
      </c>
      <c r="Y98" s="258">
        <f t="shared" si="19"/>
        <v>33765.65283638097</v>
      </c>
      <c r="Z98" s="270">
        <f t="shared" si="20"/>
        <v>37159.16593939795</v>
      </c>
      <c r="AA98" s="273">
        <f t="shared" si="21"/>
        <v>4.5284751509315742</v>
      </c>
      <c r="AB98" s="273">
        <f t="shared" si="21"/>
        <v>4.5700659574211135</v>
      </c>
    </row>
    <row r="99" spans="1:28" x14ac:dyDescent="0.2">
      <c r="A99" s="35" t="s">
        <v>304</v>
      </c>
      <c r="B99" s="32" t="s">
        <v>264</v>
      </c>
      <c r="C99" s="33" t="s">
        <v>267</v>
      </c>
      <c r="D99" s="32" t="s">
        <v>305</v>
      </c>
      <c r="E99" s="51">
        <f>SUMIFS('PIB Mpal 2015-2022 Cons'!H$5:H$1012,'PIB Mpal 2015-2022 Cons'!$A$5:$A$1012,$W$2,'PIB Mpal 2015-2022 Cons'!$E$5:$E$1012,$A99)</f>
        <v>5.3568395436684861</v>
      </c>
      <c r="F99" s="51">
        <f>SUMIFS('PIB Mpal 2015-2022 Cons'!I$5:I$1012,'PIB Mpal 2015-2022 Cons'!$A$5:$A$1012,$W$2,'PIB Mpal 2015-2022 Cons'!$E$5:$E$1012,$A99)</f>
        <v>0.73218194113586144</v>
      </c>
      <c r="G99" s="51">
        <f>SUMIFS('PIB Mpal 2015-2022 Cons'!K$5:K$1012,'PIB Mpal 2015-2022 Cons'!$A$5:$A$1012,$W$2,'PIB Mpal 2015-2022 Cons'!$E$5:$E$1012,$A99)</f>
        <v>0.94478593357575902</v>
      </c>
      <c r="H99" s="51">
        <f>SUMIFS('PIB Mpal 2015-2022 Cons'!L$5:L$1012,'PIB Mpal 2015-2022 Cons'!$A$5:$A$1012,$W$2,'PIB Mpal 2015-2022 Cons'!$E$5:$E$1012,$A99)</f>
        <v>2.6015062956954966</v>
      </c>
      <c r="I99" s="51">
        <f>SUMIFS('PIB Mpal 2015-2022 Cons'!N$5:N$1012,'PIB Mpal 2015-2022 Cons'!$A$5:$A$1012,$W$2,'PIB Mpal 2015-2022 Cons'!$E$5:$E$1012,$A99)</f>
        <v>1.1801614378526475</v>
      </c>
      <c r="J99" s="51">
        <f>SUMIFS('PIB Mpal 2015-2022 Cons'!O$5:O$1012,'PIB Mpal 2015-2022 Cons'!$A$5:$A$1012,$W$2,'PIB Mpal 2015-2022 Cons'!$E$5:$E$1012,$A99)</f>
        <v>7.4985671200902493</v>
      </c>
      <c r="K99" s="51">
        <f>SUMIFS('PIB Mpal 2015-2022 Cons'!P$5:P$1012,'PIB Mpal 2015-2022 Cons'!$A$5:$A$1012,$W$2,'PIB Mpal 2015-2022 Cons'!$E$5:$E$1012,$A99)</f>
        <v>1.2911262160884529</v>
      </c>
      <c r="L99" s="51">
        <f>SUMIFS('PIB Mpal 2015-2022 Cons'!Q$5:Q$1012,'PIB Mpal 2015-2022 Cons'!$A$5:$A$1012,$W$2,'PIB Mpal 2015-2022 Cons'!$E$5:$E$1012,$A99)</f>
        <v>0.94752050595671178</v>
      </c>
      <c r="M99" s="51">
        <f>SUMIFS('PIB Mpal 2015-2022 Cons'!R$5:R$1012,'PIB Mpal 2015-2022 Cons'!$A$5:$A$1012,$W$2,'PIB Mpal 2015-2022 Cons'!$E$5:$E$1012,$A99)</f>
        <v>5.0681650931558773</v>
      </c>
      <c r="N99" s="51">
        <f>SUMIFS('PIB Mpal 2015-2022 Cons'!S$5:S$1012,'PIB Mpal 2015-2022 Cons'!$A$5:$A$1012,$W$2,'PIB Mpal 2015-2022 Cons'!$E$5:$E$1012,$A99)</f>
        <v>3.9593592434154199</v>
      </c>
      <c r="O99" s="51">
        <f>SUMIFS('PIB Mpal 2015-2022 Cons'!T$5:T$1012,'PIB Mpal 2015-2022 Cons'!$A$5:$A$1012,$W$2,'PIB Mpal 2015-2022 Cons'!$E$5:$E$1012,$A99)</f>
        <v>8.9488694355091774</v>
      </c>
      <c r="P99" s="150">
        <f>SUMIFS('PIB Mpal 2015-2022 Cons'!U$5:U$1012,'PIB Mpal 2015-2022 Cons'!$A$5:$A$1012,$W$2,'PIB Mpal 2015-2022 Cons'!$E$5:$E$1012,$A99)</f>
        <v>1.037221932098928</v>
      </c>
      <c r="Q99" s="217">
        <f>SUMIFS('PIB Mpal 2015-2022 Cons'!J$5:J$1012,'PIB Mpal 2015-2022 Cons'!$A$5:$A$1012,$W$2,'PIB Mpal 2015-2022 Cons'!$E$5:$E$1012,$A99)</f>
        <v>6.0890214848043476</v>
      </c>
      <c r="R99" s="99">
        <f>SUMIFS('PIB Mpal 2015-2022 Cons'!M$5:M$1012,'PIB Mpal 2015-2022 Cons'!$A$5:$A$1012,$W$2,'PIB Mpal 2015-2022 Cons'!$E$5:$E$1012,$A99)</f>
        <v>3.5462922292712555</v>
      </c>
      <c r="S99" s="53">
        <f>SUMIFS('PIB Mpal 2015-2022 Cons'!V$5:V$1012,'PIB Mpal 2015-2022 Cons'!$A$5:$A$1012,$W$2,'PIB Mpal 2015-2022 Cons'!$E$5:$E$1012,$A99)</f>
        <v>29.930990984167462</v>
      </c>
      <c r="T99" s="153">
        <f>SUMIFS('PIB Mpal 2015-2022 Cons'!W$5:W$1012,'PIB Mpal 2015-2022 Cons'!$A$5:$A$1012,$W$2,'PIB Mpal 2015-2022 Cons'!$E$5:$E$1012,$A99)</f>
        <v>39.566304698243066</v>
      </c>
      <c r="U99" s="51">
        <f>SUMIFS('PIB Mpal 2015-2022 Cons'!X$5:X$1012,'PIB Mpal 2015-2022 Cons'!$A$5:$A$1012,$W$2,'PIB Mpal 2015-2022 Cons'!$E$5:$E$1012,$A99)</f>
        <v>3.9764897803190951</v>
      </c>
      <c r="V99" s="53">
        <f>SUMIFS('PIB Mpal 2015-2022 Cons'!Y$5:Y$1012,'PIB Mpal 2015-2022 Cons'!$A$5:$A$1012,$W$2,'PIB Mpal 2015-2022 Cons'!$E$5:$E$1012,$A99)</f>
        <v>43.542794478562158</v>
      </c>
      <c r="W99" s="92">
        <f t="shared" si="18"/>
        <v>3.7716939136194671E-4</v>
      </c>
      <c r="X99" s="268">
        <f>INDEX(POBLACION!$C$4:$W$128,MATCH(A99,POBLACION!$A$4:$A$128,0),MATCH($W$2,POBLACION!$C$3:$W$3,0))</f>
        <v>5672</v>
      </c>
      <c r="Y99" s="258">
        <f t="shared" si="19"/>
        <v>6975.7236774053363</v>
      </c>
      <c r="Z99" s="270">
        <f t="shared" si="20"/>
        <v>7676.797334020127</v>
      </c>
      <c r="AA99" s="273">
        <f t="shared" si="21"/>
        <v>3.8435892689779965</v>
      </c>
      <c r="AB99" s="273">
        <f t="shared" si="21"/>
        <v>3.8851800754670105</v>
      </c>
    </row>
    <row r="100" spans="1:28" x14ac:dyDescent="0.2">
      <c r="A100" s="35" t="s">
        <v>306</v>
      </c>
      <c r="B100" s="32" t="s">
        <v>264</v>
      </c>
      <c r="C100" s="33" t="s">
        <v>267</v>
      </c>
      <c r="D100" s="32" t="s">
        <v>307</v>
      </c>
      <c r="E100" s="51">
        <f>SUMIFS('PIB Mpal 2015-2022 Cons'!H$5:H$1012,'PIB Mpal 2015-2022 Cons'!$A$5:$A$1012,$W$2,'PIB Mpal 2015-2022 Cons'!$E$5:$E$1012,$A100)</f>
        <v>5.0184033104358727</v>
      </c>
      <c r="F100" s="51">
        <f>SUMIFS('PIB Mpal 2015-2022 Cons'!I$5:I$1012,'PIB Mpal 2015-2022 Cons'!$A$5:$A$1012,$W$2,'PIB Mpal 2015-2022 Cons'!$E$5:$E$1012,$A100)</f>
        <v>4.4422120594089263</v>
      </c>
      <c r="G100" s="51">
        <f>SUMIFS('PIB Mpal 2015-2022 Cons'!K$5:K$1012,'PIB Mpal 2015-2022 Cons'!$A$5:$A$1012,$W$2,'PIB Mpal 2015-2022 Cons'!$E$5:$E$1012,$A100)</f>
        <v>4.8043209498438815</v>
      </c>
      <c r="H100" s="51">
        <f>SUMIFS('PIB Mpal 2015-2022 Cons'!L$5:L$1012,'PIB Mpal 2015-2022 Cons'!$A$5:$A$1012,$W$2,'PIB Mpal 2015-2022 Cons'!$E$5:$E$1012,$A100)</f>
        <v>6.3103182040147958</v>
      </c>
      <c r="I100" s="51">
        <f>SUMIFS('PIB Mpal 2015-2022 Cons'!N$5:N$1012,'PIB Mpal 2015-2022 Cons'!$A$5:$A$1012,$W$2,'PIB Mpal 2015-2022 Cons'!$E$5:$E$1012,$A100)</f>
        <v>3.5024407805339735</v>
      </c>
      <c r="J100" s="51">
        <f>SUMIFS('PIB Mpal 2015-2022 Cons'!O$5:O$1012,'PIB Mpal 2015-2022 Cons'!$A$5:$A$1012,$W$2,'PIB Mpal 2015-2022 Cons'!$E$5:$E$1012,$A100)</f>
        <v>16.703123357092213</v>
      </c>
      <c r="K100" s="51">
        <f>SUMIFS('PIB Mpal 2015-2022 Cons'!P$5:P$1012,'PIB Mpal 2015-2022 Cons'!$A$5:$A$1012,$W$2,'PIB Mpal 2015-2022 Cons'!$E$5:$E$1012,$A100)</f>
        <v>3.5509222049402722</v>
      </c>
      <c r="L100" s="51">
        <f>SUMIFS('PIB Mpal 2015-2022 Cons'!Q$5:Q$1012,'PIB Mpal 2015-2022 Cons'!$A$5:$A$1012,$W$2,'PIB Mpal 2015-2022 Cons'!$E$5:$E$1012,$A100)</f>
        <v>2.6630603706670746</v>
      </c>
      <c r="M100" s="51">
        <f>SUMIFS('PIB Mpal 2015-2022 Cons'!R$5:R$1012,'PIB Mpal 2015-2022 Cons'!$A$5:$A$1012,$W$2,'PIB Mpal 2015-2022 Cons'!$E$5:$E$1012,$A100)</f>
        <v>10.164485897770644</v>
      </c>
      <c r="N100" s="51">
        <f>SUMIFS('PIB Mpal 2015-2022 Cons'!S$5:S$1012,'PIB Mpal 2015-2022 Cons'!$A$5:$A$1012,$W$2,'PIB Mpal 2015-2022 Cons'!$E$5:$E$1012,$A100)</f>
        <v>22.726381985367521</v>
      </c>
      <c r="O100" s="51">
        <f>SUMIFS('PIB Mpal 2015-2022 Cons'!T$5:T$1012,'PIB Mpal 2015-2022 Cons'!$A$5:$A$1012,$W$2,'PIB Mpal 2015-2022 Cons'!$E$5:$E$1012,$A100)</f>
        <v>18.149315607260856</v>
      </c>
      <c r="P100" s="150">
        <f>SUMIFS('PIB Mpal 2015-2022 Cons'!U$5:U$1012,'PIB Mpal 2015-2022 Cons'!$A$5:$A$1012,$W$2,'PIB Mpal 2015-2022 Cons'!$E$5:$E$1012,$A100)</f>
        <v>3.3393970844361829</v>
      </c>
      <c r="Q100" s="217">
        <f>SUMIFS('PIB Mpal 2015-2022 Cons'!J$5:J$1012,'PIB Mpal 2015-2022 Cons'!$A$5:$A$1012,$W$2,'PIB Mpal 2015-2022 Cons'!$E$5:$E$1012,$A100)</f>
        <v>9.460615369844799</v>
      </c>
      <c r="R100" s="99">
        <f>SUMIFS('PIB Mpal 2015-2022 Cons'!M$5:M$1012,'PIB Mpal 2015-2022 Cons'!$A$5:$A$1012,$W$2,'PIB Mpal 2015-2022 Cons'!$E$5:$E$1012,$A100)</f>
        <v>11.114639153858677</v>
      </c>
      <c r="S100" s="53">
        <f>SUMIFS('PIB Mpal 2015-2022 Cons'!V$5:V$1012,'PIB Mpal 2015-2022 Cons'!$A$5:$A$1012,$W$2,'PIB Mpal 2015-2022 Cons'!$E$5:$E$1012,$A100)</f>
        <v>80.799127288068746</v>
      </c>
      <c r="T100" s="153">
        <f>SUMIFS('PIB Mpal 2015-2022 Cons'!W$5:W$1012,'PIB Mpal 2015-2022 Cons'!$A$5:$A$1012,$W$2,'PIB Mpal 2015-2022 Cons'!$E$5:$E$1012,$A100)</f>
        <v>101.37438181177222</v>
      </c>
      <c r="U100" s="51">
        <f>SUMIFS('PIB Mpal 2015-2022 Cons'!X$5:X$1012,'PIB Mpal 2015-2022 Cons'!$A$5:$A$1012,$W$2,'PIB Mpal 2015-2022 Cons'!$E$5:$E$1012,$A100)</f>
        <v>10.188320499902483</v>
      </c>
      <c r="V100" s="53">
        <f>SUMIFS('PIB Mpal 2015-2022 Cons'!Y$5:Y$1012,'PIB Mpal 2015-2022 Cons'!$A$5:$A$1012,$W$2,'PIB Mpal 2015-2022 Cons'!$E$5:$E$1012,$A100)</f>
        <v>111.56270231167471</v>
      </c>
      <c r="W100" s="92">
        <f t="shared" si="18"/>
        <v>9.6636049737930992E-4</v>
      </c>
      <c r="X100" s="268">
        <f>INDEX(POBLACION!$C$4:$W$128,MATCH(A100,POBLACION!$A$4:$A$128,0),MATCH($W$2,POBLACION!$C$3:$W$3,0))</f>
        <v>13022</v>
      </c>
      <c r="Y100" s="258">
        <f t="shared" si="19"/>
        <v>7784.8550001360945</v>
      </c>
      <c r="Z100" s="270">
        <f t="shared" si="20"/>
        <v>8567.2479121236902</v>
      </c>
      <c r="AA100" s="273">
        <f t="shared" si="21"/>
        <v>3.8912505278576099</v>
      </c>
      <c r="AB100" s="273">
        <f t="shared" si="21"/>
        <v>3.9328413343468034</v>
      </c>
    </row>
    <row r="101" spans="1:28" x14ac:dyDescent="0.2">
      <c r="A101" s="35" t="s">
        <v>308</v>
      </c>
      <c r="B101" s="32" t="s">
        <v>264</v>
      </c>
      <c r="C101" s="33" t="s">
        <v>267</v>
      </c>
      <c r="D101" s="32" t="s">
        <v>309</v>
      </c>
      <c r="E101" s="51">
        <f>SUMIFS('PIB Mpal 2015-2022 Cons'!H$5:H$1012,'PIB Mpal 2015-2022 Cons'!$A$5:$A$1012,$W$2,'PIB Mpal 2015-2022 Cons'!$E$5:$E$1012,$A101)</f>
        <v>10.779747265250419</v>
      </c>
      <c r="F101" s="51">
        <f>SUMIFS('PIB Mpal 2015-2022 Cons'!I$5:I$1012,'PIB Mpal 2015-2022 Cons'!$A$5:$A$1012,$W$2,'PIB Mpal 2015-2022 Cons'!$E$5:$E$1012,$A101)</f>
        <v>0</v>
      </c>
      <c r="G101" s="51">
        <f>SUMIFS('PIB Mpal 2015-2022 Cons'!K$5:K$1012,'PIB Mpal 2015-2022 Cons'!$A$5:$A$1012,$W$2,'PIB Mpal 2015-2022 Cons'!$E$5:$E$1012,$A101)</f>
        <v>1.6866331795581964</v>
      </c>
      <c r="H101" s="51">
        <f>SUMIFS('PIB Mpal 2015-2022 Cons'!L$5:L$1012,'PIB Mpal 2015-2022 Cons'!$A$5:$A$1012,$W$2,'PIB Mpal 2015-2022 Cons'!$E$5:$E$1012,$A101)</f>
        <v>13.654828739112148</v>
      </c>
      <c r="I101" s="51">
        <f>SUMIFS('PIB Mpal 2015-2022 Cons'!N$5:N$1012,'PIB Mpal 2015-2022 Cons'!$A$5:$A$1012,$W$2,'PIB Mpal 2015-2022 Cons'!$E$5:$E$1012,$A101)</f>
        <v>90.724869809664369</v>
      </c>
      <c r="J101" s="51">
        <f>SUMIFS('PIB Mpal 2015-2022 Cons'!O$5:O$1012,'PIB Mpal 2015-2022 Cons'!$A$5:$A$1012,$W$2,'PIB Mpal 2015-2022 Cons'!$E$5:$E$1012,$A101)</f>
        <v>7.8960691410303152</v>
      </c>
      <c r="K101" s="51">
        <f>SUMIFS('PIB Mpal 2015-2022 Cons'!P$5:P$1012,'PIB Mpal 2015-2022 Cons'!$A$5:$A$1012,$W$2,'PIB Mpal 2015-2022 Cons'!$E$5:$E$1012,$A101)</f>
        <v>1.8394508904701692</v>
      </c>
      <c r="L101" s="51">
        <f>SUMIFS('PIB Mpal 2015-2022 Cons'!Q$5:Q$1012,'PIB Mpal 2015-2022 Cons'!$A$5:$A$1012,$W$2,'PIB Mpal 2015-2022 Cons'!$E$5:$E$1012,$A101)</f>
        <v>1.2637493487559761</v>
      </c>
      <c r="M101" s="51">
        <f>SUMIFS('PIB Mpal 2015-2022 Cons'!R$5:R$1012,'PIB Mpal 2015-2022 Cons'!$A$5:$A$1012,$W$2,'PIB Mpal 2015-2022 Cons'!$E$5:$E$1012,$A101)</f>
        <v>7.9412184113058908</v>
      </c>
      <c r="N101" s="51">
        <f>SUMIFS('PIB Mpal 2015-2022 Cons'!S$5:S$1012,'PIB Mpal 2015-2022 Cons'!$A$5:$A$1012,$W$2,'PIB Mpal 2015-2022 Cons'!$E$5:$E$1012,$A101)</f>
        <v>4.2378736886851458</v>
      </c>
      <c r="O101" s="51">
        <f>SUMIFS('PIB Mpal 2015-2022 Cons'!T$5:T$1012,'PIB Mpal 2015-2022 Cons'!$A$5:$A$1012,$W$2,'PIB Mpal 2015-2022 Cons'!$E$5:$E$1012,$A101)</f>
        <v>7.1756065394849715</v>
      </c>
      <c r="P101" s="150">
        <f>SUMIFS('PIB Mpal 2015-2022 Cons'!U$5:U$1012,'PIB Mpal 2015-2022 Cons'!$A$5:$A$1012,$W$2,'PIB Mpal 2015-2022 Cons'!$E$5:$E$1012,$A101)</f>
        <v>1.3603440908745847</v>
      </c>
      <c r="Q101" s="217">
        <f>SUMIFS('PIB Mpal 2015-2022 Cons'!J$5:J$1012,'PIB Mpal 2015-2022 Cons'!$A$5:$A$1012,$W$2,'PIB Mpal 2015-2022 Cons'!$E$5:$E$1012,$A101)</f>
        <v>10.779747265250419</v>
      </c>
      <c r="R101" s="99">
        <f>SUMIFS('PIB Mpal 2015-2022 Cons'!M$5:M$1012,'PIB Mpal 2015-2022 Cons'!$A$5:$A$1012,$W$2,'PIB Mpal 2015-2022 Cons'!$E$5:$E$1012,$A101)</f>
        <v>15.341461918670344</v>
      </c>
      <c r="S101" s="53">
        <f>SUMIFS('PIB Mpal 2015-2022 Cons'!V$5:V$1012,'PIB Mpal 2015-2022 Cons'!$A$5:$A$1012,$W$2,'PIB Mpal 2015-2022 Cons'!$E$5:$E$1012,$A101)</f>
        <v>122.43918192027144</v>
      </c>
      <c r="T101" s="153">
        <f>SUMIFS('PIB Mpal 2015-2022 Cons'!W$5:W$1012,'PIB Mpal 2015-2022 Cons'!$A$5:$A$1012,$W$2,'PIB Mpal 2015-2022 Cons'!$E$5:$E$1012,$A101)</f>
        <v>148.56039110419221</v>
      </c>
      <c r="U101" s="51">
        <f>SUMIFS('PIB Mpal 2015-2022 Cons'!X$5:X$1012,'PIB Mpal 2015-2022 Cons'!$A$5:$A$1012,$W$2,'PIB Mpal 2015-2022 Cons'!$E$5:$E$1012,$A101)</f>
        <v>14.930605258587887</v>
      </c>
      <c r="V101" s="53">
        <f>SUMIFS('PIB Mpal 2015-2022 Cons'!Y$5:Y$1012,'PIB Mpal 2015-2022 Cons'!$A$5:$A$1012,$W$2,'PIB Mpal 2015-2022 Cons'!$E$5:$E$1012,$A101)</f>
        <v>163.49099636278009</v>
      </c>
      <c r="W101" s="92">
        <f t="shared" si="18"/>
        <v>1.4161654145019918E-3</v>
      </c>
      <c r="X101" s="268">
        <f>INDEX(POBLACION!$C$4:$W$128,MATCH(A101,POBLACION!$A$4:$A$128,0),MATCH($W$2,POBLACION!$C$3:$W$3,0))</f>
        <v>15756</v>
      </c>
      <c r="Y101" s="258">
        <f t="shared" si="19"/>
        <v>9428.8138553054214</v>
      </c>
      <c r="Z101" s="270">
        <f t="shared" si="20"/>
        <v>10376.42779657147</v>
      </c>
      <c r="AA101" s="273">
        <f t="shared" si="21"/>
        <v>3.9744570619317829</v>
      </c>
      <c r="AB101" s="273">
        <f t="shared" si="21"/>
        <v>4.0160478684210963</v>
      </c>
    </row>
    <row r="102" spans="1:28" x14ac:dyDescent="0.2">
      <c r="A102" s="35" t="s">
        <v>310</v>
      </c>
      <c r="B102" s="32" t="s">
        <v>264</v>
      </c>
      <c r="C102" s="33" t="s">
        <v>267</v>
      </c>
      <c r="D102" s="32" t="s">
        <v>311</v>
      </c>
      <c r="E102" s="51">
        <f>SUMIFS('PIB Mpal 2015-2022 Cons'!H$5:H$1012,'PIB Mpal 2015-2022 Cons'!$A$5:$A$1012,$W$2,'PIB Mpal 2015-2022 Cons'!$E$5:$E$1012,$A102)</f>
        <v>53.740843370081208</v>
      </c>
      <c r="F102" s="51">
        <f>SUMIFS('PIB Mpal 2015-2022 Cons'!I$5:I$1012,'PIB Mpal 2015-2022 Cons'!$A$5:$A$1012,$W$2,'PIB Mpal 2015-2022 Cons'!$E$5:$E$1012,$A102)</f>
        <v>0</v>
      </c>
      <c r="G102" s="51">
        <f>SUMIFS('PIB Mpal 2015-2022 Cons'!K$5:K$1012,'PIB Mpal 2015-2022 Cons'!$A$5:$A$1012,$W$2,'PIB Mpal 2015-2022 Cons'!$E$5:$E$1012,$A102)</f>
        <v>4.2308822025489992</v>
      </c>
      <c r="H102" s="51">
        <f>SUMIFS('PIB Mpal 2015-2022 Cons'!L$5:L$1012,'PIB Mpal 2015-2022 Cons'!$A$5:$A$1012,$W$2,'PIB Mpal 2015-2022 Cons'!$E$5:$E$1012,$A102)</f>
        <v>11.761919555072447</v>
      </c>
      <c r="I102" s="51">
        <f>SUMIFS('PIB Mpal 2015-2022 Cons'!N$5:N$1012,'PIB Mpal 2015-2022 Cons'!$A$5:$A$1012,$W$2,'PIB Mpal 2015-2022 Cons'!$E$5:$E$1012,$A102)</f>
        <v>3.8738157237349804</v>
      </c>
      <c r="J102" s="51">
        <f>SUMIFS('PIB Mpal 2015-2022 Cons'!O$5:O$1012,'PIB Mpal 2015-2022 Cons'!$A$5:$A$1012,$W$2,'PIB Mpal 2015-2022 Cons'!$E$5:$E$1012,$A102)</f>
        <v>21.497233677079436</v>
      </c>
      <c r="K102" s="51">
        <f>SUMIFS('PIB Mpal 2015-2022 Cons'!P$5:P$1012,'PIB Mpal 2015-2022 Cons'!$A$5:$A$1012,$W$2,'PIB Mpal 2015-2022 Cons'!$E$5:$E$1012,$A102)</f>
        <v>6.2776242341620296</v>
      </c>
      <c r="L102" s="51">
        <f>SUMIFS('PIB Mpal 2015-2022 Cons'!Q$5:Q$1012,'PIB Mpal 2015-2022 Cons'!$A$5:$A$1012,$W$2,'PIB Mpal 2015-2022 Cons'!$E$5:$E$1012,$A102)</f>
        <v>4.6153847245587016</v>
      </c>
      <c r="M102" s="51">
        <f>SUMIFS('PIB Mpal 2015-2022 Cons'!R$5:R$1012,'PIB Mpal 2015-2022 Cons'!$A$5:$A$1012,$W$2,'PIB Mpal 2015-2022 Cons'!$E$5:$E$1012,$A102)</f>
        <v>28.841305649925935</v>
      </c>
      <c r="N102" s="51">
        <f>SUMIFS('PIB Mpal 2015-2022 Cons'!S$5:S$1012,'PIB Mpal 2015-2022 Cons'!$A$5:$A$1012,$W$2,'PIB Mpal 2015-2022 Cons'!$E$5:$E$1012,$A102)</f>
        <v>15.129131380492954</v>
      </c>
      <c r="O102" s="51">
        <f>SUMIFS('PIB Mpal 2015-2022 Cons'!T$5:T$1012,'PIB Mpal 2015-2022 Cons'!$A$5:$A$1012,$W$2,'PIB Mpal 2015-2022 Cons'!$E$5:$E$1012,$A102)</f>
        <v>28.732573310343547</v>
      </c>
      <c r="P102" s="150">
        <f>SUMIFS('PIB Mpal 2015-2022 Cons'!U$5:U$1012,'PIB Mpal 2015-2022 Cons'!$A$5:$A$1012,$W$2,'PIB Mpal 2015-2022 Cons'!$E$5:$E$1012,$A102)</f>
        <v>7.0999014095416104</v>
      </c>
      <c r="Q102" s="217">
        <f>SUMIFS('PIB Mpal 2015-2022 Cons'!J$5:J$1012,'PIB Mpal 2015-2022 Cons'!$A$5:$A$1012,$W$2,'PIB Mpal 2015-2022 Cons'!$E$5:$E$1012,$A102)</f>
        <v>53.740843370081208</v>
      </c>
      <c r="R102" s="99">
        <f>SUMIFS('PIB Mpal 2015-2022 Cons'!M$5:M$1012,'PIB Mpal 2015-2022 Cons'!$A$5:$A$1012,$W$2,'PIB Mpal 2015-2022 Cons'!$E$5:$E$1012,$A102)</f>
        <v>15.992801757621447</v>
      </c>
      <c r="S102" s="53">
        <f>SUMIFS('PIB Mpal 2015-2022 Cons'!V$5:V$1012,'PIB Mpal 2015-2022 Cons'!$A$5:$A$1012,$W$2,'PIB Mpal 2015-2022 Cons'!$E$5:$E$1012,$A102)</f>
        <v>116.06697010983919</v>
      </c>
      <c r="T102" s="153">
        <f>SUMIFS('PIB Mpal 2015-2022 Cons'!W$5:W$1012,'PIB Mpal 2015-2022 Cons'!$A$5:$A$1012,$W$2,'PIB Mpal 2015-2022 Cons'!$E$5:$E$1012,$A102)</f>
        <v>185.80061523754182</v>
      </c>
      <c r="U102" s="51">
        <f>SUMIFS('PIB Mpal 2015-2022 Cons'!X$5:X$1012,'PIB Mpal 2015-2022 Cons'!$A$5:$A$1012,$W$2,'PIB Mpal 2015-2022 Cons'!$E$5:$E$1012,$A102)</f>
        <v>18.673319464454732</v>
      </c>
      <c r="V102" s="53">
        <f>SUMIFS('PIB Mpal 2015-2022 Cons'!Y$5:Y$1012,'PIB Mpal 2015-2022 Cons'!$A$5:$A$1012,$W$2,'PIB Mpal 2015-2022 Cons'!$E$5:$E$1012,$A102)</f>
        <v>204.47393470199654</v>
      </c>
      <c r="W102" s="92">
        <f t="shared" si="18"/>
        <v>1.771161231714339E-3</v>
      </c>
      <c r="X102" s="268">
        <f>INDEX(POBLACION!$C$4:$W$128,MATCH(A102,POBLACION!$A$4:$A$128,0),MATCH($W$2,POBLACION!$C$3:$W$3,0))</f>
        <v>21800</v>
      </c>
      <c r="Y102" s="258">
        <f t="shared" si="19"/>
        <v>8522.9640017221027</v>
      </c>
      <c r="Z102" s="270">
        <f t="shared" si="20"/>
        <v>9379.5382890824112</v>
      </c>
      <c r="AA102" s="273">
        <f t="shared" si="21"/>
        <v>3.9305906541252846</v>
      </c>
      <c r="AB102" s="273">
        <f t="shared" si="21"/>
        <v>3.9721814606137174</v>
      </c>
    </row>
    <row r="103" spans="1:28" ht="16" thickBot="1" x14ac:dyDescent="0.25">
      <c r="A103" s="35" t="s">
        <v>312</v>
      </c>
      <c r="B103" s="63" t="s">
        <v>264</v>
      </c>
      <c r="C103" s="62" t="s">
        <v>270</v>
      </c>
      <c r="D103" s="63" t="s">
        <v>313</v>
      </c>
      <c r="E103" s="96">
        <f>SUMIFS('PIB Mpal 2015-2022 Cons'!H$5:H$1012,'PIB Mpal 2015-2022 Cons'!$A$5:$A$1012,$W$2,'PIB Mpal 2015-2022 Cons'!$E$5:$E$1012,$A103)</f>
        <v>95.469808562717361</v>
      </c>
      <c r="F103" s="96">
        <f>SUMIFS('PIB Mpal 2015-2022 Cons'!I$5:I$1012,'PIB Mpal 2015-2022 Cons'!$A$5:$A$1012,$W$2,'PIB Mpal 2015-2022 Cons'!$E$5:$E$1012,$A103)</f>
        <v>87.818787862211451</v>
      </c>
      <c r="G103" s="96">
        <f>SUMIFS('PIB Mpal 2015-2022 Cons'!K$5:K$1012,'PIB Mpal 2015-2022 Cons'!$A$5:$A$1012,$W$2,'PIB Mpal 2015-2022 Cons'!$E$5:$E$1012,$A103)</f>
        <v>325.84812690111954</v>
      </c>
      <c r="H103" s="96">
        <f>SUMIFS('PIB Mpal 2015-2022 Cons'!L$5:L$1012,'PIB Mpal 2015-2022 Cons'!$A$5:$A$1012,$W$2,'PIB Mpal 2015-2022 Cons'!$E$5:$E$1012,$A103)</f>
        <v>20.884731509448613</v>
      </c>
      <c r="I103" s="96">
        <f>SUMIFS('PIB Mpal 2015-2022 Cons'!N$5:N$1012,'PIB Mpal 2015-2022 Cons'!$A$5:$A$1012,$W$2,'PIB Mpal 2015-2022 Cons'!$E$5:$E$1012,$A103)</f>
        <v>27.188395572968233</v>
      </c>
      <c r="J103" s="96">
        <f>SUMIFS('PIB Mpal 2015-2022 Cons'!O$5:O$1012,'PIB Mpal 2015-2022 Cons'!$A$5:$A$1012,$W$2,'PIB Mpal 2015-2022 Cons'!$E$5:$E$1012,$A103)</f>
        <v>55.622015238959065</v>
      </c>
      <c r="K103" s="96">
        <f>SUMIFS('PIB Mpal 2015-2022 Cons'!P$5:P$1012,'PIB Mpal 2015-2022 Cons'!$A$5:$A$1012,$W$2,'PIB Mpal 2015-2022 Cons'!$E$5:$E$1012,$A103)</f>
        <v>10.136648197477383</v>
      </c>
      <c r="L103" s="96">
        <f>SUMIFS('PIB Mpal 2015-2022 Cons'!Q$5:Q$1012,'PIB Mpal 2015-2022 Cons'!$A$5:$A$1012,$W$2,'PIB Mpal 2015-2022 Cons'!$E$5:$E$1012,$A103)</f>
        <v>8.9698381997318304</v>
      </c>
      <c r="M103" s="96">
        <f>SUMIFS('PIB Mpal 2015-2022 Cons'!R$5:R$1012,'PIB Mpal 2015-2022 Cons'!$A$5:$A$1012,$W$2,'PIB Mpal 2015-2022 Cons'!$E$5:$E$1012,$A103)</f>
        <v>35.759312821940952</v>
      </c>
      <c r="N103" s="96">
        <f>SUMIFS('PIB Mpal 2015-2022 Cons'!S$5:S$1012,'PIB Mpal 2015-2022 Cons'!$A$5:$A$1012,$W$2,'PIB Mpal 2015-2022 Cons'!$E$5:$E$1012,$A103)</f>
        <v>60.116319249430639</v>
      </c>
      <c r="O103" s="96">
        <f>SUMIFS('PIB Mpal 2015-2022 Cons'!T$5:T$1012,'PIB Mpal 2015-2022 Cons'!$A$5:$A$1012,$W$2,'PIB Mpal 2015-2022 Cons'!$E$5:$E$1012,$A103)</f>
        <v>54.120093059328731</v>
      </c>
      <c r="P103" s="151">
        <f>SUMIFS('PIB Mpal 2015-2022 Cons'!U$5:U$1012,'PIB Mpal 2015-2022 Cons'!$A$5:$A$1012,$W$2,'PIB Mpal 2015-2022 Cons'!$E$5:$E$1012,$A103)</f>
        <v>7.0959058913543602</v>
      </c>
      <c r="Q103" s="217">
        <f>SUMIFS('PIB Mpal 2015-2022 Cons'!J$5:J$1012,'PIB Mpal 2015-2022 Cons'!$A$5:$A$1012,$W$2,'PIB Mpal 2015-2022 Cons'!$E$5:$E$1012,$A103)</f>
        <v>183.28859642492881</v>
      </c>
      <c r="R103" s="99">
        <f>SUMIFS('PIB Mpal 2015-2022 Cons'!M$5:M$1012,'PIB Mpal 2015-2022 Cons'!$A$5:$A$1012,$W$2,'PIB Mpal 2015-2022 Cons'!$E$5:$E$1012,$A103)</f>
        <v>346.73285841056816</v>
      </c>
      <c r="S103" s="97">
        <f>SUMIFS('PIB Mpal 2015-2022 Cons'!V$5:V$1012,'PIB Mpal 2015-2022 Cons'!$A$5:$A$1012,$W$2,'PIB Mpal 2015-2022 Cons'!$E$5:$E$1012,$A103)</f>
        <v>259.00852823119118</v>
      </c>
      <c r="T103" s="154">
        <f>SUMIFS('PIB Mpal 2015-2022 Cons'!W$5:W$1012,'PIB Mpal 2015-2022 Cons'!$A$5:$A$1012,$W$2,'PIB Mpal 2015-2022 Cons'!$E$5:$E$1012,$A103)</f>
        <v>789.02998306668815</v>
      </c>
      <c r="U103" s="96">
        <f>SUMIFS('PIB Mpal 2015-2022 Cons'!X$5:X$1012,'PIB Mpal 2015-2022 Cons'!$A$5:$A$1012,$W$2,'PIB Mpal 2015-2022 Cons'!$E$5:$E$1012,$A103)</f>
        <v>79.299032037728637</v>
      </c>
      <c r="V103" s="97">
        <f>SUMIFS('PIB Mpal 2015-2022 Cons'!Y$5:Y$1012,'PIB Mpal 2015-2022 Cons'!$A$5:$A$1012,$W$2,'PIB Mpal 2015-2022 Cons'!$E$5:$E$1012,$A103)</f>
        <v>868.32901510441684</v>
      </c>
      <c r="W103" s="98">
        <f t="shared" si="18"/>
        <v>7.5214999416286033E-3</v>
      </c>
      <c r="X103" s="268">
        <f>INDEX(POBLACION!$C$4:$W$128,MATCH(A103,POBLACION!$A$4:$A$128,0),MATCH($W$2,POBLACION!$C$3:$W$3,0))</f>
        <v>36363</v>
      </c>
      <c r="Y103" s="258">
        <f t="shared" si="19"/>
        <v>21698.704261658502</v>
      </c>
      <c r="Z103" s="270">
        <f t="shared" si="20"/>
        <v>23879.465806023069</v>
      </c>
      <c r="AA103" s="273">
        <f t="shared" si="21"/>
        <v>4.3364338007234995</v>
      </c>
      <c r="AB103" s="273">
        <f t="shared" si="21"/>
        <v>4.3780246072106239</v>
      </c>
    </row>
    <row r="104" spans="1:28" ht="16" thickBot="1" x14ac:dyDescent="0.25">
      <c r="A104" s="116" t="s">
        <v>314</v>
      </c>
      <c r="B104" s="119" t="s">
        <v>315</v>
      </c>
      <c r="C104" s="117"/>
      <c r="D104" s="112"/>
      <c r="E104" s="113">
        <f>SUM(E105:E127)</f>
        <v>1107.303052965111</v>
      </c>
      <c r="F104" s="113">
        <f t="shared" ref="F104:V104" si="24">SUM(F105:F127)</f>
        <v>34.22137291837155</v>
      </c>
      <c r="G104" s="113">
        <f t="shared" si="24"/>
        <v>351.79418899848793</v>
      </c>
      <c r="H104" s="113">
        <f t="shared" si="24"/>
        <v>342.48104702276686</v>
      </c>
      <c r="I104" s="113">
        <f t="shared" si="24"/>
        <v>160.87539593412728</v>
      </c>
      <c r="J104" s="113">
        <f t="shared" si="24"/>
        <v>676.64942621063938</v>
      </c>
      <c r="K104" s="113">
        <f t="shared" si="24"/>
        <v>126.35302276718258</v>
      </c>
      <c r="L104" s="113">
        <f t="shared" si="24"/>
        <v>114.07281849216253</v>
      </c>
      <c r="M104" s="113">
        <f t="shared" si="24"/>
        <v>318.54810944118094</v>
      </c>
      <c r="N104" s="113">
        <f t="shared" si="24"/>
        <v>384.68786606665685</v>
      </c>
      <c r="O104" s="113">
        <f t="shared" si="24"/>
        <v>603.24874038881433</v>
      </c>
      <c r="P104" s="123">
        <f t="shared" si="24"/>
        <v>103.3649530531363</v>
      </c>
      <c r="Q104" s="193">
        <f t="shared" si="24"/>
        <v>1141.5244258834828</v>
      </c>
      <c r="R104" s="113">
        <f t="shared" si="24"/>
        <v>694.27523602125484</v>
      </c>
      <c r="S104" s="114">
        <f t="shared" si="24"/>
        <v>2487.8003323539006</v>
      </c>
      <c r="T104" s="186">
        <f t="shared" si="24"/>
        <v>4323.5999942586377</v>
      </c>
      <c r="U104" s="113">
        <f t="shared" si="24"/>
        <v>434.53012158029873</v>
      </c>
      <c r="V104" s="114">
        <f t="shared" si="24"/>
        <v>4758.130115838936</v>
      </c>
      <c r="W104" s="115">
        <f t="shared" si="18"/>
        <v>4.1215109441252867E-2</v>
      </c>
      <c r="X104" s="208">
        <f t="shared" ref="X104" si="25">SUM(X105:X127)</f>
        <v>364121</v>
      </c>
      <c r="Y104" s="258">
        <f t="shared" si="19"/>
        <v>11874.074811006885</v>
      </c>
      <c r="Z104" s="270">
        <f t="shared" si="20"/>
        <v>13067.442184985035</v>
      </c>
      <c r="AA104" s="273">
        <f t="shared" si="21"/>
        <v>4.074599780812469</v>
      </c>
      <c r="AB104" s="273">
        <f t="shared" si="21"/>
        <v>4.1161905873006841</v>
      </c>
    </row>
    <row r="105" spans="1:28" x14ac:dyDescent="0.2">
      <c r="A105" s="35" t="s">
        <v>316</v>
      </c>
      <c r="B105" s="101" t="s">
        <v>317</v>
      </c>
      <c r="C105" s="108" t="s">
        <v>225</v>
      </c>
      <c r="D105" s="101" t="s">
        <v>318</v>
      </c>
      <c r="E105" s="109">
        <f>SUMIFS('PIB Mpal 2015-2022 Cons'!H$5:H$1012,'PIB Mpal 2015-2022 Cons'!$A$5:$A$1012,$W$2,'PIB Mpal 2015-2022 Cons'!$E$5:$E$1012,$A105)</f>
        <v>47.657274903259946</v>
      </c>
      <c r="F105" s="109">
        <f>SUMIFS('PIB Mpal 2015-2022 Cons'!I$5:I$1012,'PIB Mpal 2015-2022 Cons'!$A$5:$A$1012,$W$2,'PIB Mpal 2015-2022 Cons'!$E$5:$E$1012,$A105)</f>
        <v>5.3256246331002268</v>
      </c>
      <c r="G105" s="109">
        <f>SUMIFS('PIB Mpal 2015-2022 Cons'!K$5:K$1012,'PIB Mpal 2015-2022 Cons'!$A$5:$A$1012,$W$2,'PIB Mpal 2015-2022 Cons'!$E$5:$E$1012,$A105)</f>
        <v>61.694734566460966</v>
      </c>
      <c r="H105" s="109">
        <f>SUMIFS('PIB Mpal 2015-2022 Cons'!L$5:L$1012,'PIB Mpal 2015-2022 Cons'!$A$5:$A$1012,$W$2,'PIB Mpal 2015-2022 Cons'!$E$5:$E$1012,$A105)</f>
        <v>20.954098881995591</v>
      </c>
      <c r="I105" s="109">
        <f>SUMIFS('PIB Mpal 2015-2022 Cons'!N$5:N$1012,'PIB Mpal 2015-2022 Cons'!$A$5:$A$1012,$W$2,'PIB Mpal 2015-2022 Cons'!$E$5:$E$1012,$A105)</f>
        <v>15.714024292485275</v>
      </c>
      <c r="J105" s="109">
        <f>SUMIFS('PIB Mpal 2015-2022 Cons'!O$5:O$1012,'PIB Mpal 2015-2022 Cons'!$A$5:$A$1012,$W$2,'PIB Mpal 2015-2022 Cons'!$E$5:$E$1012,$A105)</f>
        <v>62.114239225308225</v>
      </c>
      <c r="K105" s="109">
        <f>SUMIFS('PIB Mpal 2015-2022 Cons'!P$5:P$1012,'PIB Mpal 2015-2022 Cons'!$A$5:$A$1012,$W$2,'PIB Mpal 2015-2022 Cons'!$E$5:$E$1012,$A105)</f>
        <v>10.233604489083371</v>
      </c>
      <c r="L105" s="109">
        <f>SUMIFS('PIB Mpal 2015-2022 Cons'!Q$5:Q$1012,'PIB Mpal 2015-2022 Cons'!$A$5:$A$1012,$W$2,'PIB Mpal 2015-2022 Cons'!$E$5:$E$1012,$A105)</f>
        <v>7.8186260251390269</v>
      </c>
      <c r="M105" s="109">
        <f>SUMIFS('PIB Mpal 2015-2022 Cons'!R$5:R$1012,'PIB Mpal 2015-2022 Cons'!$A$5:$A$1012,$W$2,'PIB Mpal 2015-2022 Cons'!$E$5:$E$1012,$A105)</f>
        <v>27.991411847106342</v>
      </c>
      <c r="N105" s="109">
        <f>SUMIFS('PIB Mpal 2015-2022 Cons'!S$5:S$1012,'PIB Mpal 2015-2022 Cons'!$A$5:$A$1012,$W$2,'PIB Mpal 2015-2022 Cons'!$E$5:$E$1012,$A105)</f>
        <v>29.565473004462099</v>
      </c>
      <c r="O105" s="109">
        <f>SUMIFS('PIB Mpal 2015-2022 Cons'!T$5:T$1012,'PIB Mpal 2015-2022 Cons'!$A$5:$A$1012,$W$2,'PIB Mpal 2015-2022 Cons'!$E$5:$E$1012,$A105)</f>
        <v>35.675765785236059</v>
      </c>
      <c r="P105" s="182">
        <f>SUMIFS('PIB Mpal 2015-2022 Cons'!U$5:U$1012,'PIB Mpal 2015-2022 Cons'!$A$5:$A$1012,$W$2,'PIB Mpal 2015-2022 Cons'!$E$5:$E$1012,$A105)</f>
        <v>8.2971946578086708</v>
      </c>
      <c r="Q105" s="217">
        <f>SUMIFS('PIB Mpal 2015-2022 Cons'!J$5:J$1012,'PIB Mpal 2015-2022 Cons'!$A$5:$A$1012,$W$2,'PIB Mpal 2015-2022 Cons'!$E$5:$E$1012,$A105)</f>
        <v>52.982899536360172</v>
      </c>
      <c r="R105" s="99">
        <f>SUMIFS('PIB Mpal 2015-2022 Cons'!M$5:M$1012,'PIB Mpal 2015-2022 Cons'!$A$5:$A$1012,$W$2,'PIB Mpal 2015-2022 Cons'!$E$5:$E$1012,$A105)</f>
        <v>82.648833448456557</v>
      </c>
      <c r="S105" s="110">
        <f>SUMIFS('PIB Mpal 2015-2022 Cons'!V$5:V$1012,'PIB Mpal 2015-2022 Cons'!$A$5:$A$1012,$W$2,'PIB Mpal 2015-2022 Cons'!$E$5:$E$1012,$A105)</f>
        <v>197.41033932662904</v>
      </c>
      <c r="T105" s="187">
        <f>SUMIFS('PIB Mpal 2015-2022 Cons'!W$5:W$1012,'PIB Mpal 2015-2022 Cons'!$A$5:$A$1012,$W$2,'PIB Mpal 2015-2022 Cons'!$E$5:$E$1012,$A105)</f>
        <v>333.04207231144574</v>
      </c>
      <c r="U105" s="109">
        <f>SUMIFS('PIB Mpal 2015-2022 Cons'!X$5:X$1012,'PIB Mpal 2015-2022 Cons'!$A$5:$A$1012,$W$2,'PIB Mpal 2015-2022 Cons'!$E$5:$E$1012,$A105)</f>
        <v>33.471369313835197</v>
      </c>
      <c r="V105" s="110">
        <f>SUMIFS('PIB Mpal 2015-2022 Cons'!Y$5:Y$1012,'PIB Mpal 2015-2022 Cons'!$A$5:$A$1012,$W$2,'PIB Mpal 2015-2022 Cons'!$E$5:$E$1012,$A105)</f>
        <v>366.51344162528096</v>
      </c>
      <c r="W105" s="100">
        <f t="shared" si="18"/>
        <v>3.1747537878359985E-3</v>
      </c>
      <c r="X105" s="268">
        <f>INDEX(POBLACION!$C$4:$W$128,MATCH(A105,POBLACION!$A$4:$A$128,0),MATCH($W$2,POBLACION!$C$3:$W$3,0))</f>
        <v>29136</v>
      </c>
      <c r="Y105" s="258">
        <f t="shared" si="19"/>
        <v>11430.603799816232</v>
      </c>
      <c r="Z105" s="270">
        <f t="shared" si="20"/>
        <v>12579.401483569502</v>
      </c>
      <c r="AA105" s="273">
        <f t="shared" si="21"/>
        <v>4.058069171777821</v>
      </c>
      <c r="AB105" s="273">
        <f t="shared" si="21"/>
        <v>4.0996599782661125</v>
      </c>
    </row>
    <row r="106" spans="1:28" x14ac:dyDescent="0.2">
      <c r="A106" s="35" t="s">
        <v>319</v>
      </c>
      <c r="B106" s="32" t="s">
        <v>317</v>
      </c>
      <c r="C106" s="33" t="s">
        <v>320</v>
      </c>
      <c r="D106" s="32" t="s">
        <v>321</v>
      </c>
      <c r="E106" s="51">
        <f>SUMIFS('PIB Mpal 2015-2022 Cons'!H$5:H$1012,'PIB Mpal 2015-2022 Cons'!$A$5:$A$1012,$W$2,'PIB Mpal 2015-2022 Cons'!$E$5:$E$1012,$A106)</f>
        <v>100.30875538580852</v>
      </c>
      <c r="F106" s="51">
        <f>SUMIFS('PIB Mpal 2015-2022 Cons'!I$5:I$1012,'PIB Mpal 2015-2022 Cons'!$A$5:$A$1012,$W$2,'PIB Mpal 2015-2022 Cons'!$E$5:$E$1012,$A106)</f>
        <v>9.2562140403028081</v>
      </c>
      <c r="G106" s="51">
        <f>SUMIFS('PIB Mpal 2015-2022 Cons'!K$5:K$1012,'PIB Mpal 2015-2022 Cons'!$A$5:$A$1012,$W$2,'PIB Mpal 2015-2022 Cons'!$E$5:$E$1012,$A106)</f>
        <v>105.12938783733988</v>
      </c>
      <c r="H106" s="51">
        <f>SUMIFS('PIB Mpal 2015-2022 Cons'!L$5:L$1012,'PIB Mpal 2015-2022 Cons'!$A$5:$A$1012,$W$2,'PIB Mpal 2015-2022 Cons'!$E$5:$E$1012,$A106)</f>
        <v>108.27921874291458</v>
      </c>
      <c r="I106" s="51">
        <f>SUMIFS('PIB Mpal 2015-2022 Cons'!N$5:N$1012,'PIB Mpal 2015-2022 Cons'!$A$5:$A$1012,$W$2,'PIB Mpal 2015-2022 Cons'!$E$5:$E$1012,$A106)</f>
        <v>30.845022663145208</v>
      </c>
      <c r="J106" s="51">
        <f>SUMIFS('PIB Mpal 2015-2022 Cons'!O$5:O$1012,'PIB Mpal 2015-2022 Cons'!$A$5:$A$1012,$W$2,'PIB Mpal 2015-2022 Cons'!$E$5:$E$1012,$A106)</f>
        <v>113.06710459257971</v>
      </c>
      <c r="K106" s="51">
        <f>SUMIFS('PIB Mpal 2015-2022 Cons'!P$5:P$1012,'PIB Mpal 2015-2022 Cons'!$A$5:$A$1012,$W$2,'PIB Mpal 2015-2022 Cons'!$E$5:$E$1012,$A106)</f>
        <v>15.834418209915436</v>
      </c>
      <c r="L106" s="51">
        <f>SUMIFS('PIB Mpal 2015-2022 Cons'!Q$5:Q$1012,'PIB Mpal 2015-2022 Cons'!$A$5:$A$1012,$W$2,'PIB Mpal 2015-2022 Cons'!$E$5:$E$1012,$A106)</f>
        <v>21.111297081783892</v>
      </c>
      <c r="M106" s="51">
        <f>SUMIFS('PIB Mpal 2015-2022 Cons'!R$5:R$1012,'PIB Mpal 2015-2022 Cons'!$A$5:$A$1012,$W$2,'PIB Mpal 2015-2022 Cons'!$E$5:$E$1012,$A106)</f>
        <v>34.140109785296168</v>
      </c>
      <c r="N106" s="51">
        <f>SUMIFS('PIB Mpal 2015-2022 Cons'!S$5:S$1012,'PIB Mpal 2015-2022 Cons'!$A$5:$A$1012,$W$2,'PIB Mpal 2015-2022 Cons'!$E$5:$E$1012,$A106)</f>
        <v>65.656880221502945</v>
      </c>
      <c r="O106" s="51">
        <f>SUMIFS('PIB Mpal 2015-2022 Cons'!T$5:T$1012,'PIB Mpal 2015-2022 Cons'!$A$5:$A$1012,$W$2,'PIB Mpal 2015-2022 Cons'!$E$5:$E$1012,$A106)</f>
        <v>77.069722280852332</v>
      </c>
      <c r="P106" s="150">
        <f>SUMIFS('PIB Mpal 2015-2022 Cons'!U$5:U$1012,'PIB Mpal 2015-2022 Cons'!$A$5:$A$1012,$W$2,'PIB Mpal 2015-2022 Cons'!$E$5:$E$1012,$A106)</f>
        <v>12.521600241281474</v>
      </c>
      <c r="Q106" s="217">
        <f>SUMIFS('PIB Mpal 2015-2022 Cons'!J$5:J$1012,'PIB Mpal 2015-2022 Cons'!$A$5:$A$1012,$W$2,'PIB Mpal 2015-2022 Cons'!$E$5:$E$1012,$A106)</f>
        <v>109.56496942611133</v>
      </c>
      <c r="R106" s="99">
        <f>SUMIFS('PIB Mpal 2015-2022 Cons'!M$5:M$1012,'PIB Mpal 2015-2022 Cons'!$A$5:$A$1012,$W$2,'PIB Mpal 2015-2022 Cons'!$E$5:$E$1012,$A106)</f>
        <v>213.40860658025446</v>
      </c>
      <c r="S106" s="53">
        <f>SUMIFS('PIB Mpal 2015-2022 Cons'!V$5:V$1012,'PIB Mpal 2015-2022 Cons'!$A$5:$A$1012,$W$2,'PIB Mpal 2015-2022 Cons'!$E$5:$E$1012,$A106)</f>
        <v>370.24615507635718</v>
      </c>
      <c r="T106" s="153">
        <f>SUMIFS('PIB Mpal 2015-2022 Cons'!W$5:W$1012,'PIB Mpal 2015-2022 Cons'!$A$5:$A$1012,$W$2,'PIB Mpal 2015-2022 Cons'!$E$5:$E$1012,$A106)</f>
        <v>693.219731082723</v>
      </c>
      <c r="U106" s="51">
        <f>SUMIFS('PIB Mpal 2015-2022 Cons'!X$5:X$1012,'PIB Mpal 2015-2022 Cons'!$A$5:$A$1012,$W$2,'PIB Mpal 2015-2022 Cons'!$E$5:$E$1012,$A106)</f>
        <v>69.669917297588398</v>
      </c>
      <c r="V106" s="53">
        <f>SUMIFS('PIB Mpal 2015-2022 Cons'!Y$5:Y$1012,'PIB Mpal 2015-2022 Cons'!$A$5:$A$1012,$W$2,'PIB Mpal 2015-2022 Cons'!$E$5:$E$1012,$A106)</f>
        <v>762.88964838031143</v>
      </c>
      <c r="W106" s="92">
        <f t="shared" si="18"/>
        <v>6.6081800169623178E-3</v>
      </c>
      <c r="X106" s="268">
        <f>INDEX(POBLACION!$C$4:$W$128,MATCH(A106,POBLACION!$A$4:$A$128,0),MATCH($W$2,POBLACION!$C$3:$W$3,0))</f>
        <v>42505</v>
      </c>
      <c r="Y106" s="258">
        <f t="shared" si="19"/>
        <v>16309.133774443548</v>
      </c>
      <c r="Z106" s="270">
        <f t="shared" si="20"/>
        <v>17948.233110935453</v>
      </c>
      <c r="AA106" s="273">
        <f t="shared" si="21"/>
        <v>4.2124308950090352</v>
      </c>
      <c r="AB106" s="273">
        <f t="shared" si="21"/>
        <v>4.2540217014970683</v>
      </c>
    </row>
    <row r="107" spans="1:28" x14ac:dyDescent="0.2">
      <c r="A107" s="35" t="s">
        <v>322</v>
      </c>
      <c r="B107" s="32" t="s">
        <v>317</v>
      </c>
      <c r="C107" s="33" t="s">
        <v>225</v>
      </c>
      <c r="D107" s="32" t="s">
        <v>323</v>
      </c>
      <c r="E107" s="51">
        <f>SUMIFS('PIB Mpal 2015-2022 Cons'!H$5:H$1012,'PIB Mpal 2015-2022 Cons'!$A$5:$A$1012,$W$2,'PIB Mpal 2015-2022 Cons'!$E$5:$E$1012,$A107)</f>
        <v>20.554632028609227</v>
      </c>
      <c r="F107" s="51">
        <f>SUMIFS('PIB Mpal 2015-2022 Cons'!I$5:I$1012,'PIB Mpal 2015-2022 Cons'!$A$5:$A$1012,$W$2,'PIB Mpal 2015-2022 Cons'!$E$5:$E$1012,$A107)</f>
        <v>0.28277776702061885</v>
      </c>
      <c r="G107" s="51">
        <f>SUMIFS('PIB Mpal 2015-2022 Cons'!K$5:K$1012,'PIB Mpal 2015-2022 Cons'!$A$5:$A$1012,$W$2,'PIB Mpal 2015-2022 Cons'!$E$5:$E$1012,$A107)</f>
        <v>4.7200689331057095</v>
      </c>
      <c r="H107" s="51">
        <f>SUMIFS('PIB Mpal 2015-2022 Cons'!L$5:L$1012,'PIB Mpal 2015-2022 Cons'!$A$5:$A$1012,$W$2,'PIB Mpal 2015-2022 Cons'!$E$5:$E$1012,$A107)</f>
        <v>0.98301772031156354</v>
      </c>
      <c r="I107" s="51">
        <f>SUMIFS('PIB Mpal 2015-2022 Cons'!N$5:N$1012,'PIB Mpal 2015-2022 Cons'!$A$5:$A$1012,$W$2,'PIB Mpal 2015-2022 Cons'!$E$5:$E$1012,$A107)</f>
        <v>2.2000050043708739</v>
      </c>
      <c r="J107" s="51">
        <f>SUMIFS('PIB Mpal 2015-2022 Cons'!O$5:O$1012,'PIB Mpal 2015-2022 Cons'!$A$5:$A$1012,$W$2,'PIB Mpal 2015-2022 Cons'!$E$5:$E$1012,$A107)</f>
        <v>11.537641882393608</v>
      </c>
      <c r="K107" s="51">
        <f>SUMIFS('PIB Mpal 2015-2022 Cons'!P$5:P$1012,'PIB Mpal 2015-2022 Cons'!$A$5:$A$1012,$W$2,'PIB Mpal 2015-2022 Cons'!$E$5:$E$1012,$A107)</f>
        <v>1.2207461715993457</v>
      </c>
      <c r="L107" s="51">
        <f>SUMIFS('PIB Mpal 2015-2022 Cons'!Q$5:Q$1012,'PIB Mpal 2015-2022 Cons'!$A$5:$A$1012,$W$2,'PIB Mpal 2015-2022 Cons'!$E$5:$E$1012,$A107)</f>
        <v>0.98567748356081508</v>
      </c>
      <c r="M107" s="51">
        <f>SUMIFS('PIB Mpal 2015-2022 Cons'!R$5:R$1012,'PIB Mpal 2015-2022 Cons'!$A$5:$A$1012,$W$2,'PIB Mpal 2015-2022 Cons'!$E$5:$E$1012,$A107)</f>
        <v>3.3487737475877539</v>
      </c>
      <c r="N107" s="51">
        <f>SUMIFS('PIB Mpal 2015-2022 Cons'!S$5:S$1012,'PIB Mpal 2015-2022 Cons'!$A$5:$A$1012,$W$2,'PIB Mpal 2015-2022 Cons'!$E$5:$E$1012,$A107)</f>
        <v>5.3826893211486722</v>
      </c>
      <c r="O107" s="51">
        <f>SUMIFS('PIB Mpal 2015-2022 Cons'!T$5:T$1012,'PIB Mpal 2015-2022 Cons'!$A$5:$A$1012,$W$2,'PIB Mpal 2015-2022 Cons'!$E$5:$E$1012,$A107)</f>
        <v>9.3354069876782972</v>
      </c>
      <c r="P107" s="150">
        <f>SUMIFS('PIB Mpal 2015-2022 Cons'!U$5:U$1012,'PIB Mpal 2015-2022 Cons'!$A$5:$A$1012,$W$2,'PIB Mpal 2015-2022 Cons'!$E$5:$E$1012,$A107)</f>
        <v>1.535689835338016</v>
      </c>
      <c r="Q107" s="217">
        <f>SUMIFS('PIB Mpal 2015-2022 Cons'!J$5:J$1012,'PIB Mpal 2015-2022 Cons'!$A$5:$A$1012,$W$2,'PIB Mpal 2015-2022 Cons'!$E$5:$E$1012,$A107)</f>
        <v>20.837409795629846</v>
      </c>
      <c r="R107" s="99">
        <f>SUMIFS('PIB Mpal 2015-2022 Cons'!M$5:M$1012,'PIB Mpal 2015-2022 Cons'!$A$5:$A$1012,$W$2,'PIB Mpal 2015-2022 Cons'!$E$5:$E$1012,$A107)</f>
        <v>5.7030866534172731</v>
      </c>
      <c r="S107" s="53">
        <f>SUMIFS('PIB Mpal 2015-2022 Cons'!V$5:V$1012,'PIB Mpal 2015-2022 Cons'!$A$5:$A$1012,$W$2,'PIB Mpal 2015-2022 Cons'!$E$5:$E$1012,$A107)</f>
        <v>35.546630433677386</v>
      </c>
      <c r="T107" s="153">
        <f>SUMIFS('PIB Mpal 2015-2022 Cons'!W$5:W$1012,'PIB Mpal 2015-2022 Cons'!$A$5:$A$1012,$W$2,'PIB Mpal 2015-2022 Cons'!$E$5:$E$1012,$A107)</f>
        <v>62.087126882724505</v>
      </c>
      <c r="U107" s="51">
        <f>SUMIFS('PIB Mpal 2015-2022 Cons'!X$5:X$1012,'PIB Mpal 2015-2022 Cons'!$A$5:$A$1012,$W$2,'PIB Mpal 2015-2022 Cons'!$E$5:$E$1012,$A107)</f>
        <v>6.2398757583352937</v>
      </c>
      <c r="V107" s="53">
        <f>SUMIFS('PIB Mpal 2015-2022 Cons'!Y$5:Y$1012,'PIB Mpal 2015-2022 Cons'!$A$5:$A$1012,$W$2,'PIB Mpal 2015-2022 Cons'!$E$5:$E$1012,$A107)</f>
        <v>68.327002641059792</v>
      </c>
      <c r="W107" s="92">
        <f t="shared" si="18"/>
        <v>5.9185117327282839E-4</v>
      </c>
      <c r="X107" s="268">
        <f>INDEX(POBLACION!$C$4:$W$128,MATCH(A107,POBLACION!$A$4:$A$128,0),MATCH($W$2,POBLACION!$C$3:$W$3,0))</f>
        <v>5796</v>
      </c>
      <c r="Y107" s="258">
        <f t="shared" si="19"/>
        <v>10712.064679559093</v>
      </c>
      <c r="Z107" s="270">
        <f t="shared" si="20"/>
        <v>11788.64779866456</v>
      </c>
      <c r="AA107" s="273">
        <f t="shared" si="21"/>
        <v>4.0298731862865145</v>
      </c>
      <c r="AB107" s="273">
        <f t="shared" si="21"/>
        <v>4.0714639927747172</v>
      </c>
    </row>
    <row r="108" spans="1:28" x14ac:dyDescent="0.2">
      <c r="A108" s="35" t="s">
        <v>324</v>
      </c>
      <c r="B108" s="32" t="s">
        <v>317</v>
      </c>
      <c r="C108" s="33" t="s">
        <v>320</v>
      </c>
      <c r="D108" s="32" t="s">
        <v>325</v>
      </c>
      <c r="E108" s="51">
        <f>SUMIFS('PIB Mpal 2015-2022 Cons'!H$5:H$1012,'PIB Mpal 2015-2022 Cons'!$A$5:$A$1012,$W$2,'PIB Mpal 2015-2022 Cons'!$E$5:$E$1012,$A108)</f>
        <v>51.690785557510551</v>
      </c>
      <c r="F108" s="51">
        <f>SUMIFS('PIB Mpal 2015-2022 Cons'!I$5:I$1012,'PIB Mpal 2015-2022 Cons'!$A$5:$A$1012,$W$2,'PIB Mpal 2015-2022 Cons'!$E$5:$E$1012,$A108)</f>
        <v>0</v>
      </c>
      <c r="G108" s="51">
        <f>SUMIFS('PIB Mpal 2015-2022 Cons'!K$5:K$1012,'PIB Mpal 2015-2022 Cons'!$A$5:$A$1012,$W$2,'PIB Mpal 2015-2022 Cons'!$E$5:$E$1012,$A108)</f>
        <v>5.6729632422953458</v>
      </c>
      <c r="H108" s="51">
        <f>SUMIFS('PIB Mpal 2015-2022 Cons'!L$5:L$1012,'PIB Mpal 2015-2022 Cons'!$A$5:$A$1012,$W$2,'PIB Mpal 2015-2022 Cons'!$E$5:$E$1012,$A108)</f>
        <v>5.4767181236237326</v>
      </c>
      <c r="I108" s="51">
        <f>SUMIFS('PIB Mpal 2015-2022 Cons'!N$5:N$1012,'PIB Mpal 2015-2022 Cons'!$A$5:$A$1012,$W$2,'PIB Mpal 2015-2022 Cons'!$E$5:$E$1012,$A108)</f>
        <v>2.697114850143838</v>
      </c>
      <c r="J108" s="51">
        <f>SUMIFS('PIB Mpal 2015-2022 Cons'!O$5:O$1012,'PIB Mpal 2015-2022 Cons'!$A$5:$A$1012,$W$2,'PIB Mpal 2015-2022 Cons'!$E$5:$E$1012,$A108)</f>
        <v>15.799636639278594</v>
      </c>
      <c r="K108" s="51">
        <f>SUMIFS('PIB Mpal 2015-2022 Cons'!P$5:P$1012,'PIB Mpal 2015-2022 Cons'!$A$5:$A$1012,$W$2,'PIB Mpal 2015-2022 Cons'!$E$5:$E$1012,$A108)</f>
        <v>3.2832327062810105</v>
      </c>
      <c r="L108" s="51">
        <f>SUMIFS('PIB Mpal 2015-2022 Cons'!Q$5:Q$1012,'PIB Mpal 2015-2022 Cons'!$A$5:$A$1012,$W$2,'PIB Mpal 2015-2022 Cons'!$E$5:$E$1012,$A108)</f>
        <v>2.7561415321373679</v>
      </c>
      <c r="M108" s="51">
        <f>SUMIFS('PIB Mpal 2015-2022 Cons'!R$5:R$1012,'PIB Mpal 2015-2022 Cons'!$A$5:$A$1012,$W$2,'PIB Mpal 2015-2022 Cons'!$E$5:$E$1012,$A108)</f>
        <v>7.6225427884559505</v>
      </c>
      <c r="N108" s="51">
        <f>SUMIFS('PIB Mpal 2015-2022 Cons'!S$5:S$1012,'PIB Mpal 2015-2022 Cons'!$A$5:$A$1012,$W$2,'PIB Mpal 2015-2022 Cons'!$E$5:$E$1012,$A108)</f>
        <v>9.4974590456357166</v>
      </c>
      <c r="O108" s="51">
        <f>SUMIFS('PIB Mpal 2015-2022 Cons'!T$5:T$1012,'PIB Mpal 2015-2022 Cons'!$A$5:$A$1012,$W$2,'PIB Mpal 2015-2022 Cons'!$E$5:$E$1012,$A108)</f>
        <v>16.234317034283958</v>
      </c>
      <c r="P108" s="150">
        <f>SUMIFS('PIB Mpal 2015-2022 Cons'!U$5:U$1012,'PIB Mpal 2015-2022 Cons'!$A$5:$A$1012,$W$2,'PIB Mpal 2015-2022 Cons'!$E$5:$E$1012,$A108)</f>
        <v>2.7103555866682574</v>
      </c>
      <c r="Q108" s="217">
        <f>SUMIFS('PIB Mpal 2015-2022 Cons'!J$5:J$1012,'PIB Mpal 2015-2022 Cons'!$A$5:$A$1012,$W$2,'PIB Mpal 2015-2022 Cons'!$E$5:$E$1012,$A108)</f>
        <v>51.690785557510551</v>
      </c>
      <c r="R108" s="99">
        <f>SUMIFS('PIB Mpal 2015-2022 Cons'!M$5:M$1012,'PIB Mpal 2015-2022 Cons'!$A$5:$A$1012,$W$2,'PIB Mpal 2015-2022 Cons'!$E$5:$E$1012,$A108)</f>
        <v>11.149681365919079</v>
      </c>
      <c r="S108" s="53">
        <f>SUMIFS('PIB Mpal 2015-2022 Cons'!V$5:V$1012,'PIB Mpal 2015-2022 Cons'!$A$5:$A$1012,$W$2,'PIB Mpal 2015-2022 Cons'!$E$5:$E$1012,$A108)</f>
        <v>60.600800182884683</v>
      </c>
      <c r="T108" s="153">
        <f>SUMIFS('PIB Mpal 2015-2022 Cons'!W$5:W$1012,'PIB Mpal 2015-2022 Cons'!$A$5:$A$1012,$W$2,'PIB Mpal 2015-2022 Cons'!$E$5:$E$1012,$A108)</f>
        <v>123.44126710631431</v>
      </c>
      <c r="U108" s="51">
        <f>SUMIFS('PIB Mpal 2015-2022 Cons'!X$5:X$1012,'PIB Mpal 2015-2022 Cons'!$A$5:$A$1012,$W$2,'PIB Mpal 2015-2022 Cons'!$E$5:$E$1012,$A108)</f>
        <v>12.406084946446587</v>
      </c>
      <c r="V108" s="53">
        <f>SUMIFS('PIB Mpal 2015-2022 Cons'!Y$5:Y$1012,'PIB Mpal 2015-2022 Cons'!$A$5:$A$1012,$W$2,'PIB Mpal 2015-2022 Cons'!$E$5:$E$1012,$A108)</f>
        <v>135.8473520527609</v>
      </c>
      <c r="W108" s="92">
        <f t="shared" si="18"/>
        <v>1.176715084676023E-3</v>
      </c>
      <c r="X108" s="268">
        <f>INDEX(POBLACION!$C$4:$W$128,MATCH(A108,POBLACION!$A$4:$A$128,0),MATCH($W$2,POBLACION!$C$3:$W$3,0))</f>
        <v>10549</v>
      </c>
      <c r="Y108" s="258">
        <f t="shared" si="19"/>
        <v>11701.703204693746</v>
      </c>
      <c r="Z108" s="270">
        <f t="shared" si="20"/>
        <v>12877.746900441833</v>
      </c>
      <c r="AA108" s="273">
        <f t="shared" si="21"/>
        <v>4.0682490787175833</v>
      </c>
      <c r="AB108" s="273">
        <f t="shared" si="21"/>
        <v>4.1098398852054254</v>
      </c>
    </row>
    <row r="109" spans="1:28" x14ac:dyDescent="0.2">
      <c r="A109" s="35" t="s">
        <v>326</v>
      </c>
      <c r="B109" s="32" t="s">
        <v>317</v>
      </c>
      <c r="C109" s="33" t="s">
        <v>225</v>
      </c>
      <c r="D109" s="32" t="s">
        <v>327</v>
      </c>
      <c r="E109" s="51">
        <f>SUMIFS('PIB Mpal 2015-2022 Cons'!H$5:H$1012,'PIB Mpal 2015-2022 Cons'!$A$5:$A$1012,$W$2,'PIB Mpal 2015-2022 Cons'!$E$5:$E$1012,$A109)</f>
        <v>66.127364330582111</v>
      </c>
      <c r="F109" s="51">
        <f>SUMIFS('PIB Mpal 2015-2022 Cons'!I$5:I$1012,'PIB Mpal 2015-2022 Cons'!$A$5:$A$1012,$W$2,'PIB Mpal 2015-2022 Cons'!$E$5:$E$1012,$A109)</f>
        <v>0</v>
      </c>
      <c r="G109" s="51">
        <f>SUMIFS('PIB Mpal 2015-2022 Cons'!K$5:K$1012,'PIB Mpal 2015-2022 Cons'!$A$5:$A$1012,$W$2,'PIB Mpal 2015-2022 Cons'!$E$5:$E$1012,$A109)</f>
        <v>8.9688501607757782</v>
      </c>
      <c r="H109" s="51">
        <f>SUMIFS('PIB Mpal 2015-2022 Cons'!L$5:L$1012,'PIB Mpal 2015-2022 Cons'!$A$5:$A$1012,$W$2,'PIB Mpal 2015-2022 Cons'!$E$5:$E$1012,$A109)</f>
        <v>6.0064368525378242</v>
      </c>
      <c r="I109" s="51">
        <f>SUMIFS('PIB Mpal 2015-2022 Cons'!N$5:N$1012,'PIB Mpal 2015-2022 Cons'!$A$5:$A$1012,$W$2,'PIB Mpal 2015-2022 Cons'!$E$5:$E$1012,$A109)</f>
        <v>5.4026021428319968</v>
      </c>
      <c r="J109" s="51">
        <f>SUMIFS('PIB Mpal 2015-2022 Cons'!O$5:O$1012,'PIB Mpal 2015-2022 Cons'!$A$5:$A$1012,$W$2,'PIB Mpal 2015-2022 Cons'!$E$5:$E$1012,$A109)</f>
        <v>16.139455896835457</v>
      </c>
      <c r="K109" s="51">
        <f>SUMIFS('PIB Mpal 2015-2022 Cons'!P$5:P$1012,'PIB Mpal 2015-2022 Cons'!$A$5:$A$1012,$W$2,'PIB Mpal 2015-2022 Cons'!$E$5:$E$1012,$A109)</f>
        <v>5.2460650273016212</v>
      </c>
      <c r="L109" s="51">
        <f>SUMIFS('PIB Mpal 2015-2022 Cons'!Q$5:Q$1012,'PIB Mpal 2015-2022 Cons'!$A$5:$A$1012,$W$2,'PIB Mpal 2015-2022 Cons'!$E$5:$E$1012,$A109)</f>
        <v>4.0235898687366767</v>
      </c>
      <c r="M109" s="51">
        <f>SUMIFS('PIB Mpal 2015-2022 Cons'!R$5:R$1012,'PIB Mpal 2015-2022 Cons'!$A$5:$A$1012,$W$2,'PIB Mpal 2015-2022 Cons'!$E$5:$E$1012,$A109)</f>
        <v>12.298401154306807</v>
      </c>
      <c r="N109" s="51">
        <f>SUMIFS('PIB Mpal 2015-2022 Cons'!S$5:S$1012,'PIB Mpal 2015-2022 Cons'!$A$5:$A$1012,$W$2,'PIB Mpal 2015-2022 Cons'!$E$5:$E$1012,$A109)</f>
        <v>13.939635597608097</v>
      </c>
      <c r="O109" s="51">
        <f>SUMIFS('PIB Mpal 2015-2022 Cons'!T$5:T$1012,'PIB Mpal 2015-2022 Cons'!$A$5:$A$1012,$W$2,'PIB Mpal 2015-2022 Cons'!$E$5:$E$1012,$A109)</f>
        <v>29.833944962072653</v>
      </c>
      <c r="P109" s="150">
        <f>SUMIFS('PIB Mpal 2015-2022 Cons'!U$5:U$1012,'PIB Mpal 2015-2022 Cons'!$A$5:$A$1012,$W$2,'PIB Mpal 2015-2022 Cons'!$E$5:$E$1012,$A109)</f>
        <v>4.0010227689505777</v>
      </c>
      <c r="Q109" s="217">
        <f>SUMIFS('PIB Mpal 2015-2022 Cons'!J$5:J$1012,'PIB Mpal 2015-2022 Cons'!$A$5:$A$1012,$W$2,'PIB Mpal 2015-2022 Cons'!$E$5:$E$1012,$A109)</f>
        <v>66.127364330582111</v>
      </c>
      <c r="R109" s="99">
        <f>SUMIFS('PIB Mpal 2015-2022 Cons'!M$5:M$1012,'PIB Mpal 2015-2022 Cons'!$A$5:$A$1012,$W$2,'PIB Mpal 2015-2022 Cons'!$E$5:$E$1012,$A109)</f>
        <v>14.975287013313602</v>
      </c>
      <c r="S109" s="53">
        <f>SUMIFS('PIB Mpal 2015-2022 Cons'!V$5:V$1012,'PIB Mpal 2015-2022 Cons'!$A$5:$A$1012,$W$2,'PIB Mpal 2015-2022 Cons'!$E$5:$E$1012,$A109)</f>
        <v>90.884717418643888</v>
      </c>
      <c r="T109" s="153">
        <f>SUMIFS('PIB Mpal 2015-2022 Cons'!W$5:W$1012,'PIB Mpal 2015-2022 Cons'!$A$5:$A$1012,$W$2,'PIB Mpal 2015-2022 Cons'!$E$5:$E$1012,$A109)</f>
        <v>171.9873687625396</v>
      </c>
      <c r="U109" s="51">
        <f>SUMIFS('PIB Mpal 2015-2022 Cons'!X$5:X$1012,'PIB Mpal 2015-2022 Cons'!$A$5:$A$1012,$W$2,'PIB Mpal 2015-2022 Cons'!$E$5:$E$1012,$A109)</f>
        <v>17.285061605493389</v>
      </c>
      <c r="V109" s="53">
        <f>SUMIFS('PIB Mpal 2015-2022 Cons'!Y$5:Y$1012,'PIB Mpal 2015-2022 Cons'!$A$5:$A$1012,$W$2,'PIB Mpal 2015-2022 Cons'!$E$5:$E$1012,$A109)</f>
        <v>189.27243036803299</v>
      </c>
      <c r="W109" s="92">
        <f t="shared" si="18"/>
        <v>1.6394852057245537E-3</v>
      </c>
      <c r="X109" s="268">
        <f>INDEX(POBLACION!$C$4:$W$128,MATCH(A109,POBLACION!$A$4:$A$128,0),MATCH($W$2,POBLACION!$C$3:$W$3,0))</f>
        <v>15427</v>
      </c>
      <c r="Y109" s="258">
        <f t="shared" si="19"/>
        <v>11148.464948631594</v>
      </c>
      <c r="Z109" s="270">
        <f t="shared" si="20"/>
        <v>12268.907134765865</v>
      </c>
      <c r="AA109" s="273">
        <f t="shared" si="21"/>
        <v>4.0472150727443843</v>
      </c>
      <c r="AB109" s="273">
        <f t="shared" si="21"/>
        <v>4.0888058792323925</v>
      </c>
    </row>
    <row r="110" spans="1:28" x14ac:dyDescent="0.2">
      <c r="A110" s="35" t="s">
        <v>328</v>
      </c>
      <c r="B110" s="32" t="s">
        <v>317</v>
      </c>
      <c r="C110" s="33" t="s">
        <v>329</v>
      </c>
      <c r="D110" s="32" t="s">
        <v>330</v>
      </c>
      <c r="E110" s="51">
        <f>SUMIFS('PIB Mpal 2015-2022 Cons'!H$5:H$1012,'PIB Mpal 2015-2022 Cons'!$A$5:$A$1012,$W$2,'PIB Mpal 2015-2022 Cons'!$E$5:$E$1012,$A110)</f>
        <v>26.169008421354484</v>
      </c>
      <c r="F110" s="51">
        <f>SUMIFS('PIB Mpal 2015-2022 Cons'!I$5:I$1012,'PIB Mpal 2015-2022 Cons'!$A$5:$A$1012,$W$2,'PIB Mpal 2015-2022 Cons'!$E$5:$E$1012,$A110)</f>
        <v>0</v>
      </c>
      <c r="G110" s="51">
        <f>SUMIFS('PIB Mpal 2015-2022 Cons'!K$5:K$1012,'PIB Mpal 2015-2022 Cons'!$A$5:$A$1012,$W$2,'PIB Mpal 2015-2022 Cons'!$E$5:$E$1012,$A110)</f>
        <v>1.192053729575542</v>
      </c>
      <c r="H110" s="51">
        <f>SUMIFS('PIB Mpal 2015-2022 Cons'!L$5:L$1012,'PIB Mpal 2015-2022 Cons'!$A$5:$A$1012,$W$2,'PIB Mpal 2015-2022 Cons'!$E$5:$E$1012,$A110)</f>
        <v>5.1910416576341856</v>
      </c>
      <c r="I110" s="51">
        <f>SUMIFS('PIB Mpal 2015-2022 Cons'!N$5:N$1012,'PIB Mpal 2015-2022 Cons'!$A$5:$A$1012,$W$2,'PIB Mpal 2015-2022 Cons'!$E$5:$E$1012,$A110)</f>
        <v>1.7622203135058649</v>
      </c>
      <c r="J110" s="51">
        <f>SUMIFS('PIB Mpal 2015-2022 Cons'!O$5:O$1012,'PIB Mpal 2015-2022 Cons'!$A$5:$A$1012,$W$2,'PIB Mpal 2015-2022 Cons'!$E$5:$E$1012,$A110)</f>
        <v>7.4037612868210028</v>
      </c>
      <c r="K110" s="51">
        <f>SUMIFS('PIB Mpal 2015-2022 Cons'!P$5:P$1012,'PIB Mpal 2015-2022 Cons'!$A$5:$A$1012,$W$2,'PIB Mpal 2015-2022 Cons'!$E$5:$E$1012,$A110)</f>
        <v>1.6730930484105744</v>
      </c>
      <c r="L110" s="51">
        <f>SUMIFS('PIB Mpal 2015-2022 Cons'!Q$5:Q$1012,'PIB Mpal 2015-2022 Cons'!$A$5:$A$1012,$W$2,'PIB Mpal 2015-2022 Cons'!$E$5:$E$1012,$A110)</f>
        <v>1.6224199972849322</v>
      </c>
      <c r="M110" s="51">
        <f>SUMIFS('PIB Mpal 2015-2022 Cons'!R$5:R$1012,'PIB Mpal 2015-2022 Cons'!$A$5:$A$1012,$W$2,'PIB Mpal 2015-2022 Cons'!$E$5:$E$1012,$A110)</f>
        <v>3.8254698071419981</v>
      </c>
      <c r="N110" s="51">
        <f>SUMIFS('PIB Mpal 2015-2022 Cons'!S$5:S$1012,'PIB Mpal 2015-2022 Cons'!$A$5:$A$1012,$W$2,'PIB Mpal 2015-2022 Cons'!$E$5:$E$1012,$A110)</f>
        <v>6.5772140036240456</v>
      </c>
      <c r="O110" s="51">
        <f>SUMIFS('PIB Mpal 2015-2022 Cons'!T$5:T$1012,'PIB Mpal 2015-2022 Cons'!$A$5:$A$1012,$W$2,'PIB Mpal 2015-2022 Cons'!$E$5:$E$1012,$A110)</f>
        <v>11.441045777226721</v>
      </c>
      <c r="P110" s="150">
        <f>SUMIFS('PIB Mpal 2015-2022 Cons'!U$5:U$1012,'PIB Mpal 2015-2022 Cons'!$A$5:$A$1012,$W$2,'PIB Mpal 2015-2022 Cons'!$E$5:$E$1012,$A110)</f>
        <v>1.371841139318132</v>
      </c>
      <c r="Q110" s="217">
        <f>SUMIFS('PIB Mpal 2015-2022 Cons'!J$5:J$1012,'PIB Mpal 2015-2022 Cons'!$A$5:$A$1012,$W$2,'PIB Mpal 2015-2022 Cons'!$E$5:$E$1012,$A110)</f>
        <v>26.169008421354484</v>
      </c>
      <c r="R110" s="99">
        <f>SUMIFS('PIB Mpal 2015-2022 Cons'!M$5:M$1012,'PIB Mpal 2015-2022 Cons'!$A$5:$A$1012,$W$2,'PIB Mpal 2015-2022 Cons'!$E$5:$E$1012,$A110)</f>
        <v>6.3830953872097274</v>
      </c>
      <c r="S110" s="53">
        <f>SUMIFS('PIB Mpal 2015-2022 Cons'!V$5:V$1012,'PIB Mpal 2015-2022 Cons'!$A$5:$A$1012,$W$2,'PIB Mpal 2015-2022 Cons'!$E$5:$E$1012,$A110)</f>
        <v>35.677065373333278</v>
      </c>
      <c r="T110" s="153">
        <f>SUMIFS('PIB Mpal 2015-2022 Cons'!W$5:W$1012,'PIB Mpal 2015-2022 Cons'!$A$5:$A$1012,$W$2,'PIB Mpal 2015-2022 Cons'!$E$5:$E$1012,$A110)</f>
        <v>68.22916918189749</v>
      </c>
      <c r="U110" s="51">
        <f>SUMIFS('PIB Mpal 2015-2022 Cons'!X$5:X$1012,'PIB Mpal 2015-2022 Cons'!$A$5:$A$1012,$W$2,'PIB Mpal 2015-2022 Cons'!$E$5:$E$1012,$A110)</f>
        <v>6.8571628316978721</v>
      </c>
      <c r="V110" s="53">
        <f>SUMIFS('PIB Mpal 2015-2022 Cons'!Y$5:Y$1012,'PIB Mpal 2015-2022 Cons'!$A$5:$A$1012,$W$2,'PIB Mpal 2015-2022 Cons'!$E$5:$E$1012,$A110)</f>
        <v>75.086332013595367</v>
      </c>
      <c r="W110" s="92">
        <f t="shared" si="18"/>
        <v>6.5040074906336134E-4</v>
      </c>
      <c r="X110" s="268">
        <f>INDEX(POBLACION!$C$4:$W$128,MATCH(A110,POBLACION!$A$4:$A$128,0),MATCH($W$2,POBLACION!$C$3:$W$3,0))</f>
        <v>5012</v>
      </c>
      <c r="Y110" s="258">
        <f t="shared" si="19"/>
        <v>13613.162246986729</v>
      </c>
      <c r="Z110" s="270">
        <f t="shared" si="20"/>
        <v>14981.311255705381</v>
      </c>
      <c r="AA110" s="273">
        <f t="shared" si="21"/>
        <v>4.1339590206401295</v>
      </c>
      <c r="AB110" s="273">
        <f t="shared" si="21"/>
        <v>4.1755498271281137</v>
      </c>
    </row>
    <row r="111" spans="1:28" x14ac:dyDescent="0.2">
      <c r="A111" s="35" t="s">
        <v>331</v>
      </c>
      <c r="B111" s="32" t="s">
        <v>317</v>
      </c>
      <c r="C111" s="33" t="s">
        <v>320</v>
      </c>
      <c r="D111" s="32" t="s">
        <v>332</v>
      </c>
      <c r="E111" s="51">
        <f>SUMIFS('PIB Mpal 2015-2022 Cons'!H$5:H$1012,'PIB Mpal 2015-2022 Cons'!$A$5:$A$1012,$W$2,'PIB Mpal 2015-2022 Cons'!$E$5:$E$1012,$A111)</f>
        <v>76.251288711132929</v>
      </c>
      <c r="F111" s="51">
        <f>SUMIFS('PIB Mpal 2015-2022 Cons'!I$5:I$1012,'PIB Mpal 2015-2022 Cons'!$A$5:$A$1012,$W$2,'PIB Mpal 2015-2022 Cons'!$E$5:$E$1012,$A111)</f>
        <v>0</v>
      </c>
      <c r="G111" s="51">
        <f>SUMIFS('PIB Mpal 2015-2022 Cons'!K$5:K$1012,'PIB Mpal 2015-2022 Cons'!$A$5:$A$1012,$W$2,'PIB Mpal 2015-2022 Cons'!$E$5:$E$1012,$A111)</f>
        <v>12.57220748115013</v>
      </c>
      <c r="H111" s="51">
        <f>SUMIFS('PIB Mpal 2015-2022 Cons'!L$5:L$1012,'PIB Mpal 2015-2022 Cons'!$A$5:$A$1012,$W$2,'PIB Mpal 2015-2022 Cons'!$E$5:$E$1012,$A111)</f>
        <v>14.660096485513613</v>
      </c>
      <c r="I111" s="51">
        <f>SUMIFS('PIB Mpal 2015-2022 Cons'!N$5:N$1012,'PIB Mpal 2015-2022 Cons'!$A$5:$A$1012,$W$2,'PIB Mpal 2015-2022 Cons'!$E$5:$E$1012,$A111)</f>
        <v>8.2273341331276573</v>
      </c>
      <c r="J111" s="51">
        <f>SUMIFS('PIB Mpal 2015-2022 Cons'!O$5:O$1012,'PIB Mpal 2015-2022 Cons'!$A$5:$A$1012,$W$2,'PIB Mpal 2015-2022 Cons'!$E$5:$E$1012,$A111)</f>
        <v>61.706919738550638</v>
      </c>
      <c r="K111" s="51">
        <f>SUMIFS('PIB Mpal 2015-2022 Cons'!P$5:P$1012,'PIB Mpal 2015-2022 Cons'!$A$5:$A$1012,$W$2,'PIB Mpal 2015-2022 Cons'!$E$5:$E$1012,$A111)</f>
        <v>9.268347204894388</v>
      </c>
      <c r="L111" s="51">
        <f>SUMIFS('PIB Mpal 2015-2022 Cons'!Q$5:Q$1012,'PIB Mpal 2015-2022 Cons'!$A$5:$A$1012,$W$2,'PIB Mpal 2015-2022 Cons'!$E$5:$E$1012,$A111)</f>
        <v>10.901395232216688</v>
      </c>
      <c r="M111" s="51">
        <f>SUMIFS('PIB Mpal 2015-2022 Cons'!R$5:R$1012,'PIB Mpal 2015-2022 Cons'!$A$5:$A$1012,$W$2,'PIB Mpal 2015-2022 Cons'!$E$5:$E$1012,$A111)</f>
        <v>22.047567318672122</v>
      </c>
      <c r="N111" s="51">
        <f>SUMIFS('PIB Mpal 2015-2022 Cons'!S$5:S$1012,'PIB Mpal 2015-2022 Cons'!$A$5:$A$1012,$W$2,'PIB Mpal 2015-2022 Cons'!$E$5:$E$1012,$A111)</f>
        <v>26.171121056610104</v>
      </c>
      <c r="O111" s="51">
        <f>SUMIFS('PIB Mpal 2015-2022 Cons'!T$5:T$1012,'PIB Mpal 2015-2022 Cons'!$A$5:$A$1012,$W$2,'PIB Mpal 2015-2022 Cons'!$E$5:$E$1012,$A111)</f>
        <v>46.905424723996468</v>
      </c>
      <c r="P111" s="150">
        <f>SUMIFS('PIB Mpal 2015-2022 Cons'!U$5:U$1012,'PIB Mpal 2015-2022 Cons'!$A$5:$A$1012,$W$2,'PIB Mpal 2015-2022 Cons'!$E$5:$E$1012,$A111)</f>
        <v>6.4977039313364369</v>
      </c>
      <c r="Q111" s="217">
        <f>SUMIFS('PIB Mpal 2015-2022 Cons'!J$5:J$1012,'PIB Mpal 2015-2022 Cons'!$A$5:$A$1012,$W$2,'PIB Mpal 2015-2022 Cons'!$E$5:$E$1012,$A111)</f>
        <v>76.251288711132929</v>
      </c>
      <c r="R111" s="99">
        <f>SUMIFS('PIB Mpal 2015-2022 Cons'!M$5:M$1012,'PIB Mpal 2015-2022 Cons'!$A$5:$A$1012,$W$2,'PIB Mpal 2015-2022 Cons'!$E$5:$E$1012,$A111)</f>
        <v>27.232303966663743</v>
      </c>
      <c r="S111" s="53">
        <f>SUMIFS('PIB Mpal 2015-2022 Cons'!V$5:V$1012,'PIB Mpal 2015-2022 Cons'!$A$5:$A$1012,$W$2,'PIB Mpal 2015-2022 Cons'!$E$5:$E$1012,$A111)</f>
        <v>191.72581333940451</v>
      </c>
      <c r="T111" s="153">
        <f>SUMIFS('PIB Mpal 2015-2022 Cons'!W$5:W$1012,'PIB Mpal 2015-2022 Cons'!$A$5:$A$1012,$W$2,'PIB Mpal 2015-2022 Cons'!$E$5:$E$1012,$A111)</f>
        <v>295.20940601720122</v>
      </c>
      <c r="U111" s="51">
        <f>SUMIFS('PIB Mpal 2015-2022 Cons'!X$5:X$1012,'PIB Mpal 2015-2022 Cons'!$A$5:$A$1012,$W$2,'PIB Mpal 2015-2022 Cons'!$E$5:$E$1012,$A111)</f>
        <v>29.669113530322086</v>
      </c>
      <c r="V111" s="53">
        <f>SUMIFS('PIB Mpal 2015-2022 Cons'!Y$5:Y$1012,'PIB Mpal 2015-2022 Cons'!$A$5:$A$1012,$W$2,'PIB Mpal 2015-2022 Cons'!$E$5:$E$1012,$A111)</f>
        <v>324.8785195475233</v>
      </c>
      <c r="W111" s="92">
        <f t="shared" si="18"/>
        <v>2.8141104619419438E-3</v>
      </c>
      <c r="X111" s="268">
        <f>INDEX(POBLACION!$C$4:$W$128,MATCH(A111,POBLACION!$A$4:$A$128,0),MATCH($W$2,POBLACION!$C$3:$W$3,0))</f>
        <v>26073</v>
      </c>
      <c r="Y111" s="258">
        <f t="shared" si="19"/>
        <v>11322.418057653558</v>
      </c>
      <c r="Z111" s="270">
        <f t="shared" si="20"/>
        <v>12460.342866088416</v>
      </c>
      <c r="AA111" s="273">
        <f t="shared" si="21"/>
        <v>4.0539391863002221</v>
      </c>
      <c r="AB111" s="273">
        <f t="shared" si="21"/>
        <v>4.0955299927887641</v>
      </c>
    </row>
    <row r="112" spans="1:28" x14ac:dyDescent="0.2">
      <c r="A112" s="35" t="s">
        <v>333</v>
      </c>
      <c r="B112" s="32" t="s">
        <v>317</v>
      </c>
      <c r="C112" s="33" t="s">
        <v>225</v>
      </c>
      <c r="D112" s="32" t="s">
        <v>334</v>
      </c>
      <c r="E112" s="51">
        <f>SUMIFS('PIB Mpal 2015-2022 Cons'!H$5:H$1012,'PIB Mpal 2015-2022 Cons'!$A$5:$A$1012,$W$2,'PIB Mpal 2015-2022 Cons'!$E$5:$E$1012,$A112)</f>
        <v>72.268878711723588</v>
      </c>
      <c r="F112" s="51">
        <f>SUMIFS('PIB Mpal 2015-2022 Cons'!I$5:I$1012,'PIB Mpal 2015-2022 Cons'!$A$5:$A$1012,$W$2,'PIB Mpal 2015-2022 Cons'!$E$5:$E$1012,$A112)</f>
        <v>0</v>
      </c>
      <c r="G112" s="51">
        <f>SUMIFS('PIB Mpal 2015-2022 Cons'!K$5:K$1012,'PIB Mpal 2015-2022 Cons'!$A$5:$A$1012,$W$2,'PIB Mpal 2015-2022 Cons'!$E$5:$E$1012,$A112)</f>
        <v>11.111031428615703</v>
      </c>
      <c r="H112" s="51">
        <f>SUMIFS('PIB Mpal 2015-2022 Cons'!L$5:L$1012,'PIB Mpal 2015-2022 Cons'!$A$5:$A$1012,$W$2,'PIB Mpal 2015-2022 Cons'!$E$5:$E$1012,$A112)</f>
        <v>9.0289450570632219</v>
      </c>
      <c r="I112" s="51">
        <f>SUMIFS('PIB Mpal 2015-2022 Cons'!N$5:N$1012,'PIB Mpal 2015-2022 Cons'!$A$5:$A$1012,$W$2,'PIB Mpal 2015-2022 Cons'!$E$5:$E$1012,$A112)</f>
        <v>6.5729138854664964</v>
      </c>
      <c r="J112" s="51">
        <f>SUMIFS('PIB Mpal 2015-2022 Cons'!O$5:O$1012,'PIB Mpal 2015-2022 Cons'!$A$5:$A$1012,$W$2,'PIB Mpal 2015-2022 Cons'!$E$5:$E$1012,$A112)</f>
        <v>28.747420178208827</v>
      </c>
      <c r="K112" s="51">
        <f>SUMIFS('PIB Mpal 2015-2022 Cons'!P$5:P$1012,'PIB Mpal 2015-2022 Cons'!$A$5:$A$1012,$W$2,'PIB Mpal 2015-2022 Cons'!$E$5:$E$1012,$A112)</f>
        <v>7.2955380316965286</v>
      </c>
      <c r="L112" s="51">
        <f>SUMIFS('PIB Mpal 2015-2022 Cons'!Q$5:Q$1012,'PIB Mpal 2015-2022 Cons'!$A$5:$A$1012,$W$2,'PIB Mpal 2015-2022 Cons'!$E$5:$E$1012,$A112)</f>
        <v>6.4111250627733369</v>
      </c>
      <c r="M112" s="51">
        <f>SUMIFS('PIB Mpal 2015-2022 Cons'!R$5:R$1012,'PIB Mpal 2015-2022 Cons'!$A$5:$A$1012,$W$2,'PIB Mpal 2015-2022 Cons'!$E$5:$E$1012,$A112)</f>
        <v>15.659658313877491</v>
      </c>
      <c r="N112" s="51">
        <f>SUMIFS('PIB Mpal 2015-2022 Cons'!S$5:S$1012,'PIB Mpal 2015-2022 Cons'!$A$5:$A$1012,$W$2,'PIB Mpal 2015-2022 Cons'!$E$5:$E$1012,$A112)</f>
        <v>18.781414942250585</v>
      </c>
      <c r="O112" s="51">
        <f>SUMIFS('PIB Mpal 2015-2022 Cons'!T$5:T$1012,'PIB Mpal 2015-2022 Cons'!$A$5:$A$1012,$W$2,'PIB Mpal 2015-2022 Cons'!$E$5:$E$1012,$A112)</f>
        <v>33.432106873657645</v>
      </c>
      <c r="P112" s="150">
        <f>SUMIFS('PIB Mpal 2015-2022 Cons'!U$5:U$1012,'PIB Mpal 2015-2022 Cons'!$A$5:$A$1012,$W$2,'PIB Mpal 2015-2022 Cons'!$E$5:$E$1012,$A112)</f>
        <v>6.0142939753945237</v>
      </c>
      <c r="Q112" s="217">
        <f>SUMIFS('PIB Mpal 2015-2022 Cons'!J$5:J$1012,'PIB Mpal 2015-2022 Cons'!$A$5:$A$1012,$W$2,'PIB Mpal 2015-2022 Cons'!$E$5:$E$1012,$A112)</f>
        <v>72.268878711723588</v>
      </c>
      <c r="R112" s="99">
        <f>SUMIFS('PIB Mpal 2015-2022 Cons'!M$5:M$1012,'PIB Mpal 2015-2022 Cons'!$A$5:$A$1012,$W$2,'PIB Mpal 2015-2022 Cons'!$E$5:$E$1012,$A112)</f>
        <v>20.139976485678925</v>
      </c>
      <c r="S112" s="53">
        <f>SUMIFS('PIB Mpal 2015-2022 Cons'!V$5:V$1012,'PIB Mpal 2015-2022 Cons'!$A$5:$A$1012,$W$2,'PIB Mpal 2015-2022 Cons'!$E$5:$E$1012,$A112)</f>
        <v>122.91447126332542</v>
      </c>
      <c r="T112" s="153">
        <f>SUMIFS('PIB Mpal 2015-2022 Cons'!W$5:W$1012,'PIB Mpal 2015-2022 Cons'!$A$5:$A$1012,$W$2,'PIB Mpal 2015-2022 Cons'!$E$5:$E$1012,$A112)</f>
        <v>215.32332646072791</v>
      </c>
      <c r="U112" s="51">
        <f>SUMIFS('PIB Mpal 2015-2022 Cons'!X$5:X$1012,'PIB Mpal 2015-2022 Cons'!$A$5:$A$1012,$W$2,'PIB Mpal 2015-2022 Cons'!$E$5:$E$1012,$A112)</f>
        <v>21.640408768214538</v>
      </c>
      <c r="V112" s="53">
        <f>SUMIFS('PIB Mpal 2015-2022 Cons'!Y$5:Y$1012,'PIB Mpal 2015-2022 Cons'!$A$5:$A$1012,$W$2,'PIB Mpal 2015-2022 Cons'!$E$5:$E$1012,$A112)</f>
        <v>236.96373522894245</v>
      </c>
      <c r="W112" s="92">
        <f t="shared" si="18"/>
        <v>2.0525891565172007E-3</v>
      </c>
      <c r="X112" s="268">
        <f>INDEX(POBLACION!$C$4:$W$128,MATCH(A112,POBLACION!$A$4:$A$128,0),MATCH($W$2,POBLACION!$C$3:$W$3,0))</f>
        <v>21129</v>
      </c>
      <c r="Y112" s="258">
        <f t="shared" si="19"/>
        <v>10190.890551409339</v>
      </c>
      <c r="Z112" s="270">
        <f t="shared" si="20"/>
        <v>11215.094667468526</v>
      </c>
      <c r="AA112" s="273">
        <f t="shared" si="21"/>
        <v>4.0082121373590729</v>
      </c>
      <c r="AB112" s="273">
        <f t="shared" si="21"/>
        <v>4.0498029438472676</v>
      </c>
    </row>
    <row r="113" spans="1:28" x14ac:dyDescent="0.2">
      <c r="A113" s="35" t="s">
        <v>335</v>
      </c>
      <c r="B113" s="32" t="s">
        <v>317</v>
      </c>
      <c r="C113" s="33" t="s">
        <v>329</v>
      </c>
      <c r="D113" s="32" t="s">
        <v>336</v>
      </c>
      <c r="E113" s="51">
        <f>SUMIFS('PIB Mpal 2015-2022 Cons'!H$5:H$1012,'PIB Mpal 2015-2022 Cons'!$A$5:$A$1012,$W$2,'PIB Mpal 2015-2022 Cons'!$E$5:$E$1012,$A113)</f>
        <v>86.056767063752801</v>
      </c>
      <c r="F113" s="51">
        <f>SUMIFS('PIB Mpal 2015-2022 Cons'!I$5:I$1012,'PIB Mpal 2015-2022 Cons'!$A$5:$A$1012,$W$2,'PIB Mpal 2015-2022 Cons'!$E$5:$E$1012,$A113)</f>
        <v>2.3492809073806029</v>
      </c>
      <c r="G113" s="51">
        <f>SUMIFS('PIB Mpal 2015-2022 Cons'!K$5:K$1012,'PIB Mpal 2015-2022 Cons'!$A$5:$A$1012,$W$2,'PIB Mpal 2015-2022 Cons'!$E$5:$E$1012,$A113)</f>
        <v>8.6726912804664202</v>
      </c>
      <c r="H113" s="51">
        <f>SUMIFS('PIB Mpal 2015-2022 Cons'!L$5:L$1012,'PIB Mpal 2015-2022 Cons'!$A$5:$A$1012,$W$2,'PIB Mpal 2015-2022 Cons'!$E$5:$E$1012,$A113)</f>
        <v>15.862292644735252</v>
      </c>
      <c r="I113" s="51">
        <f>SUMIFS('PIB Mpal 2015-2022 Cons'!N$5:N$1012,'PIB Mpal 2015-2022 Cons'!$A$5:$A$1012,$W$2,'PIB Mpal 2015-2022 Cons'!$E$5:$E$1012,$A113)</f>
        <v>8.8138505590286318</v>
      </c>
      <c r="J113" s="51">
        <f>SUMIFS('PIB Mpal 2015-2022 Cons'!O$5:O$1012,'PIB Mpal 2015-2022 Cons'!$A$5:$A$1012,$W$2,'PIB Mpal 2015-2022 Cons'!$E$5:$E$1012,$A113)</f>
        <v>42.094718000655376</v>
      </c>
      <c r="K113" s="51">
        <f>SUMIFS('PIB Mpal 2015-2022 Cons'!P$5:P$1012,'PIB Mpal 2015-2022 Cons'!$A$5:$A$1012,$W$2,'PIB Mpal 2015-2022 Cons'!$E$5:$E$1012,$A113)</f>
        <v>9.1348456298950964</v>
      </c>
      <c r="L113" s="51">
        <f>SUMIFS('PIB Mpal 2015-2022 Cons'!Q$5:Q$1012,'PIB Mpal 2015-2022 Cons'!$A$5:$A$1012,$W$2,'PIB Mpal 2015-2022 Cons'!$E$5:$E$1012,$A113)</f>
        <v>7.7118999629280491</v>
      </c>
      <c r="M113" s="51">
        <f>SUMIFS('PIB Mpal 2015-2022 Cons'!R$5:R$1012,'PIB Mpal 2015-2022 Cons'!$A$5:$A$1012,$W$2,'PIB Mpal 2015-2022 Cons'!$E$5:$E$1012,$A113)</f>
        <v>23.623460498103409</v>
      </c>
      <c r="N113" s="51">
        <f>SUMIFS('PIB Mpal 2015-2022 Cons'!S$5:S$1012,'PIB Mpal 2015-2022 Cons'!$A$5:$A$1012,$W$2,'PIB Mpal 2015-2022 Cons'!$E$5:$E$1012,$A113)</f>
        <v>25.077552273395963</v>
      </c>
      <c r="O113" s="51">
        <f>SUMIFS('PIB Mpal 2015-2022 Cons'!T$5:T$1012,'PIB Mpal 2015-2022 Cons'!$A$5:$A$1012,$W$2,'PIB Mpal 2015-2022 Cons'!$E$5:$E$1012,$A113)</f>
        <v>37.729916682356738</v>
      </c>
      <c r="P113" s="150">
        <f>SUMIFS('PIB Mpal 2015-2022 Cons'!U$5:U$1012,'PIB Mpal 2015-2022 Cons'!$A$5:$A$1012,$W$2,'PIB Mpal 2015-2022 Cons'!$E$5:$E$1012,$A113)</f>
        <v>8.6129193438545961</v>
      </c>
      <c r="Q113" s="217">
        <f>SUMIFS('PIB Mpal 2015-2022 Cons'!J$5:J$1012,'PIB Mpal 2015-2022 Cons'!$A$5:$A$1012,$W$2,'PIB Mpal 2015-2022 Cons'!$E$5:$E$1012,$A113)</f>
        <v>88.406047971133404</v>
      </c>
      <c r="R113" s="99">
        <f>SUMIFS('PIB Mpal 2015-2022 Cons'!M$5:M$1012,'PIB Mpal 2015-2022 Cons'!$A$5:$A$1012,$W$2,'PIB Mpal 2015-2022 Cons'!$E$5:$E$1012,$A113)</f>
        <v>24.534983925201672</v>
      </c>
      <c r="S113" s="53">
        <f>SUMIFS('PIB Mpal 2015-2022 Cons'!V$5:V$1012,'PIB Mpal 2015-2022 Cons'!$A$5:$A$1012,$W$2,'PIB Mpal 2015-2022 Cons'!$E$5:$E$1012,$A113)</f>
        <v>162.79916295021786</v>
      </c>
      <c r="T113" s="153">
        <f>SUMIFS('PIB Mpal 2015-2022 Cons'!W$5:W$1012,'PIB Mpal 2015-2022 Cons'!$A$5:$A$1012,$W$2,'PIB Mpal 2015-2022 Cons'!$E$5:$E$1012,$A113)</f>
        <v>275.74019484655298</v>
      </c>
      <c r="U113" s="51">
        <f>SUMIFS('PIB Mpal 2015-2022 Cons'!X$5:X$1012,'PIB Mpal 2015-2022 Cons'!$A$5:$A$1012,$W$2,'PIB Mpal 2015-2022 Cons'!$E$5:$E$1012,$A113)</f>
        <v>27.712420332721589</v>
      </c>
      <c r="V113" s="53">
        <f>SUMIFS('PIB Mpal 2015-2022 Cons'!Y$5:Y$1012,'PIB Mpal 2015-2022 Cons'!$A$5:$A$1012,$W$2,'PIB Mpal 2015-2022 Cons'!$E$5:$E$1012,$A113)</f>
        <v>303.45261517927457</v>
      </c>
      <c r="W113" s="92">
        <f t="shared" si="18"/>
        <v>2.6285184390429464E-3</v>
      </c>
      <c r="X113" s="268">
        <f>INDEX(POBLACION!$C$4:$W$128,MATCH(A113,POBLACION!$A$4:$A$128,0),MATCH($W$2,POBLACION!$C$3:$W$3,0))</f>
        <v>24059</v>
      </c>
      <c r="Y113" s="258">
        <f t="shared" si="19"/>
        <v>11460.999827364103</v>
      </c>
      <c r="Z113" s="270">
        <f t="shared" si="20"/>
        <v>12612.85237039256</v>
      </c>
      <c r="AA113" s="273">
        <f t="shared" si="21"/>
        <v>4.0592225059879556</v>
      </c>
      <c r="AB113" s="273">
        <f t="shared" si="21"/>
        <v>4.1008133124762365</v>
      </c>
    </row>
    <row r="114" spans="1:28" x14ac:dyDescent="0.2">
      <c r="A114" s="35" t="s">
        <v>337</v>
      </c>
      <c r="B114" s="32" t="s">
        <v>317</v>
      </c>
      <c r="C114" s="33" t="s">
        <v>320</v>
      </c>
      <c r="D114" s="32" t="s">
        <v>338</v>
      </c>
      <c r="E114" s="51">
        <f>SUMIFS('PIB Mpal 2015-2022 Cons'!H$5:H$1012,'PIB Mpal 2015-2022 Cons'!$A$5:$A$1012,$W$2,'PIB Mpal 2015-2022 Cons'!$E$5:$E$1012,$A114)</f>
        <v>16.813549402237012</v>
      </c>
      <c r="F114" s="51">
        <f>SUMIFS('PIB Mpal 2015-2022 Cons'!I$5:I$1012,'PIB Mpal 2015-2022 Cons'!$A$5:$A$1012,$W$2,'PIB Mpal 2015-2022 Cons'!$E$5:$E$1012,$A114)</f>
        <v>0</v>
      </c>
      <c r="G114" s="51">
        <f>SUMIFS('PIB Mpal 2015-2022 Cons'!K$5:K$1012,'PIB Mpal 2015-2022 Cons'!$A$5:$A$1012,$W$2,'PIB Mpal 2015-2022 Cons'!$E$5:$E$1012,$A114)</f>
        <v>4.3501030596957344</v>
      </c>
      <c r="H114" s="51">
        <f>SUMIFS('PIB Mpal 2015-2022 Cons'!L$5:L$1012,'PIB Mpal 2015-2022 Cons'!$A$5:$A$1012,$W$2,'PIB Mpal 2015-2022 Cons'!$E$5:$E$1012,$A114)</f>
        <v>4.9388593684308146</v>
      </c>
      <c r="I114" s="51">
        <f>SUMIFS('PIB Mpal 2015-2022 Cons'!N$5:N$1012,'PIB Mpal 2015-2022 Cons'!$A$5:$A$1012,$W$2,'PIB Mpal 2015-2022 Cons'!$E$5:$E$1012,$A114)</f>
        <v>4.1944085938398388</v>
      </c>
      <c r="J114" s="51">
        <f>SUMIFS('PIB Mpal 2015-2022 Cons'!O$5:O$1012,'PIB Mpal 2015-2022 Cons'!$A$5:$A$1012,$W$2,'PIB Mpal 2015-2022 Cons'!$E$5:$E$1012,$A114)</f>
        <v>21.360117170301567</v>
      </c>
      <c r="K114" s="51">
        <f>SUMIFS('PIB Mpal 2015-2022 Cons'!P$5:P$1012,'PIB Mpal 2015-2022 Cons'!$A$5:$A$1012,$W$2,'PIB Mpal 2015-2022 Cons'!$E$5:$E$1012,$A114)</f>
        <v>3.4516694762486719</v>
      </c>
      <c r="L114" s="51">
        <f>SUMIFS('PIB Mpal 2015-2022 Cons'!Q$5:Q$1012,'PIB Mpal 2015-2022 Cons'!$A$5:$A$1012,$W$2,'PIB Mpal 2015-2022 Cons'!$E$5:$E$1012,$A114)</f>
        <v>2.2537372519068404</v>
      </c>
      <c r="M114" s="51">
        <f>SUMIFS('PIB Mpal 2015-2022 Cons'!R$5:R$1012,'PIB Mpal 2015-2022 Cons'!$A$5:$A$1012,$W$2,'PIB Mpal 2015-2022 Cons'!$E$5:$E$1012,$A114)</f>
        <v>10.403099294319178</v>
      </c>
      <c r="N114" s="51">
        <f>SUMIFS('PIB Mpal 2015-2022 Cons'!S$5:S$1012,'PIB Mpal 2015-2022 Cons'!$A$5:$A$1012,$W$2,'PIB Mpal 2015-2022 Cons'!$E$5:$E$1012,$A114)</f>
        <v>12.526985303098117</v>
      </c>
      <c r="O114" s="51">
        <f>SUMIFS('PIB Mpal 2015-2022 Cons'!T$5:T$1012,'PIB Mpal 2015-2022 Cons'!$A$5:$A$1012,$W$2,'PIB Mpal 2015-2022 Cons'!$E$5:$E$1012,$A114)</f>
        <v>18.459463934367097</v>
      </c>
      <c r="P114" s="150">
        <f>SUMIFS('PIB Mpal 2015-2022 Cons'!U$5:U$1012,'PIB Mpal 2015-2022 Cons'!$A$5:$A$1012,$W$2,'PIB Mpal 2015-2022 Cons'!$E$5:$E$1012,$A114)</f>
        <v>2.9284538463021383</v>
      </c>
      <c r="Q114" s="217">
        <f>SUMIFS('PIB Mpal 2015-2022 Cons'!J$5:J$1012,'PIB Mpal 2015-2022 Cons'!$A$5:$A$1012,$W$2,'PIB Mpal 2015-2022 Cons'!$E$5:$E$1012,$A114)</f>
        <v>16.813549402237012</v>
      </c>
      <c r="R114" s="99">
        <f>SUMIFS('PIB Mpal 2015-2022 Cons'!M$5:M$1012,'PIB Mpal 2015-2022 Cons'!$A$5:$A$1012,$W$2,'PIB Mpal 2015-2022 Cons'!$E$5:$E$1012,$A114)</f>
        <v>9.288962428126549</v>
      </c>
      <c r="S114" s="53">
        <f>SUMIFS('PIB Mpal 2015-2022 Cons'!V$5:V$1012,'PIB Mpal 2015-2022 Cons'!$A$5:$A$1012,$W$2,'PIB Mpal 2015-2022 Cons'!$E$5:$E$1012,$A114)</f>
        <v>75.577934870383444</v>
      </c>
      <c r="T114" s="153">
        <f>SUMIFS('PIB Mpal 2015-2022 Cons'!W$5:W$1012,'PIB Mpal 2015-2022 Cons'!$A$5:$A$1012,$W$2,'PIB Mpal 2015-2022 Cons'!$E$5:$E$1012,$A114)</f>
        <v>101.68044670074701</v>
      </c>
      <c r="U114" s="51">
        <f>SUMIFS('PIB Mpal 2015-2022 Cons'!X$5:X$1012,'PIB Mpal 2015-2022 Cons'!$A$5:$A$1012,$W$2,'PIB Mpal 2015-2022 Cons'!$E$5:$E$1012,$A114)</f>
        <v>10.219080610304296</v>
      </c>
      <c r="V114" s="53">
        <f>SUMIFS('PIB Mpal 2015-2022 Cons'!Y$5:Y$1012,'PIB Mpal 2015-2022 Cons'!$A$5:$A$1012,$W$2,'PIB Mpal 2015-2022 Cons'!$E$5:$E$1012,$A114)</f>
        <v>111.89952731105132</v>
      </c>
      <c r="W114" s="92">
        <f t="shared" si="18"/>
        <v>9.6927808871747972E-4</v>
      </c>
      <c r="X114" s="268">
        <f>INDEX(POBLACION!$C$4:$W$128,MATCH(A114,POBLACION!$A$4:$A$128,0),MATCH($W$2,POBLACION!$C$3:$W$3,0))</f>
        <v>5387</v>
      </c>
      <c r="Y114" s="258">
        <f t="shared" si="19"/>
        <v>18875.152534016524</v>
      </c>
      <c r="Z114" s="270">
        <f t="shared" si="20"/>
        <v>20772.14169501602</v>
      </c>
      <c r="AA114" s="273">
        <f t="shared" si="21"/>
        <v>4.2758904699390543</v>
      </c>
      <c r="AB114" s="273">
        <f t="shared" si="21"/>
        <v>4.3174812764280102</v>
      </c>
    </row>
    <row r="115" spans="1:28" x14ac:dyDescent="0.2">
      <c r="A115" s="35" t="s">
        <v>339</v>
      </c>
      <c r="B115" s="32" t="s">
        <v>317</v>
      </c>
      <c r="C115" s="33" t="s">
        <v>320</v>
      </c>
      <c r="D115" s="32" t="s">
        <v>340</v>
      </c>
      <c r="E115" s="51">
        <f>SUMIFS('PIB Mpal 2015-2022 Cons'!H$5:H$1012,'PIB Mpal 2015-2022 Cons'!$A$5:$A$1012,$W$2,'PIB Mpal 2015-2022 Cons'!$E$5:$E$1012,$A115)</f>
        <v>42.745688764289319</v>
      </c>
      <c r="F115" s="51">
        <f>SUMIFS('PIB Mpal 2015-2022 Cons'!I$5:I$1012,'PIB Mpal 2015-2022 Cons'!$A$5:$A$1012,$W$2,'PIB Mpal 2015-2022 Cons'!$E$5:$E$1012,$A115)</f>
        <v>3.6531812543614701</v>
      </c>
      <c r="G115" s="51">
        <f>SUMIFS('PIB Mpal 2015-2022 Cons'!K$5:K$1012,'PIB Mpal 2015-2022 Cons'!$A$5:$A$1012,$W$2,'PIB Mpal 2015-2022 Cons'!$E$5:$E$1012,$A115)</f>
        <v>6.5230747817105188</v>
      </c>
      <c r="H115" s="51">
        <f>SUMIFS('PIB Mpal 2015-2022 Cons'!L$5:L$1012,'PIB Mpal 2015-2022 Cons'!$A$5:$A$1012,$W$2,'PIB Mpal 2015-2022 Cons'!$E$5:$E$1012,$A115)</f>
        <v>9.0932551522582798</v>
      </c>
      <c r="I115" s="51">
        <f>SUMIFS('PIB Mpal 2015-2022 Cons'!N$5:N$1012,'PIB Mpal 2015-2022 Cons'!$A$5:$A$1012,$W$2,'PIB Mpal 2015-2022 Cons'!$E$5:$E$1012,$A115)</f>
        <v>4.3902320027577515</v>
      </c>
      <c r="J115" s="51">
        <f>SUMIFS('PIB Mpal 2015-2022 Cons'!O$5:O$1012,'PIB Mpal 2015-2022 Cons'!$A$5:$A$1012,$W$2,'PIB Mpal 2015-2022 Cons'!$E$5:$E$1012,$A115)</f>
        <v>28.156959745652021</v>
      </c>
      <c r="K115" s="51">
        <f>SUMIFS('PIB Mpal 2015-2022 Cons'!P$5:P$1012,'PIB Mpal 2015-2022 Cons'!$A$5:$A$1012,$W$2,'PIB Mpal 2015-2022 Cons'!$E$5:$E$1012,$A115)</f>
        <v>5.0596631872231397</v>
      </c>
      <c r="L115" s="51">
        <f>SUMIFS('PIB Mpal 2015-2022 Cons'!Q$5:Q$1012,'PIB Mpal 2015-2022 Cons'!$A$5:$A$1012,$W$2,'PIB Mpal 2015-2022 Cons'!$E$5:$E$1012,$A115)</f>
        <v>4.3407072617569993</v>
      </c>
      <c r="M115" s="51">
        <f>SUMIFS('PIB Mpal 2015-2022 Cons'!R$5:R$1012,'PIB Mpal 2015-2022 Cons'!$A$5:$A$1012,$W$2,'PIB Mpal 2015-2022 Cons'!$E$5:$E$1012,$A115)</f>
        <v>15.841813649911659</v>
      </c>
      <c r="N115" s="51">
        <f>SUMIFS('PIB Mpal 2015-2022 Cons'!S$5:S$1012,'PIB Mpal 2015-2022 Cons'!$A$5:$A$1012,$W$2,'PIB Mpal 2015-2022 Cons'!$E$5:$E$1012,$A115)</f>
        <v>13.958403713804332</v>
      </c>
      <c r="O115" s="51">
        <f>SUMIFS('PIB Mpal 2015-2022 Cons'!T$5:T$1012,'PIB Mpal 2015-2022 Cons'!$A$5:$A$1012,$W$2,'PIB Mpal 2015-2022 Cons'!$E$5:$E$1012,$A115)</f>
        <v>24.434379197696746</v>
      </c>
      <c r="P115" s="150">
        <f>SUMIFS('PIB Mpal 2015-2022 Cons'!U$5:U$1012,'PIB Mpal 2015-2022 Cons'!$A$5:$A$1012,$W$2,'PIB Mpal 2015-2022 Cons'!$E$5:$E$1012,$A115)</f>
        <v>3.5382140187166993</v>
      </c>
      <c r="Q115" s="217">
        <f>SUMIFS('PIB Mpal 2015-2022 Cons'!J$5:J$1012,'PIB Mpal 2015-2022 Cons'!$A$5:$A$1012,$W$2,'PIB Mpal 2015-2022 Cons'!$E$5:$E$1012,$A115)</f>
        <v>46.39887001865079</v>
      </c>
      <c r="R115" s="99">
        <f>SUMIFS('PIB Mpal 2015-2022 Cons'!M$5:M$1012,'PIB Mpal 2015-2022 Cons'!$A$5:$A$1012,$W$2,'PIB Mpal 2015-2022 Cons'!$E$5:$E$1012,$A115)</f>
        <v>15.6163299339688</v>
      </c>
      <c r="S115" s="53">
        <f>SUMIFS('PIB Mpal 2015-2022 Cons'!V$5:V$1012,'PIB Mpal 2015-2022 Cons'!$A$5:$A$1012,$W$2,'PIB Mpal 2015-2022 Cons'!$E$5:$E$1012,$A115)</f>
        <v>99.720372777519344</v>
      </c>
      <c r="T115" s="153">
        <f>SUMIFS('PIB Mpal 2015-2022 Cons'!W$5:W$1012,'PIB Mpal 2015-2022 Cons'!$A$5:$A$1012,$W$2,'PIB Mpal 2015-2022 Cons'!$E$5:$E$1012,$A115)</f>
        <v>161.73557273013893</v>
      </c>
      <c r="U115" s="51">
        <f>SUMIFS('PIB Mpal 2015-2022 Cons'!X$5:X$1012,'PIB Mpal 2015-2022 Cons'!$A$5:$A$1012,$W$2,'PIB Mpal 2015-2022 Cons'!$E$5:$E$1012,$A115)</f>
        <v>16.25473637152669</v>
      </c>
      <c r="V115" s="53">
        <f>SUMIFS('PIB Mpal 2015-2022 Cons'!Y$5:Y$1012,'PIB Mpal 2015-2022 Cons'!$A$5:$A$1012,$W$2,'PIB Mpal 2015-2022 Cons'!$E$5:$E$1012,$A115)</f>
        <v>177.99030910166562</v>
      </c>
      <c r="W115" s="92">
        <f t="shared" si="18"/>
        <v>1.541759029390086E-3</v>
      </c>
      <c r="X115" s="268">
        <f>INDEX(POBLACION!$C$4:$W$128,MATCH(A115,POBLACION!$A$4:$A$128,0),MATCH($W$2,POBLACION!$C$3:$W$3,0))</f>
        <v>14287</v>
      </c>
      <c r="Y115" s="258">
        <f t="shared" si="19"/>
        <v>11320.471248697342</v>
      </c>
      <c r="Z115" s="270">
        <f t="shared" si="20"/>
        <v>12458.200399080675</v>
      </c>
      <c r="AA115" s="273">
        <f t="shared" si="21"/>
        <v>4.0538645060438601</v>
      </c>
      <c r="AB115" s="273">
        <f t="shared" si="21"/>
        <v>4.0954553125322564</v>
      </c>
    </row>
    <row r="116" spans="1:28" x14ac:dyDescent="0.2">
      <c r="A116" s="35" t="s">
        <v>341</v>
      </c>
      <c r="B116" s="32" t="s">
        <v>317</v>
      </c>
      <c r="C116" s="33" t="s">
        <v>329</v>
      </c>
      <c r="D116" s="32" t="s">
        <v>342</v>
      </c>
      <c r="E116" s="51">
        <f>SUMIFS('PIB Mpal 2015-2022 Cons'!H$5:H$1012,'PIB Mpal 2015-2022 Cons'!$A$5:$A$1012,$W$2,'PIB Mpal 2015-2022 Cons'!$E$5:$E$1012,$A116)</f>
        <v>48.564741333930478</v>
      </c>
      <c r="F116" s="51">
        <f>SUMIFS('PIB Mpal 2015-2022 Cons'!I$5:I$1012,'PIB Mpal 2015-2022 Cons'!$A$5:$A$1012,$W$2,'PIB Mpal 2015-2022 Cons'!$E$5:$E$1012,$A116)</f>
        <v>0</v>
      </c>
      <c r="G116" s="51">
        <f>SUMIFS('PIB Mpal 2015-2022 Cons'!K$5:K$1012,'PIB Mpal 2015-2022 Cons'!$A$5:$A$1012,$W$2,'PIB Mpal 2015-2022 Cons'!$E$5:$E$1012,$A116)</f>
        <v>2.4298063338636524</v>
      </c>
      <c r="H116" s="51">
        <f>SUMIFS('PIB Mpal 2015-2022 Cons'!L$5:L$1012,'PIB Mpal 2015-2022 Cons'!$A$5:$A$1012,$W$2,'PIB Mpal 2015-2022 Cons'!$E$5:$E$1012,$A116)</f>
        <v>11.736405531662593</v>
      </c>
      <c r="I116" s="51">
        <f>SUMIFS('PIB Mpal 2015-2022 Cons'!N$5:N$1012,'PIB Mpal 2015-2022 Cons'!$A$5:$A$1012,$W$2,'PIB Mpal 2015-2022 Cons'!$E$5:$E$1012,$A116)</f>
        <v>15.196118573970068</v>
      </c>
      <c r="J116" s="51">
        <f>SUMIFS('PIB Mpal 2015-2022 Cons'!O$5:O$1012,'PIB Mpal 2015-2022 Cons'!$A$5:$A$1012,$W$2,'PIB Mpal 2015-2022 Cons'!$E$5:$E$1012,$A116)</f>
        <v>21.576980936669965</v>
      </c>
      <c r="K116" s="51">
        <f>SUMIFS('PIB Mpal 2015-2022 Cons'!P$5:P$1012,'PIB Mpal 2015-2022 Cons'!$A$5:$A$1012,$W$2,'PIB Mpal 2015-2022 Cons'!$E$5:$E$1012,$A116)</f>
        <v>4.5661129575420318</v>
      </c>
      <c r="L116" s="51">
        <f>SUMIFS('PIB Mpal 2015-2022 Cons'!Q$5:Q$1012,'PIB Mpal 2015-2022 Cons'!$A$5:$A$1012,$W$2,'PIB Mpal 2015-2022 Cons'!$E$5:$E$1012,$A116)</f>
        <v>3.2211751943376612</v>
      </c>
      <c r="M116" s="51">
        <f>SUMIFS('PIB Mpal 2015-2022 Cons'!R$5:R$1012,'PIB Mpal 2015-2022 Cons'!$A$5:$A$1012,$W$2,'PIB Mpal 2015-2022 Cons'!$E$5:$E$1012,$A116)</f>
        <v>11.833340628244105</v>
      </c>
      <c r="N116" s="51">
        <f>SUMIFS('PIB Mpal 2015-2022 Cons'!S$5:S$1012,'PIB Mpal 2015-2022 Cons'!$A$5:$A$1012,$W$2,'PIB Mpal 2015-2022 Cons'!$E$5:$E$1012,$A116)</f>
        <v>11.611626164595679</v>
      </c>
      <c r="O116" s="51">
        <f>SUMIFS('PIB Mpal 2015-2022 Cons'!T$5:T$1012,'PIB Mpal 2015-2022 Cons'!$A$5:$A$1012,$W$2,'PIB Mpal 2015-2022 Cons'!$E$5:$E$1012,$A116)</f>
        <v>17.213981380699877</v>
      </c>
      <c r="P116" s="150">
        <f>SUMIFS('PIB Mpal 2015-2022 Cons'!U$5:U$1012,'PIB Mpal 2015-2022 Cons'!$A$5:$A$1012,$W$2,'PIB Mpal 2015-2022 Cons'!$E$5:$E$1012,$A116)</f>
        <v>2.8347364315174586</v>
      </c>
      <c r="Q116" s="217">
        <f>SUMIFS('PIB Mpal 2015-2022 Cons'!J$5:J$1012,'PIB Mpal 2015-2022 Cons'!$A$5:$A$1012,$W$2,'PIB Mpal 2015-2022 Cons'!$E$5:$E$1012,$A116)</f>
        <v>48.564741333930478</v>
      </c>
      <c r="R116" s="99">
        <f>SUMIFS('PIB Mpal 2015-2022 Cons'!M$5:M$1012,'PIB Mpal 2015-2022 Cons'!$A$5:$A$1012,$W$2,'PIB Mpal 2015-2022 Cons'!$E$5:$E$1012,$A116)</f>
        <v>14.166211865526245</v>
      </c>
      <c r="S116" s="53">
        <f>SUMIFS('PIB Mpal 2015-2022 Cons'!V$5:V$1012,'PIB Mpal 2015-2022 Cons'!$A$5:$A$1012,$W$2,'PIB Mpal 2015-2022 Cons'!$E$5:$E$1012,$A116)</f>
        <v>88.054072267576842</v>
      </c>
      <c r="T116" s="153">
        <f>SUMIFS('PIB Mpal 2015-2022 Cons'!W$5:W$1012,'PIB Mpal 2015-2022 Cons'!$A$5:$A$1012,$W$2,'PIB Mpal 2015-2022 Cons'!$E$5:$E$1012,$A116)</f>
        <v>150.78502546703356</v>
      </c>
      <c r="U116" s="51">
        <f>SUMIFS('PIB Mpal 2015-2022 Cons'!X$5:X$1012,'PIB Mpal 2015-2022 Cons'!$A$5:$A$1012,$W$2,'PIB Mpal 2015-2022 Cons'!$E$5:$E$1012,$A116)</f>
        <v>15.154185293678113</v>
      </c>
      <c r="V116" s="53">
        <f>SUMIFS('PIB Mpal 2015-2022 Cons'!Y$5:Y$1012,'PIB Mpal 2015-2022 Cons'!$A$5:$A$1012,$W$2,'PIB Mpal 2015-2022 Cons'!$E$5:$E$1012,$A116)</f>
        <v>165.93921076071169</v>
      </c>
      <c r="W116" s="92">
        <f t="shared" si="18"/>
        <v>1.4373719435144105E-3</v>
      </c>
      <c r="X116" s="268">
        <f>INDEX(POBLACION!$C$4:$W$128,MATCH(A116,POBLACION!$A$4:$A$128,0),MATCH($W$2,POBLACION!$C$3:$W$3,0))</f>
        <v>13683</v>
      </c>
      <c r="Y116" s="258">
        <f t="shared" si="19"/>
        <v>11019.880542792776</v>
      </c>
      <c r="Z116" s="270">
        <f t="shared" si="20"/>
        <v>12127.399748645157</v>
      </c>
      <c r="AA116" s="273">
        <f t="shared" si="21"/>
        <v>4.0421768867220171</v>
      </c>
      <c r="AB116" s="273">
        <f t="shared" si="21"/>
        <v>4.0837676932102704</v>
      </c>
    </row>
    <row r="117" spans="1:28" x14ac:dyDescent="0.2">
      <c r="A117" s="35" t="s">
        <v>343</v>
      </c>
      <c r="B117" s="32" t="s">
        <v>317</v>
      </c>
      <c r="C117" s="33" t="s">
        <v>329</v>
      </c>
      <c r="D117" s="32" t="s">
        <v>344</v>
      </c>
      <c r="E117" s="51">
        <f>SUMIFS('PIB Mpal 2015-2022 Cons'!H$5:H$1012,'PIB Mpal 2015-2022 Cons'!$A$5:$A$1012,$W$2,'PIB Mpal 2015-2022 Cons'!$E$5:$E$1012,$A117)</f>
        <v>10.10873843410182</v>
      </c>
      <c r="F117" s="51">
        <f>SUMIFS('PIB Mpal 2015-2022 Cons'!I$5:I$1012,'PIB Mpal 2015-2022 Cons'!$A$5:$A$1012,$W$2,'PIB Mpal 2015-2022 Cons'!$E$5:$E$1012,$A117)</f>
        <v>0.14310656420897061</v>
      </c>
      <c r="G117" s="51">
        <f>SUMIFS('PIB Mpal 2015-2022 Cons'!K$5:K$1012,'PIB Mpal 2015-2022 Cons'!$A$5:$A$1012,$W$2,'PIB Mpal 2015-2022 Cons'!$E$5:$E$1012,$A117)</f>
        <v>10.096224155225496</v>
      </c>
      <c r="H117" s="51">
        <f>SUMIFS('PIB Mpal 2015-2022 Cons'!L$5:L$1012,'PIB Mpal 2015-2022 Cons'!$A$5:$A$1012,$W$2,'PIB Mpal 2015-2022 Cons'!$E$5:$E$1012,$A117)</f>
        <v>35.964953514063836</v>
      </c>
      <c r="I117" s="51">
        <f>SUMIFS('PIB Mpal 2015-2022 Cons'!N$5:N$1012,'PIB Mpal 2015-2022 Cons'!$A$5:$A$1012,$W$2,'PIB Mpal 2015-2022 Cons'!$E$5:$E$1012,$A117)</f>
        <v>4.5071289521492321</v>
      </c>
      <c r="J117" s="51">
        <f>SUMIFS('PIB Mpal 2015-2022 Cons'!O$5:O$1012,'PIB Mpal 2015-2022 Cons'!$A$5:$A$1012,$W$2,'PIB Mpal 2015-2022 Cons'!$E$5:$E$1012,$A117)</f>
        <v>34.316353568326072</v>
      </c>
      <c r="K117" s="51">
        <f>SUMIFS('PIB Mpal 2015-2022 Cons'!P$5:P$1012,'PIB Mpal 2015-2022 Cons'!$A$5:$A$1012,$W$2,'PIB Mpal 2015-2022 Cons'!$E$5:$E$1012,$A117)</f>
        <v>2.5288939377685908</v>
      </c>
      <c r="L117" s="51">
        <f>SUMIFS('PIB Mpal 2015-2022 Cons'!Q$5:Q$1012,'PIB Mpal 2015-2022 Cons'!$A$5:$A$1012,$W$2,'PIB Mpal 2015-2022 Cons'!$E$5:$E$1012,$A117)</f>
        <v>1.5693939212213144</v>
      </c>
      <c r="M117" s="51">
        <f>SUMIFS('PIB Mpal 2015-2022 Cons'!R$5:R$1012,'PIB Mpal 2015-2022 Cons'!$A$5:$A$1012,$W$2,'PIB Mpal 2015-2022 Cons'!$E$5:$E$1012,$A117)</f>
        <v>6.1966347380804905</v>
      </c>
      <c r="N117" s="51">
        <f>SUMIFS('PIB Mpal 2015-2022 Cons'!S$5:S$1012,'PIB Mpal 2015-2022 Cons'!$A$5:$A$1012,$W$2,'PIB Mpal 2015-2022 Cons'!$E$5:$E$1012,$A117)</f>
        <v>10.123763707667706</v>
      </c>
      <c r="O117" s="51">
        <f>SUMIFS('PIB Mpal 2015-2022 Cons'!T$5:T$1012,'PIB Mpal 2015-2022 Cons'!$A$5:$A$1012,$W$2,'PIB Mpal 2015-2022 Cons'!$E$5:$E$1012,$A117)</f>
        <v>11.004871523720734</v>
      </c>
      <c r="P117" s="150">
        <f>SUMIFS('PIB Mpal 2015-2022 Cons'!U$5:U$1012,'PIB Mpal 2015-2022 Cons'!$A$5:$A$1012,$W$2,'PIB Mpal 2015-2022 Cons'!$E$5:$E$1012,$A117)</f>
        <v>2.0117445050438945</v>
      </c>
      <c r="Q117" s="217">
        <f>SUMIFS('PIB Mpal 2015-2022 Cons'!J$5:J$1012,'PIB Mpal 2015-2022 Cons'!$A$5:$A$1012,$W$2,'PIB Mpal 2015-2022 Cons'!$E$5:$E$1012,$A117)</f>
        <v>10.251844998310791</v>
      </c>
      <c r="R117" s="99">
        <f>SUMIFS('PIB Mpal 2015-2022 Cons'!M$5:M$1012,'PIB Mpal 2015-2022 Cons'!$A$5:$A$1012,$W$2,'PIB Mpal 2015-2022 Cons'!$E$5:$E$1012,$A117)</f>
        <v>46.061177669289336</v>
      </c>
      <c r="S117" s="53">
        <f>SUMIFS('PIB Mpal 2015-2022 Cons'!V$5:V$1012,'PIB Mpal 2015-2022 Cons'!$A$5:$A$1012,$W$2,'PIB Mpal 2015-2022 Cons'!$E$5:$E$1012,$A117)</f>
        <v>72.258784853978028</v>
      </c>
      <c r="T117" s="153">
        <f>SUMIFS('PIB Mpal 2015-2022 Cons'!W$5:W$1012,'PIB Mpal 2015-2022 Cons'!$A$5:$A$1012,$W$2,'PIB Mpal 2015-2022 Cons'!$E$5:$E$1012,$A117)</f>
        <v>128.57180752157817</v>
      </c>
      <c r="U117" s="51">
        <f>SUMIFS('PIB Mpal 2015-2022 Cons'!X$5:X$1012,'PIB Mpal 2015-2022 Cons'!$A$5:$A$1012,$W$2,'PIB Mpal 2015-2022 Cons'!$E$5:$E$1012,$A117)</f>
        <v>12.921714133651383</v>
      </c>
      <c r="V117" s="53">
        <f>SUMIFS('PIB Mpal 2015-2022 Cons'!Y$5:Y$1012,'PIB Mpal 2015-2022 Cons'!$A$5:$A$1012,$W$2,'PIB Mpal 2015-2022 Cons'!$E$5:$E$1012,$A117)</f>
        <v>141.49352165522956</v>
      </c>
      <c r="W117" s="92">
        <f t="shared" si="18"/>
        <v>1.2256224269353237E-3</v>
      </c>
      <c r="X117" s="268">
        <f>INDEX(POBLACION!$C$4:$W$128,MATCH(A117,POBLACION!$A$4:$A$128,0),MATCH($W$2,POBLACION!$C$3:$W$3,0))</f>
        <v>8468</v>
      </c>
      <c r="Y117" s="258">
        <f t="shared" si="19"/>
        <v>15183.25549380942</v>
      </c>
      <c r="Z117" s="270">
        <f t="shared" si="20"/>
        <v>16709.201895988375</v>
      </c>
      <c r="AA117" s="273">
        <f t="shared" si="21"/>
        <v>4.1813649001110429</v>
      </c>
      <c r="AB117" s="273">
        <f t="shared" si="21"/>
        <v>4.2229557065991994</v>
      </c>
    </row>
    <row r="118" spans="1:28" x14ac:dyDescent="0.2">
      <c r="A118" s="35" t="s">
        <v>345</v>
      </c>
      <c r="B118" s="32" t="s">
        <v>317</v>
      </c>
      <c r="C118" s="33" t="s">
        <v>329</v>
      </c>
      <c r="D118" s="32" t="s">
        <v>346</v>
      </c>
      <c r="E118" s="51">
        <f>SUMIFS('PIB Mpal 2015-2022 Cons'!H$5:H$1012,'PIB Mpal 2015-2022 Cons'!$A$5:$A$1012,$W$2,'PIB Mpal 2015-2022 Cons'!$E$5:$E$1012,$A118)</f>
        <v>17.239606447898968</v>
      </c>
      <c r="F118" s="51">
        <f>SUMIFS('PIB Mpal 2015-2022 Cons'!I$5:I$1012,'PIB Mpal 2015-2022 Cons'!$A$5:$A$1012,$W$2,'PIB Mpal 2015-2022 Cons'!$E$5:$E$1012,$A118)</f>
        <v>0</v>
      </c>
      <c r="G118" s="51">
        <f>SUMIFS('PIB Mpal 2015-2022 Cons'!K$5:K$1012,'PIB Mpal 2015-2022 Cons'!$A$5:$A$1012,$W$2,'PIB Mpal 2015-2022 Cons'!$E$5:$E$1012,$A118)</f>
        <v>49.41062452081173</v>
      </c>
      <c r="H118" s="51">
        <f>SUMIFS('PIB Mpal 2015-2022 Cons'!L$5:L$1012,'PIB Mpal 2015-2022 Cons'!$A$5:$A$1012,$W$2,'PIB Mpal 2015-2022 Cons'!$E$5:$E$1012,$A118)</f>
        <v>17.236074410263321</v>
      </c>
      <c r="I118" s="51">
        <f>SUMIFS('PIB Mpal 2015-2022 Cons'!N$5:N$1012,'PIB Mpal 2015-2022 Cons'!$A$5:$A$1012,$W$2,'PIB Mpal 2015-2022 Cons'!$E$5:$E$1012,$A118)</f>
        <v>2.9925750472418202</v>
      </c>
      <c r="J118" s="51">
        <f>SUMIFS('PIB Mpal 2015-2022 Cons'!O$5:O$1012,'PIB Mpal 2015-2022 Cons'!$A$5:$A$1012,$W$2,'PIB Mpal 2015-2022 Cons'!$E$5:$E$1012,$A118)</f>
        <v>7.4806761797203079</v>
      </c>
      <c r="K118" s="51">
        <f>SUMIFS('PIB Mpal 2015-2022 Cons'!P$5:P$1012,'PIB Mpal 2015-2022 Cons'!$A$5:$A$1012,$W$2,'PIB Mpal 2015-2022 Cons'!$E$5:$E$1012,$A118)</f>
        <v>1.9966469359183414</v>
      </c>
      <c r="L118" s="51">
        <f>SUMIFS('PIB Mpal 2015-2022 Cons'!Q$5:Q$1012,'PIB Mpal 2015-2022 Cons'!$A$5:$A$1012,$W$2,'PIB Mpal 2015-2022 Cons'!$E$5:$E$1012,$A118)</f>
        <v>1.6509490714863178</v>
      </c>
      <c r="M118" s="51">
        <f>SUMIFS('PIB Mpal 2015-2022 Cons'!R$5:R$1012,'PIB Mpal 2015-2022 Cons'!$A$5:$A$1012,$W$2,'PIB Mpal 2015-2022 Cons'!$E$5:$E$1012,$A118)</f>
        <v>6.5348308574675835</v>
      </c>
      <c r="N118" s="51">
        <f>SUMIFS('PIB Mpal 2015-2022 Cons'!S$5:S$1012,'PIB Mpal 2015-2022 Cons'!$A$5:$A$1012,$W$2,'PIB Mpal 2015-2022 Cons'!$E$5:$E$1012,$A118)</f>
        <v>11.462028425466992</v>
      </c>
      <c r="O118" s="51">
        <f>SUMIFS('PIB Mpal 2015-2022 Cons'!T$5:T$1012,'PIB Mpal 2015-2022 Cons'!$A$5:$A$1012,$W$2,'PIB Mpal 2015-2022 Cons'!$E$5:$E$1012,$A118)</f>
        <v>13.23626291412781</v>
      </c>
      <c r="P118" s="150">
        <f>SUMIFS('PIB Mpal 2015-2022 Cons'!U$5:U$1012,'PIB Mpal 2015-2022 Cons'!$A$5:$A$1012,$W$2,'PIB Mpal 2015-2022 Cons'!$E$5:$E$1012,$A118)</f>
        <v>2.1502125359671882</v>
      </c>
      <c r="Q118" s="217">
        <f>SUMIFS('PIB Mpal 2015-2022 Cons'!J$5:J$1012,'PIB Mpal 2015-2022 Cons'!$A$5:$A$1012,$W$2,'PIB Mpal 2015-2022 Cons'!$E$5:$E$1012,$A118)</f>
        <v>17.239606447898968</v>
      </c>
      <c r="R118" s="99">
        <f>SUMIFS('PIB Mpal 2015-2022 Cons'!M$5:M$1012,'PIB Mpal 2015-2022 Cons'!$A$5:$A$1012,$W$2,'PIB Mpal 2015-2022 Cons'!$E$5:$E$1012,$A118)</f>
        <v>66.646698931075051</v>
      </c>
      <c r="S118" s="53">
        <f>SUMIFS('PIB Mpal 2015-2022 Cons'!V$5:V$1012,'PIB Mpal 2015-2022 Cons'!$A$5:$A$1012,$W$2,'PIB Mpal 2015-2022 Cons'!$E$5:$E$1012,$A118)</f>
        <v>47.504181967396363</v>
      </c>
      <c r="T118" s="153">
        <f>SUMIFS('PIB Mpal 2015-2022 Cons'!W$5:W$1012,'PIB Mpal 2015-2022 Cons'!$A$5:$A$1012,$W$2,'PIB Mpal 2015-2022 Cons'!$E$5:$E$1012,$A118)</f>
        <v>131.39048734637038</v>
      </c>
      <c r="U118" s="51">
        <f>SUMIFS('PIB Mpal 2015-2022 Cons'!X$5:X$1012,'PIB Mpal 2015-2022 Cons'!$A$5:$A$1012,$W$2,'PIB Mpal 2015-2022 Cons'!$E$5:$E$1012,$A118)</f>
        <v>13.204996881202911</v>
      </c>
      <c r="V118" s="53">
        <f>SUMIFS('PIB Mpal 2015-2022 Cons'!Y$5:Y$1012,'PIB Mpal 2015-2022 Cons'!$A$5:$A$1012,$W$2,'PIB Mpal 2015-2022 Cons'!$E$5:$E$1012,$A118)</f>
        <v>144.59548422757328</v>
      </c>
      <c r="W118" s="92">
        <f t="shared" si="18"/>
        <v>1.2524917482420771E-3</v>
      </c>
      <c r="X118" s="268">
        <f>INDEX(POBLACION!$C$4:$W$128,MATCH(A118,POBLACION!$A$4:$A$128,0),MATCH($W$2,POBLACION!$C$3:$W$3,0))</f>
        <v>6897</v>
      </c>
      <c r="Y118" s="258">
        <f t="shared" si="19"/>
        <v>19050.382390368333</v>
      </c>
      <c r="Z118" s="270">
        <f t="shared" si="20"/>
        <v>20964.982489136331</v>
      </c>
      <c r="AA118" s="273">
        <f t="shared" si="21"/>
        <v>4.2799036975108589</v>
      </c>
      <c r="AB118" s="273">
        <f t="shared" si="21"/>
        <v>4.3214945039981298</v>
      </c>
    </row>
    <row r="119" spans="1:28" x14ac:dyDescent="0.2">
      <c r="A119" s="35" t="s">
        <v>347</v>
      </c>
      <c r="B119" s="32" t="s">
        <v>317</v>
      </c>
      <c r="C119" s="33" t="s">
        <v>329</v>
      </c>
      <c r="D119" s="32" t="s">
        <v>348</v>
      </c>
      <c r="E119" s="51">
        <f>SUMIFS('PIB Mpal 2015-2022 Cons'!H$5:H$1012,'PIB Mpal 2015-2022 Cons'!$A$5:$A$1012,$W$2,'PIB Mpal 2015-2022 Cons'!$E$5:$E$1012,$A119)</f>
        <v>16.437391364610068</v>
      </c>
      <c r="F119" s="51">
        <f>SUMIFS('PIB Mpal 2015-2022 Cons'!I$5:I$1012,'PIB Mpal 2015-2022 Cons'!$A$5:$A$1012,$W$2,'PIB Mpal 2015-2022 Cons'!$E$5:$E$1012,$A119)</f>
        <v>0</v>
      </c>
      <c r="G119" s="51">
        <f>SUMIFS('PIB Mpal 2015-2022 Cons'!K$5:K$1012,'PIB Mpal 2015-2022 Cons'!$A$5:$A$1012,$W$2,'PIB Mpal 2015-2022 Cons'!$E$5:$E$1012,$A119)</f>
        <v>1.90574037531999</v>
      </c>
      <c r="H119" s="51">
        <f>SUMIFS('PIB Mpal 2015-2022 Cons'!L$5:L$1012,'PIB Mpal 2015-2022 Cons'!$A$5:$A$1012,$W$2,'PIB Mpal 2015-2022 Cons'!$E$5:$E$1012,$A119)</f>
        <v>6.7831517410108546</v>
      </c>
      <c r="I119" s="51">
        <f>SUMIFS('PIB Mpal 2015-2022 Cons'!N$5:N$1012,'PIB Mpal 2015-2022 Cons'!$A$5:$A$1012,$W$2,'PIB Mpal 2015-2022 Cons'!$E$5:$E$1012,$A119)</f>
        <v>4.4135879617953773</v>
      </c>
      <c r="J119" s="51">
        <f>SUMIFS('PIB Mpal 2015-2022 Cons'!O$5:O$1012,'PIB Mpal 2015-2022 Cons'!$A$5:$A$1012,$W$2,'PIB Mpal 2015-2022 Cons'!$E$5:$E$1012,$A119)</f>
        <v>8.0274814271366388</v>
      </c>
      <c r="K119" s="51">
        <f>SUMIFS('PIB Mpal 2015-2022 Cons'!P$5:P$1012,'PIB Mpal 2015-2022 Cons'!$A$5:$A$1012,$W$2,'PIB Mpal 2015-2022 Cons'!$E$5:$E$1012,$A119)</f>
        <v>3.3410685734207801</v>
      </c>
      <c r="L119" s="51">
        <f>SUMIFS('PIB Mpal 2015-2022 Cons'!Q$5:Q$1012,'PIB Mpal 2015-2022 Cons'!$A$5:$A$1012,$W$2,'PIB Mpal 2015-2022 Cons'!$E$5:$E$1012,$A119)</f>
        <v>2.4033615255159333</v>
      </c>
      <c r="M119" s="51">
        <f>SUMIFS('PIB Mpal 2015-2022 Cons'!R$5:R$1012,'PIB Mpal 2015-2022 Cons'!$A$5:$A$1012,$W$2,'PIB Mpal 2015-2022 Cons'!$E$5:$E$1012,$A119)</f>
        <v>6.7058605348835369</v>
      </c>
      <c r="N119" s="51">
        <f>SUMIFS('PIB Mpal 2015-2022 Cons'!S$5:S$1012,'PIB Mpal 2015-2022 Cons'!$A$5:$A$1012,$W$2,'PIB Mpal 2015-2022 Cons'!$E$5:$E$1012,$A119)</f>
        <v>7.5654403008105309</v>
      </c>
      <c r="O119" s="51">
        <f>SUMIFS('PIB Mpal 2015-2022 Cons'!T$5:T$1012,'PIB Mpal 2015-2022 Cons'!$A$5:$A$1012,$W$2,'PIB Mpal 2015-2022 Cons'!$E$5:$E$1012,$A119)</f>
        <v>14.974011614007626</v>
      </c>
      <c r="P119" s="150">
        <f>SUMIFS('PIB Mpal 2015-2022 Cons'!U$5:U$1012,'PIB Mpal 2015-2022 Cons'!$A$5:$A$1012,$W$2,'PIB Mpal 2015-2022 Cons'!$E$5:$E$1012,$A119)</f>
        <v>1.716493581234833</v>
      </c>
      <c r="Q119" s="217">
        <f>SUMIFS('PIB Mpal 2015-2022 Cons'!J$5:J$1012,'PIB Mpal 2015-2022 Cons'!$A$5:$A$1012,$W$2,'PIB Mpal 2015-2022 Cons'!$E$5:$E$1012,$A119)</f>
        <v>16.437391364610068</v>
      </c>
      <c r="R119" s="99">
        <f>SUMIFS('PIB Mpal 2015-2022 Cons'!M$5:M$1012,'PIB Mpal 2015-2022 Cons'!$A$5:$A$1012,$W$2,'PIB Mpal 2015-2022 Cons'!$E$5:$E$1012,$A119)</f>
        <v>8.6888921163308446</v>
      </c>
      <c r="S119" s="53">
        <f>SUMIFS('PIB Mpal 2015-2022 Cons'!V$5:V$1012,'PIB Mpal 2015-2022 Cons'!$A$5:$A$1012,$W$2,'PIB Mpal 2015-2022 Cons'!$E$5:$E$1012,$A119)</f>
        <v>49.147305518805261</v>
      </c>
      <c r="T119" s="153">
        <f>SUMIFS('PIB Mpal 2015-2022 Cons'!W$5:W$1012,'PIB Mpal 2015-2022 Cons'!$A$5:$A$1012,$W$2,'PIB Mpal 2015-2022 Cons'!$E$5:$E$1012,$A119)</f>
        <v>74.273588999746167</v>
      </c>
      <c r="U119" s="51">
        <f>SUMIFS('PIB Mpal 2015-2022 Cons'!X$5:X$1012,'PIB Mpal 2015-2022 Cons'!$A$5:$A$1012,$W$2,'PIB Mpal 2015-2022 Cons'!$E$5:$E$1012,$A119)</f>
        <v>7.4646386579313599</v>
      </c>
      <c r="V119" s="53">
        <f>SUMIFS('PIB Mpal 2015-2022 Cons'!Y$5:Y$1012,'PIB Mpal 2015-2022 Cons'!$A$5:$A$1012,$W$2,'PIB Mpal 2015-2022 Cons'!$E$5:$E$1012,$A119)</f>
        <v>81.738227657677527</v>
      </c>
      <c r="W119" s="92">
        <f t="shared" si="18"/>
        <v>7.0801972968980863E-4</v>
      </c>
      <c r="X119" s="268">
        <f>INDEX(POBLACION!$C$4:$W$128,MATCH(A119,POBLACION!$A$4:$A$128,0),MATCH($W$2,POBLACION!$C$3:$W$3,0))</f>
        <v>8741</v>
      </c>
      <c r="Y119" s="258">
        <f t="shared" si="19"/>
        <v>8497.1500972138401</v>
      </c>
      <c r="Z119" s="270">
        <f t="shared" si="20"/>
        <v>9351.130037487419</v>
      </c>
      <c r="AA119" s="273">
        <f t="shared" si="21"/>
        <v>3.9292732898802254</v>
      </c>
      <c r="AB119" s="273">
        <f t="shared" si="21"/>
        <v>3.9708640963688211</v>
      </c>
    </row>
    <row r="120" spans="1:28" x14ac:dyDescent="0.2">
      <c r="A120" s="35" t="s">
        <v>349</v>
      </c>
      <c r="B120" s="32" t="s">
        <v>317</v>
      </c>
      <c r="C120" s="33" t="s">
        <v>320</v>
      </c>
      <c r="D120" s="32" t="s">
        <v>350</v>
      </c>
      <c r="E120" s="51">
        <f>SUMIFS('PIB Mpal 2015-2022 Cons'!H$5:H$1012,'PIB Mpal 2015-2022 Cons'!$A$5:$A$1012,$W$2,'PIB Mpal 2015-2022 Cons'!$E$5:$E$1012,$A120)</f>
        <v>57.931967752855385</v>
      </c>
      <c r="F120" s="51">
        <f>SUMIFS('PIB Mpal 2015-2022 Cons'!I$5:I$1012,'PIB Mpal 2015-2022 Cons'!$A$5:$A$1012,$W$2,'PIB Mpal 2015-2022 Cons'!$E$5:$E$1012,$A120)</f>
        <v>0.93681796070384138</v>
      </c>
      <c r="G120" s="51">
        <f>SUMIFS('PIB Mpal 2015-2022 Cons'!K$5:K$1012,'PIB Mpal 2015-2022 Cons'!$A$5:$A$1012,$W$2,'PIB Mpal 2015-2022 Cons'!$E$5:$E$1012,$A120)</f>
        <v>4.0563075976059304</v>
      </c>
      <c r="H120" s="51">
        <f>SUMIFS('PIB Mpal 2015-2022 Cons'!L$5:L$1012,'PIB Mpal 2015-2022 Cons'!$A$5:$A$1012,$W$2,'PIB Mpal 2015-2022 Cons'!$E$5:$E$1012,$A120)</f>
        <v>11.075483315378825</v>
      </c>
      <c r="I120" s="51">
        <f>SUMIFS('PIB Mpal 2015-2022 Cons'!N$5:N$1012,'PIB Mpal 2015-2022 Cons'!$A$5:$A$1012,$W$2,'PIB Mpal 2015-2022 Cons'!$E$5:$E$1012,$A120)</f>
        <v>5.6121309074592123</v>
      </c>
      <c r="J120" s="51">
        <f>SUMIFS('PIB Mpal 2015-2022 Cons'!O$5:O$1012,'PIB Mpal 2015-2022 Cons'!$A$5:$A$1012,$W$2,'PIB Mpal 2015-2022 Cons'!$E$5:$E$1012,$A120)</f>
        <v>30.987353454222578</v>
      </c>
      <c r="K120" s="51">
        <f>SUMIFS('PIB Mpal 2015-2022 Cons'!P$5:P$1012,'PIB Mpal 2015-2022 Cons'!$A$5:$A$1012,$W$2,'PIB Mpal 2015-2022 Cons'!$E$5:$E$1012,$A120)</f>
        <v>4.9439988748553469</v>
      </c>
      <c r="L120" s="51">
        <f>SUMIFS('PIB Mpal 2015-2022 Cons'!Q$5:Q$1012,'PIB Mpal 2015-2022 Cons'!$A$5:$A$1012,$W$2,'PIB Mpal 2015-2022 Cons'!$E$5:$E$1012,$A120)</f>
        <v>4.2023279517649579</v>
      </c>
      <c r="M120" s="51">
        <f>SUMIFS('PIB Mpal 2015-2022 Cons'!R$5:R$1012,'PIB Mpal 2015-2022 Cons'!$A$5:$A$1012,$W$2,'PIB Mpal 2015-2022 Cons'!$E$5:$E$1012,$A120)</f>
        <v>10.474446525980277</v>
      </c>
      <c r="N120" s="51">
        <f>SUMIFS('PIB Mpal 2015-2022 Cons'!S$5:S$1012,'PIB Mpal 2015-2022 Cons'!$A$5:$A$1012,$W$2,'PIB Mpal 2015-2022 Cons'!$E$5:$E$1012,$A120)</f>
        <v>13.587912240787139</v>
      </c>
      <c r="O120" s="51">
        <f>SUMIFS('PIB Mpal 2015-2022 Cons'!T$5:T$1012,'PIB Mpal 2015-2022 Cons'!$A$5:$A$1012,$W$2,'PIB Mpal 2015-2022 Cons'!$E$5:$E$1012,$A120)</f>
        <v>23.457267112146791</v>
      </c>
      <c r="P120" s="150">
        <f>SUMIFS('PIB Mpal 2015-2022 Cons'!U$5:U$1012,'PIB Mpal 2015-2022 Cons'!$A$5:$A$1012,$W$2,'PIB Mpal 2015-2022 Cons'!$E$5:$E$1012,$A120)</f>
        <v>4.6612626250967004</v>
      </c>
      <c r="Q120" s="217">
        <f>SUMIFS('PIB Mpal 2015-2022 Cons'!J$5:J$1012,'PIB Mpal 2015-2022 Cons'!$A$5:$A$1012,$W$2,'PIB Mpal 2015-2022 Cons'!$E$5:$E$1012,$A120)</f>
        <v>58.868785713559227</v>
      </c>
      <c r="R120" s="99">
        <f>SUMIFS('PIB Mpal 2015-2022 Cons'!M$5:M$1012,'PIB Mpal 2015-2022 Cons'!$A$5:$A$1012,$W$2,'PIB Mpal 2015-2022 Cons'!$E$5:$E$1012,$A120)</f>
        <v>15.131790912984755</v>
      </c>
      <c r="S120" s="53">
        <f>SUMIFS('PIB Mpal 2015-2022 Cons'!V$5:V$1012,'PIB Mpal 2015-2022 Cons'!$A$5:$A$1012,$W$2,'PIB Mpal 2015-2022 Cons'!$E$5:$E$1012,$A120)</f>
        <v>97.926699692312994</v>
      </c>
      <c r="T120" s="153">
        <f>SUMIFS('PIB Mpal 2015-2022 Cons'!W$5:W$1012,'PIB Mpal 2015-2022 Cons'!$A$5:$A$1012,$W$2,'PIB Mpal 2015-2022 Cons'!$E$5:$E$1012,$A120)</f>
        <v>171.92727631885697</v>
      </c>
      <c r="U120" s="51">
        <f>SUMIFS('PIB Mpal 2015-2022 Cons'!X$5:X$1012,'PIB Mpal 2015-2022 Cons'!$A$5:$A$1012,$W$2,'PIB Mpal 2015-2022 Cons'!$E$5:$E$1012,$A120)</f>
        <v>17.279022199315222</v>
      </c>
      <c r="V120" s="53">
        <f>SUMIFS('PIB Mpal 2015-2022 Cons'!Y$5:Y$1012,'PIB Mpal 2015-2022 Cons'!$A$5:$A$1012,$W$2,'PIB Mpal 2015-2022 Cons'!$E$5:$E$1012,$A120)</f>
        <v>189.20629851817219</v>
      </c>
      <c r="W120" s="92">
        <f t="shared" si="18"/>
        <v>1.6389123690506485E-3</v>
      </c>
      <c r="X120" s="268">
        <f>INDEX(POBLACION!$C$4:$W$128,MATCH(A120,POBLACION!$A$4:$A$128,0),MATCH($W$2,POBLACION!$C$3:$W$3,0))</f>
        <v>18427</v>
      </c>
      <c r="Y120" s="258">
        <f t="shared" si="19"/>
        <v>9330.1826840428166</v>
      </c>
      <c r="Z120" s="270">
        <f t="shared" si="20"/>
        <v>10267.884002722754</v>
      </c>
      <c r="AA120" s="273">
        <f t="shared" si="21"/>
        <v>3.9698901472722237</v>
      </c>
      <c r="AB120" s="273">
        <f t="shared" si="21"/>
        <v>4.0114809537604126</v>
      </c>
    </row>
    <row r="121" spans="1:28" x14ac:dyDescent="0.2">
      <c r="A121" s="35" t="s">
        <v>351</v>
      </c>
      <c r="B121" s="32" t="s">
        <v>317</v>
      </c>
      <c r="C121" s="33" t="s">
        <v>329</v>
      </c>
      <c r="D121" s="32" t="s">
        <v>352</v>
      </c>
      <c r="E121" s="51">
        <f>SUMIFS('PIB Mpal 2015-2022 Cons'!H$5:H$1012,'PIB Mpal 2015-2022 Cons'!$A$5:$A$1012,$W$2,'PIB Mpal 2015-2022 Cons'!$E$5:$E$1012,$A121)</f>
        <v>71.431587744205146</v>
      </c>
      <c r="F121" s="51">
        <f>SUMIFS('PIB Mpal 2015-2022 Cons'!I$5:I$1012,'PIB Mpal 2015-2022 Cons'!$A$5:$A$1012,$W$2,'PIB Mpal 2015-2022 Cons'!$E$5:$E$1012,$A121)</f>
        <v>0</v>
      </c>
      <c r="G121" s="51">
        <f>SUMIFS('PIB Mpal 2015-2022 Cons'!K$5:K$1012,'PIB Mpal 2015-2022 Cons'!$A$5:$A$1012,$W$2,'PIB Mpal 2015-2022 Cons'!$E$5:$E$1012,$A121)</f>
        <v>11.711947332020516</v>
      </c>
      <c r="H121" s="51">
        <f>SUMIFS('PIB Mpal 2015-2022 Cons'!L$5:L$1012,'PIB Mpal 2015-2022 Cons'!$A$5:$A$1012,$W$2,'PIB Mpal 2015-2022 Cons'!$E$5:$E$1012,$A121)</f>
        <v>11.264619294964668</v>
      </c>
      <c r="I121" s="51">
        <f>SUMIFS('PIB Mpal 2015-2022 Cons'!N$5:N$1012,'PIB Mpal 2015-2022 Cons'!$A$5:$A$1012,$W$2,'PIB Mpal 2015-2022 Cons'!$E$5:$E$1012,$A121)</f>
        <v>6.3707456436932688</v>
      </c>
      <c r="J121" s="51">
        <f>SUMIFS('PIB Mpal 2015-2022 Cons'!O$5:O$1012,'PIB Mpal 2015-2022 Cons'!$A$5:$A$1012,$W$2,'PIB Mpal 2015-2022 Cons'!$E$5:$E$1012,$A121)</f>
        <v>38.627675228297029</v>
      </c>
      <c r="K121" s="51">
        <f>SUMIFS('PIB Mpal 2015-2022 Cons'!P$5:P$1012,'PIB Mpal 2015-2022 Cons'!$A$5:$A$1012,$W$2,'PIB Mpal 2015-2022 Cons'!$E$5:$E$1012,$A121)</f>
        <v>9.1232585660876069</v>
      </c>
      <c r="L121" s="51">
        <f>SUMIFS('PIB Mpal 2015-2022 Cons'!Q$5:Q$1012,'PIB Mpal 2015-2022 Cons'!$A$5:$A$1012,$W$2,'PIB Mpal 2015-2022 Cons'!$E$5:$E$1012,$A121)</f>
        <v>7.6077882916718425</v>
      </c>
      <c r="M121" s="51">
        <f>SUMIFS('PIB Mpal 2015-2022 Cons'!R$5:R$1012,'PIB Mpal 2015-2022 Cons'!$A$5:$A$1012,$W$2,'PIB Mpal 2015-2022 Cons'!$E$5:$E$1012,$A121)</f>
        <v>28.574402377409637</v>
      </c>
      <c r="N121" s="51">
        <f>SUMIFS('PIB Mpal 2015-2022 Cons'!S$5:S$1012,'PIB Mpal 2015-2022 Cons'!$A$5:$A$1012,$W$2,'PIB Mpal 2015-2022 Cons'!$E$5:$E$1012,$A121)</f>
        <v>21.616160621883509</v>
      </c>
      <c r="O121" s="51">
        <f>SUMIFS('PIB Mpal 2015-2022 Cons'!T$5:T$1012,'PIB Mpal 2015-2022 Cons'!$A$5:$A$1012,$W$2,'PIB Mpal 2015-2022 Cons'!$E$5:$E$1012,$A121)</f>
        <v>36.740643850117898</v>
      </c>
      <c r="P121" s="150">
        <f>SUMIFS('PIB Mpal 2015-2022 Cons'!U$5:U$1012,'PIB Mpal 2015-2022 Cons'!$A$5:$A$1012,$W$2,'PIB Mpal 2015-2022 Cons'!$E$5:$E$1012,$A121)</f>
        <v>7.9155456586765247</v>
      </c>
      <c r="Q121" s="217">
        <f>SUMIFS('PIB Mpal 2015-2022 Cons'!J$5:J$1012,'PIB Mpal 2015-2022 Cons'!$A$5:$A$1012,$W$2,'PIB Mpal 2015-2022 Cons'!$E$5:$E$1012,$A121)</f>
        <v>71.431587744205146</v>
      </c>
      <c r="R121" s="99">
        <f>SUMIFS('PIB Mpal 2015-2022 Cons'!M$5:M$1012,'PIB Mpal 2015-2022 Cons'!$A$5:$A$1012,$W$2,'PIB Mpal 2015-2022 Cons'!$E$5:$E$1012,$A121)</f>
        <v>22.976566626985182</v>
      </c>
      <c r="S121" s="53">
        <f>SUMIFS('PIB Mpal 2015-2022 Cons'!V$5:V$1012,'PIB Mpal 2015-2022 Cons'!$A$5:$A$1012,$W$2,'PIB Mpal 2015-2022 Cons'!$E$5:$E$1012,$A121)</f>
        <v>156.57622023783733</v>
      </c>
      <c r="T121" s="153">
        <f>SUMIFS('PIB Mpal 2015-2022 Cons'!W$5:W$1012,'PIB Mpal 2015-2022 Cons'!$A$5:$A$1012,$W$2,'PIB Mpal 2015-2022 Cons'!$E$5:$E$1012,$A121)</f>
        <v>250.98437460902767</v>
      </c>
      <c r="U121" s="51">
        <f>SUMIFS('PIB Mpal 2015-2022 Cons'!X$5:X$1012,'PIB Mpal 2015-2022 Cons'!$A$5:$A$1012,$W$2,'PIB Mpal 2015-2022 Cons'!$E$5:$E$1012,$A121)</f>
        <v>25.224412748410248</v>
      </c>
      <c r="V121" s="53">
        <f>SUMIFS('PIB Mpal 2015-2022 Cons'!Y$5:Y$1012,'PIB Mpal 2015-2022 Cons'!$A$5:$A$1012,$W$2,'PIB Mpal 2015-2022 Cons'!$E$5:$E$1012,$A121)</f>
        <v>276.20878735743793</v>
      </c>
      <c r="W121" s="92">
        <f t="shared" si="18"/>
        <v>2.392531335298586E-3</v>
      </c>
      <c r="X121" s="268">
        <f>INDEX(POBLACION!$C$4:$W$128,MATCH(A121,POBLACION!$A$4:$A$128,0),MATCH($W$2,POBLACION!$C$3:$W$3,0))</f>
        <v>26771</v>
      </c>
      <c r="Y121" s="258">
        <f t="shared" si="19"/>
        <v>9375.2334469772377</v>
      </c>
      <c r="Z121" s="270">
        <f t="shared" si="20"/>
        <v>10317.462454052442</v>
      </c>
      <c r="AA121" s="273">
        <f t="shared" si="21"/>
        <v>3.9719820906367445</v>
      </c>
      <c r="AB121" s="273">
        <f t="shared" si="21"/>
        <v>4.0135728971251732</v>
      </c>
    </row>
    <row r="122" spans="1:28" x14ac:dyDescent="0.2">
      <c r="A122" s="35" t="s">
        <v>353</v>
      </c>
      <c r="B122" s="32" t="s">
        <v>317</v>
      </c>
      <c r="C122" s="33" t="s">
        <v>329</v>
      </c>
      <c r="D122" s="32" t="s">
        <v>354</v>
      </c>
      <c r="E122" s="51">
        <f>SUMIFS('PIB Mpal 2015-2022 Cons'!H$5:H$1012,'PIB Mpal 2015-2022 Cons'!$A$5:$A$1012,$W$2,'PIB Mpal 2015-2022 Cons'!$E$5:$E$1012,$A122)</f>
        <v>53.368432197889092</v>
      </c>
      <c r="F122" s="51">
        <f>SUMIFS('PIB Mpal 2015-2022 Cons'!I$5:I$1012,'PIB Mpal 2015-2022 Cons'!$A$5:$A$1012,$W$2,'PIB Mpal 2015-2022 Cons'!$E$5:$E$1012,$A122)</f>
        <v>1.0081965059346132</v>
      </c>
      <c r="G122" s="51">
        <f>SUMIFS('PIB Mpal 2015-2022 Cons'!K$5:K$1012,'PIB Mpal 2015-2022 Cons'!$A$5:$A$1012,$W$2,'PIB Mpal 2015-2022 Cons'!$E$5:$E$1012,$A122)</f>
        <v>4.7607614411699481</v>
      </c>
      <c r="H122" s="51">
        <f>SUMIFS('PIB Mpal 2015-2022 Cons'!L$5:L$1012,'PIB Mpal 2015-2022 Cons'!$A$5:$A$1012,$W$2,'PIB Mpal 2015-2022 Cons'!$E$5:$E$1012,$A122)</f>
        <v>11.90260174738798</v>
      </c>
      <c r="I122" s="51">
        <f>SUMIFS('PIB Mpal 2015-2022 Cons'!N$5:N$1012,'PIB Mpal 2015-2022 Cons'!$A$5:$A$1012,$W$2,'PIB Mpal 2015-2022 Cons'!$E$5:$E$1012,$A122)</f>
        <v>6.1678398992847496</v>
      </c>
      <c r="J122" s="51">
        <f>SUMIFS('PIB Mpal 2015-2022 Cons'!O$5:O$1012,'PIB Mpal 2015-2022 Cons'!$A$5:$A$1012,$W$2,'PIB Mpal 2015-2022 Cons'!$E$5:$E$1012,$A122)</f>
        <v>22.602502617295642</v>
      </c>
      <c r="K122" s="51">
        <f>SUMIFS('PIB Mpal 2015-2022 Cons'!P$5:P$1012,'PIB Mpal 2015-2022 Cons'!$A$5:$A$1012,$W$2,'PIB Mpal 2015-2022 Cons'!$E$5:$E$1012,$A122)</f>
        <v>6.1146349636651234</v>
      </c>
      <c r="L122" s="51">
        <f>SUMIFS('PIB Mpal 2015-2022 Cons'!Q$5:Q$1012,'PIB Mpal 2015-2022 Cons'!$A$5:$A$1012,$W$2,'PIB Mpal 2015-2022 Cons'!$E$5:$E$1012,$A122)</f>
        <v>4.9453568781174875</v>
      </c>
      <c r="M122" s="51">
        <f>SUMIFS('PIB Mpal 2015-2022 Cons'!R$5:R$1012,'PIB Mpal 2015-2022 Cons'!$A$5:$A$1012,$W$2,'PIB Mpal 2015-2022 Cons'!$E$5:$E$1012,$A122)</f>
        <v>15.246716363137516</v>
      </c>
      <c r="N122" s="51">
        <f>SUMIFS('PIB Mpal 2015-2022 Cons'!S$5:S$1012,'PIB Mpal 2015-2022 Cons'!$A$5:$A$1012,$W$2,'PIB Mpal 2015-2022 Cons'!$E$5:$E$1012,$A122)</f>
        <v>15.483560293078328</v>
      </c>
      <c r="O122" s="51">
        <f>SUMIFS('PIB Mpal 2015-2022 Cons'!T$5:T$1012,'PIB Mpal 2015-2022 Cons'!$A$5:$A$1012,$W$2,'PIB Mpal 2015-2022 Cons'!$E$5:$E$1012,$A122)</f>
        <v>29.084613220540255</v>
      </c>
      <c r="P122" s="150">
        <f>SUMIFS('PIB Mpal 2015-2022 Cons'!U$5:U$1012,'PIB Mpal 2015-2022 Cons'!$A$5:$A$1012,$W$2,'PIB Mpal 2015-2022 Cons'!$E$5:$E$1012,$A122)</f>
        <v>4.6939249225457127</v>
      </c>
      <c r="Q122" s="217">
        <f>SUMIFS('PIB Mpal 2015-2022 Cons'!J$5:J$1012,'PIB Mpal 2015-2022 Cons'!$A$5:$A$1012,$W$2,'PIB Mpal 2015-2022 Cons'!$E$5:$E$1012,$A122)</f>
        <v>54.376628703823705</v>
      </c>
      <c r="R122" s="99">
        <f>SUMIFS('PIB Mpal 2015-2022 Cons'!M$5:M$1012,'PIB Mpal 2015-2022 Cons'!$A$5:$A$1012,$W$2,'PIB Mpal 2015-2022 Cons'!$E$5:$E$1012,$A122)</f>
        <v>16.663363188557927</v>
      </c>
      <c r="S122" s="53">
        <f>SUMIFS('PIB Mpal 2015-2022 Cons'!V$5:V$1012,'PIB Mpal 2015-2022 Cons'!$A$5:$A$1012,$W$2,'PIB Mpal 2015-2022 Cons'!$E$5:$E$1012,$A122)</f>
        <v>104.33914915766483</v>
      </c>
      <c r="T122" s="153">
        <f>SUMIFS('PIB Mpal 2015-2022 Cons'!W$5:W$1012,'PIB Mpal 2015-2022 Cons'!$A$5:$A$1012,$W$2,'PIB Mpal 2015-2022 Cons'!$E$5:$E$1012,$A122)</f>
        <v>175.37914105004646</v>
      </c>
      <c r="U122" s="51">
        <f>SUMIFS('PIB Mpal 2015-2022 Cons'!X$5:X$1012,'PIB Mpal 2015-2022 Cons'!$A$5:$A$1012,$W$2,'PIB Mpal 2015-2022 Cons'!$E$5:$E$1012,$A122)</f>
        <v>17.625941249071985</v>
      </c>
      <c r="V122" s="53">
        <f>SUMIFS('PIB Mpal 2015-2022 Cons'!Y$5:Y$1012,'PIB Mpal 2015-2022 Cons'!$A$5:$A$1012,$W$2,'PIB Mpal 2015-2022 Cons'!$E$5:$E$1012,$A122)</f>
        <v>193.00508229911844</v>
      </c>
      <c r="W122" s="92">
        <f t="shared" si="18"/>
        <v>1.6718175829610821E-3</v>
      </c>
      <c r="X122" s="268">
        <f>INDEX(POBLACION!$C$4:$W$128,MATCH(A122,POBLACION!$A$4:$A$128,0),MATCH($W$2,POBLACION!$C$3:$W$3,0))</f>
        <v>16564</v>
      </c>
      <c r="Y122" s="258">
        <f t="shared" si="19"/>
        <v>10587.970360422993</v>
      </c>
      <c r="Z122" s="270">
        <f t="shared" si="20"/>
        <v>11652.081761598552</v>
      </c>
      <c r="AA122" s="273">
        <f t="shared" si="21"/>
        <v>4.0248127168829226</v>
      </c>
      <c r="AB122" s="273">
        <f t="shared" si="21"/>
        <v>4.0664035233712239</v>
      </c>
    </row>
    <row r="123" spans="1:28" x14ac:dyDescent="0.2">
      <c r="A123" s="35" t="s">
        <v>355</v>
      </c>
      <c r="B123" s="32" t="s">
        <v>317</v>
      </c>
      <c r="C123" s="33" t="s">
        <v>329</v>
      </c>
      <c r="D123" s="32" t="s">
        <v>356</v>
      </c>
      <c r="E123" s="51">
        <f>SUMIFS('PIB Mpal 2015-2022 Cons'!H$5:H$1012,'PIB Mpal 2015-2022 Cons'!$A$5:$A$1012,$W$2,'PIB Mpal 2015-2022 Cons'!$E$5:$E$1012,$A123)</f>
        <v>29.280536336305431</v>
      </c>
      <c r="F123" s="51">
        <f>SUMIFS('PIB Mpal 2015-2022 Cons'!I$5:I$1012,'PIB Mpal 2015-2022 Cons'!$A$5:$A$1012,$W$2,'PIB Mpal 2015-2022 Cons'!$E$5:$E$1012,$A123)</f>
        <v>0</v>
      </c>
      <c r="G123" s="51">
        <f>SUMIFS('PIB Mpal 2015-2022 Cons'!K$5:K$1012,'PIB Mpal 2015-2022 Cons'!$A$5:$A$1012,$W$2,'PIB Mpal 2015-2022 Cons'!$E$5:$E$1012,$A123)</f>
        <v>1.4673316240949406</v>
      </c>
      <c r="H123" s="51">
        <f>SUMIFS('PIB Mpal 2015-2022 Cons'!L$5:L$1012,'PIB Mpal 2015-2022 Cons'!$A$5:$A$1012,$W$2,'PIB Mpal 2015-2022 Cons'!$E$5:$E$1012,$A123)</f>
        <v>5.7797122110682375</v>
      </c>
      <c r="I123" s="51">
        <f>SUMIFS('PIB Mpal 2015-2022 Cons'!N$5:N$1012,'PIB Mpal 2015-2022 Cons'!$A$5:$A$1012,$W$2,'PIB Mpal 2015-2022 Cons'!$E$5:$E$1012,$A123)</f>
        <v>2.3634692251793119</v>
      </c>
      <c r="J123" s="51">
        <f>SUMIFS('PIB Mpal 2015-2022 Cons'!O$5:O$1012,'PIB Mpal 2015-2022 Cons'!$A$5:$A$1012,$W$2,'PIB Mpal 2015-2022 Cons'!$E$5:$E$1012,$A123)</f>
        <v>12.661602159359598</v>
      </c>
      <c r="K123" s="51">
        <f>SUMIFS('PIB Mpal 2015-2022 Cons'!P$5:P$1012,'PIB Mpal 2015-2022 Cons'!$A$5:$A$1012,$W$2,'PIB Mpal 2015-2022 Cons'!$E$5:$E$1012,$A123)</f>
        <v>2.013529526431733</v>
      </c>
      <c r="L123" s="51">
        <f>SUMIFS('PIB Mpal 2015-2022 Cons'!Q$5:Q$1012,'PIB Mpal 2015-2022 Cons'!$A$5:$A$1012,$W$2,'PIB Mpal 2015-2022 Cons'!$E$5:$E$1012,$A123)</f>
        <v>1.8804745926529913</v>
      </c>
      <c r="M123" s="51">
        <f>SUMIFS('PIB Mpal 2015-2022 Cons'!R$5:R$1012,'PIB Mpal 2015-2022 Cons'!$A$5:$A$1012,$W$2,'PIB Mpal 2015-2022 Cons'!$E$5:$E$1012,$A123)</f>
        <v>5.4261535997968275</v>
      </c>
      <c r="N123" s="51">
        <f>SUMIFS('PIB Mpal 2015-2022 Cons'!S$5:S$1012,'PIB Mpal 2015-2022 Cons'!$A$5:$A$1012,$W$2,'PIB Mpal 2015-2022 Cons'!$E$5:$E$1012,$A123)</f>
        <v>7.30919765516495</v>
      </c>
      <c r="O123" s="51">
        <f>SUMIFS('PIB Mpal 2015-2022 Cons'!T$5:T$1012,'PIB Mpal 2015-2022 Cons'!$A$5:$A$1012,$W$2,'PIB Mpal 2015-2022 Cons'!$E$5:$E$1012,$A123)</f>
        <v>12.639543728121536</v>
      </c>
      <c r="P123" s="150">
        <f>SUMIFS('PIB Mpal 2015-2022 Cons'!U$5:U$1012,'PIB Mpal 2015-2022 Cons'!$A$5:$A$1012,$W$2,'PIB Mpal 2015-2022 Cons'!$E$5:$E$1012,$A123)</f>
        <v>1.7213036178747934</v>
      </c>
      <c r="Q123" s="217">
        <f>SUMIFS('PIB Mpal 2015-2022 Cons'!J$5:J$1012,'PIB Mpal 2015-2022 Cons'!$A$5:$A$1012,$W$2,'PIB Mpal 2015-2022 Cons'!$E$5:$E$1012,$A123)</f>
        <v>29.280536336305431</v>
      </c>
      <c r="R123" s="99">
        <f>SUMIFS('PIB Mpal 2015-2022 Cons'!M$5:M$1012,'PIB Mpal 2015-2022 Cons'!$A$5:$A$1012,$W$2,'PIB Mpal 2015-2022 Cons'!$E$5:$E$1012,$A123)</f>
        <v>7.2470438351631783</v>
      </c>
      <c r="S123" s="53">
        <f>SUMIFS('PIB Mpal 2015-2022 Cons'!V$5:V$1012,'PIB Mpal 2015-2022 Cons'!$A$5:$A$1012,$W$2,'PIB Mpal 2015-2022 Cons'!$E$5:$E$1012,$A123)</f>
        <v>46.015274104581742</v>
      </c>
      <c r="T123" s="153">
        <f>SUMIFS('PIB Mpal 2015-2022 Cons'!W$5:W$1012,'PIB Mpal 2015-2022 Cons'!$A$5:$A$1012,$W$2,'PIB Mpal 2015-2022 Cons'!$E$5:$E$1012,$A123)</f>
        <v>82.542854276050349</v>
      </c>
      <c r="U123" s="51">
        <f>SUMIFS('PIB Mpal 2015-2022 Cons'!X$5:X$1012,'PIB Mpal 2015-2022 Cons'!$A$5:$A$1012,$W$2,'PIB Mpal 2015-2022 Cons'!$E$5:$E$1012,$A123)</f>
        <v>8.2957157349695123</v>
      </c>
      <c r="V123" s="53">
        <f>SUMIFS('PIB Mpal 2015-2022 Cons'!Y$5:Y$1012,'PIB Mpal 2015-2022 Cons'!$A$5:$A$1012,$W$2,'PIB Mpal 2015-2022 Cons'!$E$5:$E$1012,$A123)</f>
        <v>90.838570011019868</v>
      </c>
      <c r="W123" s="92">
        <f t="shared" si="18"/>
        <v>7.8684725161850275E-4</v>
      </c>
      <c r="X123" s="268">
        <f>INDEX(POBLACION!$C$4:$W$128,MATCH(A123,POBLACION!$A$4:$A$128,0),MATCH($W$2,POBLACION!$C$3:$W$3,0))</f>
        <v>6210</v>
      </c>
      <c r="Y123" s="258">
        <f t="shared" si="19"/>
        <v>13291.925004194904</v>
      </c>
      <c r="Z123" s="270">
        <f t="shared" si="20"/>
        <v>14627.789051694021</v>
      </c>
      <c r="AA123" s="273">
        <f t="shared" si="21"/>
        <v>4.1235878822338021</v>
      </c>
      <c r="AB123" s="273">
        <f t="shared" si="21"/>
        <v>4.1651786887219382</v>
      </c>
    </row>
    <row r="124" spans="1:28" x14ac:dyDescent="0.2">
      <c r="A124" s="35" t="s">
        <v>357</v>
      </c>
      <c r="B124" s="32" t="s">
        <v>317</v>
      </c>
      <c r="C124" s="33" t="s">
        <v>225</v>
      </c>
      <c r="D124" s="32" t="s">
        <v>358</v>
      </c>
      <c r="E124" s="51">
        <f>SUMIFS('PIB Mpal 2015-2022 Cons'!H$5:H$1012,'PIB Mpal 2015-2022 Cons'!$A$5:$A$1012,$W$2,'PIB Mpal 2015-2022 Cons'!$E$5:$E$1012,$A124)</f>
        <v>19.64583776906996</v>
      </c>
      <c r="F124" s="51">
        <f>SUMIFS('PIB Mpal 2015-2022 Cons'!I$5:I$1012,'PIB Mpal 2015-2022 Cons'!$A$5:$A$1012,$W$2,'PIB Mpal 2015-2022 Cons'!$E$5:$E$1012,$A124)</f>
        <v>1.8840964628802477</v>
      </c>
      <c r="G124" s="51">
        <f>SUMIFS('PIB Mpal 2015-2022 Cons'!K$5:K$1012,'PIB Mpal 2015-2022 Cons'!$A$5:$A$1012,$W$2,'PIB Mpal 2015-2022 Cons'!$E$5:$E$1012,$A124)</f>
        <v>3.3931085051041849</v>
      </c>
      <c r="H124" s="51">
        <f>SUMIFS('PIB Mpal 2015-2022 Cons'!L$5:L$1012,'PIB Mpal 2015-2022 Cons'!$A$5:$A$1012,$W$2,'PIB Mpal 2015-2022 Cons'!$E$5:$E$1012,$A124)</f>
        <v>4.8667885795776762</v>
      </c>
      <c r="I124" s="51">
        <f>SUMIFS('PIB Mpal 2015-2022 Cons'!N$5:N$1012,'PIB Mpal 2015-2022 Cons'!$A$5:$A$1012,$W$2,'PIB Mpal 2015-2022 Cons'!$E$5:$E$1012,$A124)</f>
        <v>3.7817682220587443</v>
      </c>
      <c r="J124" s="51">
        <f>SUMIFS('PIB Mpal 2015-2022 Cons'!O$5:O$1012,'PIB Mpal 2015-2022 Cons'!$A$5:$A$1012,$W$2,'PIB Mpal 2015-2022 Cons'!$E$5:$E$1012,$A124)</f>
        <v>19.948605546576676</v>
      </c>
      <c r="K124" s="51">
        <f>SUMIFS('PIB Mpal 2015-2022 Cons'!P$5:P$1012,'PIB Mpal 2015-2022 Cons'!$A$5:$A$1012,$W$2,'PIB Mpal 2015-2022 Cons'!$E$5:$E$1012,$A124)</f>
        <v>2.9618274034018452</v>
      </c>
      <c r="L124" s="51">
        <f>SUMIFS('PIB Mpal 2015-2022 Cons'!Q$5:Q$1012,'PIB Mpal 2015-2022 Cons'!$A$5:$A$1012,$W$2,'PIB Mpal 2015-2022 Cons'!$E$5:$E$1012,$A124)</f>
        <v>2.0064142649136563</v>
      </c>
      <c r="M124" s="51">
        <f>SUMIFS('PIB Mpal 2015-2022 Cons'!R$5:R$1012,'PIB Mpal 2015-2022 Cons'!$A$5:$A$1012,$W$2,'PIB Mpal 2015-2022 Cons'!$E$5:$E$1012,$A124)</f>
        <v>8.1139368230658064</v>
      </c>
      <c r="N124" s="51">
        <f>SUMIFS('PIB Mpal 2015-2022 Cons'!S$5:S$1012,'PIB Mpal 2015-2022 Cons'!$A$5:$A$1012,$W$2,'PIB Mpal 2015-2022 Cons'!$E$5:$E$1012,$A124)</f>
        <v>9.377925201665402</v>
      </c>
      <c r="O124" s="51">
        <f>SUMIFS('PIB Mpal 2015-2022 Cons'!T$5:T$1012,'PIB Mpal 2015-2022 Cons'!$A$5:$A$1012,$W$2,'PIB Mpal 2015-2022 Cons'!$E$5:$E$1012,$A124)</f>
        <v>16.267780893552395</v>
      </c>
      <c r="P124" s="150">
        <f>SUMIFS('PIB Mpal 2015-2022 Cons'!U$5:U$1012,'PIB Mpal 2015-2022 Cons'!$A$5:$A$1012,$W$2,'PIB Mpal 2015-2022 Cons'!$E$5:$E$1012,$A124)</f>
        <v>2.9922873207303571</v>
      </c>
      <c r="Q124" s="217">
        <f>SUMIFS('PIB Mpal 2015-2022 Cons'!J$5:J$1012,'PIB Mpal 2015-2022 Cons'!$A$5:$A$1012,$W$2,'PIB Mpal 2015-2022 Cons'!$E$5:$E$1012,$A124)</f>
        <v>21.529934231950207</v>
      </c>
      <c r="R124" s="99">
        <f>SUMIFS('PIB Mpal 2015-2022 Cons'!M$5:M$1012,'PIB Mpal 2015-2022 Cons'!$A$5:$A$1012,$W$2,'PIB Mpal 2015-2022 Cons'!$E$5:$E$1012,$A124)</f>
        <v>8.2598970846818602</v>
      </c>
      <c r="S124" s="53">
        <f>SUMIFS('PIB Mpal 2015-2022 Cons'!V$5:V$1012,'PIB Mpal 2015-2022 Cons'!$A$5:$A$1012,$W$2,'PIB Mpal 2015-2022 Cons'!$E$5:$E$1012,$A124)</f>
        <v>65.450545675964889</v>
      </c>
      <c r="T124" s="153">
        <f>SUMIFS('PIB Mpal 2015-2022 Cons'!W$5:W$1012,'PIB Mpal 2015-2022 Cons'!$A$5:$A$1012,$W$2,'PIB Mpal 2015-2022 Cons'!$E$5:$E$1012,$A124)</f>
        <v>95.24037699259695</v>
      </c>
      <c r="U124" s="51">
        <f>SUMIFS('PIB Mpal 2015-2022 Cons'!X$5:X$1012,'PIB Mpal 2015-2022 Cons'!$A$5:$A$1012,$W$2,'PIB Mpal 2015-2022 Cons'!$E$5:$E$1012,$A124)</f>
        <v>9.571841208580123</v>
      </c>
      <c r="V124" s="53">
        <f>SUMIFS('PIB Mpal 2015-2022 Cons'!Y$5:Y$1012,'PIB Mpal 2015-2022 Cons'!$A$5:$A$1012,$W$2,'PIB Mpal 2015-2022 Cons'!$E$5:$E$1012,$A124)</f>
        <v>104.81221820117707</v>
      </c>
      <c r="W124" s="92">
        <f t="shared" si="18"/>
        <v>9.0788753959502211E-4</v>
      </c>
      <c r="X124" s="268">
        <f>INDEX(POBLACION!$C$4:$W$128,MATCH(A124,POBLACION!$A$4:$A$128,0),MATCH($W$2,POBLACION!$C$3:$W$3,0))</f>
        <v>11013</v>
      </c>
      <c r="Y124" s="258">
        <f t="shared" si="19"/>
        <v>8647.9957316441432</v>
      </c>
      <c r="Z124" s="270">
        <f t="shared" si="20"/>
        <v>9517.1359485314697</v>
      </c>
      <c r="AA124" s="273">
        <f t="shared" si="21"/>
        <v>3.9369154665923571</v>
      </c>
      <c r="AB124" s="273">
        <f t="shared" si="21"/>
        <v>3.9785062730810656</v>
      </c>
    </row>
    <row r="125" spans="1:28" x14ac:dyDescent="0.2">
      <c r="A125" s="35" t="s">
        <v>359</v>
      </c>
      <c r="B125" s="32" t="s">
        <v>317</v>
      </c>
      <c r="C125" s="33" t="s">
        <v>225</v>
      </c>
      <c r="D125" s="32" t="s">
        <v>360</v>
      </c>
      <c r="E125" s="51">
        <f>SUMIFS('PIB Mpal 2015-2022 Cons'!H$5:H$1012,'PIB Mpal 2015-2022 Cons'!$A$5:$A$1012,$W$2,'PIB Mpal 2015-2022 Cons'!$E$5:$E$1012,$A125)</f>
        <v>122.89182575437724</v>
      </c>
      <c r="F125" s="51">
        <f>SUMIFS('PIB Mpal 2015-2022 Cons'!I$5:I$1012,'PIB Mpal 2015-2022 Cons'!$A$5:$A$1012,$W$2,'PIB Mpal 2015-2022 Cons'!$E$5:$E$1012,$A125)</f>
        <v>6.4112419056136929</v>
      </c>
      <c r="G125" s="51">
        <f>SUMIFS('PIB Mpal 2015-2022 Cons'!K$5:K$1012,'PIB Mpal 2015-2022 Cons'!$A$5:$A$1012,$W$2,'PIB Mpal 2015-2022 Cons'!$E$5:$E$1012,$A125)</f>
        <v>23.259596478828815</v>
      </c>
      <c r="H125" s="51">
        <f>SUMIFS('PIB Mpal 2015-2022 Cons'!L$5:L$1012,'PIB Mpal 2015-2022 Cons'!$A$5:$A$1012,$W$2,'PIB Mpal 2015-2022 Cons'!$E$5:$E$1012,$A125)</f>
        <v>13.90022373289278</v>
      </c>
      <c r="I125" s="51">
        <f>SUMIFS('PIB Mpal 2015-2022 Cons'!N$5:N$1012,'PIB Mpal 2015-2022 Cons'!$A$5:$A$1012,$W$2,'PIB Mpal 2015-2022 Cons'!$E$5:$E$1012,$A125)</f>
        <v>9.5561756384986634</v>
      </c>
      <c r="J125" s="51">
        <f>SUMIFS('PIB Mpal 2015-2022 Cons'!O$5:O$1012,'PIB Mpal 2015-2022 Cons'!$A$5:$A$1012,$W$2,'PIB Mpal 2015-2022 Cons'!$E$5:$E$1012,$A125)</f>
        <v>39.330782476845897</v>
      </c>
      <c r="K125" s="51">
        <f>SUMIFS('PIB Mpal 2015-2022 Cons'!P$5:P$1012,'PIB Mpal 2015-2022 Cons'!$A$5:$A$1012,$W$2,'PIB Mpal 2015-2022 Cons'!$E$5:$E$1012,$A125)</f>
        <v>9.8268745900706129</v>
      </c>
      <c r="L125" s="51">
        <f>SUMIFS('PIB Mpal 2015-2022 Cons'!Q$5:Q$1012,'PIB Mpal 2015-2022 Cons'!$A$5:$A$1012,$W$2,'PIB Mpal 2015-2022 Cons'!$E$5:$E$1012,$A125)</f>
        <v>9.3889766836582798</v>
      </c>
      <c r="M125" s="51">
        <f>SUMIFS('PIB Mpal 2015-2022 Cons'!R$5:R$1012,'PIB Mpal 2015-2022 Cons'!$A$5:$A$1012,$W$2,'PIB Mpal 2015-2022 Cons'!$E$5:$E$1012,$A125)</f>
        <v>20.37656169992821</v>
      </c>
      <c r="N125" s="51">
        <f>SUMIFS('PIB Mpal 2015-2022 Cons'!S$5:S$1012,'PIB Mpal 2015-2022 Cons'!$A$5:$A$1012,$W$2,'PIB Mpal 2015-2022 Cons'!$E$5:$E$1012,$A125)</f>
        <v>28.374890669700246</v>
      </c>
      <c r="O125" s="51">
        <f>SUMIFS('PIB Mpal 2015-2022 Cons'!T$5:T$1012,'PIB Mpal 2015-2022 Cons'!$A$5:$A$1012,$W$2,'PIB Mpal 2015-2022 Cons'!$E$5:$E$1012,$A125)</f>
        <v>53.308794502217047</v>
      </c>
      <c r="P125" s="150">
        <f>SUMIFS('PIB Mpal 2015-2022 Cons'!U$5:U$1012,'PIB Mpal 2015-2022 Cons'!$A$5:$A$1012,$W$2,'PIB Mpal 2015-2022 Cons'!$E$5:$E$1012,$A125)</f>
        <v>8.3861604794003206</v>
      </c>
      <c r="Q125" s="217">
        <f>SUMIFS('PIB Mpal 2015-2022 Cons'!J$5:J$1012,'PIB Mpal 2015-2022 Cons'!$A$5:$A$1012,$W$2,'PIB Mpal 2015-2022 Cons'!$E$5:$E$1012,$A125)</f>
        <v>129.30306765999092</v>
      </c>
      <c r="R125" s="99">
        <f>SUMIFS('PIB Mpal 2015-2022 Cons'!M$5:M$1012,'PIB Mpal 2015-2022 Cons'!$A$5:$A$1012,$W$2,'PIB Mpal 2015-2022 Cons'!$E$5:$E$1012,$A125)</f>
        <v>37.159820211721595</v>
      </c>
      <c r="S125" s="53">
        <f>SUMIFS('PIB Mpal 2015-2022 Cons'!V$5:V$1012,'PIB Mpal 2015-2022 Cons'!$A$5:$A$1012,$W$2,'PIB Mpal 2015-2022 Cons'!$E$5:$E$1012,$A125)</f>
        <v>178.54921674031928</v>
      </c>
      <c r="T125" s="153">
        <f>SUMIFS('PIB Mpal 2015-2022 Cons'!W$5:W$1012,'PIB Mpal 2015-2022 Cons'!$A$5:$A$1012,$W$2,'PIB Mpal 2015-2022 Cons'!$E$5:$E$1012,$A125)</f>
        <v>345.01210461203181</v>
      </c>
      <c r="U125" s="51">
        <f>SUMIFS('PIB Mpal 2015-2022 Cons'!X$5:X$1012,'PIB Mpal 2015-2022 Cons'!$A$5:$A$1012,$W$2,'PIB Mpal 2015-2022 Cons'!$E$5:$E$1012,$A125)</f>
        <v>34.67438059992908</v>
      </c>
      <c r="V125" s="53">
        <f>SUMIFS('PIB Mpal 2015-2022 Cons'!Y$5:Y$1012,'PIB Mpal 2015-2022 Cons'!$A$5:$A$1012,$W$2,'PIB Mpal 2015-2022 Cons'!$E$5:$E$1012,$A125)</f>
        <v>379.68648521196087</v>
      </c>
      <c r="W125" s="92">
        <f t="shared" si="18"/>
        <v>3.2888592073771956E-3</v>
      </c>
      <c r="X125" s="268">
        <f>INDEX(POBLACION!$C$4:$W$128,MATCH(A125,POBLACION!$A$4:$A$128,0),MATCH($W$2,POBLACION!$C$3:$W$3,0))</f>
        <v>29540</v>
      </c>
      <c r="Y125" s="258">
        <f t="shared" si="19"/>
        <v>11679.4889848352</v>
      </c>
      <c r="Z125" s="270">
        <f t="shared" si="20"/>
        <v>12853.300108732596</v>
      </c>
      <c r="AA125" s="273">
        <f t="shared" si="21"/>
        <v>4.067423841413258</v>
      </c>
      <c r="AB125" s="273">
        <f t="shared" si="21"/>
        <v>4.1090146479012182</v>
      </c>
    </row>
    <row r="126" spans="1:28" x14ac:dyDescent="0.2">
      <c r="A126" s="35" t="s">
        <v>361</v>
      </c>
      <c r="B126" s="32" t="s">
        <v>317</v>
      </c>
      <c r="C126" s="33" t="s">
        <v>329</v>
      </c>
      <c r="D126" s="32" t="s">
        <v>362</v>
      </c>
      <c r="E126" s="51">
        <f>SUMIFS('PIB Mpal 2015-2022 Cons'!H$5:H$1012,'PIB Mpal 2015-2022 Cons'!$A$5:$A$1012,$W$2,'PIB Mpal 2015-2022 Cons'!$E$5:$E$1012,$A126)</f>
        <v>22.738690530585608</v>
      </c>
      <c r="F126" s="51">
        <f>SUMIFS('PIB Mpal 2015-2022 Cons'!I$5:I$1012,'PIB Mpal 2015-2022 Cons'!$A$5:$A$1012,$W$2,'PIB Mpal 2015-2022 Cons'!$E$5:$E$1012,$A126)</f>
        <v>0.93882798639562648</v>
      </c>
      <c r="G126" s="51">
        <f>SUMIFS('PIB Mpal 2015-2022 Cons'!K$5:K$1012,'PIB Mpal 2015-2022 Cons'!$A$5:$A$1012,$W$2,'PIB Mpal 2015-2022 Cons'!$E$5:$E$1012,$A126)</f>
        <v>1.7251489462518048</v>
      </c>
      <c r="H126" s="51">
        <f>SUMIFS('PIB Mpal 2015-2022 Cons'!L$5:L$1012,'PIB Mpal 2015-2022 Cons'!$A$5:$A$1012,$W$2,'PIB Mpal 2015-2022 Cons'!$E$5:$E$1012,$A126)</f>
        <v>4.7431829837973511</v>
      </c>
      <c r="I126" s="51">
        <f>SUMIFS('PIB Mpal 2015-2022 Cons'!N$5:N$1012,'PIB Mpal 2015-2022 Cons'!$A$5:$A$1012,$W$2,'PIB Mpal 2015-2022 Cons'!$E$5:$E$1012,$A126)</f>
        <v>1.9086826979890685</v>
      </c>
      <c r="J126" s="51">
        <f>SUMIFS('PIB Mpal 2015-2022 Cons'!O$5:O$1012,'PIB Mpal 2015-2022 Cons'!$A$5:$A$1012,$W$2,'PIB Mpal 2015-2022 Cons'!$E$5:$E$1012,$A126)</f>
        <v>8.9520858524047693</v>
      </c>
      <c r="K126" s="51">
        <f>SUMIFS('PIB Mpal 2015-2022 Cons'!P$5:P$1012,'PIB Mpal 2015-2022 Cons'!$A$5:$A$1012,$W$2,'PIB Mpal 2015-2022 Cons'!$E$5:$E$1012,$A126)</f>
        <v>2.305848547324052</v>
      </c>
      <c r="L126" s="51">
        <f>SUMIFS('PIB Mpal 2015-2022 Cons'!Q$5:Q$1012,'PIB Mpal 2015-2022 Cons'!$A$5:$A$1012,$W$2,'PIB Mpal 2015-2022 Cons'!$E$5:$E$1012,$A126)</f>
        <v>1.8179995998774652</v>
      </c>
      <c r="M126" s="51">
        <f>SUMIFS('PIB Mpal 2015-2022 Cons'!R$5:R$1012,'PIB Mpal 2015-2022 Cons'!$A$5:$A$1012,$W$2,'PIB Mpal 2015-2022 Cons'!$E$5:$E$1012,$A126)</f>
        <v>7.4394067702017992</v>
      </c>
      <c r="N126" s="51">
        <f>SUMIFS('PIB Mpal 2015-2022 Cons'!S$5:S$1012,'PIB Mpal 2015-2022 Cons'!$A$5:$A$1012,$W$2,'PIB Mpal 2015-2022 Cons'!$E$5:$E$1012,$A126)</f>
        <v>6.701258297555861</v>
      </c>
      <c r="O126" s="51">
        <f>SUMIFS('PIB Mpal 2015-2022 Cons'!T$5:T$1012,'PIB Mpal 2015-2022 Cons'!$A$5:$A$1012,$W$2,'PIB Mpal 2015-2022 Cons'!$E$5:$E$1012,$A126)</f>
        <v>11.985338394830183</v>
      </c>
      <c r="P126" s="150">
        <f>SUMIFS('PIB Mpal 2015-2022 Cons'!U$5:U$1012,'PIB Mpal 2015-2022 Cons'!$A$5:$A$1012,$W$2,'PIB Mpal 2015-2022 Cons'!$E$5:$E$1012,$A126)</f>
        <v>2.2915692546176896</v>
      </c>
      <c r="Q126" s="217">
        <f>SUMIFS('PIB Mpal 2015-2022 Cons'!J$5:J$1012,'PIB Mpal 2015-2022 Cons'!$A$5:$A$1012,$W$2,'PIB Mpal 2015-2022 Cons'!$E$5:$E$1012,$A126)</f>
        <v>23.677518516981234</v>
      </c>
      <c r="R126" s="99">
        <f>SUMIFS('PIB Mpal 2015-2022 Cons'!M$5:M$1012,'PIB Mpal 2015-2022 Cons'!$A$5:$A$1012,$W$2,'PIB Mpal 2015-2022 Cons'!$E$5:$E$1012,$A126)</f>
        <v>6.468331930049156</v>
      </c>
      <c r="S126" s="53">
        <f>SUMIFS('PIB Mpal 2015-2022 Cons'!V$5:V$1012,'PIB Mpal 2015-2022 Cons'!$A$5:$A$1012,$W$2,'PIB Mpal 2015-2022 Cons'!$E$5:$E$1012,$A126)</f>
        <v>43.402189414800894</v>
      </c>
      <c r="T126" s="153">
        <f>SUMIFS('PIB Mpal 2015-2022 Cons'!W$5:W$1012,'PIB Mpal 2015-2022 Cons'!$A$5:$A$1012,$W$2,'PIB Mpal 2015-2022 Cons'!$E$5:$E$1012,$A126)</f>
        <v>73.548039861831285</v>
      </c>
      <c r="U126" s="51">
        <f>SUMIFS('PIB Mpal 2015-2022 Cons'!X$5:X$1012,'PIB Mpal 2015-2022 Cons'!$A$5:$A$1012,$W$2,'PIB Mpal 2015-2022 Cons'!$E$5:$E$1012,$A126)</f>
        <v>7.3917195729588991</v>
      </c>
      <c r="V126" s="53">
        <f>SUMIFS('PIB Mpal 2015-2022 Cons'!Y$5:Y$1012,'PIB Mpal 2015-2022 Cons'!$A$5:$A$1012,$W$2,'PIB Mpal 2015-2022 Cons'!$E$5:$E$1012,$A126)</f>
        <v>80.93975943479019</v>
      </c>
      <c r="W126" s="92">
        <f t="shared" si="18"/>
        <v>7.0110336666683959E-4</v>
      </c>
      <c r="X126" s="268">
        <f>INDEX(POBLACION!$C$4:$W$128,MATCH(A126,POBLACION!$A$4:$A$128,0),MATCH($W$2,POBLACION!$C$3:$W$3,0))</f>
        <v>6821</v>
      </c>
      <c r="Y126" s="258">
        <f t="shared" si="19"/>
        <v>10782.589042930844</v>
      </c>
      <c r="Z126" s="270">
        <f t="shared" si="20"/>
        <v>11866.259996304088</v>
      </c>
      <c r="AA126" s="273">
        <f t="shared" si="21"/>
        <v>4.0327230532491365</v>
      </c>
      <c r="AB126" s="273">
        <f t="shared" si="21"/>
        <v>4.0743138597374164</v>
      </c>
    </row>
    <row r="127" spans="1:28" ht="16" thickBot="1" x14ac:dyDescent="0.25">
      <c r="A127" s="35" t="s">
        <v>363</v>
      </c>
      <c r="B127" s="63" t="s">
        <v>317</v>
      </c>
      <c r="C127" s="62" t="s">
        <v>329</v>
      </c>
      <c r="D127" s="63" t="s">
        <v>364</v>
      </c>
      <c r="E127" s="96">
        <f>SUMIFS('PIB Mpal 2015-2022 Cons'!H$5:H$1012,'PIB Mpal 2015-2022 Cons'!$A$5:$A$1012,$W$2,'PIB Mpal 2015-2022 Cons'!$E$5:$E$1012,$A127)</f>
        <v>31.019704019021482</v>
      </c>
      <c r="F127" s="96">
        <f>SUMIFS('PIB Mpal 2015-2022 Cons'!I$5:I$1012,'PIB Mpal 2015-2022 Cons'!$A$5:$A$1012,$W$2,'PIB Mpal 2015-2022 Cons'!$E$5:$E$1012,$A127)</f>
        <v>2.0320069304688317</v>
      </c>
      <c r="G127" s="96">
        <f>SUMIFS('PIB Mpal 2015-2022 Cons'!K$5:K$1012,'PIB Mpal 2015-2022 Cons'!$A$5:$A$1012,$W$2,'PIB Mpal 2015-2022 Cons'!$E$5:$E$1012,$A127)</f>
        <v>6.9704251869991092</v>
      </c>
      <c r="H127" s="96">
        <f>SUMIFS('PIB Mpal 2015-2022 Cons'!L$5:L$1012,'PIB Mpal 2015-2022 Cons'!$A$5:$A$1012,$W$2,'PIB Mpal 2015-2022 Cons'!$E$5:$E$1012,$A127)</f>
        <v>6.7538692736800909</v>
      </c>
      <c r="I127" s="96">
        <f>SUMIFS('PIB Mpal 2015-2022 Cons'!N$5:N$1012,'PIB Mpal 2015-2022 Cons'!$A$5:$A$1012,$W$2,'PIB Mpal 2015-2022 Cons'!$E$5:$E$1012,$A127)</f>
        <v>7.1854447241043102</v>
      </c>
      <c r="J127" s="96">
        <f>SUMIFS('PIB Mpal 2015-2022 Cons'!O$5:O$1012,'PIB Mpal 2015-2022 Cons'!$A$5:$A$1012,$W$2,'PIB Mpal 2015-2022 Cons'!$E$5:$E$1012,$A127)</f>
        <v>24.009352407199152</v>
      </c>
      <c r="K127" s="96">
        <f>SUMIFS('PIB Mpal 2015-2022 Cons'!P$5:P$1012,'PIB Mpal 2015-2022 Cons'!$A$5:$A$1012,$W$2,'PIB Mpal 2015-2022 Cons'!$E$5:$E$1012,$A127)</f>
        <v>4.9291047081473529</v>
      </c>
      <c r="L127" s="96">
        <f>SUMIFS('PIB Mpal 2015-2022 Cons'!Q$5:Q$1012,'PIB Mpal 2015-2022 Cons'!$A$5:$A$1012,$W$2,'PIB Mpal 2015-2022 Cons'!$E$5:$E$1012,$A127)</f>
        <v>3.4419837567199751</v>
      </c>
      <c r="M127" s="96">
        <f>SUMIFS('PIB Mpal 2015-2022 Cons'!R$5:R$1012,'PIB Mpal 2015-2022 Cons'!$A$5:$A$1012,$W$2,'PIB Mpal 2015-2022 Cons'!$E$5:$E$1012,$A127)</f>
        <v>14.823510318206248</v>
      </c>
      <c r="N127" s="96">
        <f>SUMIFS('PIB Mpal 2015-2022 Cons'!S$5:S$1012,'PIB Mpal 2015-2022 Cons'!$A$5:$A$1012,$W$2,'PIB Mpal 2015-2022 Cons'!$E$5:$E$1012,$A127)</f>
        <v>14.339274005139867</v>
      </c>
      <c r="O127" s="96">
        <f>SUMIFS('PIB Mpal 2015-2022 Cons'!T$5:T$1012,'PIB Mpal 2015-2022 Cons'!$A$5:$A$1012,$W$2,'PIB Mpal 2015-2022 Cons'!$E$5:$E$1012,$A127)</f>
        <v>22.784137015307586</v>
      </c>
      <c r="P127" s="151">
        <f>SUMIFS('PIB Mpal 2015-2022 Cons'!U$5:U$1012,'PIB Mpal 2015-2022 Cons'!$A$5:$A$1012,$W$2,'PIB Mpal 2015-2022 Cons'!$E$5:$E$1012,$A127)</f>
        <v>3.9604227754613284</v>
      </c>
      <c r="Q127" s="217">
        <f>SUMIFS('PIB Mpal 2015-2022 Cons'!J$5:J$1012,'PIB Mpal 2015-2022 Cons'!$A$5:$A$1012,$W$2,'PIB Mpal 2015-2022 Cons'!$E$5:$E$1012,$A127)</f>
        <v>33.051710949490314</v>
      </c>
      <c r="R127" s="99">
        <f>SUMIFS('PIB Mpal 2015-2022 Cons'!M$5:M$1012,'PIB Mpal 2015-2022 Cons'!$A$5:$A$1012,$W$2,'PIB Mpal 2015-2022 Cons'!$E$5:$E$1012,$A127)</f>
        <v>13.7242944606792</v>
      </c>
      <c r="S127" s="97">
        <f>SUMIFS('PIB Mpal 2015-2022 Cons'!V$5:V$1012,'PIB Mpal 2015-2022 Cons'!$A$5:$A$1012,$W$2,'PIB Mpal 2015-2022 Cons'!$E$5:$E$1012,$A127)</f>
        <v>95.473229710285807</v>
      </c>
      <c r="T127" s="154">
        <f>SUMIFS('PIB Mpal 2015-2022 Cons'!W$5:W$1012,'PIB Mpal 2015-2022 Cons'!$A$5:$A$1012,$W$2,'PIB Mpal 2015-2022 Cons'!$E$5:$E$1012,$A127)</f>
        <v>142.24923512045532</v>
      </c>
      <c r="U127" s="96">
        <f>SUMIFS('PIB Mpal 2015-2022 Cons'!X$5:X$1012,'PIB Mpal 2015-2022 Cons'!$A$5:$A$1012,$W$2,'PIB Mpal 2015-2022 Cons'!$E$5:$E$1012,$A127)</f>
        <v>14.296321934113958</v>
      </c>
      <c r="V127" s="97">
        <f>SUMIFS('PIB Mpal 2015-2022 Cons'!Y$5:Y$1012,'PIB Mpal 2015-2022 Cons'!$A$5:$A$1012,$W$2,'PIB Mpal 2015-2022 Cons'!$E$5:$E$1012,$A127)</f>
        <v>156.54555705456929</v>
      </c>
      <c r="W127" s="98">
        <f t="shared" si="18"/>
        <v>1.3560037471586394E-3</v>
      </c>
      <c r="X127" s="268">
        <f>INDEX(POBLACION!$C$4:$W$128,MATCH(A127,POBLACION!$A$4:$A$128,0),MATCH($W$2,POBLACION!$C$3:$W$3,0))</f>
        <v>11626</v>
      </c>
      <c r="Y127" s="258">
        <f t="shared" si="19"/>
        <v>12235.440832655713</v>
      </c>
      <c r="Z127" s="270">
        <f t="shared" si="20"/>
        <v>13465.12618738769</v>
      </c>
      <c r="AA127" s="273">
        <f t="shared" si="21"/>
        <v>4.0876196212350795</v>
      </c>
      <c r="AB127" s="273">
        <f t="shared" si="21"/>
        <v>4.1292104277237174</v>
      </c>
    </row>
    <row r="128" spans="1:28" ht="16" thickBot="1" x14ac:dyDescent="0.25">
      <c r="A128" s="116" t="s">
        <v>365</v>
      </c>
      <c r="B128" s="111" t="s">
        <v>366</v>
      </c>
      <c r="C128" s="117"/>
      <c r="D128" s="112"/>
      <c r="E128" s="113">
        <f>SUM(E129:E139)</f>
        <v>2285.677543212922</v>
      </c>
      <c r="F128" s="113">
        <f t="shared" ref="F128:V128" si="26">SUM(F129:F139)</f>
        <v>26.984300519358055</v>
      </c>
      <c r="G128" s="113">
        <f t="shared" si="26"/>
        <v>164.07709453985154</v>
      </c>
      <c r="H128" s="113">
        <f t="shared" si="26"/>
        <v>428.05792764334177</v>
      </c>
      <c r="I128" s="113">
        <f t="shared" si="26"/>
        <v>231.6833800844411</v>
      </c>
      <c r="J128" s="113">
        <f t="shared" si="26"/>
        <v>1120.2892927037415</v>
      </c>
      <c r="K128" s="113">
        <f t="shared" si="26"/>
        <v>179.88364469436675</v>
      </c>
      <c r="L128" s="113">
        <f t="shared" si="26"/>
        <v>157.19671326756756</v>
      </c>
      <c r="M128" s="113">
        <f t="shared" si="26"/>
        <v>309.31007942179031</v>
      </c>
      <c r="N128" s="113">
        <f t="shared" si="26"/>
        <v>582.87172741880136</v>
      </c>
      <c r="O128" s="113">
        <f t="shared" si="26"/>
        <v>1130.1068170043084</v>
      </c>
      <c r="P128" s="123">
        <f t="shared" si="26"/>
        <v>118.06558411085788</v>
      </c>
      <c r="Q128" s="193">
        <f t="shared" si="26"/>
        <v>2312.6618437322795</v>
      </c>
      <c r="R128" s="113">
        <f t="shared" si="26"/>
        <v>592.13502218319343</v>
      </c>
      <c r="S128" s="114">
        <f t="shared" si="26"/>
        <v>3829.4072387058741</v>
      </c>
      <c r="T128" s="186">
        <f t="shared" si="26"/>
        <v>6734.204104621349</v>
      </c>
      <c r="U128" s="113">
        <f t="shared" si="26"/>
        <v>676.80047465334894</v>
      </c>
      <c r="V128" s="114">
        <f t="shared" si="26"/>
        <v>7411.0045792746969</v>
      </c>
      <c r="W128" s="115">
        <f t="shared" si="18"/>
        <v>6.4194411957685146E-2</v>
      </c>
      <c r="X128" s="208">
        <f t="shared" ref="X128" si="27">SUM(X129:X139)</f>
        <v>475202</v>
      </c>
      <c r="Y128" s="258">
        <f t="shared" si="19"/>
        <v>14171.245290679224</v>
      </c>
      <c r="Z128" s="270">
        <f t="shared" si="20"/>
        <v>15595.482719506015</v>
      </c>
      <c r="AA128" s="273">
        <f t="shared" si="21"/>
        <v>4.1514080153220823</v>
      </c>
      <c r="AB128" s="273">
        <f t="shared" si="21"/>
        <v>4.1929988218102681</v>
      </c>
    </row>
    <row r="129" spans="1:28" ht="30" x14ac:dyDescent="0.2">
      <c r="A129" s="35" t="s">
        <v>367</v>
      </c>
      <c r="B129" s="101" t="s">
        <v>368</v>
      </c>
      <c r="C129" s="108" t="s">
        <v>369</v>
      </c>
      <c r="D129" s="101" t="s">
        <v>370</v>
      </c>
      <c r="E129" s="109">
        <f>SUMIFS('PIB Mpal 2015-2022 Cons'!H$5:H$1012,'PIB Mpal 2015-2022 Cons'!$A$5:$A$1012,$W$2,'PIB Mpal 2015-2022 Cons'!$E$5:$E$1012,$A129)</f>
        <v>452.96618680063096</v>
      </c>
      <c r="F129" s="109">
        <f>SUMIFS('PIB Mpal 2015-2022 Cons'!I$5:I$1012,'PIB Mpal 2015-2022 Cons'!$A$5:$A$1012,$W$2,'PIB Mpal 2015-2022 Cons'!$E$5:$E$1012,$A129)</f>
        <v>6.1750406618027114</v>
      </c>
      <c r="G129" s="109">
        <f>SUMIFS('PIB Mpal 2015-2022 Cons'!K$5:K$1012,'PIB Mpal 2015-2022 Cons'!$A$5:$A$1012,$W$2,'PIB Mpal 2015-2022 Cons'!$E$5:$E$1012,$A129)</f>
        <v>61.28130610734825</v>
      </c>
      <c r="H129" s="109">
        <f>SUMIFS('PIB Mpal 2015-2022 Cons'!L$5:L$1012,'PIB Mpal 2015-2022 Cons'!$A$5:$A$1012,$W$2,'PIB Mpal 2015-2022 Cons'!$E$5:$E$1012,$A129)</f>
        <v>101.29109585298565</v>
      </c>
      <c r="I129" s="109">
        <f>SUMIFS('PIB Mpal 2015-2022 Cons'!N$5:N$1012,'PIB Mpal 2015-2022 Cons'!$A$5:$A$1012,$W$2,'PIB Mpal 2015-2022 Cons'!$E$5:$E$1012,$A129)</f>
        <v>69.137189415059709</v>
      </c>
      <c r="J129" s="109">
        <f>SUMIFS('PIB Mpal 2015-2022 Cons'!O$5:O$1012,'PIB Mpal 2015-2022 Cons'!$A$5:$A$1012,$W$2,'PIB Mpal 2015-2022 Cons'!$E$5:$E$1012,$A129)</f>
        <v>467.98748775474252</v>
      </c>
      <c r="K129" s="109">
        <f>SUMIFS('PIB Mpal 2015-2022 Cons'!P$5:P$1012,'PIB Mpal 2015-2022 Cons'!$A$5:$A$1012,$W$2,'PIB Mpal 2015-2022 Cons'!$E$5:$E$1012,$A129)</f>
        <v>50.846214778186351</v>
      </c>
      <c r="L129" s="109">
        <f>SUMIFS('PIB Mpal 2015-2022 Cons'!Q$5:Q$1012,'PIB Mpal 2015-2022 Cons'!$A$5:$A$1012,$W$2,'PIB Mpal 2015-2022 Cons'!$E$5:$E$1012,$A129)</f>
        <v>54.039416448457835</v>
      </c>
      <c r="M129" s="109">
        <f>SUMIFS('PIB Mpal 2015-2022 Cons'!R$5:R$1012,'PIB Mpal 2015-2022 Cons'!$A$5:$A$1012,$W$2,'PIB Mpal 2015-2022 Cons'!$E$5:$E$1012,$A129)</f>
        <v>110.8012951684677</v>
      </c>
      <c r="N129" s="109">
        <f>SUMIFS('PIB Mpal 2015-2022 Cons'!S$5:S$1012,'PIB Mpal 2015-2022 Cons'!$A$5:$A$1012,$W$2,'PIB Mpal 2015-2022 Cons'!$E$5:$E$1012,$A129)</f>
        <v>176.43456538124605</v>
      </c>
      <c r="O129" s="109">
        <f>SUMIFS('PIB Mpal 2015-2022 Cons'!T$5:T$1012,'PIB Mpal 2015-2022 Cons'!$A$5:$A$1012,$W$2,'PIB Mpal 2015-2022 Cons'!$E$5:$E$1012,$A129)</f>
        <v>263.68761272435813</v>
      </c>
      <c r="P129" s="182">
        <f>SUMIFS('PIB Mpal 2015-2022 Cons'!U$5:U$1012,'PIB Mpal 2015-2022 Cons'!$A$5:$A$1012,$W$2,'PIB Mpal 2015-2022 Cons'!$E$5:$E$1012,$A129)</f>
        <v>31.733845239103601</v>
      </c>
      <c r="Q129" s="217">
        <f>SUMIFS('PIB Mpal 2015-2022 Cons'!J$5:J$1012,'PIB Mpal 2015-2022 Cons'!$A$5:$A$1012,$W$2,'PIB Mpal 2015-2022 Cons'!$E$5:$E$1012,$A129)</f>
        <v>459.14122746243368</v>
      </c>
      <c r="R129" s="99">
        <f>SUMIFS('PIB Mpal 2015-2022 Cons'!M$5:M$1012,'PIB Mpal 2015-2022 Cons'!$A$5:$A$1012,$W$2,'PIB Mpal 2015-2022 Cons'!$E$5:$E$1012,$A129)</f>
        <v>162.57240196033391</v>
      </c>
      <c r="S129" s="110">
        <f>SUMIFS('PIB Mpal 2015-2022 Cons'!V$5:V$1012,'PIB Mpal 2015-2022 Cons'!$A$5:$A$1012,$W$2,'PIB Mpal 2015-2022 Cons'!$E$5:$E$1012,$A129)</f>
        <v>1224.667626909622</v>
      </c>
      <c r="T129" s="187">
        <f>SUMIFS('PIB Mpal 2015-2022 Cons'!W$5:W$1012,'PIB Mpal 2015-2022 Cons'!$A$5:$A$1012,$W$2,'PIB Mpal 2015-2022 Cons'!$E$5:$E$1012,$A129)</f>
        <v>1846.3812563323895</v>
      </c>
      <c r="U129" s="109">
        <f>SUMIFS('PIB Mpal 2015-2022 Cons'!X$5:X$1012,'PIB Mpal 2015-2022 Cons'!$A$5:$A$1012,$W$2,'PIB Mpal 2015-2022 Cons'!$E$5:$E$1012,$A129)</f>
        <v>185.56487021716617</v>
      </c>
      <c r="V129" s="110">
        <f>SUMIFS('PIB Mpal 2015-2022 Cons'!Y$5:Y$1012,'PIB Mpal 2015-2022 Cons'!$A$5:$A$1012,$W$2,'PIB Mpal 2015-2022 Cons'!$E$5:$E$1012,$A129)</f>
        <v>2031.9461265495556</v>
      </c>
      <c r="W129" s="100">
        <f t="shared" si="18"/>
        <v>1.7600796940313149E-2</v>
      </c>
      <c r="X129" s="268">
        <f>INDEX(POBLACION!$C$4:$W$128,MATCH(A129,POBLACION!$A$4:$A$128,0),MATCH($W$2,POBLACION!$C$3:$W$3,0))</f>
        <v>113243</v>
      </c>
      <c r="Y129" s="258">
        <f t="shared" si="19"/>
        <v>16304.595041922144</v>
      </c>
      <c r="Z129" s="270">
        <f t="shared" si="20"/>
        <v>17943.238227082962</v>
      </c>
      <c r="AA129" s="273">
        <f t="shared" si="21"/>
        <v>4.2123100166812177</v>
      </c>
      <c r="AB129" s="273">
        <f t="shared" si="21"/>
        <v>4.253900823169821</v>
      </c>
    </row>
    <row r="130" spans="1:28" ht="30" x14ac:dyDescent="0.2">
      <c r="A130" s="35" t="s">
        <v>371</v>
      </c>
      <c r="B130" s="32" t="s">
        <v>368</v>
      </c>
      <c r="C130" s="33" t="s">
        <v>369</v>
      </c>
      <c r="D130" s="32" t="s">
        <v>372</v>
      </c>
      <c r="E130" s="51">
        <f>SUMIFS('PIB Mpal 2015-2022 Cons'!H$5:H$1012,'PIB Mpal 2015-2022 Cons'!$A$5:$A$1012,$W$2,'PIB Mpal 2015-2022 Cons'!$E$5:$E$1012,$A130)</f>
        <v>48.078070490924041</v>
      </c>
      <c r="F130" s="51">
        <f>SUMIFS('PIB Mpal 2015-2022 Cons'!I$5:I$1012,'PIB Mpal 2015-2022 Cons'!$A$5:$A$1012,$W$2,'PIB Mpal 2015-2022 Cons'!$E$5:$E$1012,$A130)</f>
        <v>0</v>
      </c>
      <c r="G130" s="51">
        <f>SUMIFS('PIB Mpal 2015-2022 Cons'!K$5:K$1012,'PIB Mpal 2015-2022 Cons'!$A$5:$A$1012,$W$2,'PIB Mpal 2015-2022 Cons'!$E$5:$E$1012,$A130)</f>
        <v>1.7744881823780827</v>
      </c>
      <c r="H130" s="51">
        <f>SUMIFS('PIB Mpal 2015-2022 Cons'!L$5:L$1012,'PIB Mpal 2015-2022 Cons'!$A$5:$A$1012,$W$2,'PIB Mpal 2015-2022 Cons'!$E$5:$E$1012,$A130)</f>
        <v>20.09347838678989</v>
      </c>
      <c r="I130" s="51">
        <f>SUMIFS('PIB Mpal 2015-2022 Cons'!N$5:N$1012,'PIB Mpal 2015-2022 Cons'!$A$5:$A$1012,$W$2,'PIB Mpal 2015-2022 Cons'!$E$5:$E$1012,$A130)</f>
        <v>9.2885458902003144</v>
      </c>
      <c r="J130" s="51">
        <f>SUMIFS('PIB Mpal 2015-2022 Cons'!O$5:O$1012,'PIB Mpal 2015-2022 Cons'!$A$5:$A$1012,$W$2,'PIB Mpal 2015-2022 Cons'!$E$5:$E$1012,$A130)</f>
        <v>26.573732484578695</v>
      </c>
      <c r="K130" s="51">
        <f>SUMIFS('PIB Mpal 2015-2022 Cons'!P$5:P$1012,'PIB Mpal 2015-2022 Cons'!$A$5:$A$1012,$W$2,'PIB Mpal 2015-2022 Cons'!$E$5:$E$1012,$A130)</f>
        <v>9.7074930915457944</v>
      </c>
      <c r="L130" s="51">
        <f>SUMIFS('PIB Mpal 2015-2022 Cons'!Q$5:Q$1012,'PIB Mpal 2015-2022 Cons'!$A$5:$A$1012,$W$2,'PIB Mpal 2015-2022 Cons'!$E$5:$E$1012,$A130)</f>
        <v>8.1345197497825747</v>
      </c>
      <c r="M130" s="51">
        <f>SUMIFS('PIB Mpal 2015-2022 Cons'!R$5:R$1012,'PIB Mpal 2015-2022 Cons'!$A$5:$A$1012,$W$2,'PIB Mpal 2015-2022 Cons'!$E$5:$E$1012,$A130)</f>
        <v>15.968271679307215</v>
      </c>
      <c r="N130" s="51">
        <f>SUMIFS('PIB Mpal 2015-2022 Cons'!S$5:S$1012,'PIB Mpal 2015-2022 Cons'!$A$5:$A$1012,$W$2,'PIB Mpal 2015-2022 Cons'!$E$5:$E$1012,$A130)</f>
        <v>26.239927835945746</v>
      </c>
      <c r="O130" s="51">
        <f>SUMIFS('PIB Mpal 2015-2022 Cons'!T$5:T$1012,'PIB Mpal 2015-2022 Cons'!$A$5:$A$1012,$W$2,'PIB Mpal 2015-2022 Cons'!$E$5:$E$1012,$A130)</f>
        <v>70.097895107232475</v>
      </c>
      <c r="P130" s="150">
        <f>SUMIFS('PIB Mpal 2015-2022 Cons'!U$5:U$1012,'PIB Mpal 2015-2022 Cons'!$A$5:$A$1012,$W$2,'PIB Mpal 2015-2022 Cons'!$E$5:$E$1012,$A130)</f>
        <v>8.9236999195161708</v>
      </c>
      <c r="Q130" s="217">
        <f>SUMIFS('PIB Mpal 2015-2022 Cons'!J$5:J$1012,'PIB Mpal 2015-2022 Cons'!$A$5:$A$1012,$W$2,'PIB Mpal 2015-2022 Cons'!$E$5:$E$1012,$A130)</f>
        <v>48.078070490924041</v>
      </c>
      <c r="R130" s="99">
        <f>SUMIFS('PIB Mpal 2015-2022 Cons'!M$5:M$1012,'PIB Mpal 2015-2022 Cons'!$A$5:$A$1012,$W$2,'PIB Mpal 2015-2022 Cons'!$E$5:$E$1012,$A130)</f>
        <v>21.867966569167972</v>
      </c>
      <c r="S130" s="53">
        <f>SUMIFS('PIB Mpal 2015-2022 Cons'!V$5:V$1012,'PIB Mpal 2015-2022 Cons'!$A$5:$A$1012,$W$2,'PIB Mpal 2015-2022 Cons'!$E$5:$E$1012,$A130)</f>
        <v>174.93408575810898</v>
      </c>
      <c r="T130" s="153">
        <f>SUMIFS('PIB Mpal 2015-2022 Cons'!W$5:W$1012,'PIB Mpal 2015-2022 Cons'!$A$5:$A$1012,$W$2,'PIB Mpal 2015-2022 Cons'!$E$5:$E$1012,$A130)</f>
        <v>244.88012281820099</v>
      </c>
      <c r="U130" s="51">
        <f>SUMIFS('PIB Mpal 2015-2022 Cons'!X$5:X$1012,'PIB Mpal 2015-2022 Cons'!$A$5:$A$1012,$W$2,'PIB Mpal 2015-2022 Cons'!$E$5:$E$1012,$A130)</f>
        <v>24.610923694082992</v>
      </c>
      <c r="V130" s="53">
        <f>SUMIFS('PIB Mpal 2015-2022 Cons'!Y$5:Y$1012,'PIB Mpal 2015-2022 Cons'!$A$5:$A$1012,$W$2,'PIB Mpal 2015-2022 Cons'!$E$5:$E$1012,$A130)</f>
        <v>269.49104651228396</v>
      </c>
      <c r="W130" s="92">
        <f t="shared" si="18"/>
        <v>2.334342000961272E-3</v>
      </c>
      <c r="X130" s="268">
        <f>INDEX(POBLACION!$C$4:$W$128,MATCH(A130,POBLACION!$A$4:$A$128,0),MATCH($W$2,POBLACION!$C$3:$W$3,0))</f>
        <v>28917</v>
      </c>
      <c r="Y130" s="258">
        <f t="shared" si="19"/>
        <v>8468.3792515890655</v>
      </c>
      <c r="Z130" s="270">
        <f t="shared" si="20"/>
        <v>9319.4676665035786</v>
      </c>
      <c r="AA130" s="273">
        <f t="shared" si="21"/>
        <v>3.927800299416361</v>
      </c>
      <c r="AB130" s="273">
        <f t="shared" si="21"/>
        <v>3.9693911059051894</v>
      </c>
    </row>
    <row r="131" spans="1:28" ht="30" x14ac:dyDescent="0.2">
      <c r="A131" s="35" t="s">
        <v>373</v>
      </c>
      <c r="B131" s="32" t="s">
        <v>368</v>
      </c>
      <c r="C131" s="33" t="s">
        <v>369</v>
      </c>
      <c r="D131" s="32" t="s">
        <v>374</v>
      </c>
      <c r="E131" s="51">
        <f>SUMIFS('PIB Mpal 2015-2022 Cons'!H$5:H$1012,'PIB Mpal 2015-2022 Cons'!$A$5:$A$1012,$W$2,'PIB Mpal 2015-2022 Cons'!$E$5:$E$1012,$A131)</f>
        <v>608.88118863074328</v>
      </c>
      <c r="F131" s="51">
        <f>SUMIFS('PIB Mpal 2015-2022 Cons'!I$5:I$1012,'PIB Mpal 2015-2022 Cons'!$A$5:$A$1012,$W$2,'PIB Mpal 2015-2022 Cons'!$E$5:$E$1012,$A131)</f>
        <v>7.7690855710764026</v>
      </c>
      <c r="G131" s="51">
        <f>SUMIFS('PIB Mpal 2015-2022 Cons'!K$5:K$1012,'PIB Mpal 2015-2022 Cons'!$A$5:$A$1012,$W$2,'PIB Mpal 2015-2022 Cons'!$E$5:$E$1012,$A131)</f>
        <v>31.103673191166692</v>
      </c>
      <c r="H131" s="51">
        <f>SUMIFS('PIB Mpal 2015-2022 Cons'!L$5:L$1012,'PIB Mpal 2015-2022 Cons'!$A$5:$A$1012,$W$2,'PIB Mpal 2015-2022 Cons'!$E$5:$E$1012,$A131)</f>
        <v>56.987469766861985</v>
      </c>
      <c r="I131" s="51">
        <f>SUMIFS('PIB Mpal 2015-2022 Cons'!N$5:N$1012,'PIB Mpal 2015-2022 Cons'!$A$5:$A$1012,$W$2,'PIB Mpal 2015-2022 Cons'!$E$5:$E$1012,$A131)</f>
        <v>21.851771593580899</v>
      </c>
      <c r="J131" s="51">
        <f>SUMIFS('PIB Mpal 2015-2022 Cons'!O$5:O$1012,'PIB Mpal 2015-2022 Cons'!$A$5:$A$1012,$W$2,'PIB Mpal 2015-2022 Cons'!$E$5:$E$1012,$A131)</f>
        <v>117.93155506539276</v>
      </c>
      <c r="K131" s="51">
        <f>SUMIFS('PIB Mpal 2015-2022 Cons'!P$5:P$1012,'PIB Mpal 2015-2022 Cons'!$A$5:$A$1012,$W$2,'PIB Mpal 2015-2022 Cons'!$E$5:$E$1012,$A131)</f>
        <v>14.899755378474516</v>
      </c>
      <c r="L131" s="51">
        <f>SUMIFS('PIB Mpal 2015-2022 Cons'!Q$5:Q$1012,'PIB Mpal 2015-2022 Cons'!$A$5:$A$1012,$W$2,'PIB Mpal 2015-2022 Cons'!$E$5:$E$1012,$A131)</f>
        <v>9.7785032916643075</v>
      </c>
      <c r="M131" s="51">
        <f>SUMIFS('PIB Mpal 2015-2022 Cons'!R$5:R$1012,'PIB Mpal 2015-2022 Cons'!$A$5:$A$1012,$W$2,'PIB Mpal 2015-2022 Cons'!$E$5:$E$1012,$A131)</f>
        <v>23.227715664535765</v>
      </c>
      <c r="N131" s="51">
        <f>SUMIFS('PIB Mpal 2015-2022 Cons'!S$5:S$1012,'PIB Mpal 2015-2022 Cons'!$A$5:$A$1012,$W$2,'PIB Mpal 2015-2022 Cons'!$E$5:$E$1012,$A131)</f>
        <v>51.791215486660761</v>
      </c>
      <c r="O131" s="51">
        <f>SUMIFS('PIB Mpal 2015-2022 Cons'!T$5:T$1012,'PIB Mpal 2015-2022 Cons'!$A$5:$A$1012,$W$2,'PIB Mpal 2015-2022 Cons'!$E$5:$E$1012,$A131)</f>
        <v>65.238237535757406</v>
      </c>
      <c r="P131" s="150">
        <f>SUMIFS('PIB Mpal 2015-2022 Cons'!U$5:U$1012,'PIB Mpal 2015-2022 Cons'!$A$5:$A$1012,$W$2,'PIB Mpal 2015-2022 Cons'!$E$5:$E$1012,$A131)</f>
        <v>10.263613271716698</v>
      </c>
      <c r="Q131" s="217">
        <f>SUMIFS('PIB Mpal 2015-2022 Cons'!J$5:J$1012,'PIB Mpal 2015-2022 Cons'!$A$5:$A$1012,$W$2,'PIB Mpal 2015-2022 Cons'!$E$5:$E$1012,$A131)</f>
        <v>616.65027420181968</v>
      </c>
      <c r="R131" s="99">
        <f>SUMIFS('PIB Mpal 2015-2022 Cons'!M$5:M$1012,'PIB Mpal 2015-2022 Cons'!$A$5:$A$1012,$W$2,'PIB Mpal 2015-2022 Cons'!$E$5:$E$1012,$A131)</f>
        <v>88.091142958028684</v>
      </c>
      <c r="S131" s="53">
        <f>SUMIFS('PIB Mpal 2015-2022 Cons'!V$5:V$1012,'PIB Mpal 2015-2022 Cons'!$A$5:$A$1012,$W$2,'PIB Mpal 2015-2022 Cons'!$E$5:$E$1012,$A131)</f>
        <v>314.98236728778312</v>
      </c>
      <c r="T131" s="153">
        <f>SUMIFS('PIB Mpal 2015-2022 Cons'!W$5:W$1012,'PIB Mpal 2015-2022 Cons'!$A$5:$A$1012,$W$2,'PIB Mpal 2015-2022 Cons'!$E$5:$E$1012,$A131)</f>
        <v>1019.7237844476315</v>
      </c>
      <c r="U131" s="51">
        <f>SUMIFS('PIB Mpal 2015-2022 Cons'!X$5:X$1012,'PIB Mpal 2015-2022 Cons'!$A$5:$A$1012,$W$2,'PIB Mpal 2015-2022 Cons'!$E$5:$E$1012,$A131)</f>
        <v>102.4842031199945</v>
      </c>
      <c r="V131" s="53">
        <f>SUMIFS('PIB Mpal 2015-2022 Cons'!Y$5:Y$1012,'PIB Mpal 2015-2022 Cons'!$A$5:$A$1012,$W$2,'PIB Mpal 2015-2022 Cons'!$E$5:$E$1012,$A131)</f>
        <v>1122.2079875676259</v>
      </c>
      <c r="W131" s="92">
        <f t="shared" si="18"/>
        <v>9.7206095456456153E-3</v>
      </c>
      <c r="X131" s="268">
        <f>INDEX(POBLACION!$C$4:$W$128,MATCH(A131,POBLACION!$A$4:$A$128,0),MATCH($W$2,POBLACION!$C$3:$W$3,0))</f>
        <v>44404</v>
      </c>
      <c r="Y131" s="258">
        <f t="shared" si="19"/>
        <v>22964.683011612276</v>
      </c>
      <c r="Z131" s="270">
        <f t="shared" si="20"/>
        <v>25272.677857121562</v>
      </c>
      <c r="AA131" s="273">
        <f t="shared" si="21"/>
        <v>4.3610604550986958</v>
      </c>
      <c r="AB131" s="273">
        <f t="shared" si="21"/>
        <v>4.4026512615857341</v>
      </c>
    </row>
    <row r="132" spans="1:28" ht="30" x14ac:dyDescent="0.2">
      <c r="A132" s="35" t="s">
        <v>375</v>
      </c>
      <c r="B132" s="32" t="s">
        <v>368</v>
      </c>
      <c r="C132" s="33" t="s">
        <v>369</v>
      </c>
      <c r="D132" s="32" t="s">
        <v>376</v>
      </c>
      <c r="E132" s="51">
        <f>SUMIFS('PIB Mpal 2015-2022 Cons'!H$5:H$1012,'PIB Mpal 2015-2022 Cons'!$A$5:$A$1012,$W$2,'PIB Mpal 2015-2022 Cons'!$E$5:$E$1012,$A132)</f>
        <v>261.23202851163239</v>
      </c>
      <c r="F132" s="51">
        <f>SUMIFS('PIB Mpal 2015-2022 Cons'!I$5:I$1012,'PIB Mpal 2015-2022 Cons'!$A$5:$A$1012,$W$2,'PIB Mpal 2015-2022 Cons'!$E$5:$E$1012,$A132)</f>
        <v>0</v>
      </c>
      <c r="G132" s="51">
        <f>SUMIFS('PIB Mpal 2015-2022 Cons'!K$5:K$1012,'PIB Mpal 2015-2022 Cons'!$A$5:$A$1012,$W$2,'PIB Mpal 2015-2022 Cons'!$E$5:$E$1012,$A132)</f>
        <v>27.378711919258876</v>
      </c>
      <c r="H132" s="51">
        <f>SUMIFS('PIB Mpal 2015-2022 Cons'!L$5:L$1012,'PIB Mpal 2015-2022 Cons'!$A$5:$A$1012,$W$2,'PIB Mpal 2015-2022 Cons'!$E$5:$E$1012,$A132)</f>
        <v>38.732347089517347</v>
      </c>
      <c r="I132" s="51">
        <f>SUMIFS('PIB Mpal 2015-2022 Cons'!N$5:N$1012,'PIB Mpal 2015-2022 Cons'!$A$5:$A$1012,$W$2,'PIB Mpal 2015-2022 Cons'!$E$5:$E$1012,$A132)</f>
        <v>20.979396281518511</v>
      </c>
      <c r="J132" s="51">
        <f>SUMIFS('PIB Mpal 2015-2022 Cons'!O$5:O$1012,'PIB Mpal 2015-2022 Cons'!$A$5:$A$1012,$W$2,'PIB Mpal 2015-2022 Cons'!$E$5:$E$1012,$A132)</f>
        <v>142.99655934049682</v>
      </c>
      <c r="K132" s="51">
        <f>SUMIFS('PIB Mpal 2015-2022 Cons'!P$5:P$1012,'PIB Mpal 2015-2022 Cons'!$A$5:$A$1012,$W$2,'PIB Mpal 2015-2022 Cons'!$E$5:$E$1012,$A132)</f>
        <v>21.108318931067164</v>
      </c>
      <c r="L132" s="51">
        <f>SUMIFS('PIB Mpal 2015-2022 Cons'!Q$5:Q$1012,'PIB Mpal 2015-2022 Cons'!$A$5:$A$1012,$W$2,'PIB Mpal 2015-2022 Cons'!$E$5:$E$1012,$A132)</f>
        <v>18.825496948549752</v>
      </c>
      <c r="M132" s="51">
        <f>SUMIFS('PIB Mpal 2015-2022 Cons'!R$5:R$1012,'PIB Mpal 2015-2022 Cons'!$A$5:$A$1012,$W$2,'PIB Mpal 2015-2022 Cons'!$E$5:$E$1012,$A132)</f>
        <v>34.182624190433643</v>
      </c>
      <c r="N132" s="51">
        <f>SUMIFS('PIB Mpal 2015-2022 Cons'!S$5:S$1012,'PIB Mpal 2015-2022 Cons'!$A$5:$A$1012,$W$2,'PIB Mpal 2015-2022 Cons'!$E$5:$E$1012,$A132)</f>
        <v>58.486752175352123</v>
      </c>
      <c r="O132" s="51">
        <f>SUMIFS('PIB Mpal 2015-2022 Cons'!T$5:T$1012,'PIB Mpal 2015-2022 Cons'!$A$5:$A$1012,$W$2,'PIB Mpal 2015-2022 Cons'!$E$5:$E$1012,$A132)</f>
        <v>90.602826235363423</v>
      </c>
      <c r="P132" s="150">
        <f>SUMIFS('PIB Mpal 2015-2022 Cons'!U$5:U$1012,'PIB Mpal 2015-2022 Cons'!$A$5:$A$1012,$W$2,'PIB Mpal 2015-2022 Cons'!$E$5:$E$1012,$A132)</f>
        <v>12.884513460785788</v>
      </c>
      <c r="Q132" s="217">
        <f>SUMIFS('PIB Mpal 2015-2022 Cons'!J$5:J$1012,'PIB Mpal 2015-2022 Cons'!$A$5:$A$1012,$W$2,'PIB Mpal 2015-2022 Cons'!$E$5:$E$1012,$A132)</f>
        <v>261.23202851163239</v>
      </c>
      <c r="R132" s="99">
        <f>SUMIFS('PIB Mpal 2015-2022 Cons'!M$5:M$1012,'PIB Mpal 2015-2022 Cons'!$A$5:$A$1012,$W$2,'PIB Mpal 2015-2022 Cons'!$E$5:$E$1012,$A132)</f>
        <v>66.111059008776223</v>
      </c>
      <c r="S132" s="53">
        <f>SUMIFS('PIB Mpal 2015-2022 Cons'!V$5:V$1012,'PIB Mpal 2015-2022 Cons'!$A$5:$A$1012,$W$2,'PIB Mpal 2015-2022 Cons'!$E$5:$E$1012,$A132)</f>
        <v>400.06648756356725</v>
      </c>
      <c r="T132" s="153">
        <f>SUMIFS('PIB Mpal 2015-2022 Cons'!W$5:W$1012,'PIB Mpal 2015-2022 Cons'!$A$5:$A$1012,$W$2,'PIB Mpal 2015-2022 Cons'!$E$5:$E$1012,$A132)</f>
        <v>727.40957508397582</v>
      </c>
      <c r="U132" s="51">
        <f>SUMIFS('PIB Mpal 2015-2022 Cons'!X$5:X$1012,'PIB Mpal 2015-2022 Cons'!$A$5:$A$1012,$W$2,'PIB Mpal 2015-2022 Cons'!$E$5:$E$1012,$A132)</f>
        <v>73.106062429167352</v>
      </c>
      <c r="V132" s="53">
        <f>SUMIFS('PIB Mpal 2015-2022 Cons'!Y$5:Y$1012,'PIB Mpal 2015-2022 Cons'!$A$5:$A$1012,$W$2,'PIB Mpal 2015-2022 Cons'!$E$5:$E$1012,$A132)</f>
        <v>800.51563751314313</v>
      </c>
      <c r="W132" s="92">
        <f t="shared" si="18"/>
        <v>6.9340978086559202E-3</v>
      </c>
      <c r="X132" s="268">
        <f>INDEX(POBLACION!$C$4:$W$128,MATCH(A132,POBLACION!$A$4:$A$128,0),MATCH($W$2,POBLACION!$C$3:$W$3,0))</f>
        <v>53865</v>
      </c>
      <c r="Y132" s="258">
        <f t="shared" si="19"/>
        <v>13504.308457885005</v>
      </c>
      <c r="Z132" s="270">
        <f t="shared" si="20"/>
        <v>14861.517451278996</v>
      </c>
      <c r="AA132" s="273">
        <f t="shared" si="21"/>
        <v>4.1304723493073059</v>
      </c>
      <c r="AB132" s="273">
        <f t="shared" si="21"/>
        <v>4.1720631557954091</v>
      </c>
    </row>
    <row r="133" spans="1:28" ht="30" x14ac:dyDescent="0.2">
      <c r="A133" s="35" t="s">
        <v>377</v>
      </c>
      <c r="B133" s="32" t="s">
        <v>368</v>
      </c>
      <c r="C133" s="33" t="s">
        <v>369</v>
      </c>
      <c r="D133" s="32" t="s">
        <v>378</v>
      </c>
      <c r="E133" s="51">
        <f>SUMIFS('PIB Mpal 2015-2022 Cons'!H$5:H$1012,'PIB Mpal 2015-2022 Cons'!$A$5:$A$1012,$W$2,'PIB Mpal 2015-2022 Cons'!$E$5:$E$1012,$A133)</f>
        <v>3.2652510160656298</v>
      </c>
      <c r="F133" s="51">
        <f>SUMIFS('PIB Mpal 2015-2022 Cons'!I$5:I$1012,'PIB Mpal 2015-2022 Cons'!$A$5:$A$1012,$W$2,'PIB Mpal 2015-2022 Cons'!$E$5:$E$1012,$A133)</f>
        <v>0</v>
      </c>
      <c r="G133" s="51">
        <f>SUMIFS('PIB Mpal 2015-2022 Cons'!K$5:K$1012,'PIB Mpal 2015-2022 Cons'!$A$5:$A$1012,$W$2,'PIB Mpal 2015-2022 Cons'!$E$5:$E$1012,$A133)</f>
        <v>0.40013157587383086</v>
      </c>
      <c r="H133" s="51">
        <f>SUMIFS('PIB Mpal 2015-2022 Cons'!L$5:L$1012,'PIB Mpal 2015-2022 Cons'!$A$5:$A$1012,$W$2,'PIB Mpal 2015-2022 Cons'!$E$5:$E$1012,$A133)</f>
        <v>2.4353877682445511</v>
      </c>
      <c r="I133" s="51">
        <f>SUMIFS('PIB Mpal 2015-2022 Cons'!N$5:N$1012,'PIB Mpal 2015-2022 Cons'!$A$5:$A$1012,$W$2,'PIB Mpal 2015-2022 Cons'!$E$5:$E$1012,$A133)</f>
        <v>1.4732946209120448</v>
      </c>
      <c r="J133" s="51">
        <f>SUMIFS('PIB Mpal 2015-2022 Cons'!O$5:O$1012,'PIB Mpal 2015-2022 Cons'!$A$5:$A$1012,$W$2,'PIB Mpal 2015-2022 Cons'!$E$5:$E$1012,$A133)</f>
        <v>1.7919702359194973</v>
      </c>
      <c r="K133" s="51">
        <f>SUMIFS('PIB Mpal 2015-2022 Cons'!P$5:P$1012,'PIB Mpal 2015-2022 Cons'!$A$5:$A$1012,$W$2,'PIB Mpal 2015-2022 Cons'!$E$5:$E$1012,$A133)</f>
        <v>1.8668338574181942</v>
      </c>
      <c r="L133" s="51">
        <f>SUMIFS('PIB Mpal 2015-2022 Cons'!Q$5:Q$1012,'PIB Mpal 2015-2022 Cons'!$A$5:$A$1012,$W$2,'PIB Mpal 2015-2022 Cons'!$E$5:$E$1012,$A133)</f>
        <v>0.8494255375849461</v>
      </c>
      <c r="M133" s="51">
        <f>SUMIFS('PIB Mpal 2015-2022 Cons'!R$5:R$1012,'PIB Mpal 2015-2022 Cons'!$A$5:$A$1012,$W$2,'PIB Mpal 2015-2022 Cons'!$E$5:$E$1012,$A133)</f>
        <v>2.7694937035270732</v>
      </c>
      <c r="N133" s="51">
        <f>SUMIFS('PIB Mpal 2015-2022 Cons'!S$5:S$1012,'PIB Mpal 2015-2022 Cons'!$A$5:$A$1012,$W$2,'PIB Mpal 2015-2022 Cons'!$E$5:$E$1012,$A133)</f>
        <v>4.7730962636303982</v>
      </c>
      <c r="O133" s="51">
        <f>SUMIFS('PIB Mpal 2015-2022 Cons'!T$5:T$1012,'PIB Mpal 2015-2022 Cons'!$A$5:$A$1012,$W$2,'PIB Mpal 2015-2022 Cons'!$E$5:$E$1012,$A133)</f>
        <v>13.310468393789172</v>
      </c>
      <c r="P133" s="150">
        <f>SUMIFS('PIB Mpal 2015-2022 Cons'!U$5:U$1012,'PIB Mpal 2015-2022 Cons'!$A$5:$A$1012,$W$2,'PIB Mpal 2015-2022 Cons'!$E$5:$E$1012,$A133)</f>
        <v>0.95613410607570515</v>
      </c>
      <c r="Q133" s="217">
        <f>SUMIFS('PIB Mpal 2015-2022 Cons'!J$5:J$1012,'PIB Mpal 2015-2022 Cons'!$A$5:$A$1012,$W$2,'PIB Mpal 2015-2022 Cons'!$E$5:$E$1012,$A133)</f>
        <v>3.2652510160656298</v>
      </c>
      <c r="R133" s="99">
        <f>SUMIFS('PIB Mpal 2015-2022 Cons'!M$5:M$1012,'PIB Mpal 2015-2022 Cons'!$A$5:$A$1012,$W$2,'PIB Mpal 2015-2022 Cons'!$E$5:$E$1012,$A133)</f>
        <v>2.8355193441183819</v>
      </c>
      <c r="S133" s="53">
        <f>SUMIFS('PIB Mpal 2015-2022 Cons'!V$5:V$1012,'PIB Mpal 2015-2022 Cons'!$A$5:$A$1012,$W$2,'PIB Mpal 2015-2022 Cons'!$E$5:$E$1012,$A133)</f>
        <v>27.790716718857031</v>
      </c>
      <c r="T133" s="153">
        <f>SUMIFS('PIB Mpal 2015-2022 Cons'!W$5:W$1012,'PIB Mpal 2015-2022 Cons'!$A$5:$A$1012,$W$2,'PIB Mpal 2015-2022 Cons'!$E$5:$E$1012,$A133)</f>
        <v>33.891487079041042</v>
      </c>
      <c r="U133" s="51">
        <f>SUMIFS('PIB Mpal 2015-2022 Cons'!X$5:X$1012,'PIB Mpal 2015-2022 Cons'!$A$5:$A$1012,$W$2,'PIB Mpal 2015-2022 Cons'!$E$5:$E$1012,$A133)</f>
        <v>3.4061596865921211</v>
      </c>
      <c r="V133" s="53">
        <f>SUMIFS('PIB Mpal 2015-2022 Cons'!Y$5:Y$1012,'PIB Mpal 2015-2022 Cons'!$A$5:$A$1012,$W$2,'PIB Mpal 2015-2022 Cons'!$E$5:$E$1012,$A133)</f>
        <v>37.297646765633161</v>
      </c>
      <c r="W133" s="92">
        <f t="shared" si="18"/>
        <v>3.2307367724762685E-4</v>
      </c>
      <c r="X133" s="268">
        <f>INDEX(POBLACION!$C$4:$W$128,MATCH(A133,POBLACION!$A$4:$A$128,0),MATCH($W$2,POBLACION!$C$3:$W$3,0))</f>
        <v>4589</v>
      </c>
      <c r="Y133" s="258">
        <f t="shared" si="19"/>
        <v>7385.3752623754726</v>
      </c>
      <c r="Z133" s="270">
        <f t="shared" si="20"/>
        <v>8127.6196917919287</v>
      </c>
      <c r="AA133" s="273">
        <f t="shared" si="21"/>
        <v>3.8683725673850535</v>
      </c>
      <c r="AB133" s="273">
        <f t="shared" si="21"/>
        <v>3.9099633738743478</v>
      </c>
    </row>
    <row r="134" spans="1:28" ht="30" x14ac:dyDescent="0.2">
      <c r="A134" s="35" t="s">
        <v>379</v>
      </c>
      <c r="B134" s="32" t="s">
        <v>368</v>
      </c>
      <c r="C134" s="33" t="s">
        <v>369</v>
      </c>
      <c r="D134" s="32" t="s">
        <v>380</v>
      </c>
      <c r="E134" s="51">
        <f>SUMIFS('PIB Mpal 2015-2022 Cons'!H$5:H$1012,'PIB Mpal 2015-2022 Cons'!$A$5:$A$1012,$W$2,'PIB Mpal 2015-2022 Cons'!$E$5:$E$1012,$A134)</f>
        <v>26.830779073021851</v>
      </c>
      <c r="F134" s="51">
        <f>SUMIFS('PIB Mpal 2015-2022 Cons'!I$5:I$1012,'PIB Mpal 2015-2022 Cons'!$A$5:$A$1012,$W$2,'PIB Mpal 2015-2022 Cons'!$E$5:$E$1012,$A134)</f>
        <v>1.6230646158919164</v>
      </c>
      <c r="G134" s="51">
        <f>SUMIFS('PIB Mpal 2015-2022 Cons'!K$5:K$1012,'PIB Mpal 2015-2022 Cons'!$A$5:$A$1012,$W$2,'PIB Mpal 2015-2022 Cons'!$E$5:$E$1012,$A134)</f>
        <v>1.5716412630415615</v>
      </c>
      <c r="H134" s="51">
        <f>SUMIFS('PIB Mpal 2015-2022 Cons'!L$5:L$1012,'PIB Mpal 2015-2022 Cons'!$A$5:$A$1012,$W$2,'PIB Mpal 2015-2022 Cons'!$E$5:$E$1012,$A134)</f>
        <v>8.913106137744963</v>
      </c>
      <c r="I134" s="51">
        <f>SUMIFS('PIB Mpal 2015-2022 Cons'!N$5:N$1012,'PIB Mpal 2015-2022 Cons'!$A$5:$A$1012,$W$2,'PIB Mpal 2015-2022 Cons'!$E$5:$E$1012,$A134)</f>
        <v>6.188095382026467</v>
      </c>
      <c r="J134" s="51">
        <f>SUMIFS('PIB Mpal 2015-2022 Cons'!O$5:O$1012,'PIB Mpal 2015-2022 Cons'!$A$5:$A$1012,$W$2,'PIB Mpal 2015-2022 Cons'!$E$5:$E$1012,$A134)</f>
        <v>16.516936098498338</v>
      </c>
      <c r="K134" s="51">
        <f>SUMIFS('PIB Mpal 2015-2022 Cons'!P$5:P$1012,'PIB Mpal 2015-2022 Cons'!$A$5:$A$1012,$W$2,'PIB Mpal 2015-2022 Cons'!$E$5:$E$1012,$A134)</f>
        <v>3.927815358261725</v>
      </c>
      <c r="L134" s="51">
        <f>SUMIFS('PIB Mpal 2015-2022 Cons'!Q$5:Q$1012,'PIB Mpal 2015-2022 Cons'!$A$5:$A$1012,$W$2,'PIB Mpal 2015-2022 Cons'!$E$5:$E$1012,$A134)</f>
        <v>3.2729288370333434</v>
      </c>
      <c r="M134" s="51">
        <f>SUMIFS('PIB Mpal 2015-2022 Cons'!R$5:R$1012,'PIB Mpal 2015-2022 Cons'!$A$5:$A$1012,$W$2,'PIB Mpal 2015-2022 Cons'!$E$5:$E$1012,$A134)</f>
        <v>7.4264699792772149</v>
      </c>
      <c r="N134" s="51">
        <f>SUMIFS('PIB Mpal 2015-2022 Cons'!S$5:S$1012,'PIB Mpal 2015-2022 Cons'!$A$5:$A$1012,$W$2,'PIB Mpal 2015-2022 Cons'!$E$5:$E$1012,$A134)</f>
        <v>11.766547597401253</v>
      </c>
      <c r="O134" s="51">
        <f>SUMIFS('PIB Mpal 2015-2022 Cons'!T$5:T$1012,'PIB Mpal 2015-2022 Cons'!$A$5:$A$1012,$W$2,'PIB Mpal 2015-2022 Cons'!$E$5:$E$1012,$A134)</f>
        <v>32.487312196220955</v>
      </c>
      <c r="P134" s="150">
        <f>SUMIFS('PIB Mpal 2015-2022 Cons'!U$5:U$1012,'PIB Mpal 2015-2022 Cons'!$A$5:$A$1012,$W$2,'PIB Mpal 2015-2022 Cons'!$E$5:$E$1012,$A134)</f>
        <v>2.3076520714682078</v>
      </c>
      <c r="Q134" s="217">
        <f>SUMIFS('PIB Mpal 2015-2022 Cons'!J$5:J$1012,'PIB Mpal 2015-2022 Cons'!$A$5:$A$1012,$W$2,'PIB Mpal 2015-2022 Cons'!$E$5:$E$1012,$A134)</f>
        <v>28.453843688913768</v>
      </c>
      <c r="R134" s="99">
        <f>SUMIFS('PIB Mpal 2015-2022 Cons'!M$5:M$1012,'PIB Mpal 2015-2022 Cons'!$A$5:$A$1012,$W$2,'PIB Mpal 2015-2022 Cons'!$E$5:$E$1012,$A134)</f>
        <v>10.484747400786524</v>
      </c>
      <c r="S134" s="53">
        <f>SUMIFS('PIB Mpal 2015-2022 Cons'!V$5:V$1012,'PIB Mpal 2015-2022 Cons'!$A$5:$A$1012,$W$2,'PIB Mpal 2015-2022 Cons'!$E$5:$E$1012,$A134)</f>
        <v>83.893757520187506</v>
      </c>
      <c r="T134" s="153">
        <f>SUMIFS('PIB Mpal 2015-2022 Cons'!W$5:W$1012,'PIB Mpal 2015-2022 Cons'!$A$5:$A$1012,$W$2,'PIB Mpal 2015-2022 Cons'!$E$5:$E$1012,$A134)</f>
        <v>122.83234860988779</v>
      </c>
      <c r="U134" s="51">
        <f>SUMIFS('PIB Mpal 2015-2022 Cons'!X$5:X$1012,'PIB Mpal 2015-2022 Cons'!$A$5:$A$1012,$W$2,'PIB Mpal 2015-2022 Cons'!$E$5:$E$1012,$A134)</f>
        <v>12.344887465760884</v>
      </c>
      <c r="V134" s="53">
        <f>SUMIFS('PIB Mpal 2015-2022 Cons'!Y$5:Y$1012,'PIB Mpal 2015-2022 Cons'!$A$5:$A$1012,$W$2,'PIB Mpal 2015-2022 Cons'!$E$5:$E$1012,$A134)</f>
        <v>135.17723607564866</v>
      </c>
      <c r="W134" s="92">
        <f t="shared" ref="W134:W151" si="28">V134/$V$5</f>
        <v>1.1709105138335665E-3</v>
      </c>
      <c r="X134" s="268">
        <f>INDEX(POBLACION!$C$4:$W$128,MATCH(A134,POBLACION!$A$4:$A$128,0),MATCH($W$2,POBLACION!$C$3:$W$3,0))</f>
        <v>13512</v>
      </c>
      <c r="Y134" s="258">
        <f t="shared" ref="Y134:Y151" si="29">(T134/X134)*1000000</f>
        <v>9090.6119456696106</v>
      </c>
      <c r="Z134" s="270">
        <f t="shared" ref="Z134:Z151" si="30">(V134/X134)*1000000</f>
        <v>10004.235944023732</v>
      </c>
      <c r="AA134" s="273">
        <f t="shared" ref="AA134:AB151" si="31">LOG(Y134)</f>
        <v>3.9585931192706143</v>
      </c>
      <c r="AB134" s="273">
        <f t="shared" si="31"/>
        <v>4.0001839257593046</v>
      </c>
    </row>
    <row r="135" spans="1:28" ht="30" x14ac:dyDescent="0.2">
      <c r="A135" s="35" t="s">
        <v>381</v>
      </c>
      <c r="B135" s="32" t="s">
        <v>368</v>
      </c>
      <c r="C135" s="33" t="s">
        <v>369</v>
      </c>
      <c r="D135" s="32" t="s">
        <v>382</v>
      </c>
      <c r="E135" s="51">
        <f>SUMIFS('PIB Mpal 2015-2022 Cons'!H$5:H$1012,'PIB Mpal 2015-2022 Cons'!$A$5:$A$1012,$W$2,'PIB Mpal 2015-2022 Cons'!$E$5:$E$1012,$A135)</f>
        <v>66.522350855586026</v>
      </c>
      <c r="F135" s="51">
        <f>SUMIFS('PIB Mpal 2015-2022 Cons'!I$5:I$1012,'PIB Mpal 2015-2022 Cons'!$A$5:$A$1012,$W$2,'PIB Mpal 2015-2022 Cons'!$E$5:$E$1012,$A135)</f>
        <v>0</v>
      </c>
      <c r="G135" s="51">
        <f>SUMIFS('PIB Mpal 2015-2022 Cons'!K$5:K$1012,'PIB Mpal 2015-2022 Cons'!$A$5:$A$1012,$W$2,'PIB Mpal 2015-2022 Cons'!$E$5:$E$1012,$A135)</f>
        <v>2.7055359311491558</v>
      </c>
      <c r="H135" s="51">
        <f>SUMIFS('PIB Mpal 2015-2022 Cons'!L$5:L$1012,'PIB Mpal 2015-2022 Cons'!$A$5:$A$1012,$W$2,'PIB Mpal 2015-2022 Cons'!$E$5:$E$1012,$A135)</f>
        <v>31.123443700712798</v>
      </c>
      <c r="I135" s="51">
        <f>SUMIFS('PIB Mpal 2015-2022 Cons'!N$5:N$1012,'PIB Mpal 2015-2022 Cons'!$A$5:$A$1012,$W$2,'PIB Mpal 2015-2022 Cons'!$E$5:$E$1012,$A135)</f>
        <v>23.608474156415575</v>
      </c>
      <c r="J135" s="51">
        <f>SUMIFS('PIB Mpal 2015-2022 Cons'!O$5:O$1012,'PIB Mpal 2015-2022 Cons'!$A$5:$A$1012,$W$2,'PIB Mpal 2015-2022 Cons'!$E$5:$E$1012,$A135)</f>
        <v>71.792316118159718</v>
      </c>
      <c r="K135" s="51">
        <f>SUMIFS('PIB Mpal 2015-2022 Cons'!P$5:P$1012,'PIB Mpal 2015-2022 Cons'!$A$5:$A$1012,$W$2,'PIB Mpal 2015-2022 Cons'!$E$5:$E$1012,$A135)</f>
        <v>11.56681466883443</v>
      </c>
      <c r="L135" s="51">
        <f>SUMIFS('PIB Mpal 2015-2022 Cons'!Q$5:Q$1012,'PIB Mpal 2015-2022 Cons'!$A$5:$A$1012,$W$2,'PIB Mpal 2015-2022 Cons'!$E$5:$E$1012,$A135)</f>
        <v>9.9418351057498775</v>
      </c>
      <c r="M135" s="51">
        <f>SUMIFS('PIB Mpal 2015-2022 Cons'!R$5:R$1012,'PIB Mpal 2015-2022 Cons'!$A$5:$A$1012,$W$2,'PIB Mpal 2015-2022 Cons'!$E$5:$E$1012,$A135)</f>
        <v>20.737564482819039</v>
      </c>
      <c r="N135" s="51">
        <f>SUMIFS('PIB Mpal 2015-2022 Cons'!S$5:S$1012,'PIB Mpal 2015-2022 Cons'!$A$5:$A$1012,$W$2,'PIB Mpal 2015-2022 Cons'!$E$5:$E$1012,$A135)</f>
        <v>39.024176021593121</v>
      </c>
      <c r="O135" s="51">
        <f>SUMIFS('PIB Mpal 2015-2022 Cons'!T$5:T$1012,'PIB Mpal 2015-2022 Cons'!$A$5:$A$1012,$W$2,'PIB Mpal 2015-2022 Cons'!$E$5:$E$1012,$A135)</f>
        <v>89.889689620809435</v>
      </c>
      <c r="P135" s="150">
        <f>SUMIFS('PIB Mpal 2015-2022 Cons'!U$5:U$1012,'PIB Mpal 2015-2022 Cons'!$A$5:$A$1012,$W$2,'PIB Mpal 2015-2022 Cons'!$E$5:$E$1012,$A135)</f>
        <v>9.4623094432507902</v>
      </c>
      <c r="Q135" s="217">
        <f>SUMIFS('PIB Mpal 2015-2022 Cons'!J$5:J$1012,'PIB Mpal 2015-2022 Cons'!$A$5:$A$1012,$W$2,'PIB Mpal 2015-2022 Cons'!$E$5:$E$1012,$A135)</f>
        <v>66.522350855586026</v>
      </c>
      <c r="R135" s="99">
        <f>SUMIFS('PIB Mpal 2015-2022 Cons'!M$5:M$1012,'PIB Mpal 2015-2022 Cons'!$A$5:$A$1012,$W$2,'PIB Mpal 2015-2022 Cons'!$E$5:$E$1012,$A135)</f>
        <v>33.828979631861955</v>
      </c>
      <c r="S135" s="53">
        <f>SUMIFS('PIB Mpal 2015-2022 Cons'!V$5:V$1012,'PIB Mpal 2015-2022 Cons'!$A$5:$A$1012,$W$2,'PIB Mpal 2015-2022 Cons'!$E$5:$E$1012,$A135)</f>
        <v>276.02317961763197</v>
      </c>
      <c r="T135" s="153">
        <f>SUMIFS('PIB Mpal 2015-2022 Cons'!W$5:W$1012,'PIB Mpal 2015-2022 Cons'!$A$5:$A$1012,$W$2,'PIB Mpal 2015-2022 Cons'!$E$5:$E$1012,$A135)</f>
        <v>376.37451010507993</v>
      </c>
      <c r="U135" s="51">
        <f>SUMIFS('PIB Mpal 2015-2022 Cons'!X$5:X$1012,'PIB Mpal 2015-2022 Cons'!$A$5:$A$1012,$W$2,'PIB Mpal 2015-2022 Cons'!$E$5:$E$1012,$A135)</f>
        <v>37.826362719894504</v>
      </c>
      <c r="V135" s="53">
        <f>SUMIFS('PIB Mpal 2015-2022 Cons'!Y$5:Y$1012,'PIB Mpal 2015-2022 Cons'!$A$5:$A$1012,$W$2,'PIB Mpal 2015-2022 Cons'!$E$5:$E$1012,$A135)</f>
        <v>414.20087282497445</v>
      </c>
      <c r="W135" s="92">
        <f t="shared" si="28"/>
        <v>3.5878241848234598E-3</v>
      </c>
      <c r="X135" s="268">
        <f>INDEX(POBLACION!$C$4:$W$128,MATCH(A135,POBLACION!$A$4:$A$128,0),MATCH($W$2,POBLACION!$C$3:$W$3,0))</f>
        <v>40508</v>
      </c>
      <c r="Y135" s="258">
        <f t="shared" si="29"/>
        <v>9291.3624495181175</v>
      </c>
      <c r="Z135" s="270">
        <f t="shared" si="30"/>
        <v>10225.162259923336</v>
      </c>
      <c r="AA135" s="273">
        <f t="shared" si="31"/>
        <v>3.968079401929363</v>
      </c>
      <c r="AB135" s="273">
        <f t="shared" si="31"/>
        <v>4.0096702084182754</v>
      </c>
    </row>
    <row r="136" spans="1:28" ht="30" x14ac:dyDescent="0.2">
      <c r="A136" s="35" t="s">
        <v>383</v>
      </c>
      <c r="B136" s="32" t="s">
        <v>368</v>
      </c>
      <c r="C136" s="33" t="s">
        <v>369</v>
      </c>
      <c r="D136" s="32" t="s">
        <v>384</v>
      </c>
      <c r="E136" s="51">
        <f>SUMIFS('PIB Mpal 2015-2022 Cons'!H$5:H$1012,'PIB Mpal 2015-2022 Cons'!$A$5:$A$1012,$W$2,'PIB Mpal 2015-2022 Cons'!$E$5:$E$1012,$A136)</f>
        <v>45.901653640910389</v>
      </c>
      <c r="F136" s="51">
        <f>SUMIFS('PIB Mpal 2015-2022 Cons'!I$5:I$1012,'PIB Mpal 2015-2022 Cons'!$A$5:$A$1012,$W$2,'PIB Mpal 2015-2022 Cons'!$E$5:$E$1012,$A136)</f>
        <v>0</v>
      </c>
      <c r="G136" s="51">
        <f>SUMIFS('PIB Mpal 2015-2022 Cons'!K$5:K$1012,'PIB Mpal 2015-2022 Cons'!$A$5:$A$1012,$W$2,'PIB Mpal 2015-2022 Cons'!$E$5:$E$1012,$A136)</f>
        <v>1.8817531409637613</v>
      </c>
      <c r="H136" s="51">
        <f>SUMIFS('PIB Mpal 2015-2022 Cons'!L$5:L$1012,'PIB Mpal 2015-2022 Cons'!$A$5:$A$1012,$W$2,'PIB Mpal 2015-2022 Cons'!$E$5:$E$1012,$A136)</f>
        <v>12.495310669344748</v>
      </c>
      <c r="I136" s="51">
        <f>SUMIFS('PIB Mpal 2015-2022 Cons'!N$5:N$1012,'PIB Mpal 2015-2022 Cons'!$A$5:$A$1012,$W$2,'PIB Mpal 2015-2022 Cons'!$E$5:$E$1012,$A136)</f>
        <v>8.9530824033113721</v>
      </c>
      <c r="J136" s="51">
        <f>SUMIFS('PIB Mpal 2015-2022 Cons'!O$5:O$1012,'PIB Mpal 2015-2022 Cons'!$A$5:$A$1012,$W$2,'PIB Mpal 2015-2022 Cons'!$E$5:$E$1012,$A136)</f>
        <v>21.857623623424001</v>
      </c>
      <c r="K136" s="51">
        <f>SUMIFS('PIB Mpal 2015-2022 Cons'!P$5:P$1012,'PIB Mpal 2015-2022 Cons'!$A$5:$A$1012,$W$2,'PIB Mpal 2015-2022 Cons'!$E$5:$E$1012,$A136)</f>
        <v>5.6917625159379996</v>
      </c>
      <c r="L136" s="51">
        <f>SUMIFS('PIB Mpal 2015-2022 Cons'!Q$5:Q$1012,'PIB Mpal 2015-2022 Cons'!$A$5:$A$1012,$W$2,'PIB Mpal 2015-2022 Cons'!$E$5:$E$1012,$A136)</f>
        <v>4.5858144165159747</v>
      </c>
      <c r="M136" s="51">
        <f>SUMIFS('PIB Mpal 2015-2022 Cons'!R$5:R$1012,'PIB Mpal 2015-2022 Cons'!$A$5:$A$1012,$W$2,'PIB Mpal 2015-2022 Cons'!$E$5:$E$1012,$A136)</f>
        <v>5.5436980267147211</v>
      </c>
      <c r="N136" s="51">
        <f>SUMIFS('PIB Mpal 2015-2022 Cons'!S$5:S$1012,'PIB Mpal 2015-2022 Cons'!$A$5:$A$1012,$W$2,'PIB Mpal 2015-2022 Cons'!$E$5:$E$1012,$A136)</f>
        <v>15.975056362149706</v>
      </c>
      <c r="O136" s="51">
        <f>SUMIFS('PIB Mpal 2015-2022 Cons'!T$5:T$1012,'PIB Mpal 2015-2022 Cons'!$A$5:$A$1012,$W$2,'PIB Mpal 2015-2022 Cons'!$E$5:$E$1012,$A136)</f>
        <v>40.276235123065376</v>
      </c>
      <c r="P136" s="150">
        <f>SUMIFS('PIB Mpal 2015-2022 Cons'!U$5:U$1012,'PIB Mpal 2015-2022 Cons'!$A$5:$A$1012,$W$2,'PIB Mpal 2015-2022 Cons'!$E$5:$E$1012,$A136)</f>
        <v>3.3912667189264498</v>
      </c>
      <c r="Q136" s="217">
        <f>SUMIFS('PIB Mpal 2015-2022 Cons'!J$5:J$1012,'PIB Mpal 2015-2022 Cons'!$A$5:$A$1012,$W$2,'PIB Mpal 2015-2022 Cons'!$E$5:$E$1012,$A136)</f>
        <v>45.901653640910389</v>
      </c>
      <c r="R136" s="99">
        <f>SUMIFS('PIB Mpal 2015-2022 Cons'!M$5:M$1012,'PIB Mpal 2015-2022 Cons'!$A$5:$A$1012,$W$2,'PIB Mpal 2015-2022 Cons'!$E$5:$E$1012,$A136)</f>
        <v>14.37706381030851</v>
      </c>
      <c r="S136" s="53">
        <f>SUMIFS('PIB Mpal 2015-2022 Cons'!V$5:V$1012,'PIB Mpal 2015-2022 Cons'!$A$5:$A$1012,$W$2,'PIB Mpal 2015-2022 Cons'!$E$5:$E$1012,$A136)</f>
        <v>106.2745391900456</v>
      </c>
      <c r="T136" s="153">
        <f>SUMIFS('PIB Mpal 2015-2022 Cons'!W$5:W$1012,'PIB Mpal 2015-2022 Cons'!$A$5:$A$1012,$W$2,'PIB Mpal 2015-2022 Cons'!$E$5:$E$1012,$A136)</f>
        <v>166.55325664126451</v>
      </c>
      <c r="U136" s="51">
        <f>SUMIFS('PIB Mpal 2015-2022 Cons'!X$5:X$1012,'PIB Mpal 2015-2022 Cons'!$A$5:$A$1012,$W$2,'PIB Mpal 2015-2022 Cons'!$E$5:$E$1012,$A136)</f>
        <v>16.738922877817661</v>
      </c>
      <c r="V136" s="53">
        <f>SUMIFS('PIB Mpal 2015-2022 Cons'!Y$5:Y$1012,'PIB Mpal 2015-2022 Cons'!$A$5:$A$1012,$W$2,'PIB Mpal 2015-2022 Cons'!$E$5:$E$1012,$A136)</f>
        <v>183.29217951908217</v>
      </c>
      <c r="W136" s="92">
        <f t="shared" si="28"/>
        <v>1.5876840386221287E-3</v>
      </c>
      <c r="X136" s="268">
        <f>INDEX(POBLACION!$C$4:$W$128,MATCH(A136,POBLACION!$A$4:$A$128,0),MATCH($W$2,POBLACION!$C$3:$W$3,0))</f>
        <v>19025</v>
      </c>
      <c r="Y136" s="258">
        <f t="shared" si="29"/>
        <v>8754.4418733910388</v>
      </c>
      <c r="Z136" s="270">
        <f t="shared" si="30"/>
        <v>9634.2801324090487</v>
      </c>
      <c r="AA136" s="273">
        <f t="shared" si="31"/>
        <v>3.9422284634939411</v>
      </c>
      <c r="AB136" s="273">
        <f t="shared" si="31"/>
        <v>3.9838192699824329</v>
      </c>
    </row>
    <row r="137" spans="1:28" ht="30" x14ac:dyDescent="0.2">
      <c r="A137" s="35" t="s">
        <v>385</v>
      </c>
      <c r="B137" s="32" t="s">
        <v>368</v>
      </c>
      <c r="C137" s="33" t="s">
        <v>369</v>
      </c>
      <c r="D137" s="32" t="s">
        <v>386</v>
      </c>
      <c r="E137" s="51">
        <f>SUMIFS('PIB Mpal 2015-2022 Cons'!H$5:H$1012,'PIB Mpal 2015-2022 Cons'!$A$5:$A$1012,$W$2,'PIB Mpal 2015-2022 Cons'!$E$5:$E$1012,$A137)</f>
        <v>50.813877104031619</v>
      </c>
      <c r="F137" s="51">
        <f>SUMIFS('PIB Mpal 2015-2022 Cons'!I$5:I$1012,'PIB Mpal 2015-2022 Cons'!$A$5:$A$1012,$W$2,'PIB Mpal 2015-2022 Cons'!$E$5:$E$1012,$A137)</f>
        <v>0</v>
      </c>
      <c r="G137" s="51">
        <f>SUMIFS('PIB Mpal 2015-2022 Cons'!K$5:K$1012,'PIB Mpal 2015-2022 Cons'!$A$5:$A$1012,$W$2,'PIB Mpal 2015-2022 Cons'!$E$5:$E$1012,$A137)</f>
        <v>2.5645009503157605</v>
      </c>
      <c r="H137" s="51">
        <f>SUMIFS('PIB Mpal 2015-2022 Cons'!L$5:L$1012,'PIB Mpal 2015-2022 Cons'!$A$5:$A$1012,$W$2,'PIB Mpal 2015-2022 Cons'!$E$5:$E$1012,$A137)</f>
        <v>18.587347274229181</v>
      </c>
      <c r="I137" s="51">
        <f>SUMIFS('PIB Mpal 2015-2022 Cons'!N$5:N$1012,'PIB Mpal 2015-2022 Cons'!$A$5:$A$1012,$W$2,'PIB Mpal 2015-2022 Cons'!$E$5:$E$1012,$A137)</f>
        <v>4.9287617401488246</v>
      </c>
      <c r="J137" s="51">
        <f>SUMIFS('PIB Mpal 2015-2022 Cons'!O$5:O$1012,'PIB Mpal 2015-2022 Cons'!$A$5:$A$1012,$W$2,'PIB Mpal 2015-2022 Cons'!$E$5:$E$1012,$A137)</f>
        <v>37.29975667716019</v>
      </c>
      <c r="K137" s="51">
        <f>SUMIFS('PIB Mpal 2015-2022 Cons'!P$5:P$1012,'PIB Mpal 2015-2022 Cons'!$A$5:$A$1012,$W$2,'PIB Mpal 2015-2022 Cons'!$E$5:$E$1012,$A137)</f>
        <v>10.183721610912208</v>
      </c>
      <c r="L137" s="51">
        <f>SUMIFS('PIB Mpal 2015-2022 Cons'!Q$5:Q$1012,'PIB Mpal 2015-2022 Cons'!$A$5:$A$1012,$W$2,'PIB Mpal 2015-2022 Cons'!$E$5:$E$1012,$A137)</f>
        <v>8.2502739964024716</v>
      </c>
      <c r="M137" s="51">
        <f>SUMIFS('PIB Mpal 2015-2022 Cons'!R$5:R$1012,'PIB Mpal 2015-2022 Cons'!$A$5:$A$1012,$W$2,'PIB Mpal 2015-2022 Cons'!$E$5:$E$1012,$A137)</f>
        <v>13.545021909216722</v>
      </c>
      <c r="N137" s="51">
        <f>SUMIFS('PIB Mpal 2015-2022 Cons'!S$5:S$1012,'PIB Mpal 2015-2022 Cons'!$A$5:$A$1012,$W$2,'PIB Mpal 2015-2022 Cons'!$E$5:$E$1012,$A137)</f>
        <v>27.719142482193092</v>
      </c>
      <c r="O137" s="51">
        <f>SUMIFS('PIB Mpal 2015-2022 Cons'!T$5:T$1012,'PIB Mpal 2015-2022 Cons'!$A$5:$A$1012,$W$2,'PIB Mpal 2015-2022 Cons'!$E$5:$E$1012,$A137)</f>
        <v>67.023172576871914</v>
      </c>
      <c r="P137" s="150">
        <f>SUMIFS('PIB Mpal 2015-2022 Cons'!U$5:U$1012,'PIB Mpal 2015-2022 Cons'!$A$5:$A$1012,$W$2,'PIB Mpal 2015-2022 Cons'!$E$5:$E$1012,$A137)</f>
        <v>5.737240190639425</v>
      </c>
      <c r="Q137" s="217">
        <f>SUMIFS('PIB Mpal 2015-2022 Cons'!J$5:J$1012,'PIB Mpal 2015-2022 Cons'!$A$5:$A$1012,$W$2,'PIB Mpal 2015-2022 Cons'!$E$5:$E$1012,$A137)</f>
        <v>50.813877104031619</v>
      </c>
      <c r="R137" s="99">
        <f>SUMIFS('PIB Mpal 2015-2022 Cons'!M$5:M$1012,'PIB Mpal 2015-2022 Cons'!$A$5:$A$1012,$W$2,'PIB Mpal 2015-2022 Cons'!$E$5:$E$1012,$A137)</f>
        <v>21.151848224544942</v>
      </c>
      <c r="S137" s="53">
        <f>SUMIFS('PIB Mpal 2015-2022 Cons'!V$5:V$1012,'PIB Mpal 2015-2022 Cons'!$A$5:$A$1012,$W$2,'PIB Mpal 2015-2022 Cons'!$E$5:$E$1012,$A137)</f>
        <v>174.68709118354482</v>
      </c>
      <c r="T137" s="153">
        <f>SUMIFS('PIB Mpal 2015-2022 Cons'!W$5:W$1012,'PIB Mpal 2015-2022 Cons'!$A$5:$A$1012,$W$2,'PIB Mpal 2015-2022 Cons'!$E$5:$E$1012,$A137)</f>
        <v>246.65281651212138</v>
      </c>
      <c r="U137" s="51">
        <f>SUMIFS('PIB Mpal 2015-2022 Cons'!X$5:X$1012,'PIB Mpal 2015-2022 Cons'!$A$5:$A$1012,$W$2,'PIB Mpal 2015-2022 Cons'!$E$5:$E$1012,$A137)</f>
        <v>24.789082822426384</v>
      </c>
      <c r="V137" s="53">
        <f>SUMIFS('PIB Mpal 2015-2022 Cons'!Y$5:Y$1012,'PIB Mpal 2015-2022 Cons'!$A$5:$A$1012,$W$2,'PIB Mpal 2015-2022 Cons'!$E$5:$E$1012,$A137)</f>
        <v>271.44189933454777</v>
      </c>
      <c r="W137" s="92">
        <f t="shared" si="28"/>
        <v>2.3512403645234051E-3</v>
      </c>
      <c r="X137" s="268">
        <f>INDEX(POBLACION!$C$4:$W$128,MATCH(A137,POBLACION!$A$4:$A$128,0),MATCH($W$2,POBLACION!$C$3:$W$3,0))</f>
        <v>29792</v>
      </c>
      <c r="Y137" s="258">
        <f t="shared" si="29"/>
        <v>8279.1627454390909</v>
      </c>
      <c r="Z137" s="270">
        <f t="shared" si="30"/>
        <v>9111.2345372767104</v>
      </c>
      <c r="AA137" s="273">
        <f t="shared" si="31"/>
        <v>3.9179864197050556</v>
      </c>
      <c r="AB137" s="273">
        <f t="shared" si="31"/>
        <v>3.9595772261938569</v>
      </c>
    </row>
    <row r="138" spans="1:28" ht="30" x14ac:dyDescent="0.2">
      <c r="A138" s="35" t="s">
        <v>387</v>
      </c>
      <c r="B138" s="32" t="s">
        <v>368</v>
      </c>
      <c r="C138" s="33" t="s">
        <v>369</v>
      </c>
      <c r="D138" s="32" t="s">
        <v>388</v>
      </c>
      <c r="E138" s="51">
        <f>SUMIFS('PIB Mpal 2015-2022 Cons'!H$5:H$1012,'PIB Mpal 2015-2022 Cons'!$A$5:$A$1012,$W$2,'PIB Mpal 2015-2022 Cons'!$E$5:$E$1012,$A138)</f>
        <v>712.77242780991617</v>
      </c>
      <c r="F138" s="51">
        <f>SUMIFS('PIB Mpal 2015-2022 Cons'!I$5:I$1012,'PIB Mpal 2015-2022 Cons'!$A$5:$A$1012,$W$2,'PIB Mpal 2015-2022 Cons'!$E$5:$E$1012,$A138)</f>
        <v>11.417109670587024</v>
      </c>
      <c r="G138" s="51">
        <f>SUMIFS('PIB Mpal 2015-2022 Cons'!K$5:K$1012,'PIB Mpal 2015-2022 Cons'!$A$5:$A$1012,$W$2,'PIB Mpal 2015-2022 Cons'!$E$5:$E$1012,$A138)</f>
        <v>33.415352278355577</v>
      </c>
      <c r="H138" s="51">
        <f>SUMIFS('PIB Mpal 2015-2022 Cons'!L$5:L$1012,'PIB Mpal 2015-2022 Cons'!$A$5:$A$1012,$W$2,'PIB Mpal 2015-2022 Cons'!$E$5:$E$1012,$A138)</f>
        <v>133.32907899769017</v>
      </c>
      <c r="I138" s="51">
        <f>SUMIFS('PIB Mpal 2015-2022 Cons'!N$5:N$1012,'PIB Mpal 2015-2022 Cons'!$A$5:$A$1012,$W$2,'PIB Mpal 2015-2022 Cons'!$E$5:$E$1012,$A138)</f>
        <v>62.600131112900463</v>
      </c>
      <c r="J138" s="51">
        <f>SUMIFS('PIB Mpal 2015-2022 Cons'!O$5:O$1012,'PIB Mpal 2015-2022 Cons'!$A$5:$A$1012,$W$2,'PIB Mpal 2015-2022 Cons'!$E$5:$E$1012,$A138)</f>
        <v>211.93542340860677</v>
      </c>
      <c r="K138" s="51">
        <f>SUMIFS('PIB Mpal 2015-2022 Cons'!P$5:P$1012,'PIB Mpal 2015-2022 Cons'!$A$5:$A$1012,$W$2,'PIB Mpal 2015-2022 Cons'!$E$5:$E$1012,$A138)</f>
        <v>47.70391304040502</v>
      </c>
      <c r="L138" s="51">
        <f>SUMIFS('PIB Mpal 2015-2022 Cons'!Q$5:Q$1012,'PIB Mpal 2015-2022 Cons'!$A$5:$A$1012,$W$2,'PIB Mpal 2015-2022 Cons'!$E$5:$E$1012,$A138)</f>
        <v>37.915036645971114</v>
      </c>
      <c r="M138" s="51">
        <f>SUMIFS('PIB Mpal 2015-2022 Cons'!R$5:R$1012,'PIB Mpal 2015-2022 Cons'!$A$5:$A$1012,$W$2,'PIB Mpal 2015-2022 Cons'!$E$5:$E$1012,$A138)</f>
        <v>70.991694467471689</v>
      </c>
      <c r="N138" s="51">
        <f>SUMIFS('PIB Mpal 2015-2022 Cons'!S$5:S$1012,'PIB Mpal 2015-2022 Cons'!$A$5:$A$1012,$W$2,'PIB Mpal 2015-2022 Cons'!$E$5:$E$1012,$A138)</f>
        <v>165.87760657810682</v>
      </c>
      <c r="O138" s="51">
        <f>SUMIFS('PIB Mpal 2015-2022 Cons'!T$5:T$1012,'PIB Mpal 2015-2022 Cons'!$A$5:$A$1012,$W$2,'PIB Mpal 2015-2022 Cons'!$E$5:$E$1012,$A138)</f>
        <v>382.32521747693806</v>
      </c>
      <c r="P138" s="150">
        <f>SUMIFS('PIB Mpal 2015-2022 Cons'!U$5:U$1012,'PIB Mpal 2015-2022 Cons'!$A$5:$A$1012,$W$2,'PIB Mpal 2015-2022 Cons'!$E$5:$E$1012,$A138)</f>
        <v>30.577013036912113</v>
      </c>
      <c r="Q138" s="217">
        <f>SUMIFS('PIB Mpal 2015-2022 Cons'!J$5:J$1012,'PIB Mpal 2015-2022 Cons'!$A$5:$A$1012,$W$2,'PIB Mpal 2015-2022 Cons'!$E$5:$E$1012,$A138)</f>
        <v>724.18953748050319</v>
      </c>
      <c r="R138" s="99">
        <f>SUMIFS('PIB Mpal 2015-2022 Cons'!M$5:M$1012,'PIB Mpal 2015-2022 Cons'!$A$5:$A$1012,$W$2,'PIB Mpal 2015-2022 Cons'!$E$5:$E$1012,$A138)</f>
        <v>166.74443127604576</v>
      </c>
      <c r="S138" s="53">
        <f>SUMIFS('PIB Mpal 2015-2022 Cons'!V$5:V$1012,'PIB Mpal 2015-2022 Cons'!$A$5:$A$1012,$W$2,'PIB Mpal 2015-2022 Cons'!$E$5:$E$1012,$A138)</f>
        <v>1009.9260357673121</v>
      </c>
      <c r="T138" s="153">
        <f>SUMIFS('PIB Mpal 2015-2022 Cons'!W$5:W$1012,'PIB Mpal 2015-2022 Cons'!$A$5:$A$1012,$W$2,'PIB Mpal 2015-2022 Cons'!$E$5:$E$1012,$A138)</f>
        <v>1900.8600045238609</v>
      </c>
      <c r="U138" s="51">
        <f>SUMIFS('PIB Mpal 2015-2022 Cons'!X$5:X$1012,'PIB Mpal 2015-2022 Cons'!$A$5:$A$1012,$W$2,'PIB Mpal 2015-2022 Cons'!$E$5:$E$1012,$A138)</f>
        <v>191.04008926951082</v>
      </c>
      <c r="V138" s="53">
        <f>SUMIFS('PIB Mpal 2015-2022 Cons'!Y$5:Y$1012,'PIB Mpal 2015-2022 Cons'!$A$5:$A$1012,$W$2,'PIB Mpal 2015-2022 Cons'!$E$5:$E$1012,$A138)</f>
        <v>2091.9000937933715</v>
      </c>
      <c r="W138" s="92">
        <f t="shared" si="28"/>
        <v>1.812012055299991E-2</v>
      </c>
      <c r="X138" s="268">
        <f>INDEX(POBLACION!$C$4:$W$128,MATCH(A138,POBLACION!$A$4:$A$128,0),MATCH($W$2,POBLACION!$C$3:$W$3,0))</f>
        <v>118571</v>
      </c>
      <c r="Y138" s="258">
        <f t="shared" si="29"/>
        <v>16031.40738058936</v>
      </c>
      <c r="Z138" s="270">
        <f t="shared" si="30"/>
        <v>17642.594679924867</v>
      </c>
      <c r="AA138" s="273">
        <f t="shared" si="31"/>
        <v>4.2049716502888943</v>
      </c>
      <c r="AB138" s="273">
        <f t="shared" si="31"/>
        <v>4.2465624567769149</v>
      </c>
    </row>
    <row r="139" spans="1:28" ht="31" thickBot="1" x14ac:dyDescent="0.25">
      <c r="A139" s="68" t="s">
        <v>389</v>
      </c>
      <c r="B139" s="40" t="s">
        <v>368</v>
      </c>
      <c r="C139" s="39" t="s">
        <v>369</v>
      </c>
      <c r="D139" s="40" t="s">
        <v>390</v>
      </c>
      <c r="E139" s="69">
        <f>SUMIFS('PIB Mpal 2015-2022 Cons'!H$5:H$1012,'PIB Mpal 2015-2022 Cons'!$A$5:$A$1012,$W$2,'PIB Mpal 2015-2022 Cons'!$E$5:$E$1012,$A139)</f>
        <v>8.4137292794593979</v>
      </c>
      <c r="F139" s="69">
        <f>SUMIFS('PIB Mpal 2015-2022 Cons'!I$5:I$1012,'PIB Mpal 2015-2022 Cons'!$A$5:$A$1012,$W$2,'PIB Mpal 2015-2022 Cons'!$E$5:$E$1012,$A139)</f>
        <v>0</v>
      </c>
      <c r="G139" s="69">
        <f>SUMIFS('PIB Mpal 2015-2022 Cons'!K$5:K$1012,'PIB Mpal 2015-2022 Cons'!$A$5:$A$1012,$W$2,'PIB Mpal 2015-2022 Cons'!$E$5:$E$1012,$A139)</f>
        <v>0</v>
      </c>
      <c r="H139" s="69">
        <f>SUMIFS('PIB Mpal 2015-2022 Cons'!L$5:L$1012,'PIB Mpal 2015-2022 Cons'!$A$5:$A$1012,$W$2,'PIB Mpal 2015-2022 Cons'!$E$5:$E$1012,$A139)</f>
        <v>4.0698619992205574</v>
      </c>
      <c r="I139" s="69">
        <f>SUMIFS('PIB Mpal 2015-2022 Cons'!N$5:N$1012,'PIB Mpal 2015-2022 Cons'!$A$5:$A$1012,$W$2,'PIB Mpal 2015-2022 Cons'!$E$5:$E$1012,$A139)</f>
        <v>2.6746374883669026</v>
      </c>
      <c r="J139" s="69">
        <f>SUMIFS('PIB Mpal 2015-2022 Cons'!O$5:O$1012,'PIB Mpal 2015-2022 Cons'!$A$5:$A$1012,$W$2,'PIB Mpal 2015-2022 Cons'!$E$5:$E$1012,$A139)</f>
        <v>3.6059318967620797</v>
      </c>
      <c r="K139" s="69">
        <f>SUMIFS('PIB Mpal 2015-2022 Cons'!P$5:P$1012,'PIB Mpal 2015-2022 Cons'!$A$5:$A$1012,$W$2,'PIB Mpal 2015-2022 Cons'!$E$5:$E$1012,$A139)</f>
        <v>2.3810014633233645</v>
      </c>
      <c r="L139" s="69">
        <f>SUMIFS('PIB Mpal 2015-2022 Cons'!Q$5:Q$1012,'PIB Mpal 2015-2022 Cons'!$A$5:$A$1012,$W$2,'PIB Mpal 2015-2022 Cons'!$E$5:$E$1012,$A139)</f>
        <v>1.6034622898553526</v>
      </c>
      <c r="M139" s="69">
        <f>SUMIFS('PIB Mpal 2015-2022 Cons'!R$5:R$1012,'PIB Mpal 2015-2022 Cons'!$A$5:$A$1012,$W$2,'PIB Mpal 2015-2022 Cons'!$E$5:$E$1012,$A139)</f>
        <v>4.1162301500195326</v>
      </c>
      <c r="N139" s="69">
        <f>SUMIFS('PIB Mpal 2015-2022 Cons'!S$5:S$1012,'PIB Mpal 2015-2022 Cons'!$A$5:$A$1012,$W$2,'PIB Mpal 2015-2022 Cons'!$E$5:$E$1012,$A139)</f>
        <v>4.7836412345223227</v>
      </c>
      <c r="O139" s="69">
        <f>SUMIFS('PIB Mpal 2015-2022 Cons'!T$5:T$1012,'PIB Mpal 2015-2022 Cons'!$A$5:$A$1012,$W$2,'PIB Mpal 2015-2022 Cons'!$E$5:$E$1012,$A139)</f>
        <v>15.168150013901757</v>
      </c>
      <c r="P139" s="183">
        <f>SUMIFS('PIB Mpal 2015-2022 Cons'!U$5:U$1012,'PIB Mpal 2015-2022 Cons'!$A$5:$A$1012,$W$2,'PIB Mpal 2015-2022 Cons'!$E$5:$E$1012,$A139)</f>
        <v>1.8282966524629378</v>
      </c>
      <c r="Q139" s="218">
        <f>SUMIFS('PIB Mpal 2015-2022 Cons'!J$5:J$1012,'PIB Mpal 2015-2022 Cons'!$A$5:$A$1012,$W$2,'PIB Mpal 2015-2022 Cons'!$E$5:$E$1012,$A139)</f>
        <v>8.4137292794593979</v>
      </c>
      <c r="R139" s="219">
        <f>SUMIFS('PIB Mpal 2015-2022 Cons'!M$5:M$1012,'PIB Mpal 2015-2022 Cons'!$A$5:$A$1012,$W$2,'PIB Mpal 2015-2022 Cons'!$E$5:$E$1012,$A139)</f>
        <v>4.0698619992205574</v>
      </c>
      <c r="S139" s="70">
        <f>SUMIFS('PIB Mpal 2015-2022 Cons'!V$5:V$1012,'PIB Mpal 2015-2022 Cons'!$A$5:$A$1012,$W$2,'PIB Mpal 2015-2022 Cons'!$E$5:$E$1012,$A139)</f>
        <v>36.161351189214251</v>
      </c>
      <c r="T139" s="188">
        <f>SUMIFS('PIB Mpal 2015-2022 Cons'!W$5:W$1012,'PIB Mpal 2015-2022 Cons'!$A$5:$A$1012,$W$2,'PIB Mpal 2015-2022 Cons'!$E$5:$E$1012,$A139)</f>
        <v>48.644942467894204</v>
      </c>
      <c r="U139" s="69">
        <f>SUMIFS('PIB Mpal 2015-2022 Cons'!X$5:X$1012,'PIB Mpal 2015-2022 Cons'!$A$5:$A$1012,$W$2,'PIB Mpal 2015-2022 Cons'!$E$5:$E$1012,$A139)</f>
        <v>4.8889103509355278</v>
      </c>
      <c r="V139" s="70">
        <f>SUMIFS('PIB Mpal 2015-2022 Cons'!Y$5:Y$1012,'PIB Mpal 2015-2022 Cons'!$A$5:$A$1012,$W$2,'PIB Mpal 2015-2022 Cons'!$E$5:$E$1012,$A139)</f>
        <v>53.533852818829729</v>
      </c>
      <c r="W139" s="93">
        <f t="shared" si="28"/>
        <v>4.6371233005908788E-4</v>
      </c>
      <c r="X139" s="269">
        <f>INDEX(POBLACION!$C$4:$W$128,MATCH(A139,POBLACION!$A$4:$A$128,0),MATCH($W$2,POBLACION!$C$3:$W$3,0))</f>
        <v>8776</v>
      </c>
      <c r="Y139" s="259">
        <f t="shared" si="29"/>
        <v>5542.951511838447</v>
      </c>
      <c r="Z139" s="271">
        <f t="shared" si="30"/>
        <v>6100.0288079796865</v>
      </c>
      <c r="AA139" s="274">
        <f t="shared" si="31"/>
        <v>3.7437410795246091</v>
      </c>
      <c r="AB139" s="274">
        <f t="shared" si="31"/>
        <v>3.7853318860135654</v>
      </c>
    </row>
    <row r="140" spans="1:28" ht="16" thickBot="1" x14ac:dyDescent="0.25">
      <c r="A140" s="71" t="s">
        <v>391</v>
      </c>
      <c r="B140" s="72" t="s">
        <v>392</v>
      </c>
      <c r="C140" s="72" t="s">
        <v>393</v>
      </c>
      <c r="D140" s="72" t="s">
        <v>394</v>
      </c>
      <c r="E140" s="438"/>
      <c r="F140" s="439"/>
      <c r="G140" s="439"/>
      <c r="H140" s="439"/>
      <c r="I140" s="439"/>
      <c r="J140" s="439"/>
      <c r="K140" s="439"/>
      <c r="L140" s="439"/>
      <c r="M140" s="439"/>
      <c r="N140" s="439"/>
      <c r="O140" s="439"/>
      <c r="P140" s="439"/>
      <c r="Q140" s="439"/>
      <c r="R140" s="439"/>
      <c r="S140" s="439"/>
      <c r="T140" s="439"/>
      <c r="U140" s="439"/>
      <c r="V140" s="439"/>
      <c r="W140" s="441"/>
      <c r="X140" s="256"/>
      <c r="Y140" s="256"/>
      <c r="Z140" s="256"/>
      <c r="AA140" s="256"/>
      <c r="AB140" s="256"/>
    </row>
    <row r="141" spans="1:28" ht="30" x14ac:dyDescent="0.2">
      <c r="A141" s="73" t="s">
        <v>395</v>
      </c>
      <c r="B141" s="74" t="s">
        <v>317</v>
      </c>
      <c r="C141" s="75" t="s">
        <v>396</v>
      </c>
      <c r="D141" s="76" t="s">
        <v>397</v>
      </c>
      <c r="E141" s="77">
        <f t="shared" ref="E141:E146" si="32">SUMIF($C$7:$C$139,"*Provincia "&amp;$C141&amp;"*",E$7:E$139)</f>
        <v>412.41520389365536</v>
      </c>
      <c r="F141" s="77">
        <f t="shared" ref="F141:V146" si="33">SUMIF($C$7:$C$139,"*Provincia "&amp;$C141&amp;"*",F$7:F$139)</f>
        <v>6.4714188943886448</v>
      </c>
      <c r="G141" s="77">
        <f t="shared" si="33"/>
        <v>100.34275492579914</v>
      </c>
      <c r="H141" s="77">
        <f t="shared" si="33"/>
        <v>133.21790501026837</v>
      </c>
      <c r="I141" s="77">
        <f t="shared" si="33"/>
        <v>61.681663597941707</v>
      </c>
      <c r="J141" s="77">
        <f t="shared" si="33"/>
        <v>227.75318966388554</v>
      </c>
      <c r="K141" s="77">
        <f t="shared" si="33"/>
        <v>47.727037394611287</v>
      </c>
      <c r="L141" s="77">
        <f t="shared" si="33"/>
        <v>37.872802791813974</v>
      </c>
      <c r="M141" s="77">
        <f t="shared" si="33"/>
        <v>130.22978649267316</v>
      </c>
      <c r="N141" s="77">
        <f t="shared" si="33"/>
        <v>137.86707574838343</v>
      </c>
      <c r="O141" s="77">
        <f t="shared" si="33"/>
        <v>218.83436610105699</v>
      </c>
      <c r="P141" s="194">
        <f t="shared" si="33"/>
        <v>39.280713766112157</v>
      </c>
      <c r="Q141" s="198">
        <f t="shared" si="33"/>
        <v>418.88662278804406</v>
      </c>
      <c r="R141" s="149">
        <f t="shared" si="33"/>
        <v>233.56065993606748</v>
      </c>
      <c r="S141" s="199">
        <f t="shared" si="33"/>
        <v>901.24663555647817</v>
      </c>
      <c r="T141" s="197">
        <f t="shared" si="33"/>
        <v>1553.6939182805897</v>
      </c>
      <c r="U141" s="77">
        <f t="shared" si="33"/>
        <v>156.14922937040782</v>
      </c>
      <c r="V141" s="95">
        <f t="shared" si="33"/>
        <v>1709.8431476509975</v>
      </c>
      <c r="W141" s="94">
        <f t="shared" si="28"/>
        <v>1.4810728320191575E-2</v>
      </c>
      <c r="X141" s="261">
        <f t="shared" ref="X141:X146" si="34">SUMIF($C$7:$C$139,"*Provincia "&amp;$C141&amp;"*",X$7:X$139)</f>
        <v>134852</v>
      </c>
      <c r="Y141" s="265">
        <f t="shared" si="29"/>
        <v>11521.474789254811</v>
      </c>
      <c r="Z141" s="264">
        <f t="shared" si="30"/>
        <v>12679.405182355453</v>
      </c>
      <c r="AA141" s="272">
        <f t="shared" si="31"/>
        <v>4.0615080738650509</v>
      </c>
      <c r="AB141" s="272">
        <f t="shared" si="31"/>
        <v>4.1030988803532864</v>
      </c>
    </row>
    <row r="142" spans="1:28" x14ac:dyDescent="0.2">
      <c r="A142" s="57" t="s">
        <v>398</v>
      </c>
      <c r="B142" s="58" t="s">
        <v>399</v>
      </c>
      <c r="C142" s="59" t="s">
        <v>400</v>
      </c>
      <c r="D142" s="32" t="s">
        <v>401</v>
      </c>
      <c r="E142" s="61">
        <f t="shared" si="32"/>
        <v>384.47386819363413</v>
      </c>
      <c r="F142" s="61">
        <f t="shared" ref="F142:T142" si="35">SUMIF($C$7:$C$139,"*Provincia "&amp;$C142&amp;"*",F$7:F$139)</f>
        <v>15.405579216406098</v>
      </c>
      <c r="G142" s="61">
        <f t="shared" si="35"/>
        <v>116.88726816572699</v>
      </c>
      <c r="H142" s="61">
        <f t="shared" si="35"/>
        <v>64.346374894945257</v>
      </c>
      <c r="I142" s="61">
        <f t="shared" si="35"/>
        <v>46.772650433523793</v>
      </c>
      <c r="J142" s="61">
        <f t="shared" si="35"/>
        <v>192.97824126682553</v>
      </c>
      <c r="K142" s="61">
        <f t="shared" si="35"/>
        <v>41.07347094299346</v>
      </c>
      <c r="L142" s="61">
        <f t="shared" si="35"/>
        <v>34.647941104058518</v>
      </c>
      <c r="M142" s="61">
        <f t="shared" si="35"/>
        <v>98.030427428364561</v>
      </c>
      <c r="N142" s="61">
        <f t="shared" si="35"/>
        <v>119.49581094242144</v>
      </c>
      <c r="O142" s="61">
        <f t="shared" si="35"/>
        <v>206.43022805511836</v>
      </c>
      <c r="P142" s="195">
        <f t="shared" si="35"/>
        <v>34.909428436989515</v>
      </c>
      <c r="Q142" s="200">
        <f t="shared" si="35"/>
        <v>399.87944741004026</v>
      </c>
      <c r="R142" s="147">
        <f t="shared" si="35"/>
        <v>181.23364306067225</v>
      </c>
      <c r="S142" s="53">
        <f t="shared" si="35"/>
        <v>774.33819861029519</v>
      </c>
      <c r="T142" s="153">
        <f t="shared" si="35"/>
        <v>1355.4512890810076</v>
      </c>
      <c r="U142" s="61">
        <f t="shared" si="33"/>
        <v>136.22546355407357</v>
      </c>
      <c r="V142" s="88">
        <f t="shared" si="33"/>
        <v>1491.6767526350811</v>
      </c>
      <c r="W142" s="92">
        <f t="shared" si="28"/>
        <v>1.2920962460898928E-2</v>
      </c>
      <c r="X142" s="262">
        <f t="shared" si="34"/>
        <v>127185</v>
      </c>
      <c r="Y142" s="266">
        <f t="shared" si="29"/>
        <v>10657.320352879724</v>
      </c>
      <c r="Z142" s="258">
        <f t="shared" si="30"/>
        <v>11728.401561780722</v>
      </c>
      <c r="AA142" s="273">
        <f t="shared" si="31"/>
        <v>4.0276480206144454</v>
      </c>
      <c r="AB142" s="273">
        <f t="shared" si="31"/>
        <v>4.0692388271026427</v>
      </c>
    </row>
    <row r="143" spans="1:28" x14ac:dyDescent="0.2">
      <c r="A143" s="57" t="s">
        <v>402</v>
      </c>
      <c r="B143" s="58" t="s">
        <v>317</v>
      </c>
      <c r="C143" s="59" t="s">
        <v>403</v>
      </c>
      <c r="D143" s="32" t="s">
        <v>404</v>
      </c>
      <c r="E143" s="61">
        <f t="shared" si="32"/>
        <v>345.74203557383368</v>
      </c>
      <c r="F143" s="61">
        <f t="shared" si="33"/>
        <v>13.84621325536812</v>
      </c>
      <c r="G143" s="61">
        <f t="shared" si="33"/>
        <v>138.30404399979753</v>
      </c>
      <c r="H143" s="61">
        <f t="shared" si="33"/>
        <v>153.52363118811985</v>
      </c>
      <c r="I143" s="61">
        <f t="shared" si="33"/>
        <v>55.966243150473503</v>
      </c>
      <c r="J143" s="61">
        <f t="shared" si="33"/>
        <v>271.0780913405851</v>
      </c>
      <c r="K143" s="61">
        <f t="shared" si="33"/>
        <v>41.841329659417994</v>
      </c>
      <c r="L143" s="61">
        <f t="shared" si="33"/>
        <v>45.565606311566739</v>
      </c>
      <c r="M143" s="61">
        <f t="shared" si="33"/>
        <v>100.52957936263536</v>
      </c>
      <c r="N143" s="61">
        <f t="shared" si="33"/>
        <v>141.39876158143835</v>
      </c>
      <c r="O143" s="61">
        <f t="shared" si="33"/>
        <v>206.56057428334341</v>
      </c>
      <c r="P143" s="195">
        <f t="shared" si="33"/>
        <v>32.85759024940171</v>
      </c>
      <c r="Q143" s="200">
        <f t="shared" si="33"/>
        <v>359.58824882920186</v>
      </c>
      <c r="R143" s="147">
        <f t="shared" si="33"/>
        <v>291.82767518791741</v>
      </c>
      <c r="S143" s="53">
        <f t="shared" si="33"/>
        <v>895.79777593886217</v>
      </c>
      <c r="T143" s="153">
        <f t="shared" si="33"/>
        <v>1547.2136999559816</v>
      </c>
      <c r="U143" s="61">
        <f t="shared" si="33"/>
        <v>155.49795495550327</v>
      </c>
      <c r="V143" s="88">
        <f t="shared" si="33"/>
        <v>1702.7116549114849</v>
      </c>
      <c r="W143" s="92">
        <f t="shared" si="28"/>
        <v>1.47489550507385E-2</v>
      </c>
      <c r="X143" s="262">
        <f t="shared" si="34"/>
        <v>117228</v>
      </c>
      <c r="Y143" s="266">
        <f t="shared" si="29"/>
        <v>13198.328897157518</v>
      </c>
      <c r="Z143" s="258">
        <f t="shared" si="30"/>
        <v>14524.786355746792</v>
      </c>
      <c r="AA143" s="273">
        <f t="shared" si="31"/>
        <v>4.1205189466083798</v>
      </c>
      <c r="AB143" s="273">
        <f t="shared" si="31"/>
        <v>4.16210975309661</v>
      </c>
    </row>
    <row r="144" spans="1:28" x14ac:dyDescent="0.2">
      <c r="A144" s="57" t="s">
        <v>405</v>
      </c>
      <c r="B144" s="58" t="s">
        <v>264</v>
      </c>
      <c r="C144" s="59" t="s">
        <v>406</v>
      </c>
      <c r="D144" s="32" t="s">
        <v>407</v>
      </c>
      <c r="E144" s="61">
        <f t="shared" si="32"/>
        <v>145.86096313022242</v>
      </c>
      <c r="F144" s="61">
        <f t="shared" si="33"/>
        <v>88.193995094706381</v>
      </c>
      <c r="G144" s="61">
        <f t="shared" si="33"/>
        <v>349.34947130264459</v>
      </c>
      <c r="H144" s="61">
        <f t="shared" si="33"/>
        <v>43.747382216722031</v>
      </c>
      <c r="I144" s="61">
        <f t="shared" si="33"/>
        <v>41.58841408755643</v>
      </c>
      <c r="J144" s="61">
        <f t="shared" si="33"/>
        <v>118.71651722400598</v>
      </c>
      <c r="K144" s="61">
        <f t="shared" si="33"/>
        <v>22.890091952261628</v>
      </c>
      <c r="L144" s="61">
        <f t="shared" si="33"/>
        <v>20.056741768426775</v>
      </c>
      <c r="M144" s="61">
        <f t="shared" si="33"/>
        <v>75.099333535350397</v>
      </c>
      <c r="N144" s="61">
        <f t="shared" si="33"/>
        <v>100.81690150851526</v>
      </c>
      <c r="O144" s="61">
        <f t="shared" si="33"/>
        <v>107.46431160096091</v>
      </c>
      <c r="P144" s="195">
        <f t="shared" si="33"/>
        <v>17.697205417237505</v>
      </c>
      <c r="Q144" s="200">
        <f t="shared" si="33"/>
        <v>234.05495822492881</v>
      </c>
      <c r="R144" s="147">
        <f t="shared" si="33"/>
        <v>393.09685351936662</v>
      </c>
      <c r="S144" s="53">
        <f t="shared" si="33"/>
        <v>504.32951709431489</v>
      </c>
      <c r="T144" s="153">
        <f t="shared" si="33"/>
        <v>1131.4813288386104</v>
      </c>
      <c r="U144" s="61">
        <f t="shared" si="33"/>
        <v>113.71605144598688</v>
      </c>
      <c r="V144" s="88">
        <f t="shared" si="33"/>
        <v>1245.1973802845973</v>
      </c>
      <c r="W144" s="92">
        <f t="shared" si="28"/>
        <v>1.078594848290363E-2</v>
      </c>
      <c r="X144" s="262">
        <f t="shared" si="34"/>
        <v>75683</v>
      </c>
      <c r="Y144" s="266">
        <f t="shared" si="29"/>
        <v>14950.270587035535</v>
      </c>
      <c r="Z144" s="258">
        <f t="shared" si="30"/>
        <v>16452.801557609997</v>
      </c>
      <c r="AA144" s="273">
        <f t="shared" si="31"/>
        <v>4.1746490530880704</v>
      </c>
      <c r="AB144" s="273">
        <f t="shared" si="31"/>
        <v>4.2162398595757127</v>
      </c>
    </row>
    <row r="145" spans="1:28" ht="30" x14ac:dyDescent="0.2">
      <c r="A145" s="57" t="s">
        <v>408</v>
      </c>
      <c r="B145" s="58" t="s">
        <v>264</v>
      </c>
      <c r="C145" s="59" t="s">
        <v>409</v>
      </c>
      <c r="D145" s="32" t="s">
        <v>410</v>
      </c>
      <c r="E145" s="61">
        <f t="shared" si="32"/>
        <v>366.94959268457137</v>
      </c>
      <c r="F145" s="61">
        <f t="shared" si="33"/>
        <v>22.259189981102697</v>
      </c>
      <c r="G145" s="61">
        <f t="shared" si="33"/>
        <v>253.93609732113094</v>
      </c>
      <c r="H145" s="61">
        <f t="shared" si="33"/>
        <v>150.97393072444385</v>
      </c>
      <c r="I145" s="61">
        <f t="shared" si="33"/>
        <v>615.71120986977098</v>
      </c>
      <c r="J145" s="61">
        <f t="shared" si="33"/>
        <v>318.0136872996095</v>
      </c>
      <c r="K145" s="61">
        <f t="shared" si="33"/>
        <v>64.965128655703296</v>
      </c>
      <c r="L145" s="61">
        <f t="shared" si="33"/>
        <v>52.577717955010236</v>
      </c>
      <c r="M145" s="61">
        <f t="shared" si="33"/>
        <v>266.40933044925629</v>
      </c>
      <c r="N145" s="61">
        <f t="shared" si="33"/>
        <v>207.96709564909662</v>
      </c>
      <c r="O145" s="61">
        <f t="shared" si="33"/>
        <v>228.46678936266142</v>
      </c>
      <c r="P145" s="195">
        <f t="shared" si="33"/>
        <v>54.878019152355719</v>
      </c>
      <c r="Q145" s="200">
        <f t="shared" si="33"/>
        <v>389.20878266567405</v>
      </c>
      <c r="R145" s="147">
        <f t="shared" si="33"/>
        <v>404.91002804557485</v>
      </c>
      <c r="S145" s="53">
        <f t="shared" si="33"/>
        <v>1808.9889783934641</v>
      </c>
      <c r="T145" s="153">
        <f t="shared" si="33"/>
        <v>2603.107789104713</v>
      </c>
      <c r="U145" s="61">
        <f t="shared" si="33"/>
        <v>261.61734332578885</v>
      </c>
      <c r="V145" s="88">
        <f t="shared" si="33"/>
        <v>2864.7251324305016</v>
      </c>
      <c r="W145" s="92">
        <f t="shared" si="28"/>
        <v>2.4814361309539994E-2</v>
      </c>
      <c r="X145" s="262">
        <f t="shared" si="34"/>
        <v>199162</v>
      </c>
      <c r="Y145" s="266">
        <f t="shared" si="29"/>
        <v>13070.303517260889</v>
      </c>
      <c r="Z145" s="258">
        <f t="shared" si="30"/>
        <v>14383.894178761519</v>
      </c>
      <c r="AA145" s="273">
        <f t="shared" si="31"/>
        <v>4.1162856728399975</v>
      </c>
      <c r="AB145" s="273">
        <f t="shared" si="31"/>
        <v>4.1578764793287393</v>
      </c>
    </row>
    <row r="146" spans="1:28" ht="16" thickBot="1" x14ac:dyDescent="0.25">
      <c r="A146" s="78" t="s">
        <v>411</v>
      </c>
      <c r="B146" s="79" t="s">
        <v>160</v>
      </c>
      <c r="C146" s="80" t="s">
        <v>412</v>
      </c>
      <c r="D146" s="40" t="s">
        <v>413</v>
      </c>
      <c r="E146" s="81">
        <f t="shared" si="32"/>
        <v>106.9473243807569</v>
      </c>
      <c r="F146" s="81">
        <f t="shared" si="33"/>
        <v>371.13612087626365</v>
      </c>
      <c r="G146" s="81">
        <f t="shared" si="33"/>
        <v>43.637210936348865</v>
      </c>
      <c r="H146" s="81">
        <f t="shared" si="33"/>
        <v>41.399251432600956</v>
      </c>
      <c r="I146" s="81">
        <f t="shared" si="33"/>
        <v>41.307625020949963</v>
      </c>
      <c r="J146" s="81">
        <f t="shared" si="33"/>
        <v>206.49452847205578</v>
      </c>
      <c r="K146" s="81">
        <f t="shared" si="33"/>
        <v>28.182108284829972</v>
      </c>
      <c r="L146" s="81">
        <f t="shared" si="33"/>
        <v>19.198637668910525</v>
      </c>
      <c r="M146" s="81">
        <f t="shared" si="33"/>
        <v>69.717960266073291</v>
      </c>
      <c r="N146" s="81">
        <f t="shared" si="33"/>
        <v>102.02326531236639</v>
      </c>
      <c r="O146" s="81">
        <f t="shared" si="33"/>
        <v>144.85663292462513</v>
      </c>
      <c r="P146" s="196">
        <f t="shared" si="33"/>
        <v>22.246389656635817</v>
      </c>
      <c r="Q146" s="201">
        <f t="shared" si="33"/>
        <v>478.08344525702046</v>
      </c>
      <c r="R146" s="148">
        <f t="shared" si="33"/>
        <v>85.036462368949827</v>
      </c>
      <c r="S146" s="70">
        <f t="shared" si="33"/>
        <v>634.02714760644687</v>
      </c>
      <c r="T146" s="188">
        <f t="shared" si="33"/>
        <v>1197.1470552324172</v>
      </c>
      <c r="U146" s="81">
        <f t="shared" si="33"/>
        <v>120.3155833443805</v>
      </c>
      <c r="V146" s="89">
        <f t="shared" si="33"/>
        <v>1317.4626385767976</v>
      </c>
      <c r="W146" s="93">
        <f t="shared" si="28"/>
        <v>1.1411912980889683E-2</v>
      </c>
      <c r="X146" s="263">
        <f t="shared" si="34"/>
        <v>104867</v>
      </c>
      <c r="Y146" s="267">
        <f t="shared" si="29"/>
        <v>11415.860616136793</v>
      </c>
      <c r="Z146" s="259">
        <f t="shared" si="30"/>
        <v>12563.17658154422</v>
      </c>
      <c r="AA146" s="274">
        <f t="shared" si="31"/>
        <v>4.0575086575477082</v>
      </c>
      <c r="AB146" s="274">
        <f t="shared" si="31"/>
        <v>4.0990994640357208</v>
      </c>
    </row>
    <row r="147" spans="1:28" ht="16" thickBot="1" x14ac:dyDescent="0.25">
      <c r="A147" s="71" t="s">
        <v>414</v>
      </c>
      <c r="B147" s="72" t="s">
        <v>392</v>
      </c>
      <c r="C147" s="72" t="s">
        <v>415</v>
      </c>
      <c r="D147" s="72" t="s">
        <v>416</v>
      </c>
      <c r="E147" s="424"/>
      <c r="F147" s="425"/>
      <c r="G147" s="425"/>
      <c r="H147" s="425"/>
      <c r="I147" s="425"/>
      <c r="J147" s="425"/>
      <c r="K147" s="425"/>
      <c r="L147" s="425"/>
      <c r="M147" s="425"/>
      <c r="N147" s="425"/>
      <c r="O147" s="425"/>
      <c r="P147" s="425"/>
      <c r="Q147" s="425"/>
      <c r="R147" s="425"/>
      <c r="S147" s="425"/>
      <c r="T147" s="425"/>
      <c r="U147" s="425"/>
      <c r="V147" s="425"/>
      <c r="W147" s="440"/>
      <c r="X147" s="257"/>
      <c r="Y147" s="257"/>
      <c r="Z147" s="257"/>
      <c r="AA147" s="257"/>
      <c r="AB147" s="257"/>
    </row>
    <row r="148" spans="1:28" x14ac:dyDescent="0.2">
      <c r="A148" s="82" t="s">
        <v>417</v>
      </c>
      <c r="B148" s="76" t="s">
        <v>126</v>
      </c>
      <c r="C148" s="83" t="s">
        <v>127</v>
      </c>
      <c r="D148" s="76" t="s">
        <v>418</v>
      </c>
      <c r="E148" s="77">
        <f>SUMIF($C$7:$C$139,"*"&amp;$C148&amp;"*",E$7:E$139)</f>
        <v>195.97893038062861</v>
      </c>
      <c r="F148" s="77">
        <f t="shared" ref="F148:V151" si="36">SUMIF($C$7:$C$139,"*"&amp;$C148&amp;"*",F$7:F$139)</f>
        <v>852.68768586932879</v>
      </c>
      <c r="G148" s="77">
        <f t="shared" si="36"/>
        <v>104.02514083612988</v>
      </c>
      <c r="H148" s="77">
        <f t="shared" si="36"/>
        <v>78.330311975763905</v>
      </c>
      <c r="I148" s="77">
        <f t="shared" si="36"/>
        <v>144.13988857266389</v>
      </c>
      <c r="J148" s="77">
        <f t="shared" si="36"/>
        <v>617.31310926861431</v>
      </c>
      <c r="K148" s="77">
        <f t="shared" si="36"/>
        <v>62.85414091142966</v>
      </c>
      <c r="L148" s="77">
        <f t="shared" si="36"/>
        <v>51.847909104888771</v>
      </c>
      <c r="M148" s="77">
        <f t="shared" si="36"/>
        <v>95.828603614048504</v>
      </c>
      <c r="N148" s="77">
        <f t="shared" si="36"/>
        <v>262.69015943501068</v>
      </c>
      <c r="O148" s="77">
        <f t="shared" si="36"/>
        <v>381.33135872421781</v>
      </c>
      <c r="P148" s="194">
        <f t="shared" si="36"/>
        <v>38.287986524580006</v>
      </c>
      <c r="Q148" s="198">
        <f t="shared" si="36"/>
        <v>1048.6666162499573</v>
      </c>
      <c r="R148" s="149">
        <f t="shared" si="36"/>
        <v>182.3554528118938</v>
      </c>
      <c r="S148" s="199">
        <f t="shared" si="36"/>
        <v>1654.2931561554535</v>
      </c>
      <c r="T148" s="197">
        <f t="shared" si="36"/>
        <v>2885.3152252173049</v>
      </c>
      <c r="U148" s="77">
        <f t="shared" si="36"/>
        <v>289.97973385043827</v>
      </c>
      <c r="V148" s="95">
        <f t="shared" si="36"/>
        <v>3175.2949590677435</v>
      </c>
      <c r="W148" s="94">
        <f t="shared" si="28"/>
        <v>2.7504529313015866E-2</v>
      </c>
      <c r="X148" s="261">
        <f t="shared" ref="X148:X151" si="37">SUMIF($C$7:$C$139,"*"&amp;$C148&amp;"*",X$7:X$139)</f>
        <v>235199</v>
      </c>
      <c r="Y148" s="265">
        <f t="shared" si="29"/>
        <v>12267.548863801738</v>
      </c>
      <c r="Z148" s="265">
        <f t="shared" si="30"/>
        <v>13500.461137452725</v>
      </c>
      <c r="AA148" s="272">
        <f t="shared" si="31"/>
        <v>4.088757796527597</v>
      </c>
      <c r="AB148" s="272">
        <f t="shared" si="31"/>
        <v>4.1303486030158032</v>
      </c>
    </row>
    <row r="149" spans="1:28" x14ac:dyDescent="0.2">
      <c r="A149" s="36" t="s">
        <v>419</v>
      </c>
      <c r="B149" s="34" t="s">
        <v>264</v>
      </c>
      <c r="C149" s="33" t="s">
        <v>283</v>
      </c>
      <c r="D149" s="32" t="s">
        <v>420</v>
      </c>
      <c r="E149" s="61">
        <f>SUMIF($C$7:$C$139,"*"&amp;$C149&amp;"*",E$7:E$139)</f>
        <v>172.44400528609026</v>
      </c>
      <c r="F149" s="61">
        <f t="shared" ref="F149:T149" si="38">SUMIF($C$7:$C$139,"*"&amp;$C149&amp;"*",F$7:F$139)</f>
        <v>1.2619795015309236</v>
      </c>
      <c r="G149" s="61">
        <f t="shared" si="38"/>
        <v>1331.5580190622445</v>
      </c>
      <c r="H149" s="61">
        <f t="shared" si="38"/>
        <v>244.58982979858331</v>
      </c>
      <c r="I149" s="61">
        <f t="shared" si="38"/>
        <v>144.69553349998765</v>
      </c>
      <c r="J149" s="61">
        <f t="shared" si="38"/>
        <v>740.61725709450457</v>
      </c>
      <c r="K149" s="61">
        <f t="shared" si="38"/>
        <v>114.24813976816456</v>
      </c>
      <c r="L149" s="61">
        <f t="shared" si="38"/>
        <v>111.11210392969514</v>
      </c>
      <c r="M149" s="61">
        <f t="shared" si="38"/>
        <v>400.50050993911731</v>
      </c>
      <c r="N149" s="61">
        <f t="shared" si="38"/>
        <v>380.35799925058308</v>
      </c>
      <c r="O149" s="61">
        <f t="shared" si="38"/>
        <v>380.18480208399598</v>
      </c>
      <c r="P149" s="195">
        <f t="shared" si="38"/>
        <v>72.578131482099693</v>
      </c>
      <c r="Q149" s="200">
        <f t="shared" si="38"/>
        <v>173.70598478762122</v>
      </c>
      <c r="R149" s="147">
        <f t="shared" si="38"/>
        <v>1576.1478488608279</v>
      </c>
      <c r="S149" s="53">
        <f t="shared" si="38"/>
        <v>2344.2944770481481</v>
      </c>
      <c r="T149" s="153">
        <f t="shared" si="38"/>
        <v>4094.148310696597</v>
      </c>
      <c r="U149" s="61">
        <f t="shared" si="36"/>
        <v>411.46978572870034</v>
      </c>
      <c r="V149" s="88">
        <f t="shared" si="36"/>
        <v>4505.6180964252972</v>
      </c>
      <c r="W149" s="92">
        <f t="shared" si="28"/>
        <v>3.9027840438095332E-2</v>
      </c>
      <c r="X149" s="262">
        <f t="shared" si="37"/>
        <v>242998</v>
      </c>
      <c r="Y149" s="266">
        <f t="shared" si="29"/>
        <v>16848.48562826277</v>
      </c>
      <c r="Z149" s="266">
        <f t="shared" si="30"/>
        <v>18541.790864226441</v>
      </c>
      <c r="AA149" s="273">
        <f t="shared" si="31"/>
        <v>4.2265608718040921</v>
      </c>
      <c r="AB149" s="273">
        <f t="shared" si="31"/>
        <v>4.2681516782922948</v>
      </c>
    </row>
    <row r="150" spans="1:28" ht="30" x14ac:dyDescent="0.2">
      <c r="A150" s="36" t="s">
        <v>421</v>
      </c>
      <c r="B150" s="34" t="s">
        <v>221</v>
      </c>
      <c r="C150" s="33" t="s">
        <v>222</v>
      </c>
      <c r="D150" s="32" t="s">
        <v>422</v>
      </c>
      <c r="E150" s="61">
        <f>SUMIF($C$7:$C$139,"*"&amp;$C150&amp;"*",E$7:E$139)</f>
        <v>225.81795184785597</v>
      </c>
      <c r="F150" s="61">
        <f t="shared" si="36"/>
        <v>22.9563401539897</v>
      </c>
      <c r="G150" s="61">
        <f t="shared" si="36"/>
        <v>24.824044435137459</v>
      </c>
      <c r="H150" s="61">
        <f t="shared" si="36"/>
        <v>75.7550693629628</v>
      </c>
      <c r="I150" s="61">
        <f t="shared" si="36"/>
        <v>58.881881687056044</v>
      </c>
      <c r="J150" s="61">
        <f t="shared" si="36"/>
        <v>177.96450188817897</v>
      </c>
      <c r="K150" s="61">
        <f t="shared" si="36"/>
        <v>40.189804594487327</v>
      </c>
      <c r="L150" s="61">
        <f t="shared" si="36"/>
        <v>30.71903980076625</v>
      </c>
      <c r="M150" s="61">
        <f t="shared" si="36"/>
        <v>101.80971470827976</v>
      </c>
      <c r="N150" s="61">
        <f t="shared" si="36"/>
        <v>108.68958861329735</v>
      </c>
      <c r="O150" s="61">
        <f t="shared" si="36"/>
        <v>202.3348277194109</v>
      </c>
      <c r="P150" s="195">
        <f t="shared" si="36"/>
        <v>32.657709289557687</v>
      </c>
      <c r="Q150" s="200">
        <f t="shared" si="36"/>
        <v>248.77429200184568</v>
      </c>
      <c r="R150" s="147">
        <f t="shared" si="36"/>
        <v>100.57911379810027</v>
      </c>
      <c r="S150" s="53">
        <f t="shared" si="36"/>
        <v>753.24706830103423</v>
      </c>
      <c r="T150" s="153">
        <f t="shared" si="36"/>
        <v>1102.6004741009801</v>
      </c>
      <c r="U150" s="61">
        <f t="shared" si="36"/>
        <v>110.81346995734107</v>
      </c>
      <c r="V150" s="88">
        <f t="shared" si="36"/>
        <v>1213.4139440583212</v>
      </c>
      <c r="W150" s="92">
        <f t="shared" si="28"/>
        <v>1.0510639113341743E-2</v>
      </c>
      <c r="X150" s="262">
        <f t="shared" si="37"/>
        <v>124917</v>
      </c>
      <c r="Y150" s="266">
        <f t="shared" si="29"/>
        <v>8826.6646981674239</v>
      </c>
      <c r="Z150" s="266">
        <f t="shared" si="30"/>
        <v>9713.7614900959925</v>
      </c>
      <c r="AA150" s="273">
        <f t="shared" si="31"/>
        <v>3.9457966291928126</v>
      </c>
      <c r="AB150" s="273">
        <f t="shared" si="31"/>
        <v>3.9873874356815033</v>
      </c>
    </row>
    <row r="151" spans="1:28" ht="46" thickBot="1" x14ac:dyDescent="0.25">
      <c r="A151" s="37" t="s">
        <v>423</v>
      </c>
      <c r="B151" s="38" t="s">
        <v>368</v>
      </c>
      <c r="C151" s="39" t="s">
        <v>424</v>
      </c>
      <c r="D151" s="40" t="s">
        <v>425</v>
      </c>
      <c r="E151" s="81">
        <f>SUMIF($C$7:$C$139,"*"&amp;$C151&amp;"*",E$7:E$139)</f>
        <v>2285.677543212922</v>
      </c>
      <c r="F151" s="81">
        <f t="shared" si="36"/>
        <v>26.984300519358055</v>
      </c>
      <c r="G151" s="81">
        <f t="shared" si="36"/>
        <v>164.07709453985154</v>
      </c>
      <c r="H151" s="81">
        <f t="shared" si="36"/>
        <v>428.05792764334177</v>
      </c>
      <c r="I151" s="81">
        <f t="shared" si="36"/>
        <v>231.6833800844411</v>
      </c>
      <c r="J151" s="81">
        <f t="shared" si="36"/>
        <v>1120.2892927037415</v>
      </c>
      <c r="K151" s="81">
        <f t="shared" si="36"/>
        <v>179.88364469436675</v>
      </c>
      <c r="L151" s="81">
        <f t="shared" si="36"/>
        <v>157.19671326756756</v>
      </c>
      <c r="M151" s="81">
        <f t="shared" si="36"/>
        <v>309.31007942179031</v>
      </c>
      <c r="N151" s="81">
        <f t="shared" si="36"/>
        <v>582.87172741880136</v>
      </c>
      <c r="O151" s="81">
        <f t="shared" si="36"/>
        <v>1130.1068170043084</v>
      </c>
      <c r="P151" s="196">
        <f t="shared" si="36"/>
        <v>118.06558411085788</v>
      </c>
      <c r="Q151" s="201">
        <f t="shared" si="36"/>
        <v>2312.6618437322795</v>
      </c>
      <c r="R151" s="148">
        <f t="shared" si="36"/>
        <v>592.13502218319343</v>
      </c>
      <c r="S151" s="70">
        <f t="shared" si="36"/>
        <v>3829.4072387058741</v>
      </c>
      <c r="T151" s="188">
        <f t="shared" si="36"/>
        <v>6734.204104621349</v>
      </c>
      <c r="U151" s="81">
        <f t="shared" si="36"/>
        <v>676.80047465334894</v>
      </c>
      <c r="V151" s="89">
        <f t="shared" si="36"/>
        <v>7411.0045792746969</v>
      </c>
      <c r="W151" s="93">
        <f t="shared" si="28"/>
        <v>6.4194411957685146E-2</v>
      </c>
      <c r="X151" s="263">
        <f t="shared" si="37"/>
        <v>475202</v>
      </c>
      <c r="Y151" s="267">
        <f t="shared" si="29"/>
        <v>14171.245290679224</v>
      </c>
      <c r="Z151" s="267">
        <f t="shared" si="30"/>
        <v>15595.482719506015</v>
      </c>
      <c r="AA151" s="274">
        <f t="shared" si="31"/>
        <v>4.1514080153220823</v>
      </c>
      <c r="AB151" s="274">
        <f t="shared" si="31"/>
        <v>4.1929988218102681</v>
      </c>
    </row>
    <row r="153" spans="1:28" x14ac:dyDescent="0.2">
      <c r="C153" s="60"/>
      <c r="E153" s="64"/>
      <c r="F153" s="64"/>
      <c r="G153" s="64"/>
      <c r="H153" s="64"/>
      <c r="I153" s="64"/>
      <c r="J153" s="64"/>
      <c r="K153" s="64"/>
      <c r="L153" s="64"/>
      <c r="M153" s="64"/>
      <c r="N153" s="64"/>
      <c r="O153" s="64"/>
      <c r="P153" s="64"/>
      <c r="Q153" s="64"/>
      <c r="R153" s="64"/>
      <c r="S153" s="64"/>
      <c r="T153" s="64"/>
      <c r="U153" s="64"/>
      <c r="V153" s="64"/>
    </row>
    <row r="154" spans="1:28" x14ac:dyDescent="0.2">
      <c r="C154" s="60"/>
      <c r="E154" s="64"/>
      <c r="F154" s="64"/>
      <c r="G154" s="64"/>
      <c r="H154" s="64"/>
      <c r="I154" s="64"/>
      <c r="J154" s="64"/>
      <c r="K154" s="64"/>
      <c r="L154" s="64"/>
      <c r="M154" s="64"/>
      <c r="N154" s="64"/>
      <c r="O154" s="64"/>
      <c r="P154" s="64"/>
      <c r="Q154" s="64"/>
      <c r="R154" s="64"/>
      <c r="S154" s="64"/>
      <c r="T154" s="64"/>
      <c r="U154" s="64"/>
      <c r="V154" s="64"/>
    </row>
    <row r="155" spans="1:28" x14ac:dyDescent="0.2">
      <c r="E155" s="65"/>
      <c r="F155" s="65"/>
      <c r="G155" s="65"/>
      <c r="H155" s="65"/>
      <c r="I155" s="65"/>
      <c r="J155" s="65"/>
      <c r="K155" s="65"/>
      <c r="L155" s="65"/>
      <c r="M155" s="65"/>
      <c r="N155" s="65"/>
      <c r="O155" s="65"/>
      <c r="P155" s="65"/>
      <c r="Q155" s="65"/>
      <c r="R155" s="65"/>
      <c r="S155" s="65"/>
      <c r="T155" s="65"/>
      <c r="U155" s="65"/>
      <c r="V155" s="65"/>
    </row>
    <row r="156" spans="1:28" x14ac:dyDescent="0.2">
      <c r="E156" s="66"/>
      <c r="F156" s="66"/>
      <c r="G156" s="66"/>
      <c r="H156" s="66"/>
      <c r="I156" s="66"/>
      <c r="J156" s="66"/>
      <c r="K156" s="66"/>
      <c r="L156" s="66"/>
      <c r="M156" s="66"/>
      <c r="N156" s="66"/>
      <c r="O156" s="66"/>
      <c r="P156" s="66"/>
      <c r="Q156" s="66"/>
      <c r="R156" s="66"/>
      <c r="S156" s="66"/>
      <c r="T156" s="66"/>
      <c r="U156" s="66"/>
      <c r="V156" s="66"/>
    </row>
    <row r="157" spans="1:28" x14ac:dyDescent="0.2">
      <c r="E157" s="67"/>
      <c r="F157" s="67"/>
      <c r="G157" s="67"/>
      <c r="H157" s="67"/>
      <c r="I157" s="67"/>
      <c r="J157" s="67"/>
      <c r="K157" s="67"/>
      <c r="L157" s="67"/>
      <c r="M157" s="67"/>
      <c r="N157" s="67"/>
      <c r="O157" s="67"/>
      <c r="P157" s="67"/>
      <c r="Q157" s="67"/>
      <c r="R157" s="67"/>
      <c r="S157" s="67"/>
      <c r="T157" s="67"/>
      <c r="U157" s="67"/>
      <c r="V157" s="67"/>
    </row>
  </sheetData>
  <protectedRanges>
    <protectedRange algorithmName="SHA-512" hashValue="kpD5SVtfl6/WrDaYUJBW1z1NFkK/xMP2hB2LS+v1/T9RIDXCw92TbIlUX4l1bekdsjJ/Jb5nEN4PmO7ly9krDA==" saltValue="dlKOTGoK6aXtjHjG8rUnpA==" spinCount="100000" sqref="A140:D140 B141:D146 A147:D147 D149:D151 B149:B151" name="Rango1"/>
    <protectedRange algorithmName="SHA-512" hashValue="kpD5SVtfl6/WrDaYUJBW1z1NFkK/xMP2hB2LS+v1/T9RIDXCw92TbIlUX4l1bekdsjJ/Jb5nEN4PmO7ly9krDA==" saltValue="dlKOTGoK6aXtjHjG8rUnpA==" spinCount="100000" sqref="A141" name="Rango1_1"/>
    <protectedRange algorithmName="SHA-512" hashValue="kpD5SVtfl6/WrDaYUJBW1z1NFkK/xMP2hB2LS+v1/T9RIDXCw92TbIlUX4l1bekdsjJ/Jb5nEN4PmO7ly9krDA==" saltValue="dlKOTGoK6aXtjHjG8rUnpA==" spinCount="100000" sqref="A142:A146 A148:A151" name="Rango1_2"/>
  </protectedRanges>
  <autoFilter ref="A4:V151" xr:uid="{00000000-0009-0000-0000-000002000000}"/>
  <mergeCells count="20">
    <mergeCell ref="AD19:AI19"/>
    <mergeCell ref="A1:V1"/>
    <mergeCell ref="A2:V2"/>
    <mergeCell ref="E140:W140"/>
    <mergeCell ref="E147:W147"/>
    <mergeCell ref="AD4:AI4"/>
    <mergeCell ref="AD5:AI5"/>
    <mergeCell ref="AD6:AI6"/>
    <mergeCell ref="AD7:AI7"/>
    <mergeCell ref="AD8:AI8"/>
    <mergeCell ref="AD9:AI9"/>
    <mergeCell ref="AD10:AI10"/>
    <mergeCell ref="AD11:AI11"/>
    <mergeCell ref="AD12:AI12"/>
    <mergeCell ref="AD13:AI13"/>
    <mergeCell ref="AD14:AI14"/>
    <mergeCell ref="AD15:AI15"/>
    <mergeCell ref="AD16:AI16"/>
    <mergeCell ref="AD17:AI17"/>
    <mergeCell ref="AD18:AI18"/>
  </mergeCells>
  <pageMargins left="0.7" right="0.7" top="0.75" bottom="0.75" header="0.3" footer="0.3"/>
  <pageSetup orientation="portrait" horizontalDpi="4294967295" verticalDpi="4294967295"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prompt="Seleccione el año del cual desea los resultados" xr:uid="{00000000-0002-0000-0200-000000000000}">
          <x14:formula1>
            <xm:f>'PIB-Mpal 2015-2022 Corrient '!$AE$4:$AE$9</xm:f>
          </x14:formula1>
          <xm:sqref>X2:AB2</xm:sqref>
        </x14:dataValidation>
        <x14:dataValidation type="list" allowBlank="1" showInputMessage="1" showErrorMessage="1" prompt="Seleccione el año del cual desea los resultados" xr:uid="{00000000-0002-0000-0200-000001000000}">
          <x14:formula1>
            <xm:f>'PIB-Mpal 2015-2022 Corrient '!$AE$4:$AE$11</xm:f>
          </x14:formula1>
          <xm:sqref>W2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64"/>
  <sheetViews>
    <sheetView showGridLines="0" topLeftCell="A24" zoomScale="125" zoomScaleNormal="40" workbookViewId="0">
      <selection activeCell="L4" sqref="L4"/>
    </sheetView>
  </sheetViews>
  <sheetFormatPr baseColWidth="10" defaultColWidth="10.83203125" defaultRowHeight="15" x14ac:dyDescent="0.2"/>
  <cols>
    <col min="1" max="1" width="13.33203125" customWidth="1"/>
    <col min="2" max="2" width="17.83203125" bestFit="1" customWidth="1"/>
    <col min="3" max="21" width="15.33203125" customWidth="1"/>
  </cols>
  <sheetData>
    <row r="1" spans="1:28" ht="24" x14ac:dyDescent="0.25">
      <c r="A1" s="436" t="s">
        <v>9</v>
      </c>
      <c r="B1" s="436"/>
      <c r="C1" s="436"/>
      <c r="D1" s="436"/>
      <c r="E1" s="436"/>
      <c r="F1" s="436"/>
      <c r="G1" s="436"/>
      <c r="H1" s="436"/>
      <c r="I1" s="436"/>
      <c r="J1" s="436"/>
      <c r="K1" s="436"/>
      <c r="L1" s="436"/>
      <c r="M1" s="436"/>
      <c r="N1" s="436"/>
      <c r="O1" s="436"/>
      <c r="P1" s="436"/>
      <c r="Q1" s="436"/>
      <c r="R1" s="436"/>
      <c r="S1" s="436"/>
      <c r="T1" s="436"/>
      <c r="U1" s="436"/>
      <c r="V1" s="84" t="s">
        <v>58</v>
      </c>
      <c r="X1" s="146" t="str">
        <f>"Distribución del Valor Agregado, actividades primarias por subregión del año "&amp; V2&amp;IF(OR(V2=2021,V2=2020)," provisional ",IF(V2=2022," preliminar ",""))</f>
        <v xml:space="preserve">Distribución del Valor Agregado, actividades primarias por subregión del año 2022 preliminar </v>
      </c>
      <c r="Y1" s="146" t="str">
        <f>"Distribución del Valor Agregado, actividades secundarias por subregión del año "&amp;V2&amp;IF(OR(V2=2021,V2=2020)," provisional ",IF(V2=2022," preliminar ",""))</f>
        <v xml:space="preserve">Distribución del Valor Agregado, actividades secundarias por subregión del año 2022 preliminar </v>
      </c>
      <c r="Z1" s="146" t="str">
        <f>"Distribución del Valor Agregado, actividades terciarias por subregión del año "&amp; V2</f>
        <v>Distribución del Valor Agregado, actividades terciarias por subregión del año 2022</v>
      </c>
      <c r="AA1" s="146" t="str">
        <f>"Distribución por subregión del Valor Agregado por actividades primarias, secundarias y terciarias por subregión del año "&amp;V2&amp;IF(OR(V2=2021,V2=2020)," provisional ",IF(V2=2022," preliminar ",""))</f>
        <v xml:space="preserve">Distribución por subregión del Valor Agregado por actividades primarias, secundarias y terciarias por subregión del año 2022 preliminar </v>
      </c>
      <c r="AB1" s="146"/>
    </row>
    <row r="2" spans="1:28" ht="58.25" customHeight="1" thickBot="1" x14ac:dyDescent="0.25">
      <c r="A2" s="437" t="str">
        <f>"Valor Agregado por grandes ramas de actividad, sector Económico y PIB para los 9 subregiones de Antioquia año: "&amp;V2&amp;IF(OR(V2=2021,V2=2020)," provisional ",IF(V2=2022," preliminar ",""))&amp;"
Cifras a precios corrientes ,  Miles de  millones de pesos"</f>
        <v>Valor Agregado por grandes ramas de actividad, sector Económico y PIB para los 9 subregiones de Antioquia año: 2022 preliminar 
Cifras a precios corrientes ,  Miles de  millones de pesos</v>
      </c>
      <c r="B2" s="437"/>
      <c r="C2" s="437"/>
      <c r="D2" s="437"/>
      <c r="E2" s="437"/>
      <c r="F2" s="437"/>
      <c r="G2" s="437"/>
      <c r="H2" s="437"/>
      <c r="I2" s="437"/>
      <c r="J2" s="437"/>
      <c r="K2" s="437"/>
      <c r="L2" s="437"/>
      <c r="M2" s="437"/>
      <c r="N2" s="437"/>
      <c r="O2" s="437"/>
      <c r="P2" s="437"/>
      <c r="Q2" s="437"/>
      <c r="R2" s="437"/>
      <c r="S2" s="437"/>
      <c r="T2" s="437"/>
      <c r="U2" s="437"/>
      <c r="V2" s="85">
        <v>2022</v>
      </c>
    </row>
    <row r="3" spans="1:28" ht="16" thickBot="1" x14ac:dyDescent="0.25"/>
    <row r="4" spans="1:28" ht="271" thickBot="1" x14ac:dyDescent="0.25">
      <c r="A4" s="41" t="s">
        <v>426</v>
      </c>
      <c r="B4" s="42" t="s">
        <v>60</v>
      </c>
      <c r="C4" s="1" t="s">
        <v>63</v>
      </c>
      <c r="D4" s="1" t="s">
        <v>64</v>
      </c>
      <c r="E4" s="1" t="s">
        <v>65</v>
      </c>
      <c r="F4" s="1" t="s">
        <v>66</v>
      </c>
      <c r="G4" s="1" t="s">
        <v>67</v>
      </c>
      <c r="H4" s="1" t="s">
        <v>68</v>
      </c>
      <c r="I4" s="1" t="s">
        <v>69</v>
      </c>
      <c r="J4" s="1" t="s">
        <v>70</v>
      </c>
      <c r="K4" s="1" t="s">
        <v>71</v>
      </c>
      <c r="L4" s="1" t="s">
        <v>72</v>
      </c>
      <c r="M4" s="1" t="s">
        <v>73</v>
      </c>
      <c r="N4" s="158" t="s">
        <v>74</v>
      </c>
      <c r="O4" s="166" t="s">
        <v>75</v>
      </c>
      <c r="P4" s="44" t="s">
        <v>76</v>
      </c>
      <c r="Q4" s="48" t="s">
        <v>77</v>
      </c>
      <c r="R4" s="162" t="s">
        <v>78</v>
      </c>
      <c r="S4" s="1" t="s">
        <v>79</v>
      </c>
      <c r="T4" s="48" t="s">
        <v>80</v>
      </c>
    </row>
    <row r="5" spans="1:28" x14ac:dyDescent="0.2">
      <c r="A5" s="126" t="s">
        <v>90</v>
      </c>
      <c r="B5" s="124" t="s">
        <v>94</v>
      </c>
      <c r="C5" s="109">
        <f>SUMIFS('PIB-Mpal 2015-2022 Corrient '!H$5:H$1012,'PIB-Mpal 2015-2022 Corrient '!$C$5:$C$1012,$A5,'PIB-Mpal 2015-2022 Corrient '!$A$5:$A$1012,$V$2)</f>
        <v>582.23970431983298</v>
      </c>
      <c r="D5" s="109">
        <f>SUMIFS('PIB-Mpal 2015-2022 Corrient '!I$5:I$1012,'PIB-Mpal 2015-2022 Corrient '!$C$5:$C$1012,$A5,'PIB-Mpal 2015-2022 Corrient '!$A$5:$A$1012,$V$2)</f>
        <v>440.05301525385357</v>
      </c>
      <c r="E5" s="109">
        <f>SUMIFS('PIB-Mpal 2015-2022 Corrient '!K$5:K$1012,'PIB-Mpal 2015-2022 Corrient '!$C$5:$C$1012,$A5,'PIB-Mpal 2015-2022 Corrient '!$A$5:$A$1012,$V$2)</f>
        <v>24934.374817400683</v>
      </c>
      <c r="F5" s="109">
        <f>SUMIFS('PIB-Mpal 2015-2022 Corrient '!L$5:L$1012,'PIB-Mpal 2015-2022 Corrient '!$C$5:$C$1012,$A5,'PIB-Mpal 2015-2022 Corrient '!$A$5:$A$1012,$V$2)</f>
        <v>5612.6582723588663</v>
      </c>
      <c r="G5" s="109">
        <f>SUMIFS('PIB-Mpal 2015-2022 Corrient '!N$5:N$1012,'PIB-Mpal 2015-2022 Corrient '!$C$5:$C$1012,$A5,'PIB-Mpal 2015-2022 Corrient '!$A$5:$A$1012,$V$2)</f>
        <v>7205.0236411680407</v>
      </c>
      <c r="H5" s="109">
        <f>SUMIFS('PIB-Mpal 2015-2022 Corrient '!O$5:O$1012,'PIB-Mpal 2015-2022 Corrient '!$C$5:$C$1012,$A5,'PIB-Mpal 2015-2022 Corrient '!$A$5:$A$1012,$V$2)</f>
        <v>27941.479627055109</v>
      </c>
      <c r="I5" s="109">
        <f>SUMIFS('PIB-Mpal 2015-2022 Corrient '!P$5:P$1012,'PIB-Mpal 2015-2022 Corrient '!$C$5:$C$1012,$A5,'PIB-Mpal 2015-2022 Corrient '!$A$5:$A$1012,$V$2)</f>
        <v>3758.1531534726905</v>
      </c>
      <c r="J5" s="109">
        <f>SUMIFS('PIB-Mpal 2015-2022 Corrient '!Q$5:Q$1012,'PIB-Mpal 2015-2022 Corrient '!$C$5:$C$1012,$A5,'PIB-Mpal 2015-2022 Corrient '!$A$5:$A$1012,$V$2)</f>
        <v>8315.3874565485639</v>
      </c>
      <c r="K5" s="109">
        <f>SUMIFS('PIB-Mpal 2015-2022 Corrient '!R$5:R$1012,'PIB-Mpal 2015-2022 Corrient '!$C$5:$C$1012,$A5,'PIB-Mpal 2015-2022 Corrient '!$A$5:$A$1012,$V$2)</f>
        <v>11779.221959932809</v>
      </c>
      <c r="L5" s="109">
        <f>SUMIFS('PIB-Mpal 2015-2022 Corrient '!S$5:S$1012,'PIB-Mpal 2015-2022 Corrient '!$C$5:$C$1012,$A5,'PIB-Mpal 2015-2022 Corrient '!$A$5:$A$1012,$V$2)</f>
        <v>12658.476130709132</v>
      </c>
      <c r="M5" s="109">
        <f>SUMIFS('PIB-Mpal 2015-2022 Corrient '!T$5:T$1012,'PIB-Mpal 2015-2022 Corrient '!$C$5:$C$1012,$A5,'PIB-Mpal 2015-2022 Corrient '!$A$5:$A$1012,$V$2)</f>
        <v>15176.546295193928</v>
      </c>
      <c r="N5" s="182">
        <f>SUMIFS('PIB-Mpal 2015-2022 Corrient '!U$5:U$1012,'PIB-Mpal 2015-2022 Corrient '!$C$5:$C$1012,$A5,'PIB-Mpal 2015-2022 Corrient '!$A$5:$A$1012,$V$2)</f>
        <v>5193.7091700567225</v>
      </c>
      <c r="O5" s="217">
        <f>SUMIFS('PIB-Mpal 2015-2022 Corrient '!J$5:J$1012,'PIB-Mpal 2015-2022 Corrient '!$C$5:$C$1012,$A5,'PIB-Mpal 2015-2022 Corrient '!$A$5:$A$1012,$V$2)</f>
        <v>1022.2927195736863</v>
      </c>
      <c r="P5" s="99">
        <f>SUMIFS('PIB-Mpal 2015-2022 Corrient '!M$5:M$1012,'PIB-Mpal 2015-2022 Corrient '!$C$5:$C$1012,$A5,'PIB-Mpal 2015-2022 Corrient '!$A$5:$A$1012,$V$2)</f>
        <v>30547.033089759552</v>
      </c>
      <c r="Q5" s="110">
        <f>SUMIFS('PIB-Mpal 2015-2022 Corrient '!V$5:V$1012,'PIB-Mpal 2015-2022 Corrient '!$C$5:$C$1012,$A5,'PIB-Mpal 2015-2022 Corrient '!$A$5:$A$1012,$V$2)</f>
        <v>92027.997434136996</v>
      </c>
      <c r="R5" s="187">
        <f>SUMIFS('PIB-Mpal 2015-2022 Corrient '!W$5:W$1012,'PIB-Mpal 2015-2022 Corrient '!$C$5:$C$1012,$A5,'PIB-Mpal 2015-2022 Corrient '!$A$5:$A$1012,$V$2)</f>
        <v>123597.32324347021</v>
      </c>
      <c r="S5" s="109">
        <f>SUMIFS('PIB-Mpal 2015-2022 Corrient '!X$5:X$1012,'PIB-Mpal 2015-2022 Corrient '!$C$5:$C$1012,$A5,'PIB-Mpal 2015-2022 Corrient '!$A$5:$A$1012,$V$2)</f>
        <v>13844.885399363357</v>
      </c>
      <c r="T5" s="110">
        <f>SUMIFS('PIB-Mpal 2015-2022 Corrient '!Y$5:Y$1012,'PIB-Mpal 2015-2022 Corrient '!$C$5:$C$1012,$A5,'PIB-Mpal 2015-2022 Corrient '!$A$5:$A$1012,$V$2)</f>
        <v>137442.20864283355</v>
      </c>
    </row>
    <row r="6" spans="1:28" x14ac:dyDescent="0.2">
      <c r="A6" s="127" t="s">
        <v>122</v>
      </c>
      <c r="B6" s="125" t="s">
        <v>126</v>
      </c>
      <c r="C6" s="51">
        <f>SUMIFS('PIB-Mpal 2015-2022 Corrient '!H$5:H$1012,'PIB-Mpal 2015-2022 Corrient '!$C$5:$C$1012,$A6,'PIB-Mpal 2015-2022 Corrient '!$A$5:$A$1012,$V$2)</f>
        <v>1853.9902668838247</v>
      </c>
      <c r="D6" s="51">
        <f>SUMIFS('PIB-Mpal 2015-2022 Corrient '!I$5:I$1012,'PIB-Mpal 2015-2022 Corrient '!$C$5:$C$1012,$A6,'PIB-Mpal 2015-2022 Corrient '!$A$5:$A$1012,$V$2)</f>
        <v>1097.7923623545078</v>
      </c>
      <c r="E6" s="51">
        <f>SUMIFS('PIB-Mpal 2015-2022 Corrient '!K$5:K$1012,'PIB-Mpal 2015-2022 Corrient '!$C$5:$C$1012,$A6,'PIB-Mpal 2015-2022 Corrient '!$A$5:$A$1012,$V$2)</f>
        <v>87.005049393261231</v>
      </c>
      <c r="F6" s="51">
        <f>SUMIFS('PIB-Mpal 2015-2022 Corrient '!L$5:L$1012,'PIB-Mpal 2015-2022 Corrient '!$C$5:$C$1012,$A6,'PIB-Mpal 2015-2022 Corrient '!$A$5:$A$1012,$V$2)</f>
        <v>128.06062902548695</v>
      </c>
      <c r="G6" s="51">
        <f>SUMIFS('PIB-Mpal 2015-2022 Corrient '!N$5:N$1012,'PIB-Mpal 2015-2022 Corrient '!$C$5:$C$1012,$A6,'PIB-Mpal 2015-2022 Corrient '!$A$5:$A$1012,$V$2)</f>
        <v>237.09110283358919</v>
      </c>
      <c r="H6" s="51">
        <f>SUMIFS('PIB-Mpal 2015-2022 Corrient '!O$5:O$1012,'PIB-Mpal 2015-2022 Corrient '!$C$5:$C$1012,$A6,'PIB-Mpal 2015-2022 Corrient '!$A$5:$A$1012,$V$2)</f>
        <v>1060.7076661971814</v>
      </c>
      <c r="I6" s="51">
        <f>SUMIFS('PIB-Mpal 2015-2022 Corrient '!P$5:P$1012,'PIB-Mpal 2015-2022 Corrient '!$C$5:$C$1012,$A6,'PIB-Mpal 2015-2022 Corrient '!$A$5:$A$1012,$V$2)</f>
        <v>110.02453106984055</v>
      </c>
      <c r="J6" s="51">
        <f>SUMIFS('PIB-Mpal 2015-2022 Corrient '!Q$5:Q$1012,'PIB-Mpal 2015-2022 Corrient '!$C$5:$C$1012,$A6,'PIB-Mpal 2015-2022 Corrient '!$A$5:$A$1012,$V$2)</f>
        <v>50.503348444474689</v>
      </c>
      <c r="K6" s="51">
        <f>SUMIFS('PIB-Mpal 2015-2022 Corrient '!R$5:R$1012,'PIB-Mpal 2015-2022 Corrient '!$C$5:$C$1012,$A6,'PIB-Mpal 2015-2022 Corrient '!$A$5:$A$1012,$V$2)</f>
        <v>222.470500120086</v>
      </c>
      <c r="L6" s="51">
        <f>SUMIFS('PIB-Mpal 2015-2022 Corrient '!S$5:S$1012,'PIB-Mpal 2015-2022 Corrient '!$C$5:$C$1012,$A6,'PIB-Mpal 2015-2022 Corrient '!$A$5:$A$1012,$V$2)</f>
        <v>370.54695256568101</v>
      </c>
      <c r="M6" s="51">
        <f>SUMIFS('PIB-Mpal 2015-2022 Corrient '!T$5:T$1012,'PIB-Mpal 2015-2022 Corrient '!$C$5:$C$1012,$A6,'PIB-Mpal 2015-2022 Corrient '!$A$5:$A$1012,$V$2)</f>
        <v>737.74764783802084</v>
      </c>
      <c r="N6" s="150">
        <f>SUMIFS('PIB-Mpal 2015-2022 Corrient '!U$5:U$1012,'PIB-Mpal 2015-2022 Corrient '!$C$5:$C$1012,$A6,'PIB-Mpal 2015-2022 Corrient '!$A$5:$A$1012,$V$2)</f>
        <v>158.24897262685928</v>
      </c>
      <c r="O6" s="156">
        <f>SUMIFS('PIB-Mpal 2015-2022 Corrient '!J$5:J$1012,'PIB-Mpal 2015-2022 Corrient '!$C$5:$C$1012,$A6,'PIB-Mpal 2015-2022 Corrient '!$A$5:$A$1012,$V$2)</f>
        <v>2951.7826292383324</v>
      </c>
      <c r="P6" s="52">
        <f>SUMIFS('PIB-Mpal 2015-2022 Corrient '!M$5:M$1012,'PIB-Mpal 2015-2022 Corrient '!$C$5:$C$1012,$A6,'PIB-Mpal 2015-2022 Corrient '!$A$5:$A$1012,$V$2)</f>
        <v>215.06567841874818</v>
      </c>
      <c r="Q6" s="53">
        <f>SUMIFS('PIB-Mpal 2015-2022 Corrient '!V$5:V$1012,'PIB-Mpal 2015-2022 Corrient '!$C$5:$C$1012,$A6,'PIB-Mpal 2015-2022 Corrient '!$A$5:$A$1012,$V$2)</f>
        <v>2947.340721695733</v>
      </c>
      <c r="R6" s="153">
        <f>SUMIFS('PIB-Mpal 2015-2022 Corrient '!W$5:W$1012,'PIB-Mpal 2015-2022 Corrient '!$C$5:$C$1012,$A6,'PIB-Mpal 2015-2022 Corrient '!$A$5:$A$1012,$V$2)</f>
        <v>6114.189029352814</v>
      </c>
      <c r="S6" s="51">
        <f>SUMIFS('PIB-Mpal 2015-2022 Corrient '!X$5:X$1012,'PIB-Mpal 2015-2022 Corrient '!$C$5:$C$1012,$A6,'PIB-Mpal 2015-2022 Corrient '!$A$5:$A$1012,$V$2)</f>
        <v>684.88737619895471</v>
      </c>
      <c r="T6" s="53">
        <f>SUMIFS('PIB-Mpal 2015-2022 Corrient '!Y$5:Y$1012,'PIB-Mpal 2015-2022 Corrient '!$C$5:$C$1012,$A6,'PIB-Mpal 2015-2022 Corrient '!$A$5:$A$1012,$V$2)</f>
        <v>6799.0764055517684</v>
      </c>
    </row>
    <row r="7" spans="1:28" x14ac:dyDescent="0.2">
      <c r="A7" s="127" t="s">
        <v>141</v>
      </c>
      <c r="B7" s="125" t="s">
        <v>144</v>
      </c>
      <c r="C7" s="51">
        <f>SUMIFS('PIB-Mpal 2015-2022 Corrient '!H$5:H$1012,'PIB-Mpal 2015-2022 Corrient '!$C$5:$C$1012,$A7,'PIB-Mpal 2015-2022 Corrient '!$A$5:$A$1012,$V$2)</f>
        <v>129.59256269000051</v>
      </c>
      <c r="D7" s="51">
        <f>SUMIFS('PIB-Mpal 2015-2022 Corrient '!I$5:I$1012,'PIB-Mpal 2015-2022 Corrient '!$C$5:$C$1012,$A7,'PIB-Mpal 2015-2022 Corrient '!$A$5:$A$1012,$V$2)</f>
        <v>1315.2184961875396</v>
      </c>
      <c r="E7" s="51">
        <f>SUMIFS('PIB-Mpal 2015-2022 Corrient '!K$5:K$1012,'PIB-Mpal 2015-2022 Corrient '!$C$5:$C$1012,$A7,'PIB-Mpal 2015-2022 Corrient '!$A$5:$A$1012,$V$2)</f>
        <v>161.76280764580284</v>
      </c>
      <c r="F7" s="51">
        <f>SUMIFS('PIB-Mpal 2015-2022 Corrient '!L$5:L$1012,'PIB-Mpal 2015-2022 Corrient '!$C$5:$C$1012,$A7,'PIB-Mpal 2015-2022 Corrient '!$A$5:$A$1012,$V$2)</f>
        <v>42.756472914018303</v>
      </c>
      <c r="G7" s="51">
        <f>SUMIFS('PIB-Mpal 2015-2022 Corrient '!N$5:N$1012,'PIB-Mpal 2015-2022 Corrient '!$C$5:$C$1012,$A7,'PIB-Mpal 2015-2022 Corrient '!$A$5:$A$1012,$V$2)</f>
        <v>328.5623927145075</v>
      </c>
      <c r="H7" s="51">
        <f>SUMIFS('PIB-Mpal 2015-2022 Corrient '!O$5:O$1012,'PIB-Mpal 2015-2022 Corrient '!$C$5:$C$1012,$A7,'PIB-Mpal 2015-2022 Corrient '!$A$5:$A$1012,$V$2)</f>
        <v>416.55570366808934</v>
      </c>
      <c r="I7" s="51">
        <f>SUMIFS('PIB-Mpal 2015-2022 Corrient '!P$5:P$1012,'PIB-Mpal 2015-2022 Corrient '!$C$5:$C$1012,$A7,'PIB-Mpal 2015-2022 Corrient '!$A$5:$A$1012,$V$2)</f>
        <v>49.483467425234217</v>
      </c>
      <c r="J7" s="51">
        <f>SUMIFS('PIB-Mpal 2015-2022 Corrient '!Q$5:Q$1012,'PIB-Mpal 2015-2022 Corrient '!$C$5:$C$1012,$A7,'PIB-Mpal 2015-2022 Corrient '!$A$5:$A$1012,$V$2)</f>
        <v>29.255813626075888</v>
      </c>
      <c r="K7" s="51">
        <f>SUMIFS('PIB-Mpal 2015-2022 Corrient '!R$5:R$1012,'PIB-Mpal 2015-2022 Corrient '!$C$5:$C$1012,$A7,'PIB-Mpal 2015-2022 Corrient '!$A$5:$A$1012,$V$2)</f>
        <v>131.79463548558209</v>
      </c>
      <c r="L7" s="51">
        <f>SUMIFS('PIB-Mpal 2015-2022 Corrient '!S$5:S$1012,'PIB-Mpal 2015-2022 Corrient '!$C$5:$C$1012,$A7,'PIB-Mpal 2015-2022 Corrient '!$A$5:$A$1012,$V$2)</f>
        <v>465.37910976206609</v>
      </c>
      <c r="M7" s="51">
        <f>SUMIFS('PIB-Mpal 2015-2022 Corrient '!T$5:T$1012,'PIB-Mpal 2015-2022 Corrient '!$C$5:$C$1012,$A7,'PIB-Mpal 2015-2022 Corrient '!$A$5:$A$1012,$V$2)</f>
        <v>221.28350372231893</v>
      </c>
      <c r="N7" s="150">
        <f>SUMIFS('PIB-Mpal 2015-2022 Corrient '!U$5:U$1012,'PIB-Mpal 2015-2022 Corrient '!$C$5:$C$1012,$A7,'PIB-Mpal 2015-2022 Corrient '!$A$5:$A$1012,$V$2)</f>
        <v>82.956949652362596</v>
      </c>
      <c r="O7" s="156">
        <f>SUMIFS('PIB-Mpal 2015-2022 Corrient '!J$5:J$1012,'PIB-Mpal 2015-2022 Corrient '!$C$5:$C$1012,$A7,'PIB-Mpal 2015-2022 Corrient '!$A$5:$A$1012,$V$2)</f>
        <v>1444.8110588775401</v>
      </c>
      <c r="P7" s="52">
        <f>SUMIFS('PIB-Mpal 2015-2022 Corrient '!M$5:M$1012,'PIB-Mpal 2015-2022 Corrient '!$C$5:$C$1012,$A7,'PIB-Mpal 2015-2022 Corrient '!$A$5:$A$1012,$V$2)</f>
        <v>204.51928055982111</v>
      </c>
      <c r="Q7" s="53">
        <f>SUMIFS('PIB-Mpal 2015-2022 Corrient '!V$5:V$1012,'PIB-Mpal 2015-2022 Corrient '!$C$5:$C$1012,$A7,'PIB-Mpal 2015-2022 Corrient '!$A$5:$A$1012,$V$2)</f>
        <v>1725.2715760562367</v>
      </c>
      <c r="R7" s="153">
        <f>SUMIFS('PIB-Mpal 2015-2022 Corrient '!W$5:W$1012,'PIB-Mpal 2015-2022 Corrient '!$C$5:$C$1012,$A7,'PIB-Mpal 2015-2022 Corrient '!$A$5:$A$1012,$V$2)</f>
        <v>3374.6019154935975</v>
      </c>
      <c r="S7" s="51">
        <f>SUMIFS('PIB-Mpal 2015-2022 Corrient '!X$5:X$1012,'PIB-Mpal 2015-2022 Corrient '!$C$5:$C$1012,$A7,'PIB-Mpal 2015-2022 Corrient '!$A$5:$A$1012,$V$2)</f>
        <v>378.00961673293557</v>
      </c>
      <c r="T7" s="53">
        <f>SUMIFS('PIB-Mpal 2015-2022 Corrient '!Y$5:Y$1012,'PIB-Mpal 2015-2022 Corrient '!$C$5:$C$1012,$A7,'PIB-Mpal 2015-2022 Corrient '!$A$5:$A$1012,$V$2)</f>
        <v>3752.6115322265332</v>
      </c>
    </row>
    <row r="8" spans="1:28" x14ac:dyDescent="0.2">
      <c r="A8" s="127" t="s">
        <v>157</v>
      </c>
      <c r="B8" s="125" t="s">
        <v>160</v>
      </c>
      <c r="C8" s="51">
        <f>SUMIFS('PIB-Mpal 2015-2022 Corrient '!H$5:H$1012,'PIB-Mpal 2015-2022 Corrient '!$C$5:$C$1012,$A8,'PIB-Mpal 2015-2022 Corrient '!$A$5:$A$1012,$V$2)</f>
        <v>2124.1259370436487</v>
      </c>
      <c r="D8" s="51">
        <f>SUMIFS('PIB-Mpal 2015-2022 Corrient '!I$5:I$1012,'PIB-Mpal 2015-2022 Corrient '!$C$5:$C$1012,$A8,'PIB-Mpal 2015-2022 Corrient '!$A$5:$A$1012,$V$2)</f>
        <v>1200.8013076048408</v>
      </c>
      <c r="E8" s="51">
        <f>SUMIFS('PIB-Mpal 2015-2022 Corrient '!K$5:K$1012,'PIB-Mpal 2015-2022 Corrient '!$C$5:$C$1012,$A8,'PIB-Mpal 2015-2022 Corrient '!$A$5:$A$1012,$V$2)</f>
        <v>143.56504900336159</v>
      </c>
      <c r="F8" s="51">
        <f>SUMIFS('PIB-Mpal 2015-2022 Corrient '!L$5:L$1012,'PIB-Mpal 2015-2022 Corrient '!$C$5:$C$1012,$A8,'PIB-Mpal 2015-2022 Corrient '!$A$5:$A$1012,$V$2)</f>
        <v>104.23300303576619</v>
      </c>
      <c r="G8" s="51">
        <f>SUMIFS('PIB-Mpal 2015-2022 Corrient '!N$5:N$1012,'PIB-Mpal 2015-2022 Corrient '!$C$5:$C$1012,$A8,'PIB-Mpal 2015-2022 Corrient '!$A$5:$A$1012,$V$2)</f>
        <v>294.67770166138223</v>
      </c>
      <c r="H8" s="51">
        <f>SUMIFS('PIB-Mpal 2015-2022 Corrient '!O$5:O$1012,'PIB-Mpal 2015-2022 Corrient '!$C$5:$C$1012,$A8,'PIB-Mpal 2015-2022 Corrient '!$A$5:$A$1012,$V$2)</f>
        <v>818.41858553932479</v>
      </c>
      <c r="I8" s="51">
        <f>SUMIFS('PIB-Mpal 2015-2022 Corrient '!P$5:P$1012,'PIB-Mpal 2015-2022 Corrient '!$C$5:$C$1012,$A8,'PIB-Mpal 2015-2022 Corrient '!$A$5:$A$1012,$V$2)</f>
        <v>107.81053556028068</v>
      </c>
      <c r="J8" s="51">
        <f>SUMIFS('PIB-Mpal 2015-2022 Corrient '!Q$5:Q$1012,'PIB-Mpal 2015-2022 Corrient '!$C$5:$C$1012,$A8,'PIB-Mpal 2015-2022 Corrient '!$A$5:$A$1012,$V$2)</f>
        <v>46.146065138636125</v>
      </c>
      <c r="K8" s="51">
        <f>SUMIFS('PIB-Mpal 2015-2022 Corrient '!R$5:R$1012,'PIB-Mpal 2015-2022 Corrient '!$C$5:$C$1012,$A8,'PIB-Mpal 2015-2022 Corrient '!$A$5:$A$1012,$V$2)</f>
        <v>340.55632859511348</v>
      </c>
      <c r="L8" s="51">
        <f>SUMIFS('PIB-Mpal 2015-2022 Corrient '!S$5:S$1012,'PIB-Mpal 2015-2022 Corrient '!$C$5:$C$1012,$A8,'PIB-Mpal 2015-2022 Corrient '!$A$5:$A$1012,$V$2)</f>
        <v>408.26092498854615</v>
      </c>
      <c r="M8" s="51">
        <f>SUMIFS('PIB-Mpal 2015-2022 Corrient '!T$5:T$1012,'PIB-Mpal 2015-2022 Corrient '!$C$5:$C$1012,$A8,'PIB-Mpal 2015-2022 Corrient '!$A$5:$A$1012,$V$2)</f>
        <v>595.05580345232079</v>
      </c>
      <c r="N8" s="150">
        <f>SUMIFS('PIB-Mpal 2015-2022 Corrient '!U$5:U$1012,'PIB-Mpal 2015-2022 Corrient '!$C$5:$C$1012,$A8,'PIB-Mpal 2015-2022 Corrient '!$A$5:$A$1012,$V$2)</f>
        <v>208.41055354631982</v>
      </c>
      <c r="O8" s="156">
        <f>SUMIFS('PIB-Mpal 2015-2022 Corrient '!J$5:J$1012,'PIB-Mpal 2015-2022 Corrient '!$C$5:$C$1012,$A8,'PIB-Mpal 2015-2022 Corrient '!$A$5:$A$1012,$V$2)</f>
        <v>3324.9272446484902</v>
      </c>
      <c r="P8" s="52">
        <f>SUMIFS('PIB-Mpal 2015-2022 Corrient '!M$5:M$1012,'PIB-Mpal 2015-2022 Corrient '!$C$5:$C$1012,$A8,'PIB-Mpal 2015-2022 Corrient '!$A$5:$A$1012,$V$2)</f>
        <v>247.79805203912781</v>
      </c>
      <c r="Q8" s="53">
        <f>SUMIFS('PIB-Mpal 2015-2022 Corrient '!V$5:V$1012,'PIB-Mpal 2015-2022 Corrient '!$C$5:$C$1012,$A8,'PIB-Mpal 2015-2022 Corrient '!$A$5:$A$1012,$V$2)</f>
        <v>2819.3364984819245</v>
      </c>
      <c r="R8" s="153">
        <f>SUMIFS('PIB-Mpal 2015-2022 Corrient '!W$5:W$1012,'PIB-Mpal 2015-2022 Corrient '!$C$5:$C$1012,$A8,'PIB-Mpal 2015-2022 Corrient '!$A$5:$A$1012,$V$2)</f>
        <v>6392.0617951695413</v>
      </c>
      <c r="S8" s="51">
        <f>SUMIFS('PIB-Mpal 2015-2022 Corrient '!X$5:X$1012,'PIB-Mpal 2015-2022 Corrient '!$C$5:$C$1012,$A8,'PIB-Mpal 2015-2022 Corrient '!$A$5:$A$1012,$V$2)</f>
        <v>716.01358910858562</v>
      </c>
      <c r="T8" s="53">
        <f>SUMIFS('PIB-Mpal 2015-2022 Corrient '!Y$5:Y$1012,'PIB-Mpal 2015-2022 Corrient '!$C$5:$C$1012,$A8,'PIB-Mpal 2015-2022 Corrient '!$A$5:$A$1012,$V$2)</f>
        <v>7108.0753842781278</v>
      </c>
    </row>
    <row r="9" spans="1:28" x14ac:dyDescent="0.2">
      <c r="A9" s="127" t="s">
        <v>181</v>
      </c>
      <c r="B9" s="125" t="s">
        <v>184</v>
      </c>
      <c r="C9" s="51">
        <f>SUMIFS('PIB-Mpal 2015-2022 Corrient '!H$5:H$1012,'PIB-Mpal 2015-2022 Corrient '!$C$5:$C$1012,$A9,'PIB-Mpal 2015-2022 Corrient '!$A$5:$A$1012,$V$2)</f>
        <v>1241.0245783757259</v>
      </c>
      <c r="D9" s="51">
        <f>SUMIFS('PIB-Mpal 2015-2022 Corrient '!I$5:I$1012,'PIB-Mpal 2015-2022 Corrient '!$C$5:$C$1012,$A9,'PIB-Mpal 2015-2022 Corrient '!$A$5:$A$1012,$V$2)</f>
        <v>442.95466424251225</v>
      </c>
      <c r="E9" s="51">
        <f>SUMIFS('PIB-Mpal 2015-2022 Corrient '!K$5:K$1012,'PIB-Mpal 2015-2022 Corrient '!$C$5:$C$1012,$A9,'PIB-Mpal 2015-2022 Corrient '!$A$5:$A$1012,$V$2)</f>
        <v>1467.3258001904355</v>
      </c>
      <c r="F9" s="51">
        <f>SUMIFS('PIB-Mpal 2015-2022 Corrient '!L$5:L$1012,'PIB-Mpal 2015-2022 Corrient '!$C$5:$C$1012,$A9,'PIB-Mpal 2015-2022 Corrient '!$A$5:$A$1012,$V$2)</f>
        <v>304.60999130252509</v>
      </c>
      <c r="G9" s="51">
        <f>SUMIFS('PIB-Mpal 2015-2022 Corrient '!N$5:N$1012,'PIB-Mpal 2015-2022 Corrient '!$C$5:$C$1012,$A9,'PIB-Mpal 2015-2022 Corrient '!$A$5:$A$1012,$V$2)</f>
        <v>404.76743718034606</v>
      </c>
      <c r="H9" s="51">
        <f>SUMIFS('PIB-Mpal 2015-2022 Corrient '!O$5:O$1012,'PIB-Mpal 2015-2022 Corrient '!$C$5:$C$1012,$A9,'PIB-Mpal 2015-2022 Corrient '!$A$5:$A$1012,$V$2)</f>
        <v>918.02735232012105</v>
      </c>
      <c r="I9" s="51">
        <f>SUMIFS('PIB-Mpal 2015-2022 Corrient '!P$5:P$1012,'PIB-Mpal 2015-2022 Corrient '!$C$5:$C$1012,$A9,'PIB-Mpal 2015-2022 Corrient '!$A$5:$A$1012,$V$2)</f>
        <v>119.12282449463163</v>
      </c>
      <c r="J9" s="51">
        <f>SUMIFS('PIB-Mpal 2015-2022 Corrient '!Q$5:Q$1012,'PIB-Mpal 2015-2022 Corrient '!$C$5:$C$1012,$A9,'PIB-Mpal 2015-2022 Corrient '!$A$5:$A$1012,$V$2)</f>
        <v>85.709265497287518</v>
      </c>
      <c r="K9" s="51">
        <f>SUMIFS('PIB-Mpal 2015-2022 Corrient '!R$5:R$1012,'PIB-Mpal 2015-2022 Corrient '!$C$5:$C$1012,$A9,'PIB-Mpal 2015-2022 Corrient '!$A$5:$A$1012,$V$2)</f>
        <v>375.18297917163449</v>
      </c>
      <c r="L9" s="51">
        <f>SUMIFS('PIB-Mpal 2015-2022 Corrient '!S$5:S$1012,'PIB-Mpal 2015-2022 Corrient '!$C$5:$C$1012,$A9,'PIB-Mpal 2015-2022 Corrient '!$A$5:$A$1012,$V$2)</f>
        <v>527.05582254153796</v>
      </c>
      <c r="M9" s="51">
        <f>SUMIFS('PIB-Mpal 2015-2022 Corrient '!T$5:T$1012,'PIB-Mpal 2015-2022 Corrient '!$C$5:$C$1012,$A9,'PIB-Mpal 2015-2022 Corrient '!$A$5:$A$1012,$V$2)</f>
        <v>762.74260241206866</v>
      </c>
      <c r="N9" s="150">
        <f>SUMIFS('PIB-Mpal 2015-2022 Corrient '!U$5:U$1012,'PIB-Mpal 2015-2022 Corrient '!$C$5:$C$1012,$A9,'PIB-Mpal 2015-2022 Corrient '!$A$5:$A$1012,$V$2)</f>
        <v>215.49734314677553</v>
      </c>
      <c r="O9" s="156">
        <f>SUMIFS('PIB-Mpal 2015-2022 Corrient '!J$5:J$1012,'PIB-Mpal 2015-2022 Corrient '!$C$5:$C$1012,$A9,'PIB-Mpal 2015-2022 Corrient '!$A$5:$A$1012,$V$2)</f>
        <v>1683.9792426182382</v>
      </c>
      <c r="P9" s="52">
        <f>SUMIFS('PIB-Mpal 2015-2022 Corrient '!M$5:M$1012,'PIB-Mpal 2015-2022 Corrient '!$C$5:$C$1012,$A9,'PIB-Mpal 2015-2022 Corrient '!$A$5:$A$1012,$V$2)</f>
        <v>1771.935791492961</v>
      </c>
      <c r="Q9" s="53">
        <f>SUMIFS('PIB-Mpal 2015-2022 Corrient '!V$5:V$1012,'PIB-Mpal 2015-2022 Corrient '!$C$5:$C$1012,$A9,'PIB-Mpal 2015-2022 Corrient '!$A$5:$A$1012,$V$2)</f>
        <v>3408.105626764404</v>
      </c>
      <c r="R9" s="153">
        <f>SUMIFS('PIB-Mpal 2015-2022 Corrient '!W$5:W$1012,'PIB-Mpal 2015-2022 Corrient '!$C$5:$C$1012,$A9,'PIB-Mpal 2015-2022 Corrient '!$A$5:$A$1012,$V$2)</f>
        <v>6864.0206608756016</v>
      </c>
      <c r="S9" s="51">
        <f>SUMIFS('PIB-Mpal 2015-2022 Corrient '!X$5:X$1012,'PIB-Mpal 2015-2022 Corrient '!$C$5:$C$1012,$A9,'PIB-Mpal 2015-2022 Corrient '!$A$5:$A$1012,$V$2)</f>
        <v>768.88056257889593</v>
      </c>
      <c r="T9" s="53">
        <f>SUMIFS('PIB-Mpal 2015-2022 Corrient '!Y$5:Y$1012,'PIB-Mpal 2015-2022 Corrient '!$C$5:$C$1012,$A9,'PIB-Mpal 2015-2022 Corrient '!$A$5:$A$1012,$V$2)</f>
        <v>7632.901223454498</v>
      </c>
    </row>
    <row r="10" spans="1:28" x14ac:dyDescent="0.2">
      <c r="A10" s="127" t="s">
        <v>218</v>
      </c>
      <c r="B10" s="125" t="s">
        <v>221</v>
      </c>
      <c r="C10" s="51">
        <f>SUMIFS('PIB-Mpal 2015-2022 Corrient '!H$5:H$1012,'PIB-Mpal 2015-2022 Corrient '!$C$5:$C$1012,$A10,'PIB-Mpal 2015-2022 Corrient '!$A$5:$A$1012,$V$2)</f>
        <v>1054.5635684772424</v>
      </c>
      <c r="D10" s="51">
        <f>SUMIFS('PIB-Mpal 2015-2022 Corrient '!I$5:I$1012,'PIB-Mpal 2015-2022 Corrient '!$C$5:$C$1012,$A10,'PIB-Mpal 2015-2022 Corrient '!$A$5:$A$1012,$V$2)</f>
        <v>1099.9213302094327</v>
      </c>
      <c r="E10" s="51">
        <f>SUMIFS('PIB-Mpal 2015-2022 Corrient '!K$5:K$1012,'PIB-Mpal 2015-2022 Corrient '!$C$5:$C$1012,$A10,'PIB-Mpal 2015-2022 Corrient '!$A$5:$A$1012,$V$2)</f>
        <v>77.482719436977447</v>
      </c>
      <c r="F10" s="51">
        <f>SUMIFS('PIB-Mpal 2015-2022 Corrient '!L$5:L$1012,'PIB-Mpal 2015-2022 Corrient '!$C$5:$C$1012,$A10,'PIB-Mpal 2015-2022 Corrient '!$A$5:$A$1012,$V$2)</f>
        <v>142.34991691468909</v>
      </c>
      <c r="G10" s="51">
        <f>SUMIFS('PIB-Mpal 2015-2022 Corrient '!N$5:N$1012,'PIB-Mpal 2015-2022 Corrient '!$C$5:$C$1012,$A10,'PIB-Mpal 2015-2022 Corrient '!$A$5:$A$1012,$V$2)</f>
        <v>277.37718746866881</v>
      </c>
      <c r="H10" s="51">
        <f>SUMIFS('PIB-Mpal 2015-2022 Corrient '!O$5:O$1012,'PIB-Mpal 2015-2022 Corrient '!$C$5:$C$1012,$A10,'PIB-Mpal 2015-2022 Corrient '!$A$5:$A$1012,$V$2)</f>
        <v>599.19026278391084</v>
      </c>
      <c r="I10" s="51">
        <f>SUMIFS('PIB-Mpal 2015-2022 Corrient '!P$5:P$1012,'PIB-Mpal 2015-2022 Corrient '!$C$5:$C$1012,$A10,'PIB-Mpal 2015-2022 Corrient '!$A$5:$A$1012,$V$2)</f>
        <v>89.935762041829321</v>
      </c>
      <c r="J10" s="51">
        <f>SUMIFS('PIB-Mpal 2015-2022 Corrient '!Q$5:Q$1012,'PIB-Mpal 2015-2022 Corrient '!$C$5:$C$1012,$A10,'PIB-Mpal 2015-2022 Corrient '!$A$5:$A$1012,$V$2)</f>
        <v>40.782171415399525</v>
      </c>
      <c r="K10" s="51">
        <f>SUMIFS('PIB-Mpal 2015-2022 Corrient '!R$5:R$1012,'PIB-Mpal 2015-2022 Corrient '!$C$5:$C$1012,$A10,'PIB-Mpal 2015-2022 Corrient '!$A$5:$A$1012,$V$2)</f>
        <v>281.66131691270198</v>
      </c>
      <c r="L10" s="51">
        <f>SUMIFS('PIB-Mpal 2015-2022 Corrient '!S$5:S$1012,'PIB-Mpal 2015-2022 Corrient '!$C$5:$C$1012,$A10,'PIB-Mpal 2015-2022 Corrient '!$A$5:$A$1012,$V$2)</f>
        <v>333.56188949883597</v>
      </c>
      <c r="M10" s="51">
        <f>SUMIFS('PIB-Mpal 2015-2022 Corrient '!T$5:T$1012,'PIB-Mpal 2015-2022 Corrient '!$C$5:$C$1012,$A10,'PIB-Mpal 2015-2022 Corrient '!$A$5:$A$1012,$V$2)</f>
        <v>564.08581661669723</v>
      </c>
      <c r="N10" s="150">
        <f>SUMIFS('PIB-Mpal 2015-2022 Corrient '!U$5:U$1012,'PIB-Mpal 2015-2022 Corrient '!$C$5:$C$1012,$A10,'PIB-Mpal 2015-2022 Corrient '!$A$5:$A$1012,$V$2)</f>
        <v>135.54762158888516</v>
      </c>
      <c r="O10" s="156">
        <f>SUMIFS('PIB-Mpal 2015-2022 Corrient '!J$5:J$1012,'PIB-Mpal 2015-2022 Corrient '!$C$5:$C$1012,$A10,'PIB-Mpal 2015-2022 Corrient '!$A$5:$A$1012,$V$2)</f>
        <v>2154.4848986866755</v>
      </c>
      <c r="P10" s="52">
        <f>SUMIFS('PIB-Mpal 2015-2022 Corrient '!M$5:M$1012,'PIB-Mpal 2015-2022 Corrient '!$C$5:$C$1012,$A10,'PIB-Mpal 2015-2022 Corrient '!$A$5:$A$1012,$V$2)</f>
        <v>219.83263635166648</v>
      </c>
      <c r="Q10" s="53">
        <f>SUMIFS('PIB-Mpal 2015-2022 Corrient '!V$5:V$1012,'PIB-Mpal 2015-2022 Corrient '!$C$5:$C$1012,$A10,'PIB-Mpal 2015-2022 Corrient '!$A$5:$A$1012,$V$2)</f>
        <v>2322.142028326929</v>
      </c>
      <c r="R10" s="153">
        <f>SUMIFS('PIB-Mpal 2015-2022 Corrient '!W$5:W$1012,'PIB-Mpal 2015-2022 Corrient '!$C$5:$C$1012,$A10,'PIB-Mpal 2015-2022 Corrient '!$A$5:$A$1012,$V$2)</f>
        <v>4696.4595633652716</v>
      </c>
      <c r="S10" s="51">
        <f>SUMIFS('PIB-Mpal 2015-2022 Corrient '!X$5:X$1012,'PIB-Mpal 2015-2022 Corrient '!$C$5:$C$1012,$A10,'PIB-Mpal 2015-2022 Corrient '!$A$5:$A$1012,$V$2)</f>
        <v>526.07890471423639</v>
      </c>
      <c r="T10" s="53">
        <f>SUMIFS('PIB-Mpal 2015-2022 Corrient '!Y$5:Y$1012,'PIB-Mpal 2015-2022 Corrient '!$C$5:$C$1012,$A10,'PIB-Mpal 2015-2022 Corrient '!$A$5:$A$1012,$V$2)</f>
        <v>5222.5384680795078</v>
      </c>
    </row>
    <row r="11" spans="1:28" x14ac:dyDescent="0.2">
      <c r="A11" s="127" t="s">
        <v>261</v>
      </c>
      <c r="B11" s="125" t="s">
        <v>264</v>
      </c>
      <c r="C11" s="51">
        <f>SUMIFS('PIB-Mpal 2015-2022 Corrient '!H$5:H$1012,'PIB-Mpal 2015-2022 Corrient '!$C$5:$C$1012,$A11,'PIB-Mpal 2015-2022 Corrient '!$A$5:$A$1012,$V$2)</f>
        <v>2171.3623294339968</v>
      </c>
      <c r="D11" s="51">
        <f>SUMIFS('PIB-Mpal 2015-2022 Corrient '!I$5:I$1012,'PIB-Mpal 2015-2022 Corrient '!$C$5:$C$1012,$A11,'PIB-Mpal 2015-2022 Corrient '!$A$5:$A$1012,$V$2)</f>
        <v>616.84184745251264</v>
      </c>
      <c r="E11" s="51">
        <f>SUMIFS('PIB-Mpal 2015-2022 Corrient '!K$5:K$1012,'PIB-Mpal 2015-2022 Corrient '!$C$5:$C$1012,$A11,'PIB-Mpal 2015-2022 Corrient '!$A$5:$A$1012,$V$2)</f>
        <v>4344.1154955274269</v>
      </c>
      <c r="F11" s="51">
        <f>SUMIFS('PIB-Mpal 2015-2022 Corrient '!L$5:L$1012,'PIB-Mpal 2015-2022 Corrient '!$C$5:$C$1012,$A11,'PIB-Mpal 2015-2022 Corrient '!$A$5:$A$1012,$V$2)</f>
        <v>829.09768153478967</v>
      </c>
      <c r="G11" s="51">
        <f>SUMIFS('PIB-Mpal 2015-2022 Corrient '!N$5:N$1012,'PIB-Mpal 2015-2022 Corrient '!$C$5:$C$1012,$A11,'PIB-Mpal 2015-2022 Corrient '!$A$5:$A$1012,$V$2)</f>
        <v>1199.288319524984</v>
      </c>
      <c r="H11" s="51">
        <f>SUMIFS('PIB-Mpal 2015-2022 Corrient '!O$5:O$1012,'PIB-Mpal 2015-2022 Corrient '!$C$5:$C$1012,$A11,'PIB-Mpal 2015-2022 Corrient '!$A$5:$A$1012,$V$2)</f>
        <v>3417.8551739708714</v>
      </c>
      <c r="I11" s="51">
        <f>SUMIFS('PIB-Mpal 2015-2022 Corrient '!P$5:P$1012,'PIB-Mpal 2015-2022 Corrient '!$C$5:$C$1012,$A11,'PIB-Mpal 2015-2022 Corrient '!$A$5:$A$1012,$V$2)</f>
        <v>452.29406983538155</v>
      </c>
      <c r="J11" s="51">
        <f>SUMIFS('PIB-Mpal 2015-2022 Corrient '!Q$5:Q$1012,'PIB-Mpal 2015-2022 Corrient '!$C$5:$C$1012,$A11,'PIB-Mpal 2015-2022 Corrient '!$A$5:$A$1012,$V$2)</f>
        <v>277.96189379532086</v>
      </c>
      <c r="K11" s="51">
        <f>SUMIFS('PIB-Mpal 2015-2022 Corrient '!R$5:R$1012,'PIB-Mpal 2015-2022 Corrient '!$C$5:$C$1012,$A11,'PIB-Mpal 2015-2022 Corrient '!$A$5:$A$1012,$V$2)</f>
        <v>1540.3741474196634</v>
      </c>
      <c r="L11" s="51">
        <f>SUMIFS('PIB-Mpal 2015-2022 Corrient '!S$5:S$1012,'PIB-Mpal 2015-2022 Corrient '!$C$5:$C$1012,$A11,'PIB-Mpal 2015-2022 Corrient '!$A$5:$A$1012,$V$2)</f>
        <v>1504.0958052522099</v>
      </c>
      <c r="M11" s="51">
        <f>SUMIFS('PIB-Mpal 2015-2022 Corrient '!T$5:T$1012,'PIB-Mpal 2015-2022 Corrient '!$C$5:$C$1012,$A11,'PIB-Mpal 2015-2022 Corrient '!$A$5:$A$1012,$V$2)</f>
        <v>1651.3861952398418</v>
      </c>
      <c r="N11" s="150">
        <f>SUMIFS('PIB-Mpal 2015-2022 Corrient '!U$5:U$1012,'PIB-Mpal 2015-2022 Corrient '!$C$5:$C$1012,$A11,'PIB-Mpal 2015-2022 Corrient '!$A$5:$A$1012,$V$2)</f>
        <v>591.71452806083755</v>
      </c>
      <c r="O11" s="156">
        <f>SUMIFS('PIB-Mpal 2015-2022 Corrient '!J$5:J$1012,'PIB-Mpal 2015-2022 Corrient '!$C$5:$C$1012,$A11,'PIB-Mpal 2015-2022 Corrient '!$A$5:$A$1012,$V$2)</f>
        <v>2788.2041768865092</v>
      </c>
      <c r="P11" s="52">
        <f>SUMIFS('PIB-Mpal 2015-2022 Corrient '!M$5:M$1012,'PIB-Mpal 2015-2022 Corrient '!$C$5:$C$1012,$A11,'PIB-Mpal 2015-2022 Corrient '!$A$5:$A$1012,$V$2)</f>
        <v>5173.2131770622163</v>
      </c>
      <c r="Q11" s="53">
        <f>SUMIFS('PIB-Mpal 2015-2022 Corrient '!V$5:V$1012,'PIB-Mpal 2015-2022 Corrient '!$C$5:$C$1012,$A11,'PIB-Mpal 2015-2022 Corrient '!$A$5:$A$1012,$V$2)</f>
        <v>10634.97013309911</v>
      </c>
      <c r="R11" s="153">
        <f>SUMIFS('PIB-Mpal 2015-2022 Corrient '!W$5:W$1012,'PIB-Mpal 2015-2022 Corrient '!$C$5:$C$1012,$A11,'PIB-Mpal 2015-2022 Corrient '!$A$5:$A$1012,$V$2)</f>
        <v>18596.387487047839</v>
      </c>
      <c r="S11" s="51">
        <f>SUMIFS('PIB-Mpal 2015-2022 Corrient '!X$5:X$1012,'PIB-Mpal 2015-2022 Corrient '!$C$5:$C$1012,$A11,'PIB-Mpal 2015-2022 Corrient '!$A$5:$A$1012,$V$2)</f>
        <v>2083.0940900974092</v>
      </c>
      <c r="T11" s="53">
        <f>SUMIFS('PIB-Mpal 2015-2022 Corrient '!Y$5:Y$1012,'PIB-Mpal 2015-2022 Corrient '!$C$5:$C$1012,$A11,'PIB-Mpal 2015-2022 Corrient '!$A$5:$A$1012,$V$2)</f>
        <v>20679.481577145245</v>
      </c>
    </row>
    <row r="12" spans="1:28" x14ac:dyDescent="0.2">
      <c r="A12" s="127" t="s">
        <v>314</v>
      </c>
      <c r="B12" s="125" t="s">
        <v>317</v>
      </c>
      <c r="C12" s="51">
        <f>SUMIFS('PIB-Mpal 2015-2022 Corrient '!H$5:H$1012,'PIB-Mpal 2015-2022 Corrient '!$C$5:$C$1012,$A12,'PIB-Mpal 2015-2022 Corrient '!$A$5:$A$1012,$V$2)</f>
        <v>3387.0190058706989</v>
      </c>
      <c r="D12" s="51">
        <f>SUMIFS('PIB-Mpal 2015-2022 Corrient '!I$5:I$1012,'PIB-Mpal 2015-2022 Corrient '!$C$5:$C$1012,$A12,'PIB-Mpal 2015-2022 Corrient '!$A$5:$A$1012,$V$2)</f>
        <v>616.99595419190882</v>
      </c>
      <c r="E12" s="51">
        <f>SUMIFS('PIB-Mpal 2015-2022 Corrient '!K$5:K$1012,'PIB-Mpal 2015-2022 Corrient '!$C$5:$C$1012,$A12,'PIB-Mpal 2015-2022 Corrient '!$A$5:$A$1012,$V$2)</f>
        <v>522.28405108442132</v>
      </c>
      <c r="F12" s="51">
        <f>SUMIFS('PIB-Mpal 2015-2022 Corrient '!L$5:L$1012,'PIB-Mpal 2015-2022 Corrient '!$C$5:$C$1012,$A12,'PIB-Mpal 2015-2022 Corrient '!$A$5:$A$1012,$V$2)</f>
        <v>529.92089028884754</v>
      </c>
      <c r="G12" s="51">
        <f>SUMIFS('PIB-Mpal 2015-2022 Corrient '!N$5:N$1012,'PIB-Mpal 2015-2022 Corrient '!$C$5:$C$1012,$A12,'PIB-Mpal 2015-2022 Corrient '!$A$5:$A$1012,$V$2)</f>
        <v>397.13359535796104</v>
      </c>
      <c r="H12" s="51">
        <f>SUMIFS('PIB-Mpal 2015-2022 Corrient '!O$5:O$1012,'PIB-Mpal 2015-2022 Corrient '!$C$5:$C$1012,$A12,'PIB-Mpal 2015-2022 Corrient '!$A$5:$A$1012,$V$2)</f>
        <v>1092.0376343093074</v>
      </c>
      <c r="I12" s="51">
        <f>SUMIFS('PIB-Mpal 2015-2022 Corrient '!P$5:P$1012,'PIB-Mpal 2015-2022 Corrient '!$C$5:$C$1012,$A12,'PIB-Mpal 2015-2022 Corrient '!$A$5:$A$1012,$V$2)</f>
        <v>179.11461097534277</v>
      </c>
      <c r="J12" s="51">
        <f>SUMIFS('PIB-Mpal 2015-2022 Corrient '!Q$5:Q$1012,'PIB-Mpal 2015-2022 Corrient '!$C$5:$C$1012,$A12,'PIB-Mpal 2015-2022 Corrient '!$A$5:$A$1012,$V$2)</f>
        <v>128.53910713423855</v>
      </c>
      <c r="K12" s="51">
        <f>SUMIFS('PIB-Mpal 2015-2022 Corrient '!R$5:R$1012,'PIB-Mpal 2015-2022 Corrient '!$C$5:$C$1012,$A12,'PIB-Mpal 2015-2022 Corrient '!$A$5:$A$1012,$V$2)</f>
        <v>550.4873074008342</v>
      </c>
      <c r="L12" s="51">
        <f>SUMIFS('PIB-Mpal 2015-2022 Corrient '!S$5:S$1012,'PIB-Mpal 2015-2022 Corrient '!$C$5:$C$1012,$A12,'PIB-Mpal 2015-2022 Corrient '!$A$5:$A$1012,$V$2)</f>
        <v>578.50325972643054</v>
      </c>
      <c r="M12" s="51">
        <f>SUMIFS('PIB-Mpal 2015-2022 Corrient '!T$5:T$1012,'PIB-Mpal 2015-2022 Corrient '!$C$5:$C$1012,$A12,'PIB-Mpal 2015-2022 Corrient '!$A$5:$A$1012,$V$2)</f>
        <v>887.84444579029037</v>
      </c>
      <c r="N12" s="150">
        <f>SUMIFS('PIB-Mpal 2015-2022 Corrient '!U$5:U$1012,'PIB-Mpal 2015-2022 Corrient '!$C$5:$C$1012,$A12,'PIB-Mpal 2015-2022 Corrient '!$A$5:$A$1012,$V$2)</f>
        <v>295.3660564072847</v>
      </c>
      <c r="O12" s="156">
        <f>SUMIFS('PIB-Mpal 2015-2022 Corrient '!J$5:J$1012,'PIB-Mpal 2015-2022 Corrient '!$C$5:$C$1012,$A12,'PIB-Mpal 2015-2022 Corrient '!$A$5:$A$1012,$V$2)</f>
        <v>4004.0149600626069</v>
      </c>
      <c r="P12" s="52">
        <f>SUMIFS('PIB-Mpal 2015-2022 Corrient '!M$5:M$1012,'PIB-Mpal 2015-2022 Corrient '!$C$5:$C$1012,$A12,'PIB-Mpal 2015-2022 Corrient '!$A$5:$A$1012,$V$2)</f>
        <v>1052.2049413732691</v>
      </c>
      <c r="Q12" s="53">
        <f>SUMIFS('PIB-Mpal 2015-2022 Corrient '!V$5:V$1012,'PIB-Mpal 2015-2022 Corrient '!$C$5:$C$1012,$A12,'PIB-Mpal 2015-2022 Corrient '!$A$5:$A$1012,$V$2)</f>
        <v>4109.0260171016898</v>
      </c>
      <c r="R12" s="153">
        <f>SUMIFS('PIB-Mpal 2015-2022 Corrient '!W$5:W$1012,'PIB-Mpal 2015-2022 Corrient '!$C$5:$C$1012,$A12,'PIB-Mpal 2015-2022 Corrient '!$A$5:$A$1012,$V$2)</f>
        <v>9165.2459185375665</v>
      </c>
      <c r="S12" s="51">
        <f>SUMIFS('PIB-Mpal 2015-2022 Corrient '!X$5:X$1012,'PIB-Mpal 2015-2022 Corrient '!$C$5:$C$1012,$A12,'PIB-Mpal 2015-2022 Corrient '!$A$5:$A$1012,$V$2)</f>
        <v>1026.6547532682036</v>
      </c>
      <c r="T12" s="53">
        <f>SUMIFS('PIB-Mpal 2015-2022 Corrient '!Y$5:Y$1012,'PIB-Mpal 2015-2022 Corrient '!$C$5:$C$1012,$A12,'PIB-Mpal 2015-2022 Corrient '!$A$5:$A$1012,$V$2)</f>
        <v>10191.90067180577</v>
      </c>
    </row>
    <row r="13" spans="1:28" ht="16" thickBot="1" x14ac:dyDescent="0.25">
      <c r="A13" s="128" t="s">
        <v>365</v>
      </c>
      <c r="B13" s="129" t="s">
        <v>368</v>
      </c>
      <c r="C13" s="96">
        <f>SUMIFS('PIB-Mpal 2015-2022 Corrient '!H$5:H$1012,'PIB-Mpal 2015-2022 Corrient '!$C$5:$C$1012,$A13,'PIB-Mpal 2015-2022 Corrient '!$A$5:$A$1012,$V$2)</f>
        <v>3532.757585807567</v>
      </c>
      <c r="D13" s="96">
        <f>SUMIFS('PIB-Mpal 2015-2022 Corrient '!I$5:I$1012,'PIB-Mpal 2015-2022 Corrient '!$C$5:$C$1012,$A13,'PIB-Mpal 2015-2022 Corrient '!$A$5:$A$1012,$V$2)</f>
        <v>1158.843121783234</v>
      </c>
      <c r="E13" s="96">
        <f>SUMIFS('PIB-Mpal 2015-2022 Corrient '!K$5:K$1012,'PIB-Mpal 2015-2022 Corrient '!$C$5:$C$1012,$A13,'PIB-Mpal 2015-2022 Corrient '!$A$5:$A$1012,$V$2)</f>
        <v>356.23125875100254</v>
      </c>
      <c r="F13" s="96">
        <f>SUMIFS('PIB-Mpal 2015-2022 Corrient '!L$5:L$1012,'PIB-Mpal 2015-2022 Corrient '!$C$5:$C$1012,$A13,'PIB-Mpal 2015-2022 Corrient '!$A$5:$A$1012,$V$2)</f>
        <v>450.9954476487581</v>
      </c>
      <c r="G13" s="96">
        <f>SUMIFS('PIB-Mpal 2015-2022 Corrient '!N$5:N$1012,'PIB-Mpal 2015-2022 Corrient '!$C$5:$C$1012,$A13,'PIB-Mpal 2015-2022 Corrient '!$A$5:$A$1012,$V$2)</f>
        <v>606.95146647945955</v>
      </c>
      <c r="H13" s="96">
        <f>SUMIFS('PIB-Mpal 2015-2022 Corrient '!O$5:O$1012,'PIB-Mpal 2015-2022 Corrient '!$C$5:$C$1012,$A13,'PIB-Mpal 2015-2022 Corrient '!$A$5:$A$1012,$V$2)</f>
        <v>2137.9868839616283</v>
      </c>
      <c r="I13" s="96">
        <f>SUMIFS('PIB-Mpal 2015-2022 Corrient '!P$5:P$1012,'PIB-Mpal 2015-2022 Corrient '!$C$5:$C$1012,$A13,'PIB-Mpal 2015-2022 Corrient '!$A$5:$A$1012,$V$2)</f>
        <v>300.59296215184548</v>
      </c>
      <c r="J13" s="96">
        <f>SUMIFS('PIB-Mpal 2015-2022 Corrient '!Q$5:Q$1012,'PIB-Mpal 2015-2022 Corrient '!$C$5:$C$1012,$A13,'PIB-Mpal 2015-2022 Corrient '!$A$5:$A$1012,$V$2)</f>
        <v>191.14998015046481</v>
      </c>
      <c r="K13" s="96">
        <f>SUMIFS('PIB-Mpal 2015-2022 Corrient '!R$5:R$1012,'PIB-Mpal 2015-2022 Corrient '!$C$5:$C$1012,$A13,'PIB-Mpal 2015-2022 Corrient '!$A$5:$A$1012,$V$2)</f>
        <v>511.85006724123974</v>
      </c>
      <c r="L13" s="96">
        <f>SUMIFS('PIB-Mpal 2015-2022 Corrient '!S$5:S$1012,'PIB-Mpal 2015-2022 Corrient '!$C$5:$C$1012,$A13,'PIB-Mpal 2015-2022 Corrient '!$A$5:$A$1012,$V$2)</f>
        <v>942.664765860736</v>
      </c>
      <c r="M13" s="96">
        <f>SUMIFS('PIB-Mpal 2015-2022 Corrient '!T$5:T$1012,'PIB-Mpal 2015-2022 Corrient '!$C$5:$C$1012,$A13,'PIB-Mpal 2015-2022 Corrient '!$A$5:$A$1012,$V$2)</f>
        <v>1760.3579707809288</v>
      </c>
      <c r="N13" s="151">
        <f>SUMIFS('PIB-Mpal 2015-2022 Corrient '!U$5:U$1012,'PIB-Mpal 2015-2022 Corrient '!$C$5:$C$1012,$A13,'PIB-Mpal 2015-2022 Corrient '!$A$5:$A$1012,$V$2)</f>
        <v>357.14166305405843</v>
      </c>
      <c r="O13" s="156">
        <f>SUMIFS('PIB-Mpal 2015-2022 Corrient '!J$5:J$1012,'PIB-Mpal 2015-2022 Corrient '!$C$5:$C$1012,$A13,'PIB-Mpal 2015-2022 Corrient '!$A$5:$A$1012,$V$2)</f>
        <v>4691.6007075908001</v>
      </c>
      <c r="P13" s="52">
        <f>SUMIFS('PIB-Mpal 2015-2022 Corrient '!M$5:M$1012,'PIB-Mpal 2015-2022 Corrient '!$C$5:$C$1012,$A13,'PIB-Mpal 2015-2022 Corrient '!$A$5:$A$1012,$V$2)</f>
        <v>807.2267063997607</v>
      </c>
      <c r="Q13" s="97">
        <f>SUMIFS('PIB-Mpal 2015-2022 Corrient '!V$5:V$1012,'PIB-Mpal 2015-2022 Corrient '!$C$5:$C$1012,$A13,'PIB-Mpal 2015-2022 Corrient '!$A$5:$A$1012,$V$2)</f>
        <v>6808.6957596803622</v>
      </c>
      <c r="R13" s="154">
        <f>SUMIFS('PIB-Mpal 2015-2022 Corrient '!W$5:W$1012,'PIB-Mpal 2015-2022 Corrient '!$C$5:$C$1012,$A13,'PIB-Mpal 2015-2022 Corrient '!$A$5:$A$1012,$V$2)</f>
        <v>12307.523173670919</v>
      </c>
      <c r="S13" s="96">
        <f>SUMIFS('PIB-Mpal 2015-2022 Corrient '!X$5:X$1012,'PIB-Mpal 2015-2022 Corrient '!$C$5:$C$1012,$A13,'PIB-Mpal 2015-2022 Corrient '!$A$5:$A$1012,$V$2)</f>
        <v>1378.6402764874192</v>
      </c>
      <c r="T13" s="97">
        <f>SUMIFS('PIB-Mpal 2015-2022 Corrient '!Y$5:Y$1012,'PIB-Mpal 2015-2022 Corrient '!$C$5:$C$1012,$A13,'PIB-Mpal 2015-2022 Corrient '!$A$5:$A$1012,$V$2)</f>
        <v>13686.163450158341</v>
      </c>
    </row>
    <row r="14" spans="1:28" ht="16" thickBot="1" x14ac:dyDescent="0.25">
      <c r="A14" s="444" t="s">
        <v>427</v>
      </c>
      <c r="B14" s="445"/>
      <c r="C14" s="130">
        <f>SUM(C5:C13)</f>
        <v>16076.675538902538</v>
      </c>
      <c r="D14" s="130">
        <f t="shared" ref="D14:T14" si="0">SUM(D5:D13)</f>
        <v>7989.4220992803421</v>
      </c>
      <c r="E14" s="130">
        <f t="shared" si="0"/>
        <v>32094.147048433373</v>
      </c>
      <c r="F14" s="130">
        <f t="shared" si="0"/>
        <v>8144.6823050237481</v>
      </c>
      <c r="G14" s="130">
        <f t="shared" si="0"/>
        <v>10950.872844388939</v>
      </c>
      <c r="H14" s="130">
        <f t="shared" si="0"/>
        <v>38402.258889805555</v>
      </c>
      <c r="I14" s="130">
        <f t="shared" si="0"/>
        <v>5166.5319170270768</v>
      </c>
      <c r="J14" s="130">
        <f t="shared" si="0"/>
        <v>9165.4351017504614</v>
      </c>
      <c r="K14" s="130">
        <f t="shared" si="0"/>
        <v>15733.599242279661</v>
      </c>
      <c r="L14" s="130">
        <f t="shared" si="0"/>
        <v>17788.544660905176</v>
      </c>
      <c r="M14" s="130">
        <f t="shared" si="0"/>
        <v>22357.050281046417</v>
      </c>
      <c r="N14" s="152">
        <f t="shared" si="0"/>
        <v>7238.592858140104</v>
      </c>
      <c r="O14" s="157">
        <f t="shared" si="0"/>
        <v>24066.09763818288</v>
      </c>
      <c r="P14" s="130">
        <f t="shared" si="0"/>
        <v>40238.829353457128</v>
      </c>
      <c r="Q14" s="131">
        <f t="shared" si="0"/>
        <v>126802.88579534338</v>
      </c>
      <c r="R14" s="155">
        <f t="shared" si="0"/>
        <v>191107.81278698338</v>
      </c>
      <c r="S14" s="130">
        <f t="shared" si="0"/>
        <v>21407.144568549997</v>
      </c>
      <c r="T14" s="131">
        <f t="shared" si="0"/>
        <v>212514.95735553338</v>
      </c>
    </row>
    <row r="17" spans="1:20" ht="21" x14ac:dyDescent="0.25">
      <c r="A17" s="436" t="s">
        <v>11</v>
      </c>
      <c r="B17" s="436"/>
      <c r="C17" s="436"/>
      <c r="D17" s="436"/>
      <c r="E17" s="436"/>
      <c r="F17" s="436"/>
      <c r="G17" s="436"/>
      <c r="H17" s="436"/>
      <c r="I17" s="436"/>
      <c r="J17" s="436"/>
      <c r="K17" s="436"/>
      <c r="L17" s="436"/>
      <c r="M17" s="436"/>
      <c r="N17" s="436"/>
      <c r="O17" s="436"/>
      <c r="P17" s="436"/>
      <c r="Q17" s="436"/>
      <c r="R17" s="436"/>
      <c r="S17" s="436"/>
      <c r="T17" s="436"/>
    </row>
    <row r="18" spans="1:20" ht="51.5" customHeight="1" x14ac:dyDescent="0.2">
      <c r="A18" s="437" t="str">
        <f>"Participación porcentual del Valor Agregado por grandes ramas de actividad, sector Económico y PIB para los 9 subregiones de Antioquia en el total Departamental año: "&amp;V2&amp;IF(OR(V2=2021,V2=2020)," provisional ",IF(V2=2022," preliminar ",""))</f>
        <v xml:space="preserve">Participación porcentual del Valor Agregado por grandes ramas de actividad, sector Económico y PIB para los 9 subregiones de Antioquia en el total Departamental año: 2022 preliminar </v>
      </c>
      <c r="B18" s="437"/>
      <c r="C18" s="437"/>
      <c r="D18" s="437"/>
      <c r="E18" s="437"/>
      <c r="F18" s="437"/>
      <c r="G18" s="437"/>
      <c r="H18" s="437"/>
      <c r="I18" s="437"/>
      <c r="J18" s="437"/>
      <c r="K18" s="437"/>
      <c r="L18" s="437"/>
      <c r="M18" s="437"/>
      <c r="N18" s="437"/>
      <c r="O18" s="437"/>
      <c r="P18" s="437"/>
      <c r="Q18" s="437"/>
      <c r="R18" s="437"/>
      <c r="S18" s="437"/>
      <c r="T18" s="437"/>
    </row>
    <row r="19" spans="1:20" ht="16" thickBot="1" x14ac:dyDescent="0.25"/>
    <row r="20" spans="1:20" ht="255" thickBot="1" x14ac:dyDescent="0.25">
      <c r="A20" s="41" t="s">
        <v>426</v>
      </c>
      <c r="B20" s="42" t="s">
        <v>60</v>
      </c>
      <c r="C20" s="1" t="s">
        <v>63</v>
      </c>
      <c r="D20" s="1" t="s">
        <v>64</v>
      </c>
      <c r="E20" s="1" t="s">
        <v>65</v>
      </c>
      <c r="F20" s="1" t="s">
        <v>66</v>
      </c>
      <c r="G20" s="1" t="s">
        <v>67</v>
      </c>
      <c r="H20" s="1" t="s">
        <v>68</v>
      </c>
      <c r="I20" s="1" t="s">
        <v>69</v>
      </c>
      <c r="J20" s="1" t="s">
        <v>70</v>
      </c>
      <c r="K20" s="1" t="s">
        <v>71</v>
      </c>
      <c r="L20" s="1" t="s">
        <v>72</v>
      </c>
      <c r="M20" s="1" t="s">
        <v>73</v>
      </c>
      <c r="N20" s="158" t="s">
        <v>74</v>
      </c>
      <c r="O20" s="166" t="s">
        <v>75</v>
      </c>
      <c r="P20" s="44" t="s">
        <v>76</v>
      </c>
      <c r="Q20" s="48" t="s">
        <v>77</v>
      </c>
      <c r="R20" s="162" t="s">
        <v>78</v>
      </c>
      <c r="S20" s="1" t="s">
        <v>79</v>
      </c>
      <c r="T20" s="48" t="s">
        <v>80</v>
      </c>
    </row>
    <row r="21" spans="1:20" x14ac:dyDescent="0.2">
      <c r="A21" s="126" t="s">
        <v>90</v>
      </c>
      <c r="B21" s="124" t="s">
        <v>94</v>
      </c>
      <c r="C21" s="133">
        <f t="shared" ref="C21:C30" si="1">C5/C$14</f>
        <v>3.6216424403846564E-2</v>
      </c>
      <c r="D21" s="133">
        <f t="shared" ref="D21:T30" si="2">D5/D$14</f>
        <v>5.5079455032610171E-2</v>
      </c>
      <c r="E21" s="133">
        <f t="shared" si="2"/>
        <v>0.77691345963399938</v>
      </c>
      <c r="F21" s="133">
        <f t="shared" si="2"/>
        <v>0.68911936183157252</v>
      </c>
      <c r="G21" s="133">
        <f t="shared" si="2"/>
        <v>0.65794058095193619</v>
      </c>
      <c r="H21" s="133">
        <f t="shared" si="2"/>
        <v>0.72759989737146913</v>
      </c>
      <c r="I21" s="133">
        <f t="shared" si="2"/>
        <v>0.72740345241788518</v>
      </c>
      <c r="J21" s="133">
        <f t="shared" si="2"/>
        <v>0.90725506909764153</v>
      </c>
      <c r="K21" s="133">
        <f t="shared" si="2"/>
        <v>0.74866670864981955</v>
      </c>
      <c r="L21" s="133">
        <f t="shared" si="2"/>
        <v>0.71160830590764035</v>
      </c>
      <c r="M21" s="133">
        <f t="shared" si="2"/>
        <v>0.67882596784514604</v>
      </c>
      <c r="N21" s="159">
        <f t="shared" si="2"/>
        <v>0.71750259640810943</v>
      </c>
      <c r="O21" s="167">
        <f t="shared" ref="O21:P30" si="3">O5/O$14</f>
        <v>4.2478541180342146E-2</v>
      </c>
      <c r="P21" s="134">
        <f t="shared" si="3"/>
        <v>0.75914318534058189</v>
      </c>
      <c r="Q21" s="137">
        <f t="shared" si="2"/>
        <v>0.72575633320102695</v>
      </c>
      <c r="R21" s="163">
        <f t="shared" si="2"/>
        <v>0.64674134165952102</v>
      </c>
      <c r="S21" s="133">
        <f t="shared" si="2"/>
        <v>0.64674134165952113</v>
      </c>
      <c r="T21" s="137">
        <f t="shared" si="2"/>
        <v>0.64674134165952102</v>
      </c>
    </row>
    <row r="22" spans="1:20" x14ac:dyDescent="0.2">
      <c r="A22" s="127" t="s">
        <v>122</v>
      </c>
      <c r="B22" s="125" t="s">
        <v>126</v>
      </c>
      <c r="C22" s="132">
        <f t="shared" si="1"/>
        <v>0.11532174437417214</v>
      </c>
      <c r="D22" s="132">
        <f t="shared" ref="D22:N22" si="4">D6/D$14</f>
        <v>0.13740572831336484</v>
      </c>
      <c r="E22" s="132">
        <f t="shared" si="4"/>
        <v>2.7109319734206255E-3</v>
      </c>
      <c r="F22" s="132">
        <f t="shared" si="4"/>
        <v>1.572321967015183E-2</v>
      </c>
      <c r="G22" s="132">
        <f t="shared" si="4"/>
        <v>2.1650429714839676E-2</v>
      </c>
      <c r="H22" s="132">
        <f t="shared" si="4"/>
        <v>2.7620970663232571E-2</v>
      </c>
      <c r="I22" s="132">
        <f t="shared" si="4"/>
        <v>2.129562593182446E-2</v>
      </c>
      <c r="J22" s="132">
        <f t="shared" si="4"/>
        <v>5.510196502818432E-3</v>
      </c>
      <c r="K22" s="132">
        <f t="shared" si="4"/>
        <v>1.4139835182928683E-2</v>
      </c>
      <c r="L22" s="132">
        <f t="shared" si="4"/>
        <v>2.0830650265620188E-2</v>
      </c>
      <c r="M22" s="132">
        <f t="shared" si="4"/>
        <v>3.2998433986770583E-2</v>
      </c>
      <c r="N22" s="160">
        <f t="shared" si="4"/>
        <v>2.186184189775249E-2</v>
      </c>
      <c r="O22" s="168">
        <f t="shared" si="3"/>
        <v>0.12265314774403151</v>
      </c>
      <c r="P22" s="135">
        <f t="shared" si="3"/>
        <v>5.3447300002098788E-3</v>
      </c>
      <c r="Q22" s="138">
        <f>Q6/Q$14</f>
        <v>2.3243483010731047E-2</v>
      </c>
      <c r="R22" s="164">
        <f>R6/R$14</f>
        <v>3.1993401735846042E-2</v>
      </c>
      <c r="S22" s="132">
        <f t="shared" si="2"/>
        <v>3.1993401735846048E-2</v>
      </c>
      <c r="T22" s="138">
        <f t="shared" si="2"/>
        <v>3.1993401735846042E-2</v>
      </c>
    </row>
    <row r="23" spans="1:20" x14ac:dyDescent="0.2">
      <c r="A23" s="127" t="s">
        <v>141</v>
      </c>
      <c r="B23" s="125" t="s">
        <v>144</v>
      </c>
      <c r="C23" s="132">
        <f t="shared" si="1"/>
        <v>8.0609055259223718E-3</v>
      </c>
      <c r="D23" s="132">
        <f t="shared" si="2"/>
        <v>0.16461997874740023</v>
      </c>
      <c r="E23" s="132">
        <f t="shared" si="2"/>
        <v>5.0402588173378187E-3</v>
      </c>
      <c r="F23" s="132">
        <f t="shared" si="2"/>
        <v>5.2496182555390215E-3</v>
      </c>
      <c r="G23" s="132">
        <f t="shared" si="2"/>
        <v>3.0003306346750056E-2</v>
      </c>
      <c r="H23" s="132">
        <f t="shared" si="2"/>
        <v>1.0847166695672431E-2</v>
      </c>
      <c r="I23" s="132">
        <f t="shared" si="2"/>
        <v>9.5776950999091025E-3</v>
      </c>
      <c r="J23" s="132">
        <f t="shared" si="2"/>
        <v>3.1919721542175848E-3</v>
      </c>
      <c r="K23" s="132">
        <f t="shared" si="2"/>
        <v>8.3766361057056003E-3</v>
      </c>
      <c r="L23" s="132">
        <f t="shared" si="2"/>
        <v>2.6161730407595084E-2</v>
      </c>
      <c r="M23" s="132">
        <f t="shared" si="2"/>
        <v>9.8977056874947362E-3</v>
      </c>
      <c r="N23" s="160">
        <f t="shared" si="2"/>
        <v>1.1460369615770556E-2</v>
      </c>
      <c r="O23" s="168">
        <f t="shared" si="3"/>
        <v>6.0035119968317015E-2</v>
      </c>
      <c r="P23" s="135">
        <f t="shared" si="3"/>
        <v>5.0826349535004504E-3</v>
      </c>
      <c r="Q23" s="138">
        <f t="shared" si="2"/>
        <v>1.3605933060867249E-2</v>
      </c>
      <c r="R23" s="164">
        <f t="shared" si="2"/>
        <v>1.7658105476070031E-2</v>
      </c>
      <c r="S23" s="132">
        <f t="shared" si="2"/>
        <v>1.7658105476070034E-2</v>
      </c>
      <c r="T23" s="138">
        <f t="shared" si="2"/>
        <v>1.7658105476070031E-2</v>
      </c>
    </row>
    <row r="24" spans="1:20" x14ac:dyDescent="0.2">
      <c r="A24" s="127" t="s">
        <v>157</v>
      </c>
      <c r="B24" s="125" t="s">
        <v>160</v>
      </c>
      <c r="C24" s="132">
        <f t="shared" si="1"/>
        <v>0.13212470027796869</v>
      </c>
      <c r="D24" s="132">
        <f t="shared" si="2"/>
        <v>0.15029889429837542</v>
      </c>
      <c r="E24" s="132">
        <f t="shared" si="2"/>
        <v>4.4732470623602225E-3</v>
      </c>
      <c r="F24" s="132">
        <f t="shared" si="2"/>
        <v>1.2797675726587136E-2</v>
      </c>
      <c r="G24" s="132">
        <f t="shared" si="2"/>
        <v>2.690906066107512E-2</v>
      </c>
      <c r="H24" s="132">
        <f t="shared" si="2"/>
        <v>2.1311730330441214E-2</v>
      </c>
      <c r="I24" s="132">
        <f t="shared" si="2"/>
        <v>2.0867099495693615E-2</v>
      </c>
      <c r="J24" s="132">
        <f t="shared" si="2"/>
        <v>5.0347926341023259E-3</v>
      </c>
      <c r="K24" s="132">
        <f t="shared" si="2"/>
        <v>2.1645163535115558E-2</v>
      </c>
      <c r="L24" s="132">
        <f t="shared" si="2"/>
        <v>2.2950777186725273E-2</v>
      </c>
      <c r="M24" s="132">
        <f t="shared" si="2"/>
        <v>2.6616024742619551E-2</v>
      </c>
      <c r="N24" s="160">
        <f t="shared" si="2"/>
        <v>2.8791583893539936E-2</v>
      </c>
      <c r="O24" s="168">
        <f t="shared" si="3"/>
        <v>0.13815813825059925</v>
      </c>
      <c r="P24" s="135">
        <f t="shared" si="3"/>
        <v>6.158182432756041E-3</v>
      </c>
      <c r="Q24" s="138">
        <f t="shared" si="2"/>
        <v>2.2234008956485911E-2</v>
      </c>
      <c r="R24" s="164">
        <f t="shared" si="2"/>
        <v>3.3447412232666784E-2</v>
      </c>
      <c r="S24" s="132">
        <f t="shared" si="2"/>
        <v>3.3447412232666791E-2</v>
      </c>
      <c r="T24" s="138">
        <f t="shared" si="2"/>
        <v>3.3447412232666784E-2</v>
      </c>
    </row>
    <row r="25" spans="1:20" x14ac:dyDescent="0.2">
      <c r="A25" s="127" t="s">
        <v>181</v>
      </c>
      <c r="B25" s="125" t="s">
        <v>184</v>
      </c>
      <c r="C25" s="132">
        <f t="shared" si="1"/>
        <v>7.7194104923787213E-2</v>
      </c>
      <c r="D25" s="132">
        <f t="shared" si="2"/>
        <v>5.5442641374826344E-2</v>
      </c>
      <c r="E25" s="132">
        <f t="shared" si="2"/>
        <v>4.571942036584084E-2</v>
      </c>
      <c r="F25" s="132">
        <f t="shared" si="2"/>
        <v>3.7399861639125891E-2</v>
      </c>
      <c r="G25" s="132">
        <f t="shared" si="2"/>
        <v>3.6962116438758831E-2</v>
      </c>
      <c r="H25" s="132">
        <f t="shared" si="2"/>
        <v>2.3905556049564181E-2</v>
      </c>
      <c r="I25" s="132">
        <f t="shared" si="2"/>
        <v>2.3056631877574313E-2</v>
      </c>
      <c r="J25" s="132">
        <f t="shared" si="2"/>
        <v>9.3513580692877671E-3</v>
      </c>
      <c r="K25" s="132">
        <f t="shared" si="2"/>
        <v>2.3845972774203809E-2</v>
      </c>
      <c r="L25" s="132">
        <f t="shared" si="2"/>
        <v>2.9628945627006596E-2</v>
      </c>
      <c r="M25" s="132">
        <f t="shared" si="2"/>
        <v>3.4116423804740337E-2</v>
      </c>
      <c r="N25" s="160">
        <f t="shared" si="2"/>
        <v>2.9770612516829102E-2</v>
      </c>
      <c r="O25" s="168">
        <f t="shared" si="3"/>
        <v>6.9973091106655533E-2</v>
      </c>
      <c r="P25" s="135">
        <f t="shared" si="3"/>
        <v>4.403547071233882E-2</v>
      </c>
      <c r="Q25" s="138">
        <f t="shared" si="2"/>
        <v>2.6877192939165434E-2</v>
      </c>
      <c r="R25" s="164">
        <f t="shared" si="2"/>
        <v>3.5917007058871638E-2</v>
      </c>
      <c r="S25" s="132">
        <f t="shared" si="2"/>
        <v>3.5917007058871638E-2</v>
      </c>
      <c r="T25" s="138">
        <f t="shared" si="2"/>
        <v>3.5917007058871638E-2</v>
      </c>
    </row>
    <row r="26" spans="1:20" x14ac:dyDescent="0.2">
      <c r="A26" s="127" t="s">
        <v>218</v>
      </c>
      <c r="B26" s="125" t="s">
        <v>221</v>
      </c>
      <c r="C26" s="132">
        <f t="shared" si="1"/>
        <v>6.5595873097357496E-2</v>
      </c>
      <c r="D26" s="132">
        <f t="shared" si="2"/>
        <v>0.13767220163627475</v>
      </c>
      <c r="E26" s="132">
        <f t="shared" si="2"/>
        <v>2.4142320816330793E-3</v>
      </c>
      <c r="F26" s="132">
        <f t="shared" si="2"/>
        <v>1.7477651255578843E-2</v>
      </c>
      <c r="G26" s="132">
        <f t="shared" si="2"/>
        <v>2.5329230958132498E-2</v>
      </c>
      <c r="H26" s="132">
        <f t="shared" si="2"/>
        <v>1.5602995243151561E-2</v>
      </c>
      <c r="I26" s="132">
        <f t="shared" si="2"/>
        <v>1.7407375679889366E-2</v>
      </c>
      <c r="J26" s="132">
        <f t="shared" si="2"/>
        <v>4.4495619643426139E-3</v>
      </c>
      <c r="K26" s="132">
        <f t="shared" si="2"/>
        <v>1.790189978627495E-2</v>
      </c>
      <c r="L26" s="132">
        <f t="shared" si="2"/>
        <v>1.875149967899974E-2</v>
      </c>
      <c r="M26" s="132">
        <f t="shared" si="2"/>
        <v>2.5230779978828912E-2</v>
      </c>
      <c r="N26" s="160">
        <f t="shared" si="2"/>
        <v>1.8725686641769903E-2</v>
      </c>
      <c r="O26" s="168">
        <f t="shared" si="3"/>
        <v>8.9523649869532845E-2</v>
      </c>
      <c r="P26" s="135">
        <f t="shared" si="3"/>
        <v>5.463196615902036E-3</v>
      </c>
      <c r="Q26" s="138">
        <f t="shared" si="2"/>
        <v>1.8313006157247926E-2</v>
      </c>
      <c r="R26" s="164">
        <f t="shared" si="2"/>
        <v>2.4574921845817672E-2</v>
      </c>
      <c r="S26" s="132">
        <f t="shared" si="2"/>
        <v>2.4574921845817669E-2</v>
      </c>
      <c r="T26" s="138">
        <f t="shared" si="2"/>
        <v>2.4574921845817669E-2</v>
      </c>
    </row>
    <row r="27" spans="1:20" x14ac:dyDescent="0.2">
      <c r="A27" s="127" t="s">
        <v>261</v>
      </c>
      <c r="B27" s="125" t="s">
        <v>264</v>
      </c>
      <c r="C27" s="132">
        <f t="shared" si="1"/>
        <v>0.13506289432661045</v>
      </c>
      <c r="D27" s="132">
        <f t="shared" si="2"/>
        <v>7.7207317348782403E-2</v>
      </c>
      <c r="E27" s="132">
        <f t="shared" si="2"/>
        <v>0.13535538081045462</v>
      </c>
      <c r="F27" s="132">
        <f t="shared" si="2"/>
        <v>0.10179619664518912</v>
      </c>
      <c r="G27" s="132">
        <f t="shared" si="2"/>
        <v>0.10951531778030653</v>
      </c>
      <c r="H27" s="132">
        <f t="shared" si="2"/>
        <v>8.9001409624843486E-2</v>
      </c>
      <c r="I27" s="132">
        <f t="shared" si="2"/>
        <v>8.7543070883735169E-2</v>
      </c>
      <c r="J27" s="132">
        <f t="shared" si="2"/>
        <v>3.0327190221687814E-2</v>
      </c>
      <c r="K27" s="132">
        <f t="shared" si="2"/>
        <v>9.7903481822540481E-2</v>
      </c>
      <c r="L27" s="132">
        <f t="shared" si="2"/>
        <v>8.4554179890715883E-2</v>
      </c>
      <c r="M27" s="132">
        <f t="shared" si="2"/>
        <v>7.3864225131695188E-2</v>
      </c>
      <c r="N27" s="160">
        <f t="shared" si="2"/>
        <v>8.1744413542395811E-2</v>
      </c>
      <c r="O27" s="168">
        <f t="shared" si="3"/>
        <v>0.11585609843378969</v>
      </c>
      <c r="P27" s="135">
        <f t="shared" si="3"/>
        <v>0.12856271567000144</v>
      </c>
      <c r="Q27" s="138">
        <f t="shared" si="2"/>
        <v>8.387009543508088E-2</v>
      </c>
      <c r="R27" s="164">
        <f t="shared" si="2"/>
        <v>9.7308358124406649E-2</v>
      </c>
      <c r="S27" s="132">
        <f t="shared" si="2"/>
        <v>9.7308358124406621E-2</v>
      </c>
      <c r="T27" s="138">
        <f t="shared" si="2"/>
        <v>9.7308358124406635E-2</v>
      </c>
    </row>
    <row r="28" spans="1:20" x14ac:dyDescent="0.2">
      <c r="A28" s="127" t="s">
        <v>314</v>
      </c>
      <c r="B28" s="125" t="s">
        <v>317</v>
      </c>
      <c r="C28" s="132">
        <f t="shared" si="1"/>
        <v>0.21067906717870546</v>
      </c>
      <c r="D28" s="132">
        <f t="shared" si="2"/>
        <v>7.7226606195645309E-2</v>
      </c>
      <c r="E28" s="132">
        <f t="shared" si="2"/>
        <v>1.6273498413783699E-2</v>
      </c>
      <c r="F28" s="132">
        <f t="shared" si="2"/>
        <v>6.5063420578355194E-2</v>
      </c>
      <c r="G28" s="132">
        <f t="shared" si="2"/>
        <v>3.6265017501453889E-2</v>
      </c>
      <c r="H28" s="132">
        <f t="shared" si="2"/>
        <v>2.8436807257689854E-2</v>
      </c>
      <c r="I28" s="132">
        <f t="shared" si="2"/>
        <v>3.4668248227605801E-2</v>
      </c>
      <c r="J28" s="132">
        <f t="shared" si="2"/>
        <v>1.4024332255616485E-2</v>
      </c>
      <c r="K28" s="132">
        <f t="shared" si="2"/>
        <v>3.4988008714595516E-2</v>
      </c>
      <c r="L28" s="132">
        <f t="shared" si="2"/>
        <v>3.2521112364961351E-2</v>
      </c>
      <c r="M28" s="132">
        <f t="shared" si="2"/>
        <v>3.9712056583017845E-2</v>
      </c>
      <c r="N28" s="160">
        <f t="shared" si="2"/>
        <v>4.0804347225460134E-2</v>
      </c>
      <c r="O28" s="168">
        <f t="shared" si="3"/>
        <v>0.16637574650698256</v>
      </c>
      <c r="P28" s="135">
        <f t="shared" si="3"/>
        <v>2.6148994846016033E-2</v>
      </c>
      <c r="Q28" s="138">
        <f t="shared" si="2"/>
        <v>3.2404830468397643E-2</v>
      </c>
      <c r="R28" s="164">
        <f t="shared" si="2"/>
        <v>4.7958509832109933E-2</v>
      </c>
      <c r="S28" s="132">
        <f t="shared" si="2"/>
        <v>4.7958509832109926E-2</v>
      </c>
      <c r="T28" s="138">
        <f t="shared" si="2"/>
        <v>4.7958509832109933E-2</v>
      </c>
    </row>
    <row r="29" spans="1:20" x14ac:dyDescent="0.2">
      <c r="A29" s="127" t="s">
        <v>365</v>
      </c>
      <c r="B29" s="125" t="s">
        <v>368</v>
      </c>
      <c r="C29" s="132">
        <f t="shared" si="1"/>
        <v>0.21974428589162956</v>
      </c>
      <c r="D29" s="132">
        <f t="shared" si="2"/>
        <v>0.14504717705272055</v>
      </c>
      <c r="E29" s="132">
        <f t="shared" si="2"/>
        <v>1.1099570841169665E-2</v>
      </c>
      <c r="F29" s="132">
        <f t="shared" si="2"/>
        <v>5.5372994397900346E-2</v>
      </c>
      <c r="G29" s="132">
        <f t="shared" si="2"/>
        <v>5.5424939646747176E-2</v>
      </c>
      <c r="H29" s="132">
        <f t="shared" si="2"/>
        <v>5.5673466763935295E-2</v>
      </c>
      <c r="I29" s="132">
        <f t="shared" si="2"/>
        <v>5.8180800385882941E-2</v>
      </c>
      <c r="J29" s="132">
        <f t="shared" si="2"/>
        <v>2.0855527100285508E-2</v>
      </c>
      <c r="K29" s="132">
        <f t="shared" si="2"/>
        <v>3.2532293428816049E-2</v>
      </c>
      <c r="L29" s="132">
        <f t="shared" si="2"/>
        <v>5.2992798670735565E-2</v>
      </c>
      <c r="M29" s="132">
        <f t="shared" si="2"/>
        <v>7.8738382239686752E-2</v>
      </c>
      <c r="N29" s="160">
        <f t="shared" si="2"/>
        <v>4.9338548258372826E-2</v>
      </c>
      <c r="O29" s="168">
        <f t="shared" si="3"/>
        <v>0.1949464669397494</v>
      </c>
      <c r="P29" s="135">
        <f t="shared" si="3"/>
        <v>2.0060889428693274E-2</v>
      </c>
      <c r="Q29" s="138">
        <f t="shared" si="2"/>
        <v>5.3695116770997024E-2</v>
      </c>
      <c r="R29" s="164">
        <f t="shared" si="2"/>
        <v>6.4400942034690073E-2</v>
      </c>
      <c r="S29" s="132">
        <f t="shared" si="2"/>
        <v>6.4400942034690101E-2</v>
      </c>
      <c r="T29" s="138">
        <f t="shared" si="2"/>
        <v>6.4400942034690087E-2</v>
      </c>
    </row>
    <row r="30" spans="1:20" ht="16" thickBot="1" x14ac:dyDescent="0.25">
      <c r="A30" s="442" t="s">
        <v>427</v>
      </c>
      <c r="B30" s="443"/>
      <c r="C30" s="139">
        <f t="shared" si="1"/>
        <v>1</v>
      </c>
      <c r="D30" s="139">
        <f t="shared" si="2"/>
        <v>1</v>
      </c>
      <c r="E30" s="139">
        <f t="shared" si="2"/>
        <v>1</v>
      </c>
      <c r="F30" s="139">
        <f t="shared" si="2"/>
        <v>1</v>
      </c>
      <c r="G30" s="139">
        <f t="shared" si="2"/>
        <v>1</v>
      </c>
      <c r="H30" s="139">
        <f t="shared" si="2"/>
        <v>1</v>
      </c>
      <c r="I30" s="139">
        <f t="shared" si="2"/>
        <v>1</v>
      </c>
      <c r="J30" s="139">
        <f t="shared" si="2"/>
        <v>1</v>
      </c>
      <c r="K30" s="139">
        <f t="shared" si="2"/>
        <v>1</v>
      </c>
      <c r="L30" s="139">
        <f t="shared" si="2"/>
        <v>1</v>
      </c>
      <c r="M30" s="139">
        <f t="shared" si="2"/>
        <v>1</v>
      </c>
      <c r="N30" s="161">
        <f t="shared" si="2"/>
        <v>1</v>
      </c>
      <c r="O30" s="169">
        <f t="shared" si="3"/>
        <v>1</v>
      </c>
      <c r="P30" s="140">
        <f t="shared" si="3"/>
        <v>1</v>
      </c>
      <c r="Q30" s="141">
        <f t="shared" si="2"/>
        <v>1</v>
      </c>
      <c r="R30" s="165">
        <f t="shared" si="2"/>
        <v>1</v>
      </c>
      <c r="S30" s="139">
        <f t="shared" si="2"/>
        <v>1</v>
      </c>
      <c r="T30" s="141">
        <f t="shared" si="2"/>
        <v>1</v>
      </c>
    </row>
    <row r="33" spans="1:18" ht="21" x14ac:dyDescent="0.25">
      <c r="A33" s="436" t="s">
        <v>13</v>
      </c>
      <c r="B33" s="436"/>
      <c r="C33" s="436"/>
      <c r="D33" s="436"/>
      <c r="E33" s="436"/>
      <c r="F33" s="436"/>
      <c r="G33" s="436"/>
      <c r="H33" s="436"/>
      <c r="I33" s="436"/>
      <c r="J33" s="436"/>
      <c r="K33" s="436"/>
      <c r="L33" s="436"/>
      <c r="M33" s="436"/>
      <c r="N33" s="436"/>
      <c r="O33" s="436"/>
      <c r="P33" s="436"/>
      <c r="Q33" s="436"/>
      <c r="R33" s="436"/>
    </row>
    <row r="34" spans="1:18" ht="49.25" customHeight="1" x14ac:dyDescent="0.2">
      <c r="A34" s="437" t="str">
        <f>"Distribución porcentual de las actividades y ramas de ecónomicas en el  valor Agregado, en las 9 subregiones de Antioquia del año: "&amp;V2&amp;IF(OR(V2=2021,V2=2020)," provisional ",IF(V2=2022," preliminar ",""))</f>
        <v xml:space="preserve">Distribución porcentual de las actividades y ramas de ecónomicas en el  valor Agregado, en las 9 subregiones de Antioquia del año: 2022 preliminar </v>
      </c>
      <c r="B34" s="437"/>
      <c r="C34" s="437"/>
      <c r="D34" s="437"/>
      <c r="E34" s="437"/>
      <c r="F34" s="437"/>
      <c r="G34" s="437"/>
      <c r="H34" s="437"/>
      <c r="I34" s="437"/>
      <c r="J34" s="437"/>
      <c r="K34" s="437"/>
      <c r="L34" s="437"/>
      <c r="M34" s="437"/>
      <c r="N34" s="437"/>
      <c r="O34" s="437"/>
      <c r="P34" s="437"/>
      <c r="Q34" s="437"/>
      <c r="R34" s="437"/>
    </row>
    <row r="35" spans="1:18" ht="16" thickBot="1" x14ac:dyDescent="0.25"/>
    <row r="36" spans="1:18" ht="255" thickBot="1" x14ac:dyDescent="0.25">
      <c r="A36" s="41" t="s">
        <v>426</v>
      </c>
      <c r="B36" s="42" t="s">
        <v>60</v>
      </c>
      <c r="C36" s="1" t="s">
        <v>63</v>
      </c>
      <c r="D36" s="1" t="s">
        <v>64</v>
      </c>
      <c r="E36" s="1" t="s">
        <v>65</v>
      </c>
      <c r="F36" s="1" t="s">
        <v>66</v>
      </c>
      <c r="G36" s="1" t="s">
        <v>67</v>
      </c>
      <c r="H36" s="1" t="s">
        <v>68</v>
      </c>
      <c r="I36" s="1" t="s">
        <v>69</v>
      </c>
      <c r="J36" s="1" t="s">
        <v>70</v>
      </c>
      <c r="K36" s="1" t="s">
        <v>71</v>
      </c>
      <c r="L36" s="1" t="s">
        <v>72</v>
      </c>
      <c r="M36" s="1" t="s">
        <v>73</v>
      </c>
      <c r="N36" s="158" t="s">
        <v>74</v>
      </c>
      <c r="O36" s="166" t="s">
        <v>75</v>
      </c>
      <c r="P36" s="44" t="s">
        <v>76</v>
      </c>
      <c r="Q36" s="48" t="s">
        <v>77</v>
      </c>
      <c r="R36" s="226" t="s">
        <v>78</v>
      </c>
    </row>
    <row r="37" spans="1:18" x14ac:dyDescent="0.2">
      <c r="A37" s="126" t="s">
        <v>90</v>
      </c>
      <c r="B37" s="124" t="s">
        <v>94</v>
      </c>
      <c r="C37" s="133">
        <f t="shared" ref="C37:N37" si="5">C5/$R5</f>
        <v>4.7107792389071293E-3</v>
      </c>
      <c r="D37" s="133">
        <f t="shared" si="5"/>
        <v>3.5603765818375205E-3</v>
      </c>
      <c r="E37" s="133">
        <f t="shared" si="5"/>
        <v>0.20173879306660467</v>
      </c>
      <c r="F37" s="133">
        <f t="shared" si="5"/>
        <v>4.5410840017163473E-2</v>
      </c>
      <c r="G37" s="133">
        <f t="shared" si="5"/>
        <v>5.8294333987922269E-2</v>
      </c>
      <c r="H37" s="133">
        <f t="shared" si="5"/>
        <v>0.22606864690762055</v>
      </c>
      <c r="I37" s="133">
        <f t="shared" si="5"/>
        <v>3.0406428350148257E-2</v>
      </c>
      <c r="J37" s="133">
        <f t="shared" si="5"/>
        <v>6.7278054559226669E-2</v>
      </c>
      <c r="K37" s="133">
        <f t="shared" si="5"/>
        <v>9.5303212487290817E-2</v>
      </c>
      <c r="L37" s="133">
        <f t="shared" si="5"/>
        <v>0.10241707343267965</v>
      </c>
      <c r="M37" s="133">
        <f t="shared" si="5"/>
        <v>0.12279025060517015</v>
      </c>
      <c r="N37" s="159">
        <f t="shared" si="5"/>
        <v>4.2021210765429036E-2</v>
      </c>
      <c r="O37" s="167">
        <f t="shared" ref="O37:P46" si="6">O5/$R5</f>
        <v>8.2711558207446481E-3</v>
      </c>
      <c r="P37" s="134">
        <f t="shared" si="6"/>
        <v>0.24714963308376817</v>
      </c>
      <c r="Q37" s="137">
        <f t="shared" ref="Q37:R46" si="7">Q5/$R5</f>
        <v>0.74457921109548741</v>
      </c>
      <c r="R37" s="227">
        <f t="shared" si="7"/>
        <v>1</v>
      </c>
    </row>
    <row r="38" spans="1:18" x14ac:dyDescent="0.2">
      <c r="A38" s="127" t="s">
        <v>122</v>
      </c>
      <c r="B38" s="125" t="s">
        <v>126</v>
      </c>
      <c r="C38" s="132">
        <f t="shared" ref="C38:N38" si="8">C6/$R6</f>
        <v>0.30322750212387029</v>
      </c>
      <c r="D38" s="132">
        <f t="shared" si="8"/>
        <v>0.17954831901406046</v>
      </c>
      <c r="E38" s="132">
        <f t="shared" si="8"/>
        <v>1.4230022816692453E-2</v>
      </c>
      <c r="F38" s="132">
        <f t="shared" si="8"/>
        <v>2.0944826600992762E-2</v>
      </c>
      <c r="G38" s="132">
        <f t="shared" si="8"/>
        <v>3.8777195421235651E-2</v>
      </c>
      <c r="H38" s="132">
        <f t="shared" si="8"/>
        <v>0.17348296905852406</v>
      </c>
      <c r="I38" s="132">
        <f t="shared" si="8"/>
        <v>1.7994950849840936E-2</v>
      </c>
      <c r="J38" s="132">
        <f t="shared" si="8"/>
        <v>8.2600240525799486E-3</v>
      </c>
      <c r="K38" s="132">
        <f t="shared" si="8"/>
        <v>3.6385937538413737E-2</v>
      </c>
      <c r="L38" s="132">
        <f t="shared" si="8"/>
        <v>6.0604431885695781E-2</v>
      </c>
      <c r="M38" s="132">
        <f t="shared" si="8"/>
        <v>0.12066157004571894</v>
      </c>
      <c r="N38" s="160">
        <f t="shared" si="8"/>
        <v>2.588225059237495E-2</v>
      </c>
      <c r="O38" s="168">
        <f t="shared" si="6"/>
        <v>0.48277582113793072</v>
      </c>
      <c r="P38" s="135">
        <f t="shared" si="6"/>
        <v>3.5174849417685221E-2</v>
      </c>
      <c r="Q38" s="138">
        <f t="shared" si="7"/>
        <v>0.482049329444384</v>
      </c>
      <c r="R38" s="171">
        <f t="shared" si="7"/>
        <v>1</v>
      </c>
    </row>
    <row r="39" spans="1:18" x14ac:dyDescent="0.2">
      <c r="A39" s="127" t="s">
        <v>141</v>
      </c>
      <c r="B39" s="125" t="s">
        <v>144</v>
      </c>
      <c r="C39" s="132">
        <f t="shared" ref="C39:N39" si="9">C7/$R7</f>
        <v>3.8402325943990706E-2</v>
      </c>
      <c r="D39" s="132">
        <f t="shared" si="9"/>
        <v>0.38974033948984016</v>
      </c>
      <c r="E39" s="132">
        <f t="shared" si="9"/>
        <v>4.7935374807651067E-2</v>
      </c>
      <c r="F39" s="132">
        <f t="shared" si="9"/>
        <v>1.2670079015161225E-2</v>
      </c>
      <c r="G39" s="132">
        <f t="shared" si="9"/>
        <v>9.7363304159225311E-2</v>
      </c>
      <c r="H39" s="132">
        <f t="shared" si="9"/>
        <v>0.12343847188481205</v>
      </c>
      <c r="I39" s="132">
        <f t="shared" si="9"/>
        <v>1.4663497699697225E-2</v>
      </c>
      <c r="J39" s="132">
        <f t="shared" si="9"/>
        <v>8.6694117880261705E-3</v>
      </c>
      <c r="K39" s="132">
        <f t="shared" si="9"/>
        <v>3.9054868925570647E-2</v>
      </c>
      <c r="L39" s="132">
        <f t="shared" si="9"/>
        <v>0.13790637278589818</v>
      </c>
      <c r="M39" s="132">
        <f t="shared" si="9"/>
        <v>6.5573217008605938E-2</v>
      </c>
      <c r="N39" s="160">
        <f t="shared" si="9"/>
        <v>2.4582736491521436E-2</v>
      </c>
      <c r="O39" s="168">
        <f t="shared" si="6"/>
        <v>0.42814266543383084</v>
      </c>
      <c r="P39" s="135">
        <f t="shared" si="6"/>
        <v>6.0605453822812287E-2</v>
      </c>
      <c r="Q39" s="138">
        <f t="shared" si="7"/>
        <v>0.51125188074335692</v>
      </c>
      <c r="R39" s="171">
        <f t="shared" si="7"/>
        <v>1</v>
      </c>
    </row>
    <row r="40" spans="1:18" x14ac:dyDescent="0.2">
      <c r="A40" s="127" t="s">
        <v>157</v>
      </c>
      <c r="B40" s="125" t="s">
        <v>160</v>
      </c>
      <c r="C40" s="132">
        <f t="shared" ref="C40:N40" si="10">C8/$R8</f>
        <v>0.33230685264163801</v>
      </c>
      <c r="D40" s="132">
        <f t="shared" si="10"/>
        <v>0.18785821321569232</v>
      </c>
      <c r="E40" s="132">
        <f t="shared" si="10"/>
        <v>2.2459896916493079E-2</v>
      </c>
      <c r="F40" s="132">
        <f t="shared" si="10"/>
        <v>1.630663256643337E-2</v>
      </c>
      <c r="G40" s="132">
        <f t="shared" si="10"/>
        <v>4.6100571475086352E-2</v>
      </c>
      <c r="H40" s="132">
        <f t="shared" si="10"/>
        <v>0.12803671362467128</v>
      </c>
      <c r="I40" s="132">
        <f t="shared" si="10"/>
        <v>1.686631622393775E-2</v>
      </c>
      <c r="J40" s="132">
        <f t="shared" si="10"/>
        <v>7.219277068552207E-3</v>
      </c>
      <c r="K40" s="132">
        <f t="shared" si="10"/>
        <v>5.3278009429206505E-2</v>
      </c>
      <c r="L40" s="132">
        <f t="shared" si="10"/>
        <v>6.3869990320973985E-2</v>
      </c>
      <c r="M40" s="132">
        <f t="shared" si="10"/>
        <v>9.3092936601771023E-2</v>
      </c>
      <c r="N40" s="160">
        <f t="shared" si="10"/>
        <v>3.2604589915544144E-2</v>
      </c>
      <c r="O40" s="168">
        <f t="shared" si="6"/>
        <v>0.52016506585733047</v>
      </c>
      <c r="P40" s="135">
        <f t="shared" si="6"/>
        <v>3.876652948292645E-2</v>
      </c>
      <c r="Q40" s="138">
        <f t="shared" si="7"/>
        <v>0.44106840465974334</v>
      </c>
      <c r="R40" s="171">
        <f t="shared" si="7"/>
        <v>1</v>
      </c>
    </row>
    <row r="41" spans="1:18" x14ac:dyDescent="0.2">
      <c r="A41" s="127" t="s">
        <v>181</v>
      </c>
      <c r="B41" s="125" t="s">
        <v>184</v>
      </c>
      <c r="C41" s="132">
        <f t="shared" ref="C41:N41" si="11">C9/$R9</f>
        <v>0.18080140484562818</v>
      </c>
      <c r="D41" s="132">
        <f t="shared" si="11"/>
        <v>6.4532827933826059E-2</v>
      </c>
      <c r="E41" s="132">
        <f t="shared" si="11"/>
        <v>0.21377059782964838</v>
      </c>
      <c r="F41" s="132">
        <f t="shared" si="11"/>
        <v>4.4377778907161367E-2</v>
      </c>
      <c r="G41" s="132">
        <f t="shared" si="11"/>
        <v>5.8969437473795766E-2</v>
      </c>
      <c r="H41" s="132">
        <f t="shared" si="11"/>
        <v>0.13374484105981899</v>
      </c>
      <c r="I41" s="132">
        <f t="shared" si="11"/>
        <v>1.7354671610128262E-2</v>
      </c>
      <c r="J41" s="132">
        <f t="shared" si="11"/>
        <v>1.2486743518390591E-2</v>
      </c>
      <c r="K41" s="132">
        <f t="shared" si="11"/>
        <v>5.4659360411041455E-2</v>
      </c>
      <c r="L41" s="132">
        <f t="shared" si="11"/>
        <v>7.6785290805681319E-2</v>
      </c>
      <c r="M41" s="132">
        <f t="shared" si="11"/>
        <v>0.11112183953053111</v>
      </c>
      <c r="N41" s="160">
        <f t="shared" si="11"/>
        <v>3.1395206074348536E-2</v>
      </c>
      <c r="O41" s="168">
        <f t="shared" si="6"/>
        <v>0.24533423277945424</v>
      </c>
      <c r="P41" s="135">
        <f t="shared" si="6"/>
        <v>0.25814837673680979</v>
      </c>
      <c r="Q41" s="138">
        <f t="shared" si="7"/>
        <v>0.49651739048373617</v>
      </c>
      <c r="R41" s="171">
        <f t="shared" si="7"/>
        <v>1</v>
      </c>
    </row>
    <row r="42" spans="1:18" x14ac:dyDescent="0.2">
      <c r="A42" s="127" t="s">
        <v>218</v>
      </c>
      <c r="B42" s="125" t="s">
        <v>221</v>
      </c>
      <c r="C42" s="132">
        <f t="shared" ref="C42:N42" si="12">C10/$R10</f>
        <v>0.22454437310678974</v>
      </c>
      <c r="D42" s="132">
        <f t="shared" si="12"/>
        <v>0.23420223582661456</v>
      </c>
      <c r="E42" s="132">
        <f t="shared" si="12"/>
        <v>1.6498112757401623E-2</v>
      </c>
      <c r="F42" s="132">
        <f t="shared" si="12"/>
        <v>3.0310048451197044E-2</v>
      </c>
      <c r="G42" s="132">
        <f t="shared" si="12"/>
        <v>5.9060912529163311E-2</v>
      </c>
      <c r="H42" s="132">
        <f t="shared" si="12"/>
        <v>0.12758339653510359</v>
      </c>
      <c r="I42" s="132">
        <f t="shared" si="12"/>
        <v>1.9149693684871291E-2</v>
      </c>
      <c r="J42" s="132">
        <f t="shared" si="12"/>
        <v>8.6835989675117849E-3</v>
      </c>
      <c r="K42" s="132">
        <f t="shared" si="12"/>
        <v>5.9973116581222334E-2</v>
      </c>
      <c r="L42" s="132">
        <f t="shared" si="12"/>
        <v>7.1024116145018079E-2</v>
      </c>
      <c r="M42" s="132">
        <f t="shared" si="12"/>
        <v>0.12010873488975571</v>
      </c>
      <c r="N42" s="160">
        <f t="shared" si="12"/>
        <v>2.8861660525350684E-2</v>
      </c>
      <c r="O42" s="168">
        <f t="shared" si="6"/>
        <v>0.45874660893340441</v>
      </c>
      <c r="P42" s="135">
        <f t="shared" si="6"/>
        <v>4.6808161208598653E-2</v>
      </c>
      <c r="Q42" s="138">
        <f t="shared" si="7"/>
        <v>0.49444522985799677</v>
      </c>
      <c r="R42" s="171">
        <f t="shared" si="7"/>
        <v>1</v>
      </c>
    </row>
    <row r="43" spans="1:18" x14ac:dyDescent="0.2">
      <c r="A43" s="127" t="s">
        <v>261</v>
      </c>
      <c r="B43" s="125" t="s">
        <v>264</v>
      </c>
      <c r="C43" s="132">
        <f t="shared" ref="C43:N43" si="13">C11/$R11</f>
        <v>0.11676258794598277</v>
      </c>
      <c r="D43" s="132">
        <f t="shared" si="13"/>
        <v>3.3169982496984191E-2</v>
      </c>
      <c r="E43" s="132">
        <f t="shared" si="13"/>
        <v>0.23359996658238333</v>
      </c>
      <c r="F43" s="132">
        <f t="shared" si="13"/>
        <v>4.4583803285032982E-2</v>
      </c>
      <c r="G43" s="132">
        <f t="shared" si="13"/>
        <v>6.4490392037715602E-2</v>
      </c>
      <c r="H43" s="132">
        <f t="shared" si="13"/>
        <v>0.18379135067772526</v>
      </c>
      <c r="I43" s="132">
        <f t="shared" si="13"/>
        <v>2.4321609245365475E-2</v>
      </c>
      <c r="J43" s="132">
        <f t="shared" si="13"/>
        <v>1.4947090879285989E-2</v>
      </c>
      <c r="K43" s="132">
        <f t="shared" si="13"/>
        <v>8.2831902082730613E-2</v>
      </c>
      <c r="L43" s="132">
        <f t="shared" si="13"/>
        <v>8.0881074687209786E-2</v>
      </c>
      <c r="M43" s="132">
        <f t="shared" si="13"/>
        <v>8.8801451163028969E-2</v>
      </c>
      <c r="N43" s="160">
        <f t="shared" si="13"/>
        <v>3.1818788916554874E-2</v>
      </c>
      <c r="O43" s="168">
        <f t="shared" si="6"/>
        <v>0.14993257044296696</v>
      </c>
      <c r="P43" s="135">
        <f t="shared" si="6"/>
        <v>0.27818376986741633</v>
      </c>
      <c r="Q43" s="138">
        <f t="shared" si="7"/>
        <v>0.57188365968961652</v>
      </c>
      <c r="R43" s="171">
        <f t="shared" si="7"/>
        <v>1</v>
      </c>
    </row>
    <row r="44" spans="1:18" x14ac:dyDescent="0.2">
      <c r="A44" s="127" t="s">
        <v>314</v>
      </c>
      <c r="B44" s="125" t="s">
        <v>317</v>
      </c>
      <c r="C44" s="132">
        <f t="shared" ref="C44:N44" si="14">C12/$R12</f>
        <v>0.369550259313843</v>
      </c>
      <c r="D44" s="132">
        <f t="shared" si="14"/>
        <v>6.7319083380400824E-2</v>
      </c>
      <c r="E44" s="132">
        <f t="shared" si="14"/>
        <v>5.6985274124293057E-2</v>
      </c>
      <c r="F44" s="132">
        <f t="shared" si="14"/>
        <v>5.7818512999965772E-2</v>
      </c>
      <c r="G44" s="132">
        <f t="shared" si="14"/>
        <v>4.3330380754401931E-2</v>
      </c>
      <c r="H44" s="132">
        <f t="shared" si="14"/>
        <v>0.11914984540682745</v>
      </c>
      <c r="I44" s="132">
        <f t="shared" si="14"/>
        <v>1.9542804695842009E-2</v>
      </c>
      <c r="J44" s="132">
        <f t="shared" si="14"/>
        <v>1.4024621737018119E-2</v>
      </c>
      <c r="K44" s="132">
        <f t="shared" si="14"/>
        <v>6.0062469931922088E-2</v>
      </c>
      <c r="L44" s="132">
        <f t="shared" si="14"/>
        <v>6.3119229409475383E-2</v>
      </c>
      <c r="M44" s="132">
        <f t="shared" si="14"/>
        <v>9.6870771791790336E-2</v>
      </c>
      <c r="N44" s="160">
        <f t="shared" si="14"/>
        <v>3.2226746454219982E-2</v>
      </c>
      <c r="O44" s="168">
        <f t="shared" si="6"/>
        <v>0.43686934269424371</v>
      </c>
      <c r="P44" s="135">
        <f t="shared" si="6"/>
        <v>0.11480378712425886</v>
      </c>
      <c r="Q44" s="138">
        <f t="shared" si="7"/>
        <v>0.44832687018149731</v>
      </c>
      <c r="R44" s="171">
        <f t="shared" si="7"/>
        <v>1</v>
      </c>
    </row>
    <row r="45" spans="1:18" x14ac:dyDescent="0.2">
      <c r="A45" s="127" t="s">
        <v>365</v>
      </c>
      <c r="B45" s="125" t="s">
        <v>368</v>
      </c>
      <c r="C45" s="132">
        <f t="shared" ref="C45:N45" si="15">C13/$R13</f>
        <v>0.28704049839736068</v>
      </c>
      <c r="D45" s="132">
        <f t="shared" si="15"/>
        <v>9.4157297567581191E-2</v>
      </c>
      <c r="E45" s="132">
        <f t="shared" si="15"/>
        <v>2.8944187528574101E-2</v>
      </c>
      <c r="F45" s="132">
        <f t="shared" si="15"/>
        <v>3.6643883686813435E-2</v>
      </c>
      <c r="G45" s="132">
        <f t="shared" si="15"/>
        <v>4.9315484351708627E-2</v>
      </c>
      <c r="H45" s="132">
        <f t="shared" si="15"/>
        <v>0.17371382152140519</v>
      </c>
      <c r="I45" s="132">
        <f t="shared" si="15"/>
        <v>2.4423513806164848E-2</v>
      </c>
      <c r="J45" s="132">
        <f t="shared" si="15"/>
        <v>1.5531149318441724E-2</v>
      </c>
      <c r="K45" s="132">
        <f t="shared" si="15"/>
        <v>4.1588389476789597E-2</v>
      </c>
      <c r="L45" s="132">
        <f t="shared" si="15"/>
        <v>7.6592564771874469E-2</v>
      </c>
      <c r="M45" s="132">
        <f t="shared" si="15"/>
        <v>0.14303105067856423</v>
      </c>
      <c r="N45" s="160">
        <f t="shared" si="15"/>
        <v>2.9018158894722205E-2</v>
      </c>
      <c r="O45" s="168">
        <f t="shared" si="6"/>
        <v>0.3811977959649418</v>
      </c>
      <c r="P45" s="135">
        <f t="shared" si="6"/>
        <v>6.5588071215387539E-2</v>
      </c>
      <c r="Q45" s="138">
        <f t="shared" si="7"/>
        <v>0.55321413281967091</v>
      </c>
      <c r="R45" s="171">
        <f t="shared" si="7"/>
        <v>1</v>
      </c>
    </row>
    <row r="46" spans="1:18" ht="16" thickBot="1" x14ac:dyDescent="0.25">
      <c r="A46" s="446" t="s">
        <v>427</v>
      </c>
      <c r="B46" s="447"/>
      <c r="C46" s="136">
        <f t="shared" ref="C46:N46" si="16">C14/$R14</f>
        <v>8.4123591309279752E-2</v>
      </c>
      <c r="D46" s="136">
        <f t="shared" si="16"/>
        <v>4.1805837149032105E-2</v>
      </c>
      <c r="E46" s="136">
        <f t="shared" si="16"/>
        <v>0.16793738874614628</v>
      </c>
      <c r="F46" s="136">
        <f t="shared" si="16"/>
        <v>4.2618259223667354E-2</v>
      </c>
      <c r="G46" s="136">
        <f t="shared" si="16"/>
        <v>5.7302067794555482E-2</v>
      </c>
      <c r="H46" s="136">
        <f t="shared" si="16"/>
        <v>0.20094552038335706</v>
      </c>
      <c r="I46" s="136">
        <f t="shared" si="16"/>
        <v>2.7034645217701828E-2</v>
      </c>
      <c r="J46" s="136">
        <f t="shared" si="16"/>
        <v>4.7959499761355294E-2</v>
      </c>
      <c r="K46" s="136">
        <f t="shared" si="16"/>
        <v>8.2328393658175431E-2</v>
      </c>
      <c r="L46" s="136">
        <f t="shared" si="16"/>
        <v>9.308120061388081E-2</v>
      </c>
      <c r="M46" s="136">
        <f t="shared" si="16"/>
        <v>0.11698658445725871</v>
      </c>
      <c r="N46" s="170">
        <f t="shared" si="16"/>
        <v>3.7877011685589941E-2</v>
      </c>
      <c r="O46" s="173">
        <f t="shared" si="6"/>
        <v>0.12592942845831187</v>
      </c>
      <c r="P46" s="136">
        <f t="shared" si="6"/>
        <v>0.21055564796981366</v>
      </c>
      <c r="Q46" s="174">
        <f t="shared" si="7"/>
        <v>0.66351492357187447</v>
      </c>
      <c r="R46" s="172">
        <f t="shared" si="7"/>
        <v>1</v>
      </c>
    </row>
    <row r="51" spans="1:18" ht="21" x14ac:dyDescent="0.25">
      <c r="A51" s="436" t="s">
        <v>15</v>
      </c>
      <c r="B51" s="436"/>
      <c r="C51" s="436"/>
      <c r="D51" s="436"/>
      <c r="E51" s="436"/>
      <c r="F51" s="436"/>
      <c r="G51" s="436"/>
      <c r="H51" s="436"/>
      <c r="I51" s="436"/>
      <c r="J51" s="436"/>
      <c r="K51" s="436"/>
      <c r="L51" s="436"/>
      <c r="M51" s="436"/>
      <c r="N51" s="436"/>
      <c r="O51" s="436"/>
      <c r="P51" s="436"/>
      <c r="Q51" s="436"/>
      <c r="R51" s="436"/>
    </row>
    <row r="52" spans="1:18" ht="66" customHeight="1" x14ac:dyDescent="0.2">
      <c r="A52" s="437" t="str">
        <f>"Coeficiente de especialización regional por actividades y ramas de ecónomicas, en las 9 subregiones de Antioquia del año: "&amp;V2&amp;IF(OR(V2=2021,V2=2020)," provisional ",IF(V2=2022," preliminar ",""))</f>
        <v xml:space="preserve">Coeficiente de especialización regional por actividades y ramas de ecónomicas, en las 9 subregiones de Antioquia del año: 2022 preliminar </v>
      </c>
      <c r="B52" s="437"/>
      <c r="C52" s="437"/>
      <c r="D52" s="437"/>
      <c r="E52" s="437"/>
      <c r="F52" s="437"/>
      <c r="G52" s="437"/>
      <c r="H52" s="437"/>
      <c r="I52" s="437"/>
      <c r="J52" s="437"/>
      <c r="K52" s="437"/>
      <c r="L52" s="437"/>
      <c r="M52" s="437"/>
      <c r="N52" s="437"/>
      <c r="O52" s="437"/>
      <c r="P52" s="437"/>
      <c r="Q52" s="437"/>
      <c r="R52" s="437"/>
    </row>
    <row r="53" spans="1:18" ht="16" thickBot="1" x14ac:dyDescent="0.25"/>
    <row r="54" spans="1:18" ht="255" thickBot="1" x14ac:dyDescent="0.25">
      <c r="A54" s="41" t="s">
        <v>426</v>
      </c>
      <c r="B54" s="42" t="s">
        <v>60</v>
      </c>
      <c r="C54" s="1" t="s">
        <v>63</v>
      </c>
      <c r="D54" s="1" t="s">
        <v>64</v>
      </c>
      <c r="E54" s="1" t="s">
        <v>65</v>
      </c>
      <c r="F54" s="1" t="s">
        <v>66</v>
      </c>
      <c r="G54" s="1" t="s">
        <v>67</v>
      </c>
      <c r="H54" s="1" t="s">
        <v>68</v>
      </c>
      <c r="I54" s="1" t="s">
        <v>69</v>
      </c>
      <c r="J54" s="1" t="s">
        <v>70</v>
      </c>
      <c r="K54" s="1" t="s">
        <v>71</v>
      </c>
      <c r="L54" s="1" t="s">
        <v>72</v>
      </c>
      <c r="M54" s="1" t="s">
        <v>73</v>
      </c>
      <c r="N54" s="158" t="s">
        <v>74</v>
      </c>
      <c r="O54" s="166" t="s">
        <v>75</v>
      </c>
      <c r="P54" s="44" t="s">
        <v>76</v>
      </c>
      <c r="Q54" s="48" t="s">
        <v>77</v>
      </c>
      <c r="R54" s="226" t="s">
        <v>78</v>
      </c>
    </row>
    <row r="55" spans="1:18" x14ac:dyDescent="0.2">
      <c r="A55" s="126" t="s">
        <v>90</v>
      </c>
      <c r="B55" s="124" t="s">
        <v>94</v>
      </c>
      <c r="C55" s="220">
        <f>C37/C$46</f>
        <v>5.599831350028775E-2</v>
      </c>
      <c r="D55" s="220">
        <f t="shared" ref="D55:R55" si="17">D37/D$46</f>
        <v>8.516458046624599E-2</v>
      </c>
      <c r="E55" s="220">
        <f t="shared" si="17"/>
        <v>1.2012738471928517</v>
      </c>
      <c r="F55" s="220">
        <f t="shared" si="17"/>
        <v>1.0655254542152981</v>
      </c>
      <c r="G55" s="220">
        <f t="shared" si="17"/>
        <v>1.0173164116332476</v>
      </c>
      <c r="H55" s="220">
        <f t="shared" si="17"/>
        <v>1.1250245662423051</v>
      </c>
      <c r="I55" s="220">
        <f t="shared" si="17"/>
        <v>1.1247208204618362</v>
      </c>
      <c r="J55" s="220">
        <f t="shared" si="17"/>
        <v>1.4028097643636774</v>
      </c>
      <c r="K55" s="220">
        <f t="shared" si="17"/>
        <v>1.1575983479404004</v>
      </c>
      <c r="L55" s="220">
        <f t="shared" si="17"/>
        <v>1.100298156418565</v>
      </c>
      <c r="M55" s="220">
        <f t="shared" si="17"/>
        <v>1.0496096725520851</v>
      </c>
      <c r="N55" s="221">
        <f t="shared" si="17"/>
        <v>1.1094119861999496</v>
      </c>
      <c r="O55" s="222">
        <f t="shared" ref="O55:P64" si="18">O37/O$46</f>
        <v>6.568088112527852E-2</v>
      </c>
      <c r="P55" s="223">
        <f t="shared" si="18"/>
        <v>1.1737972144979023</v>
      </c>
      <c r="Q55" s="224">
        <f t="shared" si="17"/>
        <v>1.12217402298538</v>
      </c>
      <c r="R55" s="225">
        <f t="shared" si="17"/>
        <v>1</v>
      </c>
    </row>
    <row r="56" spans="1:18" x14ac:dyDescent="0.2">
      <c r="A56" s="127" t="s">
        <v>122</v>
      </c>
      <c r="B56" s="125" t="s">
        <v>126</v>
      </c>
      <c r="C56" s="142">
        <f t="shared" ref="C56:R64" si="19">C38/C$46</f>
        <v>3.6045477541377977</v>
      </c>
      <c r="D56" s="142">
        <f t="shared" si="19"/>
        <v>4.2948145823272288</v>
      </c>
      <c r="E56" s="142">
        <f t="shared" si="19"/>
        <v>8.4734095980273455E-2</v>
      </c>
      <c r="F56" s="142">
        <f t="shared" si="19"/>
        <v>0.49145194999802794</v>
      </c>
      <c r="G56" s="142">
        <f t="shared" si="19"/>
        <v>0.67671546444472364</v>
      </c>
      <c r="H56" s="142">
        <f t="shared" si="19"/>
        <v>0.86333334889754765</v>
      </c>
      <c r="I56" s="142">
        <f t="shared" si="19"/>
        <v>0.66562555953418423</v>
      </c>
      <c r="J56" s="142">
        <f t="shared" si="19"/>
        <v>0.17222915363340996</v>
      </c>
      <c r="K56" s="142">
        <f t="shared" si="19"/>
        <v>0.44196097994437811</v>
      </c>
      <c r="L56" s="142">
        <f t="shared" si="19"/>
        <v>0.65109207322212059</v>
      </c>
      <c r="M56" s="142">
        <f t="shared" si="19"/>
        <v>1.031413735220237</v>
      </c>
      <c r="N56" s="175">
        <f t="shared" si="19"/>
        <v>0.6833234577009063</v>
      </c>
      <c r="O56" s="179">
        <f t="shared" si="18"/>
        <v>3.8337013599466192</v>
      </c>
      <c r="P56" s="143">
        <f t="shared" si="18"/>
        <v>0.16705725900417578</v>
      </c>
      <c r="Q56" s="180">
        <f t="shared" si="19"/>
        <v>0.7265086470842077</v>
      </c>
      <c r="R56" s="177">
        <f t="shared" si="19"/>
        <v>1</v>
      </c>
    </row>
    <row r="57" spans="1:18" x14ac:dyDescent="0.2">
      <c r="A57" s="127" t="s">
        <v>141</v>
      </c>
      <c r="B57" s="125" t="s">
        <v>144</v>
      </c>
      <c r="C57" s="142">
        <f t="shared" si="19"/>
        <v>0.45649888867446042</v>
      </c>
      <c r="D57" s="142">
        <f t="shared" si="19"/>
        <v>9.3226297107858169</v>
      </c>
      <c r="E57" s="142">
        <f t="shared" si="19"/>
        <v>0.28543598995760294</v>
      </c>
      <c r="F57" s="142">
        <f t="shared" si="19"/>
        <v>0.29729226969751743</v>
      </c>
      <c r="G57" s="142">
        <f t="shared" si="19"/>
        <v>1.6991237473017722</v>
      </c>
      <c r="H57" s="142">
        <f t="shared" si="19"/>
        <v>0.61428824912006152</v>
      </c>
      <c r="I57" s="142">
        <f t="shared" si="19"/>
        <v>0.54239652792246795</v>
      </c>
      <c r="J57" s="142">
        <f t="shared" si="19"/>
        <v>0.18076526717678135</v>
      </c>
      <c r="K57" s="142">
        <f t="shared" si="19"/>
        <v>0.4743790955976267</v>
      </c>
      <c r="L57" s="142">
        <f t="shared" si="19"/>
        <v>1.4815706273274345</v>
      </c>
      <c r="M57" s="142">
        <f t="shared" si="19"/>
        <v>0.56051911689552103</v>
      </c>
      <c r="N57" s="175">
        <f t="shared" si="19"/>
        <v>0.64901467664815216</v>
      </c>
      <c r="O57" s="179">
        <f t="shared" si="18"/>
        <v>3.3998618962648965</v>
      </c>
      <c r="P57" s="143">
        <f t="shared" si="18"/>
        <v>0.28783580211299292</v>
      </c>
      <c r="Q57" s="180">
        <f t="shared" si="19"/>
        <v>0.77052054532723135</v>
      </c>
      <c r="R57" s="177">
        <f t="shared" si="19"/>
        <v>1</v>
      </c>
    </row>
    <row r="58" spans="1:18" x14ac:dyDescent="0.2">
      <c r="A58" s="127" t="s">
        <v>157</v>
      </c>
      <c r="B58" s="125" t="s">
        <v>160</v>
      </c>
      <c r="C58" s="142">
        <f t="shared" si="19"/>
        <v>3.9502218993470493</v>
      </c>
      <c r="D58" s="142">
        <f t="shared" si="19"/>
        <v>4.4935881213430422</v>
      </c>
      <c r="E58" s="142">
        <f t="shared" si="19"/>
        <v>0.13373970551872402</v>
      </c>
      <c r="F58" s="142">
        <f t="shared" si="19"/>
        <v>0.3826208029955796</v>
      </c>
      <c r="G58" s="142">
        <f t="shared" si="19"/>
        <v>0.80451846241169267</v>
      </c>
      <c r="H58" s="142">
        <f t="shared" si="19"/>
        <v>0.63717127597772361</v>
      </c>
      <c r="I58" s="142">
        <f t="shared" si="19"/>
        <v>0.62387784593133744</v>
      </c>
      <c r="J58" s="142">
        <f t="shared" si="19"/>
        <v>0.15052861486202032</v>
      </c>
      <c r="K58" s="142">
        <f t="shared" si="19"/>
        <v>0.64714015495571198</v>
      </c>
      <c r="L58" s="142">
        <f t="shared" si="19"/>
        <v>0.68617497303155028</v>
      </c>
      <c r="M58" s="142">
        <f t="shared" si="19"/>
        <v>0.79575736853641299</v>
      </c>
      <c r="N58" s="175">
        <f t="shared" si="19"/>
        <v>0.86080153804605297</v>
      </c>
      <c r="O58" s="179">
        <f t="shared" si="18"/>
        <v>4.1306076921450314</v>
      </c>
      <c r="P58" s="143">
        <f t="shared" si="18"/>
        <v>0.18411536264505343</v>
      </c>
      <c r="Q58" s="180">
        <f t="shared" si="19"/>
        <v>0.66474526644458376</v>
      </c>
      <c r="R58" s="177">
        <f t="shared" si="19"/>
        <v>1</v>
      </c>
    </row>
    <row r="59" spans="1:18" x14ac:dyDescent="0.2">
      <c r="A59" s="127" t="s">
        <v>181</v>
      </c>
      <c r="B59" s="125" t="s">
        <v>184</v>
      </c>
      <c r="C59" s="142">
        <f t="shared" si="19"/>
        <v>2.1492354526438744</v>
      </c>
      <c r="D59" s="142">
        <f t="shared" si="19"/>
        <v>1.5436319981770807</v>
      </c>
      <c r="E59" s="142">
        <f t="shared" si="19"/>
        <v>1.2729184336239947</v>
      </c>
      <c r="F59" s="142">
        <f t="shared" si="19"/>
        <v>1.0412855831173153</v>
      </c>
      <c r="G59" s="142">
        <f t="shared" si="19"/>
        <v>1.0290978972210616</v>
      </c>
      <c r="H59" s="142">
        <f t="shared" si="19"/>
        <v>0.66557761927046255</v>
      </c>
      <c r="I59" s="142">
        <f t="shared" si="19"/>
        <v>0.64194190344930868</v>
      </c>
      <c r="J59" s="142">
        <f t="shared" si="19"/>
        <v>0.26036017015448798</v>
      </c>
      <c r="K59" s="142">
        <f t="shared" si="19"/>
        <v>0.66391870389194252</v>
      </c>
      <c r="L59" s="142">
        <f t="shared" si="19"/>
        <v>0.82492802305163493</v>
      </c>
      <c r="M59" s="142">
        <f t="shared" si="19"/>
        <v>0.94986822673782478</v>
      </c>
      <c r="N59" s="175">
        <f t="shared" si="19"/>
        <v>0.8288723074289579</v>
      </c>
      <c r="O59" s="179">
        <f t="shared" si="18"/>
        <v>1.9481882494263092</v>
      </c>
      <c r="P59" s="143">
        <f t="shared" si="18"/>
        <v>1.2260339688148345</v>
      </c>
      <c r="Q59" s="180">
        <f t="shared" si="19"/>
        <v>0.7483138251222039</v>
      </c>
      <c r="R59" s="177">
        <f t="shared" si="19"/>
        <v>1</v>
      </c>
    </row>
    <row r="60" spans="1:18" x14ac:dyDescent="0.2">
      <c r="A60" s="127" t="s">
        <v>218</v>
      </c>
      <c r="B60" s="125" t="s">
        <v>221</v>
      </c>
      <c r="C60" s="142">
        <f t="shared" si="19"/>
        <v>2.6692200084665196</v>
      </c>
      <c r="D60" s="142">
        <f t="shared" si="19"/>
        <v>5.6021419925575353</v>
      </c>
      <c r="E60" s="142">
        <f t="shared" si="19"/>
        <v>9.8239664678483996E-2</v>
      </c>
      <c r="F60" s="142">
        <f t="shared" si="19"/>
        <v>0.71119865060947529</v>
      </c>
      <c r="G60" s="142">
        <f t="shared" si="19"/>
        <v>1.030694262917593</v>
      </c>
      <c r="H60" s="142">
        <f t="shared" si="19"/>
        <v>0.63491535562327694</v>
      </c>
      <c r="I60" s="142">
        <f t="shared" si="19"/>
        <v>0.70833900466104116</v>
      </c>
      <c r="J60" s="142">
        <f t="shared" si="19"/>
        <v>0.1810610830121468</v>
      </c>
      <c r="K60" s="142">
        <f t="shared" si="19"/>
        <v>0.72846212486822692</v>
      </c>
      <c r="L60" s="142">
        <f t="shared" si="19"/>
        <v>0.76303394967626303</v>
      </c>
      <c r="M60" s="142">
        <f t="shared" si="19"/>
        <v>1.0266881065635152</v>
      </c>
      <c r="N60" s="175">
        <f t="shared" si="19"/>
        <v>0.76198356842208104</v>
      </c>
      <c r="O60" s="179">
        <f t="shared" si="18"/>
        <v>3.6428864527505542</v>
      </c>
      <c r="P60" s="143">
        <f t="shared" si="18"/>
        <v>0.22230779207266532</v>
      </c>
      <c r="Q60" s="180">
        <f t="shared" si="19"/>
        <v>0.74519081981799096</v>
      </c>
      <c r="R60" s="177">
        <f t="shared" si="19"/>
        <v>1</v>
      </c>
    </row>
    <row r="61" spans="1:18" x14ac:dyDescent="0.2">
      <c r="A61" s="127" t="s">
        <v>261</v>
      </c>
      <c r="B61" s="125" t="s">
        <v>264</v>
      </c>
      <c r="C61" s="142">
        <f t="shared" si="19"/>
        <v>1.38798862636173</v>
      </c>
      <c r="D61" s="142">
        <f t="shared" si="19"/>
        <v>0.79342945289524358</v>
      </c>
      <c r="E61" s="142">
        <f t="shared" si="19"/>
        <v>1.3909943957476463</v>
      </c>
      <c r="F61" s="142">
        <f t="shared" si="19"/>
        <v>1.0461197640910236</v>
      </c>
      <c r="G61" s="142">
        <f t="shared" si="19"/>
        <v>1.1254461578757042</v>
      </c>
      <c r="H61" s="142">
        <f t="shared" si="19"/>
        <v>0.91463273392257938</v>
      </c>
      <c r="I61" s="142">
        <f t="shared" si="19"/>
        <v>0.89964595612448051</v>
      </c>
      <c r="J61" s="142">
        <f t="shared" si="19"/>
        <v>0.31166069191009421</v>
      </c>
      <c r="K61" s="142">
        <f t="shared" si="19"/>
        <v>1.0061158538650192</v>
      </c>
      <c r="L61" s="142">
        <f t="shared" si="19"/>
        <v>0.86893029047530712</v>
      </c>
      <c r="M61" s="142">
        <f t="shared" si="19"/>
        <v>0.75907379957291399</v>
      </c>
      <c r="N61" s="175">
        <f t="shared" si="19"/>
        <v>0.84005541885607948</v>
      </c>
      <c r="O61" s="179">
        <f t="shared" si="18"/>
        <v>1.1906078847376105</v>
      </c>
      <c r="P61" s="143">
        <f t="shared" si="18"/>
        <v>1.3211888284625743</v>
      </c>
      <c r="Q61" s="180">
        <f t="shared" si="19"/>
        <v>0.86190022164236657</v>
      </c>
      <c r="R61" s="177">
        <f t="shared" si="19"/>
        <v>1</v>
      </c>
    </row>
    <row r="62" spans="1:18" x14ac:dyDescent="0.2">
      <c r="A62" s="127" t="s">
        <v>314</v>
      </c>
      <c r="B62" s="125" t="s">
        <v>317</v>
      </c>
      <c r="C62" s="142">
        <f t="shared" si="19"/>
        <v>4.3929443995703208</v>
      </c>
      <c r="D62" s="142">
        <f t="shared" si="19"/>
        <v>1.6102795200683933</v>
      </c>
      <c r="E62" s="142">
        <f t="shared" si="19"/>
        <v>0.33932452177419437</v>
      </c>
      <c r="F62" s="142">
        <f t="shared" si="19"/>
        <v>1.3566605969644392</v>
      </c>
      <c r="G62" s="142">
        <f t="shared" si="19"/>
        <v>0.75617481920118312</v>
      </c>
      <c r="H62" s="142">
        <f t="shared" si="19"/>
        <v>0.59294601432028649</v>
      </c>
      <c r="I62" s="142">
        <f t="shared" si="19"/>
        <v>0.72288001334841678</v>
      </c>
      <c r="J62" s="142">
        <f t="shared" si="19"/>
        <v>0.29242635571271847</v>
      </c>
      <c r="K62" s="142">
        <f t="shared" si="19"/>
        <v>0.72954745335247684</v>
      </c>
      <c r="L62" s="142">
        <f t="shared" si="19"/>
        <v>0.67810931738307079</v>
      </c>
      <c r="M62" s="142">
        <f t="shared" si="19"/>
        <v>0.8280502609868251</v>
      </c>
      <c r="N62" s="175">
        <f t="shared" si="19"/>
        <v>0.85082600289928456</v>
      </c>
      <c r="O62" s="179">
        <f t="shared" si="18"/>
        <v>3.4691600529169917</v>
      </c>
      <c r="P62" s="143">
        <f t="shared" si="18"/>
        <v>0.54524202143804623</v>
      </c>
      <c r="Q62" s="180">
        <f t="shared" si="19"/>
        <v>0.67568468206869625</v>
      </c>
      <c r="R62" s="177">
        <f t="shared" si="19"/>
        <v>1</v>
      </c>
    </row>
    <row r="63" spans="1:18" x14ac:dyDescent="0.2">
      <c r="A63" s="127" t="s">
        <v>365</v>
      </c>
      <c r="B63" s="125" t="s">
        <v>368</v>
      </c>
      <c r="C63" s="142">
        <f t="shared" si="19"/>
        <v>3.4121284401905578</v>
      </c>
      <c r="D63" s="142">
        <f t="shared" si="19"/>
        <v>2.2522524123108281</v>
      </c>
      <c r="E63" s="142">
        <f t="shared" si="19"/>
        <v>0.17235106336163211</v>
      </c>
      <c r="F63" s="142">
        <f t="shared" si="19"/>
        <v>0.85981652827490085</v>
      </c>
      <c r="G63" s="142">
        <f t="shared" si="19"/>
        <v>0.86062311971915095</v>
      </c>
      <c r="H63" s="142">
        <f t="shared" si="19"/>
        <v>0.86448217999585086</v>
      </c>
      <c r="I63" s="142">
        <f t="shared" si="19"/>
        <v>0.90341536238000064</v>
      </c>
      <c r="J63" s="142">
        <f t="shared" si="19"/>
        <v>0.32383885144182384</v>
      </c>
      <c r="K63" s="142">
        <f t="shared" si="19"/>
        <v>0.50515244654794456</v>
      </c>
      <c r="L63" s="142">
        <f t="shared" si="19"/>
        <v>0.82285750792574697</v>
      </c>
      <c r="M63" s="142">
        <f t="shared" si="19"/>
        <v>1.2226278025137225</v>
      </c>
      <c r="N63" s="175">
        <f t="shared" si="19"/>
        <v>0.76611531911747865</v>
      </c>
      <c r="O63" s="179">
        <f t="shared" si="18"/>
        <v>3.0270747722096973</v>
      </c>
      <c r="P63" s="143">
        <f t="shared" si="18"/>
        <v>0.31149993765444173</v>
      </c>
      <c r="Q63" s="180">
        <f t="shared" si="19"/>
        <v>0.83376290896604777</v>
      </c>
      <c r="R63" s="177">
        <f t="shared" si="19"/>
        <v>1</v>
      </c>
    </row>
    <row r="64" spans="1:18" ht="16" thickBot="1" x14ac:dyDescent="0.25">
      <c r="A64" s="446" t="s">
        <v>427</v>
      </c>
      <c r="B64" s="447"/>
      <c r="C64" s="144">
        <f t="shared" si="19"/>
        <v>1</v>
      </c>
      <c r="D64" s="144">
        <f t="shared" si="19"/>
        <v>1</v>
      </c>
      <c r="E64" s="144">
        <f t="shared" si="19"/>
        <v>1</v>
      </c>
      <c r="F64" s="144">
        <f t="shared" si="19"/>
        <v>1</v>
      </c>
      <c r="G64" s="144">
        <f t="shared" si="19"/>
        <v>1</v>
      </c>
      <c r="H64" s="144">
        <f t="shared" si="19"/>
        <v>1</v>
      </c>
      <c r="I64" s="144">
        <f t="shared" si="19"/>
        <v>1</v>
      </c>
      <c r="J64" s="144">
        <f t="shared" si="19"/>
        <v>1</v>
      </c>
      <c r="K64" s="144">
        <f t="shared" si="19"/>
        <v>1</v>
      </c>
      <c r="L64" s="144">
        <f t="shared" si="19"/>
        <v>1</v>
      </c>
      <c r="M64" s="144">
        <f t="shared" si="19"/>
        <v>1</v>
      </c>
      <c r="N64" s="176">
        <f t="shared" si="19"/>
        <v>1</v>
      </c>
      <c r="O64" s="181">
        <f t="shared" si="18"/>
        <v>1</v>
      </c>
      <c r="P64" s="144">
        <f t="shared" si="18"/>
        <v>1</v>
      </c>
      <c r="Q64" s="145">
        <f t="shared" si="19"/>
        <v>1</v>
      </c>
      <c r="R64" s="178">
        <f t="shared" si="19"/>
        <v>1</v>
      </c>
    </row>
  </sheetData>
  <mergeCells count="12">
    <mergeCell ref="A51:R51"/>
    <mergeCell ref="A52:R52"/>
    <mergeCell ref="A64:B64"/>
    <mergeCell ref="A46:B46"/>
    <mergeCell ref="A33:R33"/>
    <mergeCell ref="A34:R34"/>
    <mergeCell ref="A30:B30"/>
    <mergeCell ref="A1:U1"/>
    <mergeCell ref="A2:U2"/>
    <mergeCell ref="A14:B14"/>
    <mergeCell ref="A17:T17"/>
    <mergeCell ref="A18:T18"/>
  </mergeCells>
  <conditionalFormatting sqref="C55:N55">
    <cfRule type="colorScale" priority="9">
      <colorScale>
        <cfvo type="min"/>
        <cfvo type="max"/>
        <color rgb="FFFCFCFF"/>
        <color rgb="FF63BE7B"/>
      </colorScale>
    </cfRule>
  </conditionalFormatting>
  <conditionalFormatting sqref="C56:N56">
    <cfRule type="colorScale" priority="8">
      <colorScale>
        <cfvo type="min"/>
        <cfvo type="max"/>
        <color rgb="FFFCFCFF"/>
        <color rgb="FF63BE7B"/>
      </colorScale>
    </cfRule>
  </conditionalFormatting>
  <conditionalFormatting sqref="C57:N57">
    <cfRule type="colorScale" priority="7">
      <colorScale>
        <cfvo type="min"/>
        <cfvo type="max"/>
        <color rgb="FFFCFCFF"/>
        <color rgb="FF63BE7B"/>
      </colorScale>
    </cfRule>
  </conditionalFormatting>
  <conditionalFormatting sqref="C58:N58">
    <cfRule type="colorScale" priority="6">
      <colorScale>
        <cfvo type="min"/>
        <cfvo type="max"/>
        <color rgb="FFFCFCFF"/>
        <color rgb="FF63BE7B"/>
      </colorScale>
    </cfRule>
  </conditionalFormatting>
  <conditionalFormatting sqref="C59:N59">
    <cfRule type="colorScale" priority="5">
      <colorScale>
        <cfvo type="min"/>
        <cfvo type="max"/>
        <color rgb="FFFCFCFF"/>
        <color rgb="FF63BE7B"/>
      </colorScale>
    </cfRule>
  </conditionalFormatting>
  <conditionalFormatting sqref="C60:N60">
    <cfRule type="colorScale" priority="4">
      <colorScale>
        <cfvo type="min"/>
        <cfvo type="max"/>
        <color rgb="FFFCFCFF"/>
        <color rgb="FF63BE7B"/>
      </colorScale>
    </cfRule>
  </conditionalFormatting>
  <conditionalFormatting sqref="C61:N61">
    <cfRule type="colorScale" priority="3">
      <colorScale>
        <cfvo type="min"/>
        <cfvo type="max"/>
        <color rgb="FFFCFCFF"/>
        <color rgb="FF63BE7B"/>
      </colorScale>
    </cfRule>
  </conditionalFormatting>
  <conditionalFormatting sqref="C62:N62">
    <cfRule type="colorScale" priority="2">
      <colorScale>
        <cfvo type="min"/>
        <cfvo type="max"/>
        <color rgb="FFFCFCFF"/>
        <color rgb="FF63BE7B"/>
      </colorScale>
    </cfRule>
  </conditionalFormatting>
  <conditionalFormatting sqref="C63:N63">
    <cfRule type="colorScale" priority="1">
      <colorScale>
        <cfvo type="min"/>
        <cfvo type="max"/>
        <color rgb="FFFCFCFF"/>
        <color rgb="FF63BE7B"/>
      </colorScale>
    </cfRule>
  </conditionalFormatting>
  <pageMargins left="0.7" right="0.7" top="0.75" bottom="0.75" header="0.3" footer="0.3"/>
  <pageSetup orientation="portrait" horizontalDpi="4294967295" verticalDpi="4294967295"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prompt="Seleccione el año del cual desea los resultados" xr:uid="{00000000-0002-0000-0300-000000000000}">
          <x14:formula1>
            <xm:f>'PIB-Mpal 2015-2022 Corrient '!$AE$4:$AE$11</xm:f>
          </x14:formula1>
          <xm:sqref>V2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178"/>
  <sheetViews>
    <sheetView showGridLines="0" zoomScale="70" zoomScaleNormal="70" workbookViewId="0">
      <pane ySplit="1" topLeftCell="A2" activePane="bottomLeft" state="frozen"/>
      <selection pane="bottomLeft" activeCell="A19" sqref="A19:I19"/>
    </sheetView>
  </sheetViews>
  <sheetFormatPr baseColWidth="10" defaultColWidth="10.83203125" defaultRowHeight="15" x14ac:dyDescent="0.2"/>
  <cols>
    <col min="1" max="1" width="32.33203125" customWidth="1"/>
    <col min="2" max="2" width="13" customWidth="1"/>
    <col min="9" max="9" width="12.5" customWidth="1"/>
    <col min="10" max="10" width="13.5" customWidth="1"/>
  </cols>
  <sheetData>
    <row r="1" spans="1:23" ht="52.25" customHeight="1" x14ac:dyDescent="0.2">
      <c r="A1" s="229" t="s">
        <v>428</v>
      </c>
      <c r="B1" s="228" t="s">
        <v>290</v>
      </c>
      <c r="C1" s="146" t="str">
        <f>INDEX('PIB-Mpal 2015-2022 Corrient '!$E$5:$E$129,MATCH(B1,'PIB-Mpal 2015-2022 Corrient '!G5:G129,0))</f>
        <v>05321</v>
      </c>
      <c r="D1" s="146" t="str">
        <f>INDEX('PIB-Mpal 2015-2022 Corrient '!$C$5:$C$129,MATCH(B1,'PIB-Mpal 2015-2022 Corrient '!G5:G129,0))</f>
        <v>SR07</v>
      </c>
      <c r="I1" s="146" t="str">
        <f>"PIB precios corrientes Municipio de "&amp;B1&amp;", Subregión "&amp;INDEX('PIB-Mpal 2015-2022 Corrient '!F5:F129,MATCH(B1,'PIB-Mpal 2015-2022 Corrient '!G5:G129,0))&amp;" y Departamental 2015 - 2022 (miles de Millones de pesos)"</f>
        <v>PIB precios corrientes Municipio de Guatapé, Subregión Oriente y Departamental 2015 - 2022 (miles de Millones de pesos)</v>
      </c>
      <c r="J1" s="146" t="str">
        <f>"Participación del municipio de "&amp;B1&amp;" en el PIB de la Subregión "&amp;INDEX('PIB-Mpal 2015-2022 Corrient '!F5:F129,MATCH(B1,'PIB-Mpal 2015-2022 Corrient '!G5:G129,0))&amp;" 2015 - 2022"</f>
        <v>Participación del municipio de Guatapé en el PIB de la Subregión Oriente 2015 - 2022</v>
      </c>
      <c r="K1" s="146" t="str">
        <f>"Participación del municipio de "&amp;B1&amp;" en el PIB Departamental "&amp;INDEX('PIB-Mpal 2015-2022 Corrient '!F5:F129,MATCH(B1,'PIB-Mpal 2015-2022 Corrient '!G5:G129,0))&amp; " 2015 - 2022"</f>
        <v>Participación del municipio de Guatapé en el PIB Departamental Oriente 2015 - 2022</v>
      </c>
      <c r="L1" s="146" t="str">
        <f>"Tasas de Crecimiento del PIB a precios constantes Municipio de "&amp;B1&amp;", Subregión " &amp;INDEX('PIB-Mpal 2015-2022 Corrient '!F5:F129,MATCH(B1,'PIB-Mpal 2015-2022 Corrient '!G5:G129,0))&amp;" y Departamental entre el 2016 - 2022"</f>
        <v>Tasas de Crecimiento del PIB a precios constantes Municipio de Guatapé, Subregión Oriente y Departamental entre el 2016 - 2022</v>
      </c>
      <c r="M1" s="146" t="str">
        <f>"Distribución porcentual del valor agregado por sector económico del Municipio de "&amp;B1</f>
        <v>Distribución porcentual del valor agregado por sector económico del Municipio de Guatapé</v>
      </c>
      <c r="N1" s="146" t="str">
        <f>"Distribución del Valor Agregado en precios corrientes por ramas de actividad económica del Municipio de "&amp;B1&amp;" "&amp; $L$89</f>
        <v>Distribución del Valor Agregado en precios corrientes por ramas de actividad económica del Municipio de Guatapé 2022pr</v>
      </c>
      <c r="O1" s="146" t="str">
        <f>"Proporción de las ramas de actividad económica del sector primario en el valor agregado total en precios corrientes del Municipio de "&amp;B1&amp; " 2015 - 2022"</f>
        <v>Proporción de las ramas de actividad económica del sector primario en el valor agregado total en precios corrientes del Municipio de Guatapé 2015 - 2022</v>
      </c>
      <c r="P1" s="146" t="str">
        <f>"Proporción de las ramas de actividad económica del sector secundario en el valor agregado total en precios corrientes del Municipio de "&amp;B1&amp; " 2015 - 2022"</f>
        <v>Proporción de las ramas de actividad económica del sector secundario en el valor agregado total en precios corrientes del Municipio de Guatapé 2015 - 2022</v>
      </c>
      <c r="Q1" s="146" t="str">
        <f>"Proporción de las ramas de actividad económica del sector terciario en el valor agregado total en precios corrientes del Municipio de "&amp;B1&amp; " 2015 - 2022"</f>
        <v>Proporción de las ramas de actividad económica del sector terciario en el valor agregado total en precios corrientes del Municipio de Guatapé 2015 - 2022</v>
      </c>
      <c r="R1" s="146" t="str">
        <f>"Valor agregado por sectores económicos en precios constantes del Municipio de "&amp;B1&amp; " 2015 - 2022"</f>
        <v>Valor agregado por sectores económicos en precios constantes del Municipio de Guatapé 2015 - 2022</v>
      </c>
      <c r="S1" s="146" t="str">
        <f>"Tasa de variación del valor agregado por sectores económicos en precios constantes del Municipio de "&amp;B1&amp; " 2015 - 2022"</f>
        <v>Tasa de variación del valor agregado por sectores económicos en precios constantes del Municipio de Guatapé 2015 - 2022</v>
      </c>
      <c r="T1" s="146" t="str">
        <f>"Valor Agregado sector económico primario en precios constantes,  por ramas de actividad económica del Municipio de "&amp;B1 &amp;"2015 - 2022 (miles de Millones de pesos)"</f>
        <v>Valor Agregado sector económico primario en precios constantes,  por ramas de actividad económica del Municipio de Guatapé2015 - 2022 (miles de Millones de pesos)</v>
      </c>
      <c r="U1" s="146" t="str">
        <f>"Valor Agregado sector económico secundario en precios constantes,  por ramas de actividad económica del Municipio de "&amp;B1 &amp;"2015 - 2022 (miles de Millones de pesos)"</f>
        <v>Valor Agregado sector económico secundario en precios constantes,  por ramas de actividad económica del Municipio de Guatapé2015 - 2022 (miles de Millones de pesos)</v>
      </c>
      <c r="V1" s="146" t="str">
        <f>"Valor Agregado sector económico terciario en precios constantes,  por ramas de actividad económica del Municipio de "&amp;B1 &amp;"2015 - 2022 (miles de Millones de pesos)"</f>
        <v>Valor Agregado sector económico terciario en precios constantes,  por ramas de actividad económica del Municipio de Guatapé2015 - 2022 (miles de Millones de pesos)</v>
      </c>
      <c r="W1" s="146"/>
    </row>
    <row r="3" spans="1:23" ht="16" x14ac:dyDescent="0.2">
      <c r="A3" s="449" t="s">
        <v>17</v>
      </c>
      <c r="B3" s="449"/>
      <c r="C3" s="449"/>
      <c r="D3" s="449"/>
      <c r="E3" s="449"/>
      <c r="F3" s="449"/>
      <c r="G3" s="449"/>
      <c r="H3" s="449"/>
      <c r="I3" s="449"/>
    </row>
    <row r="4" spans="1:23" ht="18" customHeight="1" thickBot="1" x14ac:dyDescent="0.25">
      <c r="A4" s="451" t="s">
        <v>429</v>
      </c>
      <c r="B4" s="451"/>
      <c r="C4" s="451"/>
      <c r="D4" s="451"/>
      <c r="E4" s="451"/>
      <c r="F4" s="451"/>
      <c r="G4" s="451"/>
      <c r="H4" s="451"/>
      <c r="I4" s="451"/>
    </row>
    <row r="5" spans="1:23" x14ac:dyDescent="0.2">
      <c r="A5" s="230" t="s">
        <v>4</v>
      </c>
      <c r="B5" s="231">
        <v>2015</v>
      </c>
      <c r="C5" s="231">
        <v>2016</v>
      </c>
      <c r="D5" s="231">
        <v>2017</v>
      </c>
      <c r="E5" s="231">
        <v>2018</v>
      </c>
      <c r="F5" s="231">
        <v>2019</v>
      </c>
      <c r="G5" s="231" t="s">
        <v>430</v>
      </c>
      <c r="H5" s="231" t="s">
        <v>431</v>
      </c>
      <c r="I5" s="232" t="s">
        <v>432</v>
      </c>
    </row>
    <row r="6" spans="1:23" x14ac:dyDescent="0.2">
      <c r="A6" s="233" t="str">
        <f>"PIB Municipal "&amp; B1</f>
        <v>PIB Municipal Guatapé</v>
      </c>
      <c r="B6" s="3">
        <f>SUMIFS('PIB-Mpal 2015-2022 Corrient '!$Y$5:$Y$1012,'PIB-Mpal 2015-2022 Corrient '!$A$5:$A$1012,LEFT(B5,4),'PIB-Mpal 2015-2022 Corrient '!$E$5:$E$1012,$C$1)</f>
        <v>250.56083414580604</v>
      </c>
      <c r="C6" s="3">
        <f>SUMIFS('PIB-Mpal 2015-2022 Corrient '!$Y$5:$Y$1012,'PIB-Mpal 2015-2022 Corrient '!$A$5:$A$1012,LEFT(C5,4),'PIB-Mpal 2015-2022 Corrient '!$E$5:$E$1012,$C$1)</f>
        <v>323.51071932882644</v>
      </c>
      <c r="D6" s="3">
        <f>SUMIFS('PIB-Mpal 2015-2022 Corrient '!$Y$5:$Y$1012,'PIB-Mpal 2015-2022 Corrient '!$A$5:$A$1012,LEFT(D5,4),'PIB-Mpal 2015-2022 Corrient '!$E$5:$E$1012,$C$1)</f>
        <v>342.16717614449595</v>
      </c>
      <c r="E6" s="3">
        <f>SUMIFS('PIB-Mpal 2015-2022 Corrient '!$Y$5:$Y$1012,'PIB-Mpal 2015-2022 Corrient '!$A$5:$A$1012,LEFT(E5,4),'PIB-Mpal 2015-2022 Corrient '!$E$5:$E$1012,$C$1)</f>
        <v>371.95781599376068</v>
      </c>
      <c r="F6" s="3">
        <f>SUMIFS('PIB-Mpal 2015-2022 Corrient '!$Y$5:$Y$1012,'PIB-Mpal 2015-2022 Corrient '!$A$5:$A$1012,LEFT(F5,4),'PIB-Mpal 2015-2022 Corrient '!$E$5:$E$1012,$C$1)</f>
        <v>410.76937032758974</v>
      </c>
      <c r="G6" s="3">
        <f>SUMIFS('PIB-Mpal 2015-2022 Corrient '!$Y$5:$Y$1012,'PIB-Mpal 2015-2022 Corrient '!$A$5:$A$1012,LEFT(G5,4),'PIB-Mpal 2015-2022 Corrient '!$E$5:$E$1012,$C$1)</f>
        <v>421.92249355868364</v>
      </c>
      <c r="H6" s="3">
        <f>SUMIFS('PIB-Mpal 2015-2022 Corrient '!$Y$5:$Y$1012,'PIB-Mpal 2015-2022 Corrient '!$A$5:$A$1012,LEFT(H5,4),'PIB-Mpal 2015-2022 Corrient '!$E$5:$E$1012,$C$1)</f>
        <v>489.32284273085537</v>
      </c>
      <c r="I6" s="234">
        <f>SUMIFS('PIB-Mpal 2015-2022 Corrient '!$Y$5:$Y$1012,'PIB-Mpal 2015-2022 Corrient '!$A$5:$A$1012,LEFT(I5,4),'PIB-Mpal 2015-2022 Corrient '!$E$5:$E$1012,$C$1)</f>
        <v>578.57815064201725</v>
      </c>
    </row>
    <row r="7" spans="1:23" x14ac:dyDescent="0.2">
      <c r="A7" s="233" t="str">
        <f>"PIB Subregión "&amp;INDEX('PIB-Mpal 2015-2022 Corrient '!F5:F129,MATCH(B1,'PIB-Mpal 2015-2022 Corrient '!G5:G129,0))</f>
        <v>PIB Subregión Oriente</v>
      </c>
      <c r="B7" s="3">
        <f>SUMIFS('PIB-Mpal 2015-2022 Corrient '!$Y$5:$Y$1012,'PIB-Mpal 2015-2022 Corrient '!$A$5:$A$1012,LEFT(B5,4),'PIB-Mpal 2015-2022 Corrient '!$C$5:$C$1012,$D$1)</f>
        <v>10593.641719838406</v>
      </c>
      <c r="C7" s="3">
        <f>SUMIFS('PIB-Mpal 2015-2022 Corrient '!$Y$5:$Y$1012,'PIB-Mpal 2015-2022 Corrient '!$A$5:$A$1012,LEFT(C5,4),'PIB-Mpal 2015-2022 Corrient '!$C$5:$C$1012,$D$1)</f>
        <v>11395.673349094355</v>
      </c>
      <c r="D7" s="3">
        <f>SUMIFS('PIB-Mpal 2015-2022 Corrient '!$Y$5:$Y$1012,'PIB-Mpal 2015-2022 Corrient '!$A$5:$A$1012,LEFT(D5,4),'PIB-Mpal 2015-2022 Corrient '!$C$5:$C$1012,$D$1)</f>
        <v>12135.343351228224</v>
      </c>
      <c r="E7" s="3">
        <f>SUMIFS('PIB-Mpal 2015-2022 Corrient '!$Y$5:$Y$1012,'PIB-Mpal 2015-2022 Corrient '!$A$5:$A$1012,LEFT(E5,4),'PIB-Mpal 2015-2022 Corrient '!$C$5:$C$1012,$D$1)</f>
        <v>13337.204051515915</v>
      </c>
      <c r="F7" s="3">
        <f>SUMIFS('PIB-Mpal 2015-2022 Corrient '!$Y$5:$Y$1012,'PIB-Mpal 2015-2022 Corrient '!$A$5:$A$1012,LEFT(F5,4),'PIB-Mpal 2015-2022 Corrient '!$C$5:$C$1012,$D$1)</f>
        <v>15140.409672364063</v>
      </c>
      <c r="G7" s="3">
        <f>SUMIFS('PIB-Mpal 2015-2022 Corrient '!$Y$5:$Y$1012,'PIB-Mpal 2015-2022 Corrient '!$A$5:$A$1012,LEFT(G5,4),'PIB-Mpal 2015-2022 Corrient '!$C$5:$C$1012,$D$1)</f>
        <v>14397.547594731179</v>
      </c>
      <c r="H7" s="3">
        <f>SUMIFS('PIB-Mpal 2015-2022 Corrient '!$Y$5:$Y$1012,'PIB-Mpal 2015-2022 Corrient '!$A$5:$A$1012,LEFT(H5,4),'PIB-Mpal 2015-2022 Corrient '!$C$5:$C$1012,$D$1)</f>
        <v>17277.649289027693</v>
      </c>
      <c r="I7" s="234">
        <f>SUMIFS('PIB-Mpal 2015-2022 Corrient '!$Y$5:$Y$1012,'PIB-Mpal 2015-2022 Corrient '!$A$5:$A$1012,LEFT(I5,4),'PIB-Mpal 2015-2022 Corrient '!$C$5:$C$1012,$D$1)</f>
        <v>20679.481577145245</v>
      </c>
    </row>
    <row r="8" spans="1:23" ht="16" thickBot="1" x14ac:dyDescent="0.25">
      <c r="A8" s="235" t="s">
        <v>433</v>
      </c>
      <c r="B8" s="236">
        <f>SUMIFS('PIB-Mpal 2015-2022 Corrient '!$Y$5:$Y$1012,'PIB-Mpal 2015-2022 Corrient '!$A$5:$A$1012,LEFT(B5,4),'PIB-Mpal 2015-2022 Corrient '!$G$5:$G$1012,SUBSTITUTE($A$8,"Total ",""))</f>
        <v>115446.25698331559</v>
      </c>
      <c r="C8" s="236">
        <f>SUMIFS('PIB-Mpal 2015-2022 Corrient '!$Y$5:$Y$1012,'PIB-Mpal 2015-2022 Corrient '!$A$5:$A$1012,LEFT(C5,4),'PIB-Mpal 2015-2022 Corrient '!$G$5:$G$1012,SUBSTITUTE($A$8,"Total ",""))</f>
        <v>126021.64407252641</v>
      </c>
      <c r="D8" s="236">
        <f>SUMIFS('PIB-Mpal 2015-2022 Corrient '!$Y$5:$Y$1012,'PIB-Mpal 2015-2022 Corrient '!$A$5:$A$1012,LEFT(D5,4),'PIB-Mpal 2015-2022 Corrient '!$G$5:$G$1012,SUBSTITUTE($A$8,"Total ",""))</f>
        <v>132368.59065390422</v>
      </c>
      <c r="E8" s="236">
        <f>SUMIFS('PIB-Mpal 2015-2022 Corrient '!$Y$5:$Y$1012,'PIB-Mpal 2015-2022 Corrient '!$A$5:$A$1012,LEFT(E5,4),'PIB-Mpal 2015-2022 Corrient '!$G$5:$G$1012,SUBSTITUTE($A$8,"Total ",""))</f>
        <v>141680.0803320556</v>
      </c>
      <c r="F8" s="236">
        <f>SUMIFS('PIB-Mpal 2015-2022 Corrient '!$Y$5:$Y$1012,'PIB-Mpal 2015-2022 Corrient '!$A$5:$A$1012,LEFT(F5,4),'PIB-Mpal 2015-2022 Corrient '!$G$5:$G$1012,SUBSTITUTE($A$8,"Total ",""))</f>
        <v>153559.44893857837</v>
      </c>
      <c r="G8" s="236">
        <f>SUMIFS('PIB-Mpal 2015-2022 Corrient '!$Y$5:$Y$1012,'PIB-Mpal 2015-2022 Corrient '!$A$5:$A$1012,LEFT(G5,4),'PIB-Mpal 2015-2022 Corrient '!$G$5:$G$1012,SUBSTITUTE($A$8,"Total ",""))</f>
        <v>148236.10920443689</v>
      </c>
      <c r="H8" s="236">
        <f>SUMIFS('PIB-Mpal 2015-2022 Corrient '!$Y$5:$Y$1012,'PIB-Mpal 2015-2022 Corrient '!$A$5:$A$1012,LEFT(H5,4),'PIB-Mpal 2015-2022 Corrient '!$G$5:$G$1012,SUBSTITUTE($A$8,"Total ",""))</f>
        <v>177836.52474560376</v>
      </c>
      <c r="I8" s="237">
        <f>SUMIFS('PIB-Mpal 2015-2022 Corrient '!$Y$5:$Y$1012,'PIB-Mpal 2015-2022 Corrient '!$A$5:$A$1012,LEFT(I5,4),'PIB-Mpal 2015-2022 Corrient '!$G$5:$G$1012,SUBSTITUTE($A$8,"Total ",""))</f>
        <v>212514.95735553346</v>
      </c>
    </row>
    <row r="10" spans="1:23" ht="16" x14ac:dyDescent="0.2">
      <c r="A10" s="449" t="s">
        <v>19</v>
      </c>
      <c r="B10" s="449"/>
      <c r="C10" s="449"/>
      <c r="D10" s="449"/>
      <c r="E10" s="449"/>
      <c r="F10" s="449"/>
      <c r="G10" s="449"/>
      <c r="H10" s="449"/>
      <c r="I10" s="449"/>
    </row>
    <row r="11" spans="1:23" ht="17.5" customHeight="1" thickBot="1" x14ac:dyDescent="0.25">
      <c r="A11" s="456" t="str">
        <f>"Participación % del Municipio de "&amp;B1</f>
        <v>Participación % del Municipio de Guatapé</v>
      </c>
      <c r="B11" s="456"/>
      <c r="C11" s="456"/>
      <c r="D11" s="456"/>
      <c r="E11" s="456"/>
      <c r="F11" s="456"/>
      <c r="G11" s="456"/>
      <c r="H11" s="456"/>
      <c r="I11" s="456"/>
    </row>
    <row r="12" spans="1:23" x14ac:dyDescent="0.2">
      <c r="A12" s="230" t="s">
        <v>4</v>
      </c>
      <c r="B12" s="231">
        <v>2015</v>
      </c>
      <c r="C12" s="231">
        <v>2016</v>
      </c>
      <c r="D12" s="231">
        <v>2017</v>
      </c>
      <c r="E12" s="231">
        <v>2018</v>
      </c>
      <c r="F12" s="231">
        <v>2019</v>
      </c>
      <c r="G12" s="231">
        <v>2020</v>
      </c>
      <c r="H12" s="231" t="s">
        <v>431</v>
      </c>
      <c r="I12" s="232" t="s">
        <v>432</v>
      </c>
    </row>
    <row r="13" spans="1:23" x14ac:dyDescent="0.2">
      <c r="A13" s="233" t="s">
        <v>434</v>
      </c>
      <c r="B13" s="132">
        <f t="shared" ref="B13:G13" si="0">B6/B7</f>
        <v>2.3652001905689148E-2</v>
      </c>
      <c r="C13" s="132">
        <f t="shared" si="0"/>
        <v>2.8388907738789888E-2</v>
      </c>
      <c r="D13" s="132">
        <f t="shared" si="0"/>
        <v>2.8195920481299364E-2</v>
      </c>
      <c r="E13" s="132">
        <f t="shared" si="0"/>
        <v>2.7888739990559245E-2</v>
      </c>
      <c r="F13" s="132">
        <f t="shared" si="0"/>
        <v>2.7130664177295746E-2</v>
      </c>
      <c r="G13" s="132">
        <f t="shared" si="0"/>
        <v>2.930516400675677E-2</v>
      </c>
      <c r="H13" s="132">
        <f t="shared" ref="H13:I13" si="1">H6/H7</f>
        <v>2.8321146849624022E-2</v>
      </c>
      <c r="I13" s="132">
        <f t="shared" si="1"/>
        <v>2.7978368243111857E-2</v>
      </c>
    </row>
    <row r="14" spans="1:23" ht="16" thickBot="1" x14ac:dyDescent="0.25">
      <c r="A14" s="235" t="s">
        <v>435</v>
      </c>
      <c r="B14" s="239">
        <f t="shared" ref="B14:G14" si="2">B6/B8</f>
        <v>2.1703677597968147E-3</v>
      </c>
      <c r="C14" s="239">
        <f t="shared" si="2"/>
        <v>2.5671044185286425E-3</v>
      </c>
      <c r="D14" s="239">
        <f t="shared" si="2"/>
        <v>2.5849574619944307E-3</v>
      </c>
      <c r="E14" s="239">
        <f t="shared" si="2"/>
        <v>2.6253360043416345E-3</v>
      </c>
      <c r="F14" s="239">
        <f t="shared" si="2"/>
        <v>2.674985962549864E-3</v>
      </c>
      <c r="G14" s="239">
        <f t="shared" si="2"/>
        <v>2.8462868853148162E-3</v>
      </c>
      <c r="H14" s="239">
        <f t="shared" ref="H14:I14" si="3">H6/H8</f>
        <v>2.7515317420357529E-3</v>
      </c>
      <c r="I14" s="239">
        <f t="shared" si="3"/>
        <v>2.7225290767372533E-3</v>
      </c>
    </row>
    <row r="19" spans="1:9" ht="16" x14ac:dyDescent="0.2">
      <c r="A19" s="449" t="s">
        <v>21</v>
      </c>
      <c r="B19" s="449"/>
      <c r="C19" s="449"/>
      <c r="D19" s="449"/>
      <c r="E19" s="449"/>
      <c r="F19" s="449"/>
      <c r="G19" s="449"/>
      <c r="H19" s="449"/>
      <c r="I19" s="449"/>
    </row>
    <row r="20" spans="1:9" ht="32.5" customHeight="1" thickBot="1" x14ac:dyDescent="0.25">
      <c r="A20" s="448" t="s">
        <v>436</v>
      </c>
      <c r="B20" s="448"/>
      <c r="C20" s="448"/>
      <c r="D20" s="448"/>
      <c r="E20" s="448"/>
      <c r="F20" s="448"/>
      <c r="G20" s="448"/>
      <c r="H20" s="448"/>
      <c r="I20" s="448"/>
    </row>
    <row r="21" spans="1:9" x14ac:dyDescent="0.2">
      <c r="A21" s="230" t="s">
        <v>4</v>
      </c>
      <c r="B21" s="231">
        <v>2015</v>
      </c>
      <c r="C21" s="231">
        <v>2016</v>
      </c>
      <c r="D21" s="231">
        <v>2017</v>
      </c>
      <c r="E21" s="231">
        <v>2018</v>
      </c>
      <c r="F21" s="231">
        <v>2019</v>
      </c>
      <c r="G21" s="231">
        <v>2020</v>
      </c>
      <c r="H21" s="231" t="s">
        <v>431</v>
      </c>
      <c r="I21" s="232" t="s">
        <v>432</v>
      </c>
    </row>
    <row r="22" spans="1:9" x14ac:dyDescent="0.2">
      <c r="A22" s="233" t="str">
        <f>"PIB Municipal "&amp; B1</f>
        <v>PIB Municipal Guatapé</v>
      </c>
      <c r="B22" s="3">
        <f>SUMIFS('PIB Mpal 2015-2022 Cons'!$Y$5:$Y$1012,'PIB Mpal 2015-2022 Cons'!$A$5:$A$1012,LEFT(B5,4),'PIB Mpal 2015-2022 Cons'!$E$5:$E$1012,$C$1)</f>
        <v>250.56083414580604</v>
      </c>
      <c r="C22" s="3">
        <f>SUMIFS('PIB Mpal 2015-2022 Cons'!$Y$5:$Y$1012,'PIB Mpal 2015-2022 Cons'!$A$5:$A$1012,LEFT(C5,4),'PIB Mpal 2015-2022 Cons'!$E$5:$E$1012,$C$1)</f>
        <v>304.39621712803068</v>
      </c>
      <c r="D22" s="3">
        <f>SUMIFS('PIB Mpal 2015-2022 Cons'!$Y$5:$Y$1012,'PIB Mpal 2015-2022 Cons'!$A$5:$A$1012,LEFT(D5,4),'PIB Mpal 2015-2022 Cons'!$E$5:$E$1012,$C$1)</f>
        <v>307.62790580301538</v>
      </c>
      <c r="E22" s="3">
        <f>SUMIFS('PIB Mpal 2015-2022 Cons'!$Y$5:$Y$1012,'PIB Mpal 2015-2022 Cons'!$A$5:$A$1012,LEFT(E5,4),'PIB Mpal 2015-2022 Cons'!$E$5:$E$1012,$C$1)</f>
        <v>322.84918007152243</v>
      </c>
      <c r="F22" s="3">
        <f>SUMIFS('PIB Mpal 2015-2022 Cons'!$Y$5:$Y$1012,'PIB Mpal 2015-2022 Cons'!$A$5:$A$1012,LEFT(F5,4),'PIB Mpal 2015-2022 Cons'!$E$5:$E$1012,$C$1)</f>
        <v>341.53265376007573</v>
      </c>
      <c r="G22" s="3">
        <f>SUMIFS('PIB Mpal 2015-2022 Cons'!$Y$5:$Y$1012,'PIB Mpal 2015-2022 Cons'!$A$5:$A$1012,LEFT(G5,4),'PIB Mpal 2015-2022 Cons'!$E$5:$E$1012,$C$1)</f>
        <v>340.36939932061694</v>
      </c>
      <c r="H22" s="3">
        <f>SUMIFS('PIB Mpal 2015-2022 Cons'!$Y$5:$Y$1012,'PIB Mpal 2015-2022 Cons'!$A$5:$A$1012,LEFT(H5,4),'PIB Mpal 2015-2022 Cons'!$E$5:$E$1012,$C$1)</f>
        <v>383.83811132300752</v>
      </c>
      <c r="I22" s="234">
        <f>SUMIFS('PIB Mpal 2015-2022 Cons'!$Y$5:$Y$1012,'PIB Mpal 2015-2022 Cons'!$A$5:$A$1012,LEFT(I5,4),'PIB Mpal 2015-2022 Cons'!$E$5:$E$1012,$C$1)</f>
        <v>412.04373990002244</v>
      </c>
    </row>
    <row r="23" spans="1:9" x14ac:dyDescent="0.2">
      <c r="A23" s="233" t="str">
        <f>"PIB Subregión "&amp;INDEX('PIB-Mpal 2015-2022 Corrient '!F5:F129,MATCH(B1,'PIB-Mpal 2015-2022 Corrient '!G5:G129,0))</f>
        <v>PIB Subregión Oriente</v>
      </c>
      <c r="B23" s="3">
        <f>SUMIFS('PIB Mpal 2015-2022 Cons'!$Y$5:$Y$1012,'PIB Mpal 2015-2022 Cons'!$A$5:$A$1012,LEFT(B5,4),'PIB Mpal 2015-2022 Cons'!$C$5:$C$1012,$D$1)</f>
        <v>10593.641719838408</v>
      </c>
      <c r="C23" s="3">
        <f>SUMIFS('PIB Mpal 2015-2022 Cons'!$Y$5:$Y$1012,'PIB Mpal 2015-2022 Cons'!$A$5:$A$1012,LEFT(C5,4),'PIB Mpal 2015-2022 Cons'!$C$5:$C$1012,$D$1)</f>
        <v>10715.410395632429</v>
      </c>
      <c r="D23" s="3">
        <f>SUMIFS('PIB Mpal 2015-2022 Cons'!$Y$5:$Y$1012,'PIB Mpal 2015-2022 Cons'!$A$5:$A$1012,LEFT(D5,4),'PIB Mpal 2015-2022 Cons'!$C$5:$C$1012,$D$1)</f>
        <v>11114.500944987185</v>
      </c>
      <c r="E23" s="3">
        <f>SUMIFS('PIB Mpal 2015-2022 Cons'!$Y$5:$Y$1012,'PIB Mpal 2015-2022 Cons'!$A$5:$A$1012,LEFT(E5,4),'PIB Mpal 2015-2022 Cons'!$C$5:$C$1012,$D$1)</f>
        <v>11820.584167130739</v>
      </c>
      <c r="F23" s="3">
        <f>SUMIFS('PIB Mpal 2015-2022 Cons'!$Y$5:$Y$1012,'PIB Mpal 2015-2022 Cons'!$A$5:$A$1012,LEFT(F5,4),'PIB Mpal 2015-2022 Cons'!$C$5:$C$1012,$D$1)</f>
        <v>12782.93028170415</v>
      </c>
      <c r="G23" s="3">
        <f>SUMIFS('PIB Mpal 2015-2022 Cons'!$Y$5:$Y$1012,'PIB Mpal 2015-2022 Cons'!$A$5:$A$1012,LEFT(G5,4),'PIB Mpal 2015-2022 Cons'!$C$5:$C$1012,$D$1)</f>
        <v>11788.653263818675</v>
      </c>
      <c r="H23" s="3">
        <f>SUMIFS('PIB Mpal 2015-2022 Cons'!$Y$5:$Y$1012,'PIB Mpal 2015-2022 Cons'!$A$5:$A$1012,LEFT(H5,4),'PIB Mpal 2015-2022 Cons'!$C$5:$C$1012,$D$1)</f>
        <v>13373.849115017903</v>
      </c>
      <c r="I23" s="234">
        <f>SUMIFS('PIB Mpal 2015-2022 Cons'!$Y$5:$Y$1012,'PIB Mpal 2015-2022 Cons'!$A$5:$A$1012,LEFT(I5,4),'PIB Mpal 2015-2022 Cons'!$C$5:$C$1012,$D$1)</f>
        <v>14076.732718104042</v>
      </c>
    </row>
    <row r="24" spans="1:9" ht="16" thickBot="1" x14ac:dyDescent="0.25">
      <c r="A24" s="235" t="s">
        <v>433</v>
      </c>
      <c r="B24" s="236">
        <f>SUMIFS('PIB Mpal 2015-2022 Cons'!$Y$5:$Y$1012,'PIB Mpal 2015-2022 Cons'!$A$5:$A$1012,LEFT(B5,4),'PIB Mpal 2015-2022 Cons'!$G$5:$G$1012,SUBSTITUTE($A$24,"Total ",""))</f>
        <v>115446.2569833156</v>
      </c>
      <c r="C24" s="236">
        <f>SUMIFS('PIB Mpal 2015-2022 Cons'!$Y$5:$Y$1012,'PIB Mpal 2015-2022 Cons'!$A$5:$A$1012,LEFT(C5,4),'PIB Mpal 2015-2022 Cons'!$G$5:$G$1012,SUBSTITUTE($A$24,"Total ",""))</f>
        <v>119046.38411498669</v>
      </c>
      <c r="D24" s="236">
        <f>SUMIFS('PIB Mpal 2015-2022 Cons'!$Y$5:$Y$1012,'PIB Mpal 2015-2022 Cons'!$A$5:$A$1012,LEFT(D5,4),'PIB Mpal 2015-2022 Cons'!$G$5:$G$1012,SUBSTITUTE($A$24,"Total ",""))</f>
        <v>120973.26658047568</v>
      </c>
      <c r="E24" s="236">
        <f>SUMIFS('PIB Mpal 2015-2022 Cons'!$Y$5:$Y$1012,'PIB Mpal 2015-2022 Cons'!$A$5:$A$1012,LEFT(E5,4),'PIB Mpal 2015-2022 Cons'!$G$5:$G$1012,SUBSTITUTE($A$24,"Total ",""))</f>
        <v>125172.9567513896</v>
      </c>
      <c r="F24" s="236">
        <f>SUMIFS('PIB Mpal 2015-2022 Cons'!$Y$5:$Y$1012,'PIB Mpal 2015-2022 Cons'!$A$5:$A$1012,LEFT(F5,4),'PIB Mpal 2015-2022 Cons'!$G$5:$G$1012,SUBSTITUTE($A$24,"Total ",""))</f>
        <v>129671.98068228063</v>
      </c>
      <c r="G24" s="236">
        <f>SUMIFS('PIB Mpal 2015-2022 Cons'!$Y$5:$Y$1012,'PIB Mpal 2015-2022 Cons'!$A$5:$A$1012,LEFT(G5,4),'PIB Mpal 2015-2022 Cons'!$G$5:$G$1012,SUBSTITUTE($A$24,"Total ",""))</f>
        <v>120975.50157848449</v>
      </c>
      <c r="H24" s="236">
        <f>SUMIFS('PIB Mpal 2015-2022 Cons'!$Y$5:$Y$1012,'PIB Mpal 2015-2022 Cons'!$A$5:$A$1012,LEFT(H5,4),'PIB Mpal 2015-2022 Cons'!$G$5:$G$1012,SUBSTITUTE($A$24,"Total ",""))</f>
        <v>137601.58785110028</v>
      </c>
      <c r="I24" s="237">
        <f>SUMIFS('PIB Mpal 2015-2022 Cons'!$Y$5:$Y$1012,'PIB Mpal 2015-2022 Cons'!$A$5:$A$1012,LEFT(I5,4),'PIB Mpal 2015-2022 Cons'!$G$5:$G$1012,SUBSTITUTE($A$24,"Total ",""))</f>
        <v>147073.53979714858</v>
      </c>
    </row>
    <row r="27" spans="1:9" ht="16" x14ac:dyDescent="0.2">
      <c r="A27" s="449" t="s">
        <v>23</v>
      </c>
      <c r="B27" s="449"/>
      <c r="C27" s="449"/>
      <c r="D27" s="449"/>
      <c r="E27" s="449"/>
      <c r="F27" s="449"/>
      <c r="G27" s="449"/>
      <c r="H27" s="449"/>
    </row>
    <row r="28" spans="1:9" ht="29" customHeight="1" thickBot="1" x14ac:dyDescent="0.25">
      <c r="A28" s="450" t="s">
        <v>437</v>
      </c>
      <c r="B28" s="450"/>
      <c r="C28" s="450"/>
      <c r="D28" s="450"/>
      <c r="E28" s="450"/>
      <c r="F28" s="450"/>
      <c r="G28" s="450"/>
      <c r="H28" s="450"/>
    </row>
    <row r="29" spans="1:9" x14ac:dyDescent="0.2">
      <c r="A29" s="230" t="s">
        <v>4</v>
      </c>
      <c r="B29" s="231">
        <v>2016</v>
      </c>
      <c r="C29" s="231">
        <v>2017</v>
      </c>
      <c r="D29" s="231">
        <v>2018</v>
      </c>
      <c r="E29" s="231">
        <v>2019</v>
      </c>
      <c r="F29" s="231">
        <v>2020</v>
      </c>
      <c r="G29" s="231" t="s">
        <v>431</v>
      </c>
      <c r="H29" s="232" t="s">
        <v>432</v>
      </c>
    </row>
    <row r="30" spans="1:9" x14ac:dyDescent="0.2">
      <c r="A30" s="233" t="str">
        <f>"PIB Municipal "&amp; B1</f>
        <v>PIB Municipal Guatapé</v>
      </c>
      <c r="B30" s="132">
        <f t="shared" ref="B30:F32" si="4">(C22-B22)/B22</f>
        <v>0.2148595296857003</v>
      </c>
      <c r="C30" s="132">
        <f t="shared" si="4"/>
        <v>1.0616717597464196E-2</v>
      </c>
      <c r="D30" s="132">
        <f t="shared" si="4"/>
        <v>4.9479497735337913E-2</v>
      </c>
      <c r="E30" s="132">
        <f t="shared" si="4"/>
        <v>5.7870593583091219E-2</v>
      </c>
      <c r="F30" s="132">
        <f t="shared" si="4"/>
        <v>-3.40598307849057E-3</v>
      </c>
      <c r="G30" s="132">
        <f t="shared" ref="G30:G32" si="5">(H22-G22)/G22</f>
        <v>0.1277103996104082</v>
      </c>
      <c r="H30" s="238">
        <f t="shared" ref="H30:H32" si="6">(I22-H22)/H22</f>
        <v>7.3483137148096567E-2</v>
      </c>
    </row>
    <row r="31" spans="1:9" x14ac:dyDescent="0.2">
      <c r="A31" s="233" t="str">
        <f>"PIB Subregión "&amp;INDEX('PIB-Mpal 2015-2022 Corrient '!F5:F129,MATCH(B1,'PIB-Mpal 2015-2022 Corrient '!G5:G129,0))</f>
        <v>PIB Subregión Oriente</v>
      </c>
      <c r="B31" s="132">
        <f t="shared" si="4"/>
        <v>1.1494505762450723E-2</v>
      </c>
      <c r="C31" s="132">
        <f t="shared" si="4"/>
        <v>3.7244541703920581E-2</v>
      </c>
      <c r="D31" s="132">
        <f t="shared" si="4"/>
        <v>6.3528108516829856E-2</v>
      </c>
      <c r="E31" s="132">
        <f t="shared" si="4"/>
        <v>8.1412737388173034E-2</v>
      </c>
      <c r="F31" s="132">
        <f t="shared" si="4"/>
        <v>-7.7781619391960238E-2</v>
      </c>
      <c r="G31" s="132">
        <f t="shared" si="5"/>
        <v>0.13446793418417496</v>
      </c>
      <c r="H31" s="238">
        <f t="shared" si="6"/>
        <v>5.2556567450491795E-2</v>
      </c>
    </row>
    <row r="32" spans="1:9" ht="16" thickBot="1" x14ac:dyDescent="0.25">
      <c r="A32" s="235" t="s">
        <v>433</v>
      </c>
      <c r="B32" s="239">
        <f t="shared" si="4"/>
        <v>3.1184442230910835E-2</v>
      </c>
      <c r="C32" s="239">
        <f t="shared" si="4"/>
        <v>1.6185980614310955E-2</v>
      </c>
      <c r="D32" s="239">
        <f t="shared" si="4"/>
        <v>3.471585325936568E-2</v>
      </c>
      <c r="E32" s="239">
        <f t="shared" si="4"/>
        <v>3.5942459518845539E-2</v>
      </c>
      <c r="F32" s="239">
        <f t="shared" si="4"/>
        <v>-6.7065213765061998E-2</v>
      </c>
      <c r="G32" s="239">
        <f t="shared" si="5"/>
        <v>0.13743349732531918</v>
      </c>
      <c r="H32" s="240">
        <f t="shared" si="6"/>
        <v>6.8836065731290613E-2</v>
      </c>
    </row>
    <row r="36" spans="1:9" ht="16" x14ac:dyDescent="0.2">
      <c r="A36" s="449" t="s">
        <v>25</v>
      </c>
      <c r="B36" s="449"/>
      <c r="C36" s="449"/>
      <c r="D36" s="449"/>
      <c r="E36" s="449"/>
      <c r="F36" s="449"/>
      <c r="G36" s="449"/>
      <c r="H36" s="449"/>
      <c r="I36" s="449"/>
    </row>
    <row r="37" spans="1:9" ht="26" customHeight="1" thickBot="1" x14ac:dyDescent="0.25">
      <c r="A37" s="448" t="str">
        <f>"Valor Agregado precios corrientes por sectores Económicos del Municipio de "&amp;B1 &amp;" (miles de Millones de pesos)"</f>
        <v>Valor Agregado precios corrientes por sectores Económicos del Municipio de Guatapé (miles de Millones de pesos)</v>
      </c>
      <c r="B37" s="448"/>
      <c r="C37" s="448"/>
      <c r="D37" s="448"/>
      <c r="E37" s="448"/>
      <c r="F37" s="448"/>
      <c r="G37" s="448"/>
      <c r="H37" s="448"/>
      <c r="I37" s="448"/>
    </row>
    <row r="38" spans="1:9" x14ac:dyDescent="0.2">
      <c r="A38" s="230" t="s">
        <v>438</v>
      </c>
      <c r="B38" s="231">
        <v>2015</v>
      </c>
      <c r="C38" s="231">
        <v>2016</v>
      </c>
      <c r="D38" s="231">
        <v>2017</v>
      </c>
      <c r="E38" s="231">
        <v>2018</v>
      </c>
      <c r="F38" s="231">
        <v>2019</v>
      </c>
      <c r="G38" s="231">
        <v>2020</v>
      </c>
      <c r="H38" s="231" t="s">
        <v>431</v>
      </c>
      <c r="I38" s="232" t="s">
        <v>432</v>
      </c>
    </row>
    <row r="39" spans="1:9" x14ac:dyDescent="0.2">
      <c r="A39" s="233" t="s">
        <v>439</v>
      </c>
      <c r="B39" s="3">
        <f>SUMIFS('PIB-Mpal 2015-2022 Corrient '!$J$5:$J$1012,'PIB-Mpal 2015-2022 Corrient '!$A$5:$A$1012,LEFT(B38,4),'PIB-Mpal 2015-2022 Corrient '!$E$5:$E$1012,$C$1)</f>
        <v>2.8973141719562014</v>
      </c>
      <c r="C39" s="3">
        <f>SUMIFS('PIB-Mpal 2015-2022 Corrient '!$J$5:$J$1012,'PIB-Mpal 2015-2022 Corrient '!$A$5:$A$1012,LEFT(C38,4),'PIB-Mpal 2015-2022 Corrient '!$E$5:$E$1012,$C$1)</f>
        <v>4.6198080245067299</v>
      </c>
      <c r="D39" s="3">
        <f>SUMIFS('PIB-Mpal 2015-2022 Corrient '!$J$5:$J$1012,'PIB-Mpal 2015-2022 Corrient '!$A$5:$A$1012,LEFT(D38,4),'PIB-Mpal 2015-2022 Corrient '!$E$5:$E$1012,$C$1)</f>
        <v>5.8512057321454938</v>
      </c>
      <c r="E39" s="3">
        <f>SUMIFS('PIB-Mpal 2015-2022 Corrient '!$J$5:$J$1012,'PIB-Mpal 2015-2022 Corrient '!$A$5:$A$1012,LEFT(E38,4),'PIB-Mpal 2015-2022 Corrient '!$E$5:$E$1012,$C$1)</f>
        <v>4.022893220743188</v>
      </c>
      <c r="F39" s="3">
        <f>SUMIFS('PIB-Mpal 2015-2022 Corrient '!$J$5:$J$1012,'PIB-Mpal 2015-2022 Corrient '!$A$5:$A$1012,LEFT(F38,4),'PIB-Mpal 2015-2022 Corrient '!$E$5:$E$1012,$C$1)</f>
        <v>3.6631523422382863</v>
      </c>
      <c r="G39" s="3">
        <f>SUMIFS('PIB-Mpal 2015-2022 Corrient '!$J$5:$J$1012,'PIB-Mpal 2015-2022 Corrient '!$A$5:$A$1012,LEFT(G38,4),'PIB-Mpal 2015-2022 Corrient '!$E$5:$E$1012,$C$1)</f>
        <v>4.6137418684637019</v>
      </c>
      <c r="H39" s="3">
        <f>SUMIFS('PIB-Mpal 2015-2022 Corrient '!$J$5:$J$1012,'PIB-Mpal 2015-2022 Corrient '!$A$5:$A$1012,LEFT(H38,4),'PIB-Mpal 2015-2022 Corrient '!$E$5:$E$1012,$C$1)</f>
        <v>4.2682506718423685</v>
      </c>
      <c r="I39" s="234">
        <f>SUMIFS('PIB-Mpal 2015-2022 Corrient '!$J$5:$J$1012,'PIB-Mpal 2015-2022 Corrient '!$A$5:$A$1012,LEFT(I38,4),'PIB-Mpal 2015-2022 Corrient '!$E$5:$E$1012,$C$1)</f>
        <v>5.6336457191768954</v>
      </c>
    </row>
    <row r="40" spans="1:9" x14ac:dyDescent="0.2">
      <c r="A40" s="233" t="s">
        <v>440</v>
      </c>
      <c r="B40" s="3">
        <f>SUMIFS('PIB-Mpal 2015-2022 Corrient '!$M$5:$M$1012,'PIB-Mpal 2015-2022 Corrient '!$A$5:$A$1012,LEFT(B38,4),'PIB-Mpal 2015-2022 Corrient '!$E$5:$E$1012,$C$1)</f>
        <v>19.682692419726365</v>
      </c>
      <c r="C40" s="3">
        <f>SUMIFS('PIB-Mpal 2015-2022 Corrient '!$M$5:$M$1012,'PIB-Mpal 2015-2022 Corrient '!$A$5:$A$1012,LEFT(C38,4),'PIB-Mpal 2015-2022 Corrient '!$E$5:$E$1012,$C$1)</f>
        <v>25.302004997693025</v>
      </c>
      <c r="D40" s="3">
        <f>SUMIFS('PIB-Mpal 2015-2022 Corrient '!$M$5:$M$1012,'PIB-Mpal 2015-2022 Corrient '!$A$5:$A$1012,LEFT(D38,4),'PIB-Mpal 2015-2022 Corrient '!$E$5:$E$1012,$C$1)</f>
        <v>26.252581806389909</v>
      </c>
      <c r="E40" s="3">
        <f>SUMIFS('PIB-Mpal 2015-2022 Corrient '!$M$5:$M$1012,'PIB-Mpal 2015-2022 Corrient '!$A$5:$A$1012,LEFT(E38,4),'PIB-Mpal 2015-2022 Corrient '!$E$5:$E$1012,$C$1)</f>
        <v>29.1159638009375</v>
      </c>
      <c r="F40" s="3">
        <f>SUMIFS('PIB-Mpal 2015-2022 Corrient '!$M$5:$M$1012,'PIB-Mpal 2015-2022 Corrient '!$A$5:$A$1012,LEFT(F38,4),'PIB-Mpal 2015-2022 Corrient '!$E$5:$E$1012,$C$1)</f>
        <v>30.719007722412456</v>
      </c>
      <c r="G40" s="3">
        <f>SUMIFS('PIB-Mpal 2015-2022 Corrient '!$M$5:$M$1012,'PIB-Mpal 2015-2022 Corrient '!$A$5:$A$1012,LEFT(G38,4),'PIB-Mpal 2015-2022 Corrient '!$E$5:$E$1012,$C$1)</f>
        <v>23.394082146423663</v>
      </c>
      <c r="H40" s="3">
        <f>SUMIFS('PIB-Mpal 2015-2022 Corrient '!$M$5:$M$1012,'PIB-Mpal 2015-2022 Corrient '!$A$5:$A$1012,LEFT(H38,4),'PIB-Mpal 2015-2022 Corrient '!$E$5:$E$1012,$C$1)</f>
        <v>27.607695190419609</v>
      </c>
      <c r="I40" s="234">
        <f>SUMIFS('PIB-Mpal 2015-2022 Corrient '!$M$5:$M$1012,'PIB-Mpal 2015-2022 Corrient '!$A$5:$A$1012,LEFT(I38,4),'PIB-Mpal 2015-2022 Corrient '!$E$5:$E$1012,$C$1)</f>
        <v>31.724041250019333</v>
      </c>
    </row>
    <row r="41" spans="1:9" x14ac:dyDescent="0.2">
      <c r="A41" s="233" t="s">
        <v>441</v>
      </c>
      <c r="B41" s="3">
        <f>SUMIFS('PIB-Mpal 2015-2022 Corrient '!$V$5:$V$1012,'PIB-Mpal 2015-2022 Corrient '!$A$5:$A$1012,LEFT(B38,4),'PIB-Mpal 2015-2022 Corrient '!$E$5:$E$1012,$C$1)</f>
        <v>205.09868119040968</v>
      </c>
      <c r="C41" s="3">
        <f>SUMIFS('PIB-Mpal 2015-2022 Corrient '!$V$5:$V$1012,'PIB-Mpal 2015-2022 Corrient '!$A$5:$A$1012,LEFT(C38,4),'PIB-Mpal 2015-2022 Corrient '!$E$5:$E$1012,$C$1)</f>
        <v>265.9708728952329</v>
      </c>
      <c r="D41" s="3">
        <f>SUMIFS('PIB-Mpal 2015-2022 Corrient '!$V$5:$V$1012,'PIB-Mpal 2015-2022 Corrient '!$A$5:$A$1012,LEFT(D38,4),'PIB-Mpal 2015-2022 Corrient '!$E$5:$E$1012,$C$1)</f>
        <v>279.29411682970738</v>
      </c>
      <c r="E41" s="3">
        <f>SUMIFS('PIB-Mpal 2015-2022 Corrient '!$V$5:$V$1012,'PIB-Mpal 2015-2022 Corrient '!$A$5:$A$1012,LEFT(E38,4),'PIB-Mpal 2015-2022 Corrient '!$E$5:$E$1012,$C$1)</f>
        <v>305.29416821148834</v>
      </c>
      <c r="F41" s="3">
        <f>SUMIFS('PIB-Mpal 2015-2022 Corrient '!$V$5:$V$1012,'PIB-Mpal 2015-2022 Corrient '!$A$5:$A$1012,LEFT(F38,4),'PIB-Mpal 2015-2022 Corrient '!$E$5:$E$1012,$C$1)</f>
        <v>338.68533755311552</v>
      </c>
      <c r="G41" s="3">
        <f>SUMIFS('PIB-Mpal 2015-2022 Corrient '!$V$5:$V$1012,'PIB-Mpal 2015-2022 Corrient '!$A$5:$A$1012,LEFT(G38,4),'PIB-Mpal 2015-2022 Corrient '!$E$5:$E$1012,$C$1)</f>
        <v>357.94023872407871</v>
      </c>
      <c r="H41" s="3">
        <f>SUMIFS('PIB-Mpal 2015-2022 Corrient '!$V$5:$V$1012,'PIB-Mpal 2015-2022 Corrient '!$A$5:$A$1012,LEFT(H38,4),'PIB-Mpal 2015-2022 Corrient '!$E$5:$E$1012,$C$1)</f>
        <v>413.07280016496452</v>
      </c>
      <c r="I41" s="234">
        <f>SUMIFS('PIB-Mpal 2015-2022 Corrient '!$V$5:$V$1012,'PIB-Mpal 2015-2022 Corrient '!$A$5:$A$1012,LEFT(I38,4),'PIB-Mpal 2015-2022 Corrient '!$E$5:$E$1012,$C$1)</f>
        <v>482.93889013502564</v>
      </c>
    </row>
    <row r="42" spans="1:9" ht="16" thickBot="1" x14ac:dyDescent="0.25">
      <c r="A42" s="241" t="s">
        <v>442</v>
      </c>
      <c r="B42" s="246">
        <f t="shared" ref="B42" si="7">SUM(B39:B41)</f>
        <v>227.67868778209225</v>
      </c>
      <c r="C42" s="246">
        <f t="shared" ref="C42:I42" si="8">SUM(C39:C41)</f>
        <v>295.89268591743269</v>
      </c>
      <c r="D42" s="246">
        <f t="shared" si="8"/>
        <v>311.39790436824279</v>
      </c>
      <c r="E42" s="246">
        <f t="shared" si="8"/>
        <v>338.43302523316902</v>
      </c>
      <c r="F42" s="246">
        <f t="shared" si="8"/>
        <v>373.06749761776626</v>
      </c>
      <c r="G42" s="246">
        <f t="shared" si="8"/>
        <v>385.94806273896609</v>
      </c>
      <c r="H42" s="246">
        <f t="shared" si="8"/>
        <v>444.94874602722649</v>
      </c>
      <c r="I42" s="247">
        <f t="shared" si="8"/>
        <v>520.29657710422191</v>
      </c>
    </row>
    <row r="43" spans="1:9" x14ac:dyDescent="0.2">
      <c r="A43" s="290"/>
      <c r="B43" s="291"/>
      <c r="C43" s="291"/>
      <c r="D43" s="291"/>
      <c r="E43" s="291"/>
      <c r="F43" s="291"/>
      <c r="G43" s="291"/>
    </row>
    <row r="44" spans="1:9" ht="16" x14ac:dyDescent="0.2">
      <c r="A44" s="449" t="s">
        <v>27</v>
      </c>
      <c r="B44" s="449"/>
      <c r="C44" s="449"/>
      <c r="D44" s="449"/>
      <c r="E44" s="449"/>
      <c r="F44" s="449"/>
      <c r="G44" s="449"/>
      <c r="H44" s="449"/>
      <c r="I44" s="449"/>
    </row>
    <row r="45" spans="1:9" ht="21" customHeight="1" thickBot="1" x14ac:dyDescent="0.25">
      <c r="A45" s="450" t="str">
        <f>"Distribución porcentual del Valor Agregado por sectores Económicos del Municipio de "&amp;B1</f>
        <v>Distribución porcentual del Valor Agregado por sectores Económicos del Municipio de Guatapé</v>
      </c>
      <c r="B45" s="450"/>
      <c r="C45" s="450"/>
      <c r="D45" s="450"/>
      <c r="E45" s="450"/>
      <c r="F45" s="450"/>
      <c r="G45" s="450"/>
      <c r="H45" s="450"/>
      <c r="I45" s="450"/>
    </row>
    <row r="46" spans="1:9" x14ac:dyDescent="0.2">
      <c r="A46" s="230" t="s">
        <v>438</v>
      </c>
      <c r="B46" s="231">
        <v>2015</v>
      </c>
      <c r="C46" s="231">
        <v>2016</v>
      </c>
      <c r="D46" s="231">
        <v>2017</v>
      </c>
      <c r="E46" s="231">
        <v>2018</v>
      </c>
      <c r="F46" s="231">
        <v>2019</v>
      </c>
      <c r="G46" s="231">
        <v>2020</v>
      </c>
      <c r="H46" s="231" t="s">
        <v>431</v>
      </c>
      <c r="I46" s="232" t="s">
        <v>432</v>
      </c>
    </row>
    <row r="47" spans="1:9" x14ac:dyDescent="0.2">
      <c r="A47" s="233" t="s">
        <v>439</v>
      </c>
      <c r="B47" s="242">
        <f t="shared" ref="B47:G47" si="9">B39/B$42</f>
        <v>1.2725451820634068E-2</v>
      </c>
      <c r="C47" s="242">
        <f t="shared" si="9"/>
        <v>1.5613120041080918E-2</v>
      </c>
      <c r="D47" s="242">
        <f t="shared" si="9"/>
        <v>1.8790125591937719E-2</v>
      </c>
      <c r="E47" s="242">
        <f t="shared" si="9"/>
        <v>1.1886822268516938E-2</v>
      </c>
      <c r="F47" s="242">
        <f t="shared" si="9"/>
        <v>9.8190069240270354E-3</v>
      </c>
      <c r="G47" s="242">
        <f t="shared" si="9"/>
        <v>1.1954307622951282E-2</v>
      </c>
      <c r="H47" s="242">
        <f t="shared" ref="H47:I47" si="10">H39/H$42</f>
        <v>9.5926794039805953E-3</v>
      </c>
      <c r="I47" s="243">
        <f t="shared" si="10"/>
        <v>1.0827758565185421E-2</v>
      </c>
    </row>
    <row r="48" spans="1:9" x14ac:dyDescent="0.2">
      <c r="A48" s="233" t="s">
        <v>440</v>
      </c>
      <c r="B48" s="242">
        <f t="shared" ref="B48:G49" si="11">B40/B$42</f>
        <v>8.6449428409234183E-2</v>
      </c>
      <c r="C48" s="242">
        <f t="shared" si="11"/>
        <v>8.5510748328376796E-2</v>
      </c>
      <c r="D48" s="242">
        <f t="shared" si="11"/>
        <v>8.430558278691877E-2</v>
      </c>
      <c r="E48" s="242">
        <f t="shared" si="11"/>
        <v>8.6031686124241502E-2</v>
      </c>
      <c r="F48" s="242">
        <f t="shared" si="11"/>
        <v>8.2341688618198058E-2</v>
      </c>
      <c r="G48" s="242">
        <f t="shared" si="11"/>
        <v>6.0614586274646304E-2</v>
      </c>
      <c r="H48" s="242">
        <f t="shared" ref="H48:I48" si="12">H40/H$42</f>
        <v>6.2046910878877475E-2</v>
      </c>
      <c r="I48" s="243">
        <f t="shared" si="12"/>
        <v>6.0972996260293698E-2</v>
      </c>
    </row>
    <row r="49" spans="1:9" ht="16" thickBot="1" x14ac:dyDescent="0.25">
      <c r="A49" s="235" t="s">
        <v>441</v>
      </c>
      <c r="B49" s="244">
        <f t="shared" si="11"/>
        <v>0.90082511977013169</v>
      </c>
      <c r="C49" s="244">
        <f t="shared" si="11"/>
        <v>0.89887613163054214</v>
      </c>
      <c r="D49" s="244">
        <f t="shared" si="11"/>
        <v>0.89690429162114349</v>
      </c>
      <c r="E49" s="244">
        <f t="shared" si="11"/>
        <v>0.9020814916072416</v>
      </c>
      <c r="F49" s="244">
        <f t="shared" si="11"/>
        <v>0.90783930445777494</v>
      </c>
      <c r="G49" s="244">
        <f t="shared" si="11"/>
        <v>0.92743110610240242</v>
      </c>
      <c r="H49" s="244">
        <f t="shared" ref="H49:I49" si="13">H41/H$42</f>
        <v>0.92836040971714195</v>
      </c>
      <c r="I49" s="245">
        <f t="shared" si="13"/>
        <v>0.92819924517452079</v>
      </c>
    </row>
    <row r="50" spans="1:9" x14ac:dyDescent="0.2">
      <c r="B50" s="286"/>
      <c r="C50" s="286"/>
      <c r="D50" s="286"/>
      <c r="E50" s="286"/>
      <c r="F50" s="286"/>
      <c r="G50" s="286"/>
    </row>
    <row r="51" spans="1:9" ht="16" x14ac:dyDescent="0.2">
      <c r="A51" s="449" t="s">
        <v>29</v>
      </c>
      <c r="B51" s="449"/>
      <c r="C51" s="449"/>
      <c r="D51" s="449"/>
      <c r="E51" s="449"/>
      <c r="F51" s="449"/>
      <c r="G51" s="449"/>
      <c r="H51" s="449"/>
      <c r="I51" s="449"/>
    </row>
    <row r="52" spans="1:9" ht="32" customHeight="1" thickBot="1" x14ac:dyDescent="0.25">
      <c r="A52" s="448" t="str">
        <f>"Valor Agregado precios constantes, Series encadenadas de volumen con año de referencia 2015 por sectores Económicos del Municipio de "&amp;B1&amp;" (miles de Millones de pesos)"</f>
        <v>Valor Agregado precios constantes, Series encadenadas de volumen con año de referencia 2015 por sectores Económicos del Municipio de Guatapé (miles de Millones de pesos)</v>
      </c>
      <c r="B52" s="448"/>
      <c r="C52" s="448"/>
      <c r="D52" s="448"/>
      <c r="E52" s="448"/>
      <c r="F52" s="448"/>
      <c r="G52" s="448"/>
      <c r="H52" s="448"/>
      <c r="I52" s="448"/>
    </row>
    <row r="53" spans="1:9" x14ac:dyDescent="0.2">
      <c r="A53" s="230" t="s">
        <v>438</v>
      </c>
      <c r="B53" s="231">
        <v>2015</v>
      </c>
      <c r="C53" s="231">
        <v>2016</v>
      </c>
      <c r="D53" s="231">
        <v>2017</v>
      </c>
      <c r="E53" s="231">
        <v>2018</v>
      </c>
      <c r="F53" s="231">
        <v>2019</v>
      </c>
      <c r="G53" s="231">
        <v>2020</v>
      </c>
      <c r="H53" s="231" t="s">
        <v>431</v>
      </c>
      <c r="I53" s="232" t="s">
        <v>432</v>
      </c>
    </row>
    <row r="54" spans="1:9" x14ac:dyDescent="0.2">
      <c r="A54" s="233" t="s">
        <v>439</v>
      </c>
      <c r="B54" s="3">
        <f>SUMIFS('PIB Mpal 2015-2022 Cons'!$J$5:$J$1012,'PIB Mpal 2015-2022 Cons'!$A$5:$A$1012,LEFT(B53,4),'PIB Mpal 2015-2022 Cons'!$E$5:$E$1012,$C$1)</f>
        <v>2.8973141719562014</v>
      </c>
      <c r="C54" s="3">
        <f>SUMIFS('PIB Mpal 2015-2022 Cons'!$J$5:$J$1012,'PIB Mpal 2015-2022 Cons'!$A$5:$A$1012,LEFT(C53,4),'PIB Mpal 2015-2022 Cons'!$E$5:$E$1012,$C$1)</f>
        <v>3.9647177061351582</v>
      </c>
      <c r="D54" s="3">
        <f>SUMIFS('PIB Mpal 2015-2022 Cons'!$J$5:$J$1012,'PIB Mpal 2015-2022 Cons'!$A$5:$A$1012,LEFT(D53,4),'PIB Mpal 2015-2022 Cons'!$E$5:$E$1012,$C$1)</f>
        <v>5.1388048967441726</v>
      </c>
      <c r="E54" s="3">
        <f>SUMIFS('PIB Mpal 2015-2022 Cons'!$J$5:$J$1012,'PIB Mpal 2015-2022 Cons'!$A$5:$A$1012,LEFT(E53,4),'PIB Mpal 2015-2022 Cons'!$E$5:$E$1012,$C$1)</f>
        <v>3.3749255368360571</v>
      </c>
      <c r="F54" s="3">
        <f>SUMIFS('PIB Mpal 2015-2022 Cons'!$J$5:$J$1012,'PIB Mpal 2015-2022 Cons'!$A$5:$A$1012,LEFT(F53,4),'PIB Mpal 2015-2022 Cons'!$E$5:$E$1012,$C$1)</f>
        <v>2.8330459163141515</v>
      </c>
      <c r="G54" s="3">
        <f>SUMIFS('PIB Mpal 2015-2022 Cons'!$J$5:$J$1012,'PIB Mpal 2015-2022 Cons'!$A$5:$A$1012,LEFT(G53,4),'PIB Mpal 2015-2022 Cons'!$E$5:$E$1012,$C$1)</f>
        <v>3.2942295516675193</v>
      </c>
      <c r="H54" s="3">
        <f>SUMIFS('PIB Mpal 2015-2022 Cons'!$J$5:$J$1012,'PIB Mpal 2015-2022 Cons'!$A$5:$A$1012,LEFT(H53,4),'PIB Mpal 2015-2022 Cons'!$E$5:$E$1012,$C$1)</f>
        <v>2.6317894135532303</v>
      </c>
      <c r="I54" s="234">
        <f>SUMIFS('PIB Mpal 2015-2022 Cons'!$J$5:$J$1012,'PIB Mpal 2015-2022 Cons'!$A$5:$A$1012,LEFT(I53,4),'PIB Mpal 2015-2022 Cons'!$E$5:$E$1012,$C$1)</f>
        <v>2.5133461380831092</v>
      </c>
    </row>
    <row r="55" spans="1:9" x14ac:dyDescent="0.2">
      <c r="A55" s="233" t="s">
        <v>440</v>
      </c>
      <c r="B55" s="3">
        <f>SUMIFS('PIB Mpal 2015-2022 Cons'!$M$5:$M$1012,'PIB Mpal 2015-2022 Cons'!$A$5:$A$1012,LEFT(B53,4),'PIB Mpal 2015-2022 Cons'!$E$5:$E$1012,$C$1)</f>
        <v>19.682692419726365</v>
      </c>
      <c r="C55" s="3">
        <f>SUMIFS('PIB Mpal 2015-2022 Cons'!$M$5:$M$1012,'PIB Mpal 2015-2022 Cons'!$A$5:$A$1012,LEFT(C53,4),'PIB Mpal 2015-2022 Cons'!$E$5:$E$1012,$C$1)</f>
        <v>24.1778475294192</v>
      </c>
      <c r="D55" s="3">
        <f>SUMIFS('PIB Mpal 2015-2022 Cons'!$M$5:$M$1012,'PIB Mpal 2015-2022 Cons'!$A$5:$A$1012,LEFT(D53,4),'PIB Mpal 2015-2022 Cons'!$E$5:$E$1012,$C$1)</f>
        <v>25.85694050025041</v>
      </c>
      <c r="E55" s="3">
        <f>SUMIFS('PIB Mpal 2015-2022 Cons'!$M$5:$M$1012,'PIB Mpal 2015-2022 Cons'!$A$5:$A$1012,LEFT(E53,4),'PIB Mpal 2015-2022 Cons'!$E$5:$E$1012,$C$1)</f>
        <v>28.131124086394465</v>
      </c>
      <c r="F55" s="3">
        <f>SUMIFS('PIB Mpal 2015-2022 Cons'!$M$5:$M$1012,'PIB Mpal 2015-2022 Cons'!$A$5:$A$1012,LEFT(F53,4),'PIB Mpal 2015-2022 Cons'!$E$5:$E$1012,$C$1)</f>
        <v>28.346942047937965</v>
      </c>
      <c r="G55" s="3">
        <f>SUMIFS('PIB Mpal 2015-2022 Cons'!$M$5:$M$1012,'PIB Mpal 2015-2022 Cons'!$A$5:$A$1012,LEFT(G53,4),'PIB Mpal 2015-2022 Cons'!$E$5:$E$1012,$C$1)</f>
        <v>20.579842460147901</v>
      </c>
      <c r="H55" s="3">
        <f>SUMIFS('PIB Mpal 2015-2022 Cons'!$M$5:$M$1012,'PIB Mpal 2015-2022 Cons'!$A$5:$A$1012,LEFT(H53,4),'PIB Mpal 2015-2022 Cons'!$E$5:$E$1012,$C$1)</f>
        <v>23.128428963791279</v>
      </c>
      <c r="I55" s="234">
        <f>SUMIFS('PIB Mpal 2015-2022 Cons'!$M$5:$M$1012,'PIB Mpal 2015-2022 Cons'!$A$5:$A$1012,LEFT(I53,4),'PIB Mpal 2015-2022 Cons'!$E$5:$E$1012,$C$1)</f>
        <v>23.903427073181021</v>
      </c>
    </row>
    <row r="56" spans="1:9" x14ac:dyDescent="0.2">
      <c r="A56" s="233" t="s">
        <v>441</v>
      </c>
      <c r="B56" s="3">
        <f>SUMIFS('PIB Mpal 2015-2022 Cons'!$V$5:$V$1012,'PIB Mpal 2015-2022 Cons'!$A$5:$A$1012,LEFT(B53,4),'PIB Mpal 2015-2022 Cons'!$E$5:$E$1012,$C$1)</f>
        <v>205.09868119040968</v>
      </c>
      <c r="C56" s="3">
        <f>SUMIFS('PIB Mpal 2015-2022 Cons'!$V$5:$V$1012,'PIB Mpal 2015-2022 Cons'!$A$5:$A$1012,LEFT(C53,4),'PIB Mpal 2015-2022 Cons'!$E$5:$E$1012,$C$1)</f>
        <v>248.97621225471434</v>
      </c>
      <c r="D56" s="3">
        <f>SUMIFS('PIB Mpal 2015-2022 Cons'!$V$5:$V$1012,'PIB Mpal 2015-2022 Cons'!$A$5:$A$1012,LEFT(D53,4),'PIB Mpal 2015-2022 Cons'!$E$5:$E$1012,$C$1)</f>
        <v>248.86456381569747</v>
      </c>
      <c r="E56" s="3">
        <f>SUMIFS('PIB Mpal 2015-2022 Cons'!$V$5:$V$1012,'PIB Mpal 2015-2022 Cons'!$A$5:$A$1012,LEFT(E53,4),'PIB Mpal 2015-2022 Cons'!$E$5:$E$1012,$C$1)</f>
        <v>262.1641596265182</v>
      </c>
      <c r="F56" s="3">
        <f>SUMIFS('PIB Mpal 2015-2022 Cons'!$V$5:$V$1012,'PIB Mpal 2015-2022 Cons'!$A$5:$A$1012,LEFT(F53,4),'PIB Mpal 2015-2022 Cons'!$E$5:$E$1012,$C$1)</f>
        <v>279.16153668141743</v>
      </c>
      <c r="G56" s="3">
        <f>SUMIFS('PIB Mpal 2015-2022 Cons'!$V$5:$V$1012,'PIB Mpal 2015-2022 Cons'!$A$5:$A$1012,LEFT(G53,4),'PIB Mpal 2015-2022 Cons'!$E$5:$E$1012,$C$1)</f>
        <v>285.32808937360102</v>
      </c>
      <c r="H56" s="3">
        <f>SUMIFS('PIB Mpal 2015-2022 Cons'!$V$5:$V$1012,'PIB Mpal 2015-2022 Cons'!$A$5:$A$1012,LEFT(H53,4),'PIB Mpal 2015-2022 Cons'!$E$5:$E$1012,$C$1)</f>
        <v>322.89255823832701</v>
      </c>
      <c r="I56" s="234">
        <f>SUMIFS('PIB Mpal 2015-2022 Cons'!$V$5:$V$1012,'PIB Mpal 2015-2022 Cons'!$A$5:$A$1012,LEFT(I53,4),'PIB Mpal 2015-2022 Cons'!$E$5:$E$1012,$C$1)</f>
        <v>347.08539413121696</v>
      </c>
    </row>
    <row r="57" spans="1:9" ht="16" thickBot="1" x14ac:dyDescent="0.25">
      <c r="A57" s="241" t="s">
        <v>442</v>
      </c>
      <c r="B57" s="246">
        <f t="shared" ref="B57" si="14">SUM(B54:B56)</f>
        <v>227.67868778209225</v>
      </c>
      <c r="C57" s="246">
        <f t="shared" ref="C57:I57" si="15">SUM(C54:C56)</f>
        <v>277.11877749026871</v>
      </c>
      <c r="D57" s="246">
        <f t="shared" si="15"/>
        <v>279.86030921269207</v>
      </c>
      <c r="E57" s="246">
        <f t="shared" si="15"/>
        <v>293.67020924974872</v>
      </c>
      <c r="F57" s="246">
        <f t="shared" si="15"/>
        <v>310.34152464566955</v>
      </c>
      <c r="G57" s="246">
        <f t="shared" si="15"/>
        <v>309.20216138541645</v>
      </c>
      <c r="H57" s="246">
        <f t="shared" si="15"/>
        <v>348.65277661567154</v>
      </c>
      <c r="I57" s="247">
        <f t="shared" si="15"/>
        <v>373.50216734248107</v>
      </c>
    </row>
    <row r="58" spans="1:9" x14ac:dyDescent="0.2">
      <c r="B58" s="286"/>
      <c r="C58" s="286"/>
      <c r="D58" s="286"/>
      <c r="E58" s="286"/>
      <c r="F58" s="286"/>
      <c r="G58" s="286"/>
    </row>
    <row r="59" spans="1:9" ht="16" x14ac:dyDescent="0.2">
      <c r="A59" s="449" t="s">
        <v>31</v>
      </c>
      <c r="B59" s="449"/>
      <c r="C59" s="449"/>
      <c r="D59" s="449"/>
      <c r="E59" s="449"/>
      <c r="F59" s="449"/>
      <c r="G59" s="449"/>
      <c r="H59" s="449"/>
      <c r="I59" s="449"/>
    </row>
    <row r="60" spans="1:9" ht="38" customHeight="1" thickBot="1" x14ac:dyDescent="0.25">
      <c r="A60" s="448" t="str">
        <f>"Tasas de variación valor Agregado precios constantes, Series encadenadas de volumen con año de referencia 2015, por sectores Económicos del Municipio de "&amp;B1</f>
        <v>Tasas de variación valor Agregado precios constantes, Series encadenadas de volumen con año de referencia 2015, por sectores Económicos del Municipio de Guatapé</v>
      </c>
      <c r="B60" s="448"/>
      <c r="C60" s="448"/>
      <c r="D60" s="448"/>
      <c r="E60" s="448"/>
      <c r="F60" s="448"/>
      <c r="G60" s="448"/>
      <c r="H60" s="448"/>
      <c r="I60" s="448"/>
    </row>
    <row r="61" spans="1:9" x14ac:dyDescent="0.2">
      <c r="A61" s="230" t="s">
        <v>438</v>
      </c>
      <c r="B61" s="231">
        <v>2016</v>
      </c>
      <c r="C61" s="231">
        <v>2017</v>
      </c>
      <c r="D61" s="231">
        <v>2018</v>
      </c>
      <c r="E61" s="231">
        <v>2019</v>
      </c>
      <c r="F61" s="231">
        <v>2020</v>
      </c>
      <c r="G61" s="231" t="s">
        <v>431</v>
      </c>
      <c r="H61" s="232" t="s">
        <v>432</v>
      </c>
    </row>
    <row r="62" spans="1:9" x14ac:dyDescent="0.2">
      <c r="A62" s="233" t="s">
        <v>439</v>
      </c>
      <c r="B62" s="242">
        <f>(C54-B54)/B54</f>
        <v>0.36841138752248942</v>
      </c>
      <c r="C62" s="242">
        <f t="shared" ref="C62:F62" si="16">(D54-C54)/C54</f>
        <v>0.29613386819247844</v>
      </c>
      <c r="D62" s="242">
        <f t="shared" si="16"/>
        <v>-0.34324699912730067</v>
      </c>
      <c r="E62" s="242">
        <f t="shared" si="16"/>
        <v>-0.16056046707030749</v>
      </c>
      <c r="F62" s="242">
        <f t="shared" si="16"/>
        <v>0.16278720817676573</v>
      </c>
      <c r="G62" s="242">
        <f t="shared" ref="G62:G65" si="17">(H54-G54)/G54</f>
        <v>-0.20109106779731417</v>
      </c>
      <c r="H62" s="242">
        <f t="shared" ref="H62:H65" si="18">(I54-H54)/H54</f>
        <v>-4.5004845319370913E-2</v>
      </c>
    </row>
    <row r="63" spans="1:9" x14ac:dyDescent="0.2">
      <c r="A63" s="233" t="s">
        <v>440</v>
      </c>
      <c r="B63" s="242">
        <f t="shared" ref="B63:F65" si="19">(C55-B55)/B55</f>
        <v>0.22838110832782743</v>
      </c>
      <c r="C63" s="242">
        <f t="shared" si="19"/>
        <v>6.9447578771771046E-2</v>
      </c>
      <c r="D63" s="242">
        <f t="shared" si="19"/>
        <v>8.7952539710644831E-2</v>
      </c>
      <c r="E63" s="242">
        <f t="shared" si="19"/>
        <v>7.6718570107861426E-3</v>
      </c>
      <c r="F63" s="242">
        <f t="shared" si="19"/>
        <v>-0.27400132171770053</v>
      </c>
      <c r="G63" s="242">
        <f t="shared" si="17"/>
        <v>0.1238389705158638</v>
      </c>
      <c r="H63" s="242">
        <f t="shared" si="18"/>
        <v>3.3508463138721627E-2</v>
      </c>
    </row>
    <row r="64" spans="1:9" x14ac:dyDescent="0.2">
      <c r="A64" s="233" t="s">
        <v>441</v>
      </c>
      <c r="B64" s="242">
        <f t="shared" si="19"/>
        <v>0.21393375525203698</v>
      </c>
      <c r="C64" s="242">
        <f t="shared" si="19"/>
        <v>-4.4843014521665813E-4</v>
      </c>
      <c r="D64" s="242">
        <f t="shared" si="19"/>
        <v>5.3441099073751872E-2</v>
      </c>
      <c r="E64" s="242">
        <f t="shared" si="19"/>
        <v>6.4834861787034015E-2</v>
      </c>
      <c r="F64" s="242">
        <f t="shared" si="19"/>
        <v>2.2089549891040082E-2</v>
      </c>
      <c r="G64" s="242">
        <f t="shared" si="17"/>
        <v>0.13165359550541861</v>
      </c>
      <c r="H64" s="242">
        <f t="shared" si="18"/>
        <v>7.4925343665037988E-2</v>
      </c>
    </row>
    <row r="65" spans="1:8" ht="16" thickBot="1" x14ac:dyDescent="0.25">
      <c r="A65" s="241" t="s">
        <v>442</v>
      </c>
      <c r="B65" s="287">
        <f t="shared" si="19"/>
        <v>0.21714851833428872</v>
      </c>
      <c r="C65" s="287">
        <f t="shared" si="19"/>
        <v>9.8929843269809897E-3</v>
      </c>
      <c r="D65" s="287">
        <f t="shared" si="19"/>
        <v>4.9345689911895342E-2</v>
      </c>
      <c r="E65" s="287">
        <f t="shared" si="19"/>
        <v>5.6768834123528289E-2</v>
      </c>
      <c r="F65" s="287">
        <f t="shared" si="19"/>
        <v>-3.6713206895337847E-3</v>
      </c>
      <c r="G65" s="287">
        <f t="shared" si="17"/>
        <v>0.12758841999516432</v>
      </c>
      <c r="H65" s="287">
        <f t="shared" si="18"/>
        <v>7.1272602409822833E-2</v>
      </c>
    </row>
    <row r="68" spans="1:8" x14ac:dyDescent="0.2">
      <c r="A68" s="426" t="s">
        <v>443</v>
      </c>
      <c r="B68" s="426"/>
      <c r="C68" s="426"/>
      <c r="D68" s="426"/>
      <c r="E68" s="426"/>
      <c r="F68" s="426"/>
    </row>
    <row r="69" spans="1:8" x14ac:dyDescent="0.2">
      <c r="A69" s="427" t="s">
        <v>444</v>
      </c>
      <c r="B69" s="428"/>
      <c r="C69" s="428"/>
      <c r="D69" s="428"/>
      <c r="E69" s="428"/>
      <c r="F69" s="429"/>
    </row>
    <row r="70" spans="1:8" x14ac:dyDescent="0.2">
      <c r="A70" s="430" t="s">
        <v>92</v>
      </c>
      <c r="B70" s="431"/>
      <c r="C70" s="431"/>
      <c r="D70" s="431"/>
      <c r="E70" s="431"/>
      <c r="F70" s="432"/>
    </row>
    <row r="71" spans="1:8" x14ac:dyDescent="0.2">
      <c r="A71" s="433" t="s">
        <v>97</v>
      </c>
      <c r="B71" s="434"/>
      <c r="C71" s="434"/>
      <c r="D71" s="434"/>
      <c r="E71" s="434"/>
      <c r="F71" s="435"/>
    </row>
    <row r="72" spans="1:8" x14ac:dyDescent="0.2">
      <c r="A72" s="427" t="s">
        <v>445</v>
      </c>
      <c r="B72" s="428"/>
      <c r="C72" s="428"/>
      <c r="D72" s="428"/>
      <c r="E72" s="428"/>
      <c r="F72" s="429"/>
    </row>
    <row r="73" spans="1:8" x14ac:dyDescent="0.2">
      <c r="A73" s="430" t="s">
        <v>103</v>
      </c>
      <c r="B73" s="431"/>
      <c r="C73" s="431"/>
      <c r="D73" s="431"/>
      <c r="E73" s="431"/>
      <c r="F73" s="432"/>
    </row>
    <row r="74" spans="1:8" x14ac:dyDescent="0.2">
      <c r="A74" s="433" t="s">
        <v>66</v>
      </c>
      <c r="B74" s="434"/>
      <c r="C74" s="434"/>
      <c r="D74" s="434"/>
      <c r="E74" s="434"/>
      <c r="F74" s="435"/>
    </row>
    <row r="75" spans="1:8" x14ac:dyDescent="0.2">
      <c r="A75" s="427" t="s">
        <v>446</v>
      </c>
      <c r="B75" s="428"/>
      <c r="C75" s="428"/>
      <c r="D75" s="428"/>
      <c r="E75" s="428"/>
      <c r="F75" s="429"/>
    </row>
    <row r="76" spans="1:8" x14ac:dyDescent="0.2">
      <c r="A76" s="430" t="s">
        <v>111</v>
      </c>
      <c r="B76" s="431"/>
      <c r="C76" s="431"/>
      <c r="D76" s="431"/>
      <c r="E76" s="431"/>
      <c r="F76" s="432"/>
    </row>
    <row r="77" spans="1:8" x14ac:dyDescent="0.2">
      <c r="A77" s="430" t="s">
        <v>114</v>
      </c>
      <c r="B77" s="431"/>
      <c r="C77" s="431"/>
      <c r="D77" s="431"/>
      <c r="E77" s="431"/>
      <c r="F77" s="432"/>
    </row>
    <row r="78" spans="1:8" x14ac:dyDescent="0.2">
      <c r="A78" s="430" t="s">
        <v>117</v>
      </c>
      <c r="B78" s="431"/>
      <c r="C78" s="431"/>
      <c r="D78" s="431"/>
      <c r="E78" s="431"/>
      <c r="F78" s="432"/>
    </row>
    <row r="79" spans="1:8" x14ac:dyDescent="0.2">
      <c r="A79" s="430" t="s">
        <v>70</v>
      </c>
      <c r="B79" s="431"/>
      <c r="C79" s="431"/>
      <c r="D79" s="431"/>
      <c r="E79" s="431"/>
      <c r="F79" s="432"/>
    </row>
    <row r="80" spans="1:8" x14ac:dyDescent="0.2">
      <c r="A80" s="430" t="s">
        <v>71</v>
      </c>
      <c r="B80" s="431"/>
      <c r="C80" s="431"/>
      <c r="D80" s="431"/>
      <c r="E80" s="431"/>
      <c r="F80" s="432"/>
    </row>
    <row r="81" spans="1:12" x14ac:dyDescent="0.2">
      <c r="A81" s="430" t="s">
        <v>124</v>
      </c>
      <c r="B81" s="431"/>
      <c r="C81" s="431"/>
      <c r="D81" s="431"/>
      <c r="E81" s="431"/>
      <c r="F81" s="432"/>
    </row>
    <row r="82" spans="1:12" x14ac:dyDescent="0.2">
      <c r="A82" s="430" t="s">
        <v>129</v>
      </c>
      <c r="B82" s="431"/>
      <c r="C82" s="431"/>
      <c r="D82" s="431"/>
      <c r="E82" s="431"/>
      <c r="F82" s="432"/>
    </row>
    <row r="83" spans="1:12" x14ac:dyDescent="0.2">
      <c r="A83" s="433" t="s">
        <v>132</v>
      </c>
      <c r="B83" s="434"/>
      <c r="C83" s="434"/>
      <c r="D83" s="434"/>
      <c r="E83" s="434"/>
      <c r="F83" s="435"/>
    </row>
    <row r="86" spans="1:12" ht="14.5" customHeight="1" x14ac:dyDescent="0.2">
      <c r="A86" s="449" t="s">
        <v>33</v>
      </c>
      <c r="B86" s="449"/>
      <c r="C86" s="449"/>
      <c r="D86" s="449"/>
      <c r="E86" s="449"/>
      <c r="F86" s="449"/>
      <c r="G86" s="449"/>
      <c r="H86" s="449"/>
      <c r="I86" s="449"/>
    </row>
    <row r="87" spans="1:12" ht="31.25" customHeight="1" thickBot="1" x14ac:dyDescent="0.25">
      <c r="A87" s="450" t="str">
        <f>"Valor Agregado en precios corrientes por ramas de actividad económica del Municipio de "&amp;B1&amp;" (miles de Millones de pesos)"</f>
        <v>Valor Agregado en precios corrientes por ramas de actividad económica del Municipio de Guatapé (miles de Millones de pesos)</v>
      </c>
      <c r="B87" s="450"/>
      <c r="C87" s="450"/>
      <c r="D87" s="450"/>
      <c r="E87" s="450"/>
      <c r="F87" s="450"/>
      <c r="G87" s="450"/>
      <c r="H87" s="450"/>
      <c r="I87" s="450"/>
    </row>
    <row r="88" spans="1:12" ht="16" thickBot="1" x14ac:dyDescent="0.25">
      <c r="A88" s="230" t="s">
        <v>447</v>
      </c>
      <c r="B88" s="231">
        <v>2015</v>
      </c>
      <c r="C88" s="231">
        <v>2016</v>
      </c>
      <c r="D88" s="231">
        <v>2017</v>
      </c>
      <c r="E88" s="231">
        <v>2018</v>
      </c>
      <c r="F88" s="231">
        <v>2019</v>
      </c>
      <c r="G88" s="231">
        <v>2020</v>
      </c>
      <c r="H88" s="231" t="s">
        <v>431</v>
      </c>
      <c r="I88" s="232" t="s">
        <v>432</v>
      </c>
    </row>
    <row r="89" spans="1:12" ht="31" thickBot="1" x14ac:dyDescent="0.25">
      <c r="A89" s="248" t="s">
        <v>63</v>
      </c>
      <c r="B89" s="3">
        <f>SUMIFS('PIB-Mpal 2015-2022 Corrient '!$H$5:$H$1012,'PIB-Mpal 2015-2022 Corrient '!$A$5:$A$1012,LEFT(B88,4),'PIB-Mpal 2015-2022 Corrient '!$E$5:$E$1012,$C$1)</f>
        <v>2.8973141719562014</v>
      </c>
      <c r="C89" s="3">
        <f>SUMIFS('PIB-Mpal 2015-2022 Corrient '!$H$5:$H$1012,'PIB-Mpal 2015-2022 Corrient '!$A$5:$A$1012,LEFT(C88,4),'PIB-Mpal 2015-2022 Corrient '!$E$5:$E$1012,$C$1)</f>
        <v>4.6198080245067299</v>
      </c>
      <c r="D89" s="3">
        <f>SUMIFS('PIB-Mpal 2015-2022 Corrient '!$H$5:$H$1012,'PIB-Mpal 2015-2022 Corrient '!$A$5:$A$1012,LEFT(D88,4),'PIB-Mpal 2015-2022 Corrient '!$E$5:$E$1012,$C$1)</f>
        <v>5.8512057321454938</v>
      </c>
      <c r="E89" s="3">
        <f>SUMIFS('PIB-Mpal 2015-2022 Corrient '!$H$5:$H$1012,'PIB-Mpal 2015-2022 Corrient '!$A$5:$A$1012,LEFT(E88,4),'PIB-Mpal 2015-2022 Corrient '!$E$5:$E$1012,$C$1)</f>
        <v>4.022893220743188</v>
      </c>
      <c r="F89" s="3">
        <f>SUMIFS('PIB-Mpal 2015-2022 Corrient '!$H$5:$H$1012,'PIB-Mpal 2015-2022 Corrient '!$A$5:$A$1012,LEFT(F88,4),'PIB-Mpal 2015-2022 Corrient '!$E$5:$E$1012,$C$1)</f>
        <v>3.6631523422382863</v>
      </c>
      <c r="G89" s="3">
        <f>SUMIFS('PIB-Mpal 2015-2022 Corrient '!$H$5:$H$1012,'PIB-Mpal 2015-2022 Corrient '!$A$5:$A$1012,LEFT(G88,4),'PIB-Mpal 2015-2022 Corrient '!$E$5:$E$1012,$C$1)</f>
        <v>4.6137418684637019</v>
      </c>
      <c r="H89" s="3">
        <f>SUMIFS('PIB-Mpal 2015-2022 Corrient '!$H$5:$H$1012,'PIB-Mpal 2015-2022 Corrient '!$A$5:$A$1012,LEFT(H88,4),'PIB-Mpal 2015-2022 Corrient '!$E$5:$E$1012,$C$1)</f>
        <v>4.2682506718423685</v>
      </c>
      <c r="I89" s="234">
        <f>SUMIFS('PIB-Mpal 2015-2022 Corrient '!$H$5:$H$1012,'PIB-Mpal 2015-2022 Corrient '!$A$5:$A$1012,LEFT(I88,4),'PIB-Mpal 2015-2022 Corrient '!$E$5:$E$1012,$C$1)</f>
        <v>5.6336457191768954</v>
      </c>
      <c r="L89" s="285" t="s">
        <v>432</v>
      </c>
    </row>
    <row r="90" spans="1:12" x14ac:dyDescent="0.2">
      <c r="A90" s="248" t="s">
        <v>64</v>
      </c>
      <c r="B90" s="3">
        <f>SUMIFS('PIB-Mpal 2015-2022 Corrient '!$I$5:$I$1012,'PIB-Mpal 2015-2022 Corrient '!$A$5:$A$1012,LEFT(B88,4),'PIB-Mpal 2015-2022 Corrient '!$E$5:$E$1012,$C$1)</f>
        <v>0</v>
      </c>
      <c r="C90" s="3">
        <f>SUMIFS('PIB-Mpal 2015-2022 Corrient '!$I$5:$I$1012,'PIB-Mpal 2015-2022 Corrient '!$A$5:$A$1012,LEFT(C88,4),'PIB-Mpal 2015-2022 Corrient '!$E$5:$E$1012,$C$1)</f>
        <v>0</v>
      </c>
      <c r="D90" s="3">
        <f>SUMIFS('PIB-Mpal 2015-2022 Corrient '!$I$5:$I$1012,'PIB-Mpal 2015-2022 Corrient '!$A$5:$A$1012,LEFT(D88,4),'PIB-Mpal 2015-2022 Corrient '!$E$5:$E$1012,$C$1)</f>
        <v>0</v>
      </c>
      <c r="E90" s="3">
        <f>SUMIFS('PIB-Mpal 2015-2022 Corrient '!$I$5:$I$1012,'PIB-Mpal 2015-2022 Corrient '!$A$5:$A$1012,LEFT(E88,4),'PIB-Mpal 2015-2022 Corrient '!$E$5:$E$1012,$C$1)</f>
        <v>0</v>
      </c>
      <c r="F90" s="3">
        <f>SUMIFS('PIB-Mpal 2015-2022 Corrient '!$I$5:$I$1012,'PIB-Mpal 2015-2022 Corrient '!$A$5:$A$1012,LEFT(F88,4),'PIB-Mpal 2015-2022 Corrient '!$E$5:$E$1012,$C$1)</f>
        <v>0</v>
      </c>
      <c r="G90" s="3">
        <f>SUMIFS('PIB-Mpal 2015-2022 Corrient '!$I$5:$I$1012,'PIB-Mpal 2015-2022 Corrient '!$A$5:$A$1012,LEFT(G88,4),'PIB-Mpal 2015-2022 Corrient '!$E$5:$E$1012,$C$1)</f>
        <v>0</v>
      </c>
      <c r="H90" s="3">
        <f>SUMIFS('PIB-Mpal 2015-2022 Corrient '!$I$5:$I$1012,'PIB-Mpal 2015-2022 Corrient '!$A$5:$A$1012,LEFT(H88,4),'PIB-Mpal 2015-2022 Corrient '!$E$5:$E$1012,$C$1)</f>
        <v>0</v>
      </c>
      <c r="I90" s="234">
        <f>SUMIFS('PIB-Mpal 2015-2022 Corrient '!$I$5:$I$1012,'PIB-Mpal 2015-2022 Corrient '!$A$5:$A$1012,LEFT(I88,4),'PIB-Mpal 2015-2022 Corrient '!$E$5:$E$1012,$C$1)</f>
        <v>0</v>
      </c>
    </row>
    <row r="91" spans="1:12" x14ac:dyDescent="0.2">
      <c r="A91" s="248" t="s">
        <v>65</v>
      </c>
      <c r="B91" s="3">
        <f>SUMIFS('PIB-Mpal 2015-2022 Corrient '!$K$5:$K$1012,'PIB-Mpal 2015-2022 Corrient '!$A$5:$A$1012,LEFT(B88,4),'PIB-Mpal 2015-2022 Corrient '!$E$5:$E$1012,$C$1)</f>
        <v>8.403219987394845</v>
      </c>
      <c r="C91" s="3">
        <f>SUMIFS('PIB-Mpal 2015-2022 Corrient '!$K$5:$K$1012,'PIB-Mpal 2015-2022 Corrient '!$A$5:$A$1012,LEFT(C88,4),'PIB-Mpal 2015-2022 Corrient '!$E$5:$E$1012,$C$1)</f>
        <v>2.8174571401873161</v>
      </c>
      <c r="D91" s="3">
        <f>SUMIFS('PIB-Mpal 2015-2022 Corrient '!$K$5:$K$1012,'PIB-Mpal 2015-2022 Corrient '!$A$5:$A$1012,LEFT(D88,4),'PIB-Mpal 2015-2022 Corrient '!$E$5:$E$1012,$C$1)</f>
        <v>2.5334611983295874</v>
      </c>
      <c r="E91" s="3">
        <f>SUMIFS('PIB-Mpal 2015-2022 Corrient '!$K$5:$K$1012,'PIB-Mpal 2015-2022 Corrient '!$A$5:$A$1012,LEFT(E88,4),'PIB-Mpal 2015-2022 Corrient '!$E$5:$E$1012,$C$1)</f>
        <v>7.0258093608157406</v>
      </c>
      <c r="F91" s="3">
        <f>SUMIFS('PIB-Mpal 2015-2022 Corrient '!$K$5:$K$1012,'PIB-Mpal 2015-2022 Corrient '!$A$5:$A$1012,LEFT(F88,4),'PIB-Mpal 2015-2022 Corrient '!$E$5:$E$1012,$C$1)</f>
        <v>7.5271222846382733</v>
      </c>
      <c r="G91" s="3">
        <f>SUMIFS('PIB-Mpal 2015-2022 Corrient '!$K$5:$K$1012,'PIB-Mpal 2015-2022 Corrient '!$A$5:$A$1012,LEFT(G88,4),'PIB-Mpal 2015-2022 Corrient '!$E$5:$E$1012,$C$1)</f>
        <v>7.1318294354875684</v>
      </c>
      <c r="H91" s="3">
        <f>SUMIFS('PIB-Mpal 2015-2022 Corrient '!$K$5:$K$1012,'PIB-Mpal 2015-2022 Corrient '!$A$5:$A$1012,LEFT(H88,4),'PIB-Mpal 2015-2022 Corrient '!$E$5:$E$1012,$C$1)</f>
        <v>15.291506456867747</v>
      </c>
      <c r="I91" s="234">
        <f>SUMIFS('PIB-Mpal 2015-2022 Corrient '!$K$5:$K$1012,'PIB-Mpal 2015-2022 Corrient '!$A$5:$A$1012,LEFT(I88,4),'PIB-Mpal 2015-2022 Corrient '!$E$5:$E$1012,$C$1)</f>
        <v>11.772724083135046</v>
      </c>
    </row>
    <row r="92" spans="1:12" x14ac:dyDescent="0.2">
      <c r="A92" s="248" t="s">
        <v>66</v>
      </c>
      <c r="B92" s="3">
        <f>SUMIFS('PIB-Mpal 2015-2022 Corrient '!$L$5:$L$1012,'PIB-Mpal 2015-2022 Corrient '!$A$5:$A$1012,LEFT(B88,4),'PIB-Mpal 2015-2022 Corrient '!$E$5:$E$1012,$C$1)</f>
        <v>11.27947243233152</v>
      </c>
      <c r="C92" s="3">
        <f>SUMIFS('PIB-Mpal 2015-2022 Corrient '!$L$5:$L$1012,'PIB-Mpal 2015-2022 Corrient '!$A$5:$A$1012,LEFT(C88,4),'PIB-Mpal 2015-2022 Corrient '!$E$5:$E$1012,$C$1)</f>
        <v>22.48454785750571</v>
      </c>
      <c r="D92" s="3">
        <f>SUMIFS('PIB-Mpal 2015-2022 Corrient '!$L$5:$L$1012,'PIB-Mpal 2015-2022 Corrient '!$A$5:$A$1012,LEFT(D88,4),'PIB-Mpal 2015-2022 Corrient '!$E$5:$E$1012,$C$1)</f>
        <v>23.719120608060322</v>
      </c>
      <c r="E92" s="3">
        <f>SUMIFS('PIB-Mpal 2015-2022 Corrient '!$L$5:$L$1012,'PIB-Mpal 2015-2022 Corrient '!$A$5:$A$1012,LEFT(E88,4),'PIB-Mpal 2015-2022 Corrient '!$E$5:$E$1012,$C$1)</f>
        <v>22.090154440121758</v>
      </c>
      <c r="F92" s="3">
        <f>SUMIFS('PIB-Mpal 2015-2022 Corrient '!$L$5:$L$1012,'PIB-Mpal 2015-2022 Corrient '!$A$5:$A$1012,LEFT(F88,4),'PIB-Mpal 2015-2022 Corrient '!$E$5:$E$1012,$C$1)</f>
        <v>23.191885437774182</v>
      </c>
      <c r="G92" s="3">
        <f>SUMIFS('PIB-Mpal 2015-2022 Corrient '!$L$5:$L$1012,'PIB-Mpal 2015-2022 Corrient '!$A$5:$A$1012,LEFT(G88,4),'PIB-Mpal 2015-2022 Corrient '!$E$5:$E$1012,$C$1)</f>
        <v>16.262252710936096</v>
      </c>
      <c r="H92" s="3">
        <f>SUMIFS('PIB-Mpal 2015-2022 Corrient '!$L$5:$L$1012,'PIB-Mpal 2015-2022 Corrient '!$A$5:$A$1012,LEFT(H88,4),'PIB-Mpal 2015-2022 Corrient '!$E$5:$E$1012,$C$1)</f>
        <v>12.316188733551861</v>
      </c>
      <c r="I92" s="234">
        <f>SUMIFS('PIB-Mpal 2015-2022 Corrient '!$L$5:$L$1012,'PIB-Mpal 2015-2022 Corrient '!$A$5:$A$1012,LEFT(I88,4),'PIB-Mpal 2015-2022 Corrient '!$E$5:$E$1012,$C$1)</f>
        <v>19.951317166884287</v>
      </c>
    </row>
    <row r="93" spans="1:12" ht="21.5" customHeight="1" x14ac:dyDescent="0.2">
      <c r="A93" s="248" t="s">
        <v>448</v>
      </c>
      <c r="B93" s="3">
        <f>SUMIFS('PIB-Mpal 2015-2022 Corrient '!$N$5:$N$1012,'PIB-Mpal 2015-2022 Corrient '!$A$5:$A$1012,LEFT(B88,4),'PIB-Mpal 2015-2022 Corrient '!$E$5:$E$1012,$C$1)</f>
        <v>9.2450920796395692</v>
      </c>
      <c r="C93" s="3">
        <f>SUMIFS('PIB-Mpal 2015-2022 Corrient '!$N$5:$N$1012,'PIB-Mpal 2015-2022 Corrient '!$A$5:$A$1012,LEFT(C88,4),'PIB-Mpal 2015-2022 Corrient '!$E$5:$E$1012,$C$1)</f>
        <v>8.7264978015455377</v>
      </c>
      <c r="D93" s="3">
        <f>SUMIFS('PIB-Mpal 2015-2022 Corrient '!$N$5:$N$1012,'PIB-Mpal 2015-2022 Corrient '!$A$5:$A$1012,LEFT(D88,4),'PIB-Mpal 2015-2022 Corrient '!$E$5:$E$1012,$C$1)</f>
        <v>13.195227595801374</v>
      </c>
      <c r="E93" s="3">
        <f>SUMIFS('PIB-Mpal 2015-2022 Corrient '!$N$5:$N$1012,'PIB-Mpal 2015-2022 Corrient '!$A$5:$A$1012,LEFT(E88,4),'PIB-Mpal 2015-2022 Corrient '!$E$5:$E$1012,$C$1)</f>
        <v>13.569961195380325</v>
      </c>
      <c r="F93" s="3">
        <f>SUMIFS('PIB-Mpal 2015-2022 Corrient '!$N$5:$N$1012,'PIB-Mpal 2015-2022 Corrient '!$A$5:$A$1012,LEFT(F88,4),'PIB-Mpal 2015-2022 Corrient '!$E$5:$E$1012,$C$1)</f>
        <v>15.769791455644057</v>
      </c>
      <c r="G93" s="3">
        <f>SUMIFS('PIB-Mpal 2015-2022 Corrient '!$N$5:$N$1012,'PIB-Mpal 2015-2022 Corrient '!$A$5:$A$1012,LEFT(G88,4),'PIB-Mpal 2015-2022 Corrient '!$E$5:$E$1012,$C$1)</f>
        <v>43.928267110014254</v>
      </c>
      <c r="H93" s="3">
        <f>SUMIFS('PIB-Mpal 2015-2022 Corrient '!$N$5:$N$1012,'PIB-Mpal 2015-2022 Corrient '!$A$5:$A$1012,LEFT(H88,4),'PIB-Mpal 2015-2022 Corrient '!$E$5:$E$1012,$C$1)</f>
        <v>10.655104095005747</v>
      </c>
      <c r="I93" s="234">
        <f>SUMIFS('PIB-Mpal 2015-2022 Corrient '!$N$5:$N$1012,'PIB-Mpal 2015-2022 Corrient '!$A$5:$A$1012,LEFT(I88,4),'PIB-Mpal 2015-2022 Corrient '!$E$5:$E$1012,$C$1)</f>
        <v>31.799989037676337</v>
      </c>
    </row>
    <row r="94" spans="1:12" ht="23.5" customHeight="1" x14ac:dyDescent="0.2">
      <c r="A94" s="248" t="s">
        <v>449</v>
      </c>
      <c r="B94" s="3">
        <f>SUMIFS('PIB-Mpal 2015-2022 Corrient '!$O$5:$O$1012,'PIB-Mpal 2015-2022 Corrient '!$A$5:$A$1012,LEFT(B88,4),'PIB-Mpal 2015-2022 Corrient '!$E$5:$E$1012,$C$1)</f>
        <v>60.435786379290768</v>
      </c>
      <c r="C94" s="3">
        <f>SUMIFS('PIB-Mpal 2015-2022 Corrient '!$O$5:$O$1012,'PIB-Mpal 2015-2022 Corrient '!$A$5:$A$1012,LEFT(C88,4),'PIB-Mpal 2015-2022 Corrient '!$E$5:$E$1012,$C$1)</f>
        <v>63.676201486436348</v>
      </c>
      <c r="D94" s="3">
        <f>SUMIFS('PIB-Mpal 2015-2022 Corrient '!$O$5:$O$1012,'PIB-Mpal 2015-2022 Corrient '!$A$5:$A$1012,LEFT(D88,4),'PIB-Mpal 2015-2022 Corrient '!$E$5:$E$1012,$C$1)</f>
        <v>93.017502477235738</v>
      </c>
      <c r="E94" s="3">
        <f>SUMIFS('PIB-Mpal 2015-2022 Corrient '!$O$5:$O$1012,'PIB-Mpal 2015-2022 Corrient '!$A$5:$A$1012,LEFT(E88,4),'PIB-Mpal 2015-2022 Corrient '!$E$5:$E$1012,$C$1)</f>
        <v>119.45210188735156</v>
      </c>
      <c r="F94" s="3">
        <f>SUMIFS('PIB-Mpal 2015-2022 Corrient '!$O$5:$O$1012,'PIB-Mpal 2015-2022 Corrient '!$A$5:$A$1012,LEFT(F88,4),'PIB-Mpal 2015-2022 Corrient '!$E$5:$E$1012,$C$1)</f>
        <v>152.53801212598543</v>
      </c>
      <c r="G94" s="3">
        <f>SUMIFS('PIB-Mpal 2015-2022 Corrient '!$O$5:$O$1012,'PIB-Mpal 2015-2022 Corrient '!$A$5:$A$1012,LEFT(G88,4),'PIB-Mpal 2015-2022 Corrient '!$E$5:$E$1012,$C$1)</f>
        <v>121.78019265410225</v>
      </c>
      <c r="H94" s="3">
        <f>SUMIFS('PIB-Mpal 2015-2022 Corrient '!$O$5:$O$1012,'PIB-Mpal 2015-2022 Corrient '!$A$5:$A$1012,LEFT(H88,4),'PIB-Mpal 2015-2022 Corrient '!$E$5:$E$1012,$C$1)</f>
        <v>155.03209524807568</v>
      </c>
      <c r="I94" s="234">
        <f>SUMIFS('PIB-Mpal 2015-2022 Corrient '!$O$5:$O$1012,'PIB-Mpal 2015-2022 Corrient '!$A$5:$A$1012,LEFT(I88,4),'PIB-Mpal 2015-2022 Corrient '!$E$5:$E$1012,$C$1)</f>
        <v>186.95628142257729</v>
      </c>
    </row>
    <row r="95" spans="1:12" x14ac:dyDescent="0.2">
      <c r="A95" s="248" t="s">
        <v>69</v>
      </c>
      <c r="B95" s="3">
        <f>SUMIFS('PIB-Mpal 2015-2022 Corrient '!$P$5:$P$1012,'PIB-Mpal 2015-2022 Corrient '!$A$5:$A$1012,LEFT(B88,4),'PIB-Mpal 2015-2022 Corrient '!$E$5:$E$1012,$C$1)</f>
        <v>9.5657771470364779</v>
      </c>
      <c r="C95" s="3">
        <f>SUMIFS('PIB-Mpal 2015-2022 Corrient '!$P$5:$P$1012,'PIB-Mpal 2015-2022 Corrient '!$A$5:$A$1012,LEFT(C88,4),'PIB-Mpal 2015-2022 Corrient '!$E$5:$E$1012,$C$1)</f>
        <v>7.1365922842405958</v>
      </c>
      <c r="D95" s="3">
        <f>SUMIFS('PIB-Mpal 2015-2022 Corrient '!$P$5:$P$1012,'PIB-Mpal 2015-2022 Corrient '!$A$5:$A$1012,LEFT(D88,4),'PIB-Mpal 2015-2022 Corrient '!$E$5:$E$1012,$C$1)</f>
        <v>10.599832447419006</v>
      </c>
      <c r="E95" s="3">
        <f>SUMIFS('PIB-Mpal 2015-2022 Corrient '!$P$5:$P$1012,'PIB-Mpal 2015-2022 Corrient '!$A$5:$A$1012,LEFT(E88,4),'PIB-Mpal 2015-2022 Corrient '!$E$5:$E$1012,$C$1)</f>
        <v>12.779664758750684</v>
      </c>
      <c r="F95" s="3">
        <f>SUMIFS('PIB-Mpal 2015-2022 Corrient '!$P$5:$P$1012,'PIB-Mpal 2015-2022 Corrient '!$A$5:$A$1012,LEFT(F88,4),'PIB-Mpal 2015-2022 Corrient '!$E$5:$E$1012,$C$1)</f>
        <v>12.541455037098332</v>
      </c>
      <c r="G95" s="3">
        <f>SUMIFS('PIB-Mpal 2015-2022 Corrient '!$P$5:$P$1012,'PIB-Mpal 2015-2022 Corrient '!$A$5:$A$1012,LEFT(G88,4),'PIB-Mpal 2015-2022 Corrient '!$E$5:$E$1012,$C$1)</f>
        <v>10.370901176166569</v>
      </c>
      <c r="H95" s="3">
        <f>SUMIFS('PIB-Mpal 2015-2022 Corrient '!$P$5:$P$1012,'PIB-Mpal 2015-2022 Corrient '!$A$5:$A$1012,LEFT(H88,4),'PIB-Mpal 2015-2022 Corrient '!$E$5:$E$1012,$C$1)</f>
        <v>13.926374601397685</v>
      </c>
      <c r="I95" s="234">
        <f>SUMIFS('PIB-Mpal 2015-2022 Corrient '!$P$5:$P$1012,'PIB-Mpal 2015-2022 Corrient '!$A$5:$A$1012,LEFT(I88,4),'PIB-Mpal 2015-2022 Corrient '!$E$5:$E$1012,$C$1)</f>
        <v>15.32453893490921</v>
      </c>
    </row>
    <row r="96" spans="1:12" x14ac:dyDescent="0.2">
      <c r="A96" s="248" t="s">
        <v>70</v>
      </c>
      <c r="B96" s="3">
        <f>SUMIFS('PIB-Mpal 2015-2022 Corrient '!$Q$5:$Q$1012,'PIB-Mpal 2015-2022 Corrient '!$A$5:$A$1012,LEFT(B88,4),'PIB-Mpal 2015-2022 Corrient '!$E$5:$E$1012,$C$1)</f>
        <v>4.6342596537508092</v>
      </c>
      <c r="C96" s="3">
        <f>SUMIFS('PIB-Mpal 2015-2022 Corrient '!$Q$5:$Q$1012,'PIB-Mpal 2015-2022 Corrient '!$A$5:$A$1012,LEFT(C88,4),'PIB-Mpal 2015-2022 Corrient '!$E$5:$E$1012,$C$1)</f>
        <v>3.6985661918271671</v>
      </c>
      <c r="D96" s="3">
        <f>SUMIFS('PIB-Mpal 2015-2022 Corrient '!$Q$5:$Q$1012,'PIB-Mpal 2015-2022 Corrient '!$A$5:$A$1012,LEFT(D88,4),'PIB-Mpal 2015-2022 Corrient '!$E$5:$E$1012,$C$1)</f>
        <v>6.0628626441803206</v>
      </c>
      <c r="E96" s="3">
        <f>SUMIFS('PIB-Mpal 2015-2022 Corrient '!$Q$5:$Q$1012,'PIB-Mpal 2015-2022 Corrient '!$A$5:$A$1012,LEFT(E88,4),'PIB-Mpal 2015-2022 Corrient '!$E$5:$E$1012,$C$1)</f>
        <v>4.7748514026240443</v>
      </c>
      <c r="F96" s="3">
        <f>SUMIFS('PIB-Mpal 2015-2022 Corrient '!$Q$5:$Q$1012,'PIB-Mpal 2015-2022 Corrient '!$A$5:$A$1012,LEFT(F88,4),'PIB-Mpal 2015-2022 Corrient '!$E$5:$E$1012,$C$1)</f>
        <v>6.7233234890359288</v>
      </c>
      <c r="G96" s="3">
        <f>SUMIFS('PIB-Mpal 2015-2022 Corrient '!$Q$5:$Q$1012,'PIB-Mpal 2015-2022 Corrient '!$A$5:$A$1012,LEFT(G88,4),'PIB-Mpal 2015-2022 Corrient '!$E$5:$E$1012,$C$1)</f>
        <v>17.890204725809252</v>
      </c>
      <c r="H96" s="3">
        <f>SUMIFS('PIB-Mpal 2015-2022 Corrient '!$Q$5:$Q$1012,'PIB-Mpal 2015-2022 Corrient '!$A$5:$A$1012,LEFT(H88,4),'PIB-Mpal 2015-2022 Corrient '!$E$5:$E$1012,$C$1)</f>
        <v>6.6500555054210873</v>
      </c>
      <c r="I96" s="234">
        <f>SUMIFS('PIB-Mpal 2015-2022 Corrient '!$Q$5:$Q$1012,'PIB-Mpal 2015-2022 Corrient '!$A$5:$A$1012,LEFT(I88,4),'PIB-Mpal 2015-2022 Corrient '!$E$5:$E$1012,$C$1)</f>
        <v>4.9195285423600641</v>
      </c>
    </row>
    <row r="97" spans="1:10" x14ac:dyDescent="0.2">
      <c r="A97" s="248" t="s">
        <v>71</v>
      </c>
      <c r="B97" s="3">
        <f>SUMIFS('PIB-Mpal 2015-2022 Corrient '!$R$5:$R$1012,'PIB-Mpal 2015-2022 Corrient '!$A$5:$A$1012,LEFT(B88,4),'PIB-Mpal 2015-2022 Corrient '!$E$5:$E$1012,$C$1)</f>
        <v>45.555366622671812</v>
      </c>
      <c r="C97" s="3">
        <f>SUMIFS('PIB-Mpal 2015-2022 Corrient '!$R$5:$R$1012,'PIB-Mpal 2015-2022 Corrient '!$A$5:$A$1012,LEFT(C88,4),'PIB-Mpal 2015-2022 Corrient '!$E$5:$E$1012,$C$1)</f>
        <v>37.836048078210602</v>
      </c>
      <c r="D97" s="3">
        <f>SUMIFS('PIB-Mpal 2015-2022 Corrient '!$R$5:$R$1012,'PIB-Mpal 2015-2022 Corrient '!$A$5:$A$1012,LEFT(D88,4),'PIB-Mpal 2015-2022 Corrient '!$E$5:$E$1012,$C$1)</f>
        <v>57.636537184814998</v>
      </c>
      <c r="E97" s="3">
        <f>SUMIFS('PIB-Mpal 2015-2022 Corrient '!$R$5:$R$1012,'PIB-Mpal 2015-2022 Corrient '!$A$5:$A$1012,LEFT(E88,4),'PIB-Mpal 2015-2022 Corrient '!$E$5:$E$1012,$C$1)</f>
        <v>59.568117431588092</v>
      </c>
      <c r="F97" s="3">
        <f>SUMIFS('PIB-Mpal 2015-2022 Corrient '!$R$5:$R$1012,'PIB-Mpal 2015-2022 Corrient '!$A$5:$A$1012,LEFT(F88,4),'PIB-Mpal 2015-2022 Corrient '!$E$5:$E$1012,$C$1)</f>
        <v>57.459395188408756</v>
      </c>
      <c r="G97" s="3">
        <f>SUMIFS('PIB-Mpal 2015-2022 Corrient '!$R$5:$R$1012,'PIB-Mpal 2015-2022 Corrient '!$A$5:$A$1012,LEFT(G88,4),'PIB-Mpal 2015-2022 Corrient '!$E$5:$E$1012,$C$1)</f>
        <v>53.110904708861952</v>
      </c>
      <c r="H97" s="3">
        <f>SUMIFS('PIB-Mpal 2015-2022 Corrient '!$R$5:$R$1012,'PIB-Mpal 2015-2022 Corrient '!$A$5:$A$1012,LEFT(H88,4),'PIB-Mpal 2015-2022 Corrient '!$E$5:$E$1012,$C$1)</f>
        <v>74.462326734399909</v>
      </c>
      <c r="I97" s="234">
        <f>SUMIFS('PIB-Mpal 2015-2022 Corrient '!$R$5:$R$1012,'PIB-Mpal 2015-2022 Corrient '!$A$5:$A$1012,LEFT(I88,4),'PIB-Mpal 2015-2022 Corrient '!$E$5:$E$1012,$C$1)</f>
        <v>77.347505523811876</v>
      </c>
    </row>
    <row r="98" spans="1:10" ht="17" x14ac:dyDescent="0.2">
      <c r="A98" s="248" t="s">
        <v>450</v>
      </c>
      <c r="B98" s="3">
        <f>SUMIFS('PIB-Mpal 2015-2022 Corrient '!$S$5:$S$1012,'PIB-Mpal 2015-2022 Corrient '!$A$5:$A$1012,LEFT(B88,4),'PIB-Mpal 2015-2022 Corrient '!$E$5:$E$1012,$C$1)</f>
        <v>39.345208298227796</v>
      </c>
      <c r="C98" s="3">
        <f>SUMIFS('PIB-Mpal 2015-2022 Corrient '!$S$5:$S$1012,'PIB-Mpal 2015-2022 Corrient '!$A$5:$A$1012,LEFT(C88,4),'PIB-Mpal 2015-2022 Corrient '!$E$5:$E$1012,$C$1)</f>
        <v>44.170485893279235</v>
      </c>
      <c r="D98" s="3">
        <f>SUMIFS('PIB-Mpal 2015-2022 Corrient '!$S$5:$S$1012,'PIB-Mpal 2015-2022 Corrient '!$A$5:$A$1012,LEFT(D88,4),'PIB-Mpal 2015-2022 Corrient '!$E$5:$E$1012,$C$1)</f>
        <v>49.467457917159983</v>
      </c>
      <c r="E98" s="3">
        <f>SUMIFS('PIB-Mpal 2015-2022 Corrient '!$S$5:$S$1012,'PIB-Mpal 2015-2022 Corrient '!$A$5:$A$1012,LEFT(E88,4),'PIB-Mpal 2015-2022 Corrient '!$E$5:$E$1012,$C$1)</f>
        <v>42.845236360089913</v>
      </c>
      <c r="F98" s="3">
        <f>SUMIFS('PIB-Mpal 2015-2022 Corrient '!$S$5:$S$1012,'PIB-Mpal 2015-2022 Corrient '!$A$5:$A$1012,LEFT(F88,4),'PIB-Mpal 2015-2022 Corrient '!$E$5:$E$1012,$C$1)</f>
        <v>44.1318207893015</v>
      </c>
      <c r="G98" s="3">
        <f>SUMIFS('PIB-Mpal 2015-2022 Corrient '!$S$5:$S$1012,'PIB-Mpal 2015-2022 Corrient '!$A$5:$A$1012,LEFT(G88,4),'PIB-Mpal 2015-2022 Corrient '!$E$5:$E$1012,$C$1)</f>
        <v>47.261695306131372</v>
      </c>
      <c r="H98" s="3">
        <f>SUMIFS('PIB-Mpal 2015-2022 Corrient '!$S$5:$S$1012,'PIB-Mpal 2015-2022 Corrient '!$A$5:$A$1012,LEFT(H88,4),'PIB-Mpal 2015-2022 Corrient '!$E$5:$E$1012,$C$1)</f>
        <v>53.849557094083877</v>
      </c>
      <c r="I98" s="234">
        <f>SUMIFS('PIB-Mpal 2015-2022 Corrient '!$S$5:$S$1012,'PIB-Mpal 2015-2022 Corrient '!$A$5:$A$1012,LEFT(I88,4),'PIB-Mpal 2015-2022 Corrient '!$E$5:$E$1012,$C$1)</f>
        <v>60.636373943517881</v>
      </c>
    </row>
    <row r="99" spans="1:10" ht="32" x14ac:dyDescent="0.2">
      <c r="A99" s="248" t="s">
        <v>451</v>
      </c>
      <c r="B99" s="3">
        <f>SUMIFS('PIB-Mpal 2015-2022 Corrient '!$T$5:$T$1012,'PIB-Mpal 2015-2022 Corrient '!$A$5:$A$1012,LEFT(B88,4),'PIB-Mpal 2015-2022 Corrient '!$E$5:$E$1012,$C$1)</f>
        <v>28.663156153813802</v>
      </c>
      <c r="C99" s="3">
        <f>SUMIFS('PIB-Mpal 2015-2022 Corrient '!$T$5:$T$1012,'PIB-Mpal 2015-2022 Corrient '!$A$5:$A$1012,LEFT(C88,4),'PIB-Mpal 2015-2022 Corrient '!$E$5:$E$1012,$C$1)</f>
        <v>94.018154455739804</v>
      </c>
      <c r="D99" s="3">
        <f>SUMIFS('PIB-Mpal 2015-2022 Corrient '!$T$5:$T$1012,'PIB-Mpal 2015-2022 Corrient '!$A$5:$A$1012,LEFT(D88,4),'PIB-Mpal 2015-2022 Corrient '!$E$5:$E$1012,$C$1)</f>
        <v>38.66388170928402</v>
      </c>
      <c r="E99" s="3">
        <f>SUMIFS('PIB-Mpal 2015-2022 Corrient '!$T$5:$T$1012,'PIB-Mpal 2015-2022 Corrient '!$A$5:$A$1012,LEFT(E88,4),'PIB-Mpal 2015-2022 Corrient '!$E$5:$E$1012,$C$1)</f>
        <v>39.836041605441388</v>
      </c>
      <c r="F99" s="3">
        <f>SUMIFS('PIB-Mpal 2015-2022 Corrient '!$T$5:$T$1012,'PIB-Mpal 2015-2022 Corrient '!$A$5:$A$1012,LEFT(F88,4),'PIB-Mpal 2015-2022 Corrient '!$E$5:$E$1012,$C$1)</f>
        <v>36.302619089142468</v>
      </c>
      <c r="G99" s="3">
        <f>SUMIFS('PIB-Mpal 2015-2022 Corrient '!$T$5:$T$1012,'PIB-Mpal 2015-2022 Corrient '!$A$5:$A$1012,LEFT(G88,4),'PIB-Mpal 2015-2022 Corrient '!$E$5:$E$1012,$C$1)</f>
        <v>52.604544625341696</v>
      </c>
      <c r="H99" s="3">
        <f>SUMIFS('PIB-Mpal 2015-2022 Corrient '!$T$5:$T$1012,'PIB-Mpal 2015-2022 Corrient '!$A$5:$A$1012,LEFT(H88,4),'PIB-Mpal 2015-2022 Corrient '!$E$5:$E$1012,$C$1)</f>
        <v>83.739378825581497</v>
      </c>
      <c r="I99" s="234">
        <f>SUMIFS('PIB-Mpal 2015-2022 Corrient '!$T$5:$T$1012,'PIB-Mpal 2015-2022 Corrient '!$A$5:$A$1012,LEFT(I88,4),'PIB-Mpal 2015-2022 Corrient '!$E$5:$E$1012,$C$1)</f>
        <v>83.42953049145936</v>
      </c>
    </row>
    <row r="100" spans="1:10" ht="32" x14ac:dyDescent="0.2">
      <c r="A100" s="248" t="s">
        <v>452</v>
      </c>
      <c r="B100" s="3">
        <f>SUMIFS('PIB-Mpal 2015-2022 Corrient '!$U$5:$U$1012,'PIB-Mpal 2015-2022 Corrient '!$A$5:$A$1012,LEFT(B88,4),'PIB-Mpal 2015-2022 Corrient '!$E$5:$E$1012,$C$1)</f>
        <v>7.6540348559786606</v>
      </c>
      <c r="C100" s="3">
        <f>SUMIFS('PIB-Mpal 2015-2022 Corrient '!$U$5:$U$1012,'PIB-Mpal 2015-2022 Corrient '!$A$5:$A$1012,LEFT(C88,4),'PIB-Mpal 2015-2022 Corrient '!$E$5:$E$1012,$C$1)</f>
        <v>6.7083267039536292</v>
      </c>
      <c r="D100" s="3">
        <f>SUMIFS('PIB-Mpal 2015-2022 Corrient '!$U$5:$U$1012,'PIB-Mpal 2015-2022 Corrient '!$A$5:$A$1012,LEFT(D88,4),'PIB-Mpal 2015-2022 Corrient '!$E$5:$E$1012,$C$1)</f>
        <v>10.650814853811937</v>
      </c>
      <c r="E100" s="3">
        <f>SUMIFS('PIB-Mpal 2015-2022 Corrient '!$U$5:$U$1012,'PIB-Mpal 2015-2022 Corrient '!$A$5:$A$1012,LEFT(E88,4),'PIB-Mpal 2015-2022 Corrient '!$E$5:$E$1012,$C$1)</f>
        <v>12.46819357026237</v>
      </c>
      <c r="F100" s="3">
        <f>SUMIFS('PIB-Mpal 2015-2022 Corrient '!$U$5:$U$1012,'PIB-Mpal 2015-2022 Corrient '!$A$5:$A$1012,LEFT(F88,4),'PIB-Mpal 2015-2022 Corrient '!$E$5:$E$1012,$C$1)</f>
        <v>13.218920378499037</v>
      </c>
      <c r="G100" s="3">
        <f>SUMIFS('PIB-Mpal 2015-2022 Corrient '!$U$5:$U$1012,'PIB-Mpal 2015-2022 Corrient '!$A$5:$A$1012,LEFT(G88,4),'PIB-Mpal 2015-2022 Corrient '!$E$5:$E$1012,$C$1)</f>
        <v>10.993528417651401</v>
      </c>
      <c r="H100" s="3">
        <f>SUMIFS('PIB-Mpal 2015-2022 Corrient '!$U$5:$U$1012,'PIB-Mpal 2015-2022 Corrient '!$A$5:$A$1012,LEFT(H88,4),'PIB-Mpal 2015-2022 Corrient '!$E$5:$E$1012,$C$1)</f>
        <v>14.757908060999053</v>
      </c>
      <c r="I100" s="234">
        <f>SUMIFS('PIB-Mpal 2015-2022 Corrient '!$U$5:$U$1012,'PIB-Mpal 2015-2022 Corrient '!$A$5:$A$1012,LEFT(I88,4),'PIB-Mpal 2015-2022 Corrient '!$E$5:$E$1012,$C$1)</f>
        <v>22.525142238713684</v>
      </c>
    </row>
    <row r="101" spans="1:10" ht="16.25" customHeight="1" thickBot="1" x14ac:dyDescent="0.25">
      <c r="A101" s="249" t="s">
        <v>453</v>
      </c>
      <c r="B101" s="246">
        <f>SUM(B89:B100)</f>
        <v>227.67868778209223</v>
      </c>
      <c r="C101" s="246">
        <f t="shared" ref="C101:I101" si="20">SUM(C89:C100)</f>
        <v>295.89268591743269</v>
      </c>
      <c r="D101" s="246">
        <f t="shared" si="20"/>
        <v>311.39790436824279</v>
      </c>
      <c r="E101" s="246">
        <f t="shared" si="20"/>
        <v>338.43302523316908</v>
      </c>
      <c r="F101" s="246">
        <f t="shared" si="20"/>
        <v>373.06749761776626</v>
      </c>
      <c r="G101" s="246">
        <f t="shared" si="20"/>
        <v>385.94806273896614</v>
      </c>
      <c r="H101" s="246">
        <f t="shared" si="20"/>
        <v>444.94874602722655</v>
      </c>
      <c r="I101" s="247">
        <f t="shared" si="20"/>
        <v>520.29657710422191</v>
      </c>
    </row>
    <row r="103" spans="1:10" ht="16" x14ac:dyDescent="0.2">
      <c r="A103" s="449" t="s">
        <v>35</v>
      </c>
      <c r="B103" s="449"/>
      <c r="C103" s="449"/>
      <c r="D103" s="449"/>
      <c r="E103" s="449"/>
      <c r="F103" s="449"/>
      <c r="G103" s="449"/>
      <c r="H103" s="449"/>
      <c r="I103" s="449"/>
    </row>
    <row r="104" spans="1:10" ht="32" customHeight="1" thickBot="1" x14ac:dyDescent="0.25">
      <c r="A104" s="448" t="str">
        <f>"Distribución del Valor Agregado en precios corrientes por ramas de actividad económica del Municipio de "&amp;B1&amp; " 2015 - 2022"</f>
        <v>Distribución del Valor Agregado en precios corrientes por ramas de actividad económica del Municipio de Guatapé 2015 - 2022</v>
      </c>
      <c r="B104" s="448"/>
      <c r="C104" s="448"/>
      <c r="D104" s="448"/>
      <c r="E104" s="448"/>
      <c r="F104" s="448"/>
      <c r="G104" s="448"/>
      <c r="H104" s="448"/>
      <c r="I104" s="448"/>
    </row>
    <row r="105" spans="1:10" x14ac:dyDescent="0.2">
      <c r="A105" s="230" t="s">
        <v>447</v>
      </c>
      <c r="B105" s="231">
        <v>2015</v>
      </c>
      <c r="C105" s="231">
        <v>2016</v>
      </c>
      <c r="D105" s="231">
        <v>2017</v>
      </c>
      <c r="E105" s="231">
        <v>2018</v>
      </c>
      <c r="F105" s="231">
        <v>2019</v>
      </c>
      <c r="G105" s="231">
        <v>2020</v>
      </c>
      <c r="H105" s="231" t="s">
        <v>431</v>
      </c>
      <c r="I105" s="232" t="s">
        <v>432</v>
      </c>
    </row>
    <row r="106" spans="1:10" ht="30" x14ac:dyDescent="0.2">
      <c r="A106" s="248" t="s">
        <v>63</v>
      </c>
      <c r="B106" s="242">
        <f>B89/B$101</f>
        <v>1.272545182063407E-2</v>
      </c>
      <c r="C106" s="242">
        <f t="shared" ref="C106:G106" si="21">C89/C$101</f>
        <v>1.5613120041080918E-2</v>
      </c>
      <c r="D106" s="242">
        <f t="shared" si="21"/>
        <v>1.8790125591937719E-2</v>
      </c>
      <c r="E106" s="242">
        <f t="shared" si="21"/>
        <v>1.1886822268516934E-2</v>
      </c>
      <c r="F106" s="242">
        <f t="shared" si="21"/>
        <v>9.8190069240270354E-3</v>
      </c>
      <c r="G106" s="242">
        <f t="shared" si="21"/>
        <v>1.195430762295128E-2</v>
      </c>
      <c r="H106" s="242">
        <f t="shared" ref="H106:I106" si="22">H89/H$101</f>
        <v>9.5926794039805953E-3</v>
      </c>
      <c r="I106" s="243">
        <f t="shared" si="22"/>
        <v>1.0827758565185421E-2</v>
      </c>
      <c r="J106" s="289">
        <f t="shared" ref="J106:J117" si="23">INDEX(B106:I106,,MATCH($L$89,$B$105:$I$105,0))</f>
        <v>1.0827758565185421E-2</v>
      </c>
    </row>
    <row r="107" spans="1:10" x14ac:dyDescent="0.2">
      <c r="A107" s="248" t="s">
        <v>64</v>
      </c>
      <c r="B107" s="242">
        <f t="shared" ref="B107:G117" si="24">B90/B$101</f>
        <v>0</v>
      </c>
      <c r="C107" s="242">
        <f t="shared" si="24"/>
        <v>0</v>
      </c>
      <c r="D107" s="242">
        <f t="shared" si="24"/>
        <v>0</v>
      </c>
      <c r="E107" s="242">
        <f t="shared" si="24"/>
        <v>0</v>
      </c>
      <c r="F107" s="242">
        <f t="shared" si="24"/>
        <v>0</v>
      </c>
      <c r="G107" s="242">
        <f t="shared" si="24"/>
        <v>0</v>
      </c>
      <c r="H107" s="242">
        <f t="shared" ref="H107:I107" si="25">H90/H$101</f>
        <v>0</v>
      </c>
      <c r="I107" s="243">
        <f t="shared" si="25"/>
        <v>0</v>
      </c>
      <c r="J107" s="289">
        <f t="shared" si="23"/>
        <v>0</v>
      </c>
    </row>
    <row r="108" spans="1:10" x14ac:dyDescent="0.2">
      <c r="A108" s="248" t="s">
        <v>65</v>
      </c>
      <c r="B108" s="242">
        <f t="shared" si="24"/>
        <v>3.690824147509774E-2</v>
      </c>
      <c r="C108" s="242">
        <f t="shared" si="24"/>
        <v>9.5218884219852359E-3</v>
      </c>
      <c r="D108" s="242">
        <f t="shared" si="24"/>
        <v>8.1357682977007111E-3</v>
      </c>
      <c r="E108" s="242">
        <f t="shared" si="24"/>
        <v>2.0759821994248914E-2</v>
      </c>
      <c r="F108" s="242">
        <f t="shared" si="24"/>
        <v>2.0176301427229495E-2</v>
      </c>
      <c r="G108" s="242">
        <f t="shared" si="24"/>
        <v>1.8478728419764456E-2</v>
      </c>
      <c r="H108" s="242">
        <f t="shared" ref="H108:I108" si="26">H91/H$101</f>
        <v>3.4366894149943407E-2</v>
      </c>
      <c r="I108" s="243">
        <f t="shared" si="26"/>
        <v>2.2626948938733498E-2</v>
      </c>
      <c r="J108" s="289">
        <f t="shared" si="23"/>
        <v>2.2626948938733498E-2</v>
      </c>
    </row>
    <row r="109" spans="1:10" x14ac:dyDescent="0.2">
      <c r="A109" s="248" t="s">
        <v>66</v>
      </c>
      <c r="B109" s="242">
        <f t="shared" si="24"/>
        <v>4.954118693413645E-2</v>
      </c>
      <c r="C109" s="242">
        <f t="shared" si="24"/>
        <v>7.5988859906391551E-2</v>
      </c>
      <c r="D109" s="242">
        <f t="shared" si="24"/>
        <v>7.6169814489218071E-2</v>
      </c>
      <c r="E109" s="242">
        <f t="shared" si="24"/>
        <v>6.5271864129992571E-2</v>
      </c>
      <c r="F109" s="242">
        <f t="shared" si="24"/>
        <v>6.2165387190968563E-2</v>
      </c>
      <c r="G109" s="242">
        <f t="shared" si="24"/>
        <v>4.2135857854881838E-2</v>
      </c>
      <c r="H109" s="242">
        <f t="shared" ref="H109:I109" si="27">H92/H$101</f>
        <v>2.7680016728934057E-2</v>
      </c>
      <c r="I109" s="243">
        <f t="shared" si="27"/>
        <v>3.8346047321560196E-2</v>
      </c>
      <c r="J109" s="289">
        <f t="shared" si="23"/>
        <v>3.8346047321560196E-2</v>
      </c>
    </row>
    <row r="110" spans="1:10" ht="27.5" customHeight="1" x14ac:dyDescent="0.2">
      <c r="A110" s="248" t="s">
        <v>448</v>
      </c>
      <c r="B110" s="242">
        <f t="shared" si="24"/>
        <v>4.0605873872955139E-2</v>
      </c>
      <c r="C110" s="242">
        <f t="shared" si="24"/>
        <v>2.9492103782452473E-2</v>
      </c>
      <c r="D110" s="242">
        <f t="shared" si="24"/>
        <v>4.2374169545461651E-2</v>
      </c>
      <c r="E110" s="242">
        <f t="shared" si="24"/>
        <v>4.0096445038220116E-2</v>
      </c>
      <c r="F110" s="242">
        <f t="shared" si="24"/>
        <v>4.2270612037613932E-2</v>
      </c>
      <c r="G110" s="242">
        <f t="shared" si="24"/>
        <v>0.11381911544850763</v>
      </c>
      <c r="H110" s="242">
        <f t="shared" ref="H110:I110" si="28">H93/H$101</f>
        <v>2.3946812279259145E-2</v>
      </c>
      <c r="I110" s="243">
        <f t="shared" si="28"/>
        <v>6.1118966445374866E-2</v>
      </c>
      <c r="J110" s="289">
        <f t="shared" si="23"/>
        <v>6.1118966445374866E-2</v>
      </c>
    </row>
    <row r="111" spans="1:10" ht="17" x14ac:dyDescent="0.2">
      <c r="A111" s="248" t="s">
        <v>449</v>
      </c>
      <c r="B111" s="242">
        <f t="shared" si="24"/>
        <v>0.26544331824827155</v>
      </c>
      <c r="C111" s="242">
        <f t="shared" si="24"/>
        <v>0.21520032267443359</v>
      </c>
      <c r="D111" s="242">
        <f t="shared" si="24"/>
        <v>0.29870946840810503</v>
      </c>
      <c r="E111" s="242">
        <f t="shared" si="24"/>
        <v>0.35295639899520159</v>
      </c>
      <c r="F111" s="242">
        <f t="shared" si="24"/>
        <v>0.40887510463929849</v>
      </c>
      <c r="G111" s="242">
        <f t="shared" si="24"/>
        <v>0.31553518312765211</v>
      </c>
      <c r="H111" s="242">
        <f t="shared" ref="H111:I111" si="29">H94/H$101</f>
        <v>0.3484268618178985</v>
      </c>
      <c r="I111" s="243">
        <f t="shared" si="29"/>
        <v>0.35932637201479728</v>
      </c>
      <c r="J111" s="289">
        <f t="shared" si="23"/>
        <v>0.35932637201479728</v>
      </c>
    </row>
    <row r="112" spans="1:10" x14ac:dyDescent="0.2">
      <c r="A112" s="248" t="s">
        <v>69</v>
      </c>
      <c r="B112" s="242">
        <f t="shared" si="24"/>
        <v>4.2014372272699219E-2</v>
      </c>
      <c r="C112" s="242">
        <f t="shared" si="24"/>
        <v>2.4118853300186083E-2</v>
      </c>
      <c r="D112" s="242">
        <f t="shared" si="24"/>
        <v>3.4039511180795234E-2</v>
      </c>
      <c r="E112" s="242">
        <f t="shared" si="24"/>
        <v>3.7761281570987112E-2</v>
      </c>
      <c r="F112" s="242">
        <f t="shared" si="24"/>
        <v>3.3617120540336991E-2</v>
      </c>
      <c r="G112" s="242">
        <f t="shared" si="24"/>
        <v>2.6871235218975231E-2</v>
      </c>
      <c r="H112" s="242">
        <f t="shared" ref="H112:I112" si="30">H95/H$101</f>
        <v>3.1298828743177368E-2</v>
      </c>
      <c r="I112" s="243">
        <f t="shared" si="30"/>
        <v>2.9453468673962684E-2</v>
      </c>
      <c r="J112" s="289">
        <f t="shared" si="23"/>
        <v>2.9453468673962684E-2</v>
      </c>
    </row>
    <row r="113" spans="1:10" x14ac:dyDescent="0.2">
      <c r="A113" s="248" t="s">
        <v>70</v>
      </c>
      <c r="B113" s="242">
        <f t="shared" si="24"/>
        <v>2.0354384940000129E-2</v>
      </c>
      <c r="C113" s="242">
        <f t="shared" si="24"/>
        <v>1.2499687784980371E-2</v>
      </c>
      <c r="D113" s="242">
        <f t="shared" si="24"/>
        <v>1.9469824809773599E-2</v>
      </c>
      <c r="E113" s="242">
        <f t="shared" si="24"/>
        <v>1.4108704076188578E-2</v>
      </c>
      <c r="F113" s="242">
        <f t="shared" si="24"/>
        <v>1.8021734758369233E-2</v>
      </c>
      <c r="G113" s="242">
        <f t="shared" si="24"/>
        <v>4.6353917671842784E-2</v>
      </c>
      <c r="H113" s="242">
        <f t="shared" ref="H113:I113" si="31">H96/H$101</f>
        <v>1.494566635999502E-2</v>
      </c>
      <c r="I113" s="243">
        <f t="shared" si="31"/>
        <v>9.4552391056276757E-3</v>
      </c>
      <c r="J113" s="289">
        <f t="shared" si="23"/>
        <v>9.4552391056276757E-3</v>
      </c>
    </row>
    <row r="114" spans="1:10" x14ac:dyDescent="0.2">
      <c r="A114" s="248" t="s">
        <v>71</v>
      </c>
      <c r="B114" s="242">
        <f t="shared" si="24"/>
        <v>0.200086213893995</v>
      </c>
      <c r="C114" s="242">
        <f t="shared" si="24"/>
        <v>0.12787084601600648</v>
      </c>
      <c r="D114" s="242">
        <f t="shared" si="24"/>
        <v>0.18508967586582425</v>
      </c>
      <c r="E114" s="242">
        <f t="shared" si="24"/>
        <v>0.17601153844412096</v>
      </c>
      <c r="F114" s="242">
        <f t="shared" si="24"/>
        <v>0.15401876484903523</v>
      </c>
      <c r="G114" s="242">
        <f t="shared" si="24"/>
        <v>0.13761153335489915</v>
      </c>
      <c r="H114" s="242">
        <f t="shared" ref="H114:I114" si="32">H97/H$101</f>
        <v>0.16735034630223125</v>
      </c>
      <c r="I114" s="243">
        <f t="shared" si="32"/>
        <v>0.14866041586185219</v>
      </c>
      <c r="J114" s="289">
        <f t="shared" si="23"/>
        <v>0.14866041586185219</v>
      </c>
    </row>
    <row r="115" spans="1:10" ht="17" x14ac:dyDescent="0.2">
      <c r="A115" s="248" t="s">
        <v>450</v>
      </c>
      <c r="B115" s="242">
        <f t="shared" si="24"/>
        <v>0.17281023832974868</v>
      </c>
      <c r="C115" s="242">
        <f t="shared" si="24"/>
        <v>0.14927873514793394</v>
      </c>
      <c r="D115" s="242">
        <f t="shared" si="24"/>
        <v>0.15885610411386189</v>
      </c>
      <c r="E115" s="242">
        <f t="shared" si="24"/>
        <v>0.12659886348435107</v>
      </c>
      <c r="F115" s="242">
        <f t="shared" si="24"/>
        <v>0.11829446700960702</v>
      </c>
      <c r="G115" s="242">
        <f t="shared" si="24"/>
        <v>0.12245610191881326</v>
      </c>
      <c r="H115" s="242">
        <f t="shared" ref="H115:I115" si="33">H98/H$101</f>
        <v>0.12102417991934021</v>
      </c>
      <c r="I115" s="243">
        <f t="shared" si="33"/>
        <v>0.11654194282998648</v>
      </c>
      <c r="J115" s="289">
        <f t="shared" si="23"/>
        <v>0.11654194282998648</v>
      </c>
    </row>
    <row r="116" spans="1:10" ht="32" x14ac:dyDescent="0.2">
      <c r="A116" s="248" t="s">
        <v>451</v>
      </c>
      <c r="B116" s="242">
        <f t="shared" si="24"/>
        <v>0.12589301367217501</v>
      </c>
      <c r="C116" s="242">
        <f t="shared" si="24"/>
        <v>0.3177440975407384</v>
      </c>
      <c r="D116" s="242">
        <f t="shared" si="24"/>
        <v>0.1241623054198918</v>
      </c>
      <c r="E116" s="242">
        <f t="shared" si="24"/>
        <v>0.11770731174357373</v>
      </c>
      <c r="F116" s="242">
        <f t="shared" si="24"/>
        <v>9.7308447723143759E-2</v>
      </c>
      <c r="G116" s="242">
        <f t="shared" si="24"/>
        <v>0.13629954313547232</v>
      </c>
      <c r="H116" s="242">
        <f t="shared" ref="H116:I116" si="34">H99/H$101</f>
        <v>0.18820005578902668</v>
      </c>
      <c r="I116" s="243">
        <f t="shared" si="34"/>
        <v>0.16034995070657054</v>
      </c>
      <c r="J116" s="289">
        <f t="shared" si="23"/>
        <v>0.16034995070657054</v>
      </c>
    </row>
    <row r="117" spans="1:10" ht="33" thickBot="1" x14ac:dyDescent="0.25">
      <c r="A117" s="283" t="s">
        <v>452</v>
      </c>
      <c r="B117" s="244">
        <f t="shared" si="24"/>
        <v>3.361770454028714E-2</v>
      </c>
      <c r="C117" s="244">
        <f t="shared" si="24"/>
        <v>2.2671485383810915E-2</v>
      </c>
      <c r="D117" s="244">
        <f t="shared" si="24"/>
        <v>3.4203232277429982E-2</v>
      </c>
      <c r="E117" s="244">
        <f t="shared" si="24"/>
        <v>3.6840948254598382E-2</v>
      </c>
      <c r="F117" s="244">
        <f t="shared" si="24"/>
        <v>3.5433052900370181E-2</v>
      </c>
      <c r="G117" s="244">
        <f t="shared" si="24"/>
        <v>2.8484476226239834E-2</v>
      </c>
      <c r="H117" s="244">
        <f t="shared" ref="H117:I117" si="35">H100/H$101</f>
        <v>3.3167658506213685E-2</v>
      </c>
      <c r="I117" s="245">
        <f t="shared" si="35"/>
        <v>4.3292889536349223E-2</v>
      </c>
      <c r="J117" s="289">
        <f t="shared" si="23"/>
        <v>4.3292889536349223E-2</v>
      </c>
    </row>
    <row r="118" spans="1:10" x14ac:dyDescent="0.2">
      <c r="H118" s="146"/>
      <c r="I118" s="284"/>
    </row>
    <row r="119" spans="1:10" x14ac:dyDescent="0.2">
      <c r="H119" s="146"/>
      <c r="I119" s="284"/>
    </row>
    <row r="125" spans="1:10" ht="41.5" customHeight="1" x14ac:dyDescent="0.2">
      <c r="A125" s="455"/>
      <c r="B125" s="455"/>
      <c r="C125" s="455"/>
      <c r="D125" s="455"/>
      <c r="E125" s="455"/>
      <c r="F125" s="455"/>
      <c r="G125" s="455"/>
    </row>
    <row r="129" spans="1:13" ht="16" x14ac:dyDescent="0.2">
      <c r="A129" s="449" t="s">
        <v>37</v>
      </c>
      <c r="B129" s="449"/>
      <c r="C129" s="449"/>
      <c r="D129" s="449"/>
      <c r="E129" s="449"/>
      <c r="F129" s="449"/>
      <c r="G129" s="449"/>
      <c r="H129" s="449"/>
      <c r="I129" s="449"/>
    </row>
    <row r="130" spans="1:13" ht="32.5" customHeight="1" thickBot="1" x14ac:dyDescent="0.25">
      <c r="A130" s="448" t="str">
        <f>"Valor Agregado en precios constantes, Series encadenadas de volumen con año de referencia 2015, por ramas de actividad económica del Municipio de "&amp;B1 &amp;" (miles de Millones de pesos)"</f>
        <v>Valor Agregado en precios constantes, Series encadenadas de volumen con año de referencia 2015, por ramas de actividad económica del Municipio de Guatapé (miles de Millones de pesos)</v>
      </c>
      <c r="B130" s="448"/>
      <c r="C130" s="448"/>
      <c r="D130" s="448"/>
      <c r="E130" s="448"/>
      <c r="F130" s="448"/>
      <c r="G130" s="448"/>
      <c r="H130" s="448"/>
      <c r="I130" s="448"/>
    </row>
    <row r="131" spans="1:13" x14ac:dyDescent="0.2">
      <c r="A131" s="230" t="s">
        <v>447</v>
      </c>
      <c r="B131" s="231">
        <v>2015</v>
      </c>
      <c r="C131" s="231">
        <v>2016</v>
      </c>
      <c r="D131" s="231">
        <v>2017</v>
      </c>
      <c r="E131" s="231">
        <v>2018</v>
      </c>
      <c r="F131" s="231">
        <v>2019</v>
      </c>
      <c r="G131" s="231">
        <v>2020</v>
      </c>
      <c r="H131" s="231" t="s">
        <v>431</v>
      </c>
      <c r="I131" s="232" t="s">
        <v>432</v>
      </c>
    </row>
    <row r="132" spans="1:13" ht="30" x14ac:dyDescent="0.2">
      <c r="A132" s="248" t="s">
        <v>63</v>
      </c>
      <c r="B132" s="3">
        <f>SUMIFS('PIB Mpal 2015-2022 Cons'!$H$5:$H$1012,'PIB Mpal 2015-2022 Cons'!$A$5:$A$1012,LEFT(B131,4),'PIB Mpal 2015-2022 Cons'!$E$5:$E$1012,$C$1)</f>
        <v>2.8973141719562014</v>
      </c>
      <c r="C132" s="3">
        <f>SUMIFS('PIB Mpal 2015-2022 Cons'!$H$5:$H$1012,'PIB Mpal 2015-2022 Cons'!$A$5:$A$1012,LEFT(C131,4),'PIB Mpal 2015-2022 Cons'!$E$5:$E$1012,$C$1)</f>
        <v>3.9647177061351582</v>
      </c>
      <c r="D132" s="3">
        <f>SUMIFS('PIB Mpal 2015-2022 Cons'!$H$5:$H$1012,'PIB Mpal 2015-2022 Cons'!$A$5:$A$1012,LEFT(D131,4),'PIB Mpal 2015-2022 Cons'!$E$5:$E$1012,$C$1)</f>
        <v>5.1388048967441726</v>
      </c>
      <c r="E132" s="3">
        <f>SUMIFS('PIB Mpal 2015-2022 Cons'!$H$5:$H$1012,'PIB Mpal 2015-2022 Cons'!$A$5:$A$1012,LEFT(E131,4),'PIB Mpal 2015-2022 Cons'!$E$5:$E$1012,$C$1)</f>
        <v>3.3749255368360571</v>
      </c>
      <c r="F132" s="3">
        <f>SUMIFS('PIB Mpal 2015-2022 Cons'!$H$5:$H$1012,'PIB Mpal 2015-2022 Cons'!$A$5:$A$1012,LEFT(F131,4),'PIB Mpal 2015-2022 Cons'!$E$5:$E$1012,$C$1)</f>
        <v>2.8330459163141515</v>
      </c>
      <c r="G132" s="3">
        <f>SUMIFS('PIB Mpal 2015-2022 Cons'!$H$5:$H$1012,'PIB Mpal 2015-2022 Cons'!$A$5:$A$1012,LEFT(G131,4),'PIB Mpal 2015-2022 Cons'!$E$5:$E$1012,$C$1)</f>
        <v>3.2942295516675193</v>
      </c>
      <c r="H132" s="3">
        <f>SUMIFS('PIB Mpal 2015-2022 Cons'!$H$5:$H$1012,'PIB Mpal 2015-2022 Cons'!$A$5:$A$1012,LEFT(H131,4),'PIB Mpal 2015-2022 Cons'!$E$5:$E$1012,$C$1)</f>
        <v>2.6317894135532303</v>
      </c>
      <c r="I132" s="234">
        <f>SUMIFS('PIB Mpal 2015-2022 Cons'!$H$5:$H$1012,'PIB Mpal 2015-2022 Cons'!$A$5:$A$1012,LEFT(I131,4),'PIB Mpal 2015-2022 Cons'!$E$5:$E$1012,$C$1)</f>
        <v>2.5133461380831092</v>
      </c>
    </row>
    <row r="133" spans="1:13" x14ac:dyDescent="0.2">
      <c r="A133" s="248" t="s">
        <v>64</v>
      </c>
      <c r="B133" s="3">
        <f>SUMIFS('PIB Mpal 2015-2022 Cons'!$I$5:$I$1012,'PIB Mpal 2015-2022 Cons'!$A$5:$A$1012,LEFT(B131,4),'PIB Mpal 2015-2022 Cons'!$E$5:$E$1012,$C$1)</f>
        <v>0</v>
      </c>
      <c r="C133" s="3">
        <f>SUMIFS('PIB Mpal 2015-2022 Cons'!$I$5:$I$1012,'PIB Mpal 2015-2022 Cons'!$A$5:$A$1012,LEFT(C131,4),'PIB Mpal 2015-2022 Cons'!$E$5:$E$1012,$C$1)</f>
        <v>0</v>
      </c>
      <c r="D133" s="3">
        <f>SUMIFS('PIB Mpal 2015-2022 Cons'!$I$5:$I$1012,'PIB Mpal 2015-2022 Cons'!$A$5:$A$1012,LEFT(D131,4),'PIB Mpal 2015-2022 Cons'!$E$5:$E$1012,$C$1)</f>
        <v>0</v>
      </c>
      <c r="E133" s="3">
        <f>SUMIFS('PIB Mpal 2015-2022 Cons'!$I$5:$I$1012,'PIB Mpal 2015-2022 Cons'!$A$5:$A$1012,LEFT(E131,4),'PIB Mpal 2015-2022 Cons'!$E$5:$E$1012,$C$1)</f>
        <v>0</v>
      </c>
      <c r="F133" s="3">
        <f>SUMIFS('PIB Mpal 2015-2022 Cons'!$I$5:$I$1012,'PIB Mpal 2015-2022 Cons'!$A$5:$A$1012,LEFT(F131,4),'PIB Mpal 2015-2022 Cons'!$E$5:$E$1012,$C$1)</f>
        <v>0</v>
      </c>
      <c r="G133" s="3">
        <f>SUMIFS('PIB Mpal 2015-2022 Cons'!$I$5:$I$1012,'PIB Mpal 2015-2022 Cons'!$A$5:$A$1012,LEFT(G131,4),'PIB Mpal 2015-2022 Cons'!$E$5:$E$1012,$C$1)</f>
        <v>0</v>
      </c>
      <c r="H133" s="3">
        <f>SUMIFS('PIB Mpal 2015-2022 Cons'!$I$5:$I$1012,'PIB Mpal 2015-2022 Cons'!$A$5:$A$1012,LEFT(H131,4),'PIB Mpal 2015-2022 Cons'!$E$5:$E$1012,$C$1)</f>
        <v>0</v>
      </c>
      <c r="I133" s="234">
        <f>SUMIFS('PIB Mpal 2015-2022 Cons'!$I$5:$I$1012,'PIB Mpal 2015-2022 Cons'!$A$5:$A$1012,LEFT(I131,4),'PIB Mpal 2015-2022 Cons'!$E$5:$E$1012,$C$1)</f>
        <v>0</v>
      </c>
    </row>
    <row r="134" spans="1:13" x14ac:dyDescent="0.2">
      <c r="A134" s="248" t="s">
        <v>65</v>
      </c>
      <c r="B134" s="3">
        <f>SUMIFS('PIB Mpal 2015-2022 Cons'!$K$5:$K$1012,'PIB Mpal 2015-2022 Cons'!$A$5:$A$1012,LEFT(B131,4),'PIB Mpal 2015-2022 Cons'!$E$5:$E$1012,$C$1)</f>
        <v>8.403219987394845</v>
      </c>
      <c r="C134" s="3">
        <f>SUMIFS('PIB Mpal 2015-2022 Cons'!$K$5:$K$1012,'PIB Mpal 2015-2022 Cons'!$A$5:$A$1012,LEFT(C131,4),'PIB Mpal 2015-2022 Cons'!$E$5:$E$1012,$C$1)</f>
        <v>2.7375417220238987</v>
      </c>
      <c r="D134" s="3">
        <f>SUMIFS('PIB Mpal 2015-2022 Cons'!$K$5:$K$1012,'PIB Mpal 2015-2022 Cons'!$A$5:$A$1012,LEFT(D131,4),'PIB Mpal 2015-2022 Cons'!$E$5:$E$1012,$C$1)</f>
        <v>2.4810971266782813</v>
      </c>
      <c r="E134" s="3">
        <f>SUMIFS('PIB Mpal 2015-2022 Cons'!$K$5:$K$1012,'PIB Mpal 2015-2022 Cons'!$A$5:$A$1012,LEFT(E131,4),'PIB Mpal 2015-2022 Cons'!$E$5:$E$1012,$C$1)</f>
        <v>6.7478114965900451</v>
      </c>
      <c r="F134" s="3">
        <f>SUMIFS('PIB Mpal 2015-2022 Cons'!$K$5:$K$1012,'PIB Mpal 2015-2022 Cons'!$A$5:$A$1012,LEFT(F131,4),'PIB Mpal 2015-2022 Cons'!$E$5:$E$1012,$C$1)</f>
        <v>6.9600172723774794</v>
      </c>
      <c r="G134" s="3">
        <f>SUMIFS('PIB Mpal 2015-2022 Cons'!$K$5:$K$1012,'PIB Mpal 2015-2022 Cons'!$A$5:$A$1012,LEFT(G131,4),'PIB Mpal 2015-2022 Cons'!$E$5:$E$1012,$C$1)</f>
        <v>6.3192683980475053</v>
      </c>
      <c r="H134" s="3">
        <f>SUMIFS('PIB Mpal 2015-2022 Cons'!$K$5:$K$1012,'PIB Mpal 2015-2022 Cons'!$A$5:$A$1012,LEFT(H131,4),'PIB Mpal 2015-2022 Cons'!$E$5:$E$1012,$C$1)</f>
        <v>12.779664680412344</v>
      </c>
      <c r="I134" s="234">
        <f>SUMIFS('PIB Mpal 2015-2022 Cons'!$K$5:$K$1012,'PIB Mpal 2015-2022 Cons'!$A$5:$A$1012,LEFT(I131,4),'PIB Mpal 2015-2022 Cons'!$E$5:$E$1012,$C$1)</f>
        <v>8.7513062670212012</v>
      </c>
      <c r="M134" s="292"/>
    </row>
    <row r="135" spans="1:13" x14ac:dyDescent="0.2">
      <c r="A135" s="248" t="s">
        <v>66</v>
      </c>
      <c r="B135" s="3">
        <f>SUMIFS('PIB Mpal 2015-2022 Cons'!$L$5:$L$1012,'PIB Mpal 2015-2022 Cons'!$A$5:$A$1012,LEFT(B131,4),'PIB Mpal 2015-2022 Cons'!$E$5:$E$1012,$C$1)</f>
        <v>11.27947243233152</v>
      </c>
      <c r="C135" s="3">
        <f>SUMIFS('PIB Mpal 2015-2022 Cons'!$L$5:$L$1012,'PIB Mpal 2015-2022 Cons'!$A$5:$A$1012,LEFT(C131,4),'PIB Mpal 2015-2022 Cons'!$E$5:$E$1012,$C$1)</f>
        <v>21.440305807395301</v>
      </c>
      <c r="D135" s="3">
        <f>SUMIFS('PIB Mpal 2015-2022 Cons'!$L$5:$L$1012,'PIB Mpal 2015-2022 Cons'!$A$5:$A$1012,LEFT(D131,4),'PIB Mpal 2015-2022 Cons'!$E$5:$E$1012,$C$1)</f>
        <v>23.375843373572128</v>
      </c>
      <c r="E135" s="3">
        <f>SUMIFS('PIB Mpal 2015-2022 Cons'!$L$5:$L$1012,'PIB Mpal 2015-2022 Cons'!$A$5:$A$1012,LEFT(E131,4),'PIB Mpal 2015-2022 Cons'!$E$5:$E$1012,$C$1)</f>
        <v>21.383312589804419</v>
      </c>
      <c r="F135" s="3">
        <f>SUMIFS('PIB Mpal 2015-2022 Cons'!$L$5:$L$1012,'PIB Mpal 2015-2022 Cons'!$A$5:$A$1012,LEFT(F131,4),'PIB Mpal 2015-2022 Cons'!$E$5:$E$1012,$C$1)</f>
        <v>21.386924775560487</v>
      </c>
      <c r="G135" s="3">
        <f>SUMIFS('PIB Mpal 2015-2022 Cons'!$L$5:$L$1012,'PIB Mpal 2015-2022 Cons'!$A$5:$A$1012,LEFT(G131,4),'PIB Mpal 2015-2022 Cons'!$E$5:$E$1012,$C$1)</f>
        <v>14.260574062100398</v>
      </c>
      <c r="H135" s="3">
        <f>SUMIFS('PIB Mpal 2015-2022 Cons'!$L$5:$L$1012,'PIB Mpal 2015-2022 Cons'!$A$5:$A$1012,LEFT(H131,4),'PIB Mpal 2015-2022 Cons'!$E$5:$E$1012,$C$1)</f>
        <v>10.348764283378937</v>
      </c>
      <c r="I135" s="234">
        <f>SUMIFS('PIB Mpal 2015-2022 Cons'!$L$5:$L$1012,'PIB Mpal 2015-2022 Cons'!$A$5:$A$1012,LEFT(I131,4),'PIB Mpal 2015-2022 Cons'!$E$5:$E$1012,$C$1)</f>
        <v>15.15212080615982</v>
      </c>
      <c r="M135" s="292"/>
    </row>
    <row r="136" spans="1:13" ht="17" x14ac:dyDescent="0.2">
      <c r="A136" s="248" t="s">
        <v>448</v>
      </c>
      <c r="B136" s="3">
        <f>SUMIFS('PIB Mpal 2015-2022 Cons'!$N$5:$N$1012,'PIB Mpal 2015-2022 Cons'!$A$5:$A$1012,LEFT(B131,4),'PIB Mpal 2015-2022 Cons'!$E$5:$E$1012,$C$1)</f>
        <v>9.2450920796395692</v>
      </c>
      <c r="C136" s="3">
        <f>SUMIFS('PIB Mpal 2015-2022 Cons'!$N$5:$N$1012,'PIB Mpal 2015-2022 Cons'!$A$5:$A$1012,LEFT(C131,4),'PIB Mpal 2015-2022 Cons'!$E$5:$E$1012,$C$1)</f>
        <v>7.9531293135195007</v>
      </c>
      <c r="D136" s="3">
        <f>SUMIFS('PIB Mpal 2015-2022 Cons'!$N$5:$N$1012,'PIB Mpal 2015-2022 Cons'!$A$5:$A$1012,LEFT(D131,4),'PIB Mpal 2015-2022 Cons'!$E$5:$E$1012,$C$1)</f>
        <v>11.58771302230333</v>
      </c>
      <c r="E136" s="3">
        <f>SUMIFS('PIB Mpal 2015-2022 Cons'!$N$5:$N$1012,'PIB Mpal 2015-2022 Cons'!$A$5:$A$1012,LEFT(E131,4),'PIB Mpal 2015-2022 Cons'!$E$5:$E$1012,$C$1)</f>
        <v>11.168669979492</v>
      </c>
      <c r="F136" s="3">
        <f>SUMIFS('PIB Mpal 2015-2022 Cons'!$N$5:$N$1012,'PIB Mpal 2015-2022 Cons'!$A$5:$A$1012,LEFT(F131,4),'PIB Mpal 2015-2022 Cons'!$E$5:$E$1012,$C$1)</f>
        <v>12.008112494611829</v>
      </c>
      <c r="G136" s="3">
        <f>SUMIFS('PIB Mpal 2015-2022 Cons'!$N$5:$N$1012,'PIB Mpal 2015-2022 Cons'!$A$5:$A$1012,LEFT(G131,4),'PIB Mpal 2015-2022 Cons'!$E$5:$E$1012,$C$1)</f>
        <v>30.204277619367463</v>
      </c>
      <c r="H136" s="3">
        <f>SUMIFS('PIB Mpal 2015-2022 Cons'!$N$5:$N$1012,'PIB Mpal 2015-2022 Cons'!$A$5:$A$1012,LEFT(H131,4),'PIB Mpal 2015-2022 Cons'!$E$5:$E$1012,$C$1)</f>
        <v>6.7520844197048531</v>
      </c>
      <c r="I136" s="234">
        <f>SUMIFS('PIB Mpal 2015-2022 Cons'!$N$5:$N$1012,'PIB Mpal 2015-2022 Cons'!$A$5:$A$1012,LEFT(I131,4),'PIB Mpal 2015-2022 Cons'!$E$5:$E$1012,$C$1)</f>
        <v>17.247496410416606</v>
      </c>
      <c r="M136" s="292"/>
    </row>
    <row r="137" spans="1:13" ht="17" x14ac:dyDescent="0.2">
      <c r="A137" s="248" t="s">
        <v>449</v>
      </c>
      <c r="B137" s="3">
        <f>SUMIFS('PIB Mpal 2015-2022 Cons'!$O$5:$O$1012,'PIB Mpal 2015-2022 Cons'!$A$5:$A$1012,LEFT(B131,4),'PIB Mpal 2015-2022 Cons'!$E$5:$E$1012,$C$1)</f>
        <v>60.435786379290768</v>
      </c>
      <c r="C137" s="3">
        <f>SUMIFS('PIB Mpal 2015-2022 Cons'!$O$5:$O$1012,'PIB Mpal 2015-2022 Cons'!$A$5:$A$1012,LEFT(C131,4),'PIB Mpal 2015-2022 Cons'!$E$5:$E$1012,$C$1)</f>
        <v>57.756553228494823</v>
      </c>
      <c r="D137" s="3">
        <f>SUMIFS('PIB Mpal 2015-2022 Cons'!$O$5:$O$1012,'PIB Mpal 2015-2022 Cons'!$A$5:$A$1012,LEFT(D131,4),'PIB Mpal 2015-2022 Cons'!$E$5:$E$1012,$C$1)</f>
        <v>80.440397906358243</v>
      </c>
      <c r="E137" s="3">
        <f>SUMIFS('PIB Mpal 2015-2022 Cons'!$O$5:$O$1012,'PIB Mpal 2015-2022 Cons'!$A$5:$A$1012,LEFT(E131,4),'PIB Mpal 2015-2022 Cons'!$E$5:$E$1012,$C$1)</f>
        <v>99.660708826691661</v>
      </c>
      <c r="F137" s="3">
        <f>SUMIFS('PIB Mpal 2015-2022 Cons'!$O$5:$O$1012,'PIB Mpal 2015-2022 Cons'!$A$5:$A$1012,LEFT(F131,4),'PIB Mpal 2015-2022 Cons'!$E$5:$E$1012,$C$1)</f>
        <v>121.82228994234993</v>
      </c>
      <c r="G137" s="3">
        <f>SUMIFS('PIB Mpal 2015-2022 Cons'!$O$5:$O$1012,'PIB Mpal 2015-2022 Cons'!$A$5:$A$1012,LEFT(G131,4),'PIB Mpal 2015-2022 Cons'!$E$5:$E$1012,$C$1)</f>
        <v>94.221073796610298</v>
      </c>
      <c r="H137" s="3">
        <f>SUMIFS('PIB Mpal 2015-2022 Cons'!$O$5:$O$1012,'PIB Mpal 2015-2022 Cons'!$A$5:$A$1012,LEFT(H131,4),'PIB Mpal 2015-2022 Cons'!$E$5:$E$1012,$C$1)</f>
        <v>113.93313330527266</v>
      </c>
      <c r="I137" s="234">
        <f>SUMIFS('PIB Mpal 2015-2022 Cons'!$O$5:$O$1012,'PIB Mpal 2015-2022 Cons'!$A$5:$A$1012,LEFT(I131,4),'PIB Mpal 2015-2022 Cons'!$E$5:$E$1012,$C$1)</f>
        <v>123.89321756476258</v>
      </c>
    </row>
    <row r="138" spans="1:13" x14ac:dyDescent="0.2">
      <c r="A138" s="248" t="s">
        <v>69</v>
      </c>
      <c r="B138" s="3">
        <f>SUMIFS('PIB Mpal 2015-2022 Cons'!$P$5:$P$1012,'PIB Mpal 2015-2022 Cons'!$A$5:$A$1012,LEFT(B131,4),'PIB Mpal 2015-2022 Cons'!$E$5:$E$1012,$C$1)</f>
        <v>9.5657771470364779</v>
      </c>
      <c r="C138" s="3">
        <f>SUMIFS('PIB Mpal 2015-2022 Cons'!$P$5:$P$1012,'PIB Mpal 2015-2022 Cons'!$A$5:$A$1012,LEFT(C131,4),'PIB Mpal 2015-2022 Cons'!$E$5:$E$1012,$C$1)</f>
        <v>6.7621782793592491</v>
      </c>
      <c r="D138" s="3">
        <f>SUMIFS('PIB Mpal 2015-2022 Cons'!$P$5:$P$1012,'PIB Mpal 2015-2022 Cons'!$A$5:$A$1012,LEFT(D131,4),'PIB Mpal 2015-2022 Cons'!$E$5:$E$1012,$C$1)</f>
        <v>9.3866570976015318</v>
      </c>
      <c r="E138" s="3">
        <f>SUMIFS('PIB Mpal 2015-2022 Cons'!$P$5:$P$1012,'PIB Mpal 2015-2022 Cons'!$A$5:$A$1012,LEFT(E131,4),'PIB Mpal 2015-2022 Cons'!$E$5:$E$1012,$C$1)</f>
        <v>11.082745835159471</v>
      </c>
      <c r="F138" s="3">
        <f>SUMIFS('PIB Mpal 2015-2022 Cons'!$P$5:$P$1012,'PIB Mpal 2015-2022 Cons'!$A$5:$A$1012,LEFT(F131,4),'PIB Mpal 2015-2022 Cons'!$E$5:$E$1012,$C$1)</f>
        <v>10.586648775823431</v>
      </c>
      <c r="G138" s="3">
        <f>SUMIFS('PIB Mpal 2015-2022 Cons'!$P$5:$P$1012,'PIB Mpal 2015-2022 Cons'!$A$5:$A$1012,LEFT(G131,4),'PIB Mpal 2015-2022 Cons'!$E$5:$E$1012,$C$1)</f>
        <v>8.6517903958326894</v>
      </c>
      <c r="H138" s="3">
        <f>SUMIFS('PIB Mpal 2015-2022 Cons'!$P$5:$P$1012,'PIB Mpal 2015-2022 Cons'!$A$5:$A$1012,LEFT(H131,4),'PIB Mpal 2015-2022 Cons'!$E$5:$E$1012,$C$1)</f>
        <v>11.912335615929246</v>
      </c>
      <c r="I138" s="234">
        <f>SUMIFS('PIB Mpal 2015-2022 Cons'!$P$5:$P$1012,'PIB Mpal 2015-2022 Cons'!$A$5:$A$1012,LEFT(I131,4),'PIB Mpal 2015-2022 Cons'!$E$5:$E$1012,$C$1)</f>
        <v>13.386951974441022</v>
      </c>
    </row>
    <row r="139" spans="1:13" ht="26" customHeight="1" x14ac:dyDescent="0.2">
      <c r="A139" s="248" t="s">
        <v>70</v>
      </c>
      <c r="B139" s="3">
        <f>SUMIFS('PIB Mpal 2015-2022 Cons'!$Q$5:$Q$1012,'PIB Mpal 2015-2022 Cons'!$A$5:$A$1012,LEFT(B131,4),'PIB Mpal 2015-2022 Cons'!$E$5:$E$1012,$C$1)</f>
        <v>4.6342596537508092</v>
      </c>
      <c r="C139" s="3">
        <f>SUMIFS('PIB Mpal 2015-2022 Cons'!$Q$5:$Q$1012,'PIB Mpal 2015-2022 Cons'!$A$5:$A$1012,LEFT(C131,4),'PIB Mpal 2015-2022 Cons'!$E$5:$E$1012,$C$1)</f>
        <v>3.8300780296964105</v>
      </c>
      <c r="D139" s="3">
        <f>SUMIFS('PIB Mpal 2015-2022 Cons'!$Q$5:$Q$1012,'PIB Mpal 2015-2022 Cons'!$A$5:$A$1012,LEFT(D131,4),'PIB Mpal 2015-2022 Cons'!$E$5:$E$1012,$C$1)</f>
        <v>5.836701876169748</v>
      </c>
      <c r="E139" s="3">
        <f>SUMIFS('PIB Mpal 2015-2022 Cons'!$Q$5:$Q$1012,'PIB Mpal 2015-2022 Cons'!$A$5:$A$1012,LEFT(E131,4),'PIB Mpal 2015-2022 Cons'!$E$5:$E$1012,$C$1)</f>
        <v>4.3869842793042846</v>
      </c>
      <c r="F139" s="3">
        <f>SUMIFS('PIB Mpal 2015-2022 Cons'!$Q$5:$Q$1012,'PIB Mpal 2015-2022 Cons'!$A$5:$A$1012,LEFT(F131,4),'PIB Mpal 2015-2022 Cons'!$E$5:$E$1012,$C$1)</f>
        <v>5.9576121345030382</v>
      </c>
      <c r="G139" s="3">
        <f>SUMIFS('PIB Mpal 2015-2022 Cons'!$Q$5:$Q$1012,'PIB Mpal 2015-2022 Cons'!$A$5:$A$1012,LEFT(G131,4),'PIB Mpal 2015-2022 Cons'!$E$5:$E$1012,$C$1)</f>
        <v>15.578659131390209</v>
      </c>
      <c r="H139" s="3">
        <f>SUMIFS('PIB Mpal 2015-2022 Cons'!$Q$5:$Q$1012,'PIB Mpal 2015-2022 Cons'!$A$5:$A$1012,LEFT(H131,4),'PIB Mpal 2015-2022 Cons'!$E$5:$E$1012,$C$1)</f>
        <v>5.5958695993399958</v>
      </c>
      <c r="I139" s="234">
        <f>SUMIFS('PIB Mpal 2015-2022 Cons'!$Q$5:$Q$1012,'PIB Mpal 2015-2022 Cons'!$A$5:$A$1012,LEFT(I131,4),'PIB Mpal 2015-2022 Cons'!$E$5:$E$1012,$C$1)</f>
        <v>4.0533259979125962</v>
      </c>
    </row>
    <row r="140" spans="1:13" x14ac:dyDescent="0.2">
      <c r="A140" s="248" t="s">
        <v>71</v>
      </c>
      <c r="B140" s="3">
        <f>SUMIFS('PIB Mpal 2015-2022 Cons'!$R$5:$R$1012,'PIB Mpal 2015-2022 Cons'!$A$5:$A$1012,LEFT(B131,4),'PIB Mpal 2015-2022 Cons'!$E$5:$E$1012,$C$1)</f>
        <v>45.555366622671819</v>
      </c>
      <c r="C140" s="3">
        <f>SUMIFS('PIB Mpal 2015-2022 Cons'!$R$5:$R$1012,'PIB Mpal 2015-2022 Cons'!$A$5:$A$1012,LEFT(C131,4),'PIB Mpal 2015-2022 Cons'!$E$5:$E$1012,$C$1)</f>
        <v>36.087183864048114</v>
      </c>
      <c r="D140" s="3">
        <f>SUMIFS('PIB Mpal 2015-2022 Cons'!$R$5:$R$1012,'PIB Mpal 2015-2022 Cons'!$A$5:$A$1012,LEFT(D131,4),'PIB Mpal 2015-2022 Cons'!$E$5:$E$1012,$C$1)</f>
        <v>52.777064599889691</v>
      </c>
      <c r="E140" s="3">
        <f>SUMIFS('PIB Mpal 2015-2022 Cons'!$R$5:$R$1012,'PIB Mpal 2015-2022 Cons'!$A$5:$A$1012,LEFT(E131,4),'PIB Mpal 2015-2022 Cons'!$E$5:$E$1012,$C$1)</f>
        <v>53.07497010468127</v>
      </c>
      <c r="F140" s="3">
        <f>SUMIFS('PIB Mpal 2015-2022 Cons'!$R$5:$R$1012,'PIB Mpal 2015-2022 Cons'!$A$5:$A$1012,LEFT(F131,4),'PIB Mpal 2015-2022 Cons'!$E$5:$E$1012,$C$1)</f>
        <v>49.883886231542839</v>
      </c>
      <c r="G140" s="3">
        <f>SUMIFS('PIB Mpal 2015-2022 Cons'!$R$5:$R$1012,'PIB Mpal 2015-2022 Cons'!$A$5:$A$1012,LEFT(G131,4),'PIB Mpal 2015-2022 Cons'!$E$5:$E$1012,$C$1)</f>
        <v>45.33745165072564</v>
      </c>
      <c r="H140" s="3">
        <f>SUMIFS('PIB Mpal 2015-2022 Cons'!$R$5:$R$1012,'PIB Mpal 2015-2022 Cons'!$A$5:$A$1012,LEFT(H131,4),'PIB Mpal 2015-2022 Cons'!$E$5:$E$1012,$C$1)</f>
        <v>62.410892273140398</v>
      </c>
      <c r="I140" s="234">
        <f>SUMIFS('PIB Mpal 2015-2022 Cons'!$R$5:$R$1012,'PIB Mpal 2015-2022 Cons'!$A$5:$A$1012,LEFT(I131,4),'PIB Mpal 2015-2022 Cons'!$E$5:$E$1012,$C$1)</f>
        <v>62.579755616350248</v>
      </c>
    </row>
    <row r="141" spans="1:13" ht="17" x14ac:dyDescent="0.2">
      <c r="A141" s="248" t="s">
        <v>450</v>
      </c>
      <c r="B141" s="3">
        <f>SUMIFS('PIB Mpal 2015-2022 Cons'!$S$5:$S$1012,'PIB Mpal 2015-2022 Cons'!$A$5:$A$1012,LEFT(B131,4),'PIB Mpal 2015-2022 Cons'!$E$5:$E$1012,$C$1)</f>
        <v>39.345208298227796</v>
      </c>
      <c r="C141" s="3">
        <f>SUMIFS('PIB Mpal 2015-2022 Cons'!$S$5:$S$1012,'PIB Mpal 2015-2022 Cons'!$A$5:$A$1012,LEFT(C131,4),'PIB Mpal 2015-2022 Cons'!$E$5:$E$1012,$C$1)</f>
        <v>41.462283288202649</v>
      </c>
      <c r="D141" s="3">
        <f>SUMIFS('PIB Mpal 2015-2022 Cons'!$S$5:$S$1012,'PIB Mpal 2015-2022 Cons'!$A$5:$A$1012,LEFT(D131,4),'PIB Mpal 2015-2022 Cons'!$E$5:$E$1012,$C$1)</f>
        <v>44.666204381466606</v>
      </c>
      <c r="E141" s="3">
        <f>SUMIFS('PIB Mpal 2015-2022 Cons'!$S$5:$S$1012,'PIB Mpal 2015-2022 Cons'!$A$5:$A$1012,LEFT(E131,4),'PIB Mpal 2015-2022 Cons'!$E$5:$E$1012,$C$1)</f>
        <v>37.424017131904634</v>
      </c>
      <c r="F141" s="3">
        <f>SUMIFS('PIB Mpal 2015-2022 Cons'!$S$5:$S$1012,'PIB Mpal 2015-2022 Cons'!$A$5:$A$1012,LEFT(F131,4),'PIB Mpal 2015-2022 Cons'!$E$5:$E$1012,$C$1)</f>
        <v>37.209555420563561</v>
      </c>
      <c r="G141" s="3">
        <f>SUMIFS('PIB Mpal 2015-2022 Cons'!$S$5:$S$1012,'PIB Mpal 2015-2022 Cons'!$A$5:$A$1012,LEFT(G131,4),'PIB Mpal 2015-2022 Cons'!$E$5:$E$1012,$C$1)</f>
        <v>39.220712963046765</v>
      </c>
      <c r="H141" s="3">
        <f>SUMIFS('PIB Mpal 2015-2022 Cons'!$S$5:$S$1012,'PIB Mpal 2015-2022 Cons'!$A$5:$A$1012,LEFT(H131,4),'PIB Mpal 2015-2022 Cons'!$E$5:$E$1012,$C$1)</f>
        <v>43.097159646321074</v>
      </c>
      <c r="I141" s="234">
        <f>SUMIFS('PIB Mpal 2015-2022 Cons'!$S$5:$S$1012,'PIB Mpal 2015-2022 Cons'!$A$5:$A$1012,LEFT(I131,4),'PIB Mpal 2015-2022 Cons'!$E$5:$E$1012,$C$1)</f>
        <v>45.057463886456475</v>
      </c>
    </row>
    <row r="142" spans="1:13" ht="32" x14ac:dyDescent="0.2">
      <c r="A142" s="248" t="s">
        <v>451</v>
      </c>
      <c r="B142" s="3">
        <f>SUMIFS('PIB Mpal 2015-2022 Cons'!$T$5:$T$1012,'PIB Mpal 2015-2022 Cons'!$A$5:$A$1012,LEFT(B131,4),'PIB Mpal 2015-2022 Cons'!$E$5:$E$1012,$C$1)</f>
        <v>28.663156153813802</v>
      </c>
      <c r="C142" s="3">
        <f>SUMIFS('PIB Mpal 2015-2022 Cons'!$T$5:$T$1012,'PIB Mpal 2015-2022 Cons'!$A$5:$A$1012,LEFT(C131,4),'PIB Mpal 2015-2022 Cons'!$E$5:$E$1012,$C$1)</f>
        <v>88.604289267078968</v>
      </c>
      <c r="D142" s="3">
        <f>SUMIFS('PIB Mpal 2015-2022 Cons'!$T$5:$T$1012,'PIB Mpal 2015-2022 Cons'!$A$5:$A$1012,LEFT(D131,4),'PIB Mpal 2015-2022 Cons'!$E$5:$E$1012,$C$1)</f>
        <v>34.396862906931588</v>
      </c>
      <c r="E142" s="3">
        <f>SUMIFS('PIB Mpal 2015-2022 Cons'!$T$5:$T$1012,'PIB Mpal 2015-2022 Cons'!$A$5:$A$1012,LEFT(E131,4),'PIB Mpal 2015-2022 Cons'!$E$5:$E$1012,$C$1)</f>
        <v>34.085672071253164</v>
      </c>
      <c r="F142" s="3">
        <f>SUMIFS('PIB Mpal 2015-2022 Cons'!$T$5:$T$1012,'PIB Mpal 2015-2022 Cons'!$A$5:$A$1012,LEFT(F131,4),'PIB Mpal 2015-2022 Cons'!$E$5:$E$1012,$C$1)</f>
        <v>30.107611227340708</v>
      </c>
      <c r="G142" s="3">
        <f>SUMIFS('PIB Mpal 2015-2022 Cons'!$T$5:$T$1012,'PIB Mpal 2015-2022 Cons'!$A$5:$A$1012,LEFT(G131,4),'PIB Mpal 2015-2022 Cons'!$E$5:$E$1012,$C$1)</f>
        <v>42.825741584920856</v>
      </c>
      <c r="H142" s="3">
        <f>SUMIFS('PIB Mpal 2015-2022 Cons'!$T$5:$T$1012,'PIB Mpal 2015-2022 Cons'!$A$5:$A$1012,LEFT(H131,4),'PIB Mpal 2015-2022 Cons'!$E$5:$E$1012,$C$1)</f>
        <v>66.886128948689546</v>
      </c>
      <c r="I142" s="234">
        <f>SUMIFS('PIB Mpal 2015-2022 Cons'!$T$5:$T$1012,'PIB Mpal 2015-2022 Cons'!$A$5:$A$1012,LEFT(I131,4),'PIB Mpal 2015-2022 Cons'!$E$5:$E$1012,$C$1)</f>
        <v>62.889011678329879</v>
      </c>
    </row>
    <row r="143" spans="1:13" ht="32" x14ac:dyDescent="0.2">
      <c r="A143" s="248" t="s">
        <v>452</v>
      </c>
      <c r="B143" s="3">
        <f>SUMIFS('PIB Mpal 2015-2022 Cons'!$U$5:$U$1012,'PIB Mpal 2015-2022 Cons'!$A$5:$A$1012,LEFT(B131,4),'PIB Mpal 2015-2022 Cons'!$E$5:$E$1012,$C$1)</f>
        <v>7.6540348559786606</v>
      </c>
      <c r="C143" s="3">
        <f>SUMIFS('PIB Mpal 2015-2022 Cons'!$U$5:$U$1012,'PIB Mpal 2015-2022 Cons'!$A$5:$A$1012,LEFT(C131,4),'PIB Mpal 2015-2022 Cons'!$E$5:$E$1012,$C$1)</f>
        <v>6.5205169843146331</v>
      </c>
      <c r="D143" s="3">
        <f>SUMIFS('PIB Mpal 2015-2022 Cons'!$U$5:$U$1012,'PIB Mpal 2015-2022 Cons'!$A$5:$A$1012,LEFT(D131,4),'PIB Mpal 2015-2022 Cons'!$E$5:$E$1012,$C$1)</f>
        <v>9.7729620249767066</v>
      </c>
      <c r="E143" s="3">
        <f>SUMIFS('PIB Mpal 2015-2022 Cons'!$U$5:$U$1012,'PIB Mpal 2015-2022 Cons'!$A$5:$A$1012,LEFT(E131,4),'PIB Mpal 2015-2022 Cons'!$E$5:$E$1012,$C$1)</f>
        <v>11.280391398031721</v>
      </c>
      <c r="F143" s="3">
        <f>SUMIFS('PIB Mpal 2015-2022 Cons'!$U$5:$U$1012,'PIB Mpal 2015-2022 Cons'!$A$5:$A$1012,LEFT(F131,4),'PIB Mpal 2015-2022 Cons'!$E$5:$E$1012,$C$1)</f>
        <v>11.585820454682096</v>
      </c>
      <c r="G143" s="3">
        <f>SUMIFS('PIB Mpal 2015-2022 Cons'!$U$5:$U$1012,'PIB Mpal 2015-2022 Cons'!$A$5:$A$1012,LEFT(G131,4),'PIB Mpal 2015-2022 Cons'!$E$5:$E$1012,$C$1)</f>
        <v>9.2883822317070859</v>
      </c>
      <c r="H143" s="3">
        <f>SUMIFS('PIB Mpal 2015-2022 Cons'!$U$5:$U$1012,'PIB Mpal 2015-2022 Cons'!$A$5:$A$1012,LEFT(H131,4),'PIB Mpal 2015-2022 Cons'!$E$5:$E$1012,$C$1)</f>
        <v>12.304954429929227</v>
      </c>
      <c r="I143" s="234">
        <f>SUMIFS('PIB Mpal 2015-2022 Cons'!$U$5:$U$1012,'PIB Mpal 2015-2022 Cons'!$A$5:$A$1012,LEFT(I131,4),'PIB Mpal 2015-2022 Cons'!$E$5:$E$1012,$C$1)</f>
        <v>17.978171002547558</v>
      </c>
    </row>
    <row r="144" spans="1:13" ht="16" thickBot="1" x14ac:dyDescent="0.25">
      <c r="A144" s="249" t="s">
        <v>453</v>
      </c>
      <c r="B144" s="246">
        <f>SUM(B132:B143)</f>
        <v>227.67868778209223</v>
      </c>
      <c r="C144" s="246">
        <f t="shared" ref="C144:I144" si="36">SUM(C132:C143)</f>
        <v>277.11877749026866</v>
      </c>
      <c r="D144" s="246">
        <f t="shared" si="36"/>
        <v>279.86030921269202</v>
      </c>
      <c r="E144" s="246">
        <f t="shared" si="36"/>
        <v>293.67020924974872</v>
      </c>
      <c r="F144" s="246">
        <f t="shared" si="36"/>
        <v>310.34152464566955</v>
      </c>
      <c r="G144" s="246">
        <f t="shared" si="36"/>
        <v>309.20216138541645</v>
      </c>
      <c r="H144" s="246">
        <f t="shared" si="36"/>
        <v>348.65277661567148</v>
      </c>
      <c r="I144" s="247">
        <f t="shared" si="36"/>
        <v>373.50216734248113</v>
      </c>
    </row>
    <row r="147" spans="1:8" ht="16" x14ac:dyDescent="0.2">
      <c r="A147" s="449" t="s">
        <v>39</v>
      </c>
      <c r="B147" s="449"/>
      <c r="C147" s="449"/>
      <c r="D147" s="449"/>
      <c r="E147" s="449"/>
      <c r="F147" s="449"/>
      <c r="G147" s="449"/>
      <c r="H147" s="449"/>
    </row>
    <row r="148" spans="1:8" ht="42.5" customHeight="1" thickBot="1" x14ac:dyDescent="0.25">
      <c r="A148" s="450" t="str">
        <f>"Tasas de variación del valor Agregado precios constantes, Series encadenadas de volumen con año de referencia 2015, por ramas de actividad económica del Municipio de "&amp;B19</f>
        <v xml:space="preserve">Tasas de variación del valor Agregado precios constantes, Series encadenadas de volumen con año de referencia 2015, por ramas de actividad económica del Municipio de </v>
      </c>
      <c r="B148" s="450"/>
      <c r="C148" s="450"/>
      <c r="D148" s="450"/>
      <c r="E148" s="450"/>
      <c r="F148" s="450"/>
      <c r="G148" s="450"/>
      <c r="H148" s="450"/>
    </row>
    <row r="149" spans="1:8" x14ac:dyDescent="0.2">
      <c r="A149" s="230" t="s">
        <v>447</v>
      </c>
      <c r="B149" s="231">
        <v>2016</v>
      </c>
      <c r="C149" s="231">
        <v>2017</v>
      </c>
      <c r="D149" s="231">
        <v>2018</v>
      </c>
      <c r="E149" s="231">
        <v>2019</v>
      </c>
      <c r="F149" s="231">
        <v>2020</v>
      </c>
      <c r="G149" s="231" t="s">
        <v>431</v>
      </c>
      <c r="H149" s="232" t="s">
        <v>432</v>
      </c>
    </row>
    <row r="150" spans="1:8" ht="30" x14ac:dyDescent="0.2">
      <c r="A150" s="248" t="s">
        <v>63</v>
      </c>
      <c r="B150" s="242">
        <f>IF(B132&lt;&gt;0,(C132-B132)/B132,IF(C132=0,0,1))</f>
        <v>0.36841138752248942</v>
      </c>
      <c r="C150" s="242">
        <f t="shared" ref="C150:F150" si="37">IF(C132&lt;&gt;0,(D132-C132)/C132,IF(D132=0,0,1))</f>
        <v>0.29613386819247844</v>
      </c>
      <c r="D150" s="242">
        <f t="shared" si="37"/>
        <v>-0.34324699912730067</v>
      </c>
      <c r="E150" s="242">
        <f t="shared" si="37"/>
        <v>-0.16056046707030749</v>
      </c>
      <c r="F150" s="242">
        <f t="shared" si="37"/>
        <v>0.16278720817676573</v>
      </c>
      <c r="G150" s="242">
        <f t="shared" ref="G150:G162" si="38">IF(G132&lt;&gt;0,(H132-G132)/G132,IF(H132=0,0,1))</f>
        <v>-0.20109106779731417</v>
      </c>
      <c r="H150" s="243">
        <f t="shared" ref="H150:H162" si="39">IF(H132&lt;&gt;0,(I132-H132)/H132,IF(I132=0,0,1))</f>
        <v>-4.5004845319370913E-2</v>
      </c>
    </row>
    <row r="151" spans="1:8" x14ac:dyDescent="0.2">
      <c r="A151" s="248" t="s">
        <v>64</v>
      </c>
      <c r="B151" s="242">
        <f t="shared" ref="B151:F151" si="40">IF(B133&lt;&gt;0,(C133-B133)/B133,IF(C133=0,0,1))</f>
        <v>0</v>
      </c>
      <c r="C151" s="242">
        <f t="shared" si="40"/>
        <v>0</v>
      </c>
      <c r="D151" s="242">
        <f t="shared" si="40"/>
        <v>0</v>
      </c>
      <c r="E151" s="242">
        <f t="shared" si="40"/>
        <v>0</v>
      </c>
      <c r="F151" s="242">
        <f t="shared" si="40"/>
        <v>0</v>
      </c>
      <c r="G151" s="242">
        <f t="shared" si="38"/>
        <v>0</v>
      </c>
      <c r="H151" s="243">
        <f t="shared" si="39"/>
        <v>0</v>
      </c>
    </row>
    <row r="152" spans="1:8" x14ac:dyDescent="0.2">
      <c r="A152" s="248" t="s">
        <v>65</v>
      </c>
      <c r="B152" s="242">
        <f t="shared" ref="B152:F152" si="41">IF(B134&lt;&gt;0,(C134-B134)/B134,IF(C134=0,0,1))</f>
        <v>-0.67422705508955882</v>
      </c>
      <c r="C152" s="242">
        <f t="shared" si="41"/>
        <v>-9.3676963270545033E-2</v>
      </c>
      <c r="D152" s="242">
        <f t="shared" si="41"/>
        <v>1.7196885700416273</v>
      </c>
      <c r="E152" s="242">
        <f t="shared" si="41"/>
        <v>3.1448088894402405E-2</v>
      </c>
      <c r="F152" s="242">
        <f t="shared" si="41"/>
        <v>-9.2061391409607812E-2</v>
      </c>
      <c r="G152" s="242">
        <f t="shared" si="38"/>
        <v>1.0223329467001177</v>
      </c>
      <c r="H152" s="243">
        <f t="shared" si="39"/>
        <v>-0.31521628416162523</v>
      </c>
    </row>
    <row r="153" spans="1:8" x14ac:dyDescent="0.2">
      <c r="A153" s="248" t="s">
        <v>66</v>
      </c>
      <c r="B153" s="242">
        <f t="shared" ref="B153:F153" si="42">IF(B135&lt;&gt;0,(C135-B135)/B135,IF(C135=0,0,1))</f>
        <v>0.90082523238753009</v>
      </c>
      <c r="C153" s="242">
        <f t="shared" si="42"/>
        <v>9.0275651082794298E-2</v>
      </c>
      <c r="D153" s="242">
        <f t="shared" si="42"/>
        <v>-8.5238883231926132E-2</v>
      </c>
      <c r="E153" s="242">
        <f t="shared" si="42"/>
        <v>1.6892545254148278E-4</v>
      </c>
      <c r="F153" s="242">
        <f t="shared" si="42"/>
        <v>-0.33321063164740705</v>
      </c>
      <c r="G153" s="242">
        <f t="shared" si="38"/>
        <v>-0.27430941851896962</v>
      </c>
      <c r="H153" s="243">
        <f t="shared" si="39"/>
        <v>0.46414783362062972</v>
      </c>
    </row>
    <row r="154" spans="1:8" ht="17" x14ac:dyDescent="0.2">
      <c r="A154" s="248" t="s">
        <v>448</v>
      </c>
      <c r="B154" s="242">
        <f t="shared" ref="B154:F154" si="43">IF(B136&lt;&gt;0,(C136-B136)/B136,IF(C136=0,0,1))</f>
        <v>-0.13974579755299066</v>
      </c>
      <c r="C154" s="242">
        <f t="shared" si="43"/>
        <v>0.45700045422440339</v>
      </c>
      <c r="D154" s="242">
        <f t="shared" si="43"/>
        <v>-3.6162704582412518E-2</v>
      </c>
      <c r="E154" s="242">
        <f t="shared" si="43"/>
        <v>7.5160472702767697E-2</v>
      </c>
      <c r="F154" s="242">
        <f t="shared" si="43"/>
        <v>1.515322673144547</v>
      </c>
      <c r="G154" s="242">
        <f t="shared" si="38"/>
        <v>-0.77645270961966961</v>
      </c>
      <c r="H154" s="243">
        <f t="shared" si="39"/>
        <v>1.5543958485001477</v>
      </c>
    </row>
    <row r="155" spans="1:8" ht="17" x14ac:dyDescent="0.2">
      <c r="A155" s="248" t="s">
        <v>449</v>
      </c>
      <c r="B155" s="242">
        <f t="shared" ref="B155:F155" si="44">IF(B137&lt;&gt;0,(C137-B137)/B137,IF(C137=0,0,1))</f>
        <v>-4.4331898553967096E-2</v>
      </c>
      <c r="C155" s="242">
        <f t="shared" si="44"/>
        <v>0.3927492796899123</v>
      </c>
      <c r="D155" s="242">
        <f t="shared" si="44"/>
        <v>0.23893853611599539</v>
      </c>
      <c r="E155" s="242">
        <f t="shared" si="44"/>
        <v>0.22237029393596719</v>
      </c>
      <c r="F155" s="242">
        <f t="shared" si="44"/>
        <v>-0.22656950676925688</v>
      </c>
      <c r="G155" s="242">
        <f t="shared" si="38"/>
        <v>0.20921072870824706</v>
      </c>
      <c r="H155" s="243">
        <f t="shared" si="39"/>
        <v>8.7420436624022685E-2</v>
      </c>
    </row>
    <row r="156" spans="1:8" x14ac:dyDescent="0.2">
      <c r="A156" s="248" t="s">
        <v>69</v>
      </c>
      <c r="B156" s="242">
        <f t="shared" ref="B156:F156" si="45">IF(B138&lt;&gt;0,(C138-B138)/B138,IF(C138=0,0,1))</f>
        <v>-0.29308636659445875</v>
      </c>
      <c r="C156" s="242">
        <f t="shared" si="45"/>
        <v>0.38811145015995724</v>
      </c>
      <c r="D156" s="242">
        <f t="shared" si="45"/>
        <v>0.18069145595947278</v>
      </c>
      <c r="E156" s="242">
        <f t="shared" si="45"/>
        <v>-4.476300970127791E-2</v>
      </c>
      <c r="F156" s="242">
        <f t="shared" si="45"/>
        <v>-0.18276400974115134</v>
      </c>
      <c r="G156" s="242">
        <f t="shared" si="38"/>
        <v>0.37686363988511146</v>
      </c>
      <c r="H156" s="243">
        <f t="shared" si="39"/>
        <v>0.12378902056284498</v>
      </c>
    </row>
    <row r="157" spans="1:8" x14ac:dyDescent="0.2">
      <c r="A157" s="248" t="s">
        <v>70</v>
      </c>
      <c r="B157" s="242">
        <f t="shared" ref="B157:F157" si="46">IF(B139&lt;&gt;0,(C139-B139)/B139,IF(C139=0,0,1))</f>
        <v>-0.17352968632293228</v>
      </c>
      <c r="C157" s="242">
        <f t="shared" si="46"/>
        <v>0.52391200150885475</v>
      </c>
      <c r="D157" s="242">
        <f t="shared" si="46"/>
        <v>-0.24837958621536102</v>
      </c>
      <c r="E157" s="242">
        <f t="shared" si="46"/>
        <v>0.35801994153665706</v>
      </c>
      <c r="F157" s="242">
        <f t="shared" si="46"/>
        <v>1.6149166443997989</v>
      </c>
      <c r="G157" s="242">
        <f t="shared" si="38"/>
        <v>-0.64079902178072545</v>
      </c>
      <c r="H157" s="243">
        <f t="shared" si="39"/>
        <v>-0.27565753169254242</v>
      </c>
    </row>
    <row r="158" spans="1:8" x14ac:dyDescent="0.2">
      <c r="A158" s="248" t="s">
        <v>71</v>
      </c>
      <c r="B158" s="242">
        <f t="shared" ref="B158:F158" si="47">IF(B140&lt;&gt;0,(C140-B140)/B140,IF(C140=0,0,1))</f>
        <v>-0.20783902008839539</v>
      </c>
      <c r="C158" s="242">
        <f t="shared" si="47"/>
        <v>0.46248775739103554</v>
      </c>
      <c r="D158" s="242">
        <f t="shared" si="47"/>
        <v>5.6446016285680647E-3</v>
      </c>
      <c r="E158" s="242">
        <f t="shared" si="47"/>
        <v>-6.0124082347000223E-2</v>
      </c>
      <c r="F158" s="242">
        <f t="shared" si="47"/>
        <v>-9.1140344593729217E-2</v>
      </c>
      <c r="G158" s="242">
        <f t="shared" si="38"/>
        <v>0.37658580270339237</v>
      </c>
      <c r="H158" s="243">
        <f t="shared" si="39"/>
        <v>2.705671030480093E-3</v>
      </c>
    </row>
    <row r="159" spans="1:8" ht="17" x14ac:dyDescent="0.2">
      <c r="A159" s="248" t="s">
        <v>450</v>
      </c>
      <c r="B159" s="242">
        <f t="shared" ref="B159:F159" si="48">IF(B141&lt;&gt;0,(C141-B141)/B141,IF(C141=0,0,1))</f>
        <v>5.3807695563025171E-2</v>
      </c>
      <c r="C159" s="242">
        <f t="shared" si="48"/>
        <v>7.7273146560541114E-2</v>
      </c>
      <c r="D159" s="242">
        <f t="shared" si="48"/>
        <v>-0.16214019860991324</v>
      </c>
      <c r="E159" s="242">
        <f t="shared" si="48"/>
        <v>-5.7305903475081722E-3</v>
      </c>
      <c r="F159" s="242">
        <f t="shared" si="48"/>
        <v>5.4049491313506906E-2</v>
      </c>
      <c r="G159" s="242">
        <f t="shared" si="38"/>
        <v>9.8836721477415415E-2</v>
      </c>
      <c r="H159" s="243">
        <f t="shared" si="39"/>
        <v>4.548569456137555E-2</v>
      </c>
    </row>
    <row r="160" spans="1:8" ht="32" x14ac:dyDescent="0.2">
      <c r="A160" s="248" t="s">
        <v>451</v>
      </c>
      <c r="B160" s="242">
        <f t="shared" ref="B160:F160" si="49">IF(B142&lt;&gt;0,(C142-B142)/B142,IF(C142=0,0,1))</f>
        <v>2.0912258507613664</v>
      </c>
      <c r="C160" s="242">
        <f t="shared" si="49"/>
        <v>-0.61179235010565358</v>
      </c>
      <c r="D160" s="242">
        <f t="shared" si="49"/>
        <v>-9.0470702668560381E-3</v>
      </c>
      <c r="E160" s="242">
        <f t="shared" si="49"/>
        <v>-0.11670771330536367</v>
      </c>
      <c r="F160" s="242">
        <f t="shared" si="49"/>
        <v>0.42242243204040109</v>
      </c>
      <c r="G160" s="242">
        <f t="shared" si="38"/>
        <v>0.56182068245236094</v>
      </c>
      <c r="H160" s="243">
        <f t="shared" si="39"/>
        <v>-5.9760032957296434E-2</v>
      </c>
    </row>
    <row r="161" spans="1:8" ht="32" x14ac:dyDescent="0.2">
      <c r="A161" s="248" t="s">
        <v>452</v>
      </c>
      <c r="B161" s="242">
        <f t="shared" ref="B161:F161" si="50">IF(B143&lt;&gt;0,(C143-B143)/B143,IF(C143=0,0,1))</f>
        <v>-0.14809416118331664</v>
      </c>
      <c r="C161" s="242">
        <f t="shared" si="50"/>
        <v>0.49880171288349701</v>
      </c>
      <c r="D161" s="242">
        <f t="shared" si="50"/>
        <v>0.15424488186923119</v>
      </c>
      <c r="E161" s="242">
        <f t="shared" si="50"/>
        <v>2.7076104531591746E-2</v>
      </c>
      <c r="F161" s="242">
        <f t="shared" si="50"/>
        <v>-0.19829741294209016</v>
      </c>
      <c r="G161" s="242">
        <f t="shared" si="38"/>
        <v>0.3247683098058437</v>
      </c>
      <c r="H161" s="243">
        <f t="shared" si="39"/>
        <v>0.46105140859517685</v>
      </c>
    </row>
    <row r="162" spans="1:8" ht="16" thickBot="1" x14ac:dyDescent="0.25">
      <c r="A162" s="249" t="s">
        <v>453</v>
      </c>
      <c r="B162" s="287">
        <f t="shared" ref="B162:F162" si="51">IF(B144&lt;&gt;0,(C144-B144)/B144,IF(C144=0,0,1))</f>
        <v>0.21714851833428864</v>
      </c>
      <c r="C162" s="287">
        <f t="shared" si="51"/>
        <v>9.8929843269809914E-3</v>
      </c>
      <c r="D162" s="287">
        <f t="shared" si="51"/>
        <v>4.9345689911895557E-2</v>
      </c>
      <c r="E162" s="287">
        <f t="shared" si="51"/>
        <v>5.6768834123528289E-2</v>
      </c>
      <c r="F162" s="287">
        <f t="shared" si="51"/>
        <v>-3.6713206895337847E-3</v>
      </c>
      <c r="G162" s="287">
        <f t="shared" si="38"/>
        <v>0.12758841999516415</v>
      </c>
      <c r="H162" s="288">
        <f t="shared" si="39"/>
        <v>7.1272602409823166E-2</v>
      </c>
    </row>
    <row r="165" spans="1:8" x14ac:dyDescent="0.2">
      <c r="A165" s="452" t="s">
        <v>454</v>
      </c>
      <c r="B165" s="453"/>
      <c r="C165" s="453"/>
      <c r="D165" s="453"/>
      <c r="E165" s="453"/>
      <c r="F165" s="453"/>
      <c r="G165" s="454"/>
    </row>
    <row r="166" spans="1:8" ht="29" customHeight="1" x14ac:dyDescent="0.2">
      <c r="A166" s="457" t="s">
        <v>455</v>
      </c>
      <c r="B166" s="458"/>
      <c r="C166" s="458"/>
      <c r="D166" s="458"/>
      <c r="E166" s="458"/>
      <c r="F166" s="458"/>
      <c r="G166" s="294"/>
    </row>
    <row r="167" spans="1:8" x14ac:dyDescent="0.2">
      <c r="A167" s="457"/>
      <c r="B167" s="458"/>
      <c r="C167" s="458"/>
      <c r="D167" s="458"/>
      <c r="E167" s="458"/>
      <c r="F167" s="458"/>
      <c r="G167" s="295"/>
    </row>
    <row r="168" spans="1:8" x14ac:dyDescent="0.2">
      <c r="A168" s="457"/>
      <c r="B168" s="458"/>
      <c r="C168" s="458"/>
      <c r="D168" s="458"/>
      <c r="E168" s="458"/>
      <c r="F168" s="458"/>
      <c r="G168" s="295"/>
    </row>
    <row r="169" spans="1:8" x14ac:dyDescent="0.2">
      <c r="A169" s="457"/>
      <c r="B169" s="458"/>
      <c r="C169" s="458"/>
      <c r="D169" s="458"/>
      <c r="E169" s="458"/>
      <c r="F169" s="458"/>
      <c r="G169" s="295"/>
    </row>
    <row r="170" spans="1:8" x14ac:dyDescent="0.2">
      <c r="A170" s="457"/>
      <c r="B170" s="458"/>
      <c r="C170" s="458"/>
      <c r="D170" s="458"/>
      <c r="E170" s="458"/>
      <c r="F170" s="458"/>
      <c r="G170" s="295"/>
    </row>
    <row r="171" spans="1:8" x14ac:dyDescent="0.2">
      <c r="A171" s="457"/>
      <c r="B171" s="458"/>
      <c r="C171" s="458"/>
      <c r="D171" s="458"/>
      <c r="E171" s="458"/>
      <c r="F171" s="458"/>
      <c r="G171" s="295"/>
    </row>
    <row r="172" spans="1:8" x14ac:dyDescent="0.2">
      <c r="A172" s="457"/>
      <c r="B172" s="458"/>
      <c r="C172" s="458"/>
      <c r="D172" s="458"/>
      <c r="E172" s="458"/>
      <c r="F172" s="458"/>
      <c r="G172" s="295"/>
    </row>
    <row r="173" spans="1:8" x14ac:dyDescent="0.2">
      <c r="A173" s="457"/>
      <c r="B173" s="458"/>
      <c r="C173" s="458"/>
      <c r="D173" s="458"/>
      <c r="E173" s="458"/>
      <c r="F173" s="458"/>
      <c r="G173" s="295"/>
    </row>
    <row r="174" spans="1:8" x14ac:dyDescent="0.2">
      <c r="A174" s="457"/>
      <c r="B174" s="458"/>
      <c r="C174" s="458"/>
      <c r="D174" s="458"/>
      <c r="E174" s="458"/>
      <c r="F174" s="458"/>
      <c r="G174" s="295"/>
    </row>
    <row r="175" spans="1:8" x14ac:dyDescent="0.2">
      <c r="A175" s="457"/>
      <c r="B175" s="458"/>
      <c r="C175" s="458"/>
      <c r="D175" s="458"/>
      <c r="E175" s="458"/>
      <c r="F175" s="458"/>
      <c r="G175" s="295"/>
    </row>
    <row r="176" spans="1:8" x14ac:dyDescent="0.2">
      <c r="A176" s="457"/>
      <c r="B176" s="458"/>
      <c r="C176" s="458"/>
      <c r="D176" s="458"/>
      <c r="E176" s="458"/>
      <c r="F176" s="458"/>
      <c r="G176" s="295"/>
    </row>
    <row r="177" spans="1:7" x14ac:dyDescent="0.2">
      <c r="A177" s="459"/>
      <c r="B177" s="460"/>
      <c r="C177" s="460"/>
      <c r="D177" s="460"/>
      <c r="E177" s="460"/>
      <c r="F177" s="460"/>
      <c r="G177" s="296"/>
    </row>
    <row r="178" spans="1:7" x14ac:dyDescent="0.2">
      <c r="A178" s="293"/>
      <c r="B178" s="293"/>
      <c r="C178" s="293"/>
      <c r="D178" s="293"/>
      <c r="E178" s="293"/>
      <c r="F178" s="293"/>
    </row>
  </sheetData>
  <mergeCells count="43">
    <mergeCell ref="A166:F177"/>
    <mergeCell ref="A68:F68"/>
    <mergeCell ref="A69:F69"/>
    <mergeCell ref="A70:F70"/>
    <mergeCell ref="A74:F74"/>
    <mergeCell ref="A75:F75"/>
    <mergeCell ref="A76:F76"/>
    <mergeCell ref="A77:F77"/>
    <mergeCell ref="A78:F78"/>
    <mergeCell ref="A79:F79"/>
    <mergeCell ref="A80:F80"/>
    <mergeCell ref="A81:F81"/>
    <mergeCell ref="A82:F82"/>
    <mergeCell ref="A71:F71"/>
    <mergeCell ref="A72:F72"/>
    <mergeCell ref="A83:F83"/>
    <mergeCell ref="A4:I4"/>
    <mergeCell ref="A3:I3"/>
    <mergeCell ref="A165:G165"/>
    <mergeCell ref="A125:G125"/>
    <mergeCell ref="A129:I129"/>
    <mergeCell ref="A130:I130"/>
    <mergeCell ref="A147:H147"/>
    <mergeCell ref="A148:H148"/>
    <mergeCell ref="A73:F73"/>
    <mergeCell ref="A27:H27"/>
    <mergeCell ref="A28:H28"/>
    <mergeCell ref="A36:I36"/>
    <mergeCell ref="A37:I37"/>
    <mergeCell ref="A10:I10"/>
    <mergeCell ref="A11:I11"/>
    <mergeCell ref="A19:I19"/>
    <mergeCell ref="A20:I20"/>
    <mergeCell ref="A44:I44"/>
    <mergeCell ref="A45:I45"/>
    <mergeCell ref="A51:I51"/>
    <mergeCell ref="A52:I52"/>
    <mergeCell ref="A104:I104"/>
    <mergeCell ref="A59:I59"/>
    <mergeCell ref="A60:I60"/>
    <mergeCell ref="A86:I86"/>
    <mergeCell ref="A87:I87"/>
    <mergeCell ref="A103:I103"/>
  </mergeCells>
  <dataValidations count="1">
    <dataValidation type="list" allowBlank="1" showInputMessage="1" showErrorMessage="1" sqref="L89" xr:uid="{00000000-0002-0000-0400-000000000000}">
      <formula1>$B$105:$I$105</formula1>
    </dataValidation>
  </dataValidations>
  <pageMargins left="0.7" right="0.7" top="0.75" bottom="0.75" header="0.3" footer="0.3"/>
  <pageSetup orientation="portrait" horizontalDpi="4294967295" verticalDpi="4294967295"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1000000}">
          <x14:formula1>
            <xm:f>'PIB-Mpal 2015-2022 Corrient '!$G$5:$G$129</xm:f>
          </x14:formula1>
          <xm:sqref>B1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1012"/>
  <sheetViews>
    <sheetView showGridLines="0" tabSelected="1" topLeftCell="P980" zoomScale="67" zoomScaleNormal="55" workbookViewId="0">
      <selection activeCell="AB988" sqref="AB988"/>
    </sheetView>
  </sheetViews>
  <sheetFormatPr baseColWidth="10" defaultColWidth="8.83203125" defaultRowHeight="15" x14ac:dyDescent="0.2"/>
  <cols>
    <col min="2" max="2" width="11.6640625" customWidth="1"/>
    <col min="4" max="4" width="7.5" customWidth="1"/>
    <col min="5" max="5" width="8.5" customWidth="1"/>
    <col min="6" max="6" width="17" customWidth="1"/>
    <col min="7" max="7" width="21.5" customWidth="1"/>
    <col min="8" max="8" width="14.6640625" customWidth="1"/>
    <col min="9" max="13" width="14.6640625" bestFit="1" customWidth="1"/>
    <col min="14" max="15" width="22.5" bestFit="1" customWidth="1"/>
    <col min="16" max="18" width="14.6640625" bestFit="1" customWidth="1"/>
    <col min="19" max="19" width="17.33203125" bestFit="1" customWidth="1"/>
    <col min="20" max="20" width="22.5" bestFit="1" customWidth="1"/>
    <col min="21" max="21" width="27.6640625" bestFit="1" customWidth="1"/>
    <col min="22" max="24" width="14.6640625" bestFit="1" customWidth="1"/>
    <col min="25" max="25" width="14.6640625" customWidth="1"/>
  </cols>
  <sheetData>
    <row r="1" spans="1:31" ht="19" x14ac:dyDescent="0.25">
      <c r="A1" s="461" t="s">
        <v>41</v>
      </c>
      <c r="B1" s="461"/>
      <c r="C1" s="461"/>
      <c r="D1" s="461"/>
      <c r="E1" s="461"/>
      <c r="F1" s="461"/>
      <c r="G1" s="461"/>
      <c r="H1" s="461"/>
      <c r="I1" s="461"/>
      <c r="J1" s="461"/>
      <c r="K1" s="461"/>
      <c r="L1" s="461"/>
      <c r="M1" s="461"/>
      <c r="N1" s="461"/>
      <c r="O1" s="461"/>
      <c r="P1" s="461"/>
      <c r="Q1" s="461"/>
      <c r="R1" s="461"/>
      <c r="S1" s="461"/>
      <c r="T1" s="461"/>
      <c r="U1" s="461"/>
      <c r="V1" s="461"/>
      <c r="W1" s="461"/>
      <c r="X1" s="461"/>
      <c r="Y1" s="461"/>
    </row>
    <row r="2" spans="1:31" ht="36" customHeight="1" x14ac:dyDescent="0.2">
      <c r="A2" s="462" t="s">
        <v>456</v>
      </c>
      <c r="B2" s="462"/>
      <c r="C2" s="462"/>
      <c r="D2" s="462"/>
      <c r="E2" s="462"/>
      <c r="F2" s="462"/>
      <c r="G2" s="462"/>
      <c r="H2" s="462"/>
      <c r="I2" s="462"/>
      <c r="J2" s="462"/>
      <c r="K2" s="462"/>
      <c r="L2" s="462"/>
      <c r="M2" s="462"/>
      <c r="N2" s="462"/>
      <c r="O2" s="462"/>
      <c r="P2" s="462"/>
      <c r="Q2" s="462"/>
      <c r="R2" s="462"/>
      <c r="S2" s="462"/>
      <c r="T2" s="462"/>
      <c r="U2" s="462"/>
      <c r="V2" s="462"/>
      <c r="W2" s="462"/>
      <c r="X2" s="462"/>
      <c r="Y2" s="462"/>
    </row>
    <row r="4" spans="1:31" ht="252.5" customHeight="1" x14ac:dyDescent="0.2">
      <c r="A4" s="309" t="s">
        <v>457</v>
      </c>
      <c r="B4" s="309" t="s">
        <v>458</v>
      </c>
      <c r="C4" s="309" t="s">
        <v>459</v>
      </c>
      <c r="D4" s="309" t="s">
        <v>460</v>
      </c>
      <c r="E4" s="309" t="s">
        <v>461</v>
      </c>
      <c r="F4" s="309" t="s">
        <v>392</v>
      </c>
      <c r="G4" s="309" t="s">
        <v>462</v>
      </c>
      <c r="H4" s="310" t="s">
        <v>63</v>
      </c>
      <c r="I4" s="310" t="s">
        <v>64</v>
      </c>
      <c r="J4" s="310" t="s">
        <v>75</v>
      </c>
      <c r="K4" s="310" t="s">
        <v>65</v>
      </c>
      <c r="L4" s="310" t="s">
        <v>66</v>
      </c>
      <c r="M4" s="310" t="s">
        <v>76</v>
      </c>
      <c r="N4" s="310" t="s">
        <v>67</v>
      </c>
      <c r="O4" s="310" t="s">
        <v>68</v>
      </c>
      <c r="P4" s="310" t="s">
        <v>69</v>
      </c>
      <c r="Q4" s="310" t="s">
        <v>70</v>
      </c>
      <c r="R4" s="310" t="s">
        <v>71</v>
      </c>
      <c r="S4" s="310" t="s">
        <v>72</v>
      </c>
      <c r="T4" s="310" t="s">
        <v>73</v>
      </c>
      <c r="U4" s="310" t="s">
        <v>74</v>
      </c>
      <c r="V4" s="310" t="s">
        <v>77</v>
      </c>
      <c r="W4" s="311" t="s">
        <v>463</v>
      </c>
      <c r="X4" s="310" t="s">
        <v>464</v>
      </c>
      <c r="Y4" s="310" t="s">
        <v>465</v>
      </c>
      <c r="AE4" s="146">
        <v>2015</v>
      </c>
    </row>
    <row r="5" spans="1:31" x14ac:dyDescent="0.2">
      <c r="A5" s="312">
        <v>2015</v>
      </c>
      <c r="B5" s="309" t="s">
        <v>466</v>
      </c>
      <c r="C5" s="309"/>
      <c r="D5" s="309"/>
      <c r="E5" s="309"/>
      <c r="F5" s="309"/>
      <c r="G5" s="309" t="s">
        <v>467</v>
      </c>
      <c r="H5" s="313">
        <v>6153.0623286166601</v>
      </c>
      <c r="I5" s="313">
        <v>2430.0514517960805</v>
      </c>
      <c r="J5" s="318">
        <v>8583.1137804127411</v>
      </c>
      <c r="K5" s="313">
        <v>19852.649523508673</v>
      </c>
      <c r="L5" s="313">
        <v>8573.3862697719742</v>
      </c>
      <c r="M5" s="318">
        <v>28426.035793280647</v>
      </c>
      <c r="N5" s="313">
        <v>4920.4932764469131</v>
      </c>
      <c r="O5" s="313">
        <v>18733.951378250913</v>
      </c>
      <c r="P5" s="313">
        <v>3382.924851687842</v>
      </c>
      <c r="Q5" s="313">
        <v>5517.180840789355</v>
      </c>
      <c r="R5" s="313">
        <v>9932.8028534265723</v>
      </c>
      <c r="S5" s="313">
        <v>10374.548477555927</v>
      </c>
      <c r="T5" s="313">
        <v>12532.151501840759</v>
      </c>
      <c r="U5" s="313">
        <v>2500.0730881368681</v>
      </c>
      <c r="V5" s="318">
        <v>67894.126268135151</v>
      </c>
      <c r="W5" s="318">
        <v>104903.27584182854</v>
      </c>
      <c r="X5" s="313">
        <v>10542.981141487051</v>
      </c>
      <c r="Y5" s="318">
        <v>115446.25698331559</v>
      </c>
      <c r="AE5" s="146">
        <v>2016</v>
      </c>
    </row>
    <row r="6" spans="1:31" x14ac:dyDescent="0.2">
      <c r="A6" s="314">
        <v>2015</v>
      </c>
      <c r="B6" s="5" t="s">
        <v>466</v>
      </c>
      <c r="C6" s="5" t="s">
        <v>90</v>
      </c>
      <c r="D6" s="5" t="s">
        <v>468</v>
      </c>
      <c r="E6" s="5" t="s">
        <v>93</v>
      </c>
      <c r="F6" s="5" t="s">
        <v>94</v>
      </c>
      <c r="G6" s="5" t="s">
        <v>469</v>
      </c>
      <c r="H6" s="3">
        <v>119.68201840333262</v>
      </c>
      <c r="I6" s="3">
        <v>5.6349865901046314</v>
      </c>
      <c r="J6" s="318">
        <v>125.31700499343725</v>
      </c>
      <c r="K6" s="3">
        <v>7256.549918724003</v>
      </c>
      <c r="L6" s="3">
        <v>4520.6769751070669</v>
      </c>
      <c r="M6" s="318">
        <v>11777.22689383107</v>
      </c>
      <c r="N6" s="3">
        <v>1653.413479418085</v>
      </c>
      <c r="O6" s="3">
        <v>9007.4328495569735</v>
      </c>
      <c r="P6" s="3">
        <v>1616.9389720099052</v>
      </c>
      <c r="Q6" s="3">
        <v>4172.897745111014</v>
      </c>
      <c r="R6" s="3">
        <v>5034.0174379085811</v>
      </c>
      <c r="S6" s="3">
        <v>4907.4649519085615</v>
      </c>
      <c r="T6" s="3">
        <v>6034.3929194257507</v>
      </c>
      <c r="U6" s="3">
        <v>1222.3023498360963</v>
      </c>
      <c r="V6" s="318">
        <v>33648.860705174971</v>
      </c>
      <c r="W6" s="318">
        <v>45551.404603999479</v>
      </c>
      <c r="X6" s="3">
        <v>4578.0038410983825</v>
      </c>
      <c r="Y6" s="318">
        <v>50129.408445097863</v>
      </c>
      <c r="AE6" s="146">
        <v>2017</v>
      </c>
    </row>
    <row r="7" spans="1:31" x14ac:dyDescent="0.2">
      <c r="A7" s="314">
        <v>2015</v>
      </c>
      <c r="B7" s="5" t="s">
        <v>466</v>
      </c>
      <c r="C7" s="5" t="s">
        <v>90</v>
      </c>
      <c r="D7" s="5" t="s">
        <v>470</v>
      </c>
      <c r="E7" s="5" t="s">
        <v>98</v>
      </c>
      <c r="F7" s="5" t="s">
        <v>94</v>
      </c>
      <c r="G7" s="5" t="s">
        <v>99</v>
      </c>
      <c r="H7" s="3">
        <v>87.150146859951107</v>
      </c>
      <c r="I7" s="3">
        <v>2.2355447251512288</v>
      </c>
      <c r="J7" s="318">
        <v>89.385691585102336</v>
      </c>
      <c r="K7" s="3">
        <v>332.02207539214368</v>
      </c>
      <c r="L7" s="3">
        <v>40.664886329503759</v>
      </c>
      <c r="M7" s="318">
        <v>372.68696172164744</v>
      </c>
      <c r="N7" s="3">
        <v>92.780474051561384</v>
      </c>
      <c r="O7" s="3">
        <v>74.242204795224296</v>
      </c>
      <c r="P7" s="3">
        <v>12.916094246956543</v>
      </c>
      <c r="Q7" s="3">
        <v>7.400626694025199</v>
      </c>
      <c r="R7" s="3">
        <v>42.842552522967395</v>
      </c>
      <c r="S7" s="3">
        <v>48.21509483003102</v>
      </c>
      <c r="T7" s="3">
        <v>34.884195455923191</v>
      </c>
      <c r="U7" s="3">
        <v>10.199362722056831</v>
      </c>
      <c r="V7" s="318">
        <v>323.48060531874586</v>
      </c>
      <c r="W7" s="318">
        <v>785.55325862549569</v>
      </c>
      <c r="X7" s="3">
        <v>78.949614540059073</v>
      </c>
      <c r="Y7" s="318">
        <v>864.50287316555477</v>
      </c>
      <c r="AE7" s="146">
        <v>2018</v>
      </c>
    </row>
    <row r="8" spans="1:31" x14ac:dyDescent="0.2">
      <c r="A8" s="314">
        <v>2015</v>
      </c>
      <c r="B8" s="5" t="s">
        <v>466</v>
      </c>
      <c r="C8" s="5" t="s">
        <v>90</v>
      </c>
      <c r="D8" s="5" t="s">
        <v>470</v>
      </c>
      <c r="E8" s="5" t="s">
        <v>101</v>
      </c>
      <c r="F8" s="5" t="s">
        <v>94</v>
      </c>
      <c r="G8" s="5" t="s">
        <v>102</v>
      </c>
      <c r="H8" s="3">
        <v>32.86042774985561</v>
      </c>
      <c r="I8" s="3">
        <v>1.3847273861067322</v>
      </c>
      <c r="J8" s="318">
        <v>34.245155135962342</v>
      </c>
      <c r="K8" s="3">
        <v>709.73076032472932</v>
      </c>
      <c r="L8" s="3">
        <v>442.56120670496762</v>
      </c>
      <c r="M8" s="318">
        <v>1152.2919670296969</v>
      </c>
      <c r="N8" s="3">
        <v>186.45274173402839</v>
      </c>
      <c r="O8" s="3">
        <v>1066.2356503951914</v>
      </c>
      <c r="P8" s="3">
        <v>245.27910805213486</v>
      </c>
      <c r="Q8" s="3">
        <v>147.35512088211757</v>
      </c>
      <c r="R8" s="3">
        <v>570.62858347535507</v>
      </c>
      <c r="S8" s="3">
        <v>475.14832433753566</v>
      </c>
      <c r="T8" s="3">
        <v>711.00225316166518</v>
      </c>
      <c r="U8" s="3">
        <v>153.50494384773336</v>
      </c>
      <c r="V8" s="318">
        <v>3555.6067258857615</v>
      </c>
      <c r="W8" s="318">
        <v>4742.1438480514207</v>
      </c>
      <c r="X8" s="3">
        <v>476.59458451784241</v>
      </c>
      <c r="Y8" s="318">
        <v>5218.7384325692628</v>
      </c>
      <c r="AE8" s="146">
        <v>2019</v>
      </c>
    </row>
    <row r="9" spans="1:31" x14ac:dyDescent="0.2">
      <c r="A9" s="314">
        <v>2015</v>
      </c>
      <c r="B9" s="5" t="s">
        <v>466</v>
      </c>
      <c r="C9" s="5" t="s">
        <v>90</v>
      </c>
      <c r="D9" s="5" t="s">
        <v>471</v>
      </c>
      <c r="E9" s="5" t="s">
        <v>104</v>
      </c>
      <c r="F9" s="5" t="s">
        <v>94</v>
      </c>
      <c r="G9" s="5" t="s">
        <v>105</v>
      </c>
      <c r="H9" s="3">
        <v>57.042390614574813</v>
      </c>
      <c r="I9" s="3">
        <v>0</v>
      </c>
      <c r="J9" s="318">
        <v>57.042390614574813</v>
      </c>
      <c r="K9" s="3">
        <v>229.70378326003308</v>
      </c>
      <c r="L9" s="3">
        <v>26.390475357050349</v>
      </c>
      <c r="M9" s="318">
        <v>256.09425861708343</v>
      </c>
      <c r="N9" s="3">
        <v>26.671889355962858</v>
      </c>
      <c r="O9" s="3">
        <v>235.62960169368401</v>
      </c>
      <c r="P9" s="3">
        <v>33.264812260945256</v>
      </c>
      <c r="Q9" s="3">
        <v>22.771150351849343</v>
      </c>
      <c r="R9" s="3">
        <v>84.339935762224428</v>
      </c>
      <c r="S9" s="3">
        <v>73.348054899179346</v>
      </c>
      <c r="T9" s="3">
        <v>84.742568025770936</v>
      </c>
      <c r="U9" s="3">
        <v>16.133317143564955</v>
      </c>
      <c r="V9" s="318">
        <v>576.90132949318104</v>
      </c>
      <c r="W9" s="318">
        <v>890.03797872483926</v>
      </c>
      <c r="X9" s="3">
        <v>89.45053002661858</v>
      </c>
      <c r="Y9" s="318">
        <v>979.48850875145786</v>
      </c>
      <c r="AE9" s="146">
        <v>2020</v>
      </c>
    </row>
    <row r="10" spans="1:31" x14ac:dyDescent="0.2">
      <c r="A10" s="314">
        <v>2015</v>
      </c>
      <c r="B10" s="5" t="s">
        <v>466</v>
      </c>
      <c r="C10" s="5" t="s">
        <v>90</v>
      </c>
      <c r="D10" s="5" t="s">
        <v>470</v>
      </c>
      <c r="E10" s="5" t="s">
        <v>106</v>
      </c>
      <c r="F10" s="5" t="s">
        <v>94</v>
      </c>
      <c r="G10" s="5" t="s">
        <v>107</v>
      </c>
      <c r="H10" s="3">
        <v>9.2642081926827373</v>
      </c>
      <c r="I10" s="3">
        <v>0</v>
      </c>
      <c r="J10" s="318">
        <v>9.2642081926827373</v>
      </c>
      <c r="K10" s="3">
        <v>393.84947086073026</v>
      </c>
      <c r="L10" s="3">
        <v>86.14228462909216</v>
      </c>
      <c r="M10" s="318">
        <v>479.99175548982242</v>
      </c>
      <c r="N10" s="3">
        <v>38.128515741489636</v>
      </c>
      <c r="O10" s="3">
        <v>170.56818393274074</v>
      </c>
      <c r="P10" s="3">
        <v>40.940700346769844</v>
      </c>
      <c r="Q10" s="3">
        <v>20.073552009436057</v>
      </c>
      <c r="R10" s="3">
        <v>111.11344478365753</v>
      </c>
      <c r="S10" s="3">
        <v>87.291258840240161</v>
      </c>
      <c r="T10" s="3">
        <v>72.943423577123909</v>
      </c>
      <c r="U10" s="3">
        <v>21.304899177729389</v>
      </c>
      <c r="V10" s="318">
        <v>562.36397840918733</v>
      </c>
      <c r="W10" s="318">
        <v>1051.6199420916923</v>
      </c>
      <c r="X10" s="3">
        <v>105.68982836018749</v>
      </c>
      <c r="Y10" s="318">
        <v>1157.3097704518798</v>
      </c>
      <c r="AE10" s="146">
        <v>2021</v>
      </c>
    </row>
    <row r="11" spans="1:31" x14ac:dyDescent="0.2">
      <c r="A11" s="314">
        <v>2015</v>
      </c>
      <c r="B11" s="5" t="s">
        <v>466</v>
      </c>
      <c r="C11" s="5" t="s">
        <v>90</v>
      </c>
      <c r="D11" s="5" t="s">
        <v>471</v>
      </c>
      <c r="E11" s="5" t="s">
        <v>109</v>
      </c>
      <c r="F11" s="5" t="s">
        <v>94</v>
      </c>
      <c r="G11" s="5" t="s">
        <v>110</v>
      </c>
      <c r="H11" s="3">
        <v>22.479678372914684</v>
      </c>
      <c r="I11" s="3">
        <v>0</v>
      </c>
      <c r="J11" s="318">
        <v>22.479678372914684</v>
      </c>
      <c r="K11" s="3">
        <v>2453.3019512264786</v>
      </c>
      <c r="L11" s="3">
        <v>318.46624865600916</v>
      </c>
      <c r="M11" s="318">
        <v>2771.7681998824878</v>
      </c>
      <c r="N11" s="3">
        <v>242.39040527107537</v>
      </c>
      <c r="O11" s="3">
        <v>1169.6177934877462</v>
      </c>
      <c r="P11" s="3">
        <v>225.28860049987082</v>
      </c>
      <c r="Q11" s="3">
        <v>155.74231506972649</v>
      </c>
      <c r="R11" s="3">
        <v>852.36397088747606</v>
      </c>
      <c r="S11" s="3">
        <v>761.23380629219173</v>
      </c>
      <c r="T11" s="3">
        <v>574.18597629647775</v>
      </c>
      <c r="U11" s="3">
        <v>246.63438317825234</v>
      </c>
      <c r="V11" s="318">
        <v>4227.4572509828167</v>
      </c>
      <c r="W11" s="318">
        <v>7021.7051292382184</v>
      </c>
      <c r="X11" s="3">
        <v>705.69488101803859</v>
      </c>
      <c r="Y11" s="318">
        <v>7727.4000102562568</v>
      </c>
      <c r="AE11" s="146">
        <v>2022</v>
      </c>
    </row>
    <row r="12" spans="1:31" x14ac:dyDescent="0.2">
      <c r="A12" s="314">
        <v>2015</v>
      </c>
      <c r="B12" s="5" t="s">
        <v>466</v>
      </c>
      <c r="C12" s="5" t="s">
        <v>90</v>
      </c>
      <c r="D12" s="5" t="s">
        <v>470</v>
      </c>
      <c r="E12" s="5" t="s">
        <v>112</v>
      </c>
      <c r="F12" s="5" t="s">
        <v>94</v>
      </c>
      <c r="G12" s="5" t="s">
        <v>113</v>
      </c>
      <c r="H12" s="3">
        <v>21.622788573036885</v>
      </c>
      <c r="I12" s="3">
        <v>11.696436821122184</v>
      </c>
      <c r="J12" s="318">
        <v>33.319225394159069</v>
      </c>
      <c r="K12" s="3">
        <v>894.34892888238733</v>
      </c>
      <c r="L12" s="3">
        <v>190.88343024606502</v>
      </c>
      <c r="M12" s="318">
        <v>1085.2323591284523</v>
      </c>
      <c r="N12" s="3">
        <v>31.319378432899413</v>
      </c>
      <c r="O12" s="3">
        <v>204.85798669437082</v>
      </c>
      <c r="P12" s="3">
        <v>17.844504004623023</v>
      </c>
      <c r="Q12" s="3">
        <v>11.135967854491469</v>
      </c>
      <c r="R12" s="3">
        <v>50.241327551515766</v>
      </c>
      <c r="S12" s="3">
        <v>103.08881536223878</v>
      </c>
      <c r="T12" s="3">
        <v>47.490276937738528</v>
      </c>
      <c r="U12" s="3">
        <v>10.373608941247015</v>
      </c>
      <c r="V12" s="318">
        <v>476.35186577912486</v>
      </c>
      <c r="W12" s="318">
        <v>1594.9034503017363</v>
      </c>
      <c r="X12" s="3">
        <v>160.29086665449992</v>
      </c>
      <c r="Y12" s="318">
        <v>1755.1943169562362</v>
      </c>
    </row>
    <row r="13" spans="1:31" x14ac:dyDescent="0.2">
      <c r="A13" s="314">
        <v>2015</v>
      </c>
      <c r="B13" s="5" t="s">
        <v>466</v>
      </c>
      <c r="C13" s="5" t="s">
        <v>90</v>
      </c>
      <c r="D13" s="5" t="s">
        <v>471</v>
      </c>
      <c r="E13" s="5" t="s">
        <v>115</v>
      </c>
      <c r="F13" s="5" t="s">
        <v>94</v>
      </c>
      <c r="G13" s="5" t="s">
        <v>116</v>
      </c>
      <c r="H13" s="3">
        <v>0.55442873099112122</v>
      </c>
      <c r="I13" s="3">
        <v>0.27041697973303003</v>
      </c>
      <c r="J13" s="318">
        <v>0.82484571072415125</v>
      </c>
      <c r="K13" s="3">
        <v>2192.4897335923961</v>
      </c>
      <c r="L13" s="3">
        <v>618.32935615540191</v>
      </c>
      <c r="M13" s="318">
        <v>2810.819089747798</v>
      </c>
      <c r="N13" s="3">
        <v>244.11523829142413</v>
      </c>
      <c r="O13" s="3">
        <v>1074.5609124697905</v>
      </c>
      <c r="P13" s="3">
        <v>222.62840109169287</v>
      </c>
      <c r="Q13" s="3">
        <v>193.18315991243378</v>
      </c>
      <c r="R13" s="3">
        <v>579.55120787037504</v>
      </c>
      <c r="S13" s="3">
        <v>652.8956708673926</v>
      </c>
      <c r="T13" s="3">
        <v>470.91557141200451</v>
      </c>
      <c r="U13" s="3">
        <v>115.15740188989577</v>
      </c>
      <c r="V13" s="318">
        <v>3553.0075638050098</v>
      </c>
      <c r="W13" s="318">
        <v>6364.6514992635312</v>
      </c>
      <c r="X13" s="3">
        <v>639.65972649145363</v>
      </c>
      <c r="Y13" s="318">
        <v>7004.3112257549847</v>
      </c>
    </row>
    <row r="14" spans="1:31" x14ac:dyDescent="0.2">
      <c r="A14" s="314">
        <v>2015</v>
      </c>
      <c r="B14" s="5" t="s">
        <v>466</v>
      </c>
      <c r="C14" s="5" t="s">
        <v>90</v>
      </c>
      <c r="D14" s="5" t="s">
        <v>471</v>
      </c>
      <c r="E14" s="5" t="s">
        <v>118</v>
      </c>
      <c r="F14" s="5" t="s">
        <v>94</v>
      </c>
      <c r="G14" s="5" t="s">
        <v>119</v>
      </c>
      <c r="H14" s="3">
        <v>3.6424973072756601</v>
      </c>
      <c r="I14" s="3">
        <v>0</v>
      </c>
      <c r="J14" s="318">
        <v>3.6424973072756601</v>
      </c>
      <c r="K14" s="3">
        <v>576.53053345198214</v>
      </c>
      <c r="L14" s="3">
        <v>90.480731642694309</v>
      </c>
      <c r="M14" s="318">
        <v>667.01126509467645</v>
      </c>
      <c r="N14" s="3">
        <v>49.23974311489745</v>
      </c>
      <c r="O14" s="3">
        <v>215.97589521821843</v>
      </c>
      <c r="P14" s="3">
        <v>38.706144232645258</v>
      </c>
      <c r="Q14" s="3">
        <v>13.81912564895546</v>
      </c>
      <c r="R14" s="3">
        <v>99.33891159561162</v>
      </c>
      <c r="S14" s="3">
        <v>111.01050736983041</v>
      </c>
      <c r="T14" s="3">
        <v>76.479213683856727</v>
      </c>
      <c r="U14" s="3">
        <v>23.166925671960438</v>
      </c>
      <c r="V14" s="318">
        <v>627.73646653597586</v>
      </c>
      <c r="W14" s="318">
        <v>1298.3902289379278</v>
      </c>
      <c r="X14" s="3">
        <v>130.49071717607831</v>
      </c>
      <c r="Y14" s="318">
        <v>1428.8809461140061</v>
      </c>
    </row>
    <row r="15" spans="1:31" x14ac:dyDescent="0.2">
      <c r="A15" s="314">
        <v>2015</v>
      </c>
      <c r="B15" s="5" t="s">
        <v>466</v>
      </c>
      <c r="C15" s="5" t="s">
        <v>90</v>
      </c>
      <c r="D15" s="5" t="s">
        <v>471</v>
      </c>
      <c r="E15" s="5" t="s">
        <v>120</v>
      </c>
      <c r="F15" s="5" t="s">
        <v>94</v>
      </c>
      <c r="G15" s="5" t="s">
        <v>121</v>
      </c>
      <c r="H15" s="3">
        <v>8.1064774457973297</v>
      </c>
      <c r="I15" s="3">
        <v>0</v>
      </c>
      <c r="J15" s="318">
        <v>8.1064774457973297</v>
      </c>
      <c r="K15" s="3">
        <v>842.9476448116443</v>
      </c>
      <c r="L15" s="3">
        <v>284.27024952491206</v>
      </c>
      <c r="M15" s="318">
        <v>1127.2178943365564</v>
      </c>
      <c r="N15" s="3">
        <v>82.823925931187716</v>
      </c>
      <c r="O15" s="3">
        <v>287.07643874586296</v>
      </c>
      <c r="P15" s="3">
        <v>69.785217269022937</v>
      </c>
      <c r="Q15" s="3">
        <v>45.338484913717444</v>
      </c>
      <c r="R15" s="3">
        <v>277.7204922723073</v>
      </c>
      <c r="S15" s="3">
        <v>236.32067523092056</v>
      </c>
      <c r="T15" s="3">
        <v>259.89120957282415</v>
      </c>
      <c r="U15" s="3">
        <v>50.460412765329536</v>
      </c>
      <c r="V15" s="318">
        <v>1309.4168567011725</v>
      </c>
      <c r="W15" s="318">
        <v>2444.7412284835264</v>
      </c>
      <c r="X15" s="3">
        <v>245.70119915146418</v>
      </c>
      <c r="Y15" s="318">
        <v>2690.4424276349905</v>
      </c>
    </row>
    <row r="16" spans="1:31" x14ac:dyDescent="0.2">
      <c r="A16" s="314">
        <v>2015</v>
      </c>
      <c r="B16" s="5" t="s">
        <v>466</v>
      </c>
      <c r="C16" s="5" t="s">
        <v>122</v>
      </c>
      <c r="D16" s="5" t="s">
        <v>472</v>
      </c>
      <c r="E16" s="5" t="s">
        <v>125</v>
      </c>
      <c r="F16" s="5" t="s">
        <v>126</v>
      </c>
      <c r="G16" s="5" t="s">
        <v>128</v>
      </c>
      <c r="H16" s="3">
        <v>54.403559871533098</v>
      </c>
      <c r="I16" s="3">
        <v>27.037867184342495</v>
      </c>
      <c r="J16" s="318">
        <v>81.441427055875593</v>
      </c>
      <c r="K16" s="3">
        <v>24.964586770726473</v>
      </c>
      <c r="L16" s="3">
        <v>0.76271419200374169</v>
      </c>
      <c r="M16" s="318">
        <v>25.727300962730215</v>
      </c>
      <c r="N16" s="3">
        <v>52.326062045677546</v>
      </c>
      <c r="O16" s="3">
        <v>51.590356920232622</v>
      </c>
      <c r="P16" s="3">
        <v>8.4296870564656707</v>
      </c>
      <c r="Q16" s="3">
        <v>5.4712801793701189</v>
      </c>
      <c r="R16" s="3">
        <v>10.080405813374343</v>
      </c>
      <c r="S16" s="3">
        <v>30.797908940727179</v>
      </c>
      <c r="T16" s="3">
        <v>50.709697614462549</v>
      </c>
      <c r="U16" s="3">
        <v>4.9928992798360099</v>
      </c>
      <c r="V16" s="318">
        <v>214.39829785014604</v>
      </c>
      <c r="W16" s="318">
        <v>321.56702586875184</v>
      </c>
      <c r="X16" s="3">
        <v>32.31810505919465</v>
      </c>
      <c r="Y16" s="318">
        <v>353.88513092794648</v>
      </c>
    </row>
    <row r="17" spans="1:25" x14ac:dyDescent="0.2">
      <c r="A17" s="314">
        <v>2015</v>
      </c>
      <c r="B17" s="5" t="s">
        <v>466</v>
      </c>
      <c r="C17" s="5" t="s">
        <v>122</v>
      </c>
      <c r="D17" s="5" t="s">
        <v>472</v>
      </c>
      <c r="E17" s="5" t="s">
        <v>130</v>
      </c>
      <c r="F17" s="5" t="s">
        <v>126</v>
      </c>
      <c r="G17" s="5" t="s">
        <v>131</v>
      </c>
      <c r="H17" s="3">
        <v>59.977308489397323</v>
      </c>
      <c r="I17" s="3">
        <v>26.771405008369221</v>
      </c>
      <c r="J17" s="318">
        <v>86.748713497766545</v>
      </c>
      <c r="K17" s="3">
        <v>45.411090680524694</v>
      </c>
      <c r="L17" s="3">
        <v>27.237641780635258</v>
      </c>
      <c r="M17" s="318">
        <v>72.648732461159952</v>
      </c>
      <c r="N17" s="3">
        <v>36.067089383063504</v>
      </c>
      <c r="O17" s="3">
        <v>337.50894463986259</v>
      </c>
      <c r="P17" s="3">
        <v>22.312605443063596</v>
      </c>
      <c r="Q17" s="3">
        <v>21.603099001894563</v>
      </c>
      <c r="R17" s="3">
        <v>38.364562686277367</v>
      </c>
      <c r="S17" s="3">
        <v>87.303422303072196</v>
      </c>
      <c r="T17" s="3">
        <v>125.05809046458432</v>
      </c>
      <c r="U17" s="3">
        <v>12.957486213738651</v>
      </c>
      <c r="V17" s="318">
        <v>681.17530013555688</v>
      </c>
      <c r="W17" s="318">
        <v>840.57274609448336</v>
      </c>
      <c r="X17" s="3">
        <v>84.479178937019668</v>
      </c>
      <c r="Y17" s="318">
        <v>925.05192503150306</v>
      </c>
    </row>
    <row r="18" spans="1:25" x14ac:dyDescent="0.2">
      <c r="A18" s="314">
        <v>2015</v>
      </c>
      <c r="B18" s="5" t="s">
        <v>466</v>
      </c>
      <c r="C18" s="5" t="s">
        <v>122</v>
      </c>
      <c r="D18" s="5" t="s">
        <v>472</v>
      </c>
      <c r="E18" s="5" t="s">
        <v>133</v>
      </c>
      <c r="F18" s="5" t="s">
        <v>126</v>
      </c>
      <c r="G18" s="5" t="s">
        <v>134</v>
      </c>
      <c r="H18" s="3">
        <v>22.07967854532891</v>
      </c>
      <c r="I18" s="3">
        <v>464.63710990041011</v>
      </c>
      <c r="J18" s="318">
        <v>486.71678844573904</v>
      </c>
      <c r="K18" s="3">
        <v>21.414536194683318</v>
      </c>
      <c r="L18" s="3">
        <v>10.570160293887387</v>
      </c>
      <c r="M18" s="318">
        <v>31.984696488570705</v>
      </c>
      <c r="N18" s="3">
        <v>17.557273283939296</v>
      </c>
      <c r="O18" s="3">
        <v>101.19281922365285</v>
      </c>
      <c r="P18" s="3">
        <v>13.280624004293864</v>
      </c>
      <c r="Q18" s="3">
        <v>10.011854925506233</v>
      </c>
      <c r="R18" s="3">
        <v>16.997627179132998</v>
      </c>
      <c r="S18" s="3">
        <v>65.818948277541395</v>
      </c>
      <c r="T18" s="3">
        <v>71.24306900665654</v>
      </c>
      <c r="U18" s="3">
        <v>7.7272103848811309</v>
      </c>
      <c r="V18" s="318">
        <v>303.82942628560426</v>
      </c>
      <c r="W18" s="318">
        <v>822.53091121991406</v>
      </c>
      <c r="X18" s="3">
        <v>82.66593980071319</v>
      </c>
      <c r="Y18" s="318">
        <v>905.19685102062726</v>
      </c>
    </row>
    <row r="19" spans="1:25" x14ac:dyDescent="0.2">
      <c r="A19" s="314">
        <v>2015</v>
      </c>
      <c r="B19" s="5" t="s">
        <v>466</v>
      </c>
      <c r="C19" s="5" t="s">
        <v>122</v>
      </c>
      <c r="D19" s="5" t="s">
        <v>472</v>
      </c>
      <c r="E19" s="5" t="s">
        <v>135</v>
      </c>
      <c r="F19" s="5" t="s">
        <v>126</v>
      </c>
      <c r="G19" s="5" t="s">
        <v>136</v>
      </c>
      <c r="H19" s="3">
        <v>20.876349312992367</v>
      </c>
      <c r="I19" s="3">
        <v>27.233673444960111</v>
      </c>
      <c r="J19" s="318">
        <v>48.110022757952478</v>
      </c>
      <c r="K19" s="3">
        <v>6.518648179359432</v>
      </c>
      <c r="L19" s="3">
        <v>9.5482594899312225</v>
      </c>
      <c r="M19" s="318">
        <v>16.066907669290654</v>
      </c>
      <c r="N19" s="3">
        <v>9.3507543901995778</v>
      </c>
      <c r="O19" s="3">
        <v>37.819877946687988</v>
      </c>
      <c r="P19" s="3">
        <v>5.4540973486123772</v>
      </c>
      <c r="Q19" s="3">
        <v>4.3152911549965092</v>
      </c>
      <c r="R19" s="3">
        <v>8.6366149017463361</v>
      </c>
      <c r="S19" s="3">
        <v>19.594683454314225</v>
      </c>
      <c r="T19" s="3">
        <v>42.939168484017458</v>
      </c>
      <c r="U19" s="3">
        <v>3.9875880126353094</v>
      </c>
      <c r="V19" s="318">
        <v>132.09807569320978</v>
      </c>
      <c r="W19" s="318">
        <v>196.27500612045293</v>
      </c>
      <c r="X19" s="3">
        <v>19.72601590962973</v>
      </c>
      <c r="Y19" s="318">
        <v>216.00102203008265</v>
      </c>
    </row>
    <row r="20" spans="1:25" x14ac:dyDescent="0.2">
      <c r="A20" s="314">
        <v>2015</v>
      </c>
      <c r="B20" s="5" t="s">
        <v>466</v>
      </c>
      <c r="C20" s="5" t="s">
        <v>122</v>
      </c>
      <c r="D20" s="5" t="s">
        <v>472</v>
      </c>
      <c r="E20" s="5" t="s">
        <v>137</v>
      </c>
      <c r="F20" s="5" t="s">
        <v>126</v>
      </c>
      <c r="G20" s="5" t="s">
        <v>138</v>
      </c>
      <c r="H20" s="3">
        <v>21.784981070314068</v>
      </c>
      <c r="I20" s="3">
        <v>50.575661406526599</v>
      </c>
      <c r="J20" s="318">
        <v>72.360642476840667</v>
      </c>
      <c r="K20" s="3">
        <v>1.958369761666418</v>
      </c>
      <c r="L20" s="3">
        <v>16.937031298260429</v>
      </c>
      <c r="M20" s="318">
        <v>18.895401059926847</v>
      </c>
      <c r="N20" s="3">
        <v>10.851636953393655</v>
      </c>
      <c r="O20" s="3">
        <v>46.049219479941584</v>
      </c>
      <c r="P20" s="3">
        <v>8.87344697469943</v>
      </c>
      <c r="Q20" s="3">
        <v>7.2295087218787657</v>
      </c>
      <c r="R20" s="3">
        <v>13.24724827529413</v>
      </c>
      <c r="S20" s="3">
        <v>27.442582260682489</v>
      </c>
      <c r="T20" s="3">
        <v>55.208827187849835</v>
      </c>
      <c r="U20" s="3">
        <v>5.0265177573610345</v>
      </c>
      <c r="V20" s="318">
        <v>173.92898761110092</v>
      </c>
      <c r="W20" s="318">
        <v>265.18503114786847</v>
      </c>
      <c r="X20" s="3">
        <v>26.651606064392439</v>
      </c>
      <c r="Y20" s="318">
        <v>291.83663721226094</v>
      </c>
    </row>
    <row r="21" spans="1:25" x14ac:dyDescent="0.2">
      <c r="A21" s="314">
        <v>2015</v>
      </c>
      <c r="B21" s="5" t="s">
        <v>466</v>
      </c>
      <c r="C21" s="5" t="s">
        <v>122</v>
      </c>
      <c r="D21" s="5" t="s">
        <v>472</v>
      </c>
      <c r="E21" s="5" t="s">
        <v>139</v>
      </c>
      <c r="F21" s="5" t="s">
        <v>126</v>
      </c>
      <c r="G21" s="5" t="s">
        <v>140</v>
      </c>
      <c r="H21" s="3">
        <v>16.85705309106282</v>
      </c>
      <c r="I21" s="3">
        <v>256.43196892472025</v>
      </c>
      <c r="J21" s="318">
        <v>273.28902201578308</v>
      </c>
      <c r="K21" s="3">
        <v>3.7579092491695376</v>
      </c>
      <c r="L21" s="3">
        <v>13.274504921045873</v>
      </c>
      <c r="M21" s="318">
        <v>17.032414170215411</v>
      </c>
      <c r="N21" s="3">
        <v>17.987072516390299</v>
      </c>
      <c r="O21" s="3">
        <v>43.151891058236579</v>
      </c>
      <c r="P21" s="3">
        <v>4.5036800842947233</v>
      </c>
      <c r="Q21" s="3">
        <v>3.2168751212425817</v>
      </c>
      <c r="R21" s="3">
        <v>8.5021447582233343</v>
      </c>
      <c r="S21" s="3">
        <v>31.732614198673183</v>
      </c>
      <c r="T21" s="3">
        <v>36.172505966647115</v>
      </c>
      <c r="U21" s="3">
        <v>3.5962848761278661</v>
      </c>
      <c r="V21" s="318">
        <v>148.8630685798357</v>
      </c>
      <c r="W21" s="318">
        <v>439.18450476583416</v>
      </c>
      <c r="X21" s="3">
        <v>44.138888079488574</v>
      </c>
      <c r="Y21" s="318">
        <v>483.32339284532276</v>
      </c>
    </row>
    <row r="22" spans="1:25" x14ac:dyDescent="0.2">
      <c r="A22" s="314">
        <v>2015</v>
      </c>
      <c r="B22" s="5" t="s">
        <v>466</v>
      </c>
      <c r="C22" s="5" t="s">
        <v>141</v>
      </c>
      <c r="D22" s="5" t="s">
        <v>473</v>
      </c>
      <c r="E22" s="5" t="s">
        <v>143</v>
      </c>
      <c r="F22" s="5" t="s">
        <v>144</v>
      </c>
      <c r="G22" s="5" t="s">
        <v>146</v>
      </c>
      <c r="H22" s="3">
        <v>8.3076943806885701</v>
      </c>
      <c r="I22" s="3">
        <v>2.8049059195731978</v>
      </c>
      <c r="J22" s="318">
        <v>11.112600300261768</v>
      </c>
      <c r="K22" s="3">
        <v>2.7597689757266584</v>
      </c>
      <c r="L22" s="3">
        <v>1.3534106585245769</v>
      </c>
      <c r="M22" s="318">
        <v>4.1131796342512352</v>
      </c>
      <c r="N22" s="3">
        <v>2.968874089676234</v>
      </c>
      <c r="O22" s="3">
        <v>7.4527134574356468</v>
      </c>
      <c r="P22" s="3">
        <v>1.551453344497111</v>
      </c>
      <c r="Q22" s="3">
        <v>1.2147545239575335</v>
      </c>
      <c r="R22" s="3">
        <v>3.8838124435549601</v>
      </c>
      <c r="S22" s="3">
        <v>5.0098470500419063</v>
      </c>
      <c r="T22" s="3">
        <v>9.2013614063356375</v>
      </c>
      <c r="U22" s="3">
        <v>1.6811147463067568</v>
      </c>
      <c r="V22" s="318">
        <v>32.963931061805781</v>
      </c>
      <c r="W22" s="318">
        <v>48.189710996318787</v>
      </c>
      <c r="X22" s="3">
        <v>4.8431587117701396</v>
      </c>
      <c r="Y22" s="318">
        <v>53.032869708088924</v>
      </c>
    </row>
    <row r="23" spans="1:25" x14ac:dyDescent="0.2">
      <c r="A23" s="314">
        <v>2015</v>
      </c>
      <c r="B23" s="5" t="s">
        <v>466</v>
      </c>
      <c r="C23" s="5" t="s">
        <v>141</v>
      </c>
      <c r="D23" s="5" t="s">
        <v>473</v>
      </c>
      <c r="E23" s="5" t="s">
        <v>147</v>
      </c>
      <c r="F23" s="5" t="s">
        <v>144</v>
      </c>
      <c r="G23" s="5" t="s">
        <v>148</v>
      </c>
      <c r="H23" s="3">
        <v>13.496026043374878</v>
      </c>
      <c r="I23" s="3">
        <v>2.4895008184966105</v>
      </c>
      <c r="J23" s="318">
        <v>15.985526861871488</v>
      </c>
      <c r="K23" s="3">
        <v>4.2711004063496629</v>
      </c>
      <c r="L23" s="3">
        <v>3.0703494384973418</v>
      </c>
      <c r="M23" s="318">
        <v>7.3414498448470047</v>
      </c>
      <c r="N23" s="3">
        <v>3.1414957883874215</v>
      </c>
      <c r="O23" s="3">
        <v>16.016740298152783</v>
      </c>
      <c r="P23" s="3">
        <v>2.5716478966332601</v>
      </c>
      <c r="Q23" s="3">
        <v>1.9301330180816842</v>
      </c>
      <c r="R23" s="3">
        <v>6.9553499792935432</v>
      </c>
      <c r="S23" s="3">
        <v>7.3228909786710288</v>
      </c>
      <c r="T23" s="3">
        <v>13.500454509052771</v>
      </c>
      <c r="U23" s="3">
        <v>2.3172286455951445</v>
      </c>
      <c r="V23" s="318">
        <v>53.755941113867635</v>
      </c>
      <c r="W23" s="318">
        <v>77.082917820586133</v>
      </c>
      <c r="X23" s="3">
        <v>7.7469816119151593</v>
      </c>
      <c r="Y23" s="318">
        <v>84.829899432501293</v>
      </c>
    </row>
    <row r="24" spans="1:25" x14ac:dyDescent="0.2">
      <c r="A24" s="314">
        <v>2015</v>
      </c>
      <c r="B24" s="5" t="s">
        <v>466</v>
      </c>
      <c r="C24" s="5" t="s">
        <v>141</v>
      </c>
      <c r="D24" s="5" t="s">
        <v>474</v>
      </c>
      <c r="E24" s="5" t="s">
        <v>149</v>
      </c>
      <c r="F24" s="5" t="s">
        <v>144</v>
      </c>
      <c r="G24" s="5" t="s">
        <v>150</v>
      </c>
      <c r="H24" s="3">
        <v>25.199822646370635</v>
      </c>
      <c r="I24" s="3">
        <v>4.1363149743981715</v>
      </c>
      <c r="J24" s="318">
        <v>29.336137620768806</v>
      </c>
      <c r="K24" s="3">
        <v>40.796413300632423</v>
      </c>
      <c r="L24" s="3">
        <v>12.391867003948271</v>
      </c>
      <c r="M24" s="318">
        <v>53.188280304580694</v>
      </c>
      <c r="N24" s="3">
        <v>32.545483116864531</v>
      </c>
      <c r="O24" s="3">
        <v>141.29221535838585</v>
      </c>
      <c r="P24" s="3">
        <v>14.842010964548992</v>
      </c>
      <c r="Q24" s="3">
        <v>15.467101206524264</v>
      </c>
      <c r="R24" s="3">
        <v>35.18813703642293</v>
      </c>
      <c r="S24" s="3">
        <v>50.598255644787926</v>
      </c>
      <c r="T24" s="3">
        <v>68.470495574903481</v>
      </c>
      <c r="U24" s="3">
        <v>12.423923746313163</v>
      </c>
      <c r="V24" s="318">
        <v>370.82762264875106</v>
      </c>
      <c r="W24" s="318">
        <v>453.35204057410056</v>
      </c>
      <c r="X24" s="3">
        <v>45.562752700585321</v>
      </c>
      <c r="Y24" s="318">
        <v>498.91479327468585</v>
      </c>
    </row>
    <row r="25" spans="1:25" x14ac:dyDescent="0.2">
      <c r="A25" s="314">
        <v>2015</v>
      </c>
      <c r="B25" s="5" t="s">
        <v>466</v>
      </c>
      <c r="C25" s="5" t="s">
        <v>141</v>
      </c>
      <c r="D25" s="5" t="s">
        <v>474</v>
      </c>
      <c r="E25" s="5" t="s">
        <v>151</v>
      </c>
      <c r="F25" s="5" t="s">
        <v>144</v>
      </c>
      <c r="G25" s="5" t="s">
        <v>152</v>
      </c>
      <c r="H25" s="3">
        <v>13.07067940617484</v>
      </c>
      <c r="I25" s="3">
        <v>103.92050044762621</v>
      </c>
      <c r="J25" s="318">
        <v>116.99117985380104</v>
      </c>
      <c r="K25" s="3">
        <v>51.037321589072448</v>
      </c>
      <c r="L25" s="3">
        <v>3.9810694784942626</v>
      </c>
      <c r="M25" s="318">
        <v>55.018391067566711</v>
      </c>
      <c r="N25" s="3">
        <v>79.172919446089395</v>
      </c>
      <c r="O25" s="3">
        <v>24.302482985107975</v>
      </c>
      <c r="P25" s="3">
        <v>5.3542361369872555</v>
      </c>
      <c r="Q25" s="3">
        <v>3.6803345891957058</v>
      </c>
      <c r="R25" s="3">
        <v>11.564731837160183</v>
      </c>
      <c r="S25" s="3">
        <v>35.5482613335314</v>
      </c>
      <c r="T25" s="3">
        <v>35.229462626284231</v>
      </c>
      <c r="U25" s="3">
        <v>3.506571705316571</v>
      </c>
      <c r="V25" s="318">
        <v>198.35900065967272</v>
      </c>
      <c r="W25" s="318">
        <v>370.36857158104044</v>
      </c>
      <c r="X25" s="3">
        <v>37.222754337040207</v>
      </c>
      <c r="Y25" s="318">
        <v>407.59132591808066</v>
      </c>
    </row>
    <row r="26" spans="1:25" x14ac:dyDescent="0.2">
      <c r="A26" s="314">
        <v>2015</v>
      </c>
      <c r="B26" s="5" t="s">
        <v>466</v>
      </c>
      <c r="C26" s="5" t="s">
        <v>141</v>
      </c>
      <c r="D26" s="5" t="s">
        <v>474</v>
      </c>
      <c r="E26" s="5" t="s">
        <v>153</v>
      </c>
      <c r="F26" s="5" t="s">
        <v>144</v>
      </c>
      <c r="G26" s="5" t="s">
        <v>154</v>
      </c>
      <c r="H26" s="3">
        <v>14.676584837784191</v>
      </c>
      <c r="I26" s="3">
        <v>19.584460236095296</v>
      </c>
      <c r="J26" s="318">
        <v>34.261045073879487</v>
      </c>
      <c r="K26" s="3">
        <v>5.4355402488657329</v>
      </c>
      <c r="L26" s="3">
        <v>6.1378930385286097</v>
      </c>
      <c r="M26" s="318">
        <v>11.573433287394343</v>
      </c>
      <c r="N26" s="3">
        <v>9.7524890600957246</v>
      </c>
      <c r="O26" s="3">
        <v>43.446229879070955</v>
      </c>
      <c r="P26" s="3">
        <v>4.2551518814475751</v>
      </c>
      <c r="Q26" s="3">
        <v>2.2372236046484142</v>
      </c>
      <c r="R26" s="3">
        <v>12.42206696265392</v>
      </c>
      <c r="S26" s="3">
        <v>13.570540888976568</v>
      </c>
      <c r="T26" s="3">
        <v>17.390971250919318</v>
      </c>
      <c r="U26" s="3">
        <v>2.6816525958063613</v>
      </c>
      <c r="V26" s="318">
        <v>105.75632612361883</v>
      </c>
      <c r="W26" s="318">
        <v>151.59080448489266</v>
      </c>
      <c r="X26" s="3">
        <v>15.23516763614637</v>
      </c>
      <c r="Y26" s="318">
        <v>166.82597212103903</v>
      </c>
    </row>
    <row r="27" spans="1:25" x14ac:dyDescent="0.2">
      <c r="A27" s="314">
        <v>2015</v>
      </c>
      <c r="B27" s="5" t="s">
        <v>466</v>
      </c>
      <c r="C27" s="5" t="s">
        <v>141</v>
      </c>
      <c r="D27" s="5" t="s">
        <v>474</v>
      </c>
      <c r="E27" s="5" t="s">
        <v>155</v>
      </c>
      <c r="F27" s="5" t="s">
        <v>144</v>
      </c>
      <c r="G27" s="5" t="s">
        <v>156</v>
      </c>
      <c r="H27" s="3">
        <v>57.994435299594144</v>
      </c>
      <c r="I27" s="3">
        <v>765.90390132813695</v>
      </c>
      <c r="J27" s="318">
        <v>823.89833662773106</v>
      </c>
      <c r="K27" s="3">
        <v>0.72987225512101483</v>
      </c>
      <c r="L27" s="3">
        <v>13.032686761374512</v>
      </c>
      <c r="M27" s="318">
        <v>13.762559016495526</v>
      </c>
      <c r="N27" s="3">
        <v>6.7402781672931837</v>
      </c>
      <c r="O27" s="3">
        <v>14.57205577696147</v>
      </c>
      <c r="P27" s="3">
        <v>3.6855327456629832</v>
      </c>
      <c r="Q27" s="3">
        <v>2.0663129921431804</v>
      </c>
      <c r="R27" s="3">
        <v>8.4985274802018544</v>
      </c>
      <c r="S27" s="3">
        <v>51.995435663554431</v>
      </c>
      <c r="T27" s="3">
        <v>17.916476104784962</v>
      </c>
      <c r="U27" s="3">
        <v>3.2677782457851077</v>
      </c>
      <c r="V27" s="318">
        <v>108.74239717638717</v>
      </c>
      <c r="W27" s="318">
        <v>946.40329282061373</v>
      </c>
      <c r="X27" s="3">
        <v>95.115352580801286</v>
      </c>
      <c r="Y27" s="318">
        <v>1041.5186454014149</v>
      </c>
    </row>
    <row r="28" spans="1:25" x14ac:dyDescent="0.2">
      <c r="A28" s="314">
        <v>2015</v>
      </c>
      <c r="B28" s="5" t="s">
        <v>466</v>
      </c>
      <c r="C28" s="5" t="s">
        <v>157</v>
      </c>
      <c r="D28" s="5" t="s">
        <v>475</v>
      </c>
      <c r="E28" s="5" t="s">
        <v>159</v>
      </c>
      <c r="F28" s="5" t="s">
        <v>160</v>
      </c>
      <c r="G28" s="5" t="s">
        <v>161</v>
      </c>
      <c r="H28" s="3">
        <v>26.977925415279522</v>
      </c>
      <c r="I28" s="3">
        <v>25.904930841222168</v>
      </c>
      <c r="J28" s="318">
        <v>52.88285625650169</v>
      </c>
      <c r="K28" s="3">
        <v>17.773991760096294</v>
      </c>
      <c r="L28" s="3">
        <v>28.409952506393921</v>
      </c>
      <c r="M28" s="318">
        <v>46.183944266490215</v>
      </c>
      <c r="N28" s="3">
        <v>208.07860867971135</v>
      </c>
      <c r="O28" s="3">
        <v>60.148534688929381</v>
      </c>
      <c r="P28" s="3">
        <v>12.059661735989943</v>
      </c>
      <c r="Q28" s="3">
        <v>10.937796751849552</v>
      </c>
      <c r="R28" s="3">
        <v>28.270595482835969</v>
      </c>
      <c r="S28" s="3">
        <v>59.474938972390575</v>
      </c>
      <c r="T28" s="3">
        <v>62.407588363978249</v>
      </c>
      <c r="U28" s="3">
        <v>10.862821096724442</v>
      </c>
      <c r="V28" s="318">
        <v>452.24054577240946</v>
      </c>
      <c r="W28" s="318">
        <v>551.30734629540132</v>
      </c>
      <c r="X28" s="3">
        <v>55.40744947231385</v>
      </c>
      <c r="Y28" s="318">
        <v>606.71479576771515</v>
      </c>
    </row>
    <row r="29" spans="1:25" x14ac:dyDescent="0.2">
      <c r="A29" s="314">
        <v>2015</v>
      </c>
      <c r="B29" s="5" t="s">
        <v>466</v>
      </c>
      <c r="C29" s="5" t="s">
        <v>157</v>
      </c>
      <c r="D29" s="5" t="s">
        <v>476</v>
      </c>
      <c r="E29" s="5" t="s">
        <v>162</v>
      </c>
      <c r="F29" s="5" t="s">
        <v>160</v>
      </c>
      <c r="G29" s="5" t="s">
        <v>163</v>
      </c>
      <c r="H29" s="3">
        <v>14.12416588708575</v>
      </c>
      <c r="I29" s="3">
        <v>38.161620790594888</v>
      </c>
      <c r="J29" s="318">
        <v>52.28578667768064</v>
      </c>
      <c r="K29" s="3">
        <v>2.5327872498967645</v>
      </c>
      <c r="L29" s="3">
        <v>7.0357451610071413</v>
      </c>
      <c r="M29" s="318">
        <v>9.5685324109039058</v>
      </c>
      <c r="N29" s="3">
        <v>65.169017612688975</v>
      </c>
      <c r="O29" s="3">
        <v>5.3896780054811337</v>
      </c>
      <c r="P29" s="3">
        <v>1.0165751530462175</v>
      </c>
      <c r="Q29" s="3">
        <v>0.73811930620646227</v>
      </c>
      <c r="R29" s="3">
        <v>2.010202873686886</v>
      </c>
      <c r="S29" s="3">
        <v>8.463604238380027</v>
      </c>
      <c r="T29" s="3">
        <v>8.4746143488316932</v>
      </c>
      <c r="U29" s="3">
        <v>1.0132912801737428</v>
      </c>
      <c r="V29" s="318">
        <v>92.275102818495142</v>
      </c>
      <c r="W29" s="318">
        <v>154.12942190707969</v>
      </c>
      <c r="X29" s="3">
        <v>15.490303573293897</v>
      </c>
      <c r="Y29" s="318">
        <v>169.61972548037357</v>
      </c>
    </row>
    <row r="30" spans="1:25" x14ac:dyDescent="0.2">
      <c r="A30" s="314">
        <v>2015</v>
      </c>
      <c r="B30" s="5" t="s">
        <v>466</v>
      </c>
      <c r="C30" s="5" t="s">
        <v>157</v>
      </c>
      <c r="D30" s="5" t="s">
        <v>473</v>
      </c>
      <c r="E30" s="5" t="s">
        <v>164</v>
      </c>
      <c r="F30" s="5" t="s">
        <v>160</v>
      </c>
      <c r="G30" s="5" t="s">
        <v>165</v>
      </c>
      <c r="H30" s="3">
        <v>3.8754904561662431</v>
      </c>
      <c r="I30" s="3">
        <v>0.3255222240803346</v>
      </c>
      <c r="J30" s="318">
        <v>4.2010126802465777</v>
      </c>
      <c r="K30" s="3">
        <v>7.1042827706478349</v>
      </c>
      <c r="L30" s="3">
        <v>3.4695804045720884</v>
      </c>
      <c r="M30" s="318">
        <v>10.573863175219923</v>
      </c>
      <c r="N30" s="3">
        <v>7.2573061444246747</v>
      </c>
      <c r="O30" s="3">
        <v>22.668411193348639</v>
      </c>
      <c r="P30" s="3">
        <v>4.8695724915341394</v>
      </c>
      <c r="Q30" s="3">
        <v>3.4386842923160139</v>
      </c>
      <c r="R30" s="3">
        <v>12.406068616226564</v>
      </c>
      <c r="S30" s="3">
        <v>11.08407506424436</v>
      </c>
      <c r="T30" s="3">
        <v>17.805799849563556</v>
      </c>
      <c r="U30" s="3">
        <v>2.7369527874267381</v>
      </c>
      <c r="V30" s="318">
        <v>82.266870439084684</v>
      </c>
      <c r="W30" s="318">
        <v>97.041746294551189</v>
      </c>
      <c r="X30" s="3">
        <v>9.7528822909169985</v>
      </c>
      <c r="Y30" s="318">
        <v>106.79462858546819</v>
      </c>
    </row>
    <row r="31" spans="1:25" x14ac:dyDescent="0.2">
      <c r="A31" s="314">
        <v>2015</v>
      </c>
      <c r="B31" s="5" t="s">
        <v>466</v>
      </c>
      <c r="C31" s="5" t="s">
        <v>157</v>
      </c>
      <c r="D31" s="5" t="s">
        <v>477</v>
      </c>
      <c r="E31" s="5" t="s">
        <v>166</v>
      </c>
      <c r="F31" s="5" t="s">
        <v>160</v>
      </c>
      <c r="G31" s="5" t="s">
        <v>168</v>
      </c>
      <c r="H31" s="3">
        <v>37.520607630560512</v>
      </c>
      <c r="I31" s="3">
        <v>128.12742994573475</v>
      </c>
      <c r="J31" s="318">
        <v>165.64803757629525</v>
      </c>
      <c r="K31" s="3">
        <v>15.278048655571265</v>
      </c>
      <c r="L31" s="3">
        <v>1.978337976388616</v>
      </c>
      <c r="M31" s="318">
        <v>17.256386631959881</v>
      </c>
      <c r="N31" s="3">
        <v>8.9419117560323684</v>
      </c>
      <c r="O31" s="3">
        <v>51.645792313750881</v>
      </c>
      <c r="P31" s="3">
        <v>6.4826569860059342</v>
      </c>
      <c r="Q31" s="3">
        <v>3.8821880098221975</v>
      </c>
      <c r="R31" s="3">
        <v>14.859183569804236</v>
      </c>
      <c r="S31" s="3">
        <v>24.100851616967905</v>
      </c>
      <c r="T31" s="3">
        <v>30.046159567338311</v>
      </c>
      <c r="U31" s="3">
        <v>4.9284998878224195</v>
      </c>
      <c r="V31" s="318">
        <v>144.88724370754426</v>
      </c>
      <c r="W31" s="318">
        <v>327.79166791579939</v>
      </c>
      <c r="X31" s="3">
        <v>32.943693565428909</v>
      </c>
      <c r="Y31" s="318">
        <v>360.73536148122832</v>
      </c>
    </row>
    <row r="32" spans="1:25" x14ac:dyDescent="0.2">
      <c r="A32" s="314">
        <v>2015</v>
      </c>
      <c r="B32" s="5" t="s">
        <v>466</v>
      </c>
      <c r="C32" s="5" t="s">
        <v>157</v>
      </c>
      <c r="D32" s="5" t="s">
        <v>473</v>
      </c>
      <c r="E32" s="5" t="s">
        <v>169</v>
      </c>
      <c r="F32" s="5" t="s">
        <v>160</v>
      </c>
      <c r="G32" s="5" t="s">
        <v>170</v>
      </c>
      <c r="H32" s="3">
        <v>21.717585984255756</v>
      </c>
      <c r="I32" s="3">
        <v>0</v>
      </c>
      <c r="J32" s="318">
        <v>21.717585984255756</v>
      </c>
      <c r="K32" s="3">
        <v>5.0183017947621229</v>
      </c>
      <c r="L32" s="3">
        <v>14.381266599451642</v>
      </c>
      <c r="M32" s="318">
        <v>19.399568394213766</v>
      </c>
      <c r="N32" s="3">
        <v>7.5654450539463411</v>
      </c>
      <c r="O32" s="3">
        <v>22.740114832462375</v>
      </c>
      <c r="P32" s="3">
        <v>8.2223204397060918</v>
      </c>
      <c r="Q32" s="3">
        <v>5.5863128266076396</v>
      </c>
      <c r="R32" s="3">
        <v>15.974094834280818</v>
      </c>
      <c r="S32" s="3">
        <v>16.495826549058762</v>
      </c>
      <c r="T32" s="3">
        <v>32.849917035379008</v>
      </c>
      <c r="U32" s="3">
        <v>6.4549876252805722</v>
      </c>
      <c r="V32" s="318">
        <v>115.88901919672161</v>
      </c>
      <c r="W32" s="318">
        <v>157.00617357519113</v>
      </c>
      <c r="X32" s="3">
        <v>15.779422653417551</v>
      </c>
      <c r="Y32" s="318">
        <v>172.78559622860868</v>
      </c>
    </row>
    <row r="33" spans="1:25" x14ac:dyDescent="0.2">
      <c r="A33" s="314">
        <v>2015</v>
      </c>
      <c r="B33" s="5" t="s">
        <v>466</v>
      </c>
      <c r="C33" s="5" t="s">
        <v>157</v>
      </c>
      <c r="D33" s="5" t="s">
        <v>473</v>
      </c>
      <c r="E33" s="5" t="s">
        <v>171</v>
      </c>
      <c r="F33" s="5" t="s">
        <v>160</v>
      </c>
      <c r="G33" s="5" t="s">
        <v>172</v>
      </c>
      <c r="H33" s="3">
        <v>53.62253513062759</v>
      </c>
      <c r="I33" s="3">
        <v>1.020150221793557</v>
      </c>
      <c r="J33" s="318">
        <v>54.642685352421147</v>
      </c>
      <c r="K33" s="3">
        <v>4.7358559481042342</v>
      </c>
      <c r="L33" s="3">
        <v>10.423544751236557</v>
      </c>
      <c r="M33" s="318">
        <v>15.159400699340791</v>
      </c>
      <c r="N33" s="3">
        <v>4.4285460805584966</v>
      </c>
      <c r="O33" s="3">
        <v>21.429021109973963</v>
      </c>
      <c r="P33" s="3">
        <v>3.3774819503714157</v>
      </c>
      <c r="Q33" s="3">
        <v>2.366770173078498</v>
      </c>
      <c r="R33" s="3">
        <v>10.318131546120881</v>
      </c>
      <c r="S33" s="3">
        <v>11.514589507581036</v>
      </c>
      <c r="T33" s="3">
        <v>18.461174026513167</v>
      </c>
      <c r="U33" s="3">
        <v>3.4474927035602776</v>
      </c>
      <c r="V33" s="318">
        <v>75.343207097757727</v>
      </c>
      <c r="W33" s="318">
        <v>145.14529314951966</v>
      </c>
      <c r="X33" s="3">
        <v>14.587381340185278</v>
      </c>
      <c r="Y33" s="318">
        <v>159.73267448970495</v>
      </c>
    </row>
    <row r="34" spans="1:25" x14ac:dyDescent="0.2">
      <c r="A34" s="314">
        <v>2015</v>
      </c>
      <c r="B34" s="5" t="s">
        <v>466</v>
      </c>
      <c r="C34" s="5" t="s">
        <v>157</v>
      </c>
      <c r="D34" s="5" t="s">
        <v>477</v>
      </c>
      <c r="E34" s="5" t="s">
        <v>173</v>
      </c>
      <c r="F34" s="5" t="s">
        <v>160</v>
      </c>
      <c r="G34" s="5" t="s">
        <v>174</v>
      </c>
      <c r="H34" s="3">
        <v>9.6341582193180066</v>
      </c>
      <c r="I34" s="3">
        <v>225.03309172689626</v>
      </c>
      <c r="J34" s="318">
        <v>234.66724994621427</v>
      </c>
      <c r="K34" s="3">
        <v>16.743336525972236</v>
      </c>
      <c r="L34" s="3">
        <v>10.708440585548949</v>
      </c>
      <c r="M34" s="318">
        <v>27.451777111521185</v>
      </c>
      <c r="N34" s="3">
        <v>21.418510345658692</v>
      </c>
      <c r="O34" s="3">
        <v>79.603619733088209</v>
      </c>
      <c r="P34" s="3">
        <v>10.368154152938901</v>
      </c>
      <c r="Q34" s="3">
        <v>7.3078619169308885</v>
      </c>
      <c r="R34" s="3">
        <v>34.344831026121803</v>
      </c>
      <c r="S34" s="3">
        <v>42.679524965763157</v>
      </c>
      <c r="T34" s="3">
        <v>43.707196390656129</v>
      </c>
      <c r="U34" s="3">
        <v>8.7491072033324215</v>
      </c>
      <c r="V34" s="318">
        <v>248.1788057344902</v>
      </c>
      <c r="W34" s="318">
        <v>510.29783279222568</v>
      </c>
      <c r="X34" s="3">
        <v>51.285914427241657</v>
      </c>
      <c r="Y34" s="318">
        <v>561.58374721946734</v>
      </c>
    </row>
    <row r="35" spans="1:25" x14ac:dyDescent="0.2">
      <c r="A35" s="314">
        <v>2015</v>
      </c>
      <c r="B35" s="5" t="s">
        <v>466</v>
      </c>
      <c r="C35" s="5" t="s">
        <v>157</v>
      </c>
      <c r="D35" s="5" t="s">
        <v>475</v>
      </c>
      <c r="E35" s="5" t="s">
        <v>175</v>
      </c>
      <c r="F35" s="5" t="s">
        <v>160</v>
      </c>
      <c r="G35" s="5" t="s">
        <v>176</v>
      </c>
      <c r="H35" s="3">
        <v>18.906259697791551</v>
      </c>
      <c r="I35" s="3">
        <v>16.530923445963129</v>
      </c>
      <c r="J35" s="318">
        <v>35.43718314375468</v>
      </c>
      <c r="K35" s="3">
        <v>1.5691728029175429</v>
      </c>
      <c r="L35" s="3">
        <v>9.4984299668623748</v>
      </c>
      <c r="M35" s="318">
        <v>11.067602769779917</v>
      </c>
      <c r="N35" s="3">
        <v>4.9311447636387955</v>
      </c>
      <c r="O35" s="3">
        <v>23.400911944867197</v>
      </c>
      <c r="P35" s="3">
        <v>3.9678798183288269</v>
      </c>
      <c r="Q35" s="3">
        <v>2.897638944483738</v>
      </c>
      <c r="R35" s="3">
        <v>6.2055763990410489</v>
      </c>
      <c r="S35" s="3">
        <v>11.640026655104625</v>
      </c>
      <c r="T35" s="3">
        <v>19.585845868707796</v>
      </c>
      <c r="U35" s="3">
        <v>2.5567565577986096</v>
      </c>
      <c r="V35" s="318">
        <v>75.185780951970642</v>
      </c>
      <c r="W35" s="318">
        <v>121.69056686550525</v>
      </c>
      <c r="X35" s="3">
        <v>12.230136202634581</v>
      </c>
      <c r="Y35" s="318">
        <v>133.92070306813983</v>
      </c>
    </row>
    <row r="36" spans="1:25" x14ac:dyDescent="0.2">
      <c r="A36" s="314">
        <v>2015</v>
      </c>
      <c r="B36" s="5" t="s">
        <v>466</v>
      </c>
      <c r="C36" s="5" t="s">
        <v>157</v>
      </c>
      <c r="D36" s="5" t="s">
        <v>475</v>
      </c>
      <c r="E36" s="5" t="s">
        <v>177</v>
      </c>
      <c r="F36" s="5" t="s">
        <v>160</v>
      </c>
      <c r="G36" s="5" t="s">
        <v>178</v>
      </c>
      <c r="H36" s="3">
        <v>10.382109670500597</v>
      </c>
      <c r="I36" s="3">
        <v>0.66076063930865025</v>
      </c>
      <c r="J36" s="318">
        <v>11.042870309809247</v>
      </c>
      <c r="K36" s="3">
        <v>2.7526106845685447</v>
      </c>
      <c r="L36" s="3">
        <v>2.1948281845903894</v>
      </c>
      <c r="M36" s="318">
        <v>4.9474388691589342</v>
      </c>
      <c r="N36" s="3">
        <v>1.9495666233064219</v>
      </c>
      <c r="O36" s="3">
        <v>12.135585459331713</v>
      </c>
      <c r="P36" s="3">
        <v>2.2490472385794367</v>
      </c>
      <c r="Q36" s="3">
        <v>1.3953760611682757</v>
      </c>
      <c r="R36" s="3">
        <v>4.0242556326898473</v>
      </c>
      <c r="S36" s="3">
        <v>6.2161407401411441</v>
      </c>
      <c r="T36" s="3">
        <v>11.780851760106325</v>
      </c>
      <c r="U36" s="3">
        <v>2.1088437157648481</v>
      </c>
      <c r="V36" s="318">
        <v>41.859667231088011</v>
      </c>
      <c r="W36" s="318">
        <v>57.849976410056193</v>
      </c>
      <c r="X36" s="3">
        <v>5.8140339801725816</v>
      </c>
      <c r="Y36" s="318">
        <v>63.664010390228775</v>
      </c>
    </row>
    <row r="37" spans="1:25" x14ac:dyDescent="0.2">
      <c r="A37" s="314">
        <v>2015</v>
      </c>
      <c r="B37" s="5" t="s">
        <v>466</v>
      </c>
      <c r="C37" s="5" t="s">
        <v>157</v>
      </c>
      <c r="D37" s="5" t="s">
        <v>475</v>
      </c>
      <c r="E37" s="5" t="s">
        <v>179</v>
      </c>
      <c r="F37" s="5" t="s">
        <v>160</v>
      </c>
      <c r="G37" s="5" t="s">
        <v>180</v>
      </c>
      <c r="H37" s="3">
        <v>30.504189162586222</v>
      </c>
      <c r="I37" s="3">
        <v>0.78391511836080952</v>
      </c>
      <c r="J37" s="318">
        <v>31.288104280947032</v>
      </c>
      <c r="K37" s="3">
        <v>7.2940422673192744</v>
      </c>
      <c r="L37" s="3">
        <v>17.019214719210627</v>
      </c>
      <c r="M37" s="318">
        <v>24.3132569865299</v>
      </c>
      <c r="N37" s="3">
        <v>4.0664915323136812</v>
      </c>
      <c r="O37" s="3">
        <v>39.708619021017782</v>
      </c>
      <c r="P37" s="3">
        <v>5.1143700889768784</v>
      </c>
      <c r="Q37" s="3">
        <v>3.7155727365054227</v>
      </c>
      <c r="R37" s="3">
        <v>10.284113638416361</v>
      </c>
      <c r="S37" s="3">
        <v>17.386721334389566</v>
      </c>
      <c r="T37" s="3">
        <v>39.736579337816558</v>
      </c>
      <c r="U37" s="3">
        <v>3.9031822919175179</v>
      </c>
      <c r="V37" s="318">
        <v>123.91564998135377</v>
      </c>
      <c r="W37" s="318">
        <v>179.5170112488307</v>
      </c>
      <c r="X37" s="3">
        <v>18.041805168902773</v>
      </c>
      <c r="Y37" s="318">
        <v>197.55881641773348</v>
      </c>
    </row>
    <row r="38" spans="1:25" x14ac:dyDescent="0.2">
      <c r="A38" s="314">
        <v>2015</v>
      </c>
      <c r="B38" s="5" t="s">
        <v>466</v>
      </c>
      <c r="C38" s="5" t="s">
        <v>181</v>
      </c>
      <c r="D38" s="5" t="s">
        <v>478</v>
      </c>
      <c r="E38" s="5" t="s">
        <v>183</v>
      </c>
      <c r="F38" s="5" t="s">
        <v>184</v>
      </c>
      <c r="G38" s="5" t="s">
        <v>185</v>
      </c>
      <c r="H38" s="3">
        <v>26.736430991118876</v>
      </c>
      <c r="I38" s="3">
        <v>0</v>
      </c>
      <c r="J38" s="318">
        <v>26.736430991118876</v>
      </c>
      <c r="K38" s="3">
        <v>7.0840182592666565</v>
      </c>
      <c r="L38" s="3">
        <v>16.433605831598697</v>
      </c>
      <c r="M38" s="318">
        <v>23.517624090865354</v>
      </c>
      <c r="N38" s="3">
        <v>3.9186837020420211</v>
      </c>
      <c r="O38" s="3">
        <v>17.146682150992401</v>
      </c>
      <c r="P38" s="3">
        <v>3.146608692140517</v>
      </c>
      <c r="Q38" s="3">
        <v>2.6408615829837574</v>
      </c>
      <c r="R38" s="3">
        <v>7.0240284807192737</v>
      </c>
      <c r="S38" s="3">
        <v>9.8666505362304751</v>
      </c>
      <c r="T38" s="3">
        <v>19.566333098581254</v>
      </c>
      <c r="U38" s="3">
        <v>2.8032193830280954</v>
      </c>
      <c r="V38" s="318">
        <v>66.113067626717793</v>
      </c>
      <c r="W38" s="318">
        <v>116.36712270870203</v>
      </c>
      <c r="X38" s="3">
        <v>11.695119818130008</v>
      </c>
      <c r="Y38" s="318">
        <v>128.06224252683202</v>
      </c>
    </row>
    <row r="39" spans="1:25" x14ac:dyDescent="0.2">
      <c r="A39" s="314">
        <v>2015</v>
      </c>
      <c r="B39" s="5" t="s">
        <v>466</v>
      </c>
      <c r="C39" s="5" t="s">
        <v>181</v>
      </c>
      <c r="D39" s="5" t="s">
        <v>479</v>
      </c>
      <c r="E39" s="5" t="s">
        <v>186</v>
      </c>
      <c r="F39" s="5" t="s">
        <v>184</v>
      </c>
      <c r="G39" s="5" t="s">
        <v>187</v>
      </c>
      <c r="H39" s="3">
        <v>14.613103649666801</v>
      </c>
      <c r="I39" s="3">
        <v>0</v>
      </c>
      <c r="J39" s="318">
        <v>14.613103649666801</v>
      </c>
      <c r="K39" s="3">
        <v>3.9939967662984337</v>
      </c>
      <c r="L39" s="3">
        <v>1.1386470447120782</v>
      </c>
      <c r="M39" s="318">
        <v>5.1326438110105119</v>
      </c>
      <c r="N39" s="3">
        <v>2.4071819445244396</v>
      </c>
      <c r="O39" s="3">
        <v>9.9912377878616496</v>
      </c>
      <c r="P39" s="3">
        <v>1.7819791294707641</v>
      </c>
      <c r="Q39" s="3">
        <v>1.1119065624281324</v>
      </c>
      <c r="R39" s="3">
        <v>6.4288002237058413</v>
      </c>
      <c r="S39" s="3">
        <v>5.4109595468808687</v>
      </c>
      <c r="T39" s="3">
        <v>9.6651635302194112</v>
      </c>
      <c r="U39" s="3">
        <v>1.5929174360214153</v>
      </c>
      <c r="V39" s="318">
        <v>38.390146161112519</v>
      </c>
      <c r="W39" s="318">
        <v>58.135893621789833</v>
      </c>
      <c r="X39" s="3">
        <v>5.842769210250701</v>
      </c>
      <c r="Y39" s="318">
        <v>63.978662832040534</v>
      </c>
    </row>
    <row r="40" spans="1:25" x14ac:dyDescent="0.2">
      <c r="A40" s="314">
        <v>2015</v>
      </c>
      <c r="B40" s="5" t="s">
        <v>466</v>
      </c>
      <c r="C40" s="5" t="s">
        <v>181</v>
      </c>
      <c r="D40" s="5" t="s">
        <v>478</v>
      </c>
      <c r="E40" s="5" t="s">
        <v>188</v>
      </c>
      <c r="F40" s="5" t="s">
        <v>184</v>
      </c>
      <c r="G40" s="5" t="s">
        <v>189</v>
      </c>
      <c r="H40" s="3">
        <v>11.239933404299936</v>
      </c>
      <c r="I40" s="3">
        <v>0.17652596985275615</v>
      </c>
      <c r="J40" s="318">
        <v>11.416459374152693</v>
      </c>
      <c r="K40" s="3">
        <v>0.47002521062695379</v>
      </c>
      <c r="L40" s="3">
        <v>4.7251794102636335</v>
      </c>
      <c r="M40" s="318">
        <v>5.1952046208905873</v>
      </c>
      <c r="N40" s="3">
        <v>1.2593834364613485</v>
      </c>
      <c r="O40" s="3">
        <v>6.6323349812751848</v>
      </c>
      <c r="P40" s="3">
        <v>2.3326762479577909</v>
      </c>
      <c r="Q40" s="3">
        <v>1.7965532430730464</v>
      </c>
      <c r="R40" s="3">
        <v>4.1867634987848046</v>
      </c>
      <c r="S40" s="3">
        <v>6.6418594766174293</v>
      </c>
      <c r="T40" s="3">
        <v>16.718730559707801</v>
      </c>
      <c r="U40" s="3">
        <v>2.3594924314251373</v>
      </c>
      <c r="V40" s="318">
        <v>41.927793875302541</v>
      </c>
      <c r="W40" s="318">
        <v>58.539457870345821</v>
      </c>
      <c r="X40" s="3">
        <v>5.8833281940566051</v>
      </c>
      <c r="Y40" s="318">
        <v>64.42278606440243</v>
      </c>
    </row>
    <row r="41" spans="1:25" x14ac:dyDescent="0.2">
      <c r="A41" s="314">
        <v>2015</v>
      </c>
      <c r="B41" s="5" t="s">
        <v>466</v>
      </c>
      <c r="C41" s="5" t="s">
        <v>181</v>
      </c>
      <c r="D41" s="5" t="s">
        <v>478</v>
      </c>
      <c r="E41" s="5" t="s">
        <v>190</v>
      </c>
      <c r="F41" s="5" t="s">
        <v>184</v>
      </c>
      <c r="G41" s="5" t="s">
        <v>191</v>
      </c>
      <c r="H41" s="3">
        <v>4.1320853436208633</v>
      </c>
      <c r="I41" s="3">
        <v>0</v>
      </c>
      <c r="J41" s="318">
        <v>4.1320853436208633</v>
      </c>
      <c r="K41" s="3">
        <v>4.9820365911770548</v>
      </c>
      <c r="L41" s="3">
        <v>0.83721332956255523</v>
      </c>
      <c r="M41" s="318">
        <v>5.81924992073961</v>
      </c>
      <c r="N41" s="3">
        <v>2.9850951828177097</v>
      </c>
      <c r="O41" s="3">
        <v>9.9308745300141883</v>
      </c>
      <c r="P41" s="3">
        <v>2.4405377611404302</v>
      </c>
      <c r="Q41" s="3">
        <v>1.9300695346564438</v>
      </c>
      <c r="R41" s="3">
        <v>4.4157349871800342</v>
      </c>
      <c r="S41" s="3">
        <v>6.9739788259563396</v>
      </c>
      <c r="T41" s="3">
        <v>15.594446814915422</v>
      </c>
      <c r="U41" s="3">
        <v>1.91102823672948</v>
      </c>
      <c r="V41" s="318">
        <v>46.181765873410043</v>
      </c>
      <c r="W41" s="318">
        <v>56.133101137770517</v>
      </c>
      <c r="X41" s="3">
        <v>5.6414847106891912</v>
      </c>
      <c r="Y41" s="318">
        <v>61.774585848459708</v>
      </c>
    </row>
    <row r="42" spans="1:25" x14ac:dyDescent="0.2">
      <c r="A42" s="314">
        <v>2015</v>
      </c>
      <c r="B42" s="5" t="s">
        <v>466</v>
      </c>
      <c r="C42" s="5" t="s">
        <v>181</v>
      </c>
      <c r="D42" s="5" t="s">
        <v>476</v>
      </c>
      <c r="E42" s="5" t="s">
        <v>192</v>
      </c>
      <c r="F42" s="5" t="s">
        <v>184</v>
      </c>
      <c r="G42" s="5" t="s">
        <v>193</v>
      </c>
      <c r="H42" s="3">
        <v>4.9779141317947868</v>
      </c>
      <c r="I42" s="3">
        <v>0</v>
      </c>
      <c r="J42" s="318">
        <v>4.9779141317947868</v>
      </c>
      <c r="K42" s="3">
        <v>0.37702172514256282</v>
      </c>
      <c r="L42" s="3">
        <v>2.6758663913478742</v>
      </c>
      <c r="M42" s="318">
        <v>3.0528881164904371</v>
      </c>
      <c r="N42" s="3">
        <v>11.725970498926674</v>
      </c>
      <c r="O42" s="3">
        <v>2.6765934670499423</v>
      </c>
      <c r="P42" s="3">
        <v>0.91837162711976783</v>
      </c>
      <c r="Q42" s="3">
        <v>0.50533927446725491</v>
      </c>
      <c r="R42" s="3">
        <v>2.0467764551644905</v>
      </c>
      <c r="S42" s="3">
        <v>2.9443129212531693</v>
      </c>
      <c r="T42" s="3">
        <v>4.8366615472711807</v>
      </c>
      <c r="U42" s="3">
        <v>0.88184506171210975</v>
      </c>
      <c r="V42" s="318">
        <v>26.535870852964589</v>
      </c>
      <c r="W42" s="318">
        <v>34.566673101249812</v>
      </c>
      <c r="X42" s="3">
        <v>3.4740171814181497</v>
      </c>
      <c r="Y42" s="318">
        <v>38.04069028266796</v>
      </c>
    </row>
    <row r="43" spans="1:25" x14ac:dyDescent="0.2">
      <c r="A43" s="314">
        <v>2015</v>
      </c>
      <c r="B43" s="5" t="s">
        <v>466</v>
      </c>
      <c r="C43" s="5" t="s">
        <v>181</v>
      </c>
      <c r="D43" s="5" t="s">
        <v>479</v>
      </c>
      <c r="E43" s="5" t="s">
        <v>194</v>
      </c>
      <c r="F43" s="5" t="s">
        <v>184</v>
      </c>
      <c r="G43" s="5" t="s">
        <v>195</v>
      </c>
      <c r="H43" s="3">
        <v>114.17011653279327</v>
      </c>
      <c r="I43" s="3">
        <v>1.4485996543951245</v>
      </c>
      <c r="J43" s="318">
        <v>115.6187161871884</v>
      </c>
      <c r="K43" s="3">
        <v>34.673142526750965</v>
      </c>
      <c r="L43" s="3">
        <v>5.4989548759626956</v>
      </c>
      <c r="M43" s="318">
        <v>40.172097402713661</v>
      </c>
      <c r="N43" s="3">
        <v>3.5905504036288782</v>
      </c>
      <c r="O43" s="3">
        <v>46.700847770713395</v>
      </c>
      <c r="P43" s="3">
        <v>9.5756051770351736</v>
      </c>
      <c r="Q43" s="3">
        <v>10.082309828995399</v>
      </c>
      <c r="R43" s="3">
        <v>21.43487044132079</v>
      </c>
      <c r="S43" s="3">
        <v>25.08329776247405</v>
      </c>
      <c r="T43" s="3">
        <v>27.466579670379623</v>
      </c>
      <c r="U43" s="3">
        <v>7.2366691423024996</v>
      </c>
      <c r="V43" s="318">
        <v>151.1707301968498</v>
      </c>
      <c r="W43" s="318">
        <v>306.96154378675186</v>
      </c>
      <c r="X43" s="3">
        <v>30.85022599639764</v>
      </c>
      <c r="Y43" s="318">
        <v>337.81176978314949</v>
      </c>
    </row>
    <row r="44" spans="1:25" x14ac:dyDescent="0.2">
      <c r="A44" s="314">
        <v>2015</v>
      </c>
      <c r="B44" s="5" t="s">
        <v>466</v>
      </c>
      <c r="C44" s="5" t="s">
        <v>181</v>
      </c>
      <c r="D44" s="5" t="s">
        <v>479</v>
      </c>
      <c r="E44" s="5" t="s">
        <v>196</v>
      </c>
      <c r="F44" s="5" t="s">
        <v>184</v>
      </c>
      <c r="G44" s="5" t="s">
        <v>197</v>
      </c>
      <c r="H44" s="3">
        <v>44.793161587845852</v>
      </c>
      <c r="I44" s="3">
        <v>0</v>
      </c>
      <c r="J44" s="318">
        <v>44.793161587845852</v>
      </c>
      <c r="K44" s="3">
        <v>114.36658243095499</v>
      </c>
      <c r="L44" s="3">
        <v>41.6041849878834</v>
      </c>
      <c r="M44" s="318">
        <v>155.97076741883839</v>
      </c>
      <c r="N44" s="3">
        <v>5.6480742962173052</v>
      </c>
      <c r="O44" s="3">
        <v>30.224965511017466</v>
      </c>
      <c r="P44" s="3">
        <v>3.1395899679129675</v>
      </c>
      <c r="Q44" s="3">
        <v>3.372706391716815</v>
      </c>
      <c r="R44" s="3">
        <v>8.7453471445248407</v>
      </c>
      <c r="S44" s="3">
        <v>18.644038210232853</v>
      </c>
      <c r="T44" s="3">
        <v>10.616916303043842</v>
      </c>
      <c r="U44" s="3">
        <v>3.7173609858976708</v>
      </c>
      <c r="V44" s="318">
        <v>84.108998810563762</v>
      </c>
      <c r="W44" s="318">
        <v>284.87292781724801</v>
      </c>
      <c r="X44" s="3">
        <v>28.630277574216368</v>
      </c>
      <c r="Y44" s="318">
        <v>313.50320539146441</v>
      </c>
    </row>
    <row r="45" spans="1:25" x14ac:dyDescent="0.2">
      <c r="A45" s="314">
        <v>2015</v>
      </c>
      <c r="B45" s="5" t="s">
        <v>466</v>
      </c>
      <c r="C45" s="5" t="s">
        <v>181</v>
      </c>
      <c r="D45" s="5" t="s">
        <v>476</v>
      </c>
      <c r="E45" s="5" t="s">
        <v>198</v>
      </c>
      <c r="F45" s="5" t="s">
        <v>184</v>
      </c>
      <c r="G45" s="5" t="s">
        <v>199</v>
      </c>
      <c r="H45" s="3">
        <v>15.433708059667799</v>
      </c>
      <c r="I45" s="3">
        <v>0.88234292794756009</v>
      </c>
      <c r="J45" s="318">
        <v>16.316050987615359</v>
      </c>
      <c r="K45" s="3">
        <v>13.478555003244681</v>
      </c>
      <c r="L45" s="3">
        <v>8.1443326794753244</v>
      </c>
      <c r="M45" s="318">
        <v>21.622887682720005</v>
      </c>
      <c r="N45" s="3">
        <v>128.14038011222465</v>
      </c>
      <c r="O45" s="3">
        <v>16.900394688147045</v>
      </c>
      <c r="P45" s="3">
        <v>3.0348169434758887</v>
      </c>
      <c r="Q45" s="3">
        <v>1.6575300837396847</v>
      </c>
      <c r="R45" s="3">
        <v>7.6604133353494719</v>
      </c>
      <c r="S45" s="3">
        <v>19.945133825492594</v>
      </c>
      <c r="T45" s="3">
        <v>14.874939099738963</v>
      </c>
      <c r="U45" s="3">
        <v>3.0958108278095122</v>
      </c>
      <c r="V45" s="318">
        <v>195.30941891597783</v>
      </c>
      <c r="W45" s="318">
        <v>233.2483575863132</v>
      </c>
      <c r="X45" s="3">
        <v>23.441908899511695</v>
      </c>
      <c r="Y45" s="318">
        <v>256.69026648582491</v>
      </c>
    </row>
    <row r="46" spans="1:25" x14ac:dyDescent="0.2">
      <c r="A46" s="314">
        <v>2015</v>
      </c>
      <c r="B46" s="5" t="s">
        <v>466</v>
      </c>
      <c r="C46" s="5" t="s">
        <v>181</v>
      </c>
      <c r="D46" s="5" t="s">
        <v>476</v>
      </c>
      <c r="E46" s="5" t="s">
        <v>200</v>
      </c>
      <c r="F46" s="5" t="s">
        <v>184</v>
      </c>
      <c r="G46" s="5" t="s">
        <v>201</v>
      </c>
      <c r="H46" s="3">
        <v>5.6105048484799083</v>
      </c>
      <c r="I46" s="3">
        <v>0</v>
      </c>
      <c r="J46" s="318">
        <v>5.6105048484799083</v>
      </c>
      <c r="K46" s="3">
        <v>1.3940230784086756</v>
      </c>
      <c r="L46" s="3">
        <v>3.924449046297477</v>
      </c>
      <c r="M46" s="318">
        <v>5.3184721247061528</v>
      </c>
      <c r="N46" s="3">
        <v>28.325375957183049</v>
      </c>
      <c r="O46" s="3">
        <v>1.80615088063493</v>
      </c>
      <c r="P46" s="3">
        <v>0.58222677752794771</v>
      </c>
      <c r="Q46" s="3">
        <v>0.4107162446795195</v>
      </c>
      <c r="R46" s="3">
        <v>0.91504535952546162</v>
      </c>
      <c r="S46" s="3">
        <v>3.1759437952378398</v>
      </c>
      <c r="T46" s="3">
        <v>3.0273563352150052</v>
      </c>
      <c r="U46" s="3">
        <v>0.57904827908493195</v>
      </c>
      <c r="V46" s="318">
        <v>38.821863629088682</v>
      </c>
      <c r="W46" s="318">
        <v>49.750840602274742</v>
      </c>
      <c r="X46" s="3">
        <v>5.0000552421196831</v>
      </c>
      <c r="Y46" s="318">
        <v>54.750895844394428</v>
      </c>
    </row>
    <row r="47" spans="1:25" x14ac:dyDescent="0.2">
      <c r="A47" s="314">
        <v>2015</v>
      </c>
      <c r="B47" s="5" t="s">
        <v>466</v>
      </c>
      <c r="C47" s="5" t="s">
        <v>181</v>
      </c>
      <c r="D47" s="5" t="s">
        <v>480</v>
      </c>
      <c r="E47" s="5" t="s">
        <v>202</v>
      </c>
      <c r="F47" s="5" t="s">
        <v>184</v>
      </c>
      <c r="G47" s="5" t="s">
        <v>203</v>
      </c>
      <c r="H47" s="3">
        <v>34.351459274384226</v>
      </c>
      <c r="I47" s="3">
        <v>4.9203872419168349</v>
      </c>
      <c r="J47" s="318">
        <v>39.271846516301061</v>
      </c>
      <c r="K47" s="3">
        <v>7.0556926688267882</v>
      </c>
      <c r="L47" s="3">
        <v>9.4958357650924246</v>
      </c>
      <c r="M47" s="318">
        <v>16.551528433919213</v>
      </c>
      <c r="N47" s="3">
        <v>6.8022659866314799</v>
      </c>
      <c r="O47" s="3">
        <v>23.173138905354399</v>
      </c>
      <c r="P47" s="3">
        <v>9.4556860475486815</v>
      </c>
      <c r="Q47" s="3">
        <v>6.5009561283836952</v>
      </c>
      <c r="R47" s="3">
        <v>16.882542777304</v>
      </c>
      <c r="S47" s="3">
        <v>19.402948356270549</v>
      </c>
      <c r="T47" s="3">
        <v>47.19580046939415</v>
      </c>
      <c r="U47" s="3">
        <v>4.9216339191779257</v>
      </c>
      <c r="V47" s="318">
        <v>134.33497259006489</v>
      </c>
      <c r="W47" s="318">
        <v>190.15834754028515</v>
      </c>
      <c r="X47" s="3">
        <v>19.11127994891261</v>
      </c>
      <c r="Y47" s="318">
        <v>209.26962748919777</v>
      </c>
    </row>
    <row r="48" spans="1:25" x14ac:dyDescent="0.2">
      <c r="A48" s="314">
        <v>2015</v>
      </c>
      <c r="B48" s="5" t="s">
        <v>466</v>
      </c>
      <c r="C48" s="5" t="s">
        <v>181</v>
      </c>
      <c r="D48" s="5" t="s">
        <v>480</v>
      </c>
      <c r="E48" s="5" t="s">
        <v>204</v>
      </c>
      <c r="F48" s="5" t="s">
        <v>184</v>
      </c>
      <c r="G48" s="5" t="s">
        <v>205</v>
      </c>
      <c r="H48" s="3">
        <v>12.84828087380232</v>
      </c>
      <c r="I48" s="3">
        <v>0</v>
      </c>
      <c r="J48" s="318">
        <v>12.84828087380232</v>
      </c>
      <c r="K48" s="3">
        <v>0.96149089350276784</v>
      </c>
      <c r="L48" s="3">
        <v>4.0067441504535672</v>
      </c>
      <c r="M48" s="318">
        <v>4.9682350439563354</v>
      </c>
      <c r="N48" s="3">
        <v>2.2432620323523538</v>
      </c>
      <c r="O48" s="3">
        <v>5.455992843907735</v>
      </c>
      <c r="P48" s="3">
        <v>2.278412219833831</v>
      </c>
      <c r="Q48" s="3">
        <v>1.8676431656811636</v>
      </c>
      <c r="R48" s="3">
        <v>7.4121121293198282</v>
      </c>
      <c r="S48" s="3">
        <v>5.318504302398348</v>
      </c>
      <c r="T48" s="3">
        <v>11.721190650240535</v>
      </c>
      <c r="U48" s="3">
        <v>2.5192893868212138</v>
      </c>
      <c r="V48" s="318">
        <v>38.816406730555009</v>
      </c>
      <c r="W48" s="318">
        <v>56.632922648313667</v>
      </c>
      <c r="X48" s="3">
        <v>5.691717734480263</v>
      </c>
      <c r="Y48" s="318">
        <v>62.32464038279393</v>
      </c>
    </row>
    <row r="49" spans="1:25" x14ac:dyDescent="0.2">
      <c r="A49" s="314">
        <v>2015</v>
      </c>
      <c r="B49" s="5" t="s">
        <v>466</v>
      </c>
      <c r="C49" s="5" t="s">
        <v>181</v>
      </c>
      <c r="D49" s="5" t="s">
        <v>479</v>
      </c>
      <c r="E49" s="5" t="s">
        <v>206</v>
      </c>
      <c r="F49" s="5" t="s">
        <v>184</v>
      </c>
      <c r="G49" s="5" t="s">
        <v>207</v>
      </c>
      <c r="H49" s="3">
        <v>3.6820038113988844</v>
      </c>
      <c r="I49" s="3">
        <v>0</v>
      </c>
      <c r="J49" s="318">
        <v>3.6820038113988844</v>
      </c>
      <c r="K49" s="3">
        <v>1.6207203540921156</v>
      </c>
      <c r="L49" s="3">
        <v>1.1976854420908478</v>
      </c>
      <c r="M49" s="318">
        <v>2.8184057961829634</v>
      </c>
      <c r="N49" s="3">
        <v>2.7622522402596328</v>
      </c>
      <c r="O49" s="3">
        <v>5.2129809511679461</v>
      </c>
      <c r="P49" s="3">
        <v>1.2220318370663623</v>
      </c>
      <c r="Q49" s="3">
        <v>0.87234519178741998</v>
      </c>
      <c r="R49" s="3">
        <v>2.7980370624923192</v>
      </c>
      <c r="S49" s="3">
        <v>3.0623499929387852</v>
      </c>
      <c r="T49" s="3">
        <v>5.0917961559727463</v>
      </c>
      <c r="U49" s="3">
        <v>1.067103283112711</v>
      </c>
      <c r="V49" s="318">
        <v>22.088896714797922</v>
      </c>
      <c r="W49" s="318">
        <v>28.58930632237977</v>
      </c>
      <c r="X49" s="3">
        <v>2.8732803147676256</v>
      </c>
      <c r="Y49" s="318">
        <v>31.462586637147396</v>
      </c>
    </row>
    <row r="50" spans="1:25" x14ac:dyDescent="0.2">
      <c r="A50" s="314">
        <v>2015</v>
      </c>
      <c r="B50" s="5" t="s">
        <v>466</v>
      </c>
      <c r="C50" s="5" t="s">
        <v>181</v>
      </c>
      <c r="D50" s="5" t="s">
        <v>479</v>
      </c>
      <c r="E50" s="5" t="s">
        <v>208</v>
      </c>
      <c r="F50" s="5" t="s">
        <v>184</v>
      </c>
      <c r="G50" s="5" t="s">
        <v>209</v>
      </c>
      <c r="H50" s="3">
        <v>101.52645128068858</v>
      </c>
      <c r="I50" s="3">
        <v>1.2866606811401198</v>
      </c>
      <c r="J50" s="318">
        <v>102.8131119618287</v>
      </c>
      <c r="K50" s="3">
        <v>292.8403188570673</v>
      </c>
      <c r="L50" s="3">
        <v>51.489952812639615</v>
      </c>
      <c r="M50" s="318">
        <v>344.33027166970692</v>
      </c>
      <c r="N50" s="3">
        <v>4.6611538187347259</v>
      </c>
      <c r="O50" s="3">
        <v>63.751791242256033</v>
      </c>
      <c r="P50" s="3">
        <v>8.4246946756022805</v>
      </c>
      <c r="Q50" s="3">
        <v>9.2007425921909576</v>
      </c>
      <c r="R50" s="3">
        <v>25.304462548306645</v>
      </c>
      <c r="S50" s="3">
        <v>48.44948810115055</v>
      </c>
      <c r="T50" s="3">
        <v>31.169299392374999</v>
      </c>
      <c r="U50" s="3">
        <v>6.0777820633623847</v>
      </c>
      <c r="V50" s="318">
        <v>197.03941443397858</v>
      </c>
      <c r="W50" s="318">
        <v>644.18279806551413</v>
      </c>
      <c r="X50" s="3">
        <v>64.741611140404686</v>
      </c>
      <c r="Y50" s="318">
        <v>708.92440920591878</v>
      </c>
    </row>
    <row r="51" spans="1:25" x14ac:dyDescent="0.2">
      <c r="A51" s="314">
        <v>2015</v>
      </c>
      <c r="B51" s="5" t="s">
        <v>466</v>
      </c>
      <c r="C51" s="5" t="s">
        <v>181</v>
      </c>
      <c r="D51" s="5" t="s">
        <v>479</v>
      </c>
      <c r="E51" s="5" t="s">
        <v>210</v>
      </c>
      <c r="F51" s="5" t="s">
        <v>184</v>
      </c>
      <c r="G51" s="5" t="s">
        <v>211</v>
      </c>
      <c r="H51" s="3">
        <v>174.71996372891772</v>
      </c>
      <c r="I51" s="3">
        <v>2.6036141259282033</v>
      </c>
      <c r="J51" s="318">
        <v>177.32357785484592</v>
      </c>
      <c r="K51" s="3">
        <v>110.76474242912003</v>
      </c>
      <c r="L51" s="3">
        <v>28.651067040046328</v>
      </c>
      <c r="M51" s="318">
        <v>139.41580946916636</v>
      </c>
      <c r="N51" s="3">
        <v>29.486019071939541</v>
      </c>
      <c r="O51" s="3">
        <v>81.968975605707797</v>
      </c>
      <c r="P51" s="3">
        <v>10.830842760310457</v>
      </c>
      <c r="Q51" s="3">
        <v>10.164993753248481</v>
      </c>
      <c r="R51" s="3">
        <v>25.375740722508255</v>
      </c>
      <c r="S51" s="3">
        <v>49.21552153444464</v>
      </c>
      <c r="T51" s="3">
        <v>83.887812410147134</v>
      </c>
      <c r="U51" s="3">
        <v>8.5095415783525699</v>
      </c>
      <c r="V51" s="318">
        <v>299.4394474366589</v>
      </c>
      <c r="W51" s="318">
        <v>616.17883476067118</v>
      </c>
      <c r="X51" s="3">
        <v>61.927158926968829</v>
      </c>
      <c r="Y51" s="318">
        <v>678.10599368763997</v>
      </c>
    </row>
    <row r="52" spans="1:25" x14ac:dyDescent="0.2">
      <c r="A52" s="314">
        <v>2015</v>
      </c>
      <c r="B52" s="5" t="s">
        <v>466</v>
      </c>
      <c r="C52" s="5" t="s">
        <v>181</v>
      </c>
      <c r="D52" s="5" t="s">
        <v>480</v>
      </c>
      <c r="E52" s="5" t="s">
        <v>212</v>
      </c>
      <c r="F52" s="5" t="s">
        <v>184</v>
      </c>
      <c r="G52" s="5" t="s">
        <v>213</v>
      </c>
      <c r="H52" s="3">
        <v>8.230741155707042</v>
      </c>
      <c r="I52" s="3">
        <v>0</v>
      </c>
      <c r="J52" s="318">
        <v>8.230741155707042</v>
      </c>
      <c r="K52" s="3">
        <v>5.122007165858502</v>
      </c>
      <c r="L52" s="3">
        <v>0.24037255819101233</v>
      </c>
      <c r="M52" s="318">
        <v>5.3623797240495144</v>
      </c>
      <c r="N52" s="3">
        <v>10.490733609389929</v>
      </c>
      <c r="O52" s="3">
        <v>12.181562382961232</v>
      </c>
      <c r="P52" s="3">
        <v>1.4130024055429475</v>
      </c>
      <c r="Q52" s="3">
        <v>1.2498530365999294</v>
      </c>
      <c r="R52" s="3">
        <v>3.7465656589496166</v>
      </c>
      <c r="S52" s="3">
        <v>5.9462365522313991</v>
      </c>
      <c r="T52" s="3">
        <v>8.6264555039416244</v>
      </c>
      <c r="U52" s="3">
        <v>1.859034486583687</v>
      </c>
      <c r="V52" s="318">
        <v>45.513443636200371</v>
      </c>
      <c r="W52" s="318">
        <v>59.106564515956926</v>
      </c>
      <c r="X52" s="3">
        <v>5.9403235035559208</v>
      </c>
      <c r="Y52" s="318">
        <v>65.046888019512849</v>
      </c>
    </row>
    <row r="53" spans="1:25" x14ac:dyDescent="0.2">
      <c r="A53" s="314">
        <v>2015</v>
      </c>
      <c r="B53" s="5" t="s">
        <v>466</v>
      </c>
      <c r="C53" s="5" t="s">
        <v>181</v>
      </c>
      <c r="D53" s="5" t="s">
        <v>478</v>
      </c>
      <c r="E53" s="5" t="s">
        <v>214</v>
      </c>
      <c r="F53" s="5" t="s">
        <v>184</v>
      </c>
      <c r="G53" s="5" t="s">
        <v>215</v>
      </c>
      <c r="H53" s="3">
        <v>10.794961437476154</v>
      </c>
      <c r="I53" s="3">
        <v>5.1386674251214899</v>
      </c>
      <c r="J53" s="318">
        <v>15.933628862597644</v>
      </c>
      <c r="K53" s="3">
        <v>4.2409915068113113</v>
      </c>
      <c r="L53" s="3">
        <v>5.2088139452347262</v>
      </c>
      <c r="M53" s="318">
        <v>9.4498054520460375</v>
      </c>
      <c r="N53" s="3">
        <v>4.3101823653889326</v>
      </c>
      <c r="O53" s="3">
        <v>34.548538293527145</v>
      </c>
      <c r="P53" s="3">
        <v>3.0101219747754269</v>
      </c>
      <c r="Q53" s="3">
        <v>2.5463284905967534</v>
      </c>
      <c r="R53" s="3">
        <v>6.143941980981487</v>
      </c>
      <c r="S53" s="3">
        <v>11.574807789158095</v>
      </c>
      <c r="T53" s="3">
        <v>20.944730457422938</v>
      </c>
      <c r="U53" s="3">
        <v>2.6474452240515407</v>
      </c>
      <c r="V53" s="318">
        <v>85.726096575902318</v>
      </c>
      <c r="W53" s="318">
        <v>111.109530890546</v>
      </c>
      <c r="X53" s="3">
        <v>11.166721720733882</v>
      </c>
      <c r="Y53" s="318">
        <v>122.27625261127989</v>
      </c>
    </row>
    <row r="54" spans="1:25" x14ac:dyDescent="0.2">
      <c r="A54" s="314">
        <v>2015</v>
      </c>
      <c r="B54" s="5" t="s">
        <v>466</v>
      </c>
      <c r="C54" s="5" t="s">
        <v>181</v>
      </c>
      <c r="D54" s="5" t="s">
        <v>478</v>
      </c>
      <c r="E54" s="5" t="s">
        <v>216</v>
      </c>
      <c r="F54" s="5" t="s">
        <v>184</v>
      </c>
      <c r="G54" s="5" t="s">
        <v>217</v>
      </c>
      <c r="H54" s="3">
        <v>46.485369739132302</v>
      </c>
      <c r="I54" s="3">
        <v>0.64665520158393264</v>
      </c>
      <c r="J54" s="318">
        <v>47.132024940716235</v>
      </c>
      <c r="K54" s="3">
        <v>75.144668618463754</v>
      </c>
      <c r="L54" s="3">
        <v>31.011096713514377</v>
      </c>
      <c r="M54" s="318">
        <v>106.15576533197813</v>
      </c>
      <c r="N54" s="3">
        <v>18.983596552770837</v>
      </c>
      <c r="O54" s="3">
        <v>104.70495264264527</v>
      </c>
      <c r="P54" s="3">
        <v>14.141333942380031</v>
      </c>
      <c r="Q54" s="3">
        <v>12.732632869450166</v>
      </c>
      <c r="R54" s="3">
        <v>29.704040299248966</v>
      </c>
      <c r="S54" s="3">
        <v>44.071530681549476</v>
      </c>
      <c r="T54" s="3">
        <v>71.990717792143073</v>
      </c>
      <c r="U54" s="3">
        <v>10.669445313379837</v>
      </c>
      <c r="V54" s="318">
        <v>306.99825009356761</v>
      </c>
      <c r="W54" s="318">
        <v>460.28604036626194</v>
      </c>
      <c r="X54" s="3">
        <v>46.2596330256494</v>
      </c>
      <c r="Y54" s="318">
        <v>506.54567339191135</v>
      </c>
    </row>
    <row r="55" spans="1:25" x14ac:dyDescent="0.2">
      <c r="A55" s="314">
        <v>2015</v>
      </c>
      <c r="B55" s="5" t="s">
        <v>466</v>
      </c>
      <c r="C55" s="5" t="s">
        <v>218</v>
      </c>
      <c r="D55" s="5" t="s">
        <v>481</v>
      </c>
      <c r="E55" s="5" t="s">
        <v>220</v>
      </c>
      <c r="F55" s="5" t="s">
        <v>221</v>
      </c>
      <c r="G55" s="5" t="s">
        <v>223</v>
      </c>
      <c r="H55" s="3">
        <v>2.6404835171951766</v>
      </c>
      <c r="I55" s="3">
        <v>0.63284285267910922</v>
      </c>
      <c r="J55" s="318">
        <v>3.2733263698742858</v>
      </c>
      <c r="K55" s="3">
        <v>0.63543300995407759</v>
      </c>
      <c r="L55" s="3">
        <v>1.0867919306043707</v>
      </c>
      <c r="M55" s="318">
        <v>1.7222249405584482</v>
      </c>
      <c r="N55" s="3">
        <v>0.89918179177465207</v>
      </c>
      <c r="O55" s="3">
        <v>1.8289276805979502</v>
      </c>
      <c r="P55" s="3">
        <v>0.53259864155030756</v>
      </c>
      <c r="Q55" s="3">
        <v>0.33163986886695612</v>
      </c>
      <c r="R55" s="3">
        <v>1.1523264206029333</v>
      </c>
      <c r="S55" s="3">
        <v>2.0345901094866843</v>
      </c>
      <c r="T55" s="3">
        <v>5.9793067752151785</v>
      </c>
      <c r="U55" s="3">
        <v>0.44290730495920561</v>
      </c>
      <c r="V55" s="318">
        <v>13.201478593053869</v>
      </c>
      <c r="W55" s="318">
        <v>18.197029903486602</v>
      </c>
      <c r="X55" s="3">
        <v>1.8288365313614674</v>
      </c>
      <c r="Y55" s="318">
        <v>20.025866434848069</v>
      </c>
    </row>
    <row r="56" spans="1:25" x14ac:dyDescent="0.2">
      <c r="A56" s="314">
        <v>2015</v>
      </c>
      <c r="B56" s="5" t="s">
        <v>466</v>
      </c>
      <c r="C56" s="5" t="s">
        <v>218</v>
      </c>
      <c r="D56" s="5" t="s">
        <v>482</v>
      </c>
      <c r="E56" s="5" t="s">
        <v>224</v>
      </c>
      <c r="F56" s="5" t="s">
        <v>221</v>
      </c>
      <c r="G56" s="5" t="s">
        <v>226</v>
      </c>
      <c r="H56" s="3">
        <v>17.456241658474212</v>
      </c>
      <c r="I56" s="3">
        <v>0</v>
      </c>
      <c r="J56" s="318">
        <v>17.456241658474212</v>
      </c>
      <c r="K56" s="3">
        <v>1.2940619212441111</v>
      </c>
      <c r="L56" s="3">
        <v>4.941121587013229</v>
      </c>
      <c r="M56" s="318">
        <v>6.2351835082573404</v>
      </c>
      <c r="N56" s="3">
        <v>1.6752241364836848</v>
      </c>
      <c r="O56" s="3">
        <v>5.736746442886913</v>
      </c>
      <c r="P56" s="3">
        <v>1.9907599592477727</v>
      </c>
      <c r="Q56" s="3">
        <v>1.8964852681919289</v>
      </c>
      <c r="R56" s="3">
        <v>4.9551983172983318</v>
      </c>
      <c r="S56" s="3">
        <v>6.6664927799548872</v>
      </c>
      <c r="T56" s="3">
        <v>13.25095287685753</v>
      </c>
      <c r="U56" s="3">
        <v>1.766913875447282</v>
      </c>
      <c r="V56" s="318">
        <v>37.938773656368326</v>
      </c>
      <c r="W56" s="318">
        <v>61.630198823099882</v>
      </c>
      <c r="X56" s="3">
        <v>6.1939536088678606</v>
      </c>
      <c r="Y56" s="318">
        <v>67.824152431967747</v>
      </c>
    </row>
    <row r="57" spans="1:25" x14ac:dyDescent="0.2">
      <c r="A57" s="314">
        <v>2015</v>
      </c>
      <c r="B57" s="5" t="s">
        <v>466</v>
      </c>
      <c r="C57" s="5" t="s">
        <v>218</v>
      </c>
      <c r="D57" s="5" t="s">
        <v>482</v>
      </c>
      <c r="E57" s="5" t="s">
        <v>227</v>
      </c>
      <c r="F57" s="5" t="s">
        <v>221</v>
      </c>
      <c r="G57" s="5" t="s">
        <v>228</v>
      </c>
      <c r="H57" s="3">
        <v>11.084227467458289</v>
      </c>
      <c r="I57" s="3">
        <v>0</v>
      </c>
      <c r="J57" s="318">
        <v>11.084227467458289</v>
      </c>
      <c r="K57" s="3">
        <v>1.1344079563794203</v>
      </c>
      <c r="L57" s="3">
        <v>3.3119839093772478</v>
      </c>
      <c r="M57" s="318">
        <v>4.4463918657566683</v>
      </c>
      <c r="N57" s="3">
        <v>1.8294716499946302</v>
      </c>
      <c r="O57" s="3">
        <v>5.9713608828974714</v>
      </c>
      <c r="P57" s="3">
        <v>1.9428344228696162</v>
      </c>
      <c r="Q57" s="3">
        <v>1.8062100661268854</v>
      </c>
      <c r="R57" s="3">
        <v>4.7869463093198661</v>
      </c>
      <c r="S57" s="3">
        <v>5.8203078824329006</v>
      </c>
      <c r="T57" s="3">
        <v>12.119292719569319</v>
      </c>
      <c r="U57" s="3">
        <v>2.1712115906605498</v>
      </c>
      <c r="V57" s="318">
        <v>36.447635523871242</v>
      </c>
      <c r="W57" s="318">
        <v>51.978254857086199</v>
      </c>
      <c r="X57" s="3">
        <v>5.2239146620617172</v>
      </c>
      <c r="Y57" s="318">
        <v>57.202169519147915</v>
      </c>
    </row>
    <row r="58" spans="1:25" x14ac:dyDescent="0.2">
      <c r="A58" s="314">
        <v>2015</v>
      </c>
      <c r="B58" s="5" t="s">
        <v>466</v>
      </c>
      <c r="C58" s="5" t="s">
        <v>218</v>
      </c>
      <c r="D58" s="5" t="s">
        <v>482</v>
      </c>
      <c r="E58" s="5" t="s">
        <v>229</v>
      </c>
      <c r="F58" s="5" t="s">
        <v>221</v>
      </c>
      <c r="G58" s="5" t="s">
        <v>230</v>
      </c>
      <c r="H58" s="3">
        <v>6.931829317148364</v>
      </c>
      <c r="I58" s="3">
        <v>12.005107679819897</v>
      </c>
      <c r="J58" s="318">
        <v>18.93693699696826</v>
      </c>
      <c r="K58" s="3">
        <v>3.7402311240058821</v>
      </c>
      <c r="L58" s="3">
        <v>1.2459467435458147</v>
      </c>
      <c r="M58" s="318">
        <v>4.9861778675516968</v>
      </c>
      <c r="N58" s="3">
        <v>5.2946474983544043</v>
      </c>
      <c r="O58" s="3">
        <v>5.6553027841956887</v>
      </c>
      <c r="P58" s="3">
        <v>2.7805733618339596</v>
      </c>
      <c r="Q58" s="3">
        <v>2.0069874239161689</v>
      </c>
      <c r="R58" s="3">
        <v>9.1505226578510186</v>
      </c>
      <c r="S58" s="3">
        <v>6.3234340909719489</v>
      </c>
      <c r="T58" s="3">
        <v>10.354083894372341</v>
      </c>
      <c r="U58" s="3">
        <v>2.8747357048289706</v>
      </c>
      <c r="V58" s="318">
        <v>44.440287416324502</v>
      </c>
      <c r="W58" s="318">
        <v>68.363402280844454</v>
      </c>
      <c r="X58" s="3">
        <v>6.8706535166139204</v>
      </c>
      <c r="Y58" s="318">
        <v>75.234055797458382</v>
      </c>
    </row>
    <row r="59" spans="1:25" x14ac:dyDescent="0.2">
      <c r="A59" s="314">
        <v>2015</v>
      </c>
      <c r="B59" s="5" t="s">
        <v>466</v>
      </c>
      <c r="C59" s="5" t="s">
        <v>218</v>
      </c>
      <c r="D59" s="5" t="s">
        <v>482</v>
      </c>
      <c r="E59" s="5" t="s">
        <v>231</v>
      </c>
      <c r="F59" s="5" t="s">
        <v>221</v>
      </c>
      <c r="G59" s="5" t="s">
        <v>232</v>
      </c>
      <c r="H59" s="3">
        <v>17.87181303753788</v>
      </c>
      <c r="I59" s="3">
        <v>1.5018384477913109</v>
      </c>
      <c r="J59" s="318">
        <v>19.373651485329191</v>
      </c>
      <c r="K59" s="3">
        <v>2.4458161715917384</v>
      </c>
      <c r="L59" s="3">
        <v>3.665742483553363</v>
      </c>
      <c r="M59" s="318">
        <v>6.1115586551451013</v>
      </c>
      <c r="N59" s="3">
        <v>1.869937111328059</v>
      </c>
      <c r="O59" s="3">
        <v>9.4233496177699276</v>
      </c>
      <c r="P59" s="3">
        <v>2.2980552705923594</v>
      </c>
      <c r="Q59" s="3">
        <v>2.1170464470848001</v>
      </c>
      <c r="R59" s="3">
        <v>5.2864855251938216</v>
      </c>
      <c r="S59" s="3">
        <v>7.4072894256314452</v>
      </c>
      <c r="T59" s="3">
        <v>15.325475173846771</v>
      </c>
      <c r="U59" s="3">
        <v>1.9158655239197702</v>
      </c>
      <c r="V59" s="318">
        <v>45.64350409536695</v>
      </c>
      <c r="W59" s="318">
        <v>71.128714235841244</v>
      </c>
      <c r="X59" s="3">
        <v>7.1485726908180744</v>
      </c>
      <c r="Y59" s="318">
        <v>78.277286926659315</v>
      </c>
    </row>
    <row r="60" spans="1:25" x14ac:dyDescent="0.2">
      <c r="A60" s="314">
        <v>2015</v>
      </c>
      <c r="B60" s="5" t="s">
        <v>466</v>
      </c>
      <c r="C60" s="5" t="s">
        <v>218</v>
      </c>
      <c r="D60" s="5" t="s">
        <v>481</v>
      </c>
      <c r="E60" s="5" t="s">
        <v>233</v>
      </c>
      <c r="F60" s="5" t="s">
        <v>221</v>
      </c>
      <c r="G60" s="5" t="s">
        <v>234</v>
      </c>
      <c r="H60" s="3">
        <v>21.495908110337176</v>
      </c>
      <c r="I60" s="3">
        <v>0.37886372138074975</v>
      </c>
      <c r="J60" s="318">
        <v>21.874771831717926</v>
      </c>
      <c r="K60" s="3">
        <v>1.3448885319887045</v>
      </c>
      <c r="L60" s="3">
        <v>8.4296836212987838</v>
      </c>
      <c r="M60" s="318">
        <v>9.7745721532874885</v>
      </c>
      <c r="N60" s="3">
        <v>12.226744698419726</v>
      </c>
      <c r="O60" s="3">
        <v>18.692284895491706</v>
      </c>
      <c r="P60" s="3">
        <v>3.5745162762863143</v>
      </c>
      <c r="Q60" s="3">
        <v>2.6075727526259453</v>
      </c>
      <c r="R60" s="3">
        <v>9.2450629923619427</v>
      </c>
      <c r="S60" s="3">
        <v>9.2107235081839693</v>
      </c>
      <c r="T60" s="3">
        <v>20.407542820854538</v>
      </c>
      <c r="U60" s="3">
        <v>2.6232878087215767</v>
      </c>
      <c r="V60" s="318">
        <v>78.587735752945719</v>
      </c>
      <c r="W60" s="318">
        <v>110.23707973795113</v>
      </c>
      <c r="X60" s="3">
        <v>11.079038700511322</v>
      </c>
      <c r="Y60" s="318">
        <v>121.31611843846245</v>
      </c>
    </row>
    <row r="61" spans="1:25" x14ac:dyDescent="0.2">
      <c r="A61" s="314">
        <v>2015</v>
      </c>
      <c r="B61" s="5" t="s">
        <v>466</v>
      </c>
      <c r="C61" s="5" t="s">
        <v>218</v>
      </c>
      <c r="D61" s="5" t="s">
        <v>481</v>
      </c>
      <c r="E61" s="5" t="s">
        <v>235</v>
      </c>
      <c r="F61" s="5" t="s">
        <v>221</v>
      </c>
      <c r="G61" s="5" t="s">
        <v>236</v>
      </c>
      <c r="H61" s="3">
        <v>84.849990444724185</v>
      </c>
      <c r="I61" s="3">
        <v>2.1182481343020356</v>
      </c>
      <c r="J61" s="318">
        <v>86.96823857902622</v>
      </c>
      <c r="K61" s="3">
        <v>5.0491846039989383</v>
      </c>
      <c r="L61" s="3">
        <v>15.847763522397909</v>
      </c>
      <c r="M61" s="318">
        <v>20.896948126396847</v>
      </c>
      <c r="N61" s="3">
        <v>6.6365342722082188</v>
      </c>
      <c r="O61" s="3">
        <v>36.342665671284941</v>
      </c>
      <c r="P61" s="3">
        <v>7.1303697218402231</v>
      </c>
      <c r="Q61" s="3">
        <v>5.6686050157370458</v>
      </c>
      <c r="R61" s="3">
        <v>13.652148077865952</v>
      </c>
      <c r="S61" s="3">
        <v>20.516972271675524</v>
      </c>
      <c r="T61" s="3">
        <v>32.965161968927944</v>
      </c>
      <c r="U61" s="3">
        <v>5.5442202114722692</v>
      </c>
      <c r="V61" s="318">
        <v>128.45667721101211</v>
      </c>
      <c r="W61" s="318">
        <v>236.32186391643518</v>
      </c>
      <c r="X61" s="3">
        <v>23.750802200871853</v>
      </c>
      <c r="Y61" s="318">
        <v>260.07266611730705</v>
      </c>
    </row>
    <row r="62" spans="1:25" x14ac:dyDescent="0.2">
      <c r="A62" s="314">
        <v>2015</v>
      </c>
      <c r="B62" s="5" t="s">
        <v>466</v>
      </c>
      <c r="C62" s="5" t="s">
        <v>218</v>
      </c>
      <c r="D62" s="5" t="s">
        <v>482</v>
      </c>
      <c r="E62" s="5" t="s">
        <v>237</v>
      </c>
      <c r="F62" s="5" t="s">
        <v>221</v>
      </c>
      <c r="G62" s="5" t="s">
        <v>238</v>
      </c>
      <c r="H62" s="3">
        <v>21.068876001746883</v>
      </c>
      <c r="I62" s="3">
        <v>0.2915957681787944</v>
      </c>
      <c r="J62" s="318">
        <v>21.360471769925677</v>
      </c>
      <c r="K62" s="3">
        <v>5.7656183593406105</v>
      </c>
      <c r="L62" s="3">
        <v>5.3927023640990406</v>
      </c>
      <c r="M62" s="318">
        <v>11.158320723439651</v>
      </c>
      <c r="N62" s="3">
        <v>2.9022221276196842</v>
      </c>
      <c r="O62" s="3">
        <v>14.413377052231436</v>
      </c>
      <c r="P62" s="3">
        <v>4.4639730195825438</v>
      </c>
      <c r="Q62" s="3">
        <v>3.0307086032291126</v>
      </c>
      <c r="R62" s="3">
        <v>11.369242590334853</v>
      </c>
      <c r="S62" s="3">
        <v>11.380386720858148</v>
      </c>
      <c r="T62" s="3">
        <v>20.902709151388652</v>
      </c>
      <c r="U62" s="3">
        <v>4.9940962382986562</v>
      </c>
      <c r="V62" s="318">
        <v>73.45671550354308</v>
      </c>
      <c r="W62" s="318">
        <v>105.97550799690842</v>
      </c>
      <c r="X62" s="3">
        <v>10.650742537742563</v>
      </c>
      <c r="Y62" s="318">
        <v>116.62625053465098</v>
      </c>
    </row>
    <row r="63" spans="1:25" x14ac:dyDescent="0.2">
      <c r="A63" s="314">
        <v>2015</v>
      </c>
      <c r="B63" s="5" t="s">
        <v>466</v>
      </c>
      <c r="C63" s="5" t="s">
        <v>218</v>
      </c>
      <c r="D63" s="5" t="s">
        <v>481</v>
      </c>
      <c r="E63" s="5" t="s">
        <v>239</v>
      </c>
      <c r="F63" s="5" t="s">
        <v>221</v>
      </c>
      <c r="G63" s="5" t="s">
        <v>240</v>
      </c>
      <c r="H63" s="3">
        <v>22.036178750637216</v>
      </c>
      <c r="I63" s="3">
        <v>6.4552403466637536</v>
      </c>
      <c r="J63" s="318">
        <v>28.49141909730097</v>
      </c>
      <c r="K63" s="3">
        <v>1.7954792578709706</v>
      </c>
      <c r="L63" s="3">
        <v>16.791961308771633</v>
      </c>
      <c r="M63" s="318">
        <v>18.587440566642602</v>
      </c>
      <c r="N63" s="3">
        <v>10.947688341668266</v>
      </c>
      <c r="O63" s="3">
        <v>26.157631902517121</v>
      </c>
      <c r="P63" s="3">
        <v>7.1640751115990433</v>
      </c>
      <c r="Q63" s="3">
        <v>6.1324279002511135</v>
      </c>
      <c r="R63" s="3">
        <v>11.740491285753929</v>
      </c>
      <c r="S63" s="3">
        <v>16.453711748340577</v>
      </c>
      <c r="T63" s="3">
        <v>32.955238146848032</v>
      </c>
      <c r="U63" s="3">
        <v>6.171081005741053</v>
      </c>
      <c r="V63" s="318">
        <v>117.72234544271915</v>
      </c>
      <c r="W63" s="318">
        <v>164.80120510666271</v>
      </c>
      <c r="X63" s="3">
        <v>16.562838326343403</v>
      </c>
      <c r="Y63" s="318">
        <v>181.36404343300612</v>
      </c>
    </row>
    <row r="64" spans="1:25" x14ac:dyDescent="0.2">
      <c r="A64" s="314">
        <v>2015</v>
      </c>
      <c r="B64" s="5" t="s">
        <v>466</v>
      </c>
      <c r="C64" s="5" t="s">
        <v>218</v>
      </c>
      <c r="D64" s="5" t="s">
        <v>482</v>
      </c>
      <c r="E64" s="5" t="s">
        <v>241</v>
      </c>
      <c r="F64" s="5" t="s">
        <v>221</v>
      </c>
      <c r="G64" s="5" t="s">
        <v>242</v>
      </c>
      <c r="H64" s="3">
        <v>5.365366101354339</v>
      </c>
      <c r="I64" s="3">
        <v>0</v>
      </c>
      <c r="J64" s="318">
        <v>5.365366101354339</v>
      </c>
      <c r="K64" s="3">
        <v>0.83153605951527276</v>
      </c>
      <c r="L64" s="3">
        <v>2.2494191650425259</v>
      </c>
      <c r="M64" s="318">
        <v>3.0809552245577985</v>
      </c>
      <c r="N64" s="3">
        <v>1.7880652478439725</v>
      </c>
      <c r="O64" s="3">
        <v>8.8332735683527588</v>
      </c>
      <c r="P64" s="3">
        <v>1.1602397729253251</v>
      </c>
      <c r="Q64" s="3">
        <v>0.74067539665110449</v>
      </c>
      <c r="R64" s="3">
        <v>3.4310989375808645</v>
      </c>
      <c r="S64" s="3">
        <v>3.8779608277365742</v>
      </c>
      <c r="T64" s="3">
        <v>7.5023914264653717</v>
      </c>
      <c r="U64" s="3">
        <v>1.0450279266379983</v>
      </c>
      <c r="V64" s="318">
        <v>28.378733104193969</v>
      </c>
      <c r="W64" s="318">
        <v>36.825054430106107</v>
      </c>
      <c r="X64" s="3">
        <v>3.7009888519547411</v>
      </c>
      <c r="Y64" s="318">
        <v>40.526043282060847</v>
      </c>
    </row>
    <row r="65" spans="1:25" x14ac:dyDescent="0.2">
      <c r="A65" s="314">
        <v>2015</v>
      </c>
      <c r="B65" s="5" t="s">
        <v>466</v>
      </c>
      <c r="C65" s="5" t="s">
        <v>218</v>
      </c>
      <c r="D65" s="5" t="s">
        <v>482</v>
      </c>
      <c r="E65" s="5" t="s">
        <v>243</v>
      </c>
      <c r="F65" s="5" t="s">
        <v>221</v>
      </c>
      <c r="G65" s="5" t="s">
        <v>244</v>
      </c>
      <c r="H65" s="3">
        <v>20.048172342543591</v>
      </c>
      <c r="I65" s="3">
        <v>0.58502107357474387</v>
      </c>
      <c r="J65" s="318">
        <v>20.633193416118335</v>
      </c>
      <c r="K65" s="3">
        <v>1.9963841462869341</v>
      </c>
      <c r="L65" s="3">
        <v>3.5367279619104628</v>
      </c>
      <c r="M65" s="318">
        <v>5.5331121081973969</v>
      </c>
      <c r="N65" s="3">
        <v>1.9019210968823859</v>
      </c>
      <c r="O65" s="3">
        <v>5.1454015669825992</v>
      </c>
      <c r="P65" s="3">
        <v>2.1501576122198474</v>
      </c>
      <c r="Q65" s="3">
        <v>1.7150578330486232</v>
      </c>
      <c r="R65" s="3">
        <v>5.6412847901578864</v>
      </c>
      <c r="S65" s="3">
        <v>6.5264237470764987</v>
      </c>
      <c r="T65" s="3">
        <v>12.401580563234244</v>
      </c>
      <c r="U65" s="3">
        <v>2.2842902889202636</v>
      </c>
      <c r="V65" s="318">
        <v>37.766117498522348</v>
      </c>
      <c r="W65" s="318">
        <v>63.93242302283808</v>
      </c>
      <c r="X65" s="3">
        <v>6.4253315722949482</v>
      </c>
      <c r="Y65" s="318">
        <v>70.357754595133031</v>
      </c>
    </row>
    <row r="66" spans="1:25" x14ac:dyDescent="0.2">
      <c r="A66" s="314">
        <v>2015</v>
      </c>
      <c r="B66" s="5" t="s">
        <v>466</v>
      </c>
      <c r="C66" s="5" t="s">
        <v>218</v>
      </c>
      <c r="D66" s="5" t="s">
        <v>482</v>
      </c>
      <c r="E66" s="5" t="s">
        <v>245</v>
      </c>
      <c r="F66" s="5" t="s">
        <v>221</v>
      </c>
      <c r="G66" s="5" t="s">
        <v>246</v>
      </c>
      <c r="H66" s="3">
        <v>16.09532595059525</v>
      </c>
      <c r="I66" s="3">
        <v>0.22592135711291661</v>
      </c>
      <c r="J66" s="318">
        <v>16.321247307708166</v>
      </c>
      <c r="K66" s="3">
        <v>1.037775368818779</v>
      </c>
      <c r="L66" s="3">
        <v>6.1410611960397796</v>
      </c>
      <c r="M66" s="318">
        <v>7.1788365648585586</v>
      </c>
      <c r="N66" s="3">
        <v>2.3557801948003991</v>
      </c>
      <c r="O66" s="3">
        <v>9.7759200270427797</v>
      </c>
      <c r="P66" s="3">
        <v>3.6026358709756279</v>
      </c>
      <c r="Q66" s="3">
        <v>2.83959325828683</v>
      </c>
      <c r="R66" s="3">
        <v>6.0372148036088831</v>
      </c>
      <c r="S66" s="3">
        <v>8.6336347646834515</v>
      </c>
      <c r="T66" s="3">
        <v>19.733041111588904</v>
      </c>
      <c r="U66" s="3">
        <v>2.895357545060806</v>
      </c>
      <c r="V66" s="318">
        <v>55.873177576047681</v>
      </c>
      <c r="W66" s="318">
        <v>79.3732614486144</v>
      </c>
      <c r="X66" s="3">
        <v>7.9771655550431113</v>
      </c>
      <c r="Y66" s="318">
        <v>87.350427003657515</v>
      </c>
    </row>
    <row r="67" spans="1:25" x14ac:dyDescent="0.2">
      <c r="A67" s="314">
        <v>2015</v>
      </c>
      <c r="B67" s="5" t="s">
        <v>466</v>
      </c>
      <c r="C67" s="5" t="s">
        <v>218</v>
      </c>
      <c r="D67" s="5" t="s">
        <v>482</v>
      </c>
      <c r="E67" s="5" t="s">
        <v>247</v>
      </c>
      <c r="F67" s="5" t="s">
        <v>221</v>
      </c>
      <c r="G67" s="5" t="s">
        <v>248</v>
      </c>
      <c r="H67" s="3">
        <v>4.1638870518186639</v>
      </c>
      <c r="I67" s="3">
        <v>0</v>
      </c>
      <c r="J67" s="318">
        <v>4.1638870518186639</v>
      </c>
      <c r="K67" s="3">
        <v>0.69079155629151867</v>
      </c>
      <c r="L67" s="3">
        <v>1.7683445044574917</v>
      </c>
      <c r="M67" s="318">
        <v>2.4591360607490103</v>
      </c>
      <c r="N67" s="3">
        <v>3.2255098780962994</v>
      </c>
      <c r="O67" s="3">
        <v>5.4107388416892386</v>
      </c>
      <c r="P67" s="3">
        <v>1.046342021027481</v>
      </c>
      <c r="Q67" s="3">
        <v>0.47664714350326565</v>
      </c>
      <c r="R67" s="3">
        <v>2.7295563204784807</v>
      </c>
      <c r="S67" s="3">
        <v>2.9937377234732434</v>
      </c>
      <c r="T67" s="3">
        <v>5.1769577899442263</v>
      </c>
      <c r="U67" s="3">
        <v>0.74363591499710413</v>
      </c>
      <c r="V67" s="318">
        <v>21.803125633209341</v>
      </c>
      <c r="W67" s="318">
        <v>28.426148745777013</v>
      </c>
      <c r="X67" s="3">
        <v>2.856882664267725</v>
      </c>
      <c r="Y67" s="318">
        <v>31.283031410044739</v>
      </c>
    </row>
    <row r="68" spans="1:25" x14ac:dyDescent="0.2">
      <c r="A68" s="314">
        <v>2015</v>
      </c>
      <c r="B68" s="5" t="s">
        <v>466</v>
      </c>
      <c r="C68" s="5" t="s">
        <v>218</v>
      </c>
      <c r="D68" s="5" t="s">
        <v>481</v>
      </c>
      <c r="E68" s="5" t="s">
        <v>249</v>
      </c>
      <c r="F68" s="5" t="s">
        <v>221</v>
      </c>
      <c r="G68" s="5" t="s">
        <v>250</v>
      </c>
      <c r="H68" s="3">
        <v>12.011549362367651</v>
      </c>
      <c r="I68" s="3">
        <v>0</v>
      </c>
      <c r="J68" s="318">
        <v>12.011549362367651</v>
      </c>
      <c r="K68" s="3">
        <v>2.6454844165755209</v>
      </c>
      <c r="L68" s="3">
        <v>2.5342813623396974</v>
      </c>
      <c r="M68" s="318">
        <v>5.1797657789152183</v>
      </c>
      <c r="N68" s="3">
        <v>1.6581780744688805</v>
      </c>
      <c r="O68" s="3">
        <v>6.057832011599233</v>
      </c>
      <c r="P68" s="3">
        <v>2.3249533730379208</v>
      </c>
      <c r="Q68" s="3">
        <v>1.8743429146656738</v>
      </c>
      <c r="R68" s="3">
        <v>4.9961312107902751</v>
      </c>
      <c r="S68" s="3">
        <v>7.108275309533143</v>
      </c>
      <c r="T68" s="3">
        <v>17.103931245907969</v>
      </c>
      <c r="U68" s="3">
        <v>1.6455875021163437</v>
      </c>
      <c r="V68" s="318">
        <v>42.769231642119436</v>
      </c>
      <c r="W68" s="318">
        <v>59.960546783402307</v>
      </c>
      <c r="X68" s="3">
        <v>6.0261503651612394</v>
      </c>
      <c r="Y68" s="318">
        <v>65.98669714856355</v>
      </c>
    </row>
    <row r="69" spans="1:25" x14ac:dyDescent="0.2">
      <c r="A69" s="314">
        <v>2015</v>
      </c>
      <c r="B69" s="5" t="s">
        <v>466</v>
      </c>
      <c r="C69" s="5" t="s">
        <v>218</v>
      </c>
      <c r="D69" s="5" t="s">
        <v>482</v>
      </c>
      <c r="E69" s="5" t="s">
        <v>251</v>
      </c>
      <c r="F69" s="5" t="s">
        <v>221</v>
      </c>
      <c r="G69" s="5" t="s">
        <v>252</v>
      </c>
      <c r="H69" s="3">
        <v>12.573535371582073</v>
      </c>
      <c r="I69" s="3">
        <v>0.96534874266294324</v>
      </c>
      <c r="J69" s="318">
        <v>13.538884114245016</v>
      </c>
      <c r="K69" s="3">
        <v>1.5472208736486492</v>
      </c>
      <c r="L69" s="3">
        <v>4.8831158601058622</v>
      </c>
      <c r="M69" s="318">
        <v>6.4303367337545119</v>
      </c>
      <c r="N69" s="3">
        <v>1.8272847485409534</v>
      </c>
      <c r="O69" s="3">
        <v>6.0650171029749727</v>
      </c>
      <c r="P69" s="3">
        <v>3.1675766292020144</v>
      </c>
      <c r="Q69" s="3">
        <v>2.5168574158349339</v>
      </c>
      <c r="R69" s="3">
        <v>7.2398388835074998</v>
      </c>
      <c r="S69" s="3">
        <v>7.9394161429673042</v>
      </c>
      <c r="T69" s="3">
        <v>20.681865318757428</v>
      </c>
      <c r="U69" s="3">
        <v>2.2370604869445661</v>
      </c>
      <c r="V69" s="318">
        <v>51.67491672872967</v>
      </c>
      <c r="W69" s="318">
        <v>71.644137576729207</v>
      </c>
      <c r="X69" s="3">
        <v>7.2003737287392759</v>
      </c>
      <c r="Y69" s="318">
        <v>78.844511305468487</v>
      </c>
    </row>
    <row r="70" spans="1:25" x14ac:dyDescent="0.2">
      <c r="A70" s="314">
        <v>2015</v>
      </c>
      <c r="B70" s="5" t="s">
        <v>466</v>
      </c>
      <c r="C70" s="5" t="s">
        <v>218</v>
      </c>
      <c r="D70" s="5" t="s">
        <v>482</v>
      </c>
      <c r="E70" s="5" t="s">
        <v>253</v>
      </c>
      <c r="F70" s="5" t="s">
        <v>221</v>
      </c>
      <c r="G70" s="5" t="s">
        <v>254</v>
      </c>
      <c r="H70" s="3">
        <v>11.339180440574477</v>
      </c>
      <c r="I70" s="3">
        <v>0</v>
      </c>
      <c r="J70" s="318">
        <v>11.339180440574477</v>
      </c>
      <c r="K70" s="3">
        <v>2.8830945878946359</v>
      </c>
      <c r="L70" s="3">
        <v>11.525002895840954</v>
      </c>
      <c r="M70" s="318">
        <v>14.40809748373559</v>
      </c>
      <c r="N70" s="3">
        <v>9.9495742257274955</v>
      </c>
      <c r="O70" s="3">
        <v>49.642359360604765</v>
      </c>
      <c r="P70" s="3">
        <v>5.962448351624646</v>
      </c>
      <c r="Q70" s="3">
        <v>3.8370355605328923</v>
      </c>
      <c r="R70" s="3">
        <v>28.463437647177827</v>
      </c>
      <c r="S70" s="3">
        <v>17.365906755820959</v>
      </c>
      <c r="T70" s="3">
        <v>21.155335952386618</v>
      </c>
      <c r="U70" s="3">
        <v>3.7192607659577797</v>
      </c>
      <c r="V70" s="318">
        <v>140.09535861983298</v>
      </c>
      <c r="W70" s="318">
        <v>165.84263654414303</v>
      </c>
      <c r="X70" s="3">
        <v>16.667504190623117</v>
      </c>
      <c r="Y70" s="318">
        <v>182.51014073476614</v>
      </c>
    </row>
    <row r="71" spans="1:25" x14ac:dyDescent="0.2">
      <c r="A71" s="314">
        <v>2015</v>
      </c>
      <c r="B71" s="5" t="s">
        <v>466</v>
      </c>
      <c r="C71" s="5" t="s">
        <v>218</v>
      </c>
      <c r="D71" s="5" t="s">
        <v>482</v>
      </c>
      <c r="E71" s="5" t="s">
        <v>255</v>
      </c>
      <c r="F71" s="5" t="s">
        <v>221</v>
      </c>
      <c r="G71" s="5" t="s">
        <v>256</v>
      </c>
      <c r="H71" s="3">
        <v>43.546067849286878</v>
      </c>
      <c r="I71" s="3">
        <v>0.63166191440162578</v>
      </c>
      <c r="J71" s="318">
        <v>44.177729763688504</v>
      </c>
      <c r="K71" s="3">
        <v>7.8876727243470173</v>
      </c>
      <c r="L71" s="3">
        <v>17.535985000543985</v>
      </c>
      <c r="M71" s="318">
        <v>25.423657724891001</v>
      </c>
      <c r="N71" s="3">
        <v>4.9732340729084701</v>
      </c>
      <c r="O71" s="3">
        <v>76.469794867600726</v>
      </c>
      <c r="P71" s="3">
        <v>9.237820281176532</v>
      </c>
      <c r="Q71" s="3">
        <v>6.7752145689349517</v>
      </c>
      <c r="R71" s="3">
        <v>24.238250217581736</v>
      </c>
      <c r="S71" s="3">
        <v>27.510472556292246</v>
      </c>
      <c r="T71" s="3">
        <v>52.98903411845977</v>
      </c>
      <c r="U71" s="3">
        <v>7.5551550814299331</v>
      </c>
      <c r="V71" s="318">
        <v>209.74897576438437</v>
      </c>
      <c r="W71" s="318">
        <v>279.35036325296386</v>
      </c>
      <c r="X71" s="3">
        <v>28.07524920699678</v>
      </c>
      <c r="Y71" s="318">
        <v>307.42561245996063</v>
      </c>
    </row>
    <row r="72" spans="1:25" x14ac:dyDescent="0.2">
      <c r="A72" s="314">
        <v>2015</v>
      </c>
      <c r="B72" s="5" t="s">
        <v>466</v>
      </c>
      <c r="C72" s="5" t="s">
        <v>218</v>
      </c>
      <c r="D72" s="5" t="s">
        <v>482</v>
      </c>
      <c r="E72" s="5" t="s">
        <v>257</v>
      </c>
      <c r="F72" s="5" t="s">
        <v>221</v>
      </c>
      <c r="G72" s="5" t="s">
        <v>258</v>
      </c>
      <c r="H72" s="3">
        <v>15.681870987404547</v>
      </c>
      <c r="I72" s="3">
        <v>0.32971255382841491</v>
      </c>
      <c r="J72" s="318">
        <v>16.011583541232962</v>
      </c>
      <c r="K72" s="3">
        <v>3.9453191720390075</v>
      </c>
      <c r="L72" s="3">
        <v>9.1278449323353037</v>
      </c>
      <c r="M72" s="318">
        <v>13.07316410437431</v>
      </c>
      <c r="N72" s="3">
        <v>7.4046286545213071</v>
      </c>
      <c r="O72" s="3">
        <v>36.949546004097911</v>
      </c>
      <c r="P72" s="3">
        <v>5.8430781099541296</v>
      </c>
      <c r="Q72" s="3">
        <v>3.7415294118290365</v>
      </c>
      <c r="R72" s="3">
        <v>18.901058254566482</v>
      </c>
      <c r="S72" s="3">
        <v>16.137160089239135</v>
      </c>
      <c r="T72" s="3">
        <v>23.847781688791038</v>
      </c>
      <c r="U72" s="3">
        <v>4.1657280696546799</v>
      </c>
      <c r="V72" s="318">
        <v>116.9905102826537</v>
      </c>
      <c r="W72" s="318">
        <v>146.07525792826098</v>
      </c>
      <c r="X72" s="3">
        <v>14.680844590924616</v>
      </c>
      <c r="Y72" s="318">
        <v>160.75610251918559</v>
      </c>
    </row>
    <row r="73" spans="1:25" x14ac:dyDescent="0.2">
      <c r="A73" s="314">
        <v>2015</v>
      </c>
      <c r="B73" s="5" t="s">
        <v>466</v>
      </c>
      <c r="C73" s="5" t="s">
        <v>218</v>
      </c>
      <c r="D73" s="5" t="s">
        <v>481</v>
      </c>
      <c r="E73" s="5" t="s">
        <v>259</v>
      </c>
      <c r="F73" s="5" t="s">
        <v>221</v>
      </c>
      <c r="G73" s="5" t="s">
        <v>260</v>
      </c>
      <c r="H73" s="3">
        <v>13.12121909245594</v>
      </c>
      <c r="I73" s="3">
        <v>0.55509498845649397</v>
      </c>
      <c r="J73" s="318">
        <v>13.676314080912434</v>
      </c>
      <c r="K73" s="3">
        <v>1.8708898750720784</v>
      </c>
      <c r="L73" s="3">
        <v>3.5355204063786503</v>
      </c>
      <c r="M73" s="318">
        <v>5.4064102814507287</v>
      </c>
      <c r="N73" s="3">
        <v>1.9566499646606885</v>
      </c>
      <c r="O73" s="3">
        <v>7.2840762632754883</v>
      </c>
      <c r="P73" s="3">
        <v>1.9782998296223473</v>
      </c>
      <c r="Q73" s="3">
        <v>1.4229200632048518</v>
      </c>
      <c r="R73" s="3">
        <v>4.2145921923107394</v>
      </c>
      <c r="S73" s="3">
        <v>5.7018707016184509</v>
      </c>
      <c r="T73" s="3">
        <v>11.983354730561569</v>
      </c>
      <c r="U73" s="3">
        <v>1.5421336461217596</v>
      </c>
      <c r="V73" s="318">
        <v>36.083897391375899</v>
      </c>
      <c r="W73" s="318">
        <v>55.166621753739065</v>
      </c>
      <c r="X73" s="3">
        <v>5.544351672187215</v>
      </c>
      <c r="Y73" s="318">
        <v>60.710973425926284</v>
      </c>
    </row>
    <row r="74" spans="1:25" x14ac:dyDescent="0.2">
      <c r="A74" s="314">
        <v>2015</v>
      </c>
      <c r="B74" s="5" t="s">
        <v>466</v>
      </c>
      <c r="C74" s="5" t="s">
        <v>261</v>
      </c>
      <c r="D74" s="5" t="s">
        <v>483</v>
      </c>
      <c r="E74" s="5" t="s">
        <v>263</v>
      </c>
      <c r="F74" s="5" t="s">
        <v>264</v>
      </c>
      <c r="G74" s="5" t="s">
        <v>265</v>
      </c>
      <c r="H74" s="3">
        <v>45.647128925454886</v>
      </c>
      <c r="I74" s="3">
        <v>2.9305999740621758</v>
      </c>
      <c r="J74" s="318">
        <v>48.577728899517062</v>
      </c>
      <c r="K74" s="3">
        <v>3.2551089417382659</v>
      </c>
      <c r="L74" s="3">
        <v>12.210458397939684</v>
      </c>
      <c r="M74" s="318">
        <v>15.46556733967795</v>
      </c>
      <c r="N74" s="3">
        <v>51.265984920291118</v>
      </c>
      <c r="O74" s="3">
        <v>7.9478251757077265</v>
      </c>
      <c r="P74" s="3">
        <v>2.9457788211475262</v>
      </c>
      <c r="Q74" s="3">
        <v>2.1675295740260045</v>
      </c>
      <c r="R74" s="3">
        <v>9.613322042452765</v>
      </c>
      <c r="S74" s="3">
        <v>19.656987661283669</v>
      </c>
      <c r="T74" s="3">
        <v>13.280864837552921</v>
      </c>
      <c r="U74" s="3">
        <v>2.0285784656823882</v>
      </c>
      <c r="V74" s="318">
        <v>108.90687149814411</v>
      </c>
      <c r="W74" s="318">
        <v>172.95016773733911</v>
      </c>
      <c r="X74" s="3">
        <v>17.381824755872081</v>
      </c>
      <c r="Y74" s="318">
        <v>190.3319924932112</v>
      </c>
    </row>
    <row r="75" spans="1:25" x14ac:dyDescent="0.2">
      <c r="A75" s="314">
        <v>2015</v>
      </c>
      <c r="B75" s="5" t="s">
        <v>466</v>
      </c>
      <c r="C75" s="5" t="s">
        <v>261</v>
      </c>
      <c r="D75" s="5" t="s">
        <v>484</v>
      </c>
      <c r="E75" s="5" t="s">
        <v>266</v>
      </c>
      <c r="F75" s="5" t="s">
        <v>264</v>
      </c>
      <c r="G75" s="5" t="s">
        <v>268</v>
      </c>
      <c r="H75" s="3">
        <v>6.3310005934448945</v>
      </c>
      <c r="I75" s="3">
        <v>0</v>
      </c>
      <c r="J75" s="318">
        <v>6.3310005934448945</v>
      </c>
      <c r="K75" s="3">
        <v>1.1983371915351602</v>
      </c>
      <c r="L75" s="3">
        <v>2.9584595836427998</v>
      </c>
      <c r="M75" s="318">
        <v>4.15679677517796</v>
      </c>
      <c r="N75" s="3">
        <v>3.2310905139137294</v>
      </c>
      <c r="O75" s="3">
        <v>4.8081867151365438</v>
      </c>
      <c r="P75" s="3">
        <v>1.7080519090371449</v>
      </c>
      <c r="Q75" s="3">
        <v>1.1757507634888675</v>
      </c>
      <c r="R75" s="3">
        <v>6.5614446387447378</v>
      </c>
      <c r="S75" s="3">
        <v>4.6899091677900859</v>
      </c>
      <c r="T75" s="3">
        <v>8.7350426366109133</v>
      </c>
      <c r="U75" s="3">
        <v>1.2420529094193484</v>
      </c>
      <c r="V75" s="318">
        <v>32.151529254141373</v>
      </c>
      <c r="W75" s="318">
        <v>42.63932662276423</v>
      </c>
      <c r="X75" s="3">
        <v>4.2853343987565466</v>
      </c>
      <c r="Y75" s="318">
        <v>46.924661021520777</v>
      </c>
    </row>
    <row r="76" spans="1:25" x14ac:dyDescent="0.2">
      <c r="A76" s="314">
        <v>2015</v>
      </c>
      <c r="B76" s="5" t="s">
        <v>466</v>
      </c>
      <c r="C76" s="5" t="s">
        <v>261</v>
      </c>
      <c r="D76" s="5" t="s">
        <v>483</v>
      </c>
      <c r="E76" s="5" t="s">
        <v>269</v>
      </c>
      <c r="F76" s="5" t="s">
        <v>264</v>
      </c>
      <c r="G76" s="5" t="s">
        <v>271</v>
      </c>
      <c r="H76" s="3">
        <v>10.156531107780969</v>
      </c>
      <c r="I76" s="3">
        <v>0</v>
      </c>
      <c r="J76" s="318">
        <v>10.156531107780969</v>
      </c>
      <c r="K76" s="3">
        <v>1.4005781769381629</v>
      </c>
      <c r="L76" s="3">
        <v>3.4841695945310667</v>
      </c>
      <c r="M76" s="318">
        <v>4.8847477714692298</v>
      </c>
      <c r="N76" s="3">
        <v>2.3169688203207879</v>
      </c>
      <c r="O76" s="3">
        <v>3.6481612143136926</v>
      </c>
      <c r="P76" s="3">
        <v>2.1429531018255878</v>
      </c>
      <c r="Q76" s="3">
        <v>1.7812714732032111</v>
      </c>
      <c r="R76" s="3">
        <v>8.0504802619753733</v>
      </c>
      <c r="S76" s="3">
        <v>5.5449011759827371</v>
      </c>
      <c r="T76" s="3">
        <v>14.138672801830166</v>
      </c>
      <c r="U76" s="3">
        <v>1.6433411592590481</v>
      </c>
      <c r="V76" s="318">
        <v>39.266750008710602</v>
      </c>
      <c r="W76" s="318">
        <v>54.308028887960802</v>
      </c>
      <c r="X76" s="3">
        <v>5.4580614365798006</v>
      </c>
      <c r="Y76" s="318">
        <v>59.766090324540599</v>
      </c>
    </row>
    <row r="77" spans="1:25" x14ac:dyDescent="0.2">
      <c r="A77" s="314">
        <v>2015</v>
      </c>
      <c r="B77" s="5" t="s">
        <v>466</v>
      </c>
      <c r="C77" s="5" t="s">
        <v>261</v>
      </c>
      <c r="D77" s="5" t="s">
        <v>485</v>
      </c>
      <c r="E77" s="5" t="s">
        <v>272</v>
      </c>
      <c r="F77" s="5" t="s">
        <v>264</v>
      </c>
      <c r="G77" s="5" t="s">
        <v>273</v>
      </c>
      <c r="H77" s="3">
        <v>14.018742710577801</v>
      </c>
      <c r="I77" s="3">
        <v>0</v>
      </c>
      <c r="J77" s="318">
        <v>14.018742710577801</v>
      </c>
      <c r="K77" s="3">
        <v>7.9331494432240737</v>
      </c>
      <c r="L77" s="3">
        <v>11.012820085350747</v>
      </c>
      <c r="M77" s="318">
        <v>18.945969528574821</v>
      </c>
      <c r="N77" s="3">
        <v>14.818688498734645</v>
      </c>
      <c r="O77" s="3">
        <v>20.129599873768132</v>
      </c>
      <c r="P77" s="3">
        <v>3.6943453114407707</v>
      </c>
      <c r="Q77" s="3">
        <v>2.9410793480398834</v>
      </c>
      <c r="R77" s="3">
        <v>18.120061554564678</v>
      </c>
      <c r="S77" s="3">
        <v>11.242072654171311</v>
      </c>
      <c r="T77" s="3">
        <v>19.900386669400376</v>
      </c>
      <c r="U77" s="3">
        <v>3.3429279843734836</v>
      </c>
      <c r="V77" s="318">
        <v>94.189161894493282</v>
      </c>
      <c r="W77" s="318">
        <v>127.1538741336459</v>
      </c>
      <c r="X77" s="3">
        <v>12.779209099150233</v>
      </c>
      <c r="Y77" s="318">
        <v>139.93308323279612</v>
      </c>
    </row>
    <row r="78" spans="1:25" x14ac:dyDescent="0.2">
      <c r="A78" s="314">
        <v>2015</v>
      </c>
      <c r="B78" s="5" t="s">
        <v>466</v>
      </c>
      <c r="C78" s="5" t="s">
        <v>261</v>
      </c>
      <c r="D78" s="5" t="s">
        <v>484</v>
      </c>
      <c r="E78" s="5" t="s">
        <v>274</v>
      </c>
      <c r="F78" s="5" t="s">
        <v>264</v>
      </c>
      <c r="G78" s="5" t="s">
        <v>275</v>
      </c>
      <c r="H78" s="3">
        <v>12.006529549444631</v>
      </c>
      <c r="I78" s="3">
        <v>8.3290711521081295</v>
      </c>
      <c r="J78" s="318">
        <v>20.33560070155276</v>
      </c>
      <c r="K78" s="3">
        <v>1.8022049592837599</v>
      </c>
      <c r="L78" s="3">
        <v>3.5347761744674697</v>
      </c>
      <c r="M78" s="318">
        <v>5.3369811337512294</v>
      </c>
      <c r="N78" s="3">
        <v>10.567447512282628</v>
      </c>
      <c r="O78" s="3">
        <v>2.4206202089033306</v>
      </c>
      <c r="P78" s="3">
        <v>0.89777762814394946</v>
      </c>
      <c r="Q78" s="3">
        <v>0.67055612010622068</v>
      </c>
      <c r="R78" s="3">
        <v>5.0770784777821119</v>
      </c>
      <c r="S78" s="3">
        <v>3.5381772424297373</v>
      </c>
      <c r="T78" s="3">
        <v>5.043440150510123</v>
      </c>
      <c r="U78" s="3">
        <v>0.73407852306007837</v>
      </c>
      <c r="V78" s="318">
        <v>28.949175863218176</v>
      </c>
      <c r="W78" s="318">
        <v>54.62175769852216</v>
      </c>
      <c r="X78" s="3">
        <v>5.4895917857956924</v>
      </c>
      <c r="Y78" s="318">
        <v>60.111349484317856</v>
      </c>
    </row>
    <row r="79" spans="1:25" x14ac:dyDescent="0.2">
      <c r="A79" s="314">
        <v>2015</v>
      </c>
      <c r="B79" s="5" t="s">
        <v>466</v>
      </c>
      <c r="C79" s="5" t="s">
        <v>261</v>
      </c>
      <c r="D79" s="5" t="s">
        <v>486</v>
      </c>
      <c r="E79" s="5" t="s">
        <v>276</v>
      </c>
      <c r="F79" s="5" t="s">
        <v>264</v>
      </c>
      <c r="G79" s="5" t="s">
        <v>277</v>
      </c>
      <c r="H79" s="3">
        <v>74.403700619504107</v>
      </c>
      <c r="I79" s="3">
        <v>0</v>
      </c>
      <c r="J79" s="318">
        <v>74.403700619504107</v>
      </c>
      <c r="K79" s="3">
        <v>24.591083924920447</v>
      </c>
      <c r="L79" s="3">
        <v>18.994442748821079</v>
      </c>
      <c r="M79" s="318">
        <v>43.585526673741526</v>
      </c>
      <c r="N79" s="3">
        <v>5.5912970344296706</v>
      </c>
      <c r="O79" s="3">
        <v>104.70197491536337</v>
      </c>
      <c r="P79" s="3">
        <v>20.485640794971864</v>
      </c>
      <c r="Q79" s="3">
        <v>16.633491342075708</v>
      </c>
      <c r="R79" s="3">
        <v>71.323266162246924</v>
      </c>
      <c r="S79" s="3">
        <v>48.763029266967443</v>
      </c>
      <c r="T79" s="3">
        <v>63.806918429076987</v>
      </c>
      <c r="U79" s="3">
        <v>17.642147292143612</v>
      </c>
      <c r="V79" s="318">
        <v>348.94776523727558</v>
      </c>
      <c r="W79" s="318">
        <v>466.9369925305212</v>
      </c>
      <c r="X79" s="3">
        <v>46.928066520478133</v>
      </c>
      <c r="Y79" s="318">
        <v>513.86505905099932</v>
      </c>
    </row>
    <row r="80" spans="1:25" x14ac:dyDescent="0.2">
      <c r="A80" s="314">
        <v>2015</v>
      </c>
      <c r="B80" s="5" t="s">
        <v>466</v>
      </c>
      <c r="C80" s="5" t="s">
        <v>261</v>
      </c>
      <c r="D80" s="5" t="s">
        <v>484</v>
      </c>
      <c r="E80" s="5" t="s">
        <v>278</v>
      </c>
      <c r="F80" s="5" t="s">
        <v>264</v>
      </c>
      <c r="G80" s="5" t="s">
        <v>279</v>
      </c>
      <c r="H80" s="3">
        <v>130.20887092419548</v>
      </c>
      <c r="I80" s="3">
        <v>0</v>
      </c>
      <c r="J80" s="318">
        <v>130.20887092419548</v>
      </c>
      <c r="K80" s="3">
        <v>4.2708026338997884</v>
      </c>
      <c r="L80" s="3">
        <v>21.637647286750315</v>
      </c>
      <c r="M80" s="318">
        <v>25.908449920650103</v>
      </c>
      <c r="N80" s="3">
        <v>9.7782636310689028</v>
      </c>
      <c r="O80" s="3">
        <v>24.42377603552486</v>
      </c>
      <c r="P80" s="3">
        <v>6.2607139652902841</v>
      </c>
      <c r="Q80" s="3">
        <v>4.2285235060195312</v>
      </c>
      <c r="R80" s="3">
        <v>26.407532041382918</v>
      </c>
      <c r="S80" s="3">
        <v>15.530851460646206</v>
      </c>
      <c r="T80" s="3">
        <v>24.105262231149268</v>
      </c>
      <c r="U80" s="3">
        <v>7.9535781834421329</v>
      </c>
      <c r="V80" s="318">
        <v>118.68850105452411</v>
      </c>
      <c r="W80" s="318">
        <v>274.80582189936968</v>
      </c>
      <c r="X80" s="3">
        <v>27.618514052541379</v>
      </c>
      <c r="Y80" s="318">
        <v>302.42433595191108</v>
      </c>
    </row>
    <row r="81" spans="1:25" x14ac:dyDescent="0.2">
      <c r="A81" s="314">
        <v>2015</v>
      </c>
      <c r="B81" s="5" t="s">
        <v>466</v>
      </c>
      <c r="C81" s="5" t="s">
        <v>261</v>
      </c>
      <c r="D81" s="5" t="s">
        <v>486</v>
      </c>
      <c r="E81" s="5" t="s">
        <v>280</v>
      </c>
      <c r="F81" s="5" t="s">
        <v>264</v>
      </c>
      <c r="G81" s="5" t="s">
        <v>281</v>
      </c>
      <c r="H81" s="3">
        <v>28.440520942876475</v>
      </c>
      <c r="I81" s="3">
        <v>0.43183193919151819</v>
      </c>
      <c r="J81" s="318">
        <v>28.872352882067993</v>
      </c>
      <c r="K81" s="3">
        <v>23.658877298348671</v>
      </c>
      <c r="L81" s="3">
        <v>15.921212533258185</v>
      </c>
      <c r="M81" s="318">
        <v>39.580089831606855</v>
      </c>
      <c r="N81" s="3">
        <v>43.229043104141489</v>
      </c>
      <c r="O81" s="3">
        <v>56.322152727500658</v>
      </c>
      <c r="P81" s="3">
        <v>17.151831315507035</v>
      </c>
      <c r="Q81" s="3">
        <v>7.9979863308005319</v>
      </c>
      <c r="R81" s="3">
        <v>56.046342473564856</v>
      </c>
      <c r="S81" s="3">
        <v>33.519179611162897</v>
      </c>
      <c r="T81" s="3">
        <v>36.366558916132384</v>
      </c>
      <c r="U81" s="3">
        <v>9.4938075918202873</v>
      </c>
      <c r="V81" s="318">
        <v>260.12690207063014</v>
      </c>
      <c r="W81" s="318">
        <v>328.57934478430502</v>
      </c>
      <c r="X81" s="3">
        <v>33.022856608134795</v>
      </c>
      <c r="Y81" s="318">
        <v>361.60220139243984</v>
      </c>
    </row>
    <row r="82" spans="1:25" x14ac:dyDescent="0.2">
      <c r="A82" s="314">
        <v>2015</v>
      </c>
      <c r="B82" s="5" t="s">
        <v>466</v>
      </c>
      <c r="C82" s="5" t="s">
        <v>261</v>
      </c>
      <c r="D82" s="5" t="s">
        <v>486</v>
      </c>
      <c r="E82" s="5" t="s">
        <v>282</v>
      </c>
      <c r="F82" s="5" t="s">
        <v>264</v>
      </c>
      <c r="G82" s="5" t="s">
        <v>284</v>
      </c>
      <c r="H82" s="3">
        <v>82.221824324528896</v>
      </c>
      <c r="I82" s="3">
        <v>0</v>
      </c>
      <c r="J82" s="318">
        <v>82.221824324528896</v>
      </c>
      <c r="K82" s="3">
        <v>24.158222688462253</v>
      </c>
      <c r="L82" s="3">
        <v>14.605533287822567</v>
      </c>
      <c r="M82" s="318">
        <v>38.76375597628482</v>
      </c>
      <c r="N82" s="3">
        <v>3.3524052050579969</v>
      </c>
      <c r="O82" s="3">
        <v>68.746114115767782</v>
      </c>
      <c r="P82" s="3">
        <v>11.223156618628522</v>
      </c>
      <c r="Q82" s="3">
        <v>10.34608936225194</v>
      </c>
      <c r="R82" s="3">
        <v>40.967004964940749</v>
      </c>
      <c r="S82" s="3">
        <v>24.809262274345258</v>
      </c>
      <c r="T82" s="3">
        <v>32.748678517789543</v>
      </c>
      <c r="U82" s="3">
        <v>8.1844009954507673</v>
      </c>
      <c r="V82" s="318">
        <v>200.37711205423258</v>
      </c>
      <c r="W82" s="318">
        <v>321.36269235504631</v>
      </c>
      <c r="X82" s="3">
        <v>32.297569147606232</v>
      </c>
      <c r="Y82" s="318">
        <v>353.66026150265253</v>
      </c>
    </row>
    <row r="83" spans="1:25" x14ac:dyDescent="0.2">
      <c r="A83" s="314">
        <v>2015</v>
      </c>
      <c r="B83" s="5" t="s">
        <v>466</v>
      </c>
      <c r="C83" s="5" t="s">
        <v>261</v>
      </c>
      <c r="D83" s="5" t="s">
        <v>484</v>
      </c>
      <c r="E83" s="5" t="s">
        <v>285</v>
      </c>
      <c r="F83" s="5" t="s">
        <v>264</v>
      </c>
      <c r="G83" s="5" t="s">
        <v>286</v>
      </c>
      <c r="H83" s="3">
        <v>5.3857696895358558</v>
      </c>
      <c r="I83" s="3">
        <v>0</v>
      </c>
      <c r="J83" s="318">
        <v>5.3857696895358558</v>
      </c>
      <c r="K83" s="3">
        <v>1.1732071962538955</v>
      </c>
      <c r="L83" s="3">
        <v>4.6827657526380007</v>
      </c>
      <c r="M83" s="318">
        <v>5.8559729488918961</v>
      </c>
      <c r="N83" s="3">
        <v>2.2721226114916737</v>
      </c>
      <c r="O83" s="3">
        <v>7.4373511427302068</v>
      </c>
      <c r="P83" s="3">
        <v>2.525608407069678</v>
      </c>
      <c r="Q83" s="3">
        <v>2.3130024360407213</v>
      </c>
      <c r="R83" s="3">
        <v>17.256127490069201</v>
      </c>
      <c r="S83" s="3">
        <v>8.6769869283030374</v>
      </c>
      <c r="T83" s="3">
        <v>13.101941897969612</v>
      </c>
      <c r="U83" s="3">
        <v>2.0051370888480169</v>
      </c>
      <c r="V83" s="318">
        <v>55.588278002522145</v>
      </c>
      <c r="W83" s="318">
        <v>66.830020640949897</v>
      </c>
      <c r="X83" s="3">
        <v>6.7165457104534534</v>
      </c>
      <c r="Y83" s="318">
        <v>73.546566351403357</v>
      </c>
    </row>
    <row r="84" spans="1:25" x14ac:dyDescent="0.2">
      <c r="A84" s="314">
        <v>2015</v>
      </c>
      <c r="B84" s="5" t="s">
        <v>466</v>
      </c>
      <c r="C84" s="5" t="s">
        <v>261</v>
      </c>
      <c r="D84" s="5" t="s">
        <v>486</v>
      </c>
      <c r="E84" s="5" t="s">
        <v>287</v>
      </c>
      <c r="F84" s="5" t="s">
        <v>264</v>
      </c>
      <c r="G84" s="5" t="s">
        <v>288</v>
      </c>
      <c r="H84" s="3">
        <v>39.290717200634077</v>
      </c>
      <c r="I84" s="3">
        <v>1.0657112416834451</v>
      </c>
      <c r="J84" s="318">
        <v>40.356428442317522</v>
      </c>
      <c r="K84" s="3">
        <v>472.82356181168598</v>
      </c>
      <c r="L84" s="3">
        <v>139.81409976600423</v>
      </c>
      <c r="M84" s="318">
        <v>612.63766157769021</v>
      </c>
      <c r="N84" s="3">
        <v>25.639837147617818</v>
      </c>
      <c r="O84" s="3">
        <v>120.33315523678773</v>
      </c>
      <c r="P84" s="3">
        <v>20.025873511082953</v>
      </c>
      <c r="Q84" s="3">
        <v>12.24415781257578</v>
      </c>
      <c r="R84" s="3">
        <v>76.352852592724588</v>
      </c>
      <c r="S84" s="3">
        <v>68.704833437740348</v>
      </c>
      <c r="T84" s="3">
        <v>38.6708557733701</v>
      </c>
      <c r="U84" s="3">
        <v>12.577224000796519</v>
      </c>
      <c r="V84" s="318">
        <v>374.54878951269586</v>
      </c>
      <c r="W84" s="318">
        <v>1027.5428795327036</v>
      </c>
      <c r="X84" s="3">
        <v>103.27003722702084</v>
      </c>
      <c r="Y84" s="318">
        <v>1130.8129167597244</v>
      </c>
    </row>
    <row r="85" spans="1:25" x14ac:dyDescent="0.2">
      <c r="A85" s="314">
        <v>2015</v>
      </c>
      <c r="B85" s="5" t="s">
        <v>466</v>
      </c>
      <c r="C85" s="5" t="s">
        <v>261</v>
      </c>
      <c r="D85" s="5" t="s">
        <v>484</v>
      </c>
      <c r="E85" s="5" t="s">
        <v>289</v>
      </c>
      <c r="F85" s="5" t="s">
        <v>264</v>
      </c>
      <c r="G85" s="5" t="s">
        <v>290</v>
      </c>
      <c r="H85" s="3">
        <v>2.8973141719562014</v>
      </c>
      <c r="I85" s="3">
        <v>0</v>
      </c>
      <c r="J85" s="318">
        <v>2.8973141719562014</v>
      </c>
      <c r="K85" s="3">
        <v>8.403219987394845</v>
      </c>
      <c r="L85" s="3">
        <v>11.27947243233152</v>
      </c>
      <c r="M85" s="318">
        <v>19.682692419726365</v>
      </c>
      <c r="N85" s="3">
        <v>9.2450920796395692</v>
      </c>
      <c r="O85" s="3">
        <v>60.435786379290768</v>
      </c>
      <c r="P85" s="3">
        <v>9.5657771470364779</v>
      </c>
      <c r="Q85" s="3">
        <v>4.6342596537508092</v>
      </c>
      <c r="R85" s="3">
        <v>45.555366622671812</v>
      </c>
      <c r="S85" s="3">
        <v>39.345208298227796</v>
      </c>
      <c r="T85" s="3">
        <v>28.663156153813802</v>
      </c>
      <c r="U85" s="3">
        <v>7.6540348559786606</v>
      </c>
      <c r="V85" s="318">
        <v>205.09868119040968</v>
      </c>
      <c r="W85" s="318">
        <v>227.67868778209223</v>
      </c>
      <c r="X85" s="3">
        <v>22.882146363713826</v>
      </c>
      <c r="Y85" s="318">
        <v>250.56083414580604</v>
      </c>
    </row>
    <row r="86" spans="1:25" x14ac:dyDescent="0.2">
      <c r="A86" s="314">
        <v>2015</v>
      </c>
      <c r="B86" s="5" t="s">
        <v>466</v>
      </c>
      <c r="C86" s="5" t="s">
        <v>261</v>
      </c>
      <c r="D86" s="5" t="s">
        <v>486</v>
      </c>
      <c r="E86" s="5" t="s">
        <v>291</v>
      </c>
      <c r="F86" s="5" t="s">
        <v>264</v>
      </c>
      <c r="G86" s="5" t="s">
        <v>292</v>
      </c>
      <c r="H86" s="3">
        <v>24.596727377265104</v>
      </c>
      <c r="I86" s="3">
        <v>0</v>
      </c>
      <c r="J86" s="318">
        <v>24.596727377265104</v>
      </c>
      <c r="K86" s="3">
        <v>67.695438399555115</v>
      </c>
      <c r="L86" s="3">
        <v>34.197433848233644</v>
      </c>
      <c r="M86" s="318">
        <v>101.89287224778876</v>
      </c>
      <c r="N86" s="3">
        <v>30.56605194837439</v>
      </c>
      <c r="O86" s="3">
        <v>131.43127627233156</v>
      </c>
      <c r="P86" s="3">
        <v>30.691433998503065</v>
      </c>
      <c r="Q86" s="3">
        <v>30.488423720384855</v>
      </c>
      <c r="R86" s="3">
        <v>99.898664044666788</v>
      </c>
      <c r="S86" s="3">
        <v>52.978125717513961</v>
      </c>
      <c r="T86" s="3">
        <v>52.859801581024122</v>
      </c>
      <c r="U86" s="3">
        <v>17.651961597156845</v>
      </c>
      <c r="V86" s="318">
        <v>446.56573887995563</v>
      </c>
      <c r="W86" s="318">
        <v>573.05533850500944</v>
      </c>
      <c r="X86" s="3">
        <v>57.593164550174386</v>
      </c>
      <c r="Y86" s="318">
        <v>630.64850305518382</v>
      </c>
    </row>
    <row r="87" spans="1:25" x14ac:dyDescent="0.2">
      <c r="A87" s="314">
        <v>2015</v>
      </c>
      <c r="B87" s="5" t="s">
        <v>466</v>
      </c>
      <c r="C87" s="5" t="s">
        <v>261</v>
      </c>
      <c r="D87" s="5" t="s">
        <v>486</v>
      </c>
      <c r="E87" s="5" t="s">
        <v>293</v>
      </c>
      <c r="F87" s="5" t="s">
        <v>264</v>
      </c>
      <c r="G87" s="5" t="s">
        <v>295</v>
      </c>
      <c r="H87" s="3">
        <v>25.077071555961236</v>
      </c>
      <c r="I87" s="3">
        <v>0.3752072324949296</v>
      </c>
      <c r="J87" s="318">
        <v>25.452278788456166</v>
      </c>
      <c r="K87" s="3">
        <v>20.837692093162417</v>
      </c>
      <c r="L87" s="3">
        <v>5.5218374230776917</v>
      </c>
      <c r="M87" s="318">
        <v>26.359529516240109</v>
      </c>
      <c r="N87" s="3">
        <v>8.4532264092045519</v>
      </c>
      <c r="O87" s="3">
        <v>47.966883832044694</v>
      </c>
      <c r="P87" s="3">
        <v>8.5385943678047287</v>
      </c>
      <c r="Q87" s="3">
        <v>7.4868030763557885</v>
      </c>
      <c r="R87" s="3">
        <v>23.052550773488662</v>
      </c>
      <c r="S87" s="3">
        <v>19.942329814023438</v>
      </c>
      <c r="T87" s="3">
        <v>24.099038115317502</v>
      </c>
      <c r="U87" s="3">
        <v>7.2045824933762113</v>
      </c>
      <c r="V87" s="318">
        <v>146.7440088816156</v>
      </c>
      <c r="W87" s="318">
        <v>198.55581718631188</v>
      </c>
      <c r="X87" s="3">
        <v>19.95524181205138</v>
      </c>
      <c r="Y87" s="318">
        <v>218.51105899836327</v>
      </c>
    </row>
    <row r="88" spans="1:25" x14ac:dyDescent="0.2">
      <c r="A88" s="314">
        <v>2015</v>
      </c>
      <c r="B88" s="5" t="s">
        <v>466</v>
      </c>
      <c r="C88" s="5" t="s">
        <v>261</v>
      </c>
      <c r="D88" s="5" t="s">
        <v>486</v>
      </c>
      <c r="E88" s="5" t="s">
        <v>296</v>
      </c>
      <c r="F88" s="5" t="s">
        <v>264</v>
      </c>
      <c r="G88" s="5" t="s">
        <v>297</v>
      </c>
      <c r="H88" s="3">
        <v>106.92796881991906</v>
      </c>
      <c r="I88" s="3">
        <v>0</v>
      </c>
      <c r="J88" s="318">
        <v>106.92796881991906</v>
      </c>
      <c r="K88" s="3">
        <v>178.91417425540297</v>
      </c>
      <c r="L88" s="3">
        <v>51.629724420834066</v>
      </c>
      <c r="M88" s="318">
        <v>230.54389867623703</v>
      </c>
      <c r="N88" s="3">
        <v>27.431580847724177</v>
      </c>
      <c r="O88" s="3">
        <v>128.58549874785186</v>
      </c>
      <c r="P88" s="3">
        <v>24.791070140903919</v>
      </c>
      <c r="Q88" s="3">
        <v>25.219213244157601</v>
      </c>
      <c r="R88" s="3">
        <v>83.382281901317739</v>
      </c>
      <c r="S88" s="3">
        <v>64.275636434880369</v>
      </c>
      <c r="T88" s="3">
        <v>51.504146518219962</v>
      </c>
      <c r="U88" s="3">
        <v>16.858963480549196</v>
      </c>
      <c r="V88" s="318">
        <v>422.04839131560482</v>
      </c>
      <c r="W88" s="318">
        <v>759.52025881176098</v>
      </c>
      <c r="X88" s="3">
        <v>76.333247951176517</v>
      </c>
      <c r="Y88" s="318">
        <v>835.85350676293751</v>
      </c>
    </row>
    <row r="89" spans="1:25" x14ac:dyDescent="0.2">
      <c r="A89" s="314">
        <v>2015</v>
      </c>
      <c r="B89" s="5" t="s">
        <v>466</v>
      </c>
      <c r="C89" s="5" t="s">
        <v>261</v>
      </c>
      <c r="D89" s="5" t="s">
        <v>483</v>
      </c>
      <c r="E89" s="5" t="s">
        <v>298</v>
      </c>
      <c r="F89" s="5" t="s">
        <v>264</v>
      </c>
      <c r="G89" s="5" t="s">
        <v>299</v>
      </c>
      <c r="H89" s="3">
        <v>15.157551903762858</v>
      </c>
      <c r="I89" s="3">
        <v>0</v>
      </c>
      <c r="J89" s="318">
        <v>15.157551903762858</v>
      </c>
      <c r="K89" s="3">
        <v>1.2630741314244973</v>
      </c>
      <c r="L89" s="3">
        <v>13.856643689664654</v>
      </c>
      <c r="M89" s="318">
        <v>15.119717821089152</v>
      </c>
      <c r="N89" s="3">
        <v>3.6298232850628533</v>
      </c>
      <c r="O89" s="3">
        <v>11.479456938688529</v>
      </c>
      <c r="P89" s="3">
        <v>2.0718962851539304</v>
      </c>
      <c r="Q89" s="3">
        <v>1.818829019135944</v>
      </c>
      <c r="R89" s="3">
        <v>8.2369896779454095</v>
      </c>
      <c r="S89" s="3">
        <v>15.213351269078437</v>
      </c>
      <c r="T89" s="3">
        <v>15.106507624484525</v>
      </c>
      <c r="U89" s="3">
        <v>1.7533758732478857</v>
      </c>
      <c r="V89" s="318">
        <v>59.310229972797508</v>
      </c>
      <c r="W89" s="318">
        <v>89.58749969764952</v>
      </c>
      <c r="X89" s="3">
        <v>9.003716159627059</v>
      </c>
      <c r="Y89" s="318">
        <v>98.59121585727658</v>
      </c>
    </row>
    <row r="90" spans="1:25" x14ac:dyDescent="0.2">
      <c r="A90" s="314">
        <v>2015</v>
      </c>
      <c r="B90" s="5" t="s">
        <v>466</v>
      </c>
      <c r="C90" s="5" t="s">
        <v>261</v>
      </c>
      <c r="D90" s="5" t="s">
        <v>486</v>
      </c>
      <c r="E90" s="5" t="s">
        <v>300</v>
      </c>
      <c r="F90" s="5" t="s">
        <v>264</v>
      </c>
      <c r="G90" s="5" t="s">
        <v>301</v>
      </c>
      <c r="H90" s="3">
        <v>40.548382028335041</v>
      </c>
      <c r="I90" s="3">
        <v>0.88677226903599404</v>
      </c>
      <c r="J90" s="318">
        <v>41.435154297371035</v>
      </c>
      <c r="K90" s="3">
        <v>1218.8666658810648</v>
      </c>
      <c r="L90" s="3">
        <v>190.26502523944941</v>
      </c>
      <c r="M90" s="318">
        <v>1409.1316911205142</v>
      </c>
      <c r="N90" s="3">
        <v>102.3238499373507</v>
      </c>
      <c r="O90" s="3">
        <v>492.47298287436047</v>
      </c>
      <c r="P90" s="3">
        <v>63.794954783228242</v>
      </c>
      <c r="Q90" s="3">
        <v>62.790787770702543</v>
      </c>
      <c r="R90" s="3">
        <v>236.58229015602112</v>
      </c>
      <c r="S90" s="3">
        <v>282.62828144470041</v>
      </c>
      <c r="T90" s="3">
        <v>270.47728386986483</v>
      </c>
      <c r="U90" s="3">
        <v>39.537186396115871</v>
      </c>
      <c r="V90" s="318">
        <v>1550.6076172323442</v>
      </c>
      <c r="W90" s="318">
        <v>3001.1744626502295</v>
      </c>
      <c r="X90" s="3">
        <v>301.62381021886836</v>
      </c>
      <c r="Y90" s="318">
        <v>3302.7982728690977</v>
      </c>
    </row>
    <row r="91" spans="1:25" x14ac:dyDescent="0.2">
      <c r="A91" s="314">
        <v>2015</v>
      </c>
      <c r="B91" s="5" t="s">
        <v>466</v>
      </c>
      <c r="C91" s="5" t="s">
        <v>261</v>
      </c>
      <c r="D91" s="5" t="s">
        <v>484</v>
      </c>
      <c r="E91" s="5" t="s">
        <v>302</v>
      </c>
      <c r="F91" s="5" t="s">
        <v>264</v>
      </c>
      <c r="G91" s="5" t="s">
        <v>303</v>
      </c>
      <c r="H91" s="3">
        <v>14.277562736061466</v>
      </c>
      <c r="I91" s="3">
        <v>8.7557248284497753</v>
      </c>
      <c r="J91" s="318">
        <v>23.033287564511241</v>
      </c>
      <c r="K91" s="3">
        <v>38.574379388609614</v>
      </c>
      <c r="L91" s="3">
        <v>9.9096921945340597</v>
      </c>
      <c r="M91" s="318">
        <v>48.484071583143674</v>
      </c>
      <c r="N91" s="3">
        <v>439.08563642312959</v>
      </c>
      <c r="O91" s="3">
        <v>16.177874901111608</v>
      </c>
      <c r="P91" s="3">
        <v>2.5626606011201583</v>
      </c>
      <c r="Q91" s="3">
        <v>1.9056179334681347</v>
      </c>
      <c r="R91" s="3">
        <v>12.034262670564779</v>
      </c>
      <c r="S91" s="3">
        <v>14.615507164687049</v>
      </c>
      <c r="T91" s="3">
        <v>14.407048212388778</v>
      </c>
      <c r="U91" s="3">
        <v>2.2503816097334957</v>
      </c>
      <c r="V91" s="318">
        <v>503.03898951620363</v>
      </c>
      <c r="W91" s="318">
        <v>574.55634866385856</v>
      </c>
      <c r="X91" s="3">
        <v>57.744018960936991</v>
      </c>
      <c r="Y91" s="318">
        <v>632.30036762479551</v>
      </c>
    </row>
    <row r="92" spans="1:25" x14ac:dyDescent="0.2">
      <c r="A92" s="314">
        <v>2015</v>
      </c>
      <c r="B92" s="5" t="s">
        <v>466</v>
      </c>
      <c r="C92" s="5" t="s">
        <v>261</v>
      </c>
      <c r="D92" s="5" t="s">
        <v>485</v>
      </c>
      <c r="E92" s="5" t="s">
        <v>304</v>
      </c>
      <c r="F92" s="5" t="s">
        <v>264</v>
      </c>
      <c r="G92" s="5" t="s">
        <v>305</v>
      </c>
      <c r="H92" s="3">
        <v>5.3568395436684861</v>
      </c>
      <c r="I92" s="3">
        <v>0.73218194113586144</v>
      </c>
      <c r="J92" s="318">
        <v>6.0890214848043476</v>
      </c>
      <c r="K92" s="3">
        <v>0.94478593357575902</v>
      </c>
      <c r="L92" s="3">
        <v>2.6015062956954966</v>
      </c>
      <c r="M92" s="318">
        <v>3.5462922292712555</v>
      </c>
      <c r="N92" s="3">
        <v>1.1801614378526475</v>
      </c>
      <c r="O92" s="3">
        <v>7.4985671200902493</v>
      </c>
      <c r="P92" s="3">
        <v>1.2911262160884529</v>
      </c>
      <c r="Q92" s="3">
        <v>0.94752050595671178</v>
      </c>
      <c r="R92" s="3">
        <v>5.0681650931558773</v>
      </c>
      <c r="S92" s="3">
        <v>3.9593592434154199</v>
      </c>
      <c r="T92" s="3">
        <v>8.9488694355091774</v>
      </c>
      <c r="U92" s="3">
        <v>1.037221932098928</v>
      </c>
      <c r="V92" s="318">
        <v>29.930990984167462</v>
      </c>
      <c r="W92" s="318">
        <v>39.566304698243066</v>
      </c>
      <c r="X92" s="3">
        <v>3.9764897803190951</v>
      </c>
      <c r="Y92" s="318">
        <v>43.542794478562158</v>
      </c>
    </row>
    <row r="93" spans="1:25" x14ac:dyDescent="0.2">
      <c r="A93" s="314">
        <v>2015</v>
      </c>
      <c r="B93" s="5" t="s">
        <v>466</v>
      </c>
      <c r="C93" s="5" t="s">
        <v>261</v>
      </c>
      <c r="D93" s="5" t="s">
        <v>485</v>
      </c>
      <c r="E93" s="5" t="s">
        <v>306</v>
      </c>
      <c r="F93" s="5" t="s">
        <v>264</v>
      </c>
      <c r="G93" s="5" t="s">
        <v>307</v>
      </c>
      <c r="H93" s="3">
        <v>5.0184033104358727</v>
      </c>
      <c r="I93" s="3">
        <v>4.4422120594089263</v>
      </c>
      <c r="J93" s="318">
        <v>9.460615369844799</v>
      </c>
      <c r="K93" s="3">
        <v>4.8043209498438815</v>
      </c>
      <c r="L93" s="3">
        <v>6.3103182040147958</v>
      </c>
      <c r="M93" s="318">
        <v>11.114639153858677</v>
      </c>
      <c r="N93" s="3">
        <v>3.5024407805339735</v>
      </c>
      <c r="O93" s="3">
        <v>16.703123357092213</v>
      </c>
      <c r="P93" s="3">
        <v>3.5509222049402722</v>
      </c>
      <c r="Q93" s="3">
        <v>2.6630603706670746</v>
      </c>
      <c r="R93" s="3">
        <v>10.164485897770644</v>
      </c>
      <c r="S93" s="3">
        <v>22.726381985367521</v>
      </c>
      <c r="T93" s="3">
        <v>18.149315607260856</v>
      </c>
      <c r="U93" s="3">
        <v>3.3393970844361829</v>
      </c>
      <c r="V93" s="318">
        <v>80.799127288068746</v>
      </c>
      <c r="W93" s="318">
        <v>101.37438181177222</v>
      </c>
      <c r="X93" s="3">
        <v>10.188320499902483</v>
      </c>
      <c r="Y93" s="318">
        <v>111.56270231167471</v>
      </c>
    </row>
    <row r="94" spans="1:25" x14ac:dyDescent="0.2">
      <c r="A94" s="314">
        <v>2015</v>
      </c>
      <c r="B94" s="5" t="s">
        <v>466</v>
      </c>
      <c r="C94" s="5" t="s">
        <v>261</v>
      </c>
      <c r="D94" s="5" t="s">
        <v>484</v>
      </c>
      <c r="E94" s="5" t="s">
        <v>308</v>
      </c>
      <c r="F94" s="5" t="s">
        <v>264</v>
      </c>
      <c r="G94" s="5" t="s">
        <v>309</v>
      </c>
      <c r="H94" s="3">
        <v>10.779747265250419</v>
      </c>
      <c r="I94" s="3">
        <v>0</v>
      </c>
      <c r="J94" s="318">
        <v>10.779747265250419</v>
      </c>
      <c r="K94" s="3">
        <v>1.6866331795581964</v>
      </c>
      <c r="L94" s="3">
        <v>13.654828739112148</v>
      </c>
      <c r="M94" s="318">
        <v>15.341461918670344</v>
      </c>
      <c r="N94" s="3">
        <v>90.724869809664384</v>
      </c>
      <c r="O94" s="3">
        <v>7.8960691410303152</v>
      </c>
      <c r="P94" s="3">
        <v>1.8394508904701692</v>
      </c>
      <c r="Q94" s="3">
        <v>1.2637493487559761</v>
      </c>
      <c r="R94" s="3">
        <v>7.9412184113058908</v>
      </c>
      <c r="S94" s="3">
        <v>4.2378736886851458</v>
      </c>
      <c r="T94" s="3">
        <v>7.1756065394849715</v>
      </c>
      <c r="U94" s="3">
        <v>1.3603440908745847</v>
      </c>
      <c r="V94" s="318">
        <v>122.43918192027145</v>
      </c>
      <c r="W94" s="318">
        <v>148.56039110419221</v>
      </c>
      <c r="X94" s="3">
        <v>14.930605258587887</v>
      </c>
      <c r="Y94" s="318">
        <v>163.49099636278009</v>
      </c>
    </row>
    <row r="95" spans="1:25" x14ac:dyDescent="0.2">
      <c r="A95" s="314">
        <v>2015</v>
      </c>
      <c r="B95" s="5" t="s">
        <v>466</v>
      </c>
      <c r="C95" s="5" t="s">
        <v>261</v>
      </c>
      <c r="D95" s="5" t="s">
        <v>486</v>
      </c>
      <c r="E95" s="5" t="s">
        <v>310</v>
      </c>
      <c r="F95" s="5" t="s">
        <v>264</v>
      </c>
      <c r="G95" s="5" t="s">
        <v>311</v>
      </c>
      <c r="H95" s="3">
        <v>53.740843370081201</v>
      </c>
      <c r="I95" s="3">
        <v>0</v>
      </c>
      <c r="J95" s="318">
        <v>53.740843370081201</v>
      </c>
      <c r="K95" s="3">
        <v>4.2308822025489992</v>
      </c>
      <c r="L95" s="3">
        <v>11.761919555072447</v>
      </c>
      <c r="M95" s="318">
        <v>15.992801757621447</v>
      </c>
      <c r="N95" s="3">
        <v>3.8738157237349804</v>
      </c>
      <c r="O95" s="3">
        <v>21.497233677079432</v>
      </c>
      <c r="P95" s="3">
        <v>6.2776242341620296</v>
      </c>
      <c r="Q95" s="3">
        <v>4.6153847245587016</v>
      </c>
      <c r="R95" s="3">
        <v>28.841305649925935</v>
      </c>
      <c r="S95" s="3">
        <v>15.129131380492954</v>
      </c>
      <c r="T95" s="3">
        <v>28.732573310343547</v>
      </c>
      <c r="U95" s="3">
        <v>7.0999014095416095</v>
      </c>
      <c r="V95" s="318">
        <v>116.06697010983919</v>
      </c>
      <c r="W95" s="318">
        <v>185.80061523754182</v>
      </c>
      <c r="X95" s="3">
        <v>18.673319464454732</v>
      </c>
      <c r="Y95" s="318">
        <v>204.47393470199654</v>
      </c>
    </row>
    <row r="96" spans="1:25" x14ac:dyDescent="0.2">
      <c r="A96" s="314">
        <v>2015</v>
      </c>
      <c r="B96" s="5" t="s">
        <v>466</v>
      </c>
      <c r="C96" s="5" t="s">
        <v>261</v>
      </c>
      <c r="D96" s="5" t="s">
        <v>483</v>
      </c>
      <c r="E96" s="5" t="s">
        <v>312</v>
      </c>
      <c r="F96" s="5" t="s">
        <v>264</v>
      </c>
      <c r="G96" s="5" t="s">
        <v>313</v>
      </c>
      <c r="H96" s="3">
        <v>95.469808562717361</v>
      </c>
      <c r="I96" s="3">
        <v>87.818787862211451</v>
      </c>
      <c r="J96" s="318">
        <v>183.28859642492881</v>
      </c>
      <c r="K96" s="3">
        <v>325.84812690111954</v>
      </c>
      <c r="L96" s="3">
        <v>20.884731509448613</v>
      </c>
      <c r="M96" s="318">
        <v>346.73285841056816</v>
      </c>
      <c r="N96" s="3">
        <v>27.188395572968233</v>
      </c>
      <c r="O96" s="3">
        <v>55.622015238959065</v>
      </c>
      <c r="P96" s="3">
        <v>10.136648197477383</v>
      </c>
      <c r="Q96" s="3">
        <v>8.9698381997318304</v>
      </c>
      <c r="R96" s="3">
        <v>35.759312821940952</v>
      </c>
      <c r="S96" s="3">
        <v>60.116319249430639</v>
      </c>
      <c r="T96" s="3">
        <v>54.120093059328731</v>
      </c>
      <c r="U96" s="3">
        <v>7.0959058913543602</v>
      </c>
      <c r="V96" s="318">
        <v>259.00852823119118</v>
      </c>
      <c r="W96" s="318">
        <v>789.02998306668815</v>
      </c>
      <c r="X96" s="3">
        <v>79.299032037728637</v>
      </c>
      <c r="Y96" s="318">
        <v>868.32901510441684</v>
      </c>
    </row>
    <row r="97" spans="1:25" x14ac:dyDescent="0.2">
      <c r="A97" s="314">
        <v>2015</v>
      </c>
      <c r="B97" s="5" t="s">
        <v>466</v>
      </c>
      <c r="C97" s="5" t="s">
        <v>314</v>
      </c>
      <c r="D97" s="5" t="s">
        <v>487</v>
      </c>
      <c r="E97" s="5" t="s">
        <v>316</v>
      </c>
      <c r="F97" s="5" t="s">
        <v>317</v>
      </c>
      <c r="G97" s="5" t="s">
        <v>318</v>
      </c>
      <c r="H97" s="3">
        <v>47.657274903259946</v>
      </c>
      <c r="I97" s="3">
        <v>5.3256246331002259</v>
      </c>
      <c r="J97" s="318">
        <v>52.982899536360172</v>
      </c>
      <c r="K97" s="3">
        <v>61.694734566460966</v>
      </c>
      <c r="L97" s="3">
        <v>20.954098881995591</v>
      </c>
      <c r="M97" s="318">
        <v>82.648833448456557</v>
      </c>
      <c r="N97" s="3">
        <v>15.714024292485275</v>
      </c>
      <c r="O97" s="3">
        <v>62.114239225308225</v>
      </c>
      <c r="P97" s="3">
        <v>10.233604489083371</v>
      </c>
      <c r="Q97" s="3">
        <v>7.8186260251390269</v>
      </c>
      <c r="R97" s="3">
        <v>27.991411847106342</v>
      </c>
      <c r="S97" s="3">
        <v>29.565473004462099</v>
      </c>
      <c r="T97" s="3">
        <v>35.675765785236059</v>
      </c>
      <c r="U97" s="3">
        <v>8.2971946578086708</v>
      </c>
      <c r="V97" s="318">
        <v>197.41033932662904</v>
      </c>
      <c r="W97" s="318">
        <v>333.04207231144574</v>
      </c>
      <c r="X97" s="3">
        <v>33.471369313835197</v>
      </c>
      <c r="Y97" s="318">
        <v>366.51344162528096</v>
      </c>
    </row>
    <row r="98" spans="1:25" x14ac:dyDescent="0.2">
      <c r="A98" s="314">
        <v>2015</v>
      </c>
      <c r="B98" s="5" t="s">
        <v>466</v>
      </c>
      <c r="C98" s="5" t="s">
        <v>314</v>
      </c>
      <c r="D98" s="5" t="s">
        <v>488</v>
      </c>
      <c r="E98" s="5" t="s">
        <v>319</v>
      </c>
      <c r="F98" s="5" t="s">
        <v>317</v>
      </c>
      <c r="G98" s="5" t="s">
        <v>321</v>
      </c>
      <c r="H98" s="3">
        <v>100.30875538580852</v>
      </c>
      <c r="I98" s="3">
        <v>9.2562140403028081</v>
      </c>
      <c r="J98" s="318">
        <v>109.56496942611133</v>
      </c>
      <c r="K98" s="3">
        <v>105.12938783733988</v>
      </c>
      <c r="L98" s="3">
        <v>108.27921874291458</v>
      </c>
      <c r="M98" s="318">
        <v>213.40860658025446</v>
      </c>
      <c r="N98" s="3">
        <v>30.845022663145212</v>
      </c>
      <c r="O98" s="3">
        <v>113.06710459257971</v>
      </c>
      <c r="P98" s="3">
        <v>15.834418209915434</v>
      </c>
      <c r="Q98" s="3">
        <v>21.111297081783892</v>
      </c>
      <c r="R98" s="3">
        <v>34.140109785296168</v>
      </c>
      <c r="S98" s="3">
        <v>65.656880221502945</v>
      </c>
      <c r="T98" s="3">
        <v>77.069722280852332</v>
      </c>
      <c r="U98" s="3">
        <v>12.521600241281474</v>
      </c>
      <c r="V98" s="318">
        <v>370.24615507635718</v>
      </c>
      <c r="W98" s="318">
        <v>693.219731082723</v>
      </c>
      <c r="X98" s="3">
        <v>69.669917297588398</v>
      </c>
      <c r="Y98" s="318">
        <v>762.88964838031143</v>
      </c>
    </row>
    <row r="99" spans="1:25" x14ac:dyDescent="0.2">
      <c r="A99" s="314">
        <v>2015</v>
      </c>
      <c r="B99" s="5" t="s">
        <v>466</v>
      </c>
      <c r="C99" s="5" t="s">
        <v>314</v>
      </c>
      <c r="D99" s="5" t="s">
        <v>487</v>
      </c>
      <c r="E99" s="5" t="s">
        <v>322</v>
      </c>
      <c r="F99" s="5" t="s">
        <v>317</v>
      </c>
      <c r="G99" s="5" t="s">
        <v>323</v>
      </c>
      <c r="H99" s="3">
        <v>20.554632028609227</v>
      </c>
      <c r="I99" s="3">
        <v>0.28277776702061885</v>
      </c>
      <c r="J99" s="318">
        <v>20.837409795629846</v>
      </c>
      <c r="K99" s="3">
        <v>4.7200689331057095</v>
      </c>
      <c r="L99" s="3">
        <v>0.98301772031156354</v>
      </c>
      <c r="M99" s="318">
        <v>5.7030866534172731</v>
      </c>
      <c r="N99" s="3">
        <v>2.2000050043708739</v>
      </c>
      <c r="O99" s="3">
        <v>11.537641882393608</v>
      </c>
      <c r="P99" s="3">
        <v>1.2207461715993457</v>
      </c>
      <c r="Q99" s="3">
        <v>0.98567748356081519</v>
      </c>
      <c r="R99" s="3">
        <v>3.3487737475877539</v>
      </c>
      <c r="S99" s="3">
        <v>5.3826893211486722</v>
      </c>
      <c r="T99" s="3">
        <v>9.3354069876782972</v>
      </c>
      <c r="U99" s="3">
        <v>1.535689835338016</v>
      </c>
      <c r="V99" s="318">
        <v>35.546630433677386</v>
      </c>
      <c r="W99" s="318">
        <v>62.087126882724505</v>
      </c>
      <c r="X99" s="3">
        <v>6.2398757583352937</v>
      </c>
      <c r="Y99" s="318">
        <v>68.327002641059792</v>
      </c>
    </row>
    <row r="100" spans="1:25" x14ac:dyDescent="0.2">
      <c r="A100" s="314">
        <v>2015</v>
      </c>
      <c r="B100" s="5" t="s">
        <v>466</v>
      </c>
      <c r="C100" s="5" t="s">
        <v>314</v>
      </c>
      <c r="D100" s="5" t="s">
        <v>488</v>
      </c>
      <c r="E100" s="5" t="s">
        <v>324</v>
      </c>
      <c r="F100" s="5" t="s">
        <v>317</v>
      </c>
      <c r="G100" s="5" t="s">
        <v>325</v>
      </c>
      <c r="H100" s="3">
        <v>51.690785557510559</v>
      </c>
      <c r="I100" s="3">
        <v>0</v>
      </c>
      <c r="J100" s="318">
        <v>51.690785557510559</v>
      </c>
      <c r="K100" s="3">
        <v>5.6729632422953449</v>
      </c>
      <c r="L100" s="3">
        <v>5.4767181236237326</v>
      </c>
      <c r="M100" s="318">
        <v>11.149681365919077</v>
      </c>
      <c r="N100" s="3">
        <v>2.6971148501438376</v>
      </c>
      <c r="O100" s="3">
        <v>15.799636639278592</v>
      </c>
      <c r="P100" s="3">
        <v>3.2832327062810105</v>
      </c>
      <c r="Q100" s="3">
        <v>2.7561415321373683</v>
      </c>
      <c r="R100" s="3">
        <v>7.6225427884559505</v>
      </c>
      <c r="S100" s="3">
        <v>9.4974590456357166</v>
      </c>
      <c r="T100" s="3">
        <v>16.234317034283958</v>
      </c>
      <c r="U100" s="3">
        <v>2.7103555866682578</v>
      </c>
      <c r="V100" s="318">
        <v>60.600800182884697</v>
      </c>
      <c r="W100" s="318">
        <v>123.44126710631434</v>
      </c>
      <c r="X100" s="3">
        <v>12.406084946446587</v>
      </c>
      <c r="Y100" s="318">
        <v>135.84735205276093</v>
      </c>
    </row>
    <row r="101" spans="1:25" x14ac:dyDescent="0.2">
      <c r="A101" s="314">
        <v>2015</v>
      </c>
      <c r="B101" s="5" t="s">
        <v>466</v>
      </c>
      <c r="C101" s="5" t="s">
        <v>314</v>
      </c>
      <c r="D101" s="5" t="s">
        <v>489</v>
      </c>
      <c r="E101" s="5" t="s">
        <v>326</v>
      </c>
      <c r="F101" s="5" t="s">
        <v>317</v>
      </c>
      <c r="G101" s="5" t="s">
        <v>327</v>
      </c>
      <c r="H101" s="3">
        <v>66.127364330582111</v>
      </c>
      <c r="I101" s="3">
        <v>0</v>
      </c>
      <c r="J101" s="318">
        <v>66.127364330582111</v>
      </c>
      <c r="K101" s="3">
        <v>8.9688501607757782</v>
      </c>
      <c r="L101" s="3">
        <v>6.0064368525378242</v>
      </c>
      <c r="M101" s="318">
        <v>14.975287013313602</v>
      </c>
      <c r="N101" s="3">
        <v>5.4026021428319968</v>
      </c>
      <c r="O101" s="3">
        <v>16.139455896835457</v>
      </c>
      <c r="P101" s="3">
        <v>5.2460650273016212</v>
      </c>
      <c r="Q101" s="3">
        <v>4.0235898687366767</v>
      </c>
      <c r="R101" s="3">
        <v>12.298401154306807</v>
      </c>
      <c r="S101" s="3">
        <v>13.939635597608097</v>
      </c>
      <c r="T101" s="3">
        <v>29.83394496207265</v>
      </c>
      <c r="U101" s="3">
        <v>4.0010227689505777</v>
      </c>
      <c r="V101" s="318">
        <v>90.884717418643874</v>
      </c>
      <c r="W101" s="318">
        <v>171.98736876253957</v>
      </c>
      <c r="X101" s="3">
        <v>17.285061605493389</v>
      </c>
      <c r="Y101" s="318">
        <v>189.27243036803296</v>
      </c>
    </row>
    <row r="102" spans="1:25" x14ac:dyDescent="0.2">
      <c r="A102" s="314">
        <v>2015</v>
      </c>
      <c r="B102" s="5" t="s">
        <v>466</v>
      </c>
      <c r="C102" s="5" t="s">
        <v>314</v>
      </c>
      <c r="D102" s="5" t="s">
        <v>490</v>
      </c>
      <c r="E102" s="5" t="s">
        <v>328</v>
      </c>
      <c r="F102" s="5" t="s">
        <v>317</v>
      </c>
      <c r="G102" s="5" t="s">
        <v>330</v>
      </c>
      <c r="H102" s="3">
        <v>26.169008421354487</v>
      </c>
      <c r="I102" s="3">
        <v>0</v>
      </c>
      <c r="J102" s="318">
        <v>26.169008421354487</v>
      </c>
      <c r="K102" s="3">
        <v>1.192053729575542</v>
      </c>
      <c r="L102" s="3">
        <v>5.1910416576341856</v>
      </c>
      <c r="M102" s="318">
        <v>6.3830953872097274</v>
      </c>
      <c r="N102" s="3">
        <v>1.7622203135058649</v>
      </c>
      <c r="O102" s="3">
        <v>7.4037612868210028</v>
      </c>
      <c r="P102" s="3">
        <v>1.6730930484105742</v>
      </c>
      <c r="Q102" s="3">
        <v>1.6224199972849322</v>
      </c>
      <c r="R102" s="3">
        <v>3.8254698071419986</v>
      </c>
      <c r="S102" s="3">
        <v>6.5772140036240456</v>
      </c>
      <c r="T102" s="3">
        <v>11.441045777226721</v>
      </c>
      <c r="U102" s="3">
        <v>1.371841139318132</v>
      </c>
      <c r="V102" s="318">
        <v>35.677065373333278</v>
      </c>
      <c r="W102" s="318">
        <v>68.22916918189749</v>
      </c>
      <c r="X102" s="3">
        <v>6.8571628316978721</v>
      </c>
      <c r="Y102" s="318">
        <v>75.086332013595367</v>
      </c>
    </row>
    <row r="103" spans="1:25" x14ac:dyDescent="0.2">
      <c r="A103" s="314">
        <v>2015</v>
      </c>
      <c r="B103" s="5" t="s">
        <v>466</v>
      </c>
      <c r="C103" s="5" t="s">
        <v>314</v>
      </c>
      <c r="D103" s="5" t="s">
        <v>488</v>
      </c>
      <c r="E103" s="5" t="s">
        <v>331</v>
      </c>
      <c r="F103" s="5" t="s">
        <v>317</v>
      </c>
      <c r="G103" s="5" t="s">
        <v>332</v>
      </c>
      <c r="H103" s="3">
        <v>76.251288711132929</v>
      </c>
      <c r="I103" s="3">
        <v>0</v>
      </c>
      <c r="J103" s="318">
        <v>76.251288711132929</v>
      </c>
      <c r="K103" s="3">
        <v>12.57220748115013</v>
      </c>
      <c r="L103" s="3">
        <v>14.660096485513613</v>
      </c>
      <c r="M103" s="318">
        <v>27.232303966663743</v>
      </c>
      <c r="N103" s="3">
        <v>8.2273341331276573</v>
      </c>
      <c r="O103" s="3">
        <v>61.706919738550638</v>
      </c>
      <c r="P103" s="3">
        <v>9.268347204894388</v>
      </c>
      <c r="Q103" s="3">
        <v>10.901395232216688</v>
      </c>
      <c r="R103" s="3">
        <v>22.047567318672119</v>
      </c>
      <c r="S103" s="3">
        <v>26.171121056610104</v>
      </c>
      <c r="T103" s="3">
        <v>46.905424723996468</v>
      </c>
      <c r="U103" s="3">
        <v>6.4977039313364378</v>
      </c>
      <c r="V103" s="318">
        <v>191.72581333940451</v>
      </c>
      <c r="W103" s="318">
        <v>295.20940601720122</v>
      </c>
      <c r="X103" s="3">
        <v>29.669113530322086</v>
      </c>
      <c r="Y103" s="318">
        <v>324.8785195475233</v>
      </c>
    </row>
    <row r="104" spans="1:25" x14ac:dyDescent="0.2">
      <c r="A104" s="314">
        <v>2015</v>
      </c>
      <c r="B104" s="5" t="s">
        <v>466</v>
      </c>
      <c r="C104" s="5" t="s">
        <v>314</v>
      </c>
      <c r="D104" s="5" t="s">
        <v>489</v>
      </c>
      <c r="E104" s="5" t="s">
        <v>333</v>
      </c>
      <c r="F104" s="5" t="s">
        <v>317</v>
      </c>
      <c r="G104" s="5" t="s">
        <v>334</v>
      </c>
      <c r="H104" s="3">
        <v>72.268878711723588</v>
      </c>
      <c r="I104" s="3">
        <v>0</v>
      </c>
      <c r="J104" s="318">
        <v>72.268878711723588</v>
      </c>
      <c r="K104" s="3">
        <v>11.111031428615703</v>
      </c>
      <c r="L104" s="3">
        <v>9.0289450570632219</v>
      </c>
      <c r="M104" s="318">
        <v>20.139976485678925</v>
      </c>
      <c r="N104" s="3">
        <v>6.5729138854664964</v>
      </c>
      <c r="O104" s="3">
        <v>28.747420178208827</v>
      </c>
      <c r="P104" s="3">
        <v>7.2955380316965295</v>
      </c>
      <c r="Q104" s="3">
        <v>6.4111250627733369</v>
      </c>
      <c r="R104" s="3">
        <v>15.659658313877491</v>
      </c>
      <c r="S104" s="3">
        <v>18.781414942250585</v>
      </c>
      <c r="T104" s="3">
        <v>33.432106873657645</v>
      </c>
      <c r="U104" s="3">
        <v>6.0142939753945237</v>
      </c>
      <c r="V104" s="318">
        <v>122.91447126332542</v>
      </c>
      <c r="W104" s="318">
        <v>215.32332646072791</v>
      </c>
      <c r="X104" s="3">
        <v>21.640408768214538</v>
      </c>
      <c r="Y104" s="318">
        <v>236.96373522894245</v>
      </c>
    </row>
    <row r="105" spans="1:25" x14ac:dyDescent="0.2">
      <c r="A105" s="314">
        <v>2015</v>
      </c>
      <c r="B105" s="5" t="s">
        <v>466</v>
      </c>
      <c r="C105" s="5" t="s">
        <v>314</v>
      </c>
      <c r="D105" s="5" t="s">
        <v>487</v>
      </c>
      <c r="E105" s="5" t="s">
        <v>335</v>
      </c>
      <c r="F105" s="5" t="s">
        <v>317</v>
      </c>
      <c r="G105" s="5" t="s">
        <v>336</v>
      </c>
      <c r="H105" s="3">
        <v>86.056767063752801</v>
      </c>
      <c r="I105" s="3">
        <v>2.3492809073806029</v>
      </c>
      <c r="J105" s="318">
        <v>88.406047971133404</v>
      </c>
      <c r="K105" s="3">
        <v>8.6726912804664202</v>
      </c>
      <c r="L105" s="3">
        <v>15.862292644735252</v>
      </c>
      <c r="M105" s="318">
        <v>24.534983925201672</v>
      </c>
      <c r="N105" s="3">
        <v>8.8138505590286318</v>
      </c>
      <c r="O105" s="3">
        <v>42.094718000655376</v>
      </c>
      <c r="P105" s="3">
        <v>9.1348456298950964</v>
      </c>
      <c r="Q105" s="3">
        <v>7.71189996292805</v>
      </c>
      <c r="R105" s="3">
        <v>23.623460498103409</v>
      </c>
      <c r="S105" s="3">
        <v>25.077552273395959</v>
      </c>
      <c r="T105" s="3">
        <v>37.729916682356738</v>
      </c>
      <c r="U105" s="3">
        <v>8.6129193438545961</v>
      </c>
      <c r="V105" s="318">
        <v>162.79916295021786</v>
      </c>
      <c r="W105" s="318">
        <v>275.74019484655298</v>
      </c>
      <c r="X105" s="3">
        <v>27.712420332721589</v>
      </c>
      <c r="Y105" s="318">
        <v>303.45261517927457</v>
      </c>
    </row>
    <row r="106" spans="1:25" x14ac:dyDescent="0.2">
      <c r="A106" s="314">
        <v>2015</v>
      </c>
      <c r="B106" s="5" t="s">
        <v>466</v>
      </c>
      <c r="C106" s="5" t="s">
        <v>314</v>
      </c>
      <c r="D106" s="5" t="s">
        <v>488</v>
      </c>
      <c r="E106" s="5" t="s">
        <v>337</v>
      </c>
      <c r="F106" s="5" t="s">
        <v>317</v>
      </c>
      <c r="G106" s="5" t="s">
        <v>338</v>
      </c>
      <c r="H106" s="3">
        <v>16.813549402237012</v>
      </c>
      <c r="I106" s="3">
        <v>0</v>
      </c>
      <c r="J106" s="318">
        <v>16.813549402237012</v>
      </c>
      <c r="K106" s="3">
        <v>4.3501030596957344</v>
      </c>
      <c r="L106" s="3">
        <v>4.9388593684308146</v>
      </c>
      <c r="M106" s="318">
        <v>9.288962428126549</v>
      </c>
      <c r="N106" s="3">
        <v>4.1944085938398388</v>
      </c>
      <c r="O106" s="3">
        <v>21.360117170301567</v>
      </c>
      <c r="P106" s="3">
        <v>3.4516694762486719</v>
      </c>
      <c r="Q106" s="3">
        <v>2.2537372519068404</v>
      </c>
      <c r="R106" s="3">
        <v>10.403099294319178</v>
      </c>
      <c r="S106" s="3">
        <v>12.526985303098117</v>
      </c>
      <c r="T106" s="3">
        <v>18.459463934367097</v>
      </c>
      <c r="U106" s="3">
        <v>2.9284538463021383</v>
      </c>
      <c r="V106" s="318">
        <v>75.577934870383444</v>
      </c>
      <c r="W106" s="318">
        <v>101.68044670074701</v>
      </c>
      <c r="X106" s="3">
        <v>10.219080610304296</v>
      </c>
      <c r="Y106" s="318">
        <v>111.89952731105132</v>
      </c>
    </row>
    <row r="107" spans="1:25" x14ac:dyDescent="0.2">
      <c r="A107" s="314">
        <v>2015</v>
      </c>
      <c r="B107" s="5" t="s">
        <v>466</v>
      </c>
      <c r="C107" s="5" t="s">
        <v>314</v>
      </c>
      <c r="D107" s="5" t="s">
        <v>488</v>
      </c>
      <c r="E107" s="5" t="s">
        <v>339</v>
      </c>
      <c r="F107" s="5" t="s">
        <v>317</v>
      </c>
      <c r="G107" s="5" t="s">
        <v>340</v>
      </c>
      <c r="H107" s="3">
        <v>42.745688764289319</v>
      </c>
      <c r="I107" s="3">
        <v>3.6531812543614706</v>
      </c>
      <c r="J107" s="318">
        <v>46.39887001865079</v>
      </c>
      <c r="K107" s="3">
        <v>6.5230747817105188</v>
      </c>
      <c r="L107" s="3">
        <v>9.0932551522582798</v>
      </c>
      <c r="M107" s="318">
        <v>15.6163299339688</v>
      </c>
      <c r="N107" s="3">
        <v>4.3902320027577515</v>
      </c>
      <c r="O107" s="3">
        <v>28.156959745652021</v>
      </c>
      <c r="P107" s="3">
        <v>5.0596631872231397</v>
      </c>
      <c r="Q107" s="3">
        <v>4.3407072617569993</v>
      </c>
      <c r="R107" s="3">
        <v>15.841813649911659</v>
      </c>
      <c r="S107" s="3">
        <v>13.958403713804332</v>
      </c>
      <c r="T107" s="3">
        <v>24.434379197696746</v>
      </c>
      <c r="U107" s="3">
        <v>3.5382140187166993</v>
      </c>
      <c r="V107" s="318">
        <v>99.720372777519344</v>
      </c>
      <c r="W107" s="318">
        <v>161.73557273013893</v>
      </c>
      <c r="X107" s="3">
        <v>16.25473637152669</v>
      </c>
      <c r="Y107" s="318">
        <v>177.99030910166562</v>
      </c>
    </row>
    <row r="108" spans="1:25" x14ac:dyDescent="0.2">
      <c r="A108" s="314">
        <v>2015</v>
      </c>
      <c r="B108" s="5" t="s">
        <v>466</v>
      </c>
      <c r="C108" s="5" t="s">
        <v>314</v>
      </c>
      <c r="D108" s="5" t="s">
        <v>490</v>
      </c>
      <c r="E108" s="5" t="s">
        <v>341</v>
      </c>
      <c r="F108" s="5" t="s">
        <v>317</v>
      </c>
      <c r="G108" s="5" t="s">
        <v>342</v>
      </c>
      <c r="H108" s="3">
        <v>48.564741333930478</v>
      </c>
      <c r="I108" s="3">
        <v>0</v>
      </c>
      <c r="J108" s="318">
        <v>48.564741333930478</v>
      </c>
      <c r="K108" s="3">
        <v>2.4298063338636524</v>
      </c>
      <c r="L108" s="3">
        <v>11.736405531662593</v>
      </c>
      <c r="M108" s="318">
        <v>14.166211865526245</v>
      </c>
      <c r="N108" s="3">
        <v>15.19611857397007</v>
      </c>
      <c r="O108" s="3">
        <v>21.576980936669965</v>
      </c>
      <c r="P108" s="3">
        <v>4.5661129575420318</v>
      </c>
      <c r="Q108" s="3">
        <v>3.2211751943376612</v>
      </c>
      <c r="R108" s="3">
        <v>11.833340628244105</v>
      </c>
      <c r="S108" s="3">
        <v>11.611626164595679</v>
      </c>
      <c r="T108" s="3">
        <v>17.213981380699877</v>
      </c>
      <c r="U108" s="3">
        <v>2.8347364315174586</v>
      </c>
      <c r="V108" s="318">
        <v>88.054072267576842</v>
      </c>
      <c r="W108" s="318">
        <v>150.78502546703356</v>
      </c>
      <c r="X108" s="3">
        <v>15.154185293678113</v>
      </c>
      <c r="Y108" s="318">
        <v>165.93921076071169</v>
      </c>
    </row>
    <row r="109" spans="1:25" x14ac:dyDescent="0.2">
      <c r="A109" s="314">
        <v>2015</v>
      </c>
      <c r="B109" s="5" t="s">
        <v>466</v>
      </c>
      <c r="C109" s="5" t="s">
        <v>314</v>
      </c>
      <c r="D109" s="5" t="s">
        <v>490</v>
      </c>
      <c r="E109" s="5" t="s">
        <v>343</v>
      </c>
      <c r="F109" s="5" t="s">
        <v>317</v>
      </c>
      <c r="G109" s="5" t="s">
        <v>344</v>
      </c>
      <c r="H109" s="3">
        <v>10.10873843410182</v>
      </c>
      <c r="I109" s="3">
        <v>0.14310656420897061</v>
      </c>
      <c r="J109" s="318">
        <v>10.251844998310791</v>
      </c>
      <c r="K109" s="3">
        <v>10.096224155225494</v>
      </c>
      <c r="L109" s="3">
        <v>35.964953514063836</v>
      </c>
      <c r="M109" s="318">
        <v>46.061177669289329</v>
      </c>
      <c r="N109" s="3">
        <v>4.5071289521492321</v>
      </c>
      <c r="O109" s="3">
        <v>34.316353568326072</v>
      </c>
      <c r="P109" s="3">
        <v>2.5288939377685908</v>
      </c>
      <c r="Q109" s="3">
        <v>1.5693939212213146</v>
      </c>
      <c r="R109" s="3">
        <v>6.1966347380804905</v>
      </c>
      <c r="S109" s="3">
        <v>10.123763707667706</v>
      </c>
      <c r="T109" s="3">
        <v>11.004871523720734</v>
      </c>
      <c r="U109" s="3">
        <v>2.0117445050438945</v>
      </c>
      <c r="V109" s="318">
        <v>72.258784853978028</v>
      </c>
      <c r="W109" s="318">
        <v>128.57180752157814</v>
      </c>
      <c r="X109" s="3">
        <v>12.921714133651383</v>
      </c>
      <c r="Y109" s="318">
        <v>141.49352165522953</v>
      </c>
    </row>
    <row r="110" spans="1:25" x14ac:dyDescent="0.2">
      <c r="A110" s="314">
        <v>2015</v>
      </c>
      <c r="B110" s="5" t="s">
        <v>466</v>
      </c>
      <c r="C110" s="5" t="s">
        <v>314</v>
      </c>
      <c r="D110" s="5" t="s">
        <v>490</v>
      </c>
      <c r="E110" s="5" t="s">
        <v>345</v>
      </c>
      <c r="F110" s="5" t="s">
        <v>317</v>
      </c>
      <c r="G110" s="5" t="s">
        <v>346</v>
      </c>
      <c r="H110" s="3">
        <v>17.239606447898968</v>
      </c>
      <c r="I110" s="3">
        <v>0</v>
      </c>
      <c r="J110" s="318">
        <v>17.239606447898968</v>
      </c>
      <c r="K110" s="3">
        <v>49.41062452081173</v>
      </c>
      <c r="L110" s="3">
        <v>17.236074410263321</v>
      </c>
      <c r="M110" s="318">
        <v>66.646698931075051</v>
      </c>
      <c r="N110" s="3">
        <v>2.9925750472418202</v>
      </c>
      <c r="O110" s="3">
        <v>7.4806761797203079</v>
      </c>
      <c r="P110" s="3">
        <v>1.9966469359183414</v>
      </c>
      <c r="Q110" s="3">
        <v>1.6509490714863178</v>
      </c>
      <c r="R110" s="3">
        <v>6.5348308574675835</v>
      </c>
      <c r="S110" s="3">
        <v>11.462028425466992</v>
      </c>
      <c r="T110" s="3">
        <v>13.23626291412781</v>
      </c>
      <c r="U110" s="3">
        <v>2.1502125359671882</v>
      </c>
      <c r="V110" s="318">
        <v>47.504181967396363</v>
      </c>
      <c r="W110" s="318">
        <v>131.39048734637038</v>
      </c>
      <c r="X110" s="3">
        <v>13.204996881202911</v>
      </c>
      <c r="Y110" s="318">
        <v>144.59548422757328</v>
      </c>
    </row>
    <row r="111" spans="1:25" x14ac:dyDescent="0.2">
      <c r="A111" s="314">
        <v>2015</v>
      </c>
      <c r="B111" s="5" t="s">
        <v>466</v>
      </c>
      <c r="C111" s="5" t="s">
        <v>314</v>
      </c>
      <c r="D111" s="5" t="s">
        <v>490</v>
      </c>
      <c r="E111" s="5" t="s">
        <v>347</v>
      </c>
      <c r="F111" s="5" t="s">
        <v>317</v>
      </c>
      <c r="G111" s="5" t="s">
        <v>348</v>
      </c>
      <c r="H111" s="3">
        <v>16.437391364610068</v>
      </c>
      <c r="I111" s="3">
        <v>0</v>
      </c>
      <c r="J111" s="318">
        <v>16.437391364610068</v>
      </c>
      <c r="K111" s="3">
        <v>1.90574037531999</v>
      </c>
      <c r="L111" s="3">
        <v>6.7831517410108546</v>
      </c>
      <c r="M111" s="318">
        <v>8.6888921163308446</v>
      </c>
      <c r="N111" s="3">
        <v>4.4135879617953773</v>
      </c>
      <c r="O111" s="3">
        <v>8.0274814271366388</v>
      </c>
      <c r="P111" s="3">
        <v>3.3410685734207801</v>
      </c>
      <c r="Q111" s="3">
        <v>2.4033615255159333</v>
      </c>
      <c r="R111" s="3">
        <v>6.7058605348835369</v>
      </c>
      <c r="S111" s="3">
        <v>7.5654403008105309</v>
      </c>
      <c r="T111" s="3">
        <v>14.974011614007624</v>
      </c>
      <c r="U111" s="3">
        <v>1.716493581234833</v>
      </c>
      <c r="V111" s="318">
        <v>49.147305518805254</v>
      </c>
      <c r="W111" s="318">
        <v>74.273588999746167</v>
      </c>
      <c r="X111" s="3">
        <v>7.4646386579313599</v>
      </c>
      <c r="Y111" s="318">
        <v>81.738227657677527</v>
      </c>
    </row>
    <row r="112" spans="1:25" x14ac:dyDescent="0.2">
      <c r="A112" s="314">
        <v>2015</v>
      </c>
      <c r="B112" s="5" t="s">
        <v>466</v>
      </c>
      <c r="C112" s="5" t="s">
        <v>314</v>
      </c>
      <c r="D112" s="5" t="s">
        <v>489</v>
      </c>
      <c r="E112" s="5" t="s">
        <v>349</v>
      </c>
      <c r="F112" s="5" t="s">
        <v>317</v>
      </c>
      <c r="G112" s="5" t="s">
        <v>350</v>
      </c>
      <c r="H112" s="3">
        <v>57.931967752855392</v>
      </c>
      <c r="I112" s="3">
        <v>0.93681796070384138</v>
      </c>
      <c r="J112" s="318">
        <v>58.868785713559234</v>
      </c>
      <c r="K112" s="3">
        <v>4.0563075976059304</v>
      </c>
      <c r="L112" s="3">
        <v>11.075483315378825</v>
      </c>
      <c r="M112" s="318">
        <v>15.131790912984755</v>
      </c>
      <c r="N112" s="3">
        <v>5.6121309074592123</v>
      </c>
      <c r="O112" s="3">
        <v>30.987353454222578</v>
      </c>
      <c r="P112" s="3">
        <v>4.9439988748553469</v>
      </c>
      <c r="Q112" s="3">
        <v>4.2023279517649579</v>
      </c>
      <c r="R112" s="3">
        <v>10.474446525980277</v>
      </c>
      <c r="S112" s="3">
        <v>13.587912240787139</v>
      </c>
      <c r="T112" s="3">
        <v>23.457267112146791</v>
      </c>
      <c r="U112" s="3">
        <v>4.6612626250967004</v>
      </c>
      <c r="V112" s="318">
        <v>97.926699692312994</v>
      </c>
      <c r="W112" s="318">
        <v>171.92727631885697</v>
      </c>
      <c r="X112" s="3">
        <v>17.279022199315222</v>
      </c>
      <c r="Y112" s="318">
        <v>189.20629851817219</v>
      </c>
    </row>
    <row r="113" spans="1:25" x14ac:dyDescent="0.2">
      <c r="A113" s="314">
        <v>2015</v>
      </c>
      <c r="B113" s="5" t="s">
        <v>466</v>
      </c>
      <c r="C113" s="5" t="s">
        <v>314</v>
      </c>
      <c r="D113" s="5" t="s">
        <v>490</v>
      </c>
      <c r="E113" s="5" t="s">
        <v>351</v>
      </c>
      <c r="F113" s="5" t="s">
        <v>317</v>
      </c>
      <c r="G113" s="5" t="s">
        <v>352</v>
      </c>
      <c r="H113" s="3">
        <v>71.431587744205146</v>
      </c>
      <c r="I113" s="3">
        <v>0</v>
      </c>
      <c r="J113" s="318">
        <v>71.431587744205146</v>
      </c>
      <c r="K113" s="3">
        <v>11.711947332020518</v>
      </c>
      <c r="L113" s="3">
        <v>11.264619294964668</v>
      </c>
      <c r="M113" s="318">
        <v>22.976566626985186</v>
      </c>
      <c r="N113" s="3">
        <v>6.3707456436932688</v>
      </c>
      <c r="O113" s="3">
        <v>38.627675228297029</v>
      </c>
      <c r="P113" s="3">
        <v>9.1232585660876069</v>
      </c>
      <c r="Q113" s="3">
        <v>7.6077882916718425</v>
      </c>
      <c r="R113" s="3">
        <v>28.574402377409637</v>
      </c>
      <c r="S113" s="3">
        <v>21.616160621883513</v>
      </c>
      <c r="T113" s="3">
        <v>36.740643850117898</v>
      </c>
      <c r="U113" s="3">
        <v>7.9155456586765238</v>
      </c>
      <c r="V113" s="318">
        <v>156.57622023783733</v>
      </c>
      <c r="W113" s="318">
        <v>250.98437460902767</v>
      </c>
      <c r="X113" s="3">
        <v>25.224412748410248</v>
      </c>
      <c r="Y113" s="318">
        <v>276.20878735743793</v>
      </c>
    </row>
    <row r="114" spans="1:25" x14ac:dyDescent="0.2">
      <c r="A114" s="314">
        <v>2015</v>
      </c>
      <c r="B114" s="5" t="s">
        <v>466</v>
      </c>
      <c r="C114" s="5" t="s">
        <v>314</v>
      </c>
      <c r="D114" s="5" t="s">
        <v>490</v>
      </c>
      <c r="E114" s="5" t="s">
        <v>353</v>
      </c>
      <c r="F114" s="5" t="s">
        <v>317</v>
      </c>
      <c r="G114" s="5" t="s">
        <v>354</v>
      </c>
      <c r="H114" s="3">
        <v>53.368432197889092</v>
      </c>
      <c r="I114" s="3">
        <v>1.0081965059346132</v>
      </c>
      <c r="J114" s="318">
        <v>54.376628703823705</v>
      </c>
      <c r="K114" s="3">
        <v>4.7607614411699481</v>
      </c>
      <c r="L114" s="3">
        <v>11.90260174738798</v>
      </c>
      <c r="M114" s="318">
        <v>16.663363188557927</v>
      </c>
      <c r="N114" s="3">
        <v>6.1678398992847496</v>
      </c>
      <c r="O114" s="3">
        <v>22.602502617295645</v>
      </c>
      <c r="P114" s="3">
        <v>6.1146349636651234</v>
      </c>
      <c r="Q114" s="3">
        <v>4.9453568781174875</v>
      </c>
      <c r="R114" s="3">
        <v>15.246716363137516</v>
      </c>
      <c r="S114" s="3">
        <v>15.483560293078328</v>
      </c>
      <c r="T114" s="3">
        <v>29.084613220540259</v>
      </c>
      <c r="U114" s="3">
        <v>4.6939249225457127</v>
      </c>
      <c r="V114" s="318">
        <v>104.33914915766483</v>
      </c>
      <c r="W114" s="318">
        <v>175.37914105004646</v>
      </c>
      <c r="X114" s="3">
        <v>17.625941249071985</v>
      </c>
      <c r="Y114" s="318">
        <v>193.00508229911844</v>
      </c>
    </row>
    <row r="115" spans="1:25" x14ac:dyDescent="0.2">
      <c r="A115" s="314">
        <v>2015</v>
      </c>
      <c r="B115" s="5" t="s">
        <v>466</v>
      </c>
      <c r="C115" s="5" t="s">
        <v>314</v>
      </c>
      <c r="D115" s="5" t="s">
        <v>490</v>
      </c>
      <c r="E115" s="5" t="s">
        <v>355</v>
      </c>
      <c r="F115" s="5" t="s">
        <v>317</v>
      </c>
      <c r="G115" s="5" t="s">
        <v>356</v>
      </c>
      <c r="H115" s="3">
        <v>29.280536336305431</v>
      </c>
      <c r="I115" s="3">
        <v>0</v>
      </c>
      <c r="J115" s="318">
        <v>29.280536336305431</v>
      </c>
      <c r="K115" s="3">
        <v>1.4673316240949406</v>
      </c>
      <c r="L115" s="3">
        <v>5.7797122110682375</v>
      </c>
      <c r="M115" s="318">
        <v>7.2470438351631783</v>
      </c>
      <c r="N115" s="3">
        <v>2.3634692251793119</v>
      </c>
      <c r="O115" s="3">
        <v>12.661602159359598</v>
      </c>
      <c r="P115" s="3">
        <v>2.013529526431733</v>
      </c>
      <c r="Q115" s="3">
        <v>1.8804745926529913</v>
      </c>
      <c r="R115" s="3">
        <v>5.4261535997968275</v>
      </c>
      <c r="S115" s="3">
        <v>7.30919765516495</v>
      </c>
      <c r="T115" s="3">
        <v>12.639543728121534</v>
      </c>
      <c r="U115" s="3">
        <v>1.7213036178747934</v>
      </c>
      <c r="V115" s="318">
        <v>46.015274104581742</v>
      </c>
      <c r="W115" s="318">
        <v>82.542854276050349</v>
      </c>
      <c r="X115" s="3">
        <v>8.2957157349695123</v>
      </c>
      <c r="Y115" s="318">
        <v>90.838570011019868</v>
      </c>
    </row>
    <row r="116" spans="1:25" x14ac:dyDescent="0.2">
      <c r="A116" s="314">
        <v>2015</v>
      </c>
      <c r="B116" s="5" t="s">
        <v>466</v>
      </c>
      <c r="C116" s="5" t="s">
        <v>314</v>
      </c>
      <c r="D116" s="5" t="s">
        <v>487</v>
      </c>
      <c r="E116" s="5" t="s">
        <v>357</v>
      </c>
      <c r="F116" s="5" t="s">
        <v>317</v>
      </c>
      <c r="G116" s="5" t="s">
        <v>358</v>
      </c>
      <c r="H116" s="3">
        <v>19.64583776906996</v>
      </c>
      <c r="I116" s="3">
        <v>1.8840964628802475</v>
      </c>
      <c r="J116" s="318">
        <v>21.529934231950207</v>
      </c>
      <c r="K116" s="3">
        <v>3.3931085051041845</v>
      </c>
      <c r="L116" s="3">
        <v>4.8667885795776762</v>
      </c>
      <c r="M116" s="318">
        <v>8.2598970846818602</v>
      </c>
      <c r="N116" s="3">
        <v>3.7817682220587443</v>
      </c>
      <c r="O116" s="3">
        <v>19.948605546576676</v>
      </c>
      <c r="P116" s="3">
        <v>2.9618274034018452</v>
      </c>
      <c r="Q116" s="3">
        <v>2.0064142649136563</v>
      </c>
      <c r="R116" s="3">
        <v>8.1139368230658064</v>
      </c>
      <c r="S116" s="3">
        <v>9.377925201665402</v>
      </c>
      <c r="T116" s="3">
        <v>16.267780893552395</v>
      </c>
      <c r="U116" s="3">
        <v>2.9922873207303571</v>
      </c>
      <c r="V116" s="318">
        <v>65.450545675964889</v>
      </c>
      <c r="W116" s="318">
        <v>95.24037699259695</v>
      </c>
      <c r="X116" s="3">
        <v>9.571841208580123</v>
      </c>
      <c r="Y116" s="318">
        <v>104.81221820117707</v>
      </c>
    </row>
    <row r="117" spans="1:25" x14ac:dyDescent="0.2">
      <c r="A117" s="314">
        <v>2015</v>
      </c>
      <c r="B117" s="5" t="s">
        <v>466</v>
      </c>
      <c r="C117" s="5" t="s">
        <v>314</v>
      </c>
      <c r="D117" s="5" t="s">
        <v>489</v>
      </c>
      <c r="E117" s="5" t="s">
        <v>359</v>
      </c>
      <c r="F117" s="5" t="s">
        <v>317</v>
      </c>
      <c r="G117" s="5" t="s">
        <v>360</v>
      </c>
      <c r="H117" s="3">
        <v>122.89182575437725</v>
      </c>
      <c r="I117" s="3">
        <v>6.4112419056136929</v>
      </c>
      <c r="J117" s="318">
        <v>129.30306765999094</v>
      </c>
      <c r="K117" s="3">
        <v>23.259596478828815</v>
      </c>
      <c r="L117" s="3">
        <v>13.90022373289278</v>
      </c>
      <c r="M117" s="318">
        <v>37.159820211721595</v>
      </c>
      <c r="N117" s="3">
        <v>9.5561756384986634</v>
      </c>
      <c r="O117" s="3">
        <v>39.33078247684589</v>
      </c>
      <c r="P117" s="3">
        <v>9.8268745900706129</v>
      </c>
      <c r="Q117" s="3">
        <v>9.3889766836582798</v>
      </c>
      <c r="R117" s="3">
        <v>20.37656169992821</v>
      </c>
      <c r="S117" s="3">
        <v>28.374890669700246</v>
      </c>
      <c r="T117" s="3">
        <v>53.308794502217054</v>
      </c>
      <c r="U117" s="3">
        <v>8.3861604794003206</v>
      </c>
      <c r="V117" s="318">
        <v>178.54921674031928</v>
      </c>
      <c r="W117" s="318">
        <v>345.01210461203186</v>
      </c>
      <c r="X117" s="3">
        <v>34.67438059992908</v>
      </c>
      <c r="Y117" s="318">
        <v>379.68648521196093</v>
      </c>
    </row>
    <row r="118" spans="1:25" x14ac:dyDescent="0.2">
      <c r="A118" s="314">
        <v>2015</v>
      </c>
      <c r="B118" s="5" t="s">
        <v>466</v>
      </c>
      <c r="C118" s="5" t="s">
        <v>314</v>
      </c>
      <c r="D118" s="5" t="s">
        <v>490</v>
      </c>
      <c r="E118" s="5" t="s">
        <v>361</v>
      </c>
      <c r="F118" s="5" t="s">
        <v>317</v>
      </c>
      <c r="G118" s="5" t="s">
        <v>362</v>
      </c>
      <c r="H118" s="3">
        <v>22.738690530585608</v>
      </c>
      <c r="I118" s="3">
        <v>0.93882798639562637</v>
      </c>
      <c r="J118" s="318">
        <v>23.677518516981234</v>
      </c>
      <c r="K118" s="3">
        <v>1.7251489462518046</v>
      </c>
      <c r="L118" s="3">
        <v>4.7431829837973511</v>
      </c>
      <c r="M118" s="318">
        <v>6.468331930049156</v>
      </c>
      <c r="N118" s="3">
        <v>1.9086826979890685</v>
      </c>
      <c r="O118" s="3">
        <v>8.9520858524047693</v>
      </c>
      <c r="P118" s="3">
        <v>2.305848547324052</v>
      </c>
      <c r="Q118" s="3">
        <v>1.8179995998774652</v>
      </c>
      <c r="R118" s="3">
        <v>7.4394067702017992</v>
      </c>
      <c r="S118" s="3">
        <v>6.701258297555861</v>
      </c>
      <c r="T118" s="3">
        <v>11.985338394830183</v>
      </c>
      <c r="U118" s="3">
        <v>2.2915692546176896</v>
      </c>
      <c r="V118" s="318">
        <v>43.402189414800894</v>
      </c>
      <c r="W118" s="318">
        <v>73.548039861831285</v>
      </c>
      <c r="X118" s="3">
        <v>7.3917195729588991</v>
      </c>
      <c r="Y118" s="318">
        <v>80.93975943479019</v>
      </c>
    </row>
    <row r="119" spans="1:25" x14ac:dyDescent="0.2">
      <c r="A119" s="314">
        <v>2015</v>
      </c>
      <c r="B119" s="5" t="s">
        <v>466</v>
      </c>
      <c r="C119" s="5" t="s">
        <v>314</v>
      </c>
      <c r="D119" s="5" t="s">
        <v>487</v>
      </c>
      <c r="E119" s="5" t="s">
        <v>363</v>
      </c>
      <c r="F119" s="5" t="s">
        <v>317</v>
      </c>
      <c r="G119" s="5" t="s">
        <v>364</v>
      </c>
      <c r="H119" s="3">
        <v>31.019704019021482</v>
      </c>
      <c r="I119" s="3">
        <v>2.0320069304688317</v>
      </c>
      <c r="J119" s="318">
        <v>33.051710949490314</v>
      </c>
      <c r="K119" s="3">
        <v>6.9704251869991092</v>
      </c>
      <c r="L119" s="3">
        <v>6.7538692736800909</v>
      </c>
      <c r="M119" s="318">
        <v>13.7242944606792</v>
      </c>
      <c r="N119" s="3">
        <v>7.1854447241043093</v>
      </c>
      <c r="O119" s="3">
        <v>24.009352407199152</v>
      </c>
      <c r="P119" s="3">
        <v>4.9291047081473529</v>
      </c>
      <c r="Q119" s="3">
        <v>3.4419837567199751</v>
      </c>
      <c r="R119" s="3">
        <v>14.823510318206248</v>
      </c>
      <c r="S119" s="3">
        <v>14.339274005139867</v>
      </c>
      <c r="T119" s="3">
        <v>22.784137015307586</v>
      </c>
      <c r="U119" s="3">
        <v>3.9604227754613284</v>
      </c>
      <c r="V119" s="318">
        <v>95.473229710285807</v>
      </c>
      <c r="W119" s="318">
        <v>142.24923512045532</v>
      </c>
      <c r="X119" s="3">
        <v>14.296321934113958</v>
      </c>
      <c r="Y119" s="318">
        <v>156.54555705456929</v>
      </c>
    </row>
    <row r="120" spans="1:25" x14ac:dyDescent="0.2">
      <c r="A120" s="314">
        <v>2015</v>
      </c>
      <c r="B120" s="5" t="s">
        <v>466</v>
      </c>
      <c r="C120" s="5" t="s">
        <v>365</v>
      </c>
      <c r="D120" s="5" t="s">
        <v>491</v>
      </c>
      <c r="E120" s="5" t="s">
        <v>367</v>
      </c>
      <c r="F120" s="5" t="s">
        <v>368</v>
      </c>
      <c r="G120" s="5" t="s">
        <v>370</v>
      </c>
      <c r="H120" s="3">
        <v>452.96618680063096</v>
      </c>
      <c r="I120" s="3">
        <v>6.1750406618027114</v>
      </c>
      <c r="J120" s="318">
        <v>459.14122746243368</v>
      </c>
      <c r="K120" s="3">
        <v>61.28130610734825</v>
      </c>
      <c r="L120" s="3">
        <v>101.29109585298565</v>
      </c>
      <c r="M120" s="318">
        <v>162.57240196033391</v>
      </c>
      <c r="N120" s="3">
        <v>69.137189415059709</v>
      </c>
      <c r="O120" s="3">
        <v>467.98748775474252</v>
      </c>
      <c r="P120" s="3">
        <v>50.846214778186351</v>
      </c>
      <c r="Q120" s="3">
        <v>54.039416448457835</v>
      </c>
      <c r="R120" s="3">
        <v>110.8012951684677</v>
      </c>
      <c r="S120" s="3">
        <v>176.43456538124605</v>
      </c>
      <c r="T120" s="3">
        <v>263.68761272435813</v>
      </c>
      <c r="U120" s="3">
        <v>31.733845239103601</v>
      </c>
      <c r="V120" s="318">
        <v>1224.667626909622</v>
      </c>
      <c r="W120" s="318">
        <v>1846.3812563323895</v>
      </c>
      <c r="X120" s="3">
        <v>185.56487021716617</v>
      </c>
      <c r="Y120" s="318">
        <v>2031.9461265495556</v>
      </c>
    </row>
    <row r="121" spans="1:25" x14ac:dyDescent="0.2">
      <c r="A121" s="314">
        <v>2015</v>
      </c>
      <c r="B121" s="5" t="s">
        <v>466</v>
      </c>
      <c r="C121" s="5" t="s">
        <v>365</v>
      </c>
      <c r="D121" s="5" t="s">
        <v>492</v>
      </c>
      <c r="E121" s="5" t="s">
        <v>371</v>
      </c>
      <c r="F121" s="5" t="s">
        <v>368</v>
      </c>
      <c r="G121" s="5" t="s">
        <v>372</v>
      </c>
      <c r="H121" s="3">
        <v>48.078070490924041</v>
      </c>
      <c r="I121" s="3">
        <v>0</v>
      </c>
      <c r="J121" s="318">
        <v>48.078070490924041</v>
      </c>
      <c r="K121" s="3">
        <v>1.7744881823780827</v>
      </c>
      <c r="L121" s="3">
        <v>20.09347838678989</v>
      </c>
      <c r="M121" s="318">
        <v>21.867966569167972</v>
      </c>
      <c r="N121" s="3">
        <v>9.2885458902003144</v>
      </c>
      <c r="O121" s="3">
        <v>26.573732484578695</v>
      </c>
      <c r="P121" s="3">
        <v>9.7074930915457944</v>
      </c>
      <c r="Q121" s="3">
        <v>8.1345197497825747</v>
      </c>
      <c r="R121" s="3">
        <v>15.968271679307215</v>
      </c>
      <c r="S121" s="3">
        <v>26.239927835945746</v>
      </c>
      <c r="T121" s="3">
        <v>70.097895107232475</v>
      </c>
      <c r="U121" s="3">
        <v>8.9236999195161708</v>
      </c>
      <c r="V121" s="318">
        <v>174.93408575810898</v>
      </c>
      <c r="W121" s="318">
        <v>244.88012281820099</v>
      </c>
      <c r="X121" s="3">
        <v>24.610923694082992</v>
      </c>
      <c r="Y121" s="318">
        <v>269.49104651228396</v>
      </c>
    </row>
    <row r="122" spans="1:25" x14ac:dyDescent="0.2">
      <c r="A122" s="314">
        <v>2015</v>
      </c>
      <c r="B122" s="5" t="s">
        <v>466</v>
      </c>
      <c r="C122" s="5" t="s">
        <v>365</v>
      </c>
      <c r="D122" s="5" t="s">
        <v>491</v>
      </c>
      <c r="E122" s="5" t="s">
        <v>373</v>
      </c>
      <c r="F122" s="5" t="s">
        <v>368</v>
      </c>
      <c r="G122" s="5" t="s">
        <v>374</v>
      </c>
      <c r="H122" s="3">
        <v>608.88118863074328</v>
      </c>
      <c r="I122" s="3">
        <v>7.7690855710764026</v>
      </c>
      <c r="J122" s="318">
        <v>616.65027420181968</v>
      </c>
      <c r="K122" s="3">
        <v>31.103673191166692</v>
      </c>
      <c r="L122" s="3">
        <v>56.987469766861992</v>
      </c>
      <c r="M122" s="318">
        <v>88.091142958028684</v>
      </c>
      <c r="N122" s="3">
        <v>21.851771593580903</v>
      </c>
      <c r="O122" s="3">
        <v>117.93155506539276</v>
      </c>
      <c r="P122" s="3">
        <v>14.899755378474516</v>
      </c>
      <c r="Q122" s="3">
        <v>9.7785032916643075</v>
      </c>
      <c r="R122" s="3">
        <v>23.227715664535765</v>
      </c>
      <c r="S122" s="3">
        <v>51.791215486660761</v>
      </c>
      <c r="T122" s="3">
        <v>65.238237535757406</v>
      </c>
      <c r="U122" s="3">
        <v>10.263613271716697</v>
      </c>
      <c r="V122" s="318">
        <v>314.98236728778312</v>
      </c>
      <c r="W122" s="318">
        <v>1019.7237844476315</v>
      </c>
      <c r="X122" s="3">
        <v>102.4842031199945</v>
      </c>
      <c r="Y122" s="318">
        <v>1122.2079875676259</v>
      </c>
    </row>
    <row r="123" spans="1:25" x14ac:dyDescent="0.2">
      <c r="A123" s="314">
        <v>2015</v>
      </c>
      <c r="B123" s="5" t="s">
        <v>466</v>
      </c>
      <c r="C123" s="5" t="s">
        <v>365</v>
      </c>
      <c r="D123" s="5" t="s">
        <v>491</v>
      </c>
      <c r="E123" s="5" t="s">
        <v>375</v>
      </c>
      <c r="F123" s="5" t="s">
        <v>368</v>
      </c>
      <c r="G123" s="5" t="s">
        <v>376</v>
      </c>
      <c r="H123" s="3">
        <v>261.23202851163239</v>
      </c>
      <c r="I123" s="3">
        <v>0</v>
      </c>
      <c r="J123" s="318">
        <v>261.23202851163239</v>
      </c>
      <c r="K123" s="3">
        <v>27.378711919258876</v>
      </c>
      <c r="L123" s="3">
        <v>38.732347089517347</v>
      </c>
      <c r="M123" s="318">
        <v>66.111059008776223</v>
      </c>
      <c r="N123" s="3">
        <v>20.979396281518511</v>
      </c>
      <c r="O123" s="3">
        <v>142.99655934049682</v>
      </c>
      <c r="P123" s="3">
        <v>21.108318931067164</v>
      </c>
      <c r="Q123" s="3">
        <v>18.825496948549752</v>
      </c>
      <c r="R123" s="3">
        <v>34.182624190433643</v>
      </c>
      <c r="S123" s="3">
        <v>58.486752175352116</v>
      </c>
      <c r="T123" s="3">
        <v>90.602826235363423</v>
      </c>
      <c r="U123" s="3">
        <v>12.884513460785787</v>
      </c>
      <c r="V123" s="318">
        <v>400.06648756356725</v>
      </c>
      <c r="W123" s="318">
        <v>727.40957508397582</v>
      </c>
      <c r="X123" s="3">
        <v>73.106062429167352</v>
      </c>
      <c r="Y123" s="318">
        <v>800.51563751314313</v>
      </c>
    </row>
    <row r="124" spans="1:25" x14ac:dyDescent="0.2">
      <c r="A124" s="314">
        <v>2015</v>
      </c>
      <c r="B124" s="5" t="s">
        <v>466</v>
      </c>
      <c r="C124" s="5" t="s">
        <v>365</v>
      </c>
      <c r="D124" s="5" t="s">
        <v>493</v>
      </c>
      <c r="E124" s="5" t="s">
        <v>377</v>
      </c>
      <c r="F124" s="5" t="s">
        <v>368</v>
      </c>
      <c r="G124" s="5" t="s">
        <v>378</v>
      </c>
      <c r="H124" s="3">
        <v>3.2652510160656294</v>
      </c>
      <c r="I124" s="3">
        <v>0</v>
      </c>
      <c r="J124" s="318">
        <v>3.2652510160656294</v>
      </c>
      <c r="K124" s="3">
        <v>0.40013157587383086</v>
      </c>
      <c r="L124" s="3">
        <v>2.4353877682445511</v>
      </c>
      <c r="M124" s="318">
        <v>2.8355193441183819</v>
      </c>
      <c r="N124" s="3">
        <v>1.4732946209120448</v>
      </c>
      <c r="O124" s="3">
        <v>1.7919702359194973</v>
      </c>
      <c r="P124" s="3">
        <v>1.8668338574181944</v>
      </c>
      <c r="Q124" s="3">
        <v>0.84942553758494621</v>
      </c>
      <c r="R124" s="3">
        <v>2.7694937035270732</v>
      </c>
      <c r="S124" s="3">
        <v>4.7730962636303982</v>
      </c>
      <c r="T124" s="3">
        <v>13.310468393789172</v>
      </c>
      <c r="U124" s="3">
        <v>0.95613410607570515</v>
      </c>
      <c r="V124" s="318">
        <v>27.790716718857031</v>
      </c>
      <c r="W124" s="318">
        <v>33.891487079041042</v>
      </c>
      <c r="X124" s="3">
        <v>3.4061596865921211</v>
      </c>
      <c r="Y124" s="318">
        <v>37.297646765633161</v>
      </c>
    </row>
    <row r="125" spans="1:25" x14ac:dyDescent="0.2">
      <c r="A125" s="314">
        <v>2015</v>
      </c>
      <c r="B125" s="5" t="s">
        <v>466</v>
      </c>
      <c r="C125" s="5" t="s">
        <v>365</v>
      </c>
      <c r="D125" s="5" t="s">
        <v>491</v>
      </c>
      <c r="E125" s="5" t="s">
        <v>379</v>
      </c>
      <c r="F125" s="5" t="s">
        <v>368</v>
      </c>
      <c r="G125" s="5" t="s">
        <v>380</v>
      </c>
      <c r="H125" s="3">
        <v>26.830779073021851</v>
      </c>
      <c r="I125" s="3">
        <v>1.6230646158919164</v>
      </c>
      <c r="J125" s="318">
        <v>28.453843688913768</v>
      </c>
      <c r="K125" s="3">
        <v>1.5716412630415615</v>
      </c>
      <c r="L125" s="3">
        <v>8.913106137744963</v>
      </c>
      <c r="M125" s="318">
        <v>10.484747400786524</v>
      </c>
      <c r="N125" s="3">
        <v>6.188095382026467</v>
      </c>
      <c r="O125" s="3">
        <v>16.516936098498338</v>
      </c>
      <c r="P125" s="3">
        <v>3.927815358261725</v>
      </c>
      <c r="Q125" s="3">
        <v>3.2729288370333434</v>
      </c>
      <c r="R125" s="3">
        <v>7.4264699792772149</v>
      </c>
      <c r="S125" s="3">
        <v>11.766547597401253</v>
      </c>
      <c r="T125" s="3">
        <v>32.487312196220955</v>
      </c>
      <c r="U125" s="3">
        <v>2.3076520714682078</v>
      </c>
      <c r="V125" s="318">
        <v>83.893757520187506</v>
      </c>
      <c r="W125" s="318">
        <v>122.83234860988779</v>
      </c>
      <c r="X125" s="3">
        <v>12.344887465760884</v>
      </c>
      <c r="Y125" s="318">
        <v>135.17723607564866</v>
      </c>
    </row>
    <row r="126" spans="1:25" x14ac:dyDescent="0.2">
      <c r="A126" s="314">
        <v>2015</v>
      </c>
      <c r="B126" s="5" t="s">
        <v>466</v>
      </c>
      <c r="C126" s="5" t="s">
        <v>365</v>
      </c>
      <c r="D126" s="5" t="s">
        <v>492</v>
      </c>
      <c r="E126" s="5" t="s">
        <v>381</v>
      </c>
      <c r="F126" s="5" t="s">
        <v>368</v>
      </c>
      <c r="G126" s="5" t="s">
        <v>382</v>
      </c>
      <c r="H126" s="3">
        <v>66.522350855586026</v>
      </c>
      <c r="I126" s="3">
        <v>0</v>
      </c>
      <c r="J126" s="318">
        <v>66.522350855586026</v>
      </c>
      <c r="K126" s="3">
        <v>2.7055359311491558</v>
      </c>
      <c r="L126" s="3">
        <v>31.123443700712798</v>
      </c>
      <c r="M126" s="318">
        <v>33.828979631861955</v>
      </c>
      <c r="N126" s="3">
        <v>23.608474156415575</v>
      </c>
      <c r="O126" s="3">
        <v>71.792316118159718</v>
      </c>
      <c r="P126" s="3">
        <v>11.56681466883443</v>
      </c>
      <c r="Q126" s="3">
        <v>9.9418351057498775</v>
      </c>
      <c r="R126" s="3">
        <v>20.737564482819042</v>
      </c>
      <c r="S126" s="3">
        <v>39.024176021593121</v>
      </c>
      <c r="T126" s="3">
        <v>89.889689620809435</v>
      </c>
      <c r="U126" s="3">
        <v>9.4623094432507902</v>
      </c>
      <c r="V126" s="318">
        <v>276.02317961763197</v>
      </c>
      <c r="W126" s="318">
        <v>376.37451010507993</v>
      </c>
      <c r="X126" s="3">
        <v>37.826362719894504</v>
      </c>
      <c r="Y126" s="318">
        <v>414.20087282497445</v>
      </c>
    </row>
    <row r="127" spans="1:25" x14ac:dyDescent="0.2">
      <c r="A127" s="314">
        <v>2015</v>
      </c>
      <c r="B127" s="5" t="s">
        <v>466</v>
      </c>
      <c r="C127" s="5" t="s">
        <v>365</v>
      </c>
      <c r="D127" s="5" t="s">
        <v>492</v>
      </c>
      <c r="E127" s="5" t="s">
        <v>383</v>
      </c>
      <c r="F127" s="5" t="s">
        <v>368</v>
      </c>
      <c r="G127" s="5" t="s">
        <v>384</v>
      </c>
      <c r="H127" s="3">
        <v>45.901653640910389</v>
      </c>
      <c r="I127" s="3">
        <v>0</v>
      </c>
      <c r="J127" s="318">
        <v>45.901653640910389</v>
      </c>
      <c r="K127" s="3">
        <v>1.8817531409637613</v>
      </c>
      <c r="L127" s="3">
        <v>12.495310669344748</v>
      </c>
      <c r="M127" s="318">
        <v>14.37706381030851</v>
      </c>
      <c r="N127" s="3">
        <v>8.9530824033113721</v>
      </c>
      <c r="O127" s="3">
        <v>21.857623623424001</v>
      </c>
      <c r="P127" s="3">
        <v>5.6917625159379996</v>
      </c>
      <c r="Q127" s="3">
        <v>4.5858144165159747</v>
      </c>
      <c r="R127" s="3">
        <v>5.5436980267147211</v>
      </c>
      <c r="S127" s="3">
        <v>15.975056362149706</v>
      </c>
      <c r="T127" s="3">
        <v>40.276235123065376</v>
      </c>
      <c r="U127" s="3">
        <v>3.3912667189264498</v>
      </c>
      <c r="V127" s="318">
        <v>106.2745391900456</v>
      </c>
      <c r="W127" s="318">
        <v>166.55325664126451</v>
      </c>
      <c r="X127" s="3">
        <v>16.738922877817661</v>
      </c>
      <c r="Y127" s="318">
        <v>183.29217951908217</v>
      </c>
    </row>
    <row r="128" spans="1:25" x14ac:dyDescent="0.2">
      <c r="A128" s="314">
        <v>2015</v>
      </c>
      <c r="B128" s="5" t="s">
        <v>466</v>
      </c>
      <c r="C128" s="5" t="s">
        <v>365</v>
      </c>
      <c r="D128" s="5" t="s">
        <v>492</v>
      </c>
      <c r="E128" s="5" t="s">
        <v>385</v>
      </c>
      <c r="F128" s="5" t="s">
        <v>368</v>
      </c>
      <c r="G128" s="5" t="s">
        <v>386</v>
      </c>
      <c r="H128" s="3">
        <v>50.813877104031619</v>
      </c>
      <c r="I128" s="3">
        <v>0</v>
      </c>
      <c r="J128" s="318">
        <v>50.813877104031619</v>
      </c>
      <c r="K128" s="3">
        <v>2.5645009503157601</v>
      </c>
      <c r="L128" s="3">
        <v>18.587347274229181</v>
      </c>
      <c r="M128" s="318">
        <v>21.151848224544942</v>
      </c>
      <c r="N128" s="3">
        <v>4.9287617401488246</v>
      </c>
      <c r="O128" s="3">
        <v>37.299756677160197</v>
      </c>
      <c r="P128" s="3">
        <v>10.183721610912208</v>
      </c>
      <c r="Q128" s="3">
        <v>8.2502739964024716</v>
      </c>
      <c r="R128" s="3">
        <v>13.545021909216722</v>
      </c>
      <c r="S128" s="3">
        <v>27.719142482193096</v>
      </c>
      <c r="T128" s="3">
        <v>67.023172576871914</v>
      </c>
      <c r="U128" s="3">
        <v>5.7372401906394259</v>
      </c>
      <c r="V128" s="318">
        <v>174.68709118354485</v>
      </c>
      <c r="W128" s="318">
        <v>246.65281651212143</v>
      </c>
      <c r="X128" s="3">
        <v>24.789082822426384</v>
      </c>
      <c r="Y128" s="318">
        <v>271.44189933454783</v>
      </c>
    </row>
    <row r="129" spans="1:25" x14ac:dyDescent="0.2">
      <c r="A129" s="314">
        <v>2015</v>
      </c>
      <c r="B129" s="5" t="s">
        <v>466</v>
      </c>
      <c r="C129" s="5" t="s">
        <v>365</v>
      </c>
      <c r="D129" s="5" t="s">
        <v>491</v>
      </c>
      <c r="E129" s="5" t="s">
        <v>387</v>
      </c>
      <c r="F129" s="5" t="s">
        <v>368</v>
      </c>
      <c r="G129" s="5" t="s">
        <v>494</v>
      </c>
      <c r="H129" s="3">
        <v>712.77242780991617</v>
      </c>
      <c r="I129" s="3">
        <v>11.417109670587024</v>
      </c>
      <c r="J129" s="318">
        <v>724.18953748050319</v>
      </c>
      <c r="K129" s="3">
        <v>33.415352278355577</v>
      </c>
      <c r="L129" s="3">
        <v>133.32907899769017</v>
      </c>
      <c r="M129" s="318">
        <v>166.74443127604576</v>
      </c>
      <c r="N129" s="3">
        <v>62.600131112900463</v>
      </c>
      <c r="O129" s="3">
        <v>211.93542340860677</v>
      </c>
      <c r="P129" s="3">
        <v>47.70391304040502</v>
      </c>
      <c r="Q129" s="3">
        <v>37.915036645971114</v>
      </c>
      <c r="R129" s="3">
        <v>70.991694467471689</v>
      </c>
      <c r="S129" s="3">
        <v>165.87760657810682</v>
      </c>
      <c r="T129" s="3">
        <v>382.32521747693806</v>
      </c>
      <c r="U129" s="3">
        <v>30.577013036912113</v>
      </c>
      <c r="V129" s="318">
        <v>1009.9260357673121</v>
      </c>
      <c r="W129" s="318">
        <v>1900.8600045238609</v>
      </c>
      <c r="X129" s="3">
        <v>191.04008926951082</v>
      </c>
      <c r="Y129" s="318">
        <v>2091.9000937933715</v>
      </c>
    </row>
    <row r="130" spans="1:25" x14ac:dyDescent="0.2">
      <c r="A130" s="314">
        <v>2015</v>
      </c>
      <c r="B130" s="5" t="s">
        <v>466</v>
      </c>
      <c r="C130" s="5" t="s">
        <v>365</v>
      </c>
      <c r="D130" s="5" t="s">
        <v>493</v>
      </c>
      <c r="E130" s="5" t="s">
        <v>389</v>
      </c>
      <c r="F130" s="5" t="s">
        <v>368</v>
      </c>
      <c r="G130" s="5" t="s">
        <v>390</v>
      </c>
      <c r="H130" s="3">
        <v>8.4137292794593979</v>
      </c>
      <c r="I130" s="3">
        <v>0</v>
      </c>
      <c r="J130" s="318">
        <v>8.4137292794593979</v>
      </c>
      <c r="K130" s="3">
        <v>0</v>
      </c>
      <c r="L130" s="3">
        <v>4.0698619992205574</v>
      </c>
      <c r="M130" s="318">
        <v>4.0698619992205574</v>
      </c>
      <c r="N130" s="3">
        <v>2.6746374883669026</v>
      </c>
      <c r="O130" s="3">
        <v>3.6059318967620797</v>
      </c>
      <c r="P130" s="3">
        <v>2.3810014633233645</v>
      </c>
      <c r="Q130" s="3">
        <v>1.6034622898553526</v>
      </c>
      <c r="R130" s="3">
        <v>4.1162301500195326</v>
      </c>
      <c r="S130" s="3">
        <v>4.7836412345223227</v>
      </c>
      <c r="T130" s="3">
        <v>15.168150013901755</v>
      </c>
      <c r="U130" s="3">
        <v>1.8282966524629378</v>
      </c>
      <c r="V130" s="318">
        <v>36.161351189214244</v>
      </c>
      <c r="W130" s="318">
        <v>48.644942467894197</v>
      </c>
      <c r="X130" s="3">
        <v>4.8889103509355278</v>
      </c>
      <c r="Y130" s="318">
        <v>53.533852818829722</v>
      </c>
    </row>
    <row r="131" spans="1:25" x14ac:dyDescent="0.2">
      <c r="A131" s="312">
        <v>2016</v>
      </c>
      <c r="B131" s="309" t="s">
        <v>466</v>
      </c>
      <c r="C131" s="315"/>
      <c r="D131" s="315"/>
      <c r="E131" s="309"/>
      <c r="F131" s="315"/>
      <c r="G131" s="309" t="s">
        <v>467</v>
      </c>
      <c r="H131" s="313">
        <v>7413.7796575374041</v>
      </c>
      <c r="I131" s="313">
        <v>2826.5357626022242</v>
      </c>
      <c r="J131" s="318">
        <v>10240.315420139628</v>
      </c>
      <c r="K131" s="313">
        <v>21031.586564243509</v>
      </c>
      <c r="L131" s="313">
        <v>9481.6540978370285</v>
      </c>
      <c r="M131" s="318">
        <v>30513.240662080538</v>
      </c>
      <c r="N131" s="313">
        <v>5442.5682680242826</v>
      </c>
      <c r="O131" s="313">
        <v>21461.502240182061</v>
      </c>
      <c r="P131" s="313">
        <v>3594.3737961676056</v>
      </c>
      <c r="Q131" s="313">
        <v>5491.5633547059606</v>
      </c>
      <c r="R131" s="313">
        <v>10794.725592223855</v>
      </c>
      <c r="S131" s="313">
        <v>11010.786020329992</v>
      </c>
      <c r="T131" s="313">
        <v>13796.385116041554</v>
      </c>
      <c r="U131" s="313">
        <v>2917.7457252876743</v>
      </c>
      <c r="V131" s="318">
        <v>74509.650112962991</v>
      </c>
      <c r="W131" s="318">
        <v>115263.20619518316</v>
      </c>
      <c r="X131" s="313">
        <v>10758.437877343251</v>
      </c>
      <c r="Y131" s="318">
        <v>126021.64407252641</v>
      </c>
    </row>
    <row r="132" spans="1:25" x14ac:dyDescent="0.2">
      <c r="A132" s="314">
        <v>2016</v>
      </c>
      <c r="B132" s="5" t="s">
        <v>466</v>
      </c>
      <c r="C132" s="5" t="s">
        <v>90</v>
      </c>
      <c r="D132" s="5" t="s">
        <v>468</v>
      </c>
      <c r="E132" s="5" t="s">
        <v>93</v>
      </c>
      <c r="F132" s="5" t="s">
        <v>94</v>
      </c>
      <c r="G132" s="5" t="s">
        <v>469</v>
      </c>
      <c r="H132" s="3">
        <v>138.41265078232098</v>
      </c>
      <c r="I132" s="3">
        <v>3.3917714366657821</v>
      </c>
      <c r="J132" s="318">
        <v>141.80442221898676</v>
      </c>
      <c r="K132" s="3">
        <v>7252.7876812875184</v>
      </c>
      <c r="L132" s="3">
        <v>5006.8650701108636</v>
      </c>
      <c r="M132" s="318">
        <v>12259.652751398382</v>
      </c>
      <c r="N132" s="3">
        <v>1841.950066375073</v>
      </c>
      <c r="O132" s="3">
        <v>10035.128724663036</v>
      </c>
      <c r="P132" s="3">
        <v>1729.8477312274506</v>
      </c>
      <c r="Q132" s="3">
        <v>3981.4963797417604</v>
      </c>
      <c r="R132" s="3">
        <v>5297.0006716000153</v>
      </c>
      <c r="S132" s="3">
        <v>5126.1586202011777</v>
      </c>
      <c r="T132" s="3">
        <v>7261.657240635046</v>
      </c>
      <c r="U132" s="3">
        <v>1373.0648290033791</v>
      </c>
      <c r="V132" s="318">
        <v>36646.304263446938</v>
      </c>
      <c r="W132" s="318">
        <v>49047.761437064306</v>
      </c>
      <c r="X132" s="3">
        <v>4578.0202708386951</v>
      </c>
      <c r="Y132" s="318">
        <v>53625.781707902999</v>
      </c>
    </row>
    <row r="133" spans="1:25" x14ac:dyDescent="0.2">
      <c r="A133" s="314">
        <v>2016</v>
      </c>
      <c r="B133" s="5" t="s">
        <v>466</v>
      </c>
      <c r="C133" s="5" t="s">
        <v>90</v>
      </c>
      <c r="D133" s="5" t="s">
        <v>470</v>
      </c>
      <c r="E133" s="5" t="s">
        <v>98</v>
      </c>
      <c r="F133" s="5" t="s">
        <v>94</v>
      </c>
      <c r="G133" s="5" t="s">
        <v>99</v>
      </c>
      <c r="H133" s="3">
        <v>97.239175907542091</v>
      </c>
      <c r="I133" s="3">
        <v>15.289975421322836</v>
      </c>
      <c r="J133" s="318">
        <v>112.52915132886493</v>
      </c>
      <c r="K133" s="3">
        <v>327.19765918814136</v>
      </c>
      <c r="L133" s="3">
        <v>42.944060226629063</v>
      </c>
      <c r="M133" s="318">
        <v>370.14171941477042</v>
      </c>
      <c r="N133" s="3">
        <v>48.297533988558214</v>
      </c>
      <c r="O133" s="3">
        <v>42.962396443329382</v>
      </c>
      <c r="P133" s="3">
        <v>7.8308681164296701</v>
      </c>
      <c r="Q133" s="3">
        <v>4.0766571187080958</v>
      </c>
      <c r="R133" s="3">
        <v>23.223344104702544</v>
      </c>
      <c r="S133" s="3">
        <v>47.079723184956606</v>
      </c>
      <c r="T133" s="3">
        <v>168.41813357132892</v>
      </c>
      <c r="U133" s="3">
        <v>5.9627737023898737</v>
      </c>
      <c r="V133" s="318">
        <v>347.85143023040337</v>
      </c>
      <c r="W133" s="318">
        <v>830.52230097403879</v>
      </c>
      <c r="X133" s="3">
        <v>77.51929584230821</v>
      </c>
      <c r="Y133" s="318">
        <v>908.04159681634701</v>
      </c>
    </row>
    <row r="134" spans="1:25" x14ac:dyDescent="0.2">
      <c r="A134" s="314">
        <v>2016</v>
      </c>
      <c r="B134" s="5" t="s">
        <v>466</v>
      </c>
      <c r="C134" s="5" t="s">
        <v>90</v>
      </c>
      <c r="D134" s="5" t="s">
        <v>470</v>
      </c>
      <c r="E134" s="5" t="s">
        <v>101</v>
      </c>
      <c r="F134" s="5" t="s">
        <v>94</v>
      </c>
      <c r="G134" s="5" t="s">
        <v>102</v>
      </c>
      <c r="H134" s="3">
        <v>28.289404711804607</v>
      </c>
      <c r="I134" s="3">
        <v>0.82311668047052955</v>
      </c>
      <c r="J134" s="318">
        <v>29.112521392275138</v>
      </c>
      <c r="K134" s="3">
        <v>622.64453055841318</v>
      </c>
      <c r="L134" s="3">
        <v>451.48244944597286</v>
      </c>
      <c r="M134" s="318">
        <v>1074.126980004386</v>
      </c>
      <c r="N134" s="3">
        <v>224.80544933415877</v>
      </c>
      <c r="O134" s="3">
        <v>1360.8535516659124</v>
      </c>
      <c r="P134" s="3">
        <v>142.65931334866943</v>
      </c>
      <c r="Q134" s="3">
        <v>178.31328636962243</v>
      </c>
      <c r="R134" s="3">
        <v>683.5286150053264</v>
      </c>
      <c r="S134" s="3">
        <v>477.81751950678233</v>
      </c>
      <c r="T134" s="3">
        <v>475.56797336720325</v>
      </c>
      <c r="U134" s="3">
        <v>197.75295953336661</v>
      </c>
      <c r="V134" s="318">
        <v>3741.2986681310417</v>
      </c>
      <c r="W134" s="318">
        <v>4844.5381695277028</v>
      </c>
      <c r="X134" s="3">
        <v>452.17953466455032</v>
      </c>
      <c r="Y134" s="318">
        <v>5296.7177041922532</v>
      </c>
    </row>
    <row r="135" spans="1:25" x14ac:dyDescent="0.2">
      <c r="A135" s="314">
        <v>2016</v>
      </c>
      <c r="B135" s="5" t="s">
        <v>466</v>
      </c>
      <c r="C135" s="5" t="s">
        <v>90</v>
      </c>
      <c r="D135" s="5" t="s">
        <v>471</v>
      </c>
      <c r="E135" s="5" t="s">
        <v>104</v>
      </c>
      <c r="F135" s="5" t="s">
        <v>94</v>
      </c>
      <c r="G135" s="5" t="s">
        <v>105</v>
      </c>
      <c r="H135" s="3">
        <v>57.175593581833944</v>
      </c>
      <c r="I135" s="3">
        <v>0</v>
      </c>
      <c r="J135" s="318">
        <v>57.175593581833944</v>
      </c>
      <c r="K135" s="3">
        <v>240.47098032920999</v>
      </c>
      <c r="L135" s="3">
        <v>52.628172653503697</v>
      </c>
      <c r="M135" s="318">
        <v>293.09915298271369</v>
      </c>
      <c r="N135" s="3">
        <v>23.645178634806111</v>
      </c>
      <c r="O135" s="3">
        <v>219.86900291241136</v>
      </c>
      <c r="P135" s="3">
        <v>117.80139272490611</v>
      </c>
      <c r="Q135" s="3">
        <v>20.751271221161922</v>
      </c>
      <c r="R135" s="3">
        <v>75.704182117651413</v>
      </c>
      <c r="S135" s="3">
        <v>64.520711405471545</v>
      </c>
      <c r="T135" s="3">
        <v>80.958915104978473</v>
      </c>
      <c r="U135" s="3">
        <v>15.364530884747237</v>
      </c>
      <c r="V135" s="318">
        <v>618.61518500613408</v>
      </c>
      <c r="W135" s="318">
        <v>968.88993157068171</v>
      </c>
      <c r="X135" s="3">
        <v>90.43425463226572</v>
      </c>
      <c r="Y135" s="318">
        <v>1059.3241862029474</v>
      </c>
    </row>
    <row r="136" spans="1:25" x14ac:dyDescent="0.2">
      <c r="A136" s="314">
        <v>2016</v>
      </c>
      <c r="B136" s="5" t="s">
        <v>466</v>
      </c>
      <c r="C136" s="5" t="s">
        <v>90</v>
      </c>
      <c r="D136" s="5" t="s">
        <v>470</v>
      </c>
      <c r="E136" s="5" t="s">
        <v>106</v>
      </c>
      <c r="F136" s="5" t="s">
        <v>94</v>
      </c>
      <c r="G136" s="5" t="s">
        <v>107</v>
      </c>
      <c r="H136" s="3">
        <v>8.7436178002799512</v>
      </c>
      <c r="I136" s="3">
        <v>2.2672135452425422E-3</v>
      </c>
      <c r="J136" s="318">
        <v>8.7458850138251929</v>
      </c>
      <c r="K136" s="3">
        <v>403.04331617080908</v>
      </c>
      <c r="L136" s="3">
        <v>134.94315557223268</v>
      </c>
      <c r="M136" s="318">
        <v>537.98647174304176</v>
      </c>
      <c r="N136" s="3">
        <v>32.9660311499957</v>
      </c>
      <c r="O136" s="3">
        <v>138.19278304730574</v>
      </c>
      <c r="P136" s="3">
        <v>33.697985641333744</v>
      </c>
      <c r="Q136" s="3">
        <v>16.385075522113397</v>
      </c>
      <c r="R136" s="3">
        <v>88.25668272447578</v>
      </c>
      <c r="S136" s="3">
        <v>83.62598685105057</v>
      </c>
      <c r="T136" s="3">
        <v>183.58497215649521</v>
      </c>
      <c r="U136" s="3">
        <v>17.951702106980459</v>
      </c>
      <c r="V136" s="318">
        <v>594.66121919975058</v>
      </c>
      <c r="W136" s="318">
        <v>1141.3935759566177</v>
      </c>
      <c r="X136" s="3">
        <v>106.53540089570325</v>
      </c>
      <c r="Y136" s="318">
        <v>1247.9289768523211</v>
      </c>
    </row>
    <row r="137" spans="1:25" x14ac:dyDescent="0.2">
      <c r="A137" s="314">
        <v>2016</v>
      </c>
      <c r="B137" s="5" t="s">
        <v>466</v>
      </c>
      <c r="C137" s="5" t="s">
        <v>90</v>
      </c>
      <c r="D137" s="5" t="s">
        <v>471</v>
      </c>
      <c r="E137" s="5" t="s">
        <v>109</v>
      </c>
      <c r="F137" s="5" t="s">
        <v>94</v>
      </c>
      <c r="G137" s="5" t="s">
        <v>110</v>
      </c>
      <c r="H137" s="3">
        <v>16.362171695595798</v>
      </c>
      <c r="I137" s="3">
        <v>0</v>
      </c>
      <c r="J137" s="318">
        <v>16.362171695595798</v>
      </c>
      <c r="K137" s="3">
        <v>2370.3327099666044</v>
      </c>
      <c r="L137" s="3">
        <v>591.80573768785098</v>
      </c>
      <c r="M137" s="318">
        <v>2962.1384476544554</v>
      </c>
      <c r="N137" s="3">
        <v>337.25887114086055</v>
      </c>
      <c r="O137" s="3">
        <v>1666.9591163168229</v>
      </c>
      <c r="P137" s="3">
        <v>312.808123019714</v>
      </c>
      <c r="Q137" s="3">
        <v>244.07142755021817</v>
      </c>
      <c r="R137" s="3">
        <v>1171.7808168592412</v>
      </c>
      <c r="S137" s="3">
        <v>1002.9580842810578</v>
      </c>
      <c r="T137" s="3">
        <v>544.78329716547864</v>
      </c>
      <c r="U137" s="3">
        <v>364.96916249304587</v>
      </c>
      <c r="V137" s="318">
        <v>5645.5888988264396</v>
      </c>
      <c r="W137" s="318">
        <v>8624.0895181764899</v>
      </c>
      <c r="X137" s="3">
        <v>804.95532262771883</v>
      </c>
      <c r="Y137" s="318">
        <v>9429.0448408042084</v>
      </c>
    </row>
    <row r="138" spans="1:25" x14ac:dyDescent="0.2">
      <c r="A138" s="314">
        <v>2016</v>
      </c>
      <c r="B138" s="5" t="s">
        <v>466</v>
      </c>
      <c r="C138" s="5" t="s">
        <v>90</v>
      </c>
      <c r="D138" s="5" t="s">
        <v>470</v>
      </c>
      <c r="E138" s="5" t="s">
        <v>112</v>
      </c>
      <c r="F138" s="5" t="s">
        <v>94</v>
      </c>
      <c r="G138" s="5" t="s">
        <v>113</v>
      </c>
      <c r="H138" s="3">
        <v>37.201256299203315</v>
      </c>
      <c r="I138" s="3">
        <v>2.4410022712506896</v>
      </c>
      <c r="J138" s="318">
        <v>39.642258570454004</v>
      </c>
      <c r="K138" s="3">
        <v>1135.2478495740952</v>
      </c>
      <c r="L138" s="3">
        <v>140.5032740344277</v>
      </c>
      <c r="M138" s="318">
        <v>1275.7511236085229</v>
      </c>
      <c r="N138" s="3">
        <v>24.741376369895828</v>
      </c>
      <c r="O138" s="3">
        <v>153.98988061567374</v>
      </c>
      <c r="P138" s="3">
        <v>68.746292605433496</v>
      </c>
      <c r="Q138" s="3">
        <v>8.0958649123484392</v>
      </c>
      <c r="R138" s="3">
        <v>36.114860556663245</v>
      </c>
      <c r="S138" s="3">
        <v>100.96849784815619</v>
      </c>
      <c r="T138" s="3">
        <v>156.69459191567864</v>
      </c>
      <c r="U138" s="3">
        <v>7.8034648285108501</v>
      </c>
      <c r="V138" s="318">
        <v>557.15482965236038</v>
      </c>
      <c r="W138" s="318">
        <v>1872.5482118313373</v>
      </c>
      <c r="X138" s="3">
        <v>174.7799169771796</v>
      </c>
      <c r="Y138" s="318">
        <v>2047.3281288085168</v>
      </c>
    </row>
    <row r="139" spans="1:25" x14ac:dyDescent="0.2">
      <c r="A139" s="314">
        <v>2016</v>
      </c>
      <c r="B139" s="5" t="s">
        <v>466</v>
      </c>
      <c r="C139" s="5" t="s">
        <v>90</v>
      </c>
      <c r="D139" s="5" t="s">
        <v>471</v>
      </c>
      <c r="E139" s="5" t="s">
        <v>115</v>
      </c>
      <c r="F139" s="5" t="s">
        <v>94</v>
      </c>
      <c r="G139" s="5" t="s">
        <v>116</v>
      </c>
      <c r="H139" s="3">
        <v>0.22213995113636903</v>
      </c>
      <c r="I139" s="3">
        <v>0.28971500936009625</v>
      </c>
      <c r="J139" s="318">
        <v>0.51185496049646528</v>
      </c>
      <c r="K139" s="3">
        <v>2571.4030039919912</v>
      </c>
      <c r="L139" s="3">
        <v>517.56915369568605</v>
      </c>
      <c r="M139" s="318">
        <v>3088.9721576876773</v>
      </c>
      <c r="N139" s="3">
        <v>330.2403020206753</v>
      </c>
      <c r="O139" s="3">
        <v>1380.1057569853851</v>
      </c>
      <c r="P139" s="3">
        <v>139.77423492421229</v>
      </c>
      <c r="Q139" s="3">
        <v>246.41659983233643</v>
      </c>
      <c r="R139" s="3">
        <v>708.74621818128185</v>
      </c>
      <c r="S139" s="3">
        <v>772.30813589677302</v>
      </c>
      <c r="T139" s="3">
        <v>323.32155177162366</v>
      </c>
      <c r="U139" s="3">
        <v>149.92531980992717</v>
      </c>
      <c r="V139" s="318">
        <v>4050.8381194222143</v>
      </c>
      <c r="W139" s="318">
        <v>7140.3221320703879</v>
      </c>
      <c r="X139" s="3">
        <v>666.46343284964678</v>
      </c>
      <c r="Y139" s="318">
        <v>7806.7855649200346</v>
      </c>
    </row>
    <row r="140" spans="1:25" x14ac:dyDescent="0.2">
      <c r="A140" s="314">
        <v>2016</v>
      </c>
      <c r="B140" s="5" t="s">
        <v>466</v>
      </c>
      <c r="C140" s="5" t="s">
        <v>90</v>
      </c>
      <c r="D140" s="5" t="s">
        <v>471</v>
      </c>
      <c r="E140" s="5" t="s">
        <v>118</v>
      </c>
      <c r="F140" s="5" t="s">
        <v>94</v>
      </c>
      <c r="G140" s="5" t="s">
        <v>119</v>
      </c>
      <c r="H140" s="3">
        <v>6.0459079986873769</v>
      </c>
      <c r="I140" s="3">
        <v>0</v>
      </c>
      <c r="J140" s="318">
        <v>6.0459079986873769</v>
      </c>
      <c r="K140" s="3">
        <v>632.29350554071289</v>
      </c>
      <c r="L140" s="3">
        <v>123.68767870523675</v>
      </c>
      <c r="M140" s="318">
        <v>755.98118424594963</v>
      </c>
      <c r="N140" s="3">
        <v>57.282168833902787</v>
      </c>
      <c r="O140" s="3">
        <v>237.89496601048774</v>
      </c>
      <c r="P140" s="3">
        <v>61.961910228408691</v>
      </c>
      <c r="Q140" s="3">
        <v>14.471823092082033</v>
      </c>
      <c r="R140" s="3">
        <v>101.61471284062773</v>
      </c>
      <c r="S140" s="3">
        <v>118.67172956543244</v>
      </c>
      <c r="T140" s="3">
        <v>98.438511134211751</v>
      </c>
      <c r="U140" s="3">
        <v>25.281513648653242</v>
      </c>
      <c r="V140" s="318">
        <v>715.61733535380642</v>
      </c>
      <c r="W140" s="318">
        <v>1477.6444275984434</v>
      </c>
      <c r="X140" s="3">
        <v>137.92038503770715</v>
      </c>
      <c r="Y140" s="318">
        <v>1615.5648126361505</v>
      </c>
    </row>
    <row r="141" spans="1:25" x14ac:dyDescent="0.2">
      <c r="A141" s="314">
        <v>2016</v>
      </c>
      <c r="B141" s="5" t="s">
        <v>466</v>
      </c>
      <c r="C141" s="5" t="s">
        <v>90</v>
      </c>
      <c r="D141" s="5" t="s">
        <v>471</v>
      </c>
      <c r="E141" s="5" t="s">
        <v>120</v>
      </c>
      <c r="F141" s="5" t="s">
        <v>94</v>
      </c>
      <c r="G141" s="5" t="s">
        <v>121</v>
      </c>
      <c r="H141" s="3">
        <v>8.1951231463353356</v>
      </c>
      <c r="I141" s="3">
        <v>0</v>
      </c>
      <c r="J141" s="318">
        <v>8.1951231463353356</v>
      </c>
      <c r="K141" s="3">
        <v>1196.9583458507859</v>
      </c>
      <c r="L141" s="3">
        <v>193.49600412016071</v>
      </c>
      <c r="M141" s="318">
        <v>1390.4543499709466</v>
      </c>
      <c r="N141" s="3">
        <v>107.57556239189292</v>
      </c>
      <c r="O141" s="3">
        <v>386.1358439374859</v>
      </c>
      <c r="P141" s="3">
        <v>61.344720235592924</v>
      </c>
      <c r="Q141" s="3">
        <v>53.448977077119217</v>
      </c>
      <c r="R141" s="3">
        <v>316.63169494734728</v>
      </c>
      <c r="S141" s="3">
        <v>295.56977264222917</v>
      </c>
      <c r="T141" s="3">
        <v>320.50119861607158</v>
      </c>
      <c r="U141" s="3">
        <v>61.000234289158662</v>
      </c>
      <c r="V141" s="318">
        <v>1602.2080041368979</v>
      </c>
      <c r="W141" s="318">
        <v>3000.8574772541797</v>
      </c>
      <c r="X141" s="3">
        <v>280.09405441256303</v>
      </c>
      <c r="Y141" s="318">
        <v>3280.9515316667425</v>
      </c>
    </row>
    <row r="142" spans="1:25" x14ac:dyDescent="0.2">
      <c r="A142" s="314">
        <v>2016</v>
      </c>
      <c r="B142" s="5" t="s">
        <v>466</v>
      </c>
      <c r="C142" s="5" t="s">
        <v>122</v>
      </c>
      <c r="D142" s="5" t="s">
        <v>472</v>
      </c>
      <c r="E142" s="5" t="s">
        <v>125</v>
      </c>
      <c r="F142" s="5" t="s">
        <v>126</v>
      </c>
      <c r="G142" s="5" t="s">
        <v>128</v>
      </c>
      <c r="H142" s="3">
        <v>59.158416306991313</v>
      </c>
      <c r="I142" s="3">
        <v>123.67377779033035</v>
      </c>
      <c r="J142" s="318">
        <v>182.83219409732166</v>
      </c>
      <c r="K142" s="3">
        <v>25.760492532946557</v>
      </c>
      <c r="L142" s="3">
        <v>0.79395478169355727</v>
      </c>
      <c r="M142" s="318">
        <v>26.554447314640115</v>
      </c>
      <c r="N142" s="3">
        <v>34.516771307095631</v>
      </c>
      <c r="O142" s="3">
        <v>34.830311013411112</v>
      </c>
      <c r="P142" s="3">
        <v>6.2394421594470044</v>
      </c>
      <c r="Q142" s="3">
        <v>3.4201299126520071</v>
      </c>
      <c r="R142" s="3">
        <v>5.642109575470462</v>
      </c>
      <c r="S142" s="3">
        <v>33.682987350024256</v>
      </c>
      <c r="T142" s="3">
        <v>95.492243444266762</v>
      </c>
      <c r="U142" s="3">
        <v>3.2332380270926402</v>
      </c>
      <c r="V142" s="318">
        <v>217.05723278945987</v>
      </c>
      <c r="W142" s="318">
        <v>426.44387420142164</v>
      </c>
      <c r="X142" s="3">
        <v>39.803421058760257</v>
      </c>
      <c r="Y142" s="318">
        <v>466.24729526018189</v>
      </c>
    </row>
    <row r="143" spans="1:25" x14ac:dyDescent="0.2">
      <c r="A143" s="314">
        <v>2016</v>
      </c>
      <c r="B143" s="5" t="s">
        <v>466</v>
      </c>
      <c r="C143" s="5" t="s">
        <v>122</v>
      </c>
      <c r="D143" s="5" t="s">
        <v>472</v>
      </c>
      <c r="E143" s="5" t="s">
        <v>130</v>
      </c>
      <c r="F143" s="5" t="s">
        <v>126</v>
      </c>
      <c r="G143" s="5" t="s">
        <v>131</v>
      </c>
      <c r="H143" s="3">
        <v>33.623350229274983</v>
      </c>
      <c r="I143" s="3">
        <v>52.606864100323868</v>
      </c>
      <c r="J143" s="318">
        <v>86.230214329598851</v>
      </c>
      <c r="K143" s="3">
        <v>46.049742686588473</v>
      </c>
      <c r="L143" s="3">
        <v>28.37279715477429</v>
      </c>
      <c r="M143" s="318">
        <v>74.422539841362763</v>
      </c>
      <c r="N143" s="3">
        <v>38.247235677875622</v>
      </c>
      <c r="O143" s="3">
        <v>367.73653215128985</v>
      </c>
      <c r="P143" s="3">
        <v>26.719990278580262</v>
      </c>
      <c r="Q143" s="3">
        <v>22.4029216071864</v>
      </c>
      <c r="R143" s="3">
        <v>40.852027206437533</v>
      </c>
      <c r="S143" s="3">
        <v>88.228025884833087</v>
      </c>
      <c r="T143" s="3">
        <v>116.47091835457654</v>
      </c>
      <c r="U143" s="3">
        <v>14.915361105222296</v>
      </c>
      <c r="V143" s="318">
        <v>715.57301226600146</v>
      </c>
      <c r="W143" s="318">
        <v>876.22576643696311</v>
      </c>
      <c r="X143" s="3">
        <v>81.785166194114609</v>
      </c>
      <c r="Y143" s="318">
        <v>958.01093263107771</v>
      </c>
    </row>
    <row r="144" spans="1:25" x14ac:dyDescent="0.2">
      <c r="A144" s="314">
        <v>2016</v>
      </c>
      <c r="B144" s="5" t="s">
        <v>466</v>
      </c>
      <c r="C144" s="5" t="s">
        <v>122</v>
      </c>
      <c r="D144" s="5" t="s">
        <v>472</v>
      </c>
      <c r="E144" s="5" t="s">
        <v>133</v>
      </c>
      <c r="F144" s="5" t="s">
        <v>126</v>
      </c>
      <c r="G144" s="5" t="s">
        <v>134</v>
      </c>
      <c r="H144" s="3">
        <v>25.486511461570103</v>
      </c>
      <c r="I144" s="3">
        <v>683.26329976947545</v>
      </c>
      <c r="J144" s="318">
        <v>708.74981123104556</v>
      </c>
      <c r="K144" s="3">
        <v>23.786194688605892</v>
      </c>
      <c r="L144" s="3">
        <v>10.181589826035538</v>
      </c>
      <c r="M144" s="318">
        <v>33.96778451464143</v>
      </c>
      <c r="N144" s="3">
        <v>23.123615111490562</v>
      </c>
      <c r="O144" s="3">
        <v>104.39796728955169</v>
      </c>
      <c r="P144" s="3">
        <v>14.974919934965886</v>
      </c>
      <c r="Q144" s="3">
        <v>10.665035963881518</v>
      </c>
      <c r="R144" s="3">
        <v>16.713411857414727</v>
      </c>
      <c r="S144" s="3">
        <v>93.332321183196925</v>
      </c>
      <c r="T144" s="3">
        <v>58.011657604662133</v>
      </c>
      <c r="U144" s="3">
        <v>8.3729685142705659</v>
      </c>
      <c r="V144" s="318">
        <v>329.59189745943405</v>
      </c>
      <c r="W144" s="318">
        <v>1072.309493205121</v>
      </c>
      <c r="X144" s="3">
        <v>100.08723033781817</v>
      </c>
      <c r="Y144" s="318">
        <v>1172.3967235429393</v>
      </c>
    </row>
    <row r="145" spans="1:25" x14ac:dyDescent="0.2">
      <c r="A145" s="314">
        <v>2016</v>
      </c>
      <c r="B145" s="5" t="s">
        <v>466</v>
      </c>
      <c r="C145" s="5" t="s">
        <v>122</v>
      </c>
      <c r="D145" s="5" t="s">
        <v>472</v>
      </c>
      <c r="E145" s="5" t="s">
        <v>135</v>
      </c>
      <c r="F145" s="5" t="s">
        <v>126</v>
      </c>
      <c r="G145" s="5" t="s">
        <v>136</v>
      </c>
      <c r="H145" s="3">
        <v>30.104125994908188</v>
      </c>
      <c r="I145" s="3">
        <v>127.82292187097438</v>
      </c>
      <c r="J145" s="318">
        <v>157.92704786588257</v>
      </c>
      <c r="K145" s="3">
        <v>6.7370153152430339</v>
      </c>
      <c r="L145" s="3">
        <v>10.875720940848943</v>
      </c>
      <c r="M145" s="318">
        <v>17.612736256091978</v>
      </c>
      <c r="N145" s="3">
        <v>8.1617889647299577</v>
      </c>
      <c r="O145" s="3">
        <v>37.794955836261664</v>
      </c>
      <c r="P145" s="3">
        <v>5.9741838036469961</v>
      </c>
      <c r="Q145" s="3">
        <v>4.2148055091152692</v>
      </c>
      <c r="R145" s="3">
        <v>7.9802418285167649</v>
      </c>
      <c r="S145" s="3">
        <v>28.214677013420282</v>
      </c>
      <c r="T145" s="3">
        <v>47.467005411670272</v>
      </c>
      <c r="U145" s="3">
        <v>4.0855863000924284</v>
      </c>
      <c r="V145" s="318">
        <v>143.89324466745364</v>
      </c>
      <c r="W145" s="318">
        <v>319.43302878942819</v>
      </c>
      <c r="X145" s="3">
        <v>29.815242085000058</v>
      </c>
      <c r="Y145" s="318">
        <v>349.24827087442827</v>
      </c>
    </row>
    <row r="146" spans="1:25" x14ac:dyDescent="0.2">
      <c r="A146" s="314">
        <v>2016</v>
      </c>
      <c r="B146" s="5" t="s">
        <v>466</v>
      </c>
      <c r="C146" s="5" t="s">
        <v>122</v>
      </c>
      <c r="D146" s="5" t="s">
        <v>472</v>
      </c>
      <c r="E146" s="5" t="s">
        <v>137</v>
      </c>
      <c r="F146" s="5" t="s">
        <v>126</v>
      </c>
      <c r="G146" s="5" t="s">
        <v>138</v>
      </c>
      <c r="H146" s="3">
        <v>32.4248638664845</v>
      </c>
      <c r="I146" s="3">
        <v>77.883320203893945</v>
      </c>
      <c r="J146" s="318">
        <v>110.30818407037845</v>
      </c>
      <c r="K146" s="3">
        <v>2.1621848122033782</v>
      </c>
      <c r="L146" s="3">
        <v>17.864880116462466</v>
      </c>
      <c r="M146" s="318">
        <v>20.027064928665844</v>
      </c>
      <c r="N146" s="3">
        <v>10.670522423420076</v>
      </c>
      <c r="O146" s="3">
        <v>47.89773393283695</v>
      </c>
      <c r="P146" s="3">
        <v>9.7242575526539135</v>
      </c>
      <c r="Q146" s="3">
        <v>7.4007377067355167</v>
      </c>
      <c r="R146" s="3">
        <v>12.978340107783342</v>
      </c>
      <c r="S146" s="3">
        <v>31.13086834798932</v>
      </c>
      <c r="T146" s="3">
        <v>59.895023333321021</v>
      </c>
      <c r="U146" s="3">
        <v>5.3306591126247458</v>
      </c>
      <c r="V146" s="318">
        <v>185.02814251736487</v>
      </c>
      <c r="W146" s="318">
        <v>315.36339151640914</v>
      </c>
      <c r="X146" s="3">
        <v>29.435390255171942</v>
      </c>
      <c r="Y146" s="318">
        <v>344.7987817715811</v>
      </c>
    </row>
    <row r="147" spans="1:25" x14ac:dyDescent="0.2">
      <c r="A147" s="314">
        <v>2016</v>
      </c>
      <c r="B147" s="5" t="s">
        <v>466</v>
      </c>
      <c r="C147" s="5" t="s">
        <v>122</v>
      </c>
      <c r="D147" s="5" t="s">
        <v>472</v>
      </c>
      <c r="E147" s="5" t="s">
        <v>139</v>
      </c>
      <c r="F147" s="5" t="s">
        <v>126</v>
      </c>
      <c r="G147" s="5" t="s">
        <v>140</v>
      </c>
      <c r="H147" s="3">
        <v>24.057218492019786</v>
      </c>
      <c r="I147" s="3">
        <v>291.75101783833941</v>
      </c>
      <c r="J147" s="318">
        <v>315.80823633035919</v>
      </c>
      <c r="K147" s="3">
        <v>3.4219585619984771</v>
      </c>
      <c r="L147" s="3">
        <v>14.089551628516244</v>
      </c>
      <c r="M147" s="318">
        <v>17.51151019051472</v>
      </c>
      <c r="N147" s="3">
        <v>9.5818256374625719</v>
      </c>
      <c r="O147" s="3">
        <v>56.804101716020405</v>
      </c>
      <c r="P147" s="3">
        <v>6.8975876837831152</v>
      </c>
      <c r="Q147" s="3">
        <v>4.5219218657365694</v>
      </c>
      <c r="R147" s="3">
        <v>11.440297192546709</v>
      </c>
      <c r="S147" s="3">
        <v>42.740788903621635</v>
      </c>
      <c r="T147" s="3">
        <v>20.050093843076638</v>
      </c>
      <c r="U147" s="3">
        <v>5.2506270173532492</v>
      </c>
      <c r="V147" s="318">
        <v>157.28724385960089</v>
      </c>
      <c r="W147" s="318">
        <v>490.60699038047483</v>
      </c>
      <c r="X147" s="3">
        <v>45.792278407220415</v>
      </c>
      <c r="Y147" s="318">
        <v>536.39926878769529</v>
      </c>
    </row>
    <row r="148" spans="1:25" x14ac:dyDescent="0.2">
      <c r="A148" s="314">
        <v>2016</v>
      </c>
      <c r="B148" s="5" t="s">
        <v>466</v>
      </c>
      <c r="C148" s="5" t="s">
        <v>141</v>
      </c>
      <c r="D148" s="5" t="s">
        <v>473</v>
      </c>
      <c r="E148" s="5" t="s">
        <v>143</v>
      </c>
      <c r="F148" s="5" t="s">
        <v>144</v>
      </c>
      <c r="G148" s="5" t="s">
        <v>146</v>
      </c>
      <c r="H148" s="3">
        <v>8.539271327935932</v>
      </c>
      <c r="I148" s="3">
        <v>5.8027756830100072</v>
      </c>
      <c r="J148" s="318">
        <v>14.34204701094594</v>
      </c>
      <c r="K148" s="3">
        <v>2.208384463450686</v>
      </c>
      <c r="L148" s="3">
        <v>2.0542247496470458</v>
      </c>
      <c r="M148" s="318">
        <v>4.2626092130977318</v>
      </c>
      <c r="N148" s="3">
        <v>2.7552370126071049</v>
      </c>
      <c r="O148" s="3">
        <v>4.8458374777290478</v>
      </c>
      <c r="P148" s="3">
        <v>6.2141658395097856</v>
      </c>
      <c r="Q148" s="3">
        <v>0.92974030682640318</v>
      </c>
      <c r="R148" s="3">
        <v>2.8486734532901927</v>
      </c>
      <c r="S148" s="3">
        <v>4.3805435582226515</v>
      </c>
      <c r="T148" s="3">
        <v>12.064383839744346</v>
      </c>
      <c r="U148" s="3">
        <v>1.3474724104632956</v>
      </c>
      <c r="V148" s="318">
        <v>35.386053898392831</v>
      </c>
      <c r="W148" s="318">
        <v>53.990710122436504</v>
      </c>
      <c r="X148" s="3">
        <v>5.0393852468608058</v>
      </c>
      <c r="Y148" s="318">
        <v>59.030095369297307</v>
      </c>
    </row>
    <row r="149" spans="1:25" x14ac:dyDescent="0.2">
      <c r="A149" s="314">
        <v>2016</v>
      </c>
      <c r="B149" s="5" t="s">
        <v>466</v>
      </c>
      <c r="C149" s="5" t="s">
        <v>141</v>
      </c>
      <c r="D149" s="5" t="s">
        <v>473</v>
      </c>
      <c r="E149" s="5" t="s">
        <v>147</v>
      </c>
      <c r="F149" s="5" t="s">
        <v>144</v>
      </c>
      <c r="G149" s="5" t="s">
        <v>148</v>
      </c>
      <c r="H149" s="3">
        <v>20.546875323030228</v>
      </c>
      <c r="I149" s="3">
        <v>6.0282292328448808</v>
      </c>
      <c r="J149" s="318">
        <v>26.575104555875107</v>
      </c>
      <c r="K149" s="3">
        <v>4.6578088686833627</v>
      </c>
      <c r="L149" s="3">
        <v>2.987393209952133</v>
      </c>
      <c r="M149" s="318">
        <v>7.6452020786354957</v>
      </c>
      <c r="N149" s="3">
        <v>1.4843031845533829</v>
      </c>
      <c r="O149" s="3">
        <v>7.8385171764644532</v>
      </c>
      <c r="P149" s="3">
        <v>1.4369551651898811</v>
      </c>
      <c r="Q149" s="3">
        <v>0.74678993239399483</v>
      </c>
      <c r="R149" s="3">
        <v>2.526505145192417</v>
      </c>
      <c r="S149" s="3">
        <v>6.5349021997613672</v>
      </c>
      <c r="T149" s="3">
        <v>36.230980278972446</v>
      </c>
      <c r="U149" s="3">
        <v>0.91421726344047294</v>
      </c>
      <c r="V149" s="318">
        <v>57.713170345968415</v>
      </c>
      <c r="W149" s="318">
        <v>91.933476980479014</v>
      </c>
      <c r="X149" s="3">
        <v>8.5808874626288407</v>
      </c>
      <c r="Y149" s="318">
        <v>100.51436444310785</v>
      </c>
    </row>
    <row r="150" spans="1:25" x14ac:dyDescent="0.2">
      <c r="A150" s="314">
        <v>2016</v>
      </c>
      <c r="B150" s="5" t="s">
        <v>466</v>
      </c>
      <c r="C150" s="5" t="s">
        <v>141</v>
      </c>
      <c r="D150" s="5" t="s">
        <v>474</v>
      </c>
      <c r="E150" s="5" t="s">
        <v>149</v>
      </c>
      <c r="F150" s="5" t="s">
        <v>144</v>
      </c>
      <c r="G150" s="5" t="s">
        <v>150</v>
      </c>
      <c r="H150" s="3">
        <v>32.108162068069248</v>
      </c>
      <c r="I150" s="3">
        <v>12.670673557954014</v>
      </c>
      <c r="J150" s="318">
        <v>44.778835626023266</v>
      </c>
      <c r="K150" s="3">
        <v>43.558867725501209</v>
      </c>
      <c r="L150" s="3">
        <v>10.230582646188431</v>
      </c>
      <c r="M150" s="318">
        <v>53.789450371689639</v>
      </c>
      <c r="N150" s="3">
        <v>41.419791199588417</v>
      </c>
      <c r="O150" s="3">
        <v>149.66086126007363</v>
      </c>
      <c r="P150" s="3">
        <v>13.327431379995323</v>
      </c>
      <c r="Q150" s="3">
        <v>18.151532708648038</v>
      </c>
      <c r="R150" s="3">
        <v>40.464514114561723</v>
      </c>
      <c r="S150" s="3">
        <v>52.913310710286829</v>
      </c>
      <c r="T150" s="3">
        <v>68.1520360229879</v>
      </c>
      <c r="U150" s="3">
        <v>15.496063373177668</v>
      </c>
      <c r="V150" s="318">
        <v>399.58554076931955</v>
      </c>
      <c r="W150" s="318">
        <v>498.15382676703246</v>
      </c>
      <c r="X150" s="3">
        <v>46.496685070156417</v>
      </c>
      <c r="Y150" s="318">
        <v>544.6505118371889</v>
      </c>
    </row>
    <row r="151" spans="1:25" x14ac:dyDescent="0.2">
      <c r="A151" s="314">
        <v>2016</v>
      </c>
      <c r="B151" s="5" t="s">
        <v>466</v>
      </c>
      <c r="C151" s="5" t="s">
        <v>141</v>
      </c>
      <c r="D151" s="5" t="s">
        <v>474</v>
      </c>
      <c r="E151" s="5" t="s">
        <v>151</v>
      </c>
      <c r="F151" s="5" t="s">
        <v>144</v>
      </c>
      <c r="G151" s="5" t="s">
        <v>152</v>
      </c>
      <c r="H151" s="3">
        <v>18.911195984919189</v>
      </c>
      <c r="I151" s="3">
        <v>81.091381034467574</v>
      </c>
      <c r="J151" s="318">
        <v>100.00257701938676</v>
      </c>
      <c r="K151" s="3">
        <v>45.488885660479568</v>
      </c>
      <c r="L151" s="3">
        <v>3.2915152317853611</v>
      </c>
      <c r="M151" s="318">
        <v>48.780400892264929</v>
      </c>
      <c r="N151" s="3">
        <v>38.850686141063115</v>
      </c>
      <c r="O151" s="3">
        <v>36.786002178865594</v>
      </c>
      <c r="P151" s="3">
        <v>8.645236752235979</v>
      </c>
      <c r="Q151" s="3">
        <v>6.2022952123865052</v>
      </c>
      <c r="R151" s="3">
        <v>19.760572934459777</v>
      </c>
      <c r="S151" s="3">
        <v>51.90388351244416</v>
      </c>
      <c r="T151" s="3">
        <v>63.498887660934983</v>
      </c>
      <c r="U151" s="3">
        <v>6.443598383127572</v>
      </c>
      <c r="V151" s="318">
        <v>232.09116277551769</v>
      </c>
      <c r="W151" s="318">
        <v>380.87414068716936</v>
      </c>
      <c r="X151" s="3">
        <v>35.550032980434715</v>
      </c>
      <c r="Y151" s="318">
        <v>416.42417366760407</v>
      </c>
    </row>
    <row r="152" spans="1:25" x14ac:dyDescent="0.2">
      <c r="A152" s="314">
        <v>2016</v>
      </c>
      <c r="B152" s="5" t="s">
        <v>466</v>
      </c>
      <c r="C152" s="5" t="s">
        <v>141</v>
      </c>
      <c r="D152" s="5" t="s">
        <v>474</v>
      </c>
      <c r="E152" s="5" t="s">
        <v>153</v>
      </c>
      <c r="F152" s="5" t="s">
        <v>144</v>
      </c>
      <c r="G152" s="5" t="s">
        <v>154</v>
      </c>
      <c r="H152" s="3">
        <v>15.95001531777098</v>
      </c>
      <c r="I152" s="3">
        <v>18.202821484648663</v>
      </c>
      <c r="J152" s="318">
        <v>34.152836802419642</v>
      </c>
      <c r="K152" s="3">
        <v>5.9716036705144475</v>
      </c>
      <c r="L152" s="3">
        <v>7.4349022437599057</v>
      </c>
      <c r="M152" s="318">
        <v>13.406505914274353</v>
      </c>
      <c r="N152" s="3">
        <v>9.5475973591501742</v>
      </c>
      <c r="O152" s="3">
        <v>50.347254904419579</v>
      </c>
      <c r="P152" s="3">
        <v>3.7359345101584527</v>
      </c>
      <c r="Q152" s="3">
        <v>2.3843421666298319</v>
      </c>
      <c r="R152" s="3">
        <v>13.10803431838691</v>
      </c>
      <c r="S152" s="3">
        <v>14.575365742007307</v>
      </c>
      <c r="T152" s="3">
        <v>23.273049396265634</v>
      </c>
      <c r="U152" s="3">
        <v>2.9846027106628052</v>
      </c>
      <c r="V152" s="318">
        <v>119.95618110768069</v>
      </c>
      <c r="W152" s="318">
        <v>167.5155238243747</v>
      </c>
      <c r="X152" s="3">
        <v>15.635565034546676</v>
      </c>
      <c r="Y152" s="318">
        <v>183.15108885892138</v>
      </c>
    </row>
    <row r="153" spans="1:25" x14ac:dyDescent="0.2">
      <c r="A153" s="314">
        <v>2016</v>
      </c>
      <c r="B153" s="5" t="s">
        <v>466</v>
      </c>
      <c r="C153" s="5" t="s">
        <v>141</v>
      </c>
      <c r="D153" s="5" t="s">
        <v>474</v>
      </c>
      <c r="E153" s="5" t="s">
        <v>155</v>
      </c>
      <c r="F153" s="5" t="s">
        <v>144</v>
      </c>
      <c r="G153" s="5" t="s">
        <v>156</v>
      </c>
      <c r="H153" s="3">
        <v>28.284583536639275</v>
      </c>
      <c r="I153" s="3">
        <v>504.89230552467825</v>
      </c>
      <c r="J153" s="318">
        <v>533.17688906131752</v>
      </c>
      <c r="K153" s="3">
        <v>0.50513916230544642</v>
      </c>
      <c r="L153" s="3">
        <v>15.07170826062629</v>
      </c>
      <c r="M153" s="318">
        <v>15.576847422931737</v>
      </c>
      <c r="N153" s="3">
        <v>8.8745228664784701</v>
      </c>
      <c r="O153" s="3">
        <v>15.196566990773611</v>
      </c>
      <c r="P153" s="3">
        <v>4.3686637424958805</v>
      </c>
      <c r="Q153" s="3">
        <v>2.1242633693719397</v>
      </c>
      <c r="R153" s="3">
        <v>9.0731778796220421</v>
      </c>
      <c r="S153" s="3">
        <v>49.46322356465874</v>
      </c>
      <c r="T153" s="3">
        <v>27.817951543860492</v>
      </c>
      <c r="U153" s="3">
        <v>3.7811995173039592</v>
      </c>
      <c r="V153" s="318">
        <v>120.69956947456514</v>
      </c>
      <c r="W153" s="318">
        <v>669.45330595881444</v>
      </c>
      <c r="X153" s="3">
        <v>62.485436954997326</v>
      </c>
      <c r="Y153" s="318">
        <v>731.93874291381178</v>
      </c>
    </row>
    <row r="154" spans="1:25" x14ac:dyDescent="0.2">
      <c r="A154" s="314">
        <v>2016</v>
      </c>
      <c r="B154" s="5" t="s">
        <v>466</v>
      </c>
      <c r="C154" s="5" t="s">
        <v>157</v>
      </c>
      <c r="D154" s="5" t="s">
        <v>475</v>
      </c>
      <c r="E154" s="5" t="s">
        <v>159</v>
      </c>
      <c r="F154" s="5" t="s">
        <v>160</v>
      </c>
      <c r="G154" s="5" t="s">
        <v>161</v>
      </c>
      <c r="H154" s="3">
        <v>31.24589962031466</v>
      </c>
      <c r="I154" s="3">
        <v>52.621353271303079</v>
      </c>
      <c r="J154" s="318">
        <v>83.867252891617738</v>
      </c>
      <c r="K154" s="3">
        <v>17.781589147804286</v>
      </c>
      <c r="L154" s="3">
        <v>34.998037391036959</v>
      </c>
      <c r="M154" s="318">
        <v>52.779626538841242</v>
      </c>
      <c r="N154" s="3">
        <v>329.66344315817179</v>
      </c>
      <c r="O154" s="3">
        <v>43.968138739802406</v>
      </c>
      <c r="P154" s="3">
        <v>9.8860864787112437</v>
      </c>
      <c r="Q154" s="3">
        <v>11.015248429785704</v>
      </c>
      <c r="R154" s="3">
        <v>19.818934507668544</v>
      </c>
      <c r="S154" s="3">
        <v>56.706342643209425</v>
      </c>
      <c r="T154" s="3">
        <v>47.762146269001136</v>
      </c>
      <c r="U154" s="3">
        <v>8.4150607005762943</v>
      </c>
      <c r="V154" s="318">
        <v>527.23540092692656</v>
      </c>
      <c r="W154" s="318">
        <v>663.88228035738553</v>
      </c>
      <c r="X154" s="3">
        <v>61.965448531765659</v>
      </c>
      <c r="Y154" s="318">
        <v>725.8477288891512</v>
      </c>
    </row>
    <row r="155" spans="1:25" x14ac:dyDescent="0.2">
      <c r="A155" s="314">
        <v>2016</v>
      </c>
      <c r="B155" s="5" t="s">
        <v>466</v>
      </c>
      <c r="C155" s="5" t="s">
        <v>157</v>
      </c>
      <c r="D155" s="5" t="s">
        <v>476</v>
      </c>
      <c r="E155" s="5" t="s">
        <v>162</v>
      </c>
      <c r="F155" s="5" t="s">
        <v>160</v>
      </c>
      <c r="G155" s="5" t="s">
        <v>163</v>
      </c>
      <c r="H155" s="3">
        <v>19.634540782024388</v>
      </c>
      <c r="I155" s="3">
        <v>63.344497829955657</v>
      </c>
      <c r="J155" s="318">
        <v>82.979038611980044</v>
      </c>
      <c r="K155" s="3">
        <v>2.4150744999900815</v>
      </c>
      <c r="L155" s="3">
        <v>8.5774149950138572</v>
      </c>
      <c r="M155" s="318">
        <v>10.992489495003939</v>
      </c>
      <c r="N155" s="3">
        <v>60.047016888441455</v>
      </c>
      <c r="O155" s="3">
        <v>9.889285911006942</v>
      </c>
      <c r="P155" s="3">
        <v>2.6215771089106918</v>
      </c>
      <c r="Q155" s="3">
        <v>1.3548309312829219</v>
      </c>
      <c r="R155" s="3">
        <v>3.5843710287582331</v>
      </c>
      <c r="S155" s="3">
        <v>11.573972277854899</v>
      </c>
      <c r="T155" s="3">
        <v>14.51617001561309</v>
      </c>
      <c r="U155" s="3">
        <v>2.0093399067360025</v>
      </c>
      <c r="V155" s="318">
        <v>105.59656406860422</v>
      </c>
      <c r="W155" s="318">
        <v>199.56809217558822</v>
      </c>
      <c r="X155" s="3">
        <v>18.62728786439661</v>
      </c>
      <c r="Y155" s="318">
        <v>218.19538003998483</v>
      </c>
    </row>
    <row r="156" spans="1:25" x14ac:dyDescent="0.2">
      <c r="A156" s="314">
        <v>2016</v>
      </c>
      <c r="B156" s="5" t="s">
        <v>466</v>
      </c>
      <c r="C156" s="5" t="s">
        <v>157</v>
      </c>
      <c r="D156" s="5" t="s">
        <v>473</v>
      </c>
      <c r="E156" s="5" t="s">
        <v>164</v>
      </c>
      <c r="F156" s="5" t="s">
        <v>160</v>
      </c>
      <c r="G156" s="5" t="s">
        <v>165</v>
      </c>
      <c r="H156" s="3">
        <v>4.1598404433538159</v>
      </c>
      <c r="I156" s="3">
        <v>0</v>
      </c>
      <c r="J156" s="318">
        <v>4.1598404433538159</v>
      </c>
      <c r="K156" s="3">
        <v>6.790193960646052</v>
      </c>
      <c r="L156" s="3">
        <v>2.8482506703803114</v>
      </c>
      <c r="M156" s="318">
        <v>9.6384446310263634</v>
      </c>
      <c r="N156" s="3">
        <v>5.8800098028870309</v>
      </c>
      <c r="O156" s="3">
        <v>20.352104212334904</v>
      </c>
      <c r="P156" s="3">
        <v>2.4838243880625241</v>
      </c>
      <c r="Q156" s="3">
        <v>2.2418724927978744</v>
      </c>
      <c r="R156" s="3">
        <v>8.1546686533551824</v>
      </c>
      <c r="S156" s="3">
        <v>10.304013645994839</v>
      </c>
      <c r="T156" s="3">
        <v>32.554139640845953</v>
      </c>
      <c r="U156" s="3">
        <v>1.8949106944891794</v>
      </c>
      <c r="V156" s="318">
        <v>83.865543530767482</v>
      </c>
      <c r="W156" s="318">
        <v>97.663828605147657</v>
      </c>
      <c r="X156" s="3">
        <v>9.115747059237103</v>
      </c>
      <c r="Y156" s="318">
        <v>106.77957566438477</v>
      </c>
    </row>
    <row r="157" spans="1:25" x14ac:dyDescent="0.2">
      <c r="A157" s="314">
        <v>2016</v>
      </c>
      <c r="B157" s="5" t="s">
        <v>466</v>
      </c>
      <c r="C157" s="5" t="s">
        <v>157</v>
      </c>
      <c r="D157" s="5" t="s">
        <v>477</v>
      </c>
      <c r="E157" s="5" t="s">
        <v>166</v>
      </c>
      <c r="F157" s="5" t="s">
        <v>160</v>
      </c>
      <c r="G157" s="5" t="s">
        <v>168</v>
      </c>
      <c r="H157" s="3">
        <v>51.114174205211043</v>
      </c>
      <c r="I157" s="3">
        <v>229.80924558736342</v>
      </c>
      <c r="J157" s="318">
        <v>280.92341979257446</v>
      </c>
      <c r="K157" s="3">
        <v>11.491150099449209</v>
      </c>
      <c r="L157" s="3">
        <v>8.8174046272876421</v>
      </c>
      <c r="M157" s="318">
        <v>20.308554726736851</v>
      </c>
      <c r="N157" s="3">
        <v>8.6124119502756127</v>
      </c>
      <c r="O157" s="3">
        <v>55.42733601955193</v>
      </c>
      <c r="P157" s="3">
        <v>7.1818724293605003</v>
      </c>
      <c r="Q157" s="3">
        <v>4.3912419225642987</v>
      </c>
      <c r="R157" s="3">
        <v>16.1152081321206</v>
      </c>
      <c r="S157" s="3">
        <v>34.513388665861854</v>
      </c>
      <c r="T157" s="3">
        <v>32.122223915207385</v>
      </c>
      <c r="U157" s="3">
        <v>5.7525416816112687</v>
      </c>
      <c r="V157" s="318">
        <v>164.11622471655346</v>
      </c>
      <c r="W157" s="318">
        <v>465.34819923586474</v>
      </c>
      <c r="X157" s="3">
        <v>43.434673197749568</v>
      </c>
      <c r="Y157" s="318">
        <v>508.78287243361433</v>
      </c>
    </row>
    <row r="158" spans="1:25" x14ac:dyDescent="0.2">
      <c r="A158" s="314">
        <v>2016</v>
      </c>
      <c r="B158" s="5" t="s">
        <v>466</v>
      </c>
      <c r="C158" s="5" t="s">
        <v>157</v>
      </c>
      <c r="D158" s="5" t="s">
        <v>473</v>
      </c>
      <c r="E158" s="5" t="s">
        <v>169</v>
      </c>
      <c r="F158" s="5" t="s">
        <v>160</v>
      </c>
      <c r="G158" s="5" t="s">
        <v>170</v>
      </c>
      <c r="H158" s="3">
        <v>32.187529942089249</v>
      </c>
      <c r="I158" s="3">
        <v>13.923473474481519</v>
      </c>
      <c r="J158" s="318">
        <v>46.111003416570767</v>
      </c>
      <c r="K158" s="3">
        <v>3.9156698559420349</v>
      </c>
      <c r="L158" s="3">
        <v>13.559770298183174</v>
      </c>
      <c r="M158" s="318">
        <v>17.475440154125209</v>
      </c>
      <c r="N158" s="3">
        <v>7.440462668225563</v>
      </c>
      <c r="O158" s="3">
        <v>34.817170128247227</v>
      </c>
      <c r="P158" s="3">
        <v>8.5483664895017739</v>
      </c>
      <c r="Q158" s="3">
        <v>5.9460606119482771</v>
      </c>
      <c r="R158" s="3">
        <v>16.562014016388602</v>
      </c>
      <c r="S158" s="3">
        <v>17.653590550143505</v>
      </c>
      <c r="T158" s="3">
        <v>24.479801429572483</v>
      </c>
      <c r="U158" s="3">
        <v>7.2337240730310066</v>
      </c>
      <c r="V158" s="318">
        <v>122.68118996705844</v>
      </c>
      <c r="W158" s="318">
        <v>186.26763353775442</v>
      </c>
      <c r="X158" s="3">
        <v>17.385849570957152</v>
      </c>
      <c r="Y158" s="318">
        <v>203.65348310871158</v>
      </c>
    </row>
    <row r="159" spans="1:25" x14ac:dyDescent="0.2">
      <c r="A159" s="314">
        <v>2016</v>
      </c>
      <c r="B159" s="5" t="s">
        <v>466</v>
      </c>
      <c r="C159" s="5" t="s">
        <v>157</v>
      </c>
      <c r="D159" s="5" t="s">
        <v>473</v>
      </c>
      <c r="E159" s="5" t="s">
        <v>171</v>
      </c>
      <c r="F159" s="5" t="s">
        <v>160</v>
      </c>
      <c r="G159" s="5" t="s">
        <v>172</v>
      </c>
      <c r="H159" s="3">
        <v>67.774871691089089</v>
      </c>
      <c r="I159" s="3">
        <v>5.4912492471081045</v>
      </c>
      <c r="J159" s="318">
        <v>73.26612093819719</v>
      </c>
      <c r="K159" s="3">
        <v>5.4677693158037819</v>
      </c>
      <c r="L159" s="3">
        <v>9.329220794733514</v>
      </c>
      <c r="M159" s="318">
        <v>14.796990110537296</v>
      </c>
      <c r="N159" s="3">
        <v>3.0048989139591642</v>
      </c>
      <c r="O159" s="3">
        <v>17.496079184902229</v>
      </c>
      <c r="P159" s="3">
        <v>2.4291582442582134</v>
      </c>
      <c r="Q159" s="3">
        <v>1.4886156673743065</v>
      </c>
      <c r="R159" s="3">
        <v>6.3181705908553241</v>
      </c>
      <c r="S159" s="3">
        <v>10.031038851436916</v>
      </c>
      <c r="T159" s="3">
        <v>31.143311637294218</v>
      </c>
      <c r="U159" s="3">
        <v>2.3131469300992564</v>
      </c>
      <c r="V159" s="318">
        <v>74.224420020179622</v>
      </c>
      <c r="W159" s="318">
        <v>162.28753106891412</v>
      </c>
      <c r="X159" s="3">
        <v>15.147594613286836</v>
      </c>
      <c r="Y159" s="318">
        <v>177.43512568220095</v>
      </c>
    </row>
    <row r="160" spans="1:25" x14ac:dyDescent="0.2">
      <c r="A160" s="314">
        <v>2016</v>
      </c>
      <c r="B160" s="5" t="s">
        <v>466</v>
      </c>
      <c r="C160" s="5" t="s">
        <v>157</v>
      </c>
      <c r="D160" s="5" t="s">
        <v>477</v>
      </c>
      <c r="E160" s="5" t="s">
        <v>173</v>
      </c>
      <c r="F160" s="5" t="s">
        <v>160</v>
      </c>
      <c r="G160" s="5" t="s">
        <v>174</v>
      </c>
      <c r="H160" s="3">
        <v>16.10466314718073</v>
      </c>
      <c r="I160" s="3">
        <v>231.00485282242886</v>
      </c>
      <c r="J160" s="318">
        <v>247.10951596960959</v>
      </c>
      <c r="K160" s="3">
        <v>24.3735614014847</v>
      </c>
      <c r="L160" s="3">
        <v>3.8691316102372824</v>
      </c>
      <c r="M160" s="318">
        <v>28.242693011721983</v>
      </c>
      <c r="N160" s="3">
        <v>25.084882260730435</v>
      </c>
      <c r="O160" s="3">
        <v>92.858002165308463</v>
      </c>
      <c r="P160" s="3">
        <v>10.479940469008838</v>
      </c>
      <c r="Q160" s="3">
        <v>8.6155437961020276</v>
      </c>
      <c r="R160" s="3">
        <v>39.738059690851372</v>
      </c>
      <c r="S160" s="3">
        <v>50.531449521385206</v>
      </c>
      <c r="T160" s="3">
        <v>32.895475813121131</v>
      </c>
      <c r="U160" s="3">
        <v>10.805370084592607</v>
      </c>
      <c r="V160" s="318">
        <v>271.00872380110007</v>
      </c>
      <c r="W160" s="318">
        <v>546.36093278243163</v>
      </c>
      <c r="X160" s="3">
        <v>50.996240239868918</v>
      </c>
      <c r="Y160" s="318">
        <v>597.35717302230057</v>
      </c>
    </row>
    <row r="161" spans="1:25" x14ac:dyDescent="0.2">
      <c r="A161" s="314">
        <v>2016</v>
      </c>
      <c r="B161" s="5" t="s">
        <v>466</v>
      </c>
      <c r="C161" s="5" t="s">
        <v>157</v>
      </c>
      <c r="D161" s="5" t="s">
        <v>475</v>
      </c>
      <c r="E161" s="5" t="s">
        <v>175</v>
      </c>
      <c r="F161" s="5" t="s">
        <v>160</v>
      </c>
      <c r="G161" s="5" t="s">
        <v>176</v>
      </c>
      <c r="H161" s="3">
        <v>20.89875272565423</v>
      </c>
      <c r="I161" s="3">
        <v>10.153926660530647</v>
      </c>
      <c r="J161" s="318">
        <v>31.052679386184877</v>
      </c>
      <c r="K161" s="3">
        <v>1.2226475897941291</v>
      </c>
      <c r="L161" s="3">
        <v>9.0831932425486315</v>
      </c>
      <c r="M161" s="318">
        <v>10.30584083234276</v>
      </c>
      <c r="N161" s="3">
        <v>3.5256761123279947</v>
      </c>
      <c r="O161" s="3">
        <v>27.920218968743228</v>
      </c>
      <c r="P161" s="3">
        <v>8.352788497390442</v>
      </c>
      <c r="Q161" s="3">
        <v>3.7509360019487983</v>
      </c>
      <c r="R161" s="3">
        <v>7.5728059101895209</v>
      </c>
      <c r="S161" s="3">
        <v>11.254709290076583</v>
      </c>
      <c r="T161" s="3">
        <v>14.651423725237663</v>
      </c>
      <c r="U161" s="3">
        <v>3.3877483178301508</v>
      </c>
      <c r="V161" s="318">
        <v>80.416306823744378</v>
      </c>
      <c r="W161" s="318">
        <v>121.77482704227202</v>
      </c>
      <c r="X161" s="3">
        <v>11.366219585632631</v>
      </c>
      <c r="Y161" s="318">
        <v>133.14104662790464</v>
      </c>
    </row>
    <row r="162" spans="1:25" x14ac:dyDescent="0.2">
      <c r="A162" s="314">
        <v>2016</v>
      </c>
      <c r="B162" s="5" t="s">
        <v>466</v>
      </c>
      <c r="C162" s="5" t="s">
        <v>157</v>
      </c>
      <c r="D162" s="5" t="s">
        <v>475</v>
      </c>
      <c r="E162" s="5" t="s">
        <v>177</v>
      </c>
      <c r="F162" s="5" t="s">
        <v>160</v>
      </c>
      <c r="G162" s="5" t="s">
        <v>178</v>
      </c>
      <c r="H162" s="3">
        <v>11.258974643705438</v>
      </c>
      <c r="I162" s="3">
        <v>0.85212503084308111</v>
      </c>
      <c r="J162" s="318">
        <v>12.11109967454852</v>
      </c>
      <c r="K162" s="3">
        <v>2.8244651234557887</v>
      </c>
      <c r="L162" s="3">
        <v>2.7143139515320298</v>
      </c>
      <c r="M162" s="318">
        <v>5.5387790749878185</v>
      </c>
      <c r="N162" s="3">
        <v>1.1191450839418922</v>
      </c>
      <c r="O162" s="3">
        <v>6.2255029876171095</v>
      </c>
      <c r="P162" s="3">
        <v>2.6756895995272187</v>
      </c>
      <c r="Q162" s="3">
        <v>0.73358798012278414</v>
      </c>
      <c r="R162" s="3">
        <v>2.0222580948011752</v>
      </c>
      <c r="S162" s="3">
        <v>5.7269264692340425</v>
      </c>
      <c r="T162" s="3">
        <v>28.398891525405485</v>
      </c>
      <c r="U162" s="3">
        <v>1.2037101580058069</v>
      </c>
      <c r="V162" s="318">
        <v>48.105711898655514</v>
      </c>
      <c r="W162" s="318">
        <v>65.755590648191856</v>
      </c>
      <c r="X162" s="3">
        <v>6.1374957406498813</v>
      </c>
      <c r="Y162" s="318">
        <v>71.893086388841738</v>
      </c>
    </row>
    <row r="163" spans="1:25" x14ac:dyDescent="0.2">
      <c r="A163" s="314">
        <v>2016</v>
      </c>
      <c r="B163" s="5" t="s">
        <v>466</v>
      </c>
      <c r="C163" s="5" t="s">
        <v>157</v>
      </c>
      <c r="D163" s="5" t="s">
        <v>475</v>
      </c>
      <c r="E163" s="5" t="s">
        <v>179</v>
      </c>
      <c r="F163" s="5" t="s">
        <v>160</v>
      </c>
      <c r="G163" s="5" t="s">
        <v>180</v>
      </c>
      <c r="H163" s="3">
        <v>40.996605206130816</v>
      </c>
      <c r="I163" s="3">
        <v>0</v>
      </c>
      <c r="J163" s="318">
        <v>40.996605206130816</v>
      </c>
      <c r="K163" s="3">
        <v>5.4670185902697117</v>
      </c>
      <c r="L163" s="3">
        <v>16.176827702820319</v>
      </c>
      <c r="M163" s="318">
        <v>21.643846293090029</v>
      </c>
      <c r="N163" s="3">
        <v>3.919552149618788</v>
      </c>
      <c r="O163" s="3">
        <v>45.628731833316493</v>
      </c>
      <c r="P163" s="3">
        <v>6.3281418963425011</v>
      </c>
      <c r="Q163" s="3">
        <v>4.6528420341524415</v>
      </c>
      <c r="R163" s="3">
        <v>12.372753867979503</v>
      </c>
      <c r="S163" s="3">
        <v>17.027753823464597</v>
      </c>
      <c r="T163" s="3">
        <v>32.251755307441478</v>
      </c>
      <c r="U163" s="3">
        <v>5.0666110616928322</v>
      </c>
      <c r="V163" s="318">
        <v>127.24814197400863</v>
      </c>
      <c r="W163" s="318">
        <v>189.88859347322949</v>
      </c>
      <c r="X163" s="3">
        <v>17.723822752582784</v>
      </c>
      <c r="Y163" s="318">
        <v>207.61241622581227</v>
      </c>
    </row>
    <row r="164" spans="1:25" x14ac:dyDescent="0.2">
      <c r="A164" s="314">
        <v>2016</v>
      </c>
      <c r="B164" s="5" t="s">
        <v>466</v>
      </c>
      <c r="C164" s="5" t="s">
        <v>181</v>
      </c>
      <c r="D164" s="5" t="s">
        <v>478</v>
      </c>
      <c r="E164" s="5" t="s">
        <v>183</v>
      </c>
      <c r="F164" s="5" t="s">
        <v>184</v>
      </c>
      <c r="G164" s="5" t="s">
        <v>185</v>
      </c>
      <c r="H164" s="3">
        <v>32.75257351254141</v>
      </c>
      <c r="I164" s="3">
        <v>0</v>
      </c>
      <c r="J164" s="318">
        <v>32.75257351254141</v>
      </c>
      <c r="K164" s="3">
        <v>4.5903532066921011</v>
      </c>
      <c r="L164" s="3">
        <v>13.33930270794254</v>
      </c>
      <c r="M164" s="318">
        <v>17.92965591463464</v>
      </c>
      <c r="N164" s="3">
        <v>53.507266358675665</v>
      </c>
      <c r="O164" s="3">
        <v>4.2430202778363508</v>
      </c>
      <c r="P164" s="3">
        <v>1.0980983265480457</v>
      </c>
      <c r="Q164" s="3">
        <v>0.6115544035453977</v>
      </c>
      <c r="R164" s="3">
        <v>1.528387464285287</v>
      </c>
      <c r="S164" s="3">
        <v>6.2011568118025906</v>
      </c>
      <c r="T164" s="3">
        <v>4.6040455034663648</v>
      </c>
      <c r="U164" s="3">
        <v>0.70500851382616281</v>
      </c>
      <c r="V164" s="318">
        <v>72.498537659985871</v>
      </c>
      <c r="W164" s="318">
        <v>123.18076708716191</v>
      </c>
      <c r="X164" s="3">
        <v>11.497447226538297</v>
      </c>
      <c r="Y164" s="318">
        <v>134.67821431370021</v>
      </c>
    </row>
    <row r="165" spans="1:25" x14ac:dyDescent="0.2">
      <c r="A165" s="314">
        <v>2016</v>
      </c>
      <c r="B165" s="5" t="s">
        <v>466</v>
      </c>
      <c r="C165" s="5" t="s">
        <v>181</v>
      </c>
      <c r="D165" s="5" t="s">
        <v>479</v>
      </c>
      <c r="E165" s="5" t="s">
        <v>186</v>
      </c>
      <c r="F165" s="5" t="s">
        <v>184</v>
      </c>
      <c r="G165" s="5" t="s">
        <v>187</v>
      </c>
      <c r="H165" s="3">
        <v>16.145461167966776</v>
      </c>
      <c r="I165" s="3">
        <v>1.2723570766035195E-3</v>
      </c>
      <c r="J165" s="318">
        <v>16.146733525043381</v>
      </c>
      <c r="K165" s="3">
        <v>4.1927385213109236</v>
      </c>
      <c r="L165" s="3">
        <v>1.4669562188191829</v>
      </c>
      <c r="M165" s="318">
        <v>5.6596947401301065</v>
      </c>
      <c r="N165" s="3">
        <v>1.8955555916777618</v>
      </c>
      <c r="O165" s="3">
        <v>9.5744542273153872</v>
      </c>
      <c r="P165" s="3">
        <v>2.0812512894334474</v>
      </c>
      <c r="Q165" s="3">
        <v>0.81712502937969356</v>
      </c>
      <c r="R165" s="3">
        <v>4.8547832812959371</v>
      </c>
      <c r="S165" s="3">
        <v>5.1377630336457729</v>
      </c>
      <c r="T165" s="3">
        <v>17.823163778586281</v>
      </c>
      <c r="U165" s="3">
        <v>1.2731638217359635</v>
      </c>
      <c r="V165" s="318">
        <v>43.457260053070243</v>
      </c>
      <c r="W165" s="318">
        <v>65.263688318243737</v>
      </c>
      <c r="X165" s="3">
        <v>6.0915825578298053</v>
      </c>
      <c r="Y165" s="318">
        <v>71.355270876073547</v>
      </c>
    </row>
    <row r="166" spans="1:25" x14ac:dyDescent="0.2">
      <c r="A166" s="314">
        <v>2016</v>
      </c>
      <c r="B166" s="5" t="s">
        <v>466</v>
      </c>
      <c r="C166" s="5" t="s">
        <v>181</v>
      </c>
      <c r="D166" s="5" t="s">
        <v>478</v>
      </c>
      <c r="E166" s="5" t="s">
        <v>188</v>
      </c>
      <c r="F166" s="5" t="s">
        <v>184</v>
      </c>
      <c r="G166" s="5" t="s">
        <v>189</v>
      </c>
      <c r="H166" s="3">
        <v>10.000703522891641</v>
      </c>
      <c r="I166" s="3">
        <v>0.85017155970733504</v>
      </c>
      <c r="J166" s="318">
        <v>10.850875082598975</v>
      </c>
      <c r="K166" s="3">
        <v>0.37008306758625104</v>
      </c>
      <c r="L166" s="3">
        <v>4.6742621163311977</v>
      </c>
      <c r="M166" s="318">
        <v>5.0443451839174491</v>
      </c>
      <c r="N166" s="3">
        <v>1.3425796992820893</v>
      </c>
      <c r="O166" s="3">
        <v>5.5025443341954281</v>
      </c>
      <c r="P166" s="3">
        <v>2.5594464489626563</v>
      </c>
      <c r="Q166" s="3">
        <v>1.4725045084116608</v>
      </c>
      <c r="R166" s="3">
        <v>3.6051191197629189</v>
      </c>
      <c r="S166" s="3">
        <v>5.8360795102983518</v>
      </c>
      <c r="T166" s="3">
        <v>20.648260161975983</v>
      </c>
      <c r="U166" s="3">
        <v>2.2367616001155568</v>
      </c>
      <c r="V166" s="318">
        <v>43.203295383004644</v>
      </c>
      <c r="W166" s="318">
        <v>59.098515649521069</v>
      </c>
      <c r="X166" s="3">
        <v>5.5161376318294808</v>
      </c>
      <c r="Y166" s="318">
        <v>64.614653281350556</v>
      </c>
    </row>
    <row r="167" spans="1:25" x14ac:dyDescent="0.2">
      <c r="A167" s="314">
        <v>2016</v>
      </c>
      <c r="B167" s="5" t="s">
        <v>466</v>
      </c>
      <c r="C167" s="5" t="s">
        <v>181</v>
      </c>
      <c r="D167" s="5" t="s">
        <v>478</v>
      </c>
      <c r="E167" s="5" t="s">
        <v>190</v>
      </c>
      <c r="F167" s="5" t="s">
        <v>184</v>
      </c>
      <c r="G167" s="5" t="s">
        <v>191</v>
      </c>
      <c r="H167" s="3">
        <v>4.9951928515838269</v>
      </c>
      <c r="I167" s="3">
        <v>0</v>
      </c>
      <c r="J167" s="318">
        <v>4.9951928515838269</v>
      </c>
      <c r="K167" s="3">
        <v>4.5814913072369743</v>
      </c>
      <c r="L167" s="3">
        <v>1.0805597870155461</v>
      </c>
      <c r="M167" s="318">
        <v>5.6620510942525204</v>
      </c>
      <c r="N167" s="3">
        <v>2.8764752508796469</v>
      </c>
      <c r="O167" s="3">
        <v>11.49503891618078</v>
      </c>
      <c r="P167" s="3">
        <v>3.3909078860392867</v>
      </c>
      <c r="Q167" s="3">
        <v>2.3342104235937433</v>
      </c>
      <c r="R167" s="3">
        <v>5.1821092237796194</v>
      </c>
      <c r="S167" s="3">
        <v>6.8937393090834522</v>
      </c>
      <c r="T167" s="3">
        <v>14.470022480409014</v>
      </c>
      <c r="U167" s="3">
        <v>2.4401452900845939</v>
      </c>
      <c r="V167" s="318">
        <v>49.082648780050135</v>
      </c>
      <c r="W167" s="318">
        <v>59.739892725886477</v>
      </c>
      <c r="X167" s="3">
        <v>5.576002489487049</v>
      </c>
      <c r="Y167" s="318">
        <v>65.31589521537353</v>
      </c>
    </row>
    <row r="168" spans="1:25" x14ac:dyDescent="0.2">
      <c r="A168" s="314">
        <v>2016</v>
      </c>
      <c r="B168" s="5" t="s">
        <v>466</v>
      </c>
      <c r="C168" s="5" t="s">
        <v>181</v>
      </c>
      <c r="D168" s="5" t="s">
        <v>476</v>
      </c>
      <c r="E168" s="5" t="s">
        <v>192</v>
      </c>
      <c r="F168" s="5" t="s">
        <v>184</v>
      </c>
      <c r="G168" s="5" t="s">
        <v>193</v>
      </c>
      <c r="H168" s="3">
        <v>4.9828188294541134</v>
      </c>
      <c r="I168" s="3">
        <v>0</v>
      </c>
      <c r="J168" s="318">
        <v>4.9828188294541134</v>
      </c>
      <c r="K168" s="3">
        <v>0.36443037642173315</v>
      </c>
      <c r="L168" s="3">
        <v>2.9055332063601451</v>
      </c>
      <c r="M168" s="318">
        <v>3.2699635827818785</v>
      </c>
      <c r="N168" s="3">
        <v>9.7697717491257485</v>
      </c>
      <c r="O168" s="3">
        <v>2.4215005686970632</v>
      </c>
      <c r="P168" s="3">
        <v>0.71107944487408947</v>
      </c>
      <c r="Q168" s="3">
        <v>0.24370490736363412</v>
      </c>
      <c r="R168" s="3">
        <v>1.7612562353358621</v>
      </c>
      <c r="S168" s="3">
        <v>3.1397283998701595</v>
      </c>
      <c r="T168" s="3">
        <v>10.581400128046457</v>
      </c>
      <c r="U168" s="3">
        <v>0.838305650443391</v>
      </c>
      <c r="V168" s="318">
        <v>29.466747083756406</v>
      </c>
      <c r="W168" s="318">
        <v>37.719529495992397</v>
      </c>
      <c r="X168" s="3">
        <v>3.5206656854406448</v>
      </c>
      <c r="Y168" s="318">
        <v>41.240195181433045</v>
      </c>
    </row>
    <row r="169" spans="1:25" x14ac:dyDescent="0.2">
      <c r="A169" s="314">
        <v>2016</v>
      </c>
      <c r="B169" s="5" t="s">
        <v>466</v>
      </c>
      <c r="C169" s="5" t="s">
        <v>181</v>
      </c>
      <c r="D169" s="5" t="s">
        <v>479</v>
      </c>
      <c r="E169" s="5" t="s">
        <v>194</v>
      </c>
      <c r="F169" s="5" t="s">
        <v>184</v>
      </c>
      <c r="G169" s="5" t="s">
        <v>195</v>
      </c>
      <c r="H169" s="3">
        <v>141.38907001499388</v>
      </c>
      <c r="I169" s="3">
        <v>1.9470944728914776E-3</v>
      </c>
      <c r="J169" s="318">
        <v>141.39101710946676</v>
      </c>
      <c r="K169" s="3">
        <v>36.621021550336643</v>
      </c>
      <c r="L169" s="3">
        <v>6.6105213573140063</v>
      </c>
      <c r="M169" s="318">
        <v>43.231542907650649</v>
      </c>
      <c r="N169" s="3">
        <v>19.038562946967442</v>
      </c>
      <c r="O169" s="3">
        <v>55.251578374867449</v>
      </c>
      <c r="P169" s="3">
        <v>6.6469587166758641</v>
      </c>
      <c r="Q169" s="3">
        <v>11.318357533967404</v>
      </c>
      <c r="R169" s="3">
        <v>23.14921182296051</v>
      </c>
      <c r="S169" s="3">
        <v>26.66269396836574</v>
      </c>
      <c r="T169" s="3">
        <v>22.623337663071904</v>
      </c>
      <c r="U169" s="3">
        <v>8.4238336956081312</v>
      </c>
      <c r="V169" s="318">
        <v>173.11453472248445</v>
      </c>
      <c r="W169" s="318">
        <v>357.73709473960184</v>
      </c>
      <c r="X169" s="3">
        <v>33.390467237741156</v>
      </c>
      <c r="Y169" s="318">
        <v>391.12756197734302</v>
      </c>
    </row>
    <row r="170" spans="1:25" x14ac:dyDescent="0.2">
      <c r="A170" s="314">
        <v>2016</v>
      </c>
      <c r="B170" s="5" t="s">
        <v>466</v>
      </c>
      <c r="C170" s="5" t="s">
        <v>181</v>
      </c>
      <c r="D170" s="5" t="s">
        <v>479</v>
      </c>
      <c r="E170" s="5" t="s">
        <v>196</v>
      </c>
      <c r="F170" s="5" t="s">
        <v>184</v>
      </c>
      <c r="G170" s="5" t="s">
        <v>197</v>
      </c>
      <c r="H170" s="3">
        <v>46.404861592127325</v>
      </c>
      <c r="I170" s="3">
        <v>0</v>
      </c>
      <c r="J170" s="318">
        <v>46.404861592127325</v>
      </c>
      <c r="K170" s="3">
        <v>119.90258073001698</v>
      </c>
      <c r="L170" s="3">
        <v>51.753376762968173</v>
      </c>
      <c r="M170" s="318">
        <v>171.65595749298515</v>
      </c>
      <c r="N170" s="3">
        <v>5.890491117639443</v>
      </c>
      <c r="O170" s="3">
        <v>32.023140070202238</v>
      </c>
      <c r="P170" s="3">
        <v>2.8404747387700797</v>
      </c>
      <c r="Q170" s="3">
        <v>3.669777799268076</v>
      </c>
      <c r="R170" s="3">
        <v>9.2917375418332693</v>
      </c>
      <c r="S170" s="3">
        <v>19.75344460323231</v>
      </c>
      <c r="T170" s="3">
        <v>16.218724399792759</v>
      </c>
      <c r="U170" s="3">
        <v>4.2855964980587933</v>
      </c>
      <c r="V170" s="318">
        <v>93.973386768796971</v>
      </c>
      <c r="W170" s="318">
        <v>312.03420585390944</v>
      </c>
      <c r="X170" s="3">
        <v>29.124650702504159</v>
      </c>
      <c r="Y170" s="318">
        <v>341.15885655641358</v>
      </c>
    </row>
    <row r="171" spans="1:25" x14ac:dyDescent="0.2">
      <c r="A171" s="314">
        <v>2016</v>
      </c>
      <c r="B171" s="5" t="s">
        <v>466</v>
      </c>
      <c r="C171" s="5" t="s">
        <v>181</v>
      </c>
      <c r="D171" s="5" t="s">
        <v>476</v>
      </c>
      <c r="E171" s="5" t="s">
        <v>198</v>
      </c>
      <c r="F171" s="5" t="s">
        <v>184</v>
      </c>
      <c r="G171" s="5" t="s">
        <v>199</v>
      </c>
      <c r="H171" s="3">
        <v>17.006481628449158</v>
      </c>
      <c r="I171" s="3">
        <v>0.29008571892129315</v>
      </c>
      <c r="J171" s="318">
        <v>17.296567347370452</v>
      </c>
      <c r="K171" s="3">
        <v>13.684003125979498</v>
      </c>
      <c r="L171" s="3">
        <v>10.523558359910311</v>
      </c>
      <c r="M171" s="318">
        <v>24.207561485889808</v>
      </c>
      <c r="N171" s="3">
        <v>140.88674846349187</v>
      </c>
      <c r="O171" s="3">
        <v>18.173821562353648</v>
      </c>
      <c r="P171" s="3">
        <v>9.7388211360812047</v>
      </c>
      <c r="Q171" s="3">
        <v>1.6854896750738284</v>
      </c>
      <c r="R171" s="3">
        <v>8.0353247365037266</v>
      </c>
      <c r="S171" s="3">
        <v>21.537533678160454</v>
      </c>
      <c r="T171" s="3">
        <v>27.248740374311744</v>
      </c>
      <c r="U171" s="3">
        <v>3.6312200842065692</v>
      </c>
      <c r="V171" s="318">
        <v>230.93769971018307</v>
      </c>
      <c r="W171" s="318">
        <v>272.44182854344331</v>
      </c>
      <c r="X171" s="3">
        <v>25.429177135772985</v>
      </c>
      <c r="Y171" s="318">
        <v>297.8710056792163</v>
      </c>
    </row>
    <row r="172" spans="1:25" x14ac:dyDescent="0.2">
      <c r="A172" s="314">
        <v>2016</v>
      </c>
      <c r="B172" s="5" t="s">
        <v>466</v>
      </c>
      <c r="C172" s="5" t="s">
        <v>181</v>
      </c>
      <c r="D172" s="5" t="s">
        <v>476</v>
      </c>
      <c r="E172" s="5" t="s">
        <v>200</v>
      </c>
      <c r="F172" s="5" t="s">
        <v>184</v>
      </c>
      <c r="G172" s="5" t="s">
        <v>201</v>
      </c>
      <c r="H172" s="3">
        <v>6.8195641078567721</v>
      </c>
      <c r="I172" s="3">
        <v>0</v>
      </c>
      <c r="J172" s="318">
        <v>6.8195641078567721</v>
      </c>
      <c r="K172" s="3">
        <v>1.270483979276007</v>
      </c>
      <c r="L172" s="3">
        <v>3.7984717109022479</v>
      </c>
      <c r="M172" s="318">
        <v>5.0689556901782549</v>
      </c>
      <c r="N172" s="3">
        <v>24.016703451516378</v>
      </c>
      <c r="O172" s="3">
        <v>1.4046448691820048</v>
      </c>
      <c r="P172" s="3">
        <v>0.54485646323144787</v>
      </c>
      <c r="Q172" s="3">
        <v>0.31209381022714139</v>
      </c>
      <c r="R172" s="3">
        <v>0.61594046203353781</v>
      </c>
      <c r="S172" s="3">
        <v>3.2864094462254236</v>
      </c>
      <c r="T172" s="3">
        <v>9.690906823450101</v>
      </c>
      <c r="U172" s="3">
        <v>0.49107351298946184</v>
      </c>
      <c r="V172" s="318">
        <v>40.362628838855493</v>
      </c>
      <c r="W172" s="318">
        <v>52.25114863689052</v>
      </c>
      <c r="X172" s="3">
        <v>4.8770180457925481</v>
      </c>
      <c r="Y172" s="318">
        <v>57.128166682683066</v>
      </c>
    </row>
    <row r="173" spans="1:25" x14ac:dyDescent="0.2">
      <c r="A173" s="314">
        <v>2016</v>
      </c>
      <c r="B173" s="5" t="s">
        <v>466</v>
      </c>
      <c r="C173" s="5" t="s">
        <v>181</v>
      </c>
      <c r="D173" s="5" t="s">
        <v>480</v>
      </c>
      <c r="E173" s="5" t="s">
        <v>202</v>
      </c>
      <c r="F173" s="5" t="s">
        <v>184</v>
      </c>
      <c r="G173" s="5" t="s">
        <v>203</v>
      </c>
      <c r="H173" s="3">
        <v>37.985403545385594</v>
      </c>
      <c r="I173" s="3">
        <v>5.9266239896916604</v>
      </c>
      <c r="J173" s="318">
        <v>43.912027535077257</v>
      </c>
      <c r="K173" s="3">
        <v>9.5081290230322821</v>
      </c>
      <c r="L173" s="3">
        <v>10.062554227769471</v>
      </c>
      <c r="M173" s="318">
        <v>19.570683250801753</v>
      </c>
      <c r="N173" s="3">
        <v>9.6010596344512855</v>
      </c>
      <c r="O173" s="3">
        <v>31.942106599834165</v>
      </c>
      <c r="P173" s="3">
        <v>17.623559096488833</v>
      </c>
      <c r="Q173" s="3">
        <v>8.9551836101336182</v>
      </c>
      <c r="R173" s="3">
        <v>22.78672537005977</v>
      </c>
      <c r="S173" s="3">
        <v>20.581934104645377</v>
      </c>
      <c r="T173" s="3">
        <v>27.396395709561613</v>
      </c>
      <c r="U173" s="3">
        <v>7.1143529345285188</v>
      </c>
      <c r="V173" s="318">
        <v>146.00131705970315</v>
      </c>
      <c r="W173" s="318">
        <v>209.48402784558215</v>
      </c>
      <c r="X173" s="3">
        <v>19.552821531408384</v>
      </c>
      <c r="Y173" s="318">
        <v>229.03684937699052</v>
      </c>
    </row>
    <row r="174" spans="1:25" x14ac:dyDescent="0.2">
      <c r="A174" s="314">
        <v>2016</v>
      </c>
      <c r="B174" s="5" t="s">
        <v>466</v>
      </c>
      <c r="C174" s="5" t="s">
        <v>181</v>
      </c>
      <c r="D174" s="5" t="s">
        <v>480</v>
      </c>
      <c r="E174" s="5" t="s">
        <v>204</v>
      </c>
      <c r="F174" s="5" t="s">
        <v>184</v>
      </c>
      <c r="G174" s="5" t="s">
        <v>205</v>
      </c>
      <c r="H174" s="3">
        <v>14.029743939730707</v>
      </c>
      <c r="I174" s="3">
        <v>0</v>
      </c>
      <c r="J174" s="318">
        <v>14.029743939730707</v>
      </c>
      <c r="K174" s="3">
        <v>0.97213084904180891</v>
      </c>
      <c r="L174" s="3">
        <v>4.6980780986098312</v>
      </c>
      <c r="M174" s="318">
        <v>5.6702089476516404</v>
      </c>
      <c r="N174" s="3">
        <v>1.7011211961326813</v>
      </c>
      <c r="O174" s="3">
        <v>7.6426667303131168</v>
      </c>
      <c r="P174" s="3">
        <v>4.678252506081737</v>
      </c>
      <c r="Q174" s="3">
        <v>1.557362965657654</v>
      </c>
      <c r="R174" s="3">
        <v>9.6743360362543989</v>
      </c>
      <c r="S174" s="3">
        <v>5.8442508887808202</v>
      </c>
      <c r="T174" s="3">
        <v>11.441945970371965</v>
      </c>
      <c r="U174" s="3">
        <v>3.5307946771843048</v>
      </c>
      <c r="V174" s="318">
        <v>46.07073097077668</v>
      </c>
      <c r="W174" s="318">
        <v>65.770683858159032</v>
      </c>
      <c r="X174" s="3">
        <v>6.1389045107783673</v>
      </c>
      <c r="Y174" s="318">
        <v>71.909588368937392</v>
      </c>
    </row>
    <row r="175" spans="1:25" x14ac:dyDescent="0.2">
      <c r="A175" s="314">
        <v>2016</v>
      </c>
      <c r="B175" s="5" t="s">
        <v>466</v>
      </c>
      <c r="C175" s="5" t="s">
        <v>181</v>
      </c>
      <c r="D175" s="5" t="s">
        <v>479</v>
      </c>
      <c r="E175" s="5" t="s">
        <v>206</v>
      </c>
      <c r="F175" s="5" t="s">
        <v>184</v>
      </c>
      <c r="G175" s="5" t="s">
        <v>207</v>
      </c>
      <c r="H175" s="3">
        <v>3.792399787895723</v>
      </c>
      <c r="I175" s="3">
        <v>0</v>
      </c>
      <c r="J175" s="318">
        <v>3.792399787895723</v>
      </c>
      <c r="K175" s="3">
        <v>1.531011522714713</v>
      </c>
      <c r="L175" s="3">
        <v>1.3856977820649046</v>
      </c>
      <c r="M175" s="318">
        <v>2.9167093047796175</v>
      </c>
      <c r="N175" s="3">
        <v>0.93015060381462744</v>
      </c>
      <c r="O175" s="3">
        <v>2.8473181782682224</v>
      </c>
      <c r="P175" s="3">
        <v>0.69713825929271689</v>
      </c>
      <c r="Q175" s="3">
        <v>0.42205555902340802</v>
      </c>
      <c r="R175" s="3">
        <v>1.3841590323619093</v>
      </c>
      <c r="S175" s="3">
        <v>3.0299217722001255</v>
      </c>
      <c r="T175" s="3">
        <v>15.020722647760227</v>
      </c>
      <c r="U175" s="3">
        <v>0.57850417465560877</v>
      </c>
      <c r="V175" s="318">
        <v>24.909970227376846</v>
      </c>
      <c r="W175" s="318">
        <v>31.619079320052183</v>
      </c>
      <c r="X175" s="3">
        <v>2.9512618278857672</v>
      </c>
      <c r="Y175" s="318">
        <v>34.570341147937953</v>
      </c>
    </row>
    <row r="176" spans="1:25" x14ac:dyDescent="0.2">
      <c r="A176" s="314">
        <v>2016</v>
      </c>
      <c r="B176" s="5" t="s">
        <v>466</v>
      </c>
      <c r="C176" s="5" t="s">
        <v>181</v>
      </c>
      <c r="D176" s="5" t="s">
        <v>479</v>
      </c>
      <c r="E176" s="5" t="s">
        <v>208</v>
      </c>
      <c r="F176" s="5" t="s">
        <v>184</v>
      </c>
      <c r="G176" s="5" t="s">
        <v>209</v>
      </c>
      <c r="H176" s="3">
        <v>98.384722623904665</v>
      </c>
      <c r="I176" s="3">
        <v>6.6819155610860397E-3</v>
      </c>
      <c r="J176" s="318">
        <v>98.391404539465753</v>
      </c>
      <c r="K176" s="3">
        <v>384.07731721763196</v>
      </c>
      <c r="L176" s="3">
        <v>76.448756386050718</v>
      </c>
      <c r="M176" s="318">
        <v>460.52607360368268</v>
      </c>
      <c r="N176" s="3">
        <v>15.447720597544645</v>
      </c>
      <c r="O176" s="3">
        <v>58.041625453928582</v>
      </c>
      <c r="P176" s="3">
        <v>8.0905706977528737</v>
      </c>
      <c r="Q176" s="3">
        <v>8.5728032070855402</v>
      </c>
      <c r="R176" s="3">
        <v>22.359662748199202</v>
      </c>
      <c r="S176" s="3">
        <v>48.944084069875622</v>
      </c>
      <c r="T176" s="3">
        <v>38.545964688635067</v>
      </c>
      <c r="U176" s="3">
        <v>5.7160311154813188</v>
      </c>
      <c r="V176" s="318">
        <v>205.71846257850285</v>
      </c>
      <c r="W176" s="318">
        <v>764.63594072165131</v>
      </c>
      <c r="X176" s="3">
        <v>71.369594327505212</v>
      </c>
      <c r="Y176" s="318">
        <v>836.00553504915649</v>
      </c>
    </row>
    <row r="177" spans="1:25" x14ac:dyDescent="0.2">
      <c r="A177" s="314">
        <v>2016</v>
      </c>
      <c r="B177" s="5" t="s">
        <v>466</v>
      </c>
      <c r="C177" s="5" t="s">
        <v>181</v>
      </c>
      <c r="D177" s="5" t="s">
        <v>479</v>
      </c>
      <c r="E177" s="5" t="s">
        <v>210</v>
      </c>
      <c r="F177" s="5" t="s">
        <v>184</v>
      </c>
      <c r="G177" s="5" t="s">
        <v>211</v>
      </c>
      <c r="H177" s="3">
        <v>268.83979121034537</v>
      </c>
      <c r="I177" s="3">
        <v>2.3350032165579884</v>
      </c>
      <c r="J177" s="318">
        <v>271.17479442690336</v>
      </c>
      <c r="K177" s="3">
        <v>124.32024879214892</v>
      </c>
      <c r="L177" s="3">
        <v>34.28021827635682</v>
      </c>
      <c r="M177" s="318">
        <v>158.60046706850574</v>
      </c>
      <c r="N177" s="3">
        <v>24.427792043716646</v>
      </c>
      <c r="O177" s="3">
        <v>91.842165556896518</v>
      </c>
      <c r="P177" s="3">
        <v>12.908645641044226</v>
      </c>
      <c r="Q177" s="3">
        <v>10.866893951396216</v>
      </c>
      <c r="R177" s="3">
        <v>27.66270505811876</v>
      </c>
      <c r="S177" s="3">
        <v>51.837089110471801</v>
      </c>
      <c r="T177" s="3">
        <v>98.551339984510548</v>
      </c>
      <c r="U177" s="3">
        <v>9.9968942017131752</v>
      </c>
      <c r="V177" s="318">
        <v>328.0935255478679</v>
      </c>
      <c r="W177" s="318">
        <v>757.86878704327705</v>
      </c>
      <c r="X177" s="3">
        <v>70.737961694174317</v>
      </c>
      <c r="Y177" s="318">
        <v>828.60674873745143</v>
      </c>
    </row>
    <row r="178" spans="1:25" x14ac:dyDescent="0.2">
      <c r="A178" s="314">
        <v>2016</v>
      </c>
      <c r="B178" s="5" t="s">
        <v>466</v>
      </c>
      <c r="C178" s="5" t="s">
        <v>181</v>
      </c>
      <c r="D178" s="5" t="s">
        <v>480</v>
      </c>
      <c r="E178" s="5" t="s">
        <v>212</v>
      </c>
      <c r="F178" s="5" t="s">
        <v>184</v>
      </c>
      <c r="G178" s="5" t="s">
        <v>213</v>
      </c>
      <c r="H178" s="3">
        <v>9.1684613976139904</v>
      </c>
      <c r="I178" s="3">
        <v>0</v>
      </c>
      <c r="J178" s="318">
        <v>9.1684613976139904</v>
      </c>
      <c r="K178" s="3">
        <v>5.2274297149633036</v>
      </c>
      <c r="L178" s="3">
        <v>0.21543843146411668</v>
      </c>
      <c r="M178" s="318">
        <v>5.4428681464274202</v>
      </c>
      <c r="N178" s="3">
        <v>8.411466003896841</v>
      </c>
      <c r="O178" s="3">
        <v>7.8589513949608403</v>
      </c>
      <c r="P178" s="3">
        <v>1.9167275956541594</v>
      </c>
      <c r="Q178" s="3">
        <v>0.80722916388149279</v>
      </c>
      <c r="R178" s="3">
        <v>2.3508938212177277</v>
      </c>
      <c r="S178" s="3">
        <v>5.3868162425243558</v>
      </c>
      <c r="T178" s="3">
        <v>18.976973863675632</v>
      </c>
      <c r="U178" s="3">
        <v>1.296794590675755</v>
      </c>
      <c r="V178" s="318">
        <v>47.005852676486803</v>
      </c>
      <c r="W178" s="318">
        <v>61.617182220528214</v>
      </c>
      <c r="X178" s="3">
        <v>5.7512249483495204</v>
      </c>
      <c r="Y178" s="318">
        <v>67.368407168877738</v>
      </c>
    </row>
    <row r="179" spans="1:25" x14ac:dyDescent="0.2">
      <c r="A179" s="314">
        <v>2016</v>
      </c>
      <c r="B179" s="5" t="s">
        <v>466</v>
      </c>
      <c r="C179" s="5" t="s">
        <v>181</v>
      </c>
      <c r="D179" s="5" t="s">
        <v>478</v>
      </c>
      <c r="E179" s="5" t="s">
        <v>214</v>
      </c>
      <c r="F179" s="5" t="s">
        <v>184</v>
      </c>
      <c r="G179" s="5" t="s">
        <v>215</v>
      </c>
      <c r="H179" s="3">
        <v>11.775254527130922</v>
      </c>
      <c r="I179" s="3">
        <v>5.1889440773280953</v>
      </c>
      <c r="J179" s="318">
        <v>16.964198604459018</v>
      </c>
      <c r="K179" s="3">
        <v>3.8074207606148036</v>
      </c>
      <c r="L179" s="3">
        <v>5.9745427996887663</v>
      </c>
      <c r="M179" s="318">
        <v>9.7819635603035699</v>
      </c>
      <c r="N179" s="3">
        <v>2.8658470749341882</v>
      </c>
      <c r="O179" s="3">
        <v>23.162344308524887</v>
      </c>
      <c r="P179" s="3">
        <v>2.4061521556102519</v>
      </c>
      <c r="Q179" s="3">
        <v>1.7835933937566968</v>
      </c>
      <c r="R179" s="3">
        <v>4.0871450068969937</v>
      </c>
      <c r="S179" s="3">
        <v>10.834926046033804</v>
      </c>
      <c r="T179" s="3">
        <v>43.206616311085497</v>
      </c>
      <c r="U179" s="3">
        <v>1.9532783268967093</v>
      </c>
      <c r="V179" s="318">
        <v>90.29990262373903</v>
      </c>
      <c r="W179" s="318">
        <v>117.04606478850161</v>
      </c>
      <c r="X179" s="3">
        <v>10.924846344133815</v>
      </c>
      <c r="Y179" s="318">
        <v>127.97091113263542</v>
      </c>
    </row>
    <row r="180" spans="1:25" x14ac:dyDescent="0.2">
      <c r="A180" s="314">
        <v>2016</v>
      </c>
      <c r="B180" s="5" t="s">
        <v>466</v>
      </c>
      <c r="C180" s="5" t="s">
        <v>181</v>
      </c>
      <c r="D180" s="5" t="s">
        <v>478</v>
      </c>
      <c r="E180" s="5" t="s">
        <v>216</v>
      </c>
      <c r="F180" s="5" t="s">
        <v>184</v>
      </c>
      <c r="G180" s="5" t="s">
        <v>217</v>
      </c>
      <c r="H180" s="3">
        <v>48.380205359865428</v>
      </c>
      <c r="I180" s="3">
        <v>0.10259673399882321</v>
      </c>
      <c r="J180" s="318">
        <v>48.482802093864251</v>
      </c>
      <c r="K180" s="3">
        <v>85.364578669300542</v>
      </c>
      <c r="L180" s="3">
        <v>33.25215686170705</v>
      </c>
      <c r="M180" s="318">
        <v>118.61673553100759</v>
      </c>
      <c r="N180" s="3">
        <v>23.986932216224094</v>
      </c>
      <c r="O180" s="3">
        <v>136.24616799786261</v>
      </c>
      <c r="P180" s="3">
        <v>12.078817751012542</v>
      </c>
      <c r="Q180" s="3">
        <v>17.411744785780595</v>
      </c>
      <c r="R180" s="3">
        <v>38.864118010779485</v>
      </c>
      <c r="S180" s="3">
        <v>47.283182569912825</v>
      </c>
      <c r="T180" s="3">
        <v>36.225028321780364</v>
      </c>
      <c r="U180" s="3">
        <v>15.084926034547196</v>
      </c>
      <c r="V180" s="318">
        <v>327.18091768789975</v>
      </c>
      <c r="W180" s="318">
        <v>494.28045531277155</v>
      </c>
      <c r="X180" s="3">
        <v>46.135152300575342</v>
      </c>
      <c r="Y180" s="318">
        <v>540.41560761334688</v>
      </c>
    </row>
    <row r="181" spans="1:25" x14ac:dyDescent="0.2">
      <c r="A181" s="314">
        <v>2016</v>
      </c>
      <c r="B181" s="5" t="s">
        <v>466</v>
      </c>
      <c r="C181" s="5" t="s">
        <v>218</v>
      </c>
      <c r="D181" s="5" t="s">
        <v>481</v>
      </c>
      <c r="E181" s="5" t="s">
        <v>220</v>
      </c>
      <c r="F181" s="5" t="s">
        <v>221</v>
      </c>
      <c r="G181" s="5" t="s">
        <v>223</v>
      </c>
      <c r="H181" s="3">
        <v>4.2286607747195299</v>
      </c>
      <c r="I181" s="3">
        <v>0</v>
      </c>
      <c r="J181" s="318">
        <v>4.2286607747195299</v>
      </c>
      <c r="K181" s="3">
        <v>0.79489969492907953</v>
      </c>
      <c r="L181" s="3">
        <v>1.0207633857144591</v>
      </c>
      <c r="M181" s="318">
        <v>1.8156630806435388</v>
      </c>
      <c r="N181" s="3">
        <v>1.8200495011144153</v>
      </c>
      <c r="O181" s="3">
        <v>1.1455574294202333</v>
      </c>
      <c r="P181" s="3">
        <v>0.38884013148730751</v>
      </c>
      <c r="Q181" s="3">
        <v>0.22420067752427766</v>
      </c>
      <c r="R181" s="3">
        <v>0.67723686087460255</v>
      </c>
      <c r="S181" s="3">
        <v>1.669580889705619</v>
      </c>
      <c r="T181" s="3">
        <v>7.9129682108166604</v>
      </c>
      <c r="U181" s="3">
        <v>0.28893932604670519</v>
      </c>
      <c r="V181" s="318">
        <v>14.127373026989822</v>
      </c>
      <c r="W181" s="318">
        <v>20.17169688235289</v>
      </c>
      <c r="X181" s="3">
        <v>1.8827859726711418</v>
      </c>
      <c r="Y181" s="318">
        <v>22.05448285502403</v>
      </c>
    </row>
    <row r="182" spans="1:25" x14ac:dyDescent="0.2">
      <c r="A182" s="314">
        <v>2016</v>
      </c>
      <c r="B182" s="5" t="s">
        <v>466</v>
      </c>
      <c r="C182" s="5" t="s">
        <v>218</v>
      </c>
      <c r="D182" s="5" t="s">
        <v>482</v>
      </c>
      <c r="E182" s="5" t="s">
        <v>224</v>
      </c>
      <c r="F182" s="5" t="s">
        <v>221</v>
      </c>
      <c r="G182" s="5" t="s">
        <v>226</v>
      </c>
      <c r="H182" s="3">
        <v>24.966148075285361</v>
      </c>
      <c r="I182" s="3">
        <v>0</v>
      </c>
      <c r="J182" s="318">
        <v>24.966148075285361</v>
      </c>
      <c r="K182" s="3">
        <v>1.4425380682620528</v>
      </c>
      <c r="L182" s="3">
        <v>5.0462205103515902</v>
      </c>
      <c r="M182" s="318">
        <v>6.488758578613643</v>
      </c>
      <c r="N182" s="3">
        <v>1.4708119062048211</v>
      </c>
      <c r="O182" s="3">
        <v>6.7096750606410795</v>
      </c>
      <c r="P182" s="3">
        <v>3.1677826035032517</v>
      </c>
      <c r="Q182" s="3">
        <v>1.9546798461917703</v>
      </c>
      <c r="R182" s="3">
        <v>5.0739944152511969</v>
      </c>
      <c r="S182" s="3">
        <v>7.1587271543617375</v>
      </c>
      <c r="T182" s="3">
        <v>10.707606505975605</v>
      </c>
      <c r="U182" s="3">
        <v>1.9428496263196944</v>
      </c>
      <c r="V182" s="318">
        <v>38.186127118449157</v>
      </c>
      <c r="W182" s="318">
        <v>69.641033772348152</v>
      </c>
      <c r="X182" s="3">
        <v>6.5001552558329045</v>
      </c>
      <c r="Y182" s="318">
        <v>76.14118902818106</v>
      </c>
    </row>
    <row r="183" spans="1:25" x14ac:dyDescent="0.2">
      <c r="A183" s="314">
        <v>2016</v>
      </c>
      <c r="B183" s="5" t="s">
        <v>466</v>
      </c>
      <c r="C183" s="5" t="s">
        <v>218</v>
      </c>
      <c r="D183" s="5" t="s">
        <v>482</v>
      </c>
      <c r="E183" s="5" t="s">
        <v>227</v>
      </c>
      <c r="F183" s="5" t="s">
        <v>221</v>
      </c>
      <c r="G183" s="5" t="s">
        <v>228</v>
      </c>
      <c r="H183" s="3">
        <v>11.809152581502222</v>
      </c>
      <c r="I183" s="3">
        <v>0</v>
      </c>
      <c r="J183" s="318">
        <v>11.809152581502222</v>
      </c>
      <c r="K183" s="3">
        <v>1.0572455622383499</v>
      </c>
      <c r="L183" s="3">
        <v>3.6696108263774434</v>
      </c>
      <c r="M183" s="318">
        <v>4.7268563886157935</v>
      </c>
      <c r="N183" s="3">
        <v>1.1531542062368276</v>
      </c>
      <c r="O183" s="3">
        <v>5.3120778056529874</v>
      </c>
      <c r="P183" s="3">
        <v>2.7326962994914972</v>
      </c>
      <c r="Q183" s="3">
        <v>2.2762203921134883</v>
      </c>
      <c r="R183" s="3">
        <v>4.3038799899098343</v>
      </c>
      <c r="S183" s="3">
        <v>5.6067579073296256</v>
      </c>
      <c r="T183" s="3">
        <v>15.34961881381269</v>
      </c>
      <c r="U183" s="3">
        <v>2.1634297011730164</v>
      </c>
      <c r="V183" s="318">
        <v>38.897835115719964</v>
      </c>
      <c r="W183" s="318">
        <v>55.433844085837976</v>
      </c>
      <c r="X183" s="3">
        <v>5.1740844939704855</v>
      </c>
      <c r="Y183" s="318">
        <v>60.607928579808458</v>
      </c>
    </row>
    <row r="184" spans="1:25" x14ac:dyDescent="0.2">
      <c r="A184" s="314">
        <v>2016</v>
      </c>
      <c r="B184" s="5" t="s">
        <v>466</v>
      </c>
      <c r="C184" s="5" t="s">
        <v>218</v>
      </c>
      <c r="D184" s="5" t="s">
        <v>482</v>
      </c>
      <c r="E184" s="5" t="s">
        <v>229</v>
      </c>
      <c r="F184" s="5" t="s">
        <v>221</v>
      </c>
      <c r="G184" s="5" t="s">
        <v>230</v>
      </c>
      <c r="H184" s="3">
        <v>7.4882333702032895</v>
      </c>
      <c r="I184" s="3">
        <v>36.385867745700487</v>
      </c>
      <c r="J184" s="318">
        <v>43.874101115903777</v>
      </c>
      <c r="K184" s="3">
        <v>3.2454081061476061</v>
      </c>
      <c r="L184" s="3">
        <v>2.1285415990803078</v>
      </c>
      <c r="M184" s="318">
        <v>5.3739497052279139</v>
      </c>
      <c r="N184" s="3">
        <v>3.9797749116681631</v>
      </c>
      <c r="O184" s="3">
        <v>6.3541566021596383</v>
      </c>
      <c r="P184" s="3">
        <v>3.8518805101913913</v>
      </c>
      <c r="Q184" s="3">
        <v>1.6921945773602403</v>
      </c>
      <c r="R184" s="3">
        <v>8.0839336871703296</v>
      </c>
      <c r="S184" s="3">
        <v>8.1811100861384283</v>
      </c>
      <c r="T184" s="3">
        <v>12.751100237812942</v>
      </c>
      <c r="U184" s="3">
        <v>2.715209782553079</v>
      </c>
      <c r="V184" s="318">
        <v>47.60936039505421</v>
      </c>
      <c r="W184" s="318">
        <v>96.857411216185909</v>
      </c>
      <c r="X184" s="3">
        <v>9.040477667826428</v>
      </c>
      <c r="Y184" s="318">
        <v>105.89788888401233</v>
      </c>
    </row>
    <row r="185" spans="1:25" x14ac:dyDescent="0.2">
      <c r="A185" s="314">
        <v>2016</v>
      </c>
      <c r="B185" s="5" t="s">
        <v>466</v>
      </c>
      <c r="C185" s="5" t="s">
        <v>218</v>
      </c>
      <c r="D185" s="5" t="s">
        <v>482</v>
      </c>
      <c r="E185" s="5" t="s">
        <v>231</v>
      </c>
      <c r="F185" s="5" t="s">
        <v>221</v>
      </c>
      <c r="G185" s="5" t="s">
        <v>232</v>
      </c>
      <c r="H185" s="3">
        <v>22.947439067423844</v>
      </c>
      <c r="I185" s="3">
        <v>1.3521530114962588</v>
      </c>
      <c r="J185" s="318">
        <v>24.299592078920103</v>
      </c>
      <c r="K185" s="3">
        <v>2.467650212101506</v>
      </c>
      <c r="L185" s="3">
        <v>4.2960937154456884</v>
      </c>
      <c r="M185" s="318">
        <v>6.7637439275471944</v>
      </c>
      <c r="N185" s="3">
        <v>0.83733303775376777</v>
      </c>
      <c r="O185" s="3">
        <v>6.6597266086429219</v>
      </c>
      <c r="P185" s="3">
        <v>1.9768596740839226</v>
      </c>
      <c r="Q185" s="3">
        <v>1.6212178559108286</v>
      </c>
      <c r="R185" s="3">
        <v>3.9444970321543491</v>
      </c>
      <c r="S185" s="3">
        <v>6.8017707224110424</v>
      </c>
      <c r="T185" s="3">
        <v>25.234969899584748</v>
      </c>
      <c r="U185" s="3">
        <v>1.547999519057659</v>
      </c>
      <c r="V185" s="318">
        <v>48.624374349599243</v>
      </c>
      <c r="W185" s="318">
        <v>79.687710356066546</v>
      </c>
      <c r="X185" s="3">
        <v>7.4378920190864193</v>
      </c>
      <c r="Y185" s="318">
        <v>87.125602375152965</v>
      </c>
    </row>
    <row r="186" spans="1:25" x14ac:dyDescent="0.2">
      <c r="A186" s="314">
        <v>2016</v>
      </c>
      <c r="B186" s="5" t="s">
        <v>466</v>
      </c>
      <c r="C186" s="5" t="s">
        <v>218</v>
      </c>
      <c r="D186" s="5" t="s">
        <v>481</v>
      </c>
      <c r="E186" s="5" t="s">
        <v>233</v>
      </c>
      <c r="F186" s="5" t="s">
        <v>221</v>
      </c>
      <c r="G186" s="5" t="s">
        <v>234</v>
      </c>
      <c r="H186" s="3">
        <v>20.518105205284392</v>
      </c>
      <c r="I186" s="3">
        <v>18.035401241798255</v>
      </c>
      <c r="J186" s="318">
        <v>38.553506447082647</v>
      </c>
      <c r="K186" s="3">
        <v>1.3794084183567599</v>
      </c>
      <c r="L186" s="3">
        <v>9.8616886891841329</v>
      </c>
      <c r="M186" s="318">
        <v>11.241097107540893</v>
      </c>
      <c r="N186" s="3">
        <v>8.4387754155168668</v>
      </c>
      <c r="O186" s="3">
        <v>23.484926979219498</v>
      </c>
      <c r="P186" s="3">
        <v>4.1354273969363096</v>
      </c>
      <c r="Q186" s="3">
        <v>3.1601963965746229</v>
      </c>
      <c r="R186" s="3">
        <v>11.056386596818406</v>
      </c>
      <c r="S186" s="3">
        <v>12.733422058732291</v>
      </c>
      <c r="T186" s="3">
        <v>28.653730350724008</v>
      </c>
      <c r="U186" s="3">
        <v>3.3857270293542463</v>
      </c>
      <c r="V186" s="318">
        <v>95.048592223876241</v>
      </c>
      <c r="W186" s="318">
        <v>144.84319577849979</v>
      </c>
      <c r="X186" s="3">
        <v>13.519375134334744</v>
      </c>
      <c r="Y186" s="318">
        <v>158.36257091283454</v>
      </c>
    </row>
    <row r="187" spans="1:25" x14ac:dyDescent="0.2">
      <c r="A187" s="314">
        <v>2016</v>
      </c>
      <c r="B187" s="5" t="s">
        <v>466</v>
      </c>
      <c r="C187" s="5" t="s">
        <v>218</v>
      </c>
      <c r="D187" s="5" t="s">
        <v>481</v>
      </c>
      <c r="E187" s="5" t="s">
        <v>235</v>
      </c>
      <c r="F187" s="5" t="s">
        <v>221</v>
      </c>
      <c r="G187" s="5" t="s">
        <v>236</v>
      </c>
      <c r="H187" s="3">
        <v>72.165289337216791</v>
      </c>
      <c r="I187" s="3">
        <v>5.6866889205580709E-2</v>
      </c>
      <c r="J187" s="318">
        <v>72.222156226422371</v>
      </c>
      <c r="K187" s="3">
        <v>4.3302056940588534</v>
      </c>
      <c r="L187" s="3">
        <v>15.302711307896679</v>
      </c>
      <c r="M187" s="318">
        <v>19.632917001955533</v>
      </c>
      <c r="N187" s="3">
        <v>5.3133713638916751</v>
      </c>
      <c r="O187" s="3">
        <v>43.646834097402163</v>
      </c>
      <c r="P187" s="3">
        <v>7.8247672619553832</v>
      </c>
      <c r="Q187" s="3">
        <v>6.7260906632435642</v>
      </c>
      <c r="R187" s="3">
        <v>15.261625691428023</v>
      </c>
      <c r="S187" s="3">
        <v>18.72913481843127</v>
      </c>
      <c r="T187" s="3">
        <v>28.991904278904698</v>
      </c>
      <c r="U187" s="3">
        <v>6.7272101450399573</v>
      </c>
      <c r="V187" s="318">
        <v>133.22093832029674</v>
      </c>
      <c r="W187" s="318">
        <v>225.07601154867467</v>
      </c>
      <c r="X187" s="3">
        <v>21.008146206050995</v>
      </c>
      <c r="Y187" s="318">
        <v>246.08415775472565</v>
      </c>
    </row>
    <row r="188" spans="1:25" x14ac:dyDescent="0.2">
      <c r="A188" s="314">
        <v>2016</v>
      </c>
      <c r="B188" s="5" t="s">
        <v>466</v>
      </c>
      <c r="C188" s="5" t="s">
        <v>218</v>
      </c>
      <c r="D188" s="5" t="s">
        <v>482</v>
      </c>
      <c r="E188" s="5" t="s">
        <v>237</v>
      </c>
      <c r="F188" s="5" t="s">
        <v>221</v>
      </c>
      <c r="G188" s="5" t="s">
        <v>238</v>
      </c>
      <c r="H188" s="3">
        <v>62.513794744609839</v>
      </c>
      <c r="I188" s="3">
        <v>0</v>
      </c>
      <c r="J188" s="318">
        <v>62.513794744609839</v>
      </c>
      <c r="K188" s="3">
        <v>6.7054892181064485</v>
      </c>
      <c r="L188" s="3">
        <v>7.5984065990583609</v>
      </c>
      <c r="M188" s="318">
        <v>14.303895817164809</v>
      </c>
      <c r="N188" s="3">
        <v>2.7458761950641297</v>
      </c>
      <c r="O188" s="3">
        <v>12.095454056877244</v>
      </c>
      <c r="P188" s="3">
        <v>3.7410963843219487</v>
      </c>
      <c r="Q188" s="3">
        <v>2.5907119583941363</v>
      </c>
      <c r="R188" s="3">
        <v>9.5942130645509192</v>
      </c>
      <c r="S188" s="3">
        <v>11.322018290661942</v>
      </c>
      <c r="T188" s="3">
        <v>30.672845232877968</v>
      </c>
      <c r="U188" s="3">
        <v>4.6425753276829838</v>
      </c>
      <c r="V188" s="318">
        <v>77.404790510431269</v>
      </c>
      <c r="W188" s="318">
        <v>154.22248107220594</v>
      </c>
      <c r="X188" s="3">
        <v>14.394818925090872</v>
      </c>
      <c r="Y188" s="318">
        <v>168.61729999729681</v>
      </c>
    </row>
    <row r="189" spans="1:25" x14ac:dyDescent="0.2">
      <c r="A189" s="314">
        <v>2016</v>
      </c>
      <c r="B189" s="5" t="s">
        <v>466</v>
      </c>
      <c r="C189" s="5" t="s">
        <v>218</v>
      </c>
      <c r="D189" s="5" t="s">
        <v>481</v>
      </c>
      <c r="E189" s="5" t="s">
        <v>239</v>
      </c>
      <c r="F189" s="5" t="s">
        <v>221</v>
      </c>
      <c r="G189" s="5" t="s">
        <v>240</v>
      </c>
      <c r="H189" s="3">
        <v>30.090854908379495</v>
      </c>
      <c r="I189" s="3">
        <v>6.9812718493363972</v>
      </c>
      <c r="J189" s="318">
        <v>37.072126757715893</v>
      </c>
      <c r="K189" s="3">
        <v>1.2448453096168717</v>
      </c>
      <c r="L189" s="3">
        <v>15.386688125714146</v>
      </c>
      <c r="M189" s="318">
        <v>16.631533435331018</v>
      </c>
      <c r="N189" s="3">
        <v>12.543801539072639</v>
      </c>
      <c r="O189" s="3">
        <v>24.872615082931372</v>
      </c>
      <c r="P189" s="3">
        <v>5.7013049467939929</v>
      </c>
      <c r="Q189" s="3">
        <v>5.5467258659963203</v>
      </c>
      <c r="R189" s="3">
        <v>10.023038995774733</v>
      </c>
      <c r="S189" s="3">
        <v>14.709060670964609</v>
      </c>
      <c r="T189" s="3">
        <v>42.189571945782639</v>
      </c>
      <c r="U189" s="3">
        <v>5.7956680890140468</v>
      </c>
      <c r="V189" s="318">
        <v>121.38178713633036</v>
      </c>
      <c r="W189" s="318">
        <v>175.08544732937727</v>
      </c>
      <c r="X189" s="3">
        <v>16.342126603091817</v>
      </c>
      <c r="Y189" s="318">
        <v>191.4275739324691</v>
      </c>
    </row>
    <row r="190" spans="1:25" x14ac:dyDescent="0.2">
      <c r="A190" s="314">
        <v>2016</v>
      </c>
      <c r="B190" s="5" t="s">
        <v>466</v>
      </c>
      <c r="C190" s="5" t="s">
        <v>218</v>
      </c>
      <c r="D190" s="5" t="s">
        <v>482</v>
      </c>
      <c r="E190" s="5" t="s">
        <v>241</v>
      </c>
      <c r="F190" s="5" t="s">
        <v>221</v>
      </c>
      <c r="G190" s="5" t="s">
        <v>242</v>
      </c>
      <c r="H190" s="3">
        <v>7.7389794692729419</v>
      </c>
      <c r="I190" s="3">
        <v>0</v>
      </c>
      <c r="J190" s="318">
        <v>7.7389794692729419</v>
      </c>
      <c r="K190" s="3">
        <v>0.71546780674995469</v>
      </c>
      <c r="L190" s="3">
        <v>2.8208227648590927</v>
      </c>
      <c r="M190" s="318">
        <v>3.5362905716090474</v>
      </c>
      <c r="N190" s="3">
        <v>1.0002752440669826</v>
      </c>
      <c r="O190" s="3">
        <v>8.472630308415436</v>
      </c>
      <c r="P190" s="3">
        <v>1.4278505183665109</v>
      </c>
      <c r="Q190" s="3">
        <v>0.78763898342489425</v>
      </c>
      <c r="R190" s="3">
        <v>3.547126501117456</v>
      </c>
      <c r="S190" s="3">
        <v>4.0674373924060676</v>
      </c>
      <c r="T190" s="3">
        <v>10.2004533763835</v>
      </c>
      <c r="U190" s="3">
        <v>1.1558507291736293</v>
      </c>
      <c r="V190" s="318">
        <v>30.659263053354476</v>
      </c>
      <c r="W190" s="318">
        <v>41.934533094236464</v>
      </c>
      <c r="X190" s="3">
        <v>3.9140857182627244</v>
      </c>
      <c r="Y190" s="318">
        <v>45.84861881249919</v>
      </c>
    </row>
    <row r="191" spans="1:25" x14ac:dyDescent="0.2">
      <c r="A191" s="314">
        <v>2016</v>
      </c>
      <c r="B191" s="5" t="s">
        <v>466</v>
      </c>
      <c r="C191" s="5" t="s">
        <v>218</v>
      </c>
      <c r="D191" s="5" t="s">
        <v>482</v>
      </c>
      <c r="E191" s="5" t="s">
        <v>243</v>
      </c>
      <c r="F191" s="5" t="s">
        <v>221</v>
      </c>
      <c r="G191" s="5" t="s">
        <v>244</v>
      </c>
      <c r="H191" s="3">
        <v>12.838183212594815</v>
      </c>
      <c r="I191" s="3">
        <v>0.16799711892831745</v>
      </c>
      <c r="J191" s="318">
        <v>13.006180331523133</v>
      </c>
      <c r="K191" s="3">
        <v>1.3226232436909857</v>
      </c>
      <c r="L191" s="3">
        <v>3.1566529024915706</v>
      </c>
      <c r="M191" s="318">
        <v>4.4792761461825563</v>
      </c>
      <c r="N191" s="3">
        <v>1.2673871031519148</v>
      </c>
      <c r="O191" s="3">
        <v>3.7722614082070747</v>
      </c>
      <c r="P191" s="3">
        <v>2.2963627074880852</v>
      </c>
      <c r="Q191" s="3">
        <v>1.1926866943305852</v>
      </c>
      <c r="R191" s="3">
        <v>3.9347484306952438</v>
      </c>
      <c r="S191" s="3">
        <v>4.6046601393000213</v>
      </c>
      <c r="T191" s="3">
        <v>15.63720097668573</v>
      </c>
      <c r="U191" s="3">
        <v>1.7270847233876307</v>
      </c>
      <c r="V191" s="318">
        <v>34.432392183246293</v>
      </c>
      <c r="W191" s="318">
        <v>51.917848660951982</v>
      </c>
      <c r="X191" s="3">
        <v>4.845908490505817</v>
      </c>
      <c r="Y191" s="318">
        <v>56.763757151457796</v>
      </c>
    </row>
    <row r="192" spans="1:25" x14ac:dyDescent="0.2">
      <c r="A192" s="314">
        <v>2016</v>
      </c>
      <c r="B192" s="5" t="s">
        <v>466</v>
      </c>
      <c r="C192" s="5" t="s">
        <v>218</v>
      </c>
      <c r="D192" s="5" t="s">
        <v>482</v>
      </c>
      <c r="E192" s="5" t="s">
        <v>245</v>
      </c>
      <c r="F192" s="5" t="s">
        <v>221</v>
      </c>
      <c r="G192" s="5" t="s">
        <v>246</v>
      </c>
      <c r="H192" s="3">
        <v>19.427334796582667</v>
      </c>
      <c r="I192" s="3">
        <v>0.7270435853778674</v>
      </c>
      <c r="J192" s="318">
        <v>20.154378381960534</v>
      </c>
      <c r="K192" s="3">
        <v>0.88190608270893389</v>
      </c>
      <c r="L192" s="3">
        <v>6.5696664700160996</v>
      </c>
      <c r="M192" s="318">
        <v>7.4515725527250334</v>
      </c>
      <c r="N192" s="3">
        <v>2.7801553899262776</v>
      </c>
      <c r="O192" s="3">
        <v>10.684748179588285</v>
      </c>
      <c r="P192" s="3">
        <v>3.7839490319347626</v>
      </c>
      <c r="Q192" s="3">
        <v>8.537164330518543</v>
      </c>
      <c r="R192" s="3">
        <v>6.5485086798422332</v>
      </c>
      <c r="S192" s="3">
        <v>8.6511390546825666</v>
      </c>
      <c r="T192" s="3">
        <v>13.296598356413439</v>
      </c>
      <c r="U192" s="3">
        <v>3.4473578439620263</v>
      </c>
      <c r="V192" s="318">
        <v>57.729620866868132</v>
      </c>
      <c r="W192" s="318">
        <v>85.335571801553698</v>
      </c>
      <c r="X192" s="3">
        <v>7.9650521468224369</v>
      </c>
      <c r="Y192" s="318">
        <v>93.300623948376142</v>
      </c>
    </row>
    <row r="193" spans="1:25" x14ac:dyDescent="0.2">
      <c r="A193" s="314">
        <v>2016</v>
      </c>
      <c r="B193" s="5" t="s">
        <v>466</v>
      </c>
      <c r="C193" s="5" t="s">
        <v>218</v>
      </c>
      <c r="D193" s="5" t="s">
        <v>482</v>
      </c>
      <c r="E193" s="5" t="s">
        <v>247</v>
      </c>
      <c r="F193" s="5" t="s">
        <v>221</v>
      </c>
      <c r="G193" s="5" t="s">
        <v>248</v>
      </c>
      <c r="H193" s="3">
        <v>5.2202110193748288</v>
      </c>
      <c r="I193" s="3">
        <v>9.8054767029125134E-3</v>
      </c>
      <c r="J193" s="318">
        <v>5.2300164960777416</v>
      </c>
      <c r="K193" s="3">
        <v>0.64538889113642106</v>
      </c>
      <c r="L193" s="3">
        <v>2.1404852119178468</v>
      </c>
      <c r="M193" s="318">
        <v>2.785874103054268</v>
      </c>
      <c r="N193" s="3">
        <v>1.1050478736302853</v>
      </c>
      <c r="O193" s="3">
        <v>4.0385165206161071</v>
      </c>
      <c r="P193" s="3">
        <v>0.81302102430014467</v>
      </c>
      <c r="Q193" s="3">
        <v>0.30915905930794013</v>
      </c>
      <c r="R193" s="3">
        <v>1.6868051558252495</v>
      </c>
      <c r="S193" s="3">
        <v>3.0060403770784228</v>
      </c>
      <c r="T193" s="3">
        <v>13.009049540629592</v>
      </c>
      <c r="U193" s="3">
        <v>0.49576652589348924</v>
      </c>
      <c r="V193" s="318">
        <v>24.463406077281231</v>
      </c>
      <c r="W193" s="318">
        <v>32.479296676413242</v>
      </c>
      <c r="X193" s="3">
        <v>3.0315528009977895</v>
      </c>
      <c r="Y193" s="318">
        <v>35.510849477411028</v>
      </c>
    </row>
    <row r="194" spans="1:25" x14ac:dyDescent="0.2">
      <c r="A194" s="314">
        <v>2016</v>
      </c>
      <c r="B194" s="5" t="s">
        <v>466</v>
      </c>
      <c r="C194" s="5" t="s">
        <v>218</v>
      </c>
      <c r="D194" s="5" t="s">
        <v>481</v>
      </c>
      <c r="E194" s="5" t="s">
        <v>249</v>
      </c>
      <c r="F194" s="5" t="s">
        <v>221</v>
      </c>
      <c r="G194" s="5" t="s">
        <v>250</v>
      </c>
      <c r="H194" s="3">
        <v>14.122929825421297</v>
      </c>
      <c r="I194" s="3">
        <v>0</v>
      </c>
      <c r="J194" s="318">
        <v>14.122929825421297</v>
      </c>
      <c r="K194" s="3">
        <v>2.6796496491072772</v>
      </c>
      <c r="L194" s="3">
        <v>2.9286655061994673</v>
      </c>
      <c r="M194" s="318">
        <v>5.6083151553067445</v>
      </c>
      <c r="N194" s="3">
        <v>0.89959886131140332</v>
      </c>
      <c r="O194" s="3">
        <v>6.1044307104194147</v>
      </c>
      <c r="P194" s="3">
        <v>2.4472143665505297</v>
      </c>
      <c r="Q194" s="3">
        <v>1.5789296807157374</v>
      </c>
      <c r="R194" s="3">
        <v>4.0184506425717386</v>
      </c>
      <c r="S194" s="3">
        <v>6.140695530718741</v>
      </c>
      <c r="T194" s="3">
        <v>23.028144690323874</v>
      </c>
      <c r="U194" s="3">
        <v>1.4158634185422483</v>
      </c>
      <c r="V194" s="318">
        <v>45.633327901153685</v>
      </c>
      <c r="W194" s="318">
        <v>65.364572881881728</v>
      </c>
      <c r="X194" s="3">
        <v>6.1009989218761467</v>
      </c>
      <c r="Y194" s="318">
        <v>71.465571803757868</v>
      </c>
    </row>
    <row r="195" spans="1:25" x14ac:dyDescent="0.2">
      <c r="A195" s="314">
        <v>2016</v>
      </c>
      <c r="B195" s="5" t="s">
        <v>466</v>
      </c>
      <c r="C195" s="5" t="s">
        <v>218</v>
      </c>
      <c r="D195" s="5" t="s">
        <v>482</v>
      </c>
      <c r="E195" s="5" t="s">
        <v>251</v>
      </c>
      <c r="F195" s="5" t="s">
        <v>221</v>
      </c>
      <c r="G195" s="5" t="s">
        <v>252</v>
      </c>
      <c r="H195" s="3">
        <v>15.029789411875287</v>
      </c>
      <c r="I195" s="3">
        <v>1.0473129156381684</v>
      </c>
      <c r="J195" s="318">
        <v>16.077102327513455</v>
      </c>
      <c r="K195" s="3">
        <v>1.0855150562589377</v>
      </c>
      <c r="L195" s="3">
        <v>5.248470462014895</v>
      </c>
      <c r="M195" s="318">
        <v>6.3339855182738329</v>
      </c>
      <c r="N195" s="3">
        <v>1.5922599358378489</v>
      </c>
      <c r="O195" s="3">
        <v>5.5194858199987706</v>
      </c>
      <c r="P195" s="3">
        <v>3.1251453348614344</v>
      </c>
      <c r="Q195" s="3">
        <v>2.3595531626437531</v>
      </c>
      <c r="R195" s="3">
        <v>6.5653532986842444</v>
      </c>
      <c r="S195" s="3">
        <v>7.0024191324749054</v>
      </c>
      <c r="T195" s="3">
        <v>21.906977691477294</v>
      </c>
      <c r="U195" s="3">
        <v>2.168030886023657</v>
      </c>
      <c r="V195" s="318">
        <v>50.239225262001909</v>
      </c>
      <c r="W195" s="318">
        <v>72.650313107789202</v>
      </c>
      <c r="X195" s="3">
        <v>6.7810353896987996</v>
      </c>
      <c r="Y195" s="318">
        <v>79.431348497488003</v>
      </c>
    </row>
    <row r="196" spans="1:25" x14ac:dyDescent="0.2">
      <c r="A196" s="314">
        <v>2016</v>
      </c>
      <c r="B196" s="5" t="s">
        <v>466</v>
      </c>
      <c r="C196" s="5" t="s">
        <v>218</v>
      </c>
      <c r="D196" s="5" t="s">
        <v>482</v>
      </c>
      <c r="E196" s="5" t="s">
        <v>253</v>
      </c>
      <c r="F196" s="5" t="s">
        <v>221</v>
      </c>
      <c r="G196" s="5" t="s">
        <v>254</v>
      </c>
      <c r="H196" s="3">
        <v>14.625059740570693</v>
      </c>
      <c r="I196" s="3">
        <v>0</v>
      </c>
      <c r="J196" s="318">
        <v>14.625059740570693</v>
      </c>
      <c r="K196" s="3">
        <v>2.2687222649803034</v>
      </c>
      <c r="L196" s="3">
        <v>11.714110273698312</v>
      </c>
      <c r="M196" s="318">
        <v>13.982832538678615</v>
      </c>
      <c r="N196" s="3">
        <v>7.9741139604365312</v>
      </c>
      <c r="O196" s="3">
        <v>35.63654554347184</v>
      </c>
      <c r="P196" s="3">
        <v>3.2281686644426051</v>
      </c>
      <c r="Q196" s="3">
        <v>2.5508097836923169</v>
      </c>
      <c r="R196" s="3">
        <v>19.934445621329225</v>
      </c>
      <c r="S196" s="3">
        <v>14.858415818298583</v>
      </c>
      <c r="T196" s="3">
        <v>46.665399710129314</v>
      </c>
      <c r="U196" s="3">
        <v>2.6807404323419526</v>
      </c>
      <c r="V196" s="318">
        <v>133.52863953414237</v>
      </c>
      <c r="W196" s="318">
        <v>162.13653181339168</v>
      </c>
      <c r="X196" s="3">
        <v>15.133500643808736</v>
      </c>
      <c r="Y196" s="318">
        <v>177.27003245720041</v>
      </c>
    </row>
    <row r="197" spans="1:25" x14ac:dyDescent="0.2">
      <c r="A197" s="314">
        <v>2016</v>
      </c>
      <c r="B197" s="5" t="s">
        <v>466</v>
      </c>
      <c r="C197" s="5" t="s">
        <v>218</v>
      </c>
      <c r="D197" s="5" t="s">
        <v>482</v>
      </c>
      <c r="E197" s="5" t="s">
        <v>255</v>
      </c>
      <c r="F197" s="5" t="s">
        <v>221</v>
      </c>
      <c r="G197" s="5" t="s">
        <v>256</v>
      </c>
      <c r="H197" s="3">
        <v>23.603020378800394</v>
      </c>
      <c r="I197" s="3">
        <v>1.1126736558746555</v>
      </c>
      <c r="J197" s="318">
        <v>24.71569403467505</v>
      </c>
      <c r="K197" s="3">
        <v>5.9341919411947179</v>
      </c>
      <c r="L197" s="3">
        <v>16.666417231102848</v>
      </c>
      <c r="M197" s="318">
        <v>22.600609172297567</v>
      </c>
      <c r="N197" s="3">
        <v>17.850781169601611</v>
      </c>
      <c r="O197" s="3">
        <v>92.768977738163855</v>
      </c>
      <c r="P197" s="3">
        <v>8.4261156022194861</v>
      </c>
      <c r="Q197" s="3">
        <v>5.4864313171386971</v>
      </c>
      <c r="R197" s="3">
        <v>28.840886726516437</v>
      </c>
      <c r="S197" s="3">
        <v>26.319646850056053</v>
      </c>
      <c r="T197" s="3">
        <v>31.327888084194715</v>
      </c>
      <c r="U197" s="3">
        <v>9.668658909535397</v>
      </c>
      <c r="V197" s="318">
        <v>220.68938639742623</v>
      </c>
      <c r="W197" s="318">
        <v>268.00568960439887</v>
      </c>
      <c r="X197" s="3">
        <v>25.015116771096373</v>
      </c>
      <c r="Y197" s="318">
        <v>293.02080637549523</v>
      </c>
    </row>
    <row r="198" spans="1:25" x14ac:dyDescent="0.2">
      <c r="A198" s="314">
        <v>2016</v>
      </c>
      <c r="B198" s="5" t="s">
        <v>466</v>
      </c>
      <c r="C198" s="5" t="s">
        <v>218</v>
      </c>
      <c r="D198" s="5" t="s">
        <v>482</v>
      </c>
      <c r="E198" s="5" t="s">
        <v>257</v>
      </c>
      <c r="F198" s="5" t="s">
        <v>221</v>
      </c>
      <c r="G198" s="5" t="s">
        <v>258</v>
      </c>
      <c r="H198" s="3">
        <v>17.995658482426528</v>
      </c>
      <c r="I198" s="3">
        <v>0.41663310311867008</v>
      </c>
      <c r="J198" s="318">
        <v>18.412291585545198</v>
      </c>
      <c r="K198" s="3">
        <v>3.8347178815528693</v>
      </c>
      <c r="L198" s="3">
        <v>8.526685324679411</v>
      </c>
      <c r="M198" s="318">
        <v>12.36140320623228</v>
      </c>
      <c r="N198" s="3">
        <v>6.6627823332400684</v>
      </c>
      <c r="O198" s="3">
        <v>35.444408699126043</v>
      </c>
      <c r="P198" s="3">
        <v>9.3046780247090854</v>
      </c>
      <c r="Q198" s="3">
        <v>3.5655882355260293</v>
      </c>
      <c r="R198" s="3">
        <v>18.230883133718947</v>
      </c>
      <c r="S198" s="3">
        <v>13.416028094415577</v>
      </c>
      <c r="T198" s="3">
        <v>18.98793671731768</v>
      </c>
      <c r="U198" s="3">
        <v>4.3054195453786717</v>
      </c>
      <c r="V198" s="318">
        <v>109.91772478343211</v>
      </c>
      <c r="W198" s="318">
        <v>140.69141957520958</v>
      </c>
      <c r="X198" s="3">
        <v>13.131856620507419</v>
      </c>
      <c r="Y198" s="318">
        <v>153.823276195717</v>
      </c>
    </row>
    <row r="199" spans="1:25" x14ac:dyDescent="0.2">
      <c r="A199" s="314">
        <v>2016</v>
      </c>
      <c r="B199" s="5" t="s">
        <v>466</v>
      </c>
      <c r="C199" s="5" t="s">
        <v>218</v>
      </c>
      <c r="D199" s="5" t="s">
        <v>481</v>
      </c>
      <c r="E199" s="5" t="s">
        <v>259</v>
      </c>
      <c r="F199" s="5" t="s">
        <v>221</v>
      </c>
      <c r="G199" s="5" t="s">
        <v>260</v>
      </c>
      <c r="H199" s="3">
        <v>14.895893948958028</v>
      </c>
      <c r="I199" s="3">
        <v>0</v>
      </c>
      <c r="J199" s="318">
        <v>14.895893948958028</v>
      </c>
      <c r="K199" s="3">
        <v>1.6302718570575603</v>
      </c>
      <c r="L199" s="3">
        <v>3.7667163942595758</v>
      </c>
      <c r="M199" s="318">
        <v>5.3969882513171363</v>
      </c>
      <c r="N199" s="3">
        <v>1.3072451708184867</v>
      </c>
      <c r="O199" s="3">
        <v>4.5595253065986299</v>
      </c>
      <c r="P199" s="3">
        <v>2.4787559469445157</v>
      </c>
      <c r="Q199" s="3">
        <v>0.84064620720000649</v>
      </c>
      <c r="R199" s="3">
        <v>2.3969501222085507</v>
      </c>
      <c r="S199" s="3">
        <v>4.7529122677006379</v>
      </c>
      <c r="T199" s="3">
        <v>20.903206400309518</v>
      </c>
      <c r="U199" s="3">
        <v>0.94820647260430746</v>
      </c>
      <c r="V199" s="318">
        <v>38.187447894384654</v>
      </c>
      <c r="W199" s="318">
        <v>58.480330094659813</v>
      </c>
      <c r="X199" s="3">
        <v>5.4584374245544582</v>
      </c>
      <c r="Y199" s="318">
        <v>63.938767519214274</v>
      </c>
    </row>
    <row r="200" spans="1:25" x14ac:dyDescent="0.2">
      <c r="A200" s="314">
        <v>2016</v>
      </c>
      <c r="B200" s="5" t="s">
        <v>466</v>
      </c>
      <c r="C200" s="5" t="s">
        <v>261</v>
      </c>
      <c r="D200" s="5" t="s">
        <v>483</v>
      </c>
      <c r="E200" s="5" t="s">
        <v>263</v>
      </c>
      <c r="F200" s="5" t="s">
        <v>264</v>
      </c>
      <c r="G200" s="5" t="s">
        <v>265</v>
      </c>
      <c r="H200" s="3">
        <v>66.932819821075526</v>
      </c>
      <c r="I200" s="3">
        <v>1.4957095139950585</v>
      </c>
      <c r="J200" s="318">
        <v>68.428529335070579</v>
      </c>
      <c r="K200" s="3">
        <v>3.3989226061268836</v>
      </c>
      <c r="L200" s="3">
        <v>14.191231976927103</v>
      </c>
      <c r="M200" s="318">
        <v>17.590154583053987</v>
      </c>
      <c r="N200" s="3">
        <v>4.7387455576982429</v>
      </c>
      <c r="O200" s="3">
        <v>25.080792373233464</v>
      </c>
      <c r="P200" s="3">
        <v>9.3523660828169124</v>
      </c>
      <c r="Q200" s="3">
        <v>6.5993642030968234</v>
      </c>
      <c r="R200" s="3">
        <v>28.307402495318772</v>
      </c>
      <c r="S200" s="3">
        <v>15.794363835406703</v>
      </c>
      <c r="T200" s="3">
        <v>19.94882870954175</v>
      </c>
      <c r="U200" s="3">
        <v>6.4711434048870933</v>
      </c>
      <c r="V200" s="318">
        <v>116.29300666199977</v>
      </c>
      <c r="W200" s="318">
        <v>202.31169058012435</v>
      </c>
      <c r="X200" s="3">
        <v>18.883369869833771</v>
      </c>
      <c r="Y200" s="318">
        <v>221.19506044995813</v>
      </c>
    </row>
    <row r="201" spans="1:25" x14ac:dyDescent="0.2">
      <c r="A201" s="314">
        <v>2016</v>
      </c>
      <c r="B201" s="5" t="s">
        <v>466</v>
      </c>
      <c r="C201" s="5" t="s">
        <v>261</v>
      </c>
      <c r="D201" s="5" t="s">
        <v>484</v>
      </c>
      <c r="E201" s="5" t="s">
        <v>266</v>
      </c>
      <c r="F201" s="5" t="s">
        <v>264</v>
      </c>
      <c r="G201" s="5" t="s">
        <v>268</v>
      </c>
      <c r="H201" s="3">
        <v>7.4804717153989557</v>
      </c>
      <c r="I201" s="3">
        <v>0</v>
      </c>
      <c r="J201" s="318">
        <v>7.4804717153989557</v>
      </c>
      <c r="K201" s="3">
        <v>1.4402974179672268</v>
      </c>
      <c r="L201" s="3">
        <v>2.8097089149015537</v>
      </c>
      <c r="M201" s="318">
        <v>4.2500063328687805</v>
      </c>
      <c r="N201" s="3">
        <v>1.1821460179302612</v>
      </c>
      <c r="O201" s="3">
        <v>5.248784841795918</v>
      </c>
      <c r="P201" s="3">
        <v>1.6166594067398143</v>
      </c>
      <c r="Q201" s="3">
        <v>1.0464847384681333</v>
      </c>
      <c r="R201" s="3">
        <v>5.8792045104840227</v>
      </c>
      <c r="S201" s="3">
        <v>4.4180435673111704</v>
      </c>
      <c r="T201" s="3">
        <v>14.264479112571175</v>
      </c>
      <c r="U201" s="3">
        <v>1.1741860940260627</v>
      </c>
      <c r="V201" s="318">
        <v>34.829988289326558</v>
      </c>
      <c r="W201" s="318">
        <v>46.560466337594292</v>
      </c>
      <c r="X201" s="3">
        <v>4.345861104929714</v>
      </c>
      <c r="Y201" s="318">
        <v>50.906327442524002</v>
      </c>
    </row>
    <row r="202" spans="1:25" x14ac:dyDescent="0.2">
      <c r="A202" s="314">
        <v>2016</v>
      </c>
      <c r="B202" s="5" t="s">
        <v>466</v>
      </c>
      <c r="C202" s="5" t="s">
        <v>261</v>
      </c>
      <c r="D202" s="5" t="s">
        <v>483</v>
      </c>
      <c r="E202" s="5" t="s">
        <v>269</v>
      </c>
      <c r="F202" s="5" t="s">
        <v>264</v>
      </c>
      <c r="G202" s="5" t="s">
        <v>271</v>
      </c>
      <c r="H202" s="3">
        <v>13.939791946173246</v>
      </c>
      <c r="I202" s="3">
        <v>0</v>
      </c>
      <c r="J202" s="318">
        <v>13.939791946173246</v>
      </c>
      <c r="K202" s="3">
        <v>1.3608435677923951</v>
      </c>
      <c r="L202" s="3">
        <v>3.8564724856881858</v>
      </c>
      <c r="M202" s="318">
        <v>5.2173160534805811</v>
      </c>
      <c r="N202" s="3">
        <v>1.1456163809452184</v>
      </c>
      <c r="O202" s="3">
        <v>3.4073100277882249</v>
      </c>
      <c r="P202" s="3">
        <v>1.9620898609578463</v>
      </c>
      <c r="Q202" s="3">
        <v>1.4517824705289648</v>
      </c>
      <c r="R202" s="3">
        <v>6.497688927422355</v>
      </c>
      <c r="S202" s="3">
        <v>5.0950180524472009</v>
      </c>
      <c r="T202" s="3">
        <v>19.554869462069544</v>
      </c>
      <c r="U202" s="3">
        <v>1.3905968927961418</v>
      </c>
      <c r="V202" s="318">
        <v>40.504972074955489</v>
      </c>
      <c r="W202" s="318">
        <v>59.662080074609314</v>
      </c>
      <c r="X202" s="3">
        <v>5.5687396117442658</v>
      </c>
      <c r="Y202" s="318">
        <v>65.230819686353584</v>
      </c>
    </row>
    <row r="203" spans="1:25" x14ac:dyDescent="0.2">
      <c r="A203" s="314">
        <v>2016</v>
      </c>
      <c r="B203" s="5" t="s">
        <v>466</v>
      </c>
      <c r="C203" s="5" t="s">
        <v>261</v>
      </c>
      <c r="D203" s="5" t="s">
        <v>485</v>
      </c>
      <c r="E203" s="5" t="s">
        <v>272</v>
      </c>
      <c r="F203" s="5" t="s">
        <v>264</v>
      </c>
      <c r="G203" s="5" t="s">
        <v>273</v>
      </c>
      <c r="H203" s="3">
        <v>16.924605189393901</v>
      </c>
      <c r="I203" s="3">
        <v>0</v>
      </c>
      <c r="J203" s="318">
        <v>16.924605189393901</v>
      </c>
      <c r="K203" s="3">
        <v>9.2683110986065582</v>
      </c>
      <c r="L203" s="3">
        <v>7.3157322906788576</v>
      </c>
      <c r="M203" s="318">
        <v>16.584043389285416</v>
      </c>
      <c r="N203" s="3">
        <v>18.157499447356901</v>
      </c>
      <c r="O203" s="3">
        <v>25.926166535331102</v>
      </c>
      <c r="P203" s="3">
        <v>7.514961016277848</v>
      </c>
      <c r="Q203" s="3">
        <v>3.548054927074006</v>
      </c>
      <c r="R203" s="3">
        <v>21.375591538752158</v>
      </c>
      <c r="S203" s="3">
        <v>12.491282053668202</v>
      </c>
      <c r="T203" s="3">
        <v>14.111516204007055</v>
      </c>
      <c r="U203" s="3">
        <v>4.1370748655370484</v>
      </c>
      <c r="V203" s="318">
        <v>107.26214658800433</v>
      </c>
      <c r="W203" s="318">
        <v>140.77079516668363</v>
      </c>
      <c r="X203" s="3">
        <v>13.139265379972301</v>
      </c>
      <c r="Y203" s="318">
        <v>153.91006054665593</v>
      </c>
    </row>
    <row r="204" spans="1:25" x14ac:dyDescent="0.2">
      <c r="A204" s="314">
        <v>2016</v>
      </c>
      <c r="B204" s="5" t="s">
        <v>466</v>
      </c>
      <c r="C204" s="5" t="s">
        <v>261</v>
      </c>
      <c r="D204" s="5" t="s">
        <v>484</v>
      </c>
      <c r="E204" s="5" t="s">
        <v>274</v>
      </c>
      <c r="F204" s="5" t="s">
        <v>264</v>
      </c>
      <c r="G204" s="5" t="s">
        <v>275</v>
      </c>
      <c r="H204" s="3">
        <v>15.22583874465148</v>
      </c>
      <c r="I204" s="3">
        <v>0</v>
      </c>
      <c r="J204" s="318">
        <v>15.22583874465148</v>
      </c>
      <c r="K204" s="3">
        <v>1.6033282103828657</v>
      </c>
      <c r="L204" s="3">
        <v>3.7393719935416168</v>
      </c>
      <c r="M204" s="318">
        <v>5.3427002039244824</v>
      </c>
      <c r="N204" s="3">
        <v>0.61777464826550332</v>
      </c>
      <c r="O204" s="3">
        <v>1.8271205579710239</v>
      </c>
      <c r="P204" s="3">
        <v>0.79393432494470195</v>
      </c>
      <c r="Q204" s="3">
        <v>0.45375339093112521</v>
      </c>
      <c r="R204" s="3">
        <v>3.6128645120483163</v>
      </c>
      <c r="S204" s="3">
        <v>4.7738788794655367</v>
      </c>
      <c r="T204" s="3">
        <v>21.694973627368427</v>
      </c>
      <c r="U204" s="3">
        <v>0.5355228068488247</v>
      </c>
      <c r="V204" s="318">
        <v>34.309822747843462</v>
      </c>
      <c r="W204" s="318">
        <v>54.878361696419418</v>
      </c>
      <c r="X204" s="3">
        <v>5.1222368751527494</v>
      </c>
      <c r="Y204" s="318">
        <v>60.000598571572169</v>
      </c>
    </row>
    <row r="205" spans="1:25" x14ac:dyDescent="0.2">
      <c r="A205" s="314">
        <v>2016</v>
      </c>
      <c r="B205" s="5" t="s">
        <v>466</v>
      </c>
      <c r="C205" s="5" t="s">
        <v>261</v>
      </c>
      <c r="D205" s="5" t="s">
        <v>486</v>
      </c>
      <c r="E205" s="5" t="s">
        <v>276</v>
      </c>
      <c r="F205" s="5" t="s">
        <v>264</v>
      </c>
      <c r="G205" s="5" t="s">
        <v>277</v>
      </c>
      <c r="H205" s="3">
        <v>115.67691223941034</v>
      </c>
      <c r="I205" s="3">
        <v>0</v>
      </c>
      <c r="J205" s="318">
        <v>115.67691223941034</v>
      </c>
      <c r="K205" s="3">
        <v>27.304811410265387</v>
      </c>
      <c r="L205" s="3">
        <v>23.078910177589343</v>
      </c>
      <c r="M205" s="318">
        <v>50.38372158785473</v>
      </c>
      <c r="N205" s="3">
        <v>19.142457808074258</v>
      </c>
      <c r="O205" s="3">
        <v>133.41417955757692</v>
      </c>
      <c r="P205" s="3">
        <v>16.318275628519604</v>
      </c>
      <c r="Q205" s="3">
        <v>14.597724853469074</v>
      </c>
      <c r="R205" s="3">
        <v>81.575549645157494</v>
      </c>
      <c r="S205" s="3">
        <v>47.308493540492172</v>
      </c>
      <c r="T205" s="3">
        <v>60.481762291644571</v>
      </c>
      <c r="U205" s="3">
        <v>21.582526414125503</v>
      </c>
      <c r="V205" s="318">
        <v>394.42096973905961</v>
      </c>
      <c r="W205" s="318">
        <v>560.48160356632468</v>
      </c>
      <c r="X205" s="3">
        <v>52.314235499845275</v>
      </c>
      <c r="Y205" s="318">
        <v>612.79583906616995</v>
      </c>
    </row>
    <row r="206" spans="1:25" x14ac:dyDescent="0.2">
      <c r="A206" s="314">
        <v>2016</v>
      </c>
      <c r="B206" s="5" t="s">
        <v>466</v>
      </c>
      <c r="C206" s="5" t="s">
        <v>261</v>
      </c>
      <c r="D206" s="5" t="s">
        <v>484</v>
      </c>
      <c r="E206" s="5" t="s">
        <v>278</v>
      </c>
      <c r="F206" s="5" t="s">
        <v>264</v>
      </c>
      <c r="G206" s="5" t="s">
        <v>279</v>
      </c>
      <c r="H206" s="3">
        <v>185.54209395588649</v>
      </c>
      <c r="I206" s="3">
        <v>0</v>
      </c>
      <c r="J206" s="318">
        <v>185.54209395588649</v>
      </c>
      <c r="K206" s="3">
        <v>4.5923749542665826</v>
      </c>
      <c r="L206" s="3">
        <v>26.366982847983195</v>
      </c>
      <c r="M206" s="318">
        <v>30.959357802249777</v>
      </c>
      <c r="N206" s="3">
        <v>5.335385237337376</v>
      </c>
      <c r="O206" s="3">
        <v>30.955967141335591</v>
      </c>
      <c r="P206" s="3">
        <v>7.2667773776421543</v>
      </c>
      <c r="Q206" s="3">
        <v>2.4999186755992113</v>
      </c>
      <c r="R206" s="3">
        <v>28.08314899400381</v>
      </c>
      <c r="S206" s="3">
        <v>16.280606788486931</v>
      </c>
      <c r="T206" s="3">
        <v>25.19245008317462</v>
      </c>
      <c r="U206" s="3">
        <v>9.1531986410748001</v>
      </c>
      <c r="V206" s="318">
        <v>124.7674529386545</v>
      </c>
      <c r="W206" s="318">
        <v>341.26890469679074</v>
      </c>
      <c r="X206" s="3">
        <v>31.853359210155592</v>
      </c>
      <c r="Y206" s="318">
        <v>373.12226390694633</v>
      </c>
    </row>
    <row r="207" spans="1:25" x14ac:dyDescent="0.2">
      <c r="A207" s="314">
        <v>2016</v>
      </c>
      <c r="B207" s="5" t="s">
        <v>466</v>
      </c>
      <c r="C207" s="5" t="s">
        <v>261</v>
      </c>
      <c r="D207" s="5" t="s">
        <v>486</v>
      </c>
      <c r="E207" s="5" t="s">
        <v>280</v>
      </c>
      <c r="F207" s="5" t="s">
        <v>264</v>
      </c>
      <c r="G207" s="5" t="s">
        <v>281</v>
      </c>
      <c r="H207" s="3">
        <v>36.759386260471295</v>
      </c>
      <c r="I207" s="3">
        <v>1.1671926326419106E-2</v>
      </c>
      <c r="J207" s="318">
        <v>36.771058186797717</v>
      </c>
      <c r="K207" s="3">
        <v>24.054282429928669</v>
      </c>
      <c r="L207" s="3">
        <v>18.599778565552668</v>
      </c>
      <c r="M207" s="318">
        <v>42.654060995481338</v>
      </c>
      <c r="N207" s="3">
        <v>18.970541501531322</v>
      </c>
      <c r="O207" s="3">
        <v>72.256086186131114</v>
      </c>
      <c r="P207" s="3">
        <v>10.122221288241947</v>
      </c>
      <c r="Q207" s="3">
        <v>3.0149369527134757</v>
      </c>
      <c r="R207" s="3">
        <v>62.56044664196132</v>
      </c>
      <c r="S207" s="3">
        <v>38.332944226732813</v>
      </c>
      <c r="T207" s="3">
        <v>61.950929732451314</v>
      </c>
      <c r="U207" s="3">
        <v>11.271780238864862</v>
      </c>
      <c r="V207" s="318">
        <v>278.47988676862815</v>
      </c>
      <c r="W207" s="318">
        <v>357.90500595090725</v>
      </c>
      <c r="X207" s="3">
        <v>33.406139735456335</v>
      </c>
      <c r="Y207" s="318">
        <v>391.3111456863636</v>
      </c>
    </row>
    <row r="208" spans="1:25" x14ac:dyDescent="0.2">
      <c r="A208" s="314">
        <v>2016</v>
      </c>
      <c r="B208" s="5" t="s">
        <v>466</v>
      </c>
      <c r="C208" s="5" t="s">
        <v>261</v>
      </c>
      <c r="D208" s="5" t="s">
        <v>486</v>
      </c>
      <c r="E208" s="5" t="s">
        <v>282</v>
      </c>
      <c r="F208" s="5" t="s">
        <v>264</v>
      </c>
      <c r="G208" s="5" t="s">
        <v>284</v>
      </c>
      <c r="H208" s="3">
        <v>121.79843766980599</v>
      </c>
      <c r="I208" s="3">
        <v>0</v>
      </c>
      <c r="J208" s="318">
        <v>121.79843766980599</v>
      </c>
      <c r="K208" s="3">
        <v>25.455643805442946</v>
      </c>
      <c r="L208" s="3">
        <v>17.52651851453642</v>
      </c>
      <c r="M208" s="318">
        <v>42.982162319979366</v>
      </c>
      <c r="N208" s="3">
        <v>9.1713563985325717</v>
      </c>
      <c r="O208" s="3">
        <v>83.046898493279087</v>
      </c>
      <c r="P208" s="3">
        <v>8.7300877856432173</v>
      </c>
      <c r="Q208" s="3">
        <v>11.789182774629332</v>
      </c>
      <c r="R208" s="3">
        <v>45.567430917828659</v>
      </c>
      <c r="S208" s="3">
        <v>25.60549092234935</v>
      </c>
      <c r="T208" s="3">
        <v>23.83269940405361</v>
      </c>
      <c r="U208" s="3">
        <v>9.6590272170393341</v>
      </c>
      <c r="V208" s="318">
        <v>217.40217391335517</v>
      </c>
      <c r="W208" s="318">
        <v>382.18277390314051</v>
      </c>
      <c r="X208" s="3">
        <v>35.672178195920154</v>
      </c>
      <c r="Y208" s="318">
        <v>417.85495209906065</v>
      </c>
    </row>
    <row r="209" spans="1:25" x14ac:dyDescent="0.2">
      <c r="A209" s="314">
        <v>2016</v>
      </c>
      <c r="B209" s="5" t="s">
        <v>466</v>
      </c>
      <c r="C209" s="5" t="s">
        <v>261</v>
      </c>
      <c r="D209" s="5" t="s">
        <v>484</v>
      </c>
      <c r="E209" s="5" t="s">
        <v>285</v>
      </c>
      <c r="F209" s="5" t="s">
        <v>264</v>
      </c>
      <c r="G209" s="5" t="s">
        <v>286</v>
      </c>
      <c r="H209" s="3">
        <v>7.9799498151542538</v>
      </c>
      <c r="I209" s="3">
        <v>0</v>
      </c>
      <c r="J209" s="318">
        <v>7.9799498151542538</v>
      </c>
      <c r="K209" s="3">
        <v>4.1292831011630984</v>
      </c>
      <c r="L209" s="3">
        <v>2.0069612177242506</v>
      </c>
      <c r="M209" s="318">
        <v>6.136244318887349</v>
      </c>
      <c r="N209" s="3">
        <v>1.7306384650753792</v>
      </c>
      <c r="O209" s="3">
        <v>5.6145745790279298</v>
      </c>
      <c r="P209" s="3">
        <v>2.286278976960995</v>
      </c>
      <c r="Q209" s="3">
        <v>1.6814203730512858</v>
      </c>
      <c r="R209" s="3">
        <v>12.362918619927871</v>
      </c>
      <c r="S209" s="3">
        <v>8.398319830924569</v>
      </c>
      <c r="T209" s="3">
        <v>23.319932459845464</v>
      </c>
      <c r="U209" s="3">
        <v>1.4725409293228886</v>
      </c>
      <c r="V209" s="318">
        <v>56.866624234136381</v>
      </c>
      <c r="W209" s="318">
        <v>70.982818368177988</v>
      </c>
      <c r="X209" s="3">
        <v>6.6253947550237111</v>
      </c>
      <c r="Y209" s="318">
        <v>77.608213123201693</v>
      </c>
    </row>
    <row r="210" spans="1:25" x14ac:dyDescent="0.2">
      <c r="A210" s="314">
        <v>2016</v>
      </c>
      <c r="B210" s="5" t="s">
        <v>466</v>
      </c>
      <c r="C210" s="5" t="s">
        <v>261</v>
      </c>
      <c r="D210" s="5" t="s">
        <v>486</v>
      </c>
      <c r="E210" s="5" t="s">
        <v>287</v>
      </c>
      <c r="F210" s="5" t="s">
        <v>264</v>
      </c>
      <c r="G210" s="5" t="s">
        <v>288</v>
      </c>
      <c r="H210" s="3">
        <v>62.149969426240446</v>
      </c>
      <c r="I210" s="3">
        <v>0</v>
      </c>
      <c r="J210" s="318">
        <v>62.149969426240446</v>
      </c>
      <c r="K210" s="3">
        <v>573.72156156607889</v>
      </c>
      <c r="L210" s="3">
        <v>169.07157921490921</v>
      </c>
      <c r="M210" s="318">
        <v>742.7931407809881</v>
      </c>
      <c r="N210" s="3">
        <v>29.056193744868324</v>
      </c>
      <c r="O210" s="3">
        <v>140.27432136996089</v>
      </c>
      <c r="P210" s="3">
        <v>13.247815422046173</v>
      </c>
      <c r="Q210" s="3">
        <v>14.016010627527534</v>
      </c>
      <c r="R210" s="3">
        <v>85.04510177613524</v>
      </c>
      <c r="S210" s="3">
        <v>78.983646820836711</v>
      </c>
      <c r="T210" s="3">
        <v>30.07200308578695</v>
      </c>
      <c r="U210" s="3">
        <v>14.974711420605509</v>
      </c>
      <c r="V210" s="318">
        <v>405.66980426776735</v>
      </c>
      <c r="W210" s="318">
        <v>1210.6129144749959</v>
      </c>
      <c r="X210" s="3">
        <v>112.99619595722295</v>
      </c>
      <c r="Y210" s="318">
        <v>1323.6091104322188</v>
      </c>
    </row>
    <row r="211" spans="1:25" x14ac:dyDescent="0.2">
      <c r="A211" s="314">
        <v>2016</v>
      </c>
      <c r="B211" s="5" t="s">
        <v>466</v>
      </c>
      <c r="C211" s="5" t="s">
        <v>261</v>
      </c>
      <c r="D211" s="5" t="s">
        <v>484</v>
      </c>
      <c r="E211" s="5" t="s">
        <v>289</v>
      </c>
      <c r="F211" s="5" t="s">
        <v>264</v>
      </c>
      <c r="G211" s="5" t="s">
        <v>290</v>
      </c>
      <c r="H211" s="3">
        <v>4.6198080245067299</v>
      </c>
      <c r="I211" s="3">
        <v>0</v>
      </c>
      <c r="J211" s="318">
        <v>4.6198080245067299</v>
      </c>
      <c r="K211" s="3">
        <v>2.8174571401873161</v>
      </c>
      <c r="L211" s="3">
        <v>22.48454785750571</v>
      </c>
      <c r="M211" s="318">
        <v>25.302004997693025</v>
      </c>
      <c r="N211" s="3">
        <v>8.7264978015455377</v>
      </c>
      <c r="O211" s="3">
        <v>63.676201486436348</v>
      </c>
      <c r="P211" s="3">
        <v>7.1365922842405958</v>
      </c>
      <c r="Q211" s="3">
        <v>3.6985661918271671</v>
      </c>
      <c r="R211" s="3">
        <v>37.836048078210602</v>
      </c>
      <c r="S211" s="3">
        <v>44.170485893279235</v>
      </c>
      <c r="T211" s="3">
        <v>94.018154455739804</v>
      </c>
      <c r="U211" s="3">
        <v>6.7083267039536292</v>
      </c>
      <c r="V211" s="318">
        <v>265.9708728952329</v>
      </c>
      <c r="W211" s="318">
        <v>295.89268591743263</v>
      </c>
      <c r="X211" s="3">
        <v>27.618033411393789</v>
      </c>
      <c r="Y211" s="318">
        <v>323.51071932882644</v>
      </c>
    </row>
    <row r="212" spans="1:25" x14ac:dyDescent="0.2">
      <c r="A212" s="314">
        <v>2016</v>
      </c>
      <c r="B212" s="5" t="s">
        <v>466</v>
      </c>
      <c r="C212" s="5" t="s">
        <v>261</v>
      </c>
      <c r="D212" s="5" t="s">
        <v>486</v>
      </c>
      <c r="E212" s="5" t="s">
        <v>291</v>
      </c>
      <c r="F212" s="5" t="s">
        <v>264</v>
      </c>
      <c r="G212" s="5" t="s">
        <v>292</v>
      </c>
      <c r="H212" s="3">
        <v>37.710013063722407</v>
      </c>
      <c r="I212" s="3">
        <v>0</v>
      </c>
      <c r="J212" s="318">
        <v>37.710013063722407</v>
      </c>
      <c r="K212" s="3">
        <v>57.457241682438323</v>
      </c>
      <c r="L212" s="3">
        <v>32.007590739155205</v>
      </c>
      <c r="M212" s="318">
        <v>89.464832421593528</v>
      </c>
      <c r="N212" s="3">
        <v>37.527119027455726</v>
      </c>
      <c r="O212" s="3">
        <v>164.66379852797726</v>
      </c>
      <c r="P212" s="3">
        <v>17.745301324389704</v>
      </c>
      <c r="Q212" s="3">
        <v>23.550581114372577</v>
      </c>
      <c r="R212" s="3">
        <v>117.81786200287827</v>
      </c>
      <c r="S212" s="3">
        <v>54.830177663420429</v>
      </c>
      <c r="T212" s="3">
        <v>50.935328362405819</v>
      </c>
      <c r="U212" s="3">
        <v>22.198878824582138</v>
      </c>
      <c r="V212" s="318">
        <v>489.26904684748195</v>
      </c>
      <c r="W212" s="318">
        <v>616.44389233279787</v>
      </c>
      <c r="X212" s="3">
        <v>57.537643966798079</v>
      </c>
      <c r="Y212" s="318">
        <v>673.98153629959597</v>
      </c>
    </row>
    <row r="213" spans="1:25" x14ac:dyDescent="0.2">
      <c r="A213" s="314">
        <v>2016</v>
      </c>
      <c r="B213" s="5" t="s">
        <v>466</v>
      </c>
      <c r="C213" s="5" t="s">
        <v>261</v>
      </c>
      <c r="D213" s="5" t="s">
        <v>486</v>
      </c>
      <c r="E213" s="5" t="s">
        <v>293</v>
      </c>
      <c r="F213" s="5" t="s">
        <v>264</v>
      </c>
      <c r="G213" s="5" t="s">
        <v>295</v>
      </c>
      <c r="H213" s="3">
        <v>22.384255419844038</v>
      </c>
      <c r="I213" s="3">
        <v>9.1497301895106881E-2</v>
      </c>
      <c r="J213" s="318">
        <v>22.475752721739145</v>
      </c>
      <c r="K213" s="3">
        <v>19.625324883922065</v>
      </c>
      <c r="L213" s="3">
        <v>5.981250976195895</v>
      </c>
      <c r="M213" s="318">
        <v>25.60657586011796</v>
      </c>
      <c r="N213" s="3">
        <v>7.8037089852831771</v>
      </c>
      <c r="O213" s="3">
        <v>43.963670482517003</v>
      </c>
      <c r="P213" s="3">
        <v>5.4668905764999209</v>
      </c>
      <c r="Q213" s="3">
        <v>6.6484376190655983</v>
      </c>
      <c r="R213" s="3">
        <v>19.703809377607683</v>
      </c>
      <c r="S213" s="3">
        <v>18.400190850792253</v>
      </c>
      <c r="T213" s="3">
        <v>44.008083945952535</v>
      </c>
      <c r="U213" s="3">
        <v>6.645153846110567</v>
      </c>
      <c r="V213" s="318">
        <v>152.63994568382873</v>
      </c>
      <c r="W213" s="318">
        <v>200.72227426568585</v>
      </c>
      <c r="X213" s="3">
        <v>18.735016919707036</v>
      </c>
      <c r="Y213" s="318">
        <v>219.45729118539288</v>
      </c>
    </row>
    <row r="214" spans="1:25" x14ac:dyDescent="0.2">
      <c r="A214" s="314">
        <v>2016</v>
      </c>
      <c r="B214" s="5" t="s">
        <v>466</v>
      </c>
      <c r="C214" s="5" t="s">
        <v>261</v>
      </c>
      <c r="D214" s="5" t="s">
        <v>486</v>
      </c>
      <c r="E214" s="5" t="s">
        <v>296</v>
      </c>
      <c r="F214" s="5" t="s">
        <v>264</v>
      </c>
      <c r="G214" s="5" t="s">
        <v>297</v>
      </c>
      <c r="H214" s="3">
        <v>151.45145633237789</v>
      </c>
      <c r="I214" s="3">
        <v>0</v>
      </c>
      <c r="J214" s="318">
        <v>151.45145633237789</v>
      </c>
      <c r="K214" s="3">
        <v>214.70254255938414</v>
      </c>
      <c r="L214" s="3">
        <v>60.532214270863506</v>
      </c>
      <c r="M214" s="318">
        <v>275.23475683024765</v>
      </c>
      <c r="N214" s="3">
        <v>29.371367634354606</v>
      </c>
      <c r="O214" s="3">
        <v>159.56600751686241</v>
      </c>
      <c r="P214" s="3">
        <v>25.056303846199963</v>
      </c>
      <c r="Q214" s="3">
        <v>28.551241437273454</v>
      </c>
      <c r="R214" s="3">
        <v>93.314976242380183</v>
      </c>
      <c r="S214" s="3">
        <v>65.137548053212271</v>
      </c>
      <c r="T214" s="3">
        <v>38.293262262965207</v>
      </c>
      <c r="U214" s="3">
        <v>20.276075855157565</v>
      </c>
      <c r="V214" s="318">
        <v>459.56678284840569</v>
      </c>
      <c r="W214" s="318">
        <v>886.25299601103131</v>
      </c>
      <c r="X214" s="3">
        <v>82.721087812256926</v>
      </c>
      <c r="Y214" s="318">
        <v>968.9740838232882</v>
      </c>
    </row>
    <row r="215" spans="1:25" x14ac:dyDescent="0.2">
      <c r="A215" s="314">
        <v>2016</v>
      </c>
      <c r="B215" s="5" t="s">
        <v>466</v>
      </c>
      <c r="C215" s="5" t="s">
        <v>261</v>
      </c>
      <c r="D215" s="5" t="s">
        <v>483</v>
      </c>
      <c r="E215" s="5" t="s">
        <v>298</v>
      </c>
      <c r="F215" s="5" t="s">
        <v>264</v>
      </c>
      <c r="G215" s="5" t="s">
        <v>299</v>
      </c>
      <c r="H215" s="3">
        <v>18.600501099305802</v>
      </c>
      <c r="I215" s="3">
        <v>0.34506163192759465</v>
      </c>
      <c r="J215" s="318">
        <v>18.945562731233398</v>
      </c>
      <c r="K215" s="3">
        <v>0.87695195301303974</v>
      </c>
      <c r="L215" s="3">
        <v>11.275990191322721</v>
      </c>
      <c r="M215" s="318">
        <v>12.152942144335761</v>
      </c>
      <c r="N215" s="3">
        <v>0.54076058452593989</v>
      </c>
      <c r="O215" s="3">
        <v>2.5250785249864802</v>
      </c>
      <c r="P215" s="3">
        <v>2.396561914551373</v>
      </c>
      <c r="Q215" s="3">
        <v>0.38038206712447709</v>
      </c>
      <c r="R215" s="3">
        <v>1.8059858234523305</v>
      </c>
      <c r="S215" s="3">
        <v>9.3239119384614639</v>
      </c>
      <c r="T215" s="3">
        <v>42.968554678384614</v>
      </c>
      <c r="U215" s="3">
        <v>0.37864893728471027</v>
      </c>
      <c r="V215" s="318">
        <v>60.319884468771384</v>
      </c>
      <c r="W215" s="318">
        <v>91.41838934434054</v>
      </c>
      <c r="X215" s="3">
        <v>8.5328102095512239</v>
      </c>
      <c r="Y215" s="318">
        <v>99.951199553891769</v>
      </c>
    </row>
    <row r="216" spans="1:25" x14ac:dyDescent="0.2">
      <c r="A216" s="314">
        <v>2016</v>
      </c>
      <c r="B216" s="5" t="s">
        <v>466</v>
      </c>
      <c r="C216" s="5" t="s">
        <v>261</v>
      </c>
      <c r="D216" s="5" t="s">
        <v>486</v>
      </c>
      <c r="E216" s="5" t="s">
        <v>300</v>
      </c>
      <c r="F216" s="5" t="s">
        <v>264</v>
      </c>
      <c r="G216" s="5" t="s">
        <v>301</v>
      </c>
      <c r="H216" s="3">
        <v>47.492241082573457</v>
      </c>
      <c r="I216" s="3">
        <v>0.15500597226576232</v>
      </c>
      <c r="J216" s="318">
        <v>47.64724705483922</v>
      </c>
      <c r="K216" s="3">
        <v>1293.9203356928683</v>
      </c>
      <c r="L216" s="3">
        <v>209.34296455480512</v>
      </c>
      <c r="M216" s="318">
        <v>1503.2633002476734</v>
      </c>
      <c r="N216" s="3">
        <v>98.698628304211724</v>
      </c>
      <c r="O216" s="3">
        <v>528.04086160071427</v>
      </c>
      <c r="P216" s="3">
        <v>30.360537605017345</v>
      </c>
      <c r="Q216" s="3">
        <v>36.037304301856757</v>
      </c>
      <c r="R216" s="3">
        <v>230.82737261038588</v>
      </c>
      <c r="S216" s="3">
        <v>238.5152239010277</v>
      </c>
      <c r="T216" s="3">
        <v>166.32082375283537</v>
      </c>
      <c r="U216" s="3">
        <v>41.088015918504219</v>
      </c>
      <c r="V216" s="318">
        <v>1369.8887679945533</v>
      </c>
      <c r="W216" s="318">
        <v>2920.7993152970662</v>
      </c>
      <c r="X216" s="3">
        <v>272.62158517956777</v>
      </c>
      <c r="Y216" s="318">
        <v>3193.420900476634</v>
      </c>
    </row>
    <row r="217" spans="1:25" x14ac:dyDescent="0.2">
      <c r="A217" s="314">
        <v>2016</v>
      </c>
      <c r="B217" s="5" t="s">
        <v>466</v>
      </c>
      <c r="C217" s="5" t="s">
        <v>261</v>
      </c>
      <c r="D217" s="5" t="s">
        <v>484</v>
      </c>
      <c r="E217" s="5" t="s">
        <v>302</v>
      </c>
      <c r="F217" s="5" t="s">
        <v>264</v>
      </c>
      <c r="G217" s="5" t="s">
        <v>303</v>
      </c>
      <c r="H217" s="3">
        <v>17.473588309707075</v>
      </c>
      <c r="I217" s="3">
        <v>17.303966755183296</v>
      </c>
      <c r="J217" s="318">
        <v>34.777555064890372</v>
      </c>
      <c r="K217" s="3">
        <v>46.219021300379936</v>
      </c>
      <c r="L217" s="3">
        <v>9.5703890441696231</v>
      </c>
      <c r="M217" s="318">
        <v>55.789410344549559</v>
      </c>
      <c r="N217" s="3">
        <v>486.86742988754889</v>
      </c>
      <c r="O217" s="3">
        <v>18.1049400898629</v>
      </c>
      <c r="P217" s="3">
        <v>13.654124854639825</v>
      </c>
      <c r="Q217" s="3">
        <v>1.8554642334438485</v>
      </c>
      <c r="R217" s="3">
        <v>12.997100134508257</v>
      </c>
      <c r="S217" s="3">
        <v>18.609123049920761</v>
      </c>
      <c r="T217" s="3">
        <v>26.157920160625572</v>
      </c>
      <c r="U217" s="3">
        <v>2.3939903140685437</v>
      </c>
      <c r="V217" s="318">
        <v>580.64009272461874</v>
      </c>
      <c r="W217" s="318">
        <v>671.20705813405868</v>
      </c>
      <c r="X217" s="3">
        <v>62.649128686751439</v>
      </c>
      <c r="Y217" s="318">
        <v>733.85618682081008</v>
      </c>
    </row>
    <row r="218" spans="1:25" x14ac:dyDescent="0.2">
      <c r="A218" s="314">
        <v>2016</v>
      </c>
      <c r="B218" s="5" t="s">
        <v>466</v>
      </c>
      <c r="C218" s="5" t="s">
        <v>261</v>
      </c>
      <c r="D218" s="5" t="s">
        <v>485</v>
      </c>
      <c r="E218" s="5" t="s">
        <v>304</v>
      </c>
      <c r="F218" s="5" t="s">
        <v>264</v>
      </c>
      <c r="G218" s="5" t="s">
        <v>305</v>
      </c>
      <c r="H218" s="3">
        <v>6.0203683507969181</v>
      </c>
      <c r="I218" s="3">
        <v>2.2950012269546547</v>
      </c>
      <c r="J218" s="318">
        <v>8.3153695777515733</v>
      </c>
      <c r="K218" s="3">
        <v>1.394468496385316</v>
      </c>
      <c r="L218" s="3">
        <v>4.4864278063674305</v>
      </c>
      <c r="M218" s="318">
        <v>5.8808963027527463</v>
      </c>
      <c r="N218" s="3">
        <v>0.82932559315943666</v>
      </c>
      <c r="O218" s="3">
        <v>6.7112378489907893</v>
      </c>
      <c r="P218" s="3">
        <v>16.914058477825197</v>
      </c>
      <c r="Q218" s="3">
        <v>0.91995396625149484</v>
      </c>
      <c r="R218" s="3">
        <v>5.0000981886061275</v>
      </c>
      <c r="S218" s="3">
        <v>5.4934263318919552</v>
      </c>
      <c r="T218" s="3">
        <v>18.952926632235858</v>
      </c>
      <c r="U218" s="3">
        <v>1.061990718572011</v>
      </c>
      <c r="V218" s="318">
        <v>55.883017757532869</v>
      </c>
      <c r="W218" s="318">
        <v>70.079283638037182</v>
      </c>
      <c r="X218" s="3">
        <v>6.5410606246006742</v>
      </c>
      <c r="Y218" s="318">
        <v>76.620344262637857</v>
      </c>
    </row>
    <row r="219" spans="1:25" x14ac:dyDescent="0.2">
      <c r="A219" s="314">
        <v>2016</v>
      </c>
      <c r="B219" s="5" t="s">
        <v>466</v>
      </c>
      <c r="C219" s="5" t="s">
        <v>261</v>
      </c>
      <c r="D219" s="5" t="s">
        <v>485</v>
      </c>
      <c r="E219" s="5" t="s">
        <v>306</v>
      </c>
      <c r="F219" s="5" t="s">
        <v>264</v>
      </c>
      <c r="G219" s="5" t="s">
        <v>307</v>
      </c>
      <c r="H219" s="3">
        <v>11.187472448545407</v>
      </c>
      <c r="I219" s="3">
        <v>5.4415442497437132</v>
      </c>
      <c r="J219" s="318">
        <v>16.629016698289121</v>
      </c>
      <c r="K219" s="3">
        <v>2.3535623762256277</v>
      </c>
      <c r="L219" s="3">
        <v>7.6403085305376885</v>
      </c>
      <c r="M219" s="318">
        <v>9.9938709067633162</v>
      </c>
      <c r="N219" s="3">
        <v>2.928076020257401</v>
      </c>
      <c r="O219" s="3">
        <v>19.026435791423939</v>
      </c>
      <c r="P219" s="3">
        <v>6.2820405810256901</v>
      </c>
      <c r="Q219" s="3">
        <v>2.6758988086110271</v>
      </c>
      <c r="R219" s="3">
        <v>9.9105272797340547</v>
      </c>
      <c r="S219" s="3">
        <v>18.659879850725652</v>
      </c>
      <c r="T219" s="3">
        <v>18.779838888077418</v>
      </c>
      <c r="U219" s="3">
        <v>3.4976402440524832</v>
      </c>
      <c r="V219" s="318">
        <v>81.760337463907661</v>
      </c>
      <c r="W219" s="318">
        <v>108.3832250689601</v>
      </c>
      <c r="X219" s="3">
        <v>10.116274154963151</v>
      </c>
      <c r="Y219" s="318">
        <v>118.49949922392325</v>
      </c>
    </row>
    <row r="220" spans="1:25" x14ac:dyDescent="0.2">
      <c r="A220" s="314">
        <v>2016</v>
      </c>
      <c r="B220" s="5" t="s">
        <v>466</v>
      </c>
      <c r="C220" s="5" t="s">
        <v>261</v>
      </c>
      <c r="D220" s="5" t="s">
        <v>484</v>
      </c>
      <c r="E220" s="5" t="s">
        <v>308</v>
      </c>
      <c r="F220" s="5" t="s">
        <v>264</v>
      </c>
      <c r="G220" s="5" t="s">
        <v>309</v>
      </c>
      <c r="H220" s="3">
        <v>11.734423072231598</v>
      </c>
      <c r="I220" s="3">
        <v>0</v>
      </c>
      <c r="J220" s="318">
        <v>11.734423072231598</v>
      </c>
      <c r="K220" s="3">
        <v>1.6230938093428888</v>
      </c>
      <c r="L220" s="3">
        <v>15.07152997922922</v>
      </c>
      <c r="M220" s="318">
        <v>16.694623788572109</v>
      </c>
      <c r="N220" s="3">
        <v>94.711331854055715</v>
      </c>
      <c r="O220" s="3">
        <v>10.895393862884745</v>
      </c>
      <c r="P220" s="3">
        <v>8.5899209786353605</v>
      </c>
      <c r="Q220" s="3">
        <v>1.5339627982402502</v>
      </c>
      <c r="R220" s="3">
        <v>9.9208604683822124</v>
      </c>
      <c r="S220" s="3">
        <v>6.0878681626695768</v>
      </c>
      <c r="T220" s="3">
        <v>16.680471052996928</v>
      </c>
      <c r="U220" s="3">
        <v>1.772409624905174</v>
      </c>
      <c r="V220" s="318">
        <v>150.19221880276996</v>
      </c>
      <c r="W220" s="318">
        <v>178.62126566357367</v>
      </c>
      <c r="X220" s="3">
        <v>16.672152837392538</v>
      </c>
      <c r="Y220" s="318">
        <v>195.2934185009662</v>
      </c>
    </row>
    <row r="221" spans="1:25" x14ac:dyDescent="0.2">
      <c r="A221" s="314">
        <v>2016</v>
      </c>
      <c r="B221" s="5" t="s">
        <v>466</v>
      </c>
      <c r="C221" s="5" t="s">
        <v>261</v>
      </c>
      <c r="D221" s="5" t="s">
        <v>486</v>
      </c>
      <c r="E221" s="5" t="s">
        <v>310</v>
      </c>
      <c r="F221" s="5" t="s">
        <v>264</v>
      </c>
      <c r="G221" s="5" t="s">
        <v>311</v>
      </c>
      <c r="H221" s="3">
        <v>78.361234790894798</v>
      </c>
      <c r="I221" s="3">
        <v>0</v>
      </c>
      <c r="J221" s="318">
        <v>78.361234790894798</v>
      </c>
      <c r="K221" s="3">
        <v>4.6636239873123637</v>
      </c>
      <c r="L221" s="3">
        <v>13.948641027880189</v>
      </c>
      <c r="M221" s="318">
        <v>18.612265015192552</v>
      </c>
      <c r="N221" s="3">
        <v>2.4793324159579644</v>
      </c>
      <c r="O221" s="3">
        <v>15.156825914013066</v>
      </c>
      <c r="P221" s="3">
        <v>35.903498145706259</v>
      </c>
      <c r="Q221" s="3">
        <v>1.2547265494778084</v>
      </c>
      <c r="R221" s="3">
        <v>17.969985939722889</v>
      </c>
      <c r="S221" s="3">
        <v>11.109932294708566</v>
      </c>
      <c r="T221" s="3">
        <v>32.22421292638478</v>
      </c>
      <c r="U221" s="3">
        <v>4.7401203768181137</v>
      </c>
      <c r="V221" s="318">
        <v>120.83863456278945</v>
      </c>
      <c r="W221" s="318">
        <v>217.8121343688768</v>
      </c>
      <c r="X221" s="3">
        <v>20.330150391366008</v>
      </c>
      <c r="Y221" s="318">
        <v>238.1422847602428</v>
      </c>
    </row>
    <row r="222" spans="1:25" x14ac:dyDescent="0.2">
      <c r="A222" s="314">
        <v>2016</v>
      </c>
      <c r="B222" s="5" t="s">
        <v>466</v>
      </c>
      <c r="C222" s="5" t="s">
        <v>261</v>
      </c>
      <c r="D222" s="5" t="s">
        <v>483</v>
      </c>
      <c r="E222" s="5" t="s">
        <v>312</v>
      </c>
      <c r="F222" s="5" t="s">
        <v>264</v>
      </c>
      <c r="G222" s="5" t="s">
        <v>313</v>
      </c>
      <c r="H222" s="3">
        <v>113.98131178130524</v>
      </c>
      <c r="I222" s="3">
        <v>15.637207369509664</v>
      </c>
      <c r="J222" s="318">
        <v>129.6185191508149</v>
      </c>
      <c r="K222" s="3">
        <v>329.85288738411793</v>
      </c>
      <c r="L222" s="3">
        <v>19.424864788323646</v>
      </c>
      <c r="M222" s="318">
        <v>349.27775217244158</v>
      </c>
      <c r="N222" s="3">
        <v>29.170442157346066</v>
      </c>
      <c r="O222" s="3">
        <v>61.727306982285789</v>
      </c>
      <c r="P222" s="3">
        <v>10.204190940822693</v>
      </c>
      <c r="Q222" s="3">
        <v>10.013167176942336</v>
      </c>
      <c r="R222" s="3">
        <v>38.487195666875024</v>
      </c>
      <c r="S222" s="3">
        <v>55.678782485876212</v>
      </c>
      <c r="T222" s="3">
        <v>45.3155862458635</v>
      </c>
      <c r="U222" s="3">
        <v>8.0845391240021431</v>
      </c>
      <c r="V222" s="318">
        <v>258.68121078001377</v>
      </c>
      <c r="W222" s="318">
        <v>737.5774821032702</v>
      </c>
      <c r="X222" s="3">
        <v>68.84401174385259</v>
      </c>
      <c r="Y222" s="318">
        <v>806.42149384712275</v>
      </c>
    </row>
    <row r="223" spans="1:25" x14ac:dyDescent="0.2">
      <c r="A223" s="314">
        <v>2016</v>
      </c>
      <c r="B223" s="5" t="s">
        <v>466</v>
      </c>
      <c r="C223" s="5" t="s">
        <v>314</v>
      </c>
      <c r="D223" s="5" t="s">
        <v>487</v>
      </c>
      <c r="E223" s="5" t="s">
        <v>316</v>
      </c>
      <c r="F223" s="5" t="s">
        <v>317</v>
      </c>
      <c r="G223" s="5" t="s">
        <v>318</v>
      </c>
      <c r="H223" s="3">
        <v>54.523843350605169</v>
      </c>
      <c r="I223" s="3">
        <v>1.6204574371509164</v>
      </c>
      <c r="J223" s="318">
        <v>56.144300787756087</v>
      </c>
      <c r="K223" s="3">
        <v>71.689992983134246</v>
      </c>
      <c r="L223" s="3">
        <v>23.909705887517461</v>
      </c>
      <c r="M223" s="318">
        <v>95.599698870651707</v>
      </c>
      <c r="N223" s="3">
        <v>14.104002349708118</v>
      </c>
      <c r="O223" s="3">
        <v>54.199508420358285</v>
      </c>
      <c r="P223" s="3">
        <v>10.157784248453954</v>
      </c>
      <c r="Q223" s="3">
        <v>7.2261347976111479</v>
      </c>
      <c r="R223" s="3">
        <v>25.85026799418204</v>
      </c>
      <c r="S223" s="3">
        <v>28.927546000094058</v>
      </c>
      <c r="T223" s="3">
        <v>57.562909471662472</v>
      </c>
      <c r="U223" s="3">
        <v>8.3173879057592011</v>
      </c>
      <c r="V223" s="318">
        <v>206.34554118782927</v>
      </c>
      <c r="W223" s="318">
        <v>358.08954084623707</v>
      </c>
      <c r="X223" s="3">
        <v>33.423363854697364</v>
      </c>
      <c r="Y223" s="318">
        <v>391.51290470093443</v>
      </c>
    </row>
    <row r="224" spans="1:25" x14ac:dyDescent="0.2">
      <c r="A224" s="314">
        <v>2016</v>
      </c>
      <c r="B224" s="5" t="s">
        <v>466</v>
      </c>
      <c r="C224" s="5" t="s">
        <v>314</v>
      </c>
      <c r="D224" s="5" t="s">
        <v>488</v>
      </c>
      <c r="E224" s="5" t="s">
        <v>319</v>
      </c>
      <c r="F224" s="5" t="s">
        <v>317</v>
      </c>
      <c r="G224" s="5" t="s">
        <v>321</v>
      </c>
      <c r="H224" s="3">
        <v>99.572542093482411</v>
      </c>
      <c r="I224" s="3">
        <v>44.445418871736365</v>
      </c>
      <c r="J224" s="318">
        <v>144.01796096521878</v>
      </c>
      <c r="K224" s="3">
        <v>90.537210077564936</v>
      </c>
      <c r="L224" s="3">
        <v>116.01400343421432</v>
      </c>
      <c r="M224" s="318">
        <v>206.55121351177925</v>
      </c>
      <c r="N224" s="3">
        <v>12.244258870508004</v>
      </c>
      <c r="O224" s="3">
        <v>115.95778846418791</v>
      </c>
      <c r="P224" s="3">
        <v>12.500516196710198</v>
      </c>
      <c r="Q224" s="3">
        <v>23.400327103034748</v>
      </c>
      <c r="R224" s="3">
        <v>34.751974228086596</v>
      </c>
      <c r="S224" s="3">
        <v>54.919278900680119</v>
      </c>
      <c r="T224" s="3">
        <v>41.121185112722173</v>
      </c>
      <c r="U224" s="3">
        <v>13.765079597265505</v>
      </c>
      <c r="V224" s="318">
        <v>308.66040847319528</v>
      </c>
      <c r="W224" s="318">
        <v>659.22958295019328</v>
      </c>
      <c r="X224" s="3">
        <v>61.531175031403436</v>
      </c>
      <c r="Y224" s="318">
        <v>720.76075798159673</v>
      </c>
    </row>
    <row r="225" spans="1:25" x14ac:dyDescent="0.2">
      <c r="A225" s="314">
        <v>2016</v>
      </c>
      <c r="B225" s="5" t="s">
        <v>466</v>
      </c>
      <c r="C225" s="5" t="s">
        <v>314</v>
      </c>
      <c r="D225" s="5" t="s">
        <v>487</v>
      </c>
      <c r="E225" s="5" t="s">
        <v>322</v>
      </c>
      <c r="F225" s="5" t="s">
        <v>317</v>
      </c>
      <c r="G225" s="5" t="s">
        <v>323</v>
      </c>
      <c r="H225" s="3">
        <v>24.530836889702638</v>
      </c>
      <c r="I225" s="3">
        <v>9.2088085286883947E-2</v>
      </c>
      <c r="J225" s="318">
        <v>24.622924974989523</v>
      </c>
      <c r="K225" s="3">
        <v>4.7947094382585824</v>
      </c>
      <c r="L225" s="3">
        <v>1.160404087708816</v>
      </c>
      <c r="M225" s="318">
        <v>5.9551135259673984</v>
      </c>
      <c r="N225" s="3">
        <v>1.5236243098183637</v>
      </c>
      <c r="O225" s="3">
        <v>9.4954707399527578</v>
      </c>
      <c r="P225" s="3">
        <v>2.907055779525062</v>
      </c>
      <c r="Q225" s="3">
        <v>0.86009102742255594</v>
      </c>
      <c r="R225" s="3">
        <v>2.8071746749268089</v>
      </c>
      <c r="S225" s="3">
        <v>4.7808602792520052</v>
      </c>
      <c r="T225" s="3">
        <v>12.847261491301559</v>
      </c>
      <c r="U225" s="3">
        <v>1.4284475370814065</v>
      </c>
      <c r="V225" s="318">
        <v>36.649985839280518</v>
      </c>
      <c r="W225" s="318">
        <v>67.22802434023744</v>
      </c>
      <c r="X225" s="3">
        <v>6.2749297660192145</v>
      </c>
      <c r="Y225" s="318">
        <v>73.502954106256652</v>
      </c>
    </row>
    <row r="226" spans="1:25" x14ac:dyDescent="0.2">
      <c r="A226" s="314">
        <v>2016</v>
      </c>
      <c r="B226" s="5" t="s">
        <v>466</v>
      </c>
      <c r="C226" s="5" t="s">
        <v>314</v>
      </c>
      <c r="D226" s="5" t="s">
        <v>488</v>
      </c>
      <c r="E226" s="5" t="s">
        <v>324</v>
      </c>
      <c r="F226" s="5" t="s">
        <v>317</v>
      </c>
      <c r="G226" s="5" t="s">
        <v>325</v>
      </c>
      <c r="H226" s="3">
        <v>64.48619253478374</v>
      </c>
      <c r="I226" s="3">
        <v>0</v>
      </c>
      <c r="J226" s="318">
        <v>64.48619253478374</v>
      </c>
      <c r="K226" s="3">
        <v>5.8304016621716617</v>
      </c>
      <c r="L226" s="3">
        <v>7.1747150541743405</v>
      </c>
      <c r="M226" s="318">
        <v>13.005116716346002</v>
      </c>
      <c r="N226" s="3">
        <v>3.9112264074725323</v>
      </c>
      <c r="O226" s="3">
        <v>13.699745289552025</v>
      </c>
      <c r="P226" s="3">
        <v>4.1914034762826962</v>
      </c>
      <c r="Q226" s="3">
        <v>2.3223550121740639</v>
      </c>
      <c r="R226" s="3">
        <v>6.3704856024401906</v>
      </c>
      <c r="S226" s="3">
        <v>10.097772521224831</v>
      </c>
      <c r="T226" s="3">
        <v>28.27889690321593</v>
      </c>
      <c r="U226" s="3">
        <v>2.4717677461288758</v>
      </c>
      <c r="V226" s="318">
        <v>71.343652958491148</v>
      </c>
      <c r="W226" s="318">
        <v>148.83496220962087</v>
      </c>
      <c r="X226" s="3">
        <v>13.891958655023544</v>
      </c>
      <c r="Y226" s="318">
        <v>162.7269208646444</v>
      </c>
    </row>
    <row r="227" spans="1:25" x14ac:dyDescent="0.2">
      <c r="A227" s="314">
        <v>2016</v>
      </c>
      <c r="B227" s="5" t="s">
        <v>466</v>
      </c>
      <c r="C227" s="5" t="s">
        <v>314</v>
      </c>
      <c r="D227" s="5" t="s">
        <v>489</v>
      </c>
      <c r="E227" s="5" t="s">
        <v>326</v>
      </c>
      <c r="F227" s="5" t="s">
        <v>317</v>
      </c>
      <c r="G227" s="5" t="s">
        <v>327</v>
      </c>
      <c r="H227" s="3">
        <v>83.15866155188111</v>
      </c>
      <c r="I227" s="3">
        <v>0</v>
      </c>
      <c r="J227" s="318">
        <v>83.15866155188111</v>
      </c>
      <c r="K227" s="3">
        <v>8.0813113563593131</v>
      </c>
      <c r="L227" s="3">
        <v>8.6661142577729695</v>
      </c>
      <c r="M227" s="318">
        <v>16.747425614132283</v>
      </c>
      <c r="N227" s="3">
        <v>4.8700304901005858</v>
      </c>
      <c r="O227" s="3">
        <v>22.755411117428554</v>
      </c>
      <c r="P227" s="3">
        <v>7.0658587852114803</v>
      </c>
      <c r="Q227" s="3">
        <v>5.2130869214387001</v>
      </c>
      <c r="R227" s="3">
        <v>15.662538757926804</v>
      </c>
      <c r="S227" s="3">
        <v>13.884656776915284</v>
      </c>
      <c r="T227" s="3">
        <v>19.772522860270914</v>
      </c>
      <c r="U227" s="3">
        <v>5.4528640280460658</v>
      </c>
      <c r="V227" s="318">
        <v>94.676969737338382</v>
      </c>
      <c r="W227" s="318">
        <v>194.58305690335177</v>
      </c>
      <c r="X227" s="3">
        <v>18.161994610260479</v>
      </c>
      <c r="Y227" s="318">
        <v>212.74505151361225</v>
      </c>
    </row>
    <row r="228" spans="1:25" x14ac:dyDescent="0.2">
      <c r="A228" s="314">
        <v>2016</v>
      </c>
      <c r="B228" s="5" t="s">
        <v>466</v>
      </c>
      <c r="C228" s="5" t="s">
        <v>314</v>
      </c>
      <c r="D228" s="5" t="s">
        <v>490</v>
      </c>
      <c r="E228" s="5" t="s">
        <v>328</v>
      </c>
      <c r="F228" s="5" t="s">
        <v>317</v>
      </c>
      <c r="G228" s="5" t="s">
        <v>330</v>
      </c>
      <c r="H228" s="3">
        <v>18.757533155934929</v>
      </c>
      <c r="I228" s="3">
        <v>0</v>
      </c>
      <c r="J228" s="318">
        <v>18.757533155934929</v>
      </c>
      <c r="K228" s="3">
        <v>0.75835518680318603</v>
      </c>
      <c r="L228" s="3">
        <v>4.7854044232486572</v>
      </c>
      <c r="M228" s="318">
        <v>5.5437596100518434</v>
      </c>
      <c r="N228" s="3">
        <v>1.055349881994232</v>
      </c>
      <c r="O228" s="3">
        <v>3.2736005106729746</v>
      </c>
      <c r="P228" s="3">
        <v>3.0795321271158169</v>
      </c>
      <c r="Q228" s="3">
        <v>0.68807040414968912</v>
      </c>
      <c r="R228" s="3">
        <v>1.5628772105502338</v>
      </c>
      <c r="S228" s="3">
        <v>4.7642764496961547</v>
      </c>
      <c r="T228" s="3">
        <v>21.877180686028282</v>
      </c>
      <c r="U228" s="3">
        <v>0.61490228891689347</v>
      </c>
      <c r="V228" s="318">
        <v>36.915789559124278</v>
      </c>
      <c r="W228" s="318">
        <v>61.217082325111051</v>
      </c>
      <c r="X228" s="3">
        <v>5.7138804217510826</v>
      </c>
      <c r="Y228" s="318">
        <v>66.930962746862136</v>
      </c>
    </row>
    <row r="229" spans="1:25" x14ac:dyDescent="0.2">
      <c r="A229" s="314">
        <v>2016</v>
      </c>
      <c r="B229" s="5" t="s">
        <v>466</v>
      </c>
      <c r="C229" s="5" t="s">
        <v>314</v>
      </c>
      <c r="D229" s="5" t="s">
        <v>488</v>
      </c>
      <c r="E229" s="5" t="s">
        <v>331</v>
      </c>
      <c r="F229" s="5" t="s">
        <v>317</v>
      </c>
      <c r="G229" s="5" t="s">
        <v>332</v>
      </c>
      <c r="H229" s="3">
        <v>91.484390509223473</v>
      </c>
      <c r="I229" s="3">
        <v>0</v>
      </c>
      <c r="J229" s="318">
        <v>91.484390509223473</v>
      </c>
      <c r="K229" s="3">
        <v>10.567089285448032</v>
      </c>
      <c r="L229" s="3">
        <v>16.330272298920036</v>
      </c>
      <c r="M229" s="318">
        <v>26.89736158436807</v>
      </c>
      <c r="N229" s="3">
        <v>9.4362891970558813</v>
      </c>
      <c r="O229" s="3">
        <v>69.732471521247717</v>
      </c>
      <c r="P229" s="3">
        <v>7.9356059502057121</v>
      </c>
      <c r="Q229" s="3">
        <v>6.9772240877196934</v>
      </c>
      <c r="R229" s="3">
        <v>24.611208981035215</v>
      </c>
      <c r="S229" s="3">
        <v>25.508263755596545</v>
      </c>
      <c r="T229" s="3">
        <v>44.338835209156862</v>
      </c>
      <c r="U229" s="3">
        <v>7.7826375607686851</v>
      </c>
      <c r="V229" s="318">
        <v>196.32253626278631</v>
      </c>
      <c r="W229" s="318">
        <v>314.70428835637784</v>
      </c>
      <c r="X229" s="3">
        <v>29.373870880203746</v>
      </c>
      <c r="Y229" s="318">
        <v>344.0781592365816</v>
      </c>
    </row>
    <row r="230" spans="1:25" x14ac:dyDescent="0.2">
      <c r="A230" s="314">
        <v>2016</v>
      </c>
      <c r="B230" s="5" t="s">
        <v>466</v>
      </c>
      <c r="C230" s="5" t="s">
        <v>314</v>
      </c>
      <c r="D230" s="5" t="s">
        <v>489</v>
      </c>
      <c r="E230" s="5" t="s">
        <v>333</v>
      </c>
      <c r="F230" s="5" t="s">
        <v>317</v>
      </c>
      <c r="G230" s="5" t="s">
        <v>334</v>
      </c>
      <c r="H230" s="3">
        <v>97.778712379858689</v>
      </c>
      <c r="I230" s="3">
        <v>0</v>
      </c>
      <c r="J230" s="318">
        <v>97.778712379858689</v>
      </c>
      <c r="K230" s="3">
        <v>9.2570997358468112</v>
      </c>
      <c r="L230" s="3">
        <v>10.874454253742119</v>
      </c>
      <c r="M230" s="318">
        <v>20.13155398958893</v>
      </c>
      <c r="N230" s="3">
        <v>4.5266542743520759</v>
      </c>
      <c r="O230" s="3">
        <v>25.872483248456764</v>
      </c>
      <c r="P230" s="3">
        <v>9.2450614550503207</v>
      </c>
      <c r="Q230" s="3">
        <v>5.4761047032005168</v>
      </c>
      <c r="R230" s="3">
        <v>13.230153328167965</v>
      </c>
      <c r="S230" s="3">
        <v>14.603841333005466</v>
      </c>
      <c r="T230" s="3">
        <v>28.127750024244278</v>
      </c>
      <c r="U230" s="3">
        <v>5.5323756466157077</v>
      </c>
      <c r="V230" s="318">
        <v>106.6144240130931</v>
      </c>
      <c r="W230" s="318">
        <v>224.52469038254071</v>
      </c>
      <c r="X230" s="3">
        <v>20.956686987518822</v>
      </c>
      <c r="Y230" s="318">
        <v>245.48137737005953</v>
      </c>
    </row>
    <row r="231" spans="1:25" x14ac:dyDescent="0.2">
      <c r="A231" s="314">
        <v>2016</v>
      </c>
      <c r="B231" s="5" t="s">
        <v>466</v>
      </c>
      <c r="C231" s="5" t="s">
        <v>314</v>
      </c>
      <c r="D231" s="5" t="s">
        <v>487</v>
      </c>
      <c r="E231" s="5" t="s">
        <v>335</v>
      </c>
      <c r="F231" s="5" t="s">
        <v>317</v>
      </c>
      <c r="G231" s="5" t="s">
        <v>336</v>
      </c>
      <c r="H231" s="3">
        <v>103.41245755019719</v>
      </c>
      <c r="I231" s="3">
        <v>1.0019680975259893</v>
      </c>
      <c r="J231" s="318">
        <v>104.41442564772318</v>
      </c>
      <c r="K231" s="3">
        <v>7.7778188002596949</v>
      </c>
      <c r="L231" s="3">
        <v>16.678925643524693</v>
      </c>
      <c r="M231" s="318">
        <v>24.456744443784387</v>
      </c>
      <c r="N231" s="3">
        <v>7.8880703392818825</v>
      </c>
      <c r="O231" s="3">
        <v>45.366152898945245</v>
      </c>
      <c r="P231" s="3">
        <v>7.6197889479704761</v>
      </c>
      <c r="Q231" s="3">
        <v>8.0603878244002054</v>
      </c>
      <c r="R231" s="3">
        <v>23.374302769537184</v>
      </c>
      <c r="S231" s="3">
        <v>21.588273546691884</v>
      </c>
      <c r="T231" s="3">
        <v>27.040410966520284</v>
      </c>
      <c r="U231" s="3">
        <v>9.3485736253770995</v>
      </c>
      <c r="V231" s="318">
        <v>150.28596091872427</v>
      </c>
      <c r="W231" s="318">
        <v>279.15713101023186</v>
      </c>
      <c r="X231" s="3">
        <v>26.055970080385116</v>
      </c>
      <c r="Y231" s="318">
        <v>305.21310109061699</v>
      </c>
    </row>
    <row r="232" spans="1:25" x14ac:dyDescent="0.2">
      <c r="A232" s="314">
        <v>2016</v>
      </c>
      <c r="B232" s="5" t="s">
        <v>466</v>
      </c>
      <c r="C232" s="5" t="s">
        <v>314</v>
      </c>
      <c r="D232" s="5" t="s">
        <v>488</v>
      </c>
      <c r="E232" s="5" t="s">
        <v>337</v>
      </c>
      <c r="F232" s="5" t="s">
        <v>317</v>
      </c>
      <c r="G232" s="5" t="s">
        <v>338</v>
      </c>
      <c r="H232" s="3">
        <v>17.631736248382801</v>
      </c>
      <c r="I232" s="3">
        <v>0</v>
      </c>
      <c r="J232" s="318">
        <v>17.631736248382801</v>
      </c>
      <c r="K232" s="3">
        <v>2.5784623246348728</v>
      </c>
      <c r="L232" s="3">
        <v>2.9655915744083661</v>
      </c>
      <c r="M232" s="318">
        <v>5.5440538990432389</v>
      </c>
      <c r="N232" s="3">
        <v>1.507171102691643</v>
      </c>
      <c r="O232" s="3">
        <v>7.0602970220626178</v>
      </c>
      <c r="P232" s="3">
        <v>2.0665272884478023</v>
      </c>
      <c r="Q232" s="3">
        <v>0.72545030874695293</v>
      </c>
      <c r="R232" s="3">
        <v>3.3645556826330836</v>
      </c>
      <c r="S232" s="3">
        <v>4.5078755386735088</v>
      </c>
      <c r="T232" s="3">
        <v>17.025633259498939</v>
      </c>
      <c r="U232" s="3">
        <v>1.0141729325603364</v>
      </c>
      <c r="V232" s="318">
        <v>37.271683135314881</v>
      </c>
      <c r="W232" s="318">
        <v>60.447473282740923</v>
      </c>
      <c r="X232" s="3">
        <v>5.6420466480300933</v>
      </c>
      <c r="Y232" s="318">
        <v>66.089519930771019</v>
      </c>
    </row>
    <row r="233" spans="1:25" x14ac:dyDescent="0.2">
      <c r="A233" s="314">
        <v>2016</v>
      </c>
      <c r="B233" s="5" t="s">
        <v>466</v>
      </c>
      <c r="C233" s="5" t="s">
        <v>314</v>
      </c>
      <c r="D233" s="5" t="s">
        <v>488</v>
      </c>
      <c r="E233" s="5" t="s">
        <v>339</v>
      </c>
      <c r="F233" s="5" t="s">
        <v>317</v>
      </c>
      <c r="G233" s="5" t="s">
        <v>340</v>
      </c>
      <c r="H233" s="3">
        <v>45.3143564309268</v>
      </c>
      <c r="I233" s="3">
        <v>3.9859332768085149</v>
      </c>
      <c r="J233" s="318">
        <v>49.300289707735317</v>
      </c>
      <c r="K233" s="3">
        <v>6.1175432597733561</v>
      </c>
      <c r="L233" s="3">
        <v>9.6507591419850858</v>
      </c>
      <c r="M233" s="318">
        <v>15.768302401758442</v>
      </c>
      <c r="N233" s="3">
        <v>4.9867410456522983</v>
      </c>
      <c r="O233" s="3">
        <v>33.759972563969818</v>
      </c>
      <c r="P233" s="3">
        <v>5.2895800999505589</v>
      </c>
      <c r="Q233" s="3">
        <v>5.0560199754320285</v>
      </c>
      <c r="R233" s="3">
        <v>18.013985706168484</v>
      </c>
      <c r="S233" s="3">
        <v>14.848186329438972</v>
      </c>
      <c r="T233" s="3">
        <v>23.963301707526682</v>
      </c>
      <c r="U233" s="3">
        <v>4.2948310868266857</v>
      </c>
      <c r="V233" s="318">
        <v>110.21261851496554</v>
      </c>
      <c r="W233" s="318">
        <v>175.28121062445931</v>
      </c>
      <c r="X233" s="3">
        <v>16.36039875878075</v>
      </c>
      <c r="Y233" s="318">
        <v>191.64160938324005</v>
      </c>
    </row>
    <row r="234" spans="1:25" x14ac:dyDescent="0.2">
      <c r="A234" s="314">
        <v>2016</v>
      </c>
      <c r="B234" s="5" t="s">
        <v>466</v>
      </c>
      <c r="C234" s="5" t="s">
        <v>314</v>
      </c>
      <c r="D234" s="5" t="s">
        <v>490</v>
      </c>
      <c r="E234" s="5" t="s">
        <v>341</v>
      </c>
      <c r="F234" s="5" t="s">
        <v>317</v>
      </c>
      <c r="G234" s="5" t="s">
        <v>342</v>
      </c>
      <c r="H234" s="3">
        <v>51.2684424262793</v>
      </c>
      <c r="I234" s="3">
        <v>0</v>
      </c>
      <c r="J234" s="318">
        <v>51.2684424262793</v>
      </c>
      <c r="K234" s="3">
        <v>1.9850418260547065</v>
      </c>
      <c r="L234" s="3">
        <v>13.007463273946938</v>
      </c>
      <c r="M234" s="318">
        <v>14.992505100001644</v>
      </c>
      <c r="N234" s="3">
        <v>17.903739965111228</v>
      </c>
      <c r="O234" s="3">
        <v>25.267835496788202</v>
      </c>
      <c r="P234" s="3">
        <v>4.6965075637465379</v>
      </c>
      <c r="Q234" s="3">
        <v>3.6733741953284116</v>
      </c>
      <c r="R234" s="3">
        <v>13.322283557930342</v>
      </c>
      <c r="S234" s="3">
        <v>12.355338607908067</v>
      </c>
      <c r="T234" s="3">
        <v>20.613541503481276</v>
      </c>
      <c r="U234" s="3">
        <v>3.4333247646317004</v>
      </c>
      <c r="V234" s="318">
        <v>101.26594565492577</v>
      </c>
      <c r="W234" s="318">
        <v>167.52689318120673</v>
      </c>
      <c r="X234" s="3">
        <v>15.636626227647412</v>
      </c>
      <c r="Y234" s="318">
        <v>183.16351940885414</v>
      </c>
    </row>
    <row r="235" spans="1:25" x14ac:dyDescent="0.2">
      <c r="A235" s="314">
        <v>2016</v>
      </c>
      <c r="B235" s="5" t="s">
        <v>466</v>
      </c>
      <c r="C235" s="5" t="s">
        <v>314</v>
      </c>
      <c r="D235" s="5" t="s">
        <v>490</v>
      </c>
      <c r="E235" s="5" t="s">
        <v>343</v>
      </c>
      <c r="F235" s="5" t="s">
        <v>317</v>
      </c>
      <c r="G235" s="5" t="s">
        <v>344</v>
      </c>
      <c r="H235" s="3">
        <v>4.7364186122263146</v>
      </c>
      <c r="I235" s="3">
        <v>0</v>
      </c>
      <c r="J235" s="318">
        <v>4.7364186122263146</v>
      </c>
      <c r="K235" s="3">
        <v>8.2329450593079105</v>
      </c>
      <c r="L235" s="3">
        <v>38.412183215128202</v>
      </c>
      <c r="M235" s="318">
        <v>46.645128274436111</v>
      </c>
      <c r="N235" s="3">
        <v>4.8463864213640733</v>
      </c>
      <c r="O235" s="3">
        <v>44.007689256961875</v>
      </c>
      <c r="P235" s="3">
        <v>3.4016907793778834</v>
      </c>
      <c r="Q235" s="3">
        <v>1.9245036783224445</v>
      </c>
      <c r="R235" s="3">
        <v>7.360766701446531</v>
      </c>
      <c r="S235" s="3">
        <v>12.239317418039466</v>
      </c>
      <c r="T235" s="3">
        <v>17.758690869854227</v>
      </c>
      <c r="U235" s="3">
        <v>2.5724298665028544</v>
      </c>
      <c r="V235" s="318">
        <v>94.111474991869358</v>
      </c>
      <c r="W235" s="318">
        <v>145.49302187853178</v>
      </c>
      <c r="X235" s="3">
        <v>13.580028607017359</v>
      </c>
      <c r="Y235" s="318">
        <v>159.07305048554915</v>
      </c>
    </row>
    <row r="236" spans="1:25" x14ac:dyDescent="0.2">
      <c r="A236" s="314">
        <v>2016</v>
      </c>
      <c r="B236" s="5" t="s">
        <v>466</v>
      </c>
      <c r="C236" s="5" t="s">
        <v>314</v>
      </c>
      <c r="D236" s="5" t="s">
        <v>490</v>
      </c>
      <c r="E236" s="5" t="s">
        <v>345</v>
      </c>
      <c r="F236" s="5" t="s">
        <v>317</v>
      </c>
      <c r="G236" s="5" t="s">
        <v>346</v>
      </c>
      <c r="H236" s="3">
        <v>17.241055226743715</v>
      </c>
      <c r="I236" s="3">
        <v>0</v>
      </c>
      <c r="J236" s="318">
        <v>17.241055226743715</v>
      </c>
      <c r="K236" s="3">
        <v>41.000024276044208</v>
      </c>
      <c r="L236" s="3">
        <v>14.440557397885897</v>
      </c>
      <c r="M236" s="318">
        <v>55.440581673930105</v>
      </c>
      <c r="N236" s="3">
        <v>1.6088061832504907</v>
      </c>
      <c r="O236" s="3">
        <v>6.8602043022307546</v>
      </c>
      <c r="P236" s="3">
        <v>3.6575495348907427</v>
      </c>
      <c r="Q236" s="3">
        <v>1.2893505023602916</v>
      </c>
      <c r="R236" s="3">
        <v>4.8426047284588627</v>
      </c>
      <c r="S236" s="3">
        <v>8.0036465168059543</v>
      </c>
      <c r="T236" s="3">
        <v>16.2516611122971</v>
      </c>
      <c r="U236" s="3">
        <v>1.7148311711803055</v>
      </c>
      <c r="V236" s="318">
        <v>44.228654051474507</v>
      </c>
      <c r="W236" s="318">
        <v>116.91029095214832</v>
      </c>
      <c r="X236" s="3">
        <v>10.912173484927539</v>
      </c>
      <c r="Y236" s="318">
        <v>127.82246443707585</v>
      </c>
    </row>
    <row r="237" spans="1:25" x14ac:dyDescent="0.2">
      <c r="A237" s="314">
        <v>2016</v>
      </c>
      <c r="B237" s="5" t="s">
        <v>466</v>
      </c>
      <c r="C237" s="5" t="s">
        <v>314</v>
      </c>
      <c r="D237" s="5" t="s">
        <v>490</v>
      </c>
      <c r="E237" s="5" t="s">
        <v>347</v>
      </c>
      <c r="F237" s="5" t="s">
        <v>317</v>
      </c>
      <c r="G237" s="5" t="s">
        <v>348</v>
      </c>
      <c r="H237" s="3">
        <v>18.148278891651369</v>
      </c>
      <c r="I237" s="3">
        <v>0</v>
      </c>
      <c r="J237" s="318">
        <v>18.148278891651369</v>
      </c>
      <c r="K237" s="3">
        <v>1.3641976313187156</v>
      </c>
      <c r="L237" s="3">
        <v>6.5566553078246725</v>
      </c>
      <c r="M237" s="318">
        <v>7.9208529391433879</v>
      </c>
      <c r="N237" s="3">
        <v>1.8231785159516951</v>
      </c>
      <c r="O237" s="3">
        <v>6.5697913495302238</v>
      </c>
      <c r="P237" s="3">
        <v>2.6535971076115992</v>
      </c>
      <c r="Q237" s="3">
        <v>1.9259685388887744</v>
      </c>
      <c r="R237" s="3">
        <v>5.3497939881592318</v>
      </c>
      <c r="S237" s="3">
        <v>6.8857822854632715</v>
      </c>
      <c r="T237" s="3">
        <v>25.268116584720779</v>
      </c>
      <c r="U237" s="3">
        <v>1.4572757944480905</v>
      </c>
      <c r="V237" s="318">
        <v>51.933504164773666</v>
      </c>
      <c r="W237" s="318">
        <v>78.002635995568426</v>
      </c>
      <c r="X237" s="3">
        <v>7.2806105376445069</v>
      </c>
      <c r="Y237" s="318">
        <v>85.283246533212932</v>
      </c>
    </row>
    <row r="238" spans="1:25" x14ac:dyDescent="0.2">
      <c r="A238" s="314">
        <v>2016</v>
      </c>
      <c r="B238" s="5" t="s">
        <v>466</v>
      </c>
      <c r="C238" s="5" t="s">
        <v>314</v>
      </c>
      <c r="D238" s="5" t="s">
        <v>489</v>
      </c>
      <c r="E238" s="5" t="s">
        <v>349</v>
      </c>
      <c r="F238" s="5" t="s">
        <v>317</v>
      </c>
      <c r="G238" s="5" t="s">
        <v>350</v>
      </c>
      <c r="H238" s="3">
        <v>79.343827289706667</v>
      </c>
      <c r="I238" s="3">
        <v>0.27412587011888695</v>
      </c>
      <c r="J238" s="318">
        <v>79.617953159825561</v>
      </c>
      <c r="K238" s="3">
        <v>3.9613834661094227</v>
      </c>
      <c r="L238" s="3">
        <v>14.374232812508451</v>
      </c>
      <c r="M238" s="318">
        <v>18.335616278617874</v>
      </c>
      <c r="N238" s="3">
        <v>12.899138300907616</v>
      </c>
      <c r="O238" s="3">
        <v>30.954877388613824</v>
      </c>
      <c r="P238" s="3">
        <v>6.0533230845049415</v>
      </c>
      <c r="Q238" s="3">
        <v>4.1161798082249099</v>
      </c>
      <c r="R238" s="3">
        <v>9.8666327045303088</v>
      </c>
      <c r="S238" s="3">
        <v>14.379102826708417</v>
      </c>
      <c r="T238" s="3">
        <v>31.475721700561856</v>
      </c>
      <c r="U238" s="3">
        <v>4.8047625336770032</v>
      </c>
      <c r="V238" s="318">
        <v>114.54973834772886</v>
      </c>
      <c r="W238" s="318">
        <v>212.50330778617229</v>
      </c>
      <c r="X238" s="3">
        <v>19.834635101821672</v>
      </c>
      <c r="Y238" s="318">
        <v>232.33794288799396</v>
      </c>
    </row>
    <row r="239" spans="1:25" x14ac:dyDescent="0.2">
      <c r="A239" s="314">
        <v>2016</v>
      </c>
      <c r="B239" s="5" t="s">
        <v>466</v>
      </c>
      <c r="C239" s="5" t="s">
        <v>314</v>
      </c>
      <c r="D239" s="5" t="s">
        <v>490</v>
      </c>
      <c r="E239" s="5" t="s">
        <v>351</v>
      </c>
      <c r="F239" s="5" t="s">
        <v>317</v>
      </c>
      <c r="G239" s="5" t="s">
        <v>352</v>
      </c>
      <c r="H239" s="3">
        <v>82.526547039269104</v>
      </c>
      <c r="I239" s="3">
        <v>3.1919816786863633</v>
      </c>
      <c r="J239" s="318">
        <v>85.718528717955465</v>
      </c>
      <c r="K239" s="3">
        <v>11.321879770578169</v>
      </c>
      <c r="L239" s="3">
        <v>12.164272761586778</v>
      </c>
      <c r="M239" s="318">
        <v>23.486152532164947</v>
      </c>
      <c r="N239" s="3">
        <v>6.4109785402144555</v>
      </c>
      <c r="O239" s="3">
        <v>42.956470749713397</v>
      </c>
      <c r="P239" s="3">
        <v>8.2096382230021536</v>
      </c>
      <c r="Q239" s="3">
        <v>7.8169373310175807</v>
      </c>
      <c r="R239" s="3">
        <v>29.046588751551329</v>
      </c>
      <c r="S239" s="3">
        <v>20.944067136300816</v>
      </c>
      <c r="T239" s="3">
        <v>35.075060619402848</v>
      </c>
      <c r="U239" s="3">
        <v>8.7008639152772087</v>
      </c>
      <c r="V239" s="318">
        <v>159.16060526647979</v>
      </c>
      <c r="W239" s="318">
        <v>268.36528651660018</v>
      </c>
      <c r="X239" s="3">
        <v>25.048680829988257</v>
      </c>
      <c r="Y239" s="318">
        <v>293.41396734658844</v>
      </c>
    </row>
    <row r="240" spans="1:25" x14ac:dyDescent="0.2">
      <c r="A240" s="314">
        <v>2016</v>
      </c>
      <c r="B240" s="5" t="s">
        <v>466</v>
      </c>
      <c r="C240" s="5" t="s">
        <v>314</v>
      </c>
      <c r="D240" s="5" t="s">
        <v>490</v>
      </c>
      <c r="E240" s="5" t="s">
        <v>353</v>
      </c>
      <c r="F240" s="5" t="s">
        <v>317</v>
      </c>
      <c r="G240" s="5" t="s">
        <v>354</v>
      </c>
      <c r="H240" s="3">
        <v>77.398994791318515</v>
      </c>
      <c r="I240" s="3">
        <v>0.35244430119207937</v>
      </c>
      <c r="J240" s="318">
        <v>77.751439092510594</v>
      </c>
      <c r="K240" s="3">
        <v>5.1655479928839805</v>
      </c>
      <c r="L240" s="3">
        <v>12.807373719470529</v>
      </c>
      <c r="M240" s="318">
        <v>17.972921712354509</v>
      </c>
      <c r="N240" s="3">
        <v>6.1337586379628553</v>
      </c>
      <c r="O240" s="3">
        <v>27.774277283327429</v>
      </c>
      <c r="P240" s="3">
        <v>5.6290546199680511</v>
      </c>
      <c r="Q240" s="3">
        <v>5.9030361607390631</v>
      </c>
      <c r="R240" s="3">
        <v>17.77230924071932</v>
      </c>
      <c r="S240" s="3">
        <v>15.322678807121319</v>
      </c>
      <c r="T240" s="3">
        <v>20.142547906862536</v>
      </c>
      <c r="U240" s="3">
        <v>5.8906561768155274</v>
      </c>
      <c r="V240" s="318">
        <v>104.5683188335161</v>
      </c>
      <c r="W240" s="318">
        <v>200.2926796383812</v>
      </c>
      <c r="X240" s="3">
        <v>18.694919413634963</v>
      </c>
      <c r="Y240" s="318">
        <v>218.98759905201615</v>
      </c>
    </row>
    <row r="241" spans="1:25" x14ac:dyDescent="0.2">
      <c r="A241" s="314">
        <v>2016</v>
      </c>
      <c r="B241" s="5" t="s">
        <v>466</v>
      </c>
      <c r="C241" s="5" t="s">
        <v>314</v>
      </c>
      <c r="D241" s="5" t="s">
        <v>490</v>
      </c>
      <c r="E241" s="5" t="s">
        <v>355</v>
      </c>
      <c r="F241" s="5" t="s">
        <v>317</v>
      </c>
      <c r="G241" s="5" t="s">
        <v>356</v>
      </c>
      <c r="H241" s="3">
        <v>35.842783020363306</v>
      </c>
      <c r="I241" s="3">
        <v>0</v>
      </c>
      <c r="J241" s="318">
        <v>35.842783020363306</v>
      </c>
      <c r="K241" s="3">
        <v>1.2254330718972308</v>
      </c>
      <c r="L241" s="3">
        <v>6.5985763246409332</v>
      </c>
      <c r="M241" s="318">
        <v>7.8240093965381643</v>
      </c>
      <c r="N241" s="3">
        <v>2.0506753526012398</v>
      </c>
      <c r="O241" s="3">
        <v>10.779013318089113</v>
      </c>
      <c r="P241" s="3">
        <v>2.1708429099468476</v>
      </c>
      <c r="Q241" s="3">
        <v>1.6402760077044167</v>
      </c>
      <c r="R241" s="3">
        <v>4.7426162546347888</v>
      </c>
      <c r="S241" s="3">
        <v>6.6101615373650535</v>
      </c>
      <c r="T241" s="3">
        <v>17.124814785607736</v>
      </c>
      <c r="U241" s="3">
        <v>1.6149128303171467</v>
      </c>
      <c r="V241" s="318">
        <v>46.733312996266342</v>
      </c>
      <c r="W241" s="318">
        <v>90.400105413167807</v>
      </c>
      <c r="X241" s="3">
        <v>8.4377656174680613</v>
      </c>
      <c r="Y241" s="318">
        <v>98.837871030635867</v>
      </c>
    </row>
    <row r="242" spans="1:25" x14ac:dyDescent="0.2">
      <c r="A242" s="314">
        <v>2016</v>
      </c>
      <c r="B242" s="5" t="s">
        <v>466</v>
      </c>
      <c r="C242" s="5" t="s">
        <v>314</v>
      </c>
      <c r="D242" s="5" t="s">
        <v>487</v>
      </c>
      <c r="E242" s="5" t="s">
        <v>357</v>
      </c>
      <c r="F242" s="5" t="s">
        <v>317</v>
      </c>
      <c r="G242" s="5" t="s">
        <v>358</v>
      </c>
      <c r="H242" s="3">
        <v>28.87981035040761</v>
      </c>
      <c r="I242" s="3">
        <v>3.1112822180367314</v>
      </c>
      <c r="J242" s="318">
        <v>31.991092568444341</v>
      </c>
      <c r="K242" s="3">
        <v>3.6113786109837029</v>
      </c>
      <c r="L242" s="3">
        <v>5.0087513944528599</v>
      </c>
      <c r="M242" s="318">
        <v>8.6201300054365628</v>
      </c>
      <c r="N242" s="3">
        <v>2.4750585330025343</v>
      </c>
      <c r="O242" s="3">
        <v>13.841671149587068</v>
      </c>
      <c r="P242" s="3">
        <v>3.6698320231432913</v>
      </c>
      <c r="Q242" s="3">
        <v>1.329950710225678</v>
      </c>
      <c r="R242" s="3">
        <v>5.5109763635585827</v>
      </c>
      <c r="S242" s="3">
        <v>8.7994500568164913</v>
      </c>
      <c r="T242" s="3">
        <v>31.340564573444809</v>
      </c>
      <c r="U242" s="3">
        <v>2.2234705713014886</v>
      </c>
      <c r="V242" s="318">
        <v>69.190973981079949</v>
      </c>
      <c r="W242" s="318">
        <v>109.80219655496086</v>
      </c>
      <c r="X242" s="3">
        <v>10.2487181246026</v>
      </c>
      <c r="Y242" s="318">
        <v>120.05091467956346</v>
      </c>
    </row>
    <row r="243" spans="1:25" x14ac:dyDescent="0.2">
      <c r="A243" s="314">
        <v>2016</v>
      </c>
      <c r="B243" s="5" t="s">
        <v>466</v>
      </c>
      <c r="C243" s="5" t="s">
        <v>314</v>
      </c>
      <c r="D243" s="5" t="s">
        <v>489</v>
      </c>
      <c r="E243" s="5" t="s">
        <v>359</v>
      </c>
      <c r="F243" s="5" t="s">
        <v>317</v>
      </c>
      <c r="G243" s="5" t="s">
        <v>360</v>
      </c>
      <c r="H243" s="3">
        <v>125.18996254637851</v>
      </c>
      <c r="I243" s="3">
        <v>9.8009214208730864</v>
      </c>
      <c r="J243" s="318">
        <v>134.99088396725159</v>
      </c>
      <c r="K243" s="3">
        <v>22.350903048283531</v>
      </c>
      <c r="L243" s="3">
        <v>14.865866810655266</v>
      </c>
      <c r="M243" s="318">
        <v>37.216769858938797</v>
      </c>
      <c r="N243" s="3">
        <v>10.002520793926612</v>
      </c>
      <c r="O243" s="3">
        <v>53.115308544863595</v>
      </c>
      <c r="P243" s="3">
        <v>12.423063881664579</v>
      </c>
      <c r="Q243" s="3">
        <v>12.098786308124938</v>
      </c>
      <c r="R243" s="3">
        <v>25.360663116146942</v>
      </c>
      <c r="S243" s="3">
        <v>29.673304025129177</v>
      </c>
      <c r="T243" s="3">
        <v>40.118860176698924</v>
      </c>
      <c r="U243" s="3">
        <v>11.285089816675345</v>
      </c>
      <c r="V243" s="318">
        <v>194.07759666323011</v>
      </c>
      <c r="W243" s="318">
        <v>366.28525048942049</v>
      </c>
      <c r="X243" s="3">
        <v>34.18833505381204</v>
      </c>
      <c r="Y243" s="318">
        <v>400.4735855432325</v>
      </c>
    </row>
    <row r="244" spans="1:25" x14ac:dyDescent="0.2">
      <c r="A244" s="314">
        <v>2016</v>
      </c>
      <c r="B244" s="5" t="s">
        <v>466</v>
      </c>
      <c r="C244" s="5" t="s">
        <v>314</v>
      </c>
      <c r="D244" s="5" t="s">
        <v>490</v>
      </c>
      <c r="E244" s="5" t="s">
        <v>361</v>
      </c>
      <c r="F244" s="5" t="s">
        <v>317</v>
      </c>
      <c r="G244" s="5" t="s">
        <v>362</v>
      </c>
      <c r="H244" s="3">
        <v>34.177654292634301</v>
      </c>
      <c r="I244" s="3">
        <v>14.786936136096497</v>
      </c>
      <c r="J244" s="318">
        <v>48.964590428730801</v>
      </c>
      <c r="K244" s="3">
        <v>1.9091974878065421</v>
      </c>
      <c r="L244" s="3">
        <v>6.3590199225055333</v>
      </c>
      <c r="M244" s="318">
        <v>8.2682174103120758</v>
      </c>
      <c r="N244" s="3">
        <v>1.6549067282840266</v>
      </c>
      <c r="O244" s="3">
        <v>8.4667965471558766</v>
      </c>
      <c r="P244" s="3">
        <v>2.2935685275329472</v>
      </c>
      <c r="Q244" s="3">
        <v>1.6204119984956842</v>
      </c>
      <c r="R244" s="3">
        <v>6.9127765683831797</v>
      </c>
      <c r="S244" s="3">
        <v>8.665863855255143</v>
      </c>
      <c r="T244" s="3">
        <v>19.444824009626757</v>
      </c>
      <c r="U244" s="3">
        <v>2.2811177315215474</v>
      </c>
      <c r="V244" s="318">
        <v>51.34026596625516</v>
      </c>
      <c r="W244" s="318">
        <v>108.57307380529804</v>
      </c>
      <c r="X244" s="3">
        <v>10.133994257530183</v>
      </c>
      <c r="Y244" s="318">
        <v>118.70706806282823</v>
      </c>
    </row>
    <row r="245" spans="1:25" x14ac:dyDescent="0.2">
      <c r="A245" s="314">
        <v>2016</v>
      </c>
      <c r="B245" s="5" t="s">
        <v>466</v>
      </c>
      <c r="C245" s="5" t="s">
        <v>314</v>
      </c>
      <c r="D245" s="5" t="s">
        <v>487</v>
      </c>
      <c r="E245" s="5" t="s">
        <v>363</v>
      </c>
      <c r="F245" s="5" t="s">
        <v>317</v>
      </c>
      <c r="G245" s="5" t="s">
        <v>364</v>
      </c>
      <c r="H245" s="3">
        <v>38.386572138793412</v>
      </c>
      <c r="I245" s="3">
        <v>1.384484790192771</v>
      </c>
      <c r="J245" s="318">
        <v>39.771056928986184</v>
      </c>
      <c r="K245" s="3">
        <v>4.8438097052547837</v>
      </c>
      <c r="L245" s="3">
        <v>8.8522413850832713</v>
      </c>
      <c r="M245" s="318">
        <v>13.696051090338056</v>
      </c>
      <c r="N245" s="3">
        <v>2.3435060094487334</v>
      </c>
      <c r="O245" s="3">
        <v>8.0802830381876714</v>
      </c>
      <c r="P245" s="3">
        <v>1.3451612137189772</v>
      </c>
      <c r="Q245" s="3">
        <v>0.9920413056133881</v>
      </c>
      <c r="R245" s="3">
        <v>4.3016640798340191</v>
      </c>
      <c r="S245" s="3">
        <v>13.221585510959317</v>
      </c>
      <c r="T245" s="3">
        <v>65.291321306839137</v>
      </c>
      <c r="U245" s="3">
        <v>1.2314358540431423</v>
      </c>
      <c r="V245" s="318">
        <v>96.806998318644375</v>
      </c>
      <c r="W245" s="318">
        <v>150.27410633796862</v>
      </c>
      <c r="X245" s="3">
        <v>14.026285498883448</v>
      </c>
      <c r="Y245" s="318">
        <v>164.30039183685207</v>
      </c>
    </row>
    <row r="246" spans="1:25" x14ac:dyDescent="0.2">
      <c r="A246" s="314">
        <v>2016</v>
      </c>
      <c r="B246" s="5" t="s">
        <v>466</v>
      </c>
      <c r="C246" s="5" t="s">
        <v>365</v>
      </c>
      <c r="D246" s="5" t="s">
        <v>491</v>
      </c>
      <c r="E246" s="5" t="s">
        <v>367</v>
      </c>
      <c r="F246" s="5" t="s">
        <v>368</v>
      </c>
      <c r="G246" s="5" t="s">
        <v>370</v>
      </c>
      <c r="H246" s="3">
        <v>553.10672589784463</v>
      </c>
      <c r="I246" s="3">
        <v>1.1275744407893535</v>
      </c>
      <c r="J246" s="318">
        <v>554.23430033863394</v>
      </c>
      <c r="K246" s="3">
        <v>75.366391752759995</v>
      </c>
      <c r="L246" s="3">
        <v>146.47704688160096</v>
      </c>
      <c r="M246" s="318">
        <v>221.84343863436095</v>
      </c>
      <c r="N246" s="3">
        <v>72.708053812461344</v>
      </c>
      <c r="O246" s="3">
        <v>537.85397614230988</v>
      </c>
      <c r="P246" s="3">
        <v>55.942494059573917</v>
      </c>
      <c r="Q246" s="3">
        <v>57.873391923283158</v>
      </c>
      <c r="R246" s="3">
        <v>115.00304359277268</v>
      </c>
      <c r="S246" s="3">
        <v>158.71995586400649</v>
      </c>
      <c r="T246" s="3">
        <v>163.05869895669258</v>
      </c>
      <c r="U246" s="3">
        <v>35.209296427532749</v>
      </c>
      <c r="V246" s="318">
        <v>1196.3689107786329</v>
      </c>
      <c r="W246" s="318">
        <v>1972.4466497516278</v>
      </c>
      <c r="X246" s="3">
        <v>184.10423801497137</v>
      </c>
      <c r="Y246" s="318">
        <v>2156.5508877665993</v>
      </c>
    </row>
    <row r="247" spans="1:25" x14ac:dyDescent="0.2">
      <c r="A247" s="314">
        <v>2016</v>
      </c>
      <c r="B247" s="5" t="s">
        <v>466</v>
      </c>
      <c r="C247" s="5" t="s">
        <v>365</v>
      </c>
      <c r="D247" s="5" t="s">
        <v>492</v>
      </c>
      <c r="E247" s="5" t="s">
        <v>371</v>
      </c>
      <c r="F247" s="5" t="s">
        <v>368</v>
      </c>
      <c r="G247" s="5" t="s">
        <v>372</v>
      </c>
      <c r="H247" s="3">
        <v>54.479194467547657</v>
      </c>
      <c r="I247" s="3">
        <v>0</v>
      </c>
      <c r="J247" s="318">
        <v>54.479194467547657</v>
      </c>
      <c r="K247" s="3">
        <v>1.605937456156993</v>
      </c>
      <c r="L247" s="3">
        <v>21.020383469608831</v>
      </c>
      <c r="M247" s="318">
        <v>22.626320925765825</v>
      </c>
      <c r="N247" s="3">
        <v>8.0915269498294844</v>
      </c>
      <c r="O247" s="3">
        <v>30.451845241869687</v>
      </c>
      <c r="P247" s="3">
        <v>15.048424849840645</v>
      </c>
      <c r="Q247" s="3">
        <v>7.2656614176780003</v>
      </c>
      <c r="R247" s="3">
        <v>13.858614564679602</v>
      </c>
      <c r="S247" s="3">
        <v>24.105128835420835</v>
      </c>
      <c r="T247" s="3">
        <v>73.766450482632976</v>
      </c>
      <c r="U247" s="3">
        <v>8.534342272460842</v>
      </c>
      <c r="V247" s="318">
        <v>181.12199461441207</v>
      </c>
      <c r="W247" s="318">
        <v>258.22751000772553</v>
      </c>
      <c r="X247" s="3">
        <v>24.102440981337615</v>
      </c>
      <c r="Y247" s="318">
        <v>282.32995098906315</v>
      </c>
    </row>
    <row r="248" spans="1:25" x14ac:dyDescent="0.2">
      <c r="A248" s="314">
        <v>2016</v>
      </c>
      <c r="B248" s="5" t="s">
        <v>466</v>
      </c>
      <c r="C248" s="5" t="s">
        <v>365</v>
      </c>
      <c r="D248" s="5" t="s">
        <v>491</v>
      </c>
      <c r="E248" s="5" t="s">
        <v>373</v>
      </c>
      <c r="F248" s="5" t="s">
        <v>368</v>
      </c>
      <c r="G248" s="5" t="s">
        <v>374</v>
      </c>
      <c r="H248" s="3">
        <v>705.03036805192789</v>
      </c>
      <c r="I248" s="3">
        <v>0.26013991953848659</v>
      </c>
      <c r="J248" s="318">
        <v>705.29050797146635</v>
      </c>
      <c r="K248" s="3">
        <v>28.828916646578264</v>
      </c>
      <c r="L248" s="3">
        <v>69.805559045865394</v>
      </c>
      <c r="M248" s="318">
        <v>98.634475692443658</v>
      </c>
      <c r="N248" s="3">
        <v>23.334146476011199</v>
      </c>
      <c r="O248" s="3">
        <v>125.72152826001737</v>
      </c>
      <c r="P248" s="3">
        <v>16.597455787755028</v>
      </c>
      <c r="Q248" s="3">
        <v>10.486024243555825</v>
      </c>
      <c r="R248" s="3">
        <v>23.500494754303109</v>
      </c>
      <c r="S248" s="3">
        <v>52.228147051396625</v>
      </c>
      <c r="T248" s="3">
        <v>82.25930471892049</v>
      </c>
      <c r="U248" s="3">
        <v>11.337043860804124</v>
      </c>
      <c r="V248" s="318">
        <v>345.46414515276371</v>
      </c>
      <c r="W248" s="318">
        <v>1149.3891288166737</v>
      </c>
      <c r="X248" s="3">
        <v>107.28168985971371</v>
      </c>
      <c r="Y248" s="318">
        <v>1256.6708186763874</v>
      </c>
    </row>
    <row r="249" spans="1:25" x14ac:dyDescent="0.2">
      <c r="A249" s="314">
        <v>2016</v>
      </c>
      <c r="B249" s="5" t="s">
        <v>466</v>
      </c>
      <c r="C249" s="5" t="s">
        <v>365</v>
      </c>
      <c r="D249" s="5" t="s">
        <v>491</v>
      </c>
      <c r="E249" s="5" t="s">
        <v>375</v>
      </c>
      <c r="F249" s="5" t="s">
        <v>368</v>
      </c>
      <c r="G249" s="5" t="s">
        <v>376</v>
      </c>
      <c r="H249" s="3">
        <v>338.91163730837803</v>
      </c>
      <c r="I249" s="3">
        <v>0</v>
      </c>
      <c r="J249" s="318">
        <v>338.91163730837803</v>
      </c>
      <c r="K249" s="3">
        <v>26.447166740717538</v>
      </c>
      <c r="L249" s="3">
        <v>45.656969645710547</v>
      </c>
      <c r="M249" s="318">
        <v>72.104136386428081</v>
      </c>
      <c r="N249" s="3">
        <v>27.663794261446853</v>
      </c>
      <c r="O249" s="3">
        <v>181.00632274585956</v>
      </c>
      <c r="P249" s="3">
        <v>19.55190945012022</v>
      </c>
      <c r="Q249" s="3">
        <v>23.378858446676073</v>
      </c>
      <c r="R249" s="3">
        <v>41.140418539052689</v>
      </c>
      <c r="S249" s="3">
        <v>57.790749816587571</v>
      </c>
      <c r="T249" s="3">
        <v>37.02258607480077</v>
      </c>
      <c r="U249" s="3">
        <v>16.74347743046641</v>
      </c>
      <c r="V249" s="318">
        <v>404.29811676501009</v>
      </c>
      <c r="W249" s="318">
        <v>815.31389045981621</v>
      </c>
      <c r="X249" s="3">
        <v>76.099773124422597</v>
      </c>
      <c r="Y249" s="318">
        <v>891.41366358423875</v>
      </c>
    </row>
    <row r="250" spans="1:25" x14ac:dyDescent="0.2">
      <c r="A250" s="314">
        <v>2016</v>
      </c>
      <c r="B250" s="5" t="s">
        <v>466</v>
      </c>
      <c r="C250" s="5" t="s">
        <v>365</v>
      </c>
      <c r="D250" s="5" t="s">
        <v>493</v>
      </c>
      <c r="E250" s="5" t="s">
        <v>377</v>
      </c>
      <c r="F250" s="5" t="s">
        <v>368</v>
      </c>
      <c r="G250" s="5" t="s">
        <v>378</v>
      </c>
      <c r="H250" s="3">
        <v>1.950084783863747</v>
      </c>
      <c r="I250" s="3">
        <v>0</v>
      </c>
      <c r="J250" s="318">
        <v>1.950084783863747</v>
      </c>
      <c r="K250" s="3">
        <v>0.40423248991398342</v>
      </c>
      <c r="L250" s="3">
        <v>2.5833979748179465</v>
      </c>
      <c r="M250" s="318">
        <v>2.9876304647319301</v>
      </c>
      <c r="N250" s="3">
        <v>0.42461109669952019</v>
      </c>
      <c r="O250" s="3">
        <v>1.0214445631346307</v>
      </c>
      <c r="P250" s="3">
        <v>7.4657067388649736</v>
      </c>
      <c r="Q250" s="3">
        <v>0.25108726073941967</v>
      </c>
      <c r="R250" s="3">
        <v>0.70376839196803176</v>
      </c>
      <c r="S250" s="3">
        <v>2.9687324317560706</v>
      </c>
      <c r="T250" s="3">
        <v>17.384000402520385</v>
      </c>
      <c r="U250" s="3">
        <v>0.27126930922086701</v>
      </c>
      <c r="V250" s="318">
        <v>30.490620194903897</v>
      </c>
      <c r="W250" s="318">
        <v>35.42833544349957</v>
      </c>
      <c r="X250" s="3">
        <v>3.3068102003091511</v>
      </c>
      <c r="Y250" s="318">
        <v>38.735145643808721</v>
      </c>
    </row>
    <row r="251" spans="1:25" x14ac:dyDescent="0.2">
      <c r="A251" s="314">
        <v>2016</v>
      </c>
      <c r="B251" s="5" t="s">
        <v>466</v>
      </c>
      <c r="C251" s="5" t="s">
        <v>365</v>
      </c>
      <c r="D251" s="5" t="s">
        <v>491</v>
      </c>
      <c r="E251" s="5" t="s">
        <v>379</v>
      </c>
      <c r="F251" s="5" t="s">
        <v>368</v>
      </c>
      <c r="G251" s="5" t="s">
        <v>380</v>
      </c>
      <c r="H251" s="3">
        <v>37.665650904182137</v>
      </c>
      <c r="I251" s="3">
        <v>1.6760254448460929</v>
      </c>
      <c r="J251" s="318">
        <v>39.341676349028226</v>
      </c>
      <c r="K251" s="3">
        <v>1.6312646492027085</v>
      </c>
      <c r="L251" s="3">
        <v>10.693727214695627</v>
      </c>
      <c r="M251" s="318">
        <v>12.324991863898337</v>
      </c>
      <c r="N251" s="3">
        <v>4.2155299693842547</v>
      </c>
      <c r="O251" s="3">
        <v>13.152518757309087</v>
      </c>
      <c r="P251" s="3">
        <v>3.1564060666877136</v>
      </c>
      <c r="Q251" s="3">
        <v>2.1708897902228346</v>
      </c>
      <c r="R251" s="3">
        <v>4.5594933966035747</v>
      </c>
      <c r="S251" s="3">
        <v>11.88383967473824</v>
      </c>
      <c r="T251" s="3">
        <v>53.275406409071273</v>
      </c>
      <c r="U251" s="3">
        <v>1.5208302637059221</v>
      </c>
      <c r="V251" s="318">
        <v>93.934914327722893</v>
      </c>
      <c r="W251" s="318">
        <v>145.60158254064945</v>
      </c>
      <c r="X251" s="3">
        <v>13.590161442792711</v>
      </c>
      <c r="Y251" s="318">
        <v>159.19174398344217</v>
      </c>
    </row>
    <row r="252" spans="1:25" x14ac:dyDescent="0.2">
      <c r="A252" s="314">
        <v>2016</v>
      </c>
      <c r="B252" s="5" t="s">
        <v>466</v>
      </c>
      <c r="C252" s="5" t="s">
        <v>365</v>
      </c>
      <c r="D252" s="5" t="s">
        <v>492</v>
      </c>
      <c r="E252" s="5" t="s">
        <v>381</v>
      </c>
      <c r="F252" s="5" t="s">
        <v>368</v>
      </c>
      <c r="G252" s="5" t="s">
        <v>382</v>
      </c>
      <c r="H252" s="3">
        <v>85.901398164535209</v>
      </c>
      <c r="I252" s="3">
        <v>0</v>
      </c>
      <c r="J252" s="318">
        <v>85.901398164535209</v>
      </c>
      <c r="K252" s="3">
        <v>2.2286924322886241</v>
      </c>
      <c r="L252" s="3">
        <v>34.688782266516725</v>
      </c>
      <c r="M252" s="318">
        <v>36.91747469880535</v>
      </c>
      <c r="N252" s="3">
        <v>28.304217122247543</v>
      </c>
      <c r="O252" s="3">
        <v>101.10371746234628</v>
      </c>
      <c r="P252" s="3">
        <v>15.790332980934188</v>
      </c>
      <c r="Q252" s="3">
        <v>12.542831754543203</v>
      </c>
      <c r="R252" s="3">
        <v>25.27324928533714</v>
      </c>
      <c r="S252" s="3">
        <v>39.120681772682893</v>
      </c>
      <c r="T252" s="3">
        <v>63.214077450489967</v>
      </c>
      <c r="U252" s="3">
        <v>12.557665629505957</v>
      </c>
      <c r="V252" s="318">
        <v>297.90677345808717</v>
      </c>
      <c r="W252" s="318">
        <v>420.72564632142769</v>
      </c>
      <c r="X252" s="3">
        <v>39.269693068310012</v>
      </c>
      <c r="Y252" s="318">
        <v>459.99533938973769</v>
      </c>
    </row>
    <row r="253" spans="1:25" x14ac:dyDescent="0.2">
      <c r="A253" s="314">
        <v>2016</v>
      </c>
      <c r="B253" s="5" t="s">
        <v>466</v>
      </c>
      <c r="C253" s="5" t="s">
        <v>365</v>
      </c>
      <c r="D253" s="5" t="s">
        <v>492</v>
      </c>
      <c r="E253" s="5" t="s">
        <v>383</v>
      </c>
      <c r="F253" s="5" t="s">
        <v>368</v>
      </c>
      <c r="G253" s="5" t="s">
        <v>384</v>
      </c>
      <c r="H253" s="3">
        <v>56.854423725161929</v>
      </c>
      <c r="I253" s="3">
        <v>0</v>
      </c>
      <c r="J253" s="318">
        <v>56.854423725161929</v>
      </c>
      <c r="K253" s="3">
        <v>1.2053897614851479</v>
      </c>
      <c r="L253" s="3">
        <v>14.811952599402424</v>
      </c>
      <c r="M253" s="318">
        <v>16.017342360887572</v>
      </c>
      <c r="N253" s="3">
        <v>6.2734668949782684</v>
      </c>
      <c r="O253" s="3">
        <v>21.671785975622488</v>
      </c>
      <c r="P253" s="3">
        <v>5.574598095737767</v>
      </c>
      <c r="Q253" s="3">
        <v>3.946800875552245</v>
      </c>
      <c r="R253" s="3">
        <v>4.3892919823415006</v>
      </c>
      <c r="S253" s="3">
        <v>15.129306817165933</v>
      </c>
      <c r="T253" s="3">
        <v>53.850828723487197</v>
      </c>
      <c r="U253" s="3">
        <v>3.055860666823186</v>
      </c>
      <c r="V253" s="318">
        <v>113.89194003170857</v>
      </c>
      <c r="W253" s="318">
        <v>186.76370611775806</v>
      </c>
      <c r="X253" s="3">
        <v>17.432151996603594</v>
      </c>
      <c r="Y253" s="318">
        <v>204.19585811436167</v>
      </c>
    </row>
    <row r="254" spans="1:25" x14ac:dyDescent="0.2">
      <c r="A254" s="314">
        <v>2016</v>
      </c>
      <c r="B254" s="5" t="s">
        <v>466</v>
      </c>
      <c r="C254" s="5" t="s">
        <v>365</v>
      </c>
      <c r="D254" s="5" t="s">
        <v>492</v>
      </c>
      <c r="E254" s="5" t="s">
        <v>385</v>
      </c>
      <c r="F254" s="5" t="s">
        <v>368</v>
      </c>
      <c r="G254" s="5" t="s">
        <v>386</v>
      </c>
      <c r="H254" s="3">
        <v>61.092115046649859</v>
      </c>
      <c r="I254" s="3">
        <v>0</v>
      </c>
      <c r="J254" s="318">
        <v>61.092115046649859</v>
      </c>
      <c r="K254" s="3">
        <v>1.9916372029683018</v>
      </c>
      <c r="L254" s="3">
        <v>20.598332799836445</v>
      </c>
      <c r="M254" s="318">
        <v>22.589970002804748</v>
      </c>
      <c r="N254" s="3">
        <v>4.2625353312769381</v>
      </c>
      <c r="O254" s="3">
        <v>14.813098102169384</v>
      </c>
      <c r="P254" s="3">
        <v>3.8900741303889927</v>
      </c>
      <c r="Q254" s="3">
        <v>2.4340589043809251</v>
      </c>
      <c r="R254" s="3">
        <v>3.6284641279383676</v>
      </c>
      <c r="S254" s="3">
        <v>23.844163498167653</v>
      </c>
      <c r="T254" s="3">
        <v>125.95627141299458</v>
      </c>
      <c r="U254" s="3">
        <v>1.7912255391464931</v>
      </c>
      <c r="V254" s="318">
        <v>180.61989104646332</v>
      </c>
      <c r="W254" s="318">
        <v>264.30197609591789</v>
      </c>
      <c r="X254" s="3">
        <v>24.669419535944026</v>
      </c>
      <c r="Y254" s="318">
        <v>288.97139563186192</v>
      </c>
    </row>
    <row r="255" spans="1:25" x14ac:dyDescent="0.2">
      <c r="A255" s="314">
        <v>2016</v>
      </c>
      <c r="B255" s="5" t="s">
        <v>466</v>
      </c>
      <c r="C255" s="5" t="s">
        <v>365</v>
      </c>
      <c r="D255" s="5" t="s">
        <v>491</v>
      </c>
      <c r="E255" s="5" t="s">
        <v>387</v>
      </c>
      <c r="F255" s="5" t="s">
        <v>368</v>
      </c>
      <c r="G255" s="5" t="s">
        <v>494</v>
      </c>
      <c r="H255" s="3">
        <v>846.11285181990797</v>
      </c>
      <c r="I255" s="3">
        <v>0.52300136148315912</v>
      </c>
      <c r="J255" s="318">
        <v>846.6358531813911</v>
      </c>
      <c r="K255" s="3">
        <v>26.590430057046369</v>
      </c>
      <c r="L255" s="3">
        <v>159.1794961706326</v>
      </c>
      <c r="M255" s="318">
        <v>185.76992622767898</v>
      </c>
      <c r="N255" s="3">
        <v>89.098424852256116</v>
      </c>
      <c r="O255" s="3">
        <v>402.32697419334426</v>
      </c>
      <c r="P255" s="3">
        <v>56.065604755157551</v>
      </c>
      <c r="Q255" s="3">
        <v>61.487775137844537</v>
      </c>
      <c r="R255" s="3">
        <v>110.96519951361245</v>
      </c>
      <c r="S255" s="3">
        <v>177.06282889333056</v>
      </c>
      <c r="T255" s="3">
        <v>146.36905684336048</v>
      </c>
      <c r="U255" s="3">
        <v>51.651648376885241</v>
      </c>
      <c r="V255" s="318">
        <v>1095.0275125657913</v>
      </c>
      <c r="W255" s="318">
        <v>2127.4332919748613</v>
      </c>
      <c r="X255" s="3">
        <v>198.57038221846628</v>
      </c>
      <c r="Y255" s="318">
        <v>2326.0036741933277</v>
      </c>
    </row>
    <row r="256" spans="1:25" x14ac:dyDescent="0.2">
      <c r="A256" s="314">
        <v>2016</v>
      </c>
      <c r="B256" s="5" t="s">
        <v>466</v>
      </c>
      <c r="C256" s="5" t="s">
        <v>365</v>
      </c>
      <c r="D256" s="5" t="s">
        <v>493</v>
      </c>
      <c r="E256" s="5" t="s">
        <v>389</v>
      </c>
      <c r="F256" s="5" t="s">
        <v>368</v>
      </c>
      <c r="G256" s="5" t="s">
        <v>390</v>
      </c>
      <c r="H256" s="3">
        <v>9.9217153258306663</v>
      </c>
      <c r="I256" s="3">
        <v>0</v>
      </c>
      <c r="J256" s="318">
        <v>9.9217153258306663</v>
      </c>
      <c r="K256" s="3">
        <v>0</v>
      </c>
      <c r="L256" s="3">
        <v>4.6843927010920074</v>
      </c>
      <c r="M256" s="318">
        <v>4.6843927010920074</v>
      </c>
      <c r="N256" s="3">
        <v>1.4507383012830901</v>
      </c>
      <c r="O256" s="3">
        <v>3.6550701684635789</v>
      </c>
      <c r="P256" s="3">
        <v>1.5242956681432565</v>
      </c>
      <c r="Q256" s="3">
        <v>0.84639700707322629</v>
      </c>
      <c r="R256" s="3">
        <v>2.0896540303496338</v>
      </c>
      <c r="S256" s="3">
        <v>4.8781207522452998</v>
      </c>
      <c r="T256" s="3">
        <v>25.460498906215818</v>
      </c>
      <c r="U256" s="3">
        <v>1.0382347167544741</v>
      </c>
      <c r="V256" s="318">
        <v>40.943009550528373</v>
      </c>
      <c r="W256" s="318">
        <v>55.549117577451049</v>
      </c>
      <c r="X256" s="3">
        <v>5.1848438918682298</v>
      </c>
      <c r="Y256" s="318">
        <v>60.733961469319283</v>
      </c>
    </row>
    <row r="257" spans="1:25" x14ac:dyDescent="0.2">
      <c r="A257" s="312">
        <v>2017</v>
      </c>
      <c r="B257" s="309" t="s">
        <v>466</v>
      </c>
      <c r="C257" s="315"/>
      <c r="D257" s="315"/>
      <c r="E257" s="309"/>
      <c r="F257" s="315"/>
      <c r="G257" s="309" t="s">
        <v>467</v>
      </c>
      <c r="H257" s="313">
        <v>7477.7755717381633</v>
      </c>
      <c r="I257" s="313">
        <v>2429.8877957604377</v>
      </c>
      <c r="J257" s="318">
        <v>9907.6633674986006</v>
      </c>
      <c r="K257" s="313">
        <v>20388.204805777554</v>
      </c>
      <c r="L257" s="313">
        <v>9818.8839634708984</v>
      </c>
      <c r="M257" s="318">
        <v>30207.088769248454</v>
      </c>
      <c r="N257" s="313">
        <v>5841.1671182247392</v>
      </c>
      <c r="O257" s="313">
        <v>22796.859394362233</v>
      </c>
      <c r="P257" s="313">
        <v>3815.6558941986082</v>
      </c>
      <c r="Q257" s="313">
        <v>6223.6776517143671</v>
      </c>
      <c r="R257" s="313">
        <v>11552.363479898322</v>
      </c>
      <c r="S257" s="313">
        <v>11796.827845828344</v>
      </c>
      <c r="T257" s="313">
        <v>15165.331299964038</v>
      </c>
      <c r="U257" s="313">
        <v>3158.7534674958338</v>
      </c>
      <c r="V257" s="318">
        <v>80350.636151686471</v>
      </c>
      <c r="W257" s="318">
        <v>120465.38828843352</v>
      </c>
      <c r="X257" s="313">
        <v>11903.202365470674</v>
      </c>
      <c r="Y257" s="318">
        <v>132368.59065390422</v>
      </c>
    </row>
    <row r="258" spans="1:25" x14ac:dyDescent="0.2">
      <c r="A258" s="314">
        <v>2017</v>
      </c>
      <c r="B258" s="5" t="s">
        <v>466</v>
      </c>
      <c r="C258" s="5" t="s">
        <v>90</v>
      </c>
      <c r="D258" s="5" t="s">
        <v>468</v>
      </c>
      <c r="E258" s="5" t="s">
        <v>93</v>
      </c>
      <c r="F258" s="5" t="s">
        <v>94</v>
      </c>
      <c r="G258" s="5" t="s">
        <v>469</v>
      </c>
      <c r="H258" s="3">
        <v>139.32018297350132</v>
      </c>
      <c r="I258" s="3">
        <v>5.4196777492851993</v>
      </c>
      <c r="J258" s="318">
        <v>144.73986072278652</v>
      </c>
      <c r="K258" s="3">
        <v>6999.0953862436809</v>
      </c>
      <c r="L258" s="3">
        <v>5088.2608924125952</v>
      </c>
      <c r="M258" s="318">
        <v>12087.356278656276</v>
      </c>
      <c r="N258" s="3">
        <v>1959.9330653389566</v>
      </c>
      <c r="O258" s="3">
        <v>10588.077728166134</v>
      </c>
      <c r="P258" s="3">
        <v>1775.2660090516395</v>
      </c>
      <c r="Q258" s="3">
        <v>4521.9439388629571</v>
      </c>
      <c r="R258" s="3">
        <v>5727.0411788346564</v>
      </c>
      <c r="S258" s="3">
        <v>5561.0044404276932</v>
      </c>
      <c r="T258" s="3">
        <v>7523.5649166173116</v>
      </c>
      <c r="U258" s="3">
        <v>1505.0842940128614</v>
      </c>
      <c r="V258" s="318">
        <v>39161.915571312216</v>
      </c>
      <c r="W258" s="318">
        <v>51394.01171069128</v>
      </c>
      <c r="X258" s="3">
        <v>5078.2496985855405</v>
      </c>
      <c r="Y258" s="318">
        <v>56472.26140927682</v>
      </c>
    </row>
    <row r="259" spans="1:25" x14ac:dyDescent="0.2">
      <c r="A259" s="314">
        <v>2017</v>
      </c>
      <c r="B259" s="5" t="s">
        <v>466</v>
      </c>
      <c r="C259" s="5" t="s">
        <v>90</v>
      </c>
      <c r="D259" s="5" t="s">
        <v>470</v>
      </c>
      <c r="E259" s="5" t="s">
        <v>98</v>
      </c>
      <c r="F259" s="5" t="s">
        <v>94</v>
      </c>
      <c r="G259" s="5" t="s">
        <v>99</v>
      </c>
      <c r="H259" s="3">
        <v>97.563699840631529</v>
      </c>
      <c r="I259" s="3">
        <v>1.8410239505525254</v>
      </c>
      <c r="J259" s="318">
        <v>99.404723791184054</v>
      </c>
      <c r="K259" s="3">
        <v>298.88932444972193</v>
      </c>
      <c r="L259" s="3">
        <v>56.039887821185175</v>
      </c>
      <c r="M259" s="318">
        <v>354.9292122709071</v>
      </c>
      <c r="N259" s="3">
        <v>114.54431633178702</v>
      </c>
      <c r="O259" s="3">
        <v>87.467806669503489</v>
      </c>
      <c r="P259" s="3">
        <v>14.084237085188137</v>
      </c>
      <c r="Q259" s="3">
        <v>9.3566002835586204</v>
      </c>
      <c r="R259" s="3">
        <v>46.70442052984891</v>
      </c>
      <c r="S259" s="3">
        <v>50.245589867110766</v>
      </c>
      <c r="T259" s="3">
        <v>40.975289454504448</v>
      </c>
      <c r="U259" s="3">
        <v>12.554903145071972</v>
      </c>
      <c r="V259" s="318">
        <v>375.93316336657335</v>
      </c>
      <c r="W259" s="318">
        <v>830.26709942866455</v>
      </c>
      <c r="X259" s="3">
        <v>82.038811664550551</v>
      </c>
      <c r="Y259" s="318">
        <v>912.30591109321506</v>
      </c>
    </row>
    <row r="260" spans="1:25" x14ac:dyDescent="0.2">
      <c r="A260" s="314">
        <v>2017</v>
      </c>
      <c r="B260" s="5" t="s">
        <v>466</v>
      </c>
      <c r="C260" s="5" t="s">
        <v>90</v>
      </c>
      <c r="D260" s="5" t="s">
        <v>470</v>
      </c>
      <c r="E260" s="5" t="s">
        <v>101</v>
      </c>
      <c r="F260" s="5" t="s">
        <v>94</v>
      </c>
      <c r="G260" s="5" t="s">
        <v>102</v>
      </c>
      <c r="H260" s="3">
        <v>26.594805969500115</v>
      </c>
      <c r="I260" s="3">
        <v>0.45600626888268891</v>
      </c>
      <c r="J260" s="318">
        <v>27.050812238382804</v>
      </c>
      <c r="K260" s="3">
        <v>578.52217229561018</v>
      </c>
      <c r="L260" s="3">
        <v>472.71421476457465</v>
      </c>
      <c r="M260" s="318">
        <v>1051.2363870601848</v>
      </c>
      <c r="N260" s="3">
        <v>222.26852842679364</v>
      </c>
      <c r="O260" s="3">
        <v>1428.6717422945298</v>
      </c>
      <c r="P260" s="3">
        <v>136.52428411621926</v>
      </c>
      <c r="Q260" s="3">
        <v>181.68363970047503</v>
      </c>
      <c r="R260" s="3">
        <v>669.94514618470623</v>
      </c>
      <c r="S260" s="3">
        <v>532.36697061804216</v>
      </c>
      <c r="T260" s="3">
        <v>807.22001879869299</v>
      </c>
      <c r="U260" s="3">
        <v>196.34004179340278</v>
      </c>
      <c r="V260" s="318">
        <v>4175.020371932862</v>
      </c>
      <c r="W260" s="318">
        <v>5253.3075712314294</v>
      </c>
      <c r="X260" s="3">
        <v>519.08007766269623</v>
      </c>
      <c r="Y260" s="318">
        <v>5772.387648894126</v>
      </c>
    </row>
    <row r="261" spans="1:25" x14ac:dyDescent="0.2">
      <c r="A261" s="314">
        <v>2017</v>
      </c>
      <c r="B261" s="5" t="s">
        <v>466</v>
      </c>
      <c r="C261" s="5" t="s">
        <v>90</v>
      </c>
      <c r="D261" s="5" t="s">
        <v>471</v>
      </c>
      <c r="E261" s="5" t="s">
        <v>104</v>
      </c>
      <c r="F261" s="5" t="s">
        <v>94</v>
      </c>
      <c r="G261" s="5" t="s">
        <v>105</v>
      </c>
      <c r="H261" s="3">
        <v>57.15119044209527</v>
      </c>
      <c r="I261" s="3">
        <v>0</v>
      </c>
      <c r="J261" s="318">
        <v>57.15119044209527</v>
      </c>
      <c r="K261" s="3">
        <v>239.23467082226261</v>
      </c>
      <c r="L261" s="3">
        <v>59.057745362592641</v>
      </c>
      <c r="M261" s="318">
        <v>298.29241618485526</v>
      </c>
      <c r="N261" s="3">
        <v>28.454099448464785</v>
      </c>
      <c r="O261" s="3">
        <v>195.52928830529092</v>
      </c>
      <c r="P261" s="3">
        <v>135.06087260431474</v>
      </c>
      <c r="Q261" s="3">
        <v>26.00465255568092</v>
      </c>
      <c r="R261" s="3">
        <v>88.182056040551075</v>
      </c>
      <c r="S261" s="3">
        <v>70.909988819123626</v>
      </c>
      <c r="T261" s="3">
        <v>90.380535889941129</v>
      </c>
      <c r="U261" s="3">
        <v>18.452613037975183</v>
      </c>
      <c r="V261" s="318">
        <v>652.97410670134241</v>
      </c>
      <c r="W261" s="318">
        <v>1008.417713328293</v>
      </c>
      <c r="X261" s="3">
        <v>99.641899480137781</v>
      </c>
      <c r="Y261" s="318">
        <v>1108.0596128084308</v>
      </c>
    </row>
    <row r="262" spans="1:25" x14ac:dyDescent="0.2">
      <c r="A262" s="314">
        <v>2017</v>
      </c>
      <c r="B262" s="5" t="s">
        <v>466</v>
      </c>
      <c r="C262" s="5" t="s">
        <v>90</v>
      </c>
      <c r="D262" s="5" t="s">
        <v>470</v>
      </c>
      <c r="E262" s="5" t="s">
        <v>106</v>
      </c>
      <c r="F262" s="5" t="s">
        <v>94</v>
      </c>
      <c r="G262" s="5" t="s">
        <v>107</v>
      </c>
      <c r="H262" s="3">
        <v>7.6767371069120989</v>
      </c>
      <c r="I262" s="3">
        <v>4.2856780768187441E-2</v>
      </c>
      <c r="J262" s="318">
        <v>7.7195938876802863</v>
      </c>
      <c r="K262" s="3">
        <v>341.69219926308728</v>
      </c>
      <c r="L262" s="3">
        <v>129.61449361535904</v>
      </c>
      <c r="M262" s="318">
        <v>471.30669287844631</v>
      </c>
      <c r="N262" s="3">
        <v>41.967109045204062</v>
      </c>
      <c r="O262" s="3">
        <v>198.27867392281874</v>
      </c>
      <c r="P262" s="3">
        <v>44.898817367618349</v>
      </c>
      <c r="Q262" s="3">
        <v>24.739560084220585</v>
      </c>
      <c r="R262" s="3">
        <v>123.49871726885658</v>
      </c>
      <c r="S262" s="3">
        <v>88.220804748892675</v>
      </c>
      <c r="T262" s="3">
        <v>85.291228639302346</v>
      </c>
      <c r="U262" s="3">
        <v>25.843608560330019</v>
      </c>
      <c r="V262" s="318">
        <v>632.73851963724337</v>
      </c>
      <c r="W262" s="318">
        <v>1111.7648064033699</v>
      </c>
      <c r="X262" s="3">
        <v>109.85364063030421</v>
      </c>
      <c r="Y262" s="318">
        <v>1221.6184470336741</v>
      </c>
    </row>
    <row r="263" spans="1:25" x14ac:dyDescent="0.2">
      <c r="A263" s="314">
        <v>2017</v>
      </c>
      <c r="B263" s="5" t="s">
        <v>466</v>
      </c>
      <c r="C263" s="5" t="s">
        <v>90</v>
      </c>
      <c r="D263" s="5" t="s">
        <v>471</v>
      </c>
      <c r="E263" s="5" t="s">
        <v>109</v>
      </c>
      <c r="F263" s="5" t="s">
        <v>94</v>
      </c>
      <c r="G263" s="5" t="s">
        <v>110</v>
      </c>
      <c r="H263" s="3">
        <v>15.141618502247001</v>
      </c>
      <c r="I263" s="3">
        <v>0</v>
      </c>
      <c r="J263" s="318">
        <v>15.141618502247001</v>
      </c>
      <c r="K263" s="3">
        <v>2133.6819745305661</v>
      </c>
      <c r="L263" s="3">
        <v>608.1938066719531</v>
      </c>
      <c r="M263" s="318">
        <v>2741.8757812025192</v>
      </c>
      <c r="N263" s="3">
        <v>343.44204771601221</v>
      </c>
      <c r="O263" s="3">
        <v>1683.3126236140047</v>
      </c>
      <c r="P263" s="3">
        <v>306.03553928760874</v>
      </c>
      <c r="Q263" s="3">
        <v>308.8456677748834</v>
      </c>
      <c r="R263" s="3">
        <v>1181.1069722753098</v>
      </c>
      <c r="S263" s="3">
        <v>989.19751984724974</v>
      </c>
      <c r="T263" s="3">
        <v>796.07566919620092</v>
      </c>
      <c r="U263" s="3">
        <v>372.49091666950636</v>
      </c>
      <c r="V263" s="318">
        <v>5980.5069563807756</v>
      </c>
      <c r="W263" s="318">
        <v>8737.5243560855415</v>
      </c>
      <c r="X263" s="3">
        <v>863.35603994978362</v>
      </c>
      <c r="Y263" s="318">
        <v>9600.8803960353252</v>
      </c>
    </row>
    <row r="264" spans="1:25" x14ac:dyDescent="0.2">
      <c r="A264" s="314">
        <v>2017</v>
      </c>
      <c r="B264" s="5" t="s">
        <v>466</v>
      </c>
      <c r="C264" s="5" t="s">
        <v>90</v>
      </c>
      <c r="D264" s="5" t="s">
        <v>470</v>
      </c>
      <c r="E264" s="5" t="s">
        <v>112</v>
      </c>
      <c r="F264" s="5" t="s">
        <v>94</v>
      </c>
      <c r="G264" s="5" t="s">
        <v>113</v>
      </c>
      <c r="H264" s="3">
        <v>39.964037242174179</v>
      </c>
      <c r="I264" s="3">
        <v>5.3036480482242112</v>
      </c>
      <c r="J264" s="318">
        <v>45.26768529039839</v>
      </c>
      <c r="K264" s="3">
        <v>1115.9855237416</v>
      </c>
      <c r="L264" s="3">
        <v>129.63274081239183</v>
      </c>
      <c r="M264" s="318">
        <v>1245.6182645539918</v>
      </c>
      <c r="N264" s="3">
        <v>42.771240250438879</v>
      </c>
      <c r="O264" s="3">
        <v>168.83625726078012</v>
      </c>
      <c r="P264" s="3">
        <v>109.27572186263725</v>
      </c>
      <c r="Q264" s="3">
        <v>14.923402499463039</v>
      </c>
      <c r="R264" s="3">
        <v>62.233255494845459</v>
      </c>
      <c r="S264" s="3">
        <v>127.53912473664198</v>
      </c>
      <c r="T264" s="3">
        <v>67.867777803452071</v>
      </c>
      <c r="U264" s="3">
        <v>14.074500839842226</v>
      </c>
      <c r="V264" s="318">
        <v>607.52128074810116</v>
      </c>
      <c r="W264" s="318">
        <v>1898.4072305924915</v>
      </c>
      <c r="X264" s="3">
        <v>187.58189185187584</v>
      </c>
      <c r="Y264" s="318">
        <v>2085.9891224443672</v>
      </c>
    </row>
    <row r="265" spans="1:25" x14ac:dyDescent="0.2">
      <c r="A265" s="314">
        <v>2017</v>
      </c>
      <c r="B265" s="5" t="s">
        <v>466</v>
      </c>
      <c r="C265" s="5" t="s">
        <v>90</v>
      </c>
      <c r="D265" s="5" t="s">
        <v>471</v>
      </c>
      <c r="E265" s="5" t="s">
        <v>115</v>
      </c>
      <c r="F265" s="5" t="s">
        <v>94</v>
      </c>
      <c r="G265" s="5" t="s">
        <v>116</v>
      </c>
      <c r="H265" s="3">
        <v>0.12450799634365177</v>
      </c>
      <c r="I265" s="3">
        <v>0.16672129984136308</v>
      </c>
      <c r="J265" s="318">
        <v>0.29122929618501486</v>
      </c>
      <c r="K265" s="3">
        <v>2366.0278584321773</v>
      </c>
      <c r="L265" s="3">
        <v>498.02125806266349</v>
      </c>
      <c r="M265" s="318">
        <v>2864.0491164948407</v>
      </c>
      <c r="N265" s="3">
        <v>301.03558657717099</v>
      </c>
      <c r="O265" s="3">
        <v>1494.7552819907939</v>
      </c>
      <c r="P265" s="3">
        <v>132.49286322154038</v>
      </c>
      <c r="Q265" s="3">
        <v>246.70186524159547</v>
      </c>
      <c r="R265" s="3">
        <v>680.08162731838422</v>
      </c>
      <c r="S265" s="3">
        <v>758.88151599906712</v>
      </c>
      <c r="T265" s="3">
        <v>604.54795781931114</v>
      </c>
      <c r="U265" s="3">
        <v>146.3399820656773</v>
      </c>
      <c r="V265" s="318">
        <v>4364.8366802335404</v>
      </c>
      <c r="W265" s="318">
        <v>7229.1770260245657</v>
      </c>
      <c r="X265" s="3">
        <v>714.31602304347496</v>
      </c>
      <c r="Y265" s="318">
        <v>7943.4930490680408</v>
      </c>
    </row>
    <row r="266" spans="1:25" x14ac:dyDescent="0.2">
      <c r="A266" s="314">
        <v>2017</v>
      </c>
      <c r="B266" s="5" t="s">
        <v>466</v>
      </c>
      <c r="C266" s="5" t="s">
        <v>90</v>
      </c>
      <c r="D266" s="5" t="s">
        <v>471</v>
      </c>
      <c r="E266" s="5" t="s">
        <v>118</v>
      </c>
      <c r="F266" s="5" t="s">
        <v>94</v>
      </c>
      <c r="G266" s="5" t="s">
        <v>119</v>
      </c>
      <c r="H266" s="3">
        <v>5.7158748073790742</v>
      </c>
      <c r="I266" s="3">
        <v>0</v>
      </c>
      <c r="J266" s="318">
        <v>5.7158748073790742</v>
      </c>
      <c r="K266" s="3">
        <v>788.25577708328149</v>
      </c>
      <c r="L266" s="3">
        <v>124.18365000566621</v>
      </c>
      <c r="M266" s="318">
        <v>912.4394270889477</v>
      </c>
      <c r="N266" s="3">
        <v>70.715549453636172</v>
      </c>
      <c r="O266" s="3">
        <v>227.04490324767792</v>
      </c>
      <c r="P266" s="3">
        <v>79.025734337946602</v>
      </c>
      <c r="Q266" s="3">
        <v>20.173794216950352</v>
      </c>
      <c r="R266" s="3">
        <v>130.30194689162815</v>
      </c>
      <c r="S266" s="3">
        <v>154.11000592678531</v>
      </c>
      <c r="T266" s="3">
        <v>103.85061169945205</v>
      </c>
      <c r="U266" s="3">
        <v>32.945319095387433</v>
      </c>
      <c r="V266" s="318">
        <v>818.16786486946398</v>
      </c>
      <c r="W266" s="318">
        <v>1736.3231667657908</v>
      </c>
      <c r="X266" s="3">
        <v>171.56634216280119</v>
      </c>
      <c r="Y266" s="318">
        <v>1907.889508928592</v>
      </c>
    </row>
    <row r="267" spans="1:25" x14ac:dyDescent="0.2">
      <c r="A267" s="314">
        <v>2017</v>
      </c>
      <c r="B267" s="5" t="s">
        <v>466</v>
      </c>
      <c r="C267" s="5" t="s">
        <v>90</v>
      </c>
      <c r="D267" s="5" t="s">
        <v>471</v>
      </c>
      <c r="E267" s="5" t="s">
        <v>120</v>
      </c>
      <c r="F267" s="5" t="s">
        <v>94</v>
      </c>
      <c r="G267" s="5" t="s">
        <v>121</v>
      </c>
      <c r="H267" s="3">
        <v>7.6166026320998315</v>
      </c>
      <c r="I267" s="3">
        <v>0</v>
      </c>
      <c r="J267" s="318">
        <v>7.6166026320998315</v>
      </c>
      <c r="K267" s="3">
        <v>1079.6616319210589</v>
      </c>
      <c r="L267" s="3">
        <v>200.81697777229556</v>
      </c>
      <c r="M267" s="318">
        <v>1280.4786096933544</v>
      </c>
      <c r="N267" s="3">
        <v>120.66481080732026</v>
      </c>
      <c r="O267" s="3">
        <v>497.94778962332259</v>
      </c>
      <c r="P267" s="3">
        <v>65.347544411523145</v>
      </c>
      <c r="Q267" s="3">
        <v>69.832480296222869</v>
      </c>
      <c r="R267" s="3">
        <v>353.54587957116985</v>
      </c>
      <c r="S267" s="3">
        <v>313.9489874364557</v>
      </c>
      <c r="T267" s="3">
        <v>328.68130211752276</v>
      </c>
      <c r="U267" s="3">
        <v>69.501502521013052</v>
      </c>
      <c r="V267" s="318">
        <v>1819.4702967845501</v>
      </c>
      <c r="W267" s="318">
        <v>3107.5655091100043</v>
      </c>
      <c r="X267" s="3">
        <v>307.05899548779246</v>
      </c>
      <c r="Y267" s="318">
        <v>3414.6245045977967</v>
      </c>
    </row>
    <row r="268" spans="1:25" x14ac:dyDescent="0.2">
      <c r="A268" s="314">
        <v>2017</v>
      </c>
      <c r="B268" s="5" t="s">
        <v>466</v>
      </c>
      <c r="C268" s="5" t="s">
        <v>122</v>
      </c>
      <c r="D268" s="5" t="s">
        <v>472</v>
      </c>
      <c r="E268" s="5" t="s">
        <v>125</v>
      </c>
      <c r="F268" s="5" t="s">
        <v>126</v>
      </c>
      <c r="G268" s="5" t="s">
        <v>128</v>
      </c>
      <c r="H268" s="3">
        <v>49.675206033387568</v>
      </c>
      <c r="I268" s="3">
        <v>75.450180963603714</v>
      </c>
      <c r="J268" s="318">
        <v>125.12538699699128</v>
      </c>
      <c r="K268" s="3">
        <v>20.858813757382805</v>
      </c>
      <c r="L268" s="3">
        <v>5.0010139442838266</v>
      </c>
      <c r="M268" s="318">
        <v>25.859827701666632</v>
      </c>
      <c r="N268" s="3">
        <v>22.22799834622327</v>
      </c>
      <c r="O268" s="3">
        <v>72.22042985624023</v>
      </c>
      <c r="P268" s="3">
        <v>12.362045657757319</v>
      </c>
      <c r="Q268" s="3">
        <v>7.4172364198613989</v>
      </c>
      <c r="R268" s="3">
        <v>13.30646999549721</v>
      </c>
      <c r="S268" s="3">
        <v>39.773768664527026</v>
      </c>
      <c r="T268" s="3">
        <v>58.348583213598296</v>
      </c>
      <c r="U268" s="3">
        <v>7.1268807178581204</v>
      </c>
      <c r="V268" s="318">
        <v>232.78341287156286</v>
      </c>
      <c r="W268" s="318">
        <v>383.76862757022076</v>
      </c>
      <c r="X268" s="3">
        <v>37.92023335823081</v>
      </c>
      <c r="Y268" s="318">
        <v>421.68886092845156</v>
      </c>
    </row>
    <row r="269" spans="1:25" x14ac:dyDescent="0.2">
      <c r="A269" s="314">
        <v>2017</v>
      </c>
      <c r="B269" s="5" t="s">
        <v>466</v>
      </c>
      <c r="C269" s="5" t="s">
        <v>122</v>
      </c>
      <c r="D269" s="5" t="s">
        <v>472</v>
      </c>
      <c r="E269" s="5" t="s">
        <v>130</v>
      </c>
      <c r="F269" s="5" t="s">
        <v>126</v>
      </c>
      <c r="G269" s="5" t="s">
        <v>131</v>
      </c>
      <c r="H269" s="3">
        <v>68.641581121528873</v>
      </c>
      <c r="I269" s="3">
        <v>74.152622524768788</v>
      </c>
      <c r="J269" s="318">
        <v>142.79420364629766</v>
      </c>
      <c r="K269" s="3">
        <v>38.649925184809284</v>
      </c>
      <c r="L269" s="3">
        <v>39.044219482868918</v>
      </c>
      <c r="M269" s="318">
        <v>77.694144667678202</v>
      </c>
      <c r="N269" s="3">
        <v>39.082847075847447</v>
      </c>
      <c r="O269" s="3">
        <v>382.72272329724439</v>
      </c>
      <c r="P269" s="3">
        <v>25.936619252826549</v>
      </c>
      <c r="Q269" s="3">
        <v>23.905087536790305</v>
      </c>
      <c r="R269" s="3">
        <v>41.449481593972713</v>
      </c>
      <c r="S269" s="3">
        <v>95.40676132367679</v>
      </c>
      <c r="T269" s="3">
        <v>143.59497098134594</v>
      </c>
      <c r="U269" s="3">
        <v>15.115592890267205</v>
      </c>
      <c r="V269" s="318">
        <v>767.21408395197125</v>
      </c>
      <c r="W269" s="318">
        <v>987.7024322659471</v>
      </c>
      <c r="X269" s="3">
        <v>97.59501957507895</v>
      </c>
      <c r="Y269" s="318">
        <v>1085.297451841026</v>
      </c>
    </row>
    <row r="270" spans="1:25" x14ac:dyDescent="0.2">
      <c r="A270" s="314">
        <v>2017</v>
      </c>
      <c r="B270" s="5" t="s">
        <v>466</v>
      </c>
      <c r="C270" s="5" t="s">
        <v>122</v>
      </c>
      <c r="D270" s="5" t="s">
        <v>472</v>
      </c>
      <c r="E270" s="5" t="s">
        <v>133</v>
      </c>
      <c r="F270" s="5" t="s">
        <v>126</v>
      </c>
      <c r="G270" s="5" t="s">
        <v>134</v>
      </c>
      <c r="H270" s="3">
        <v>26.124391203539567</v>
      </c>
      <c r="I270" s="3">
        <v>467.29614907929755</v>
      </c>
      <c r="J270" s="318">
        <v>493.42054028283712</v>
      </c>
      <c r="K270" s="3">
        <v>7.2585706279663986</v>
      </c>
      <c r="L270" s="3">
        <v>28.493771577599638</v>
      </c>
      <c r="M270" s="318">
        <v>35.752342205566038</v>
      </c>
      <c r="N270" s="3">
        <v>25.740666149996212</v>
      </c>
      <c r="O270" s="3">
        <v>109.14043806955274</v>
      </c>
      <c r="P270" s="3">
        <v>16.403336630496</v>
      </c>
      <c r="Q270" s="3">
        <v>12.382170762037454</v>
      </c>
      <c r="R270" s="3">
        <v>19.597364617813383</v>
      </c>
      <c r="S270" s="3">
        <v>83.142501680884251</v>
      </c>
      <c r="T270" s="3">
        <v>82.628619882620072</v>
      </c>
      <c r="U270" s="3">
        <v>9.6605603763185908</v>
      </c>
      <c r="V270" s="318">
        <v>358.69565816971868</v>
      </c>
      <c r="W270" s="318">
        <v>887.8685406581219</v>
      </c>
      <c r="X270" s="3">
        <v>87.730418367841523</v>
      </c>
      <c r="Y270" s="318">
        <v>975.59895902596338</v>
      </c>
    </row>
    <row r="271" spans="1:25" x14ac:dyDescent="0.2">
      <c r="A271" s="314">
        <v>2017</v>
      </c>
      <c r="B271" s="5" t="s">
        <v>466</v>
      </c>
      <c r="C271" s="5" t="s">
        <v>122</v>
      </c>
      <c r="D271" s="5" t="s">
        <v>472</v>
      </c>
      <c r="E271" s="5" t="s">
        <v>135</v>
      </c>
      <c r="F271" s="5" t="s">
        <v>126</v>
      </c>
      <c r="G271" s="5" t="s">
        <v>136</v>
      </c>
      <c r="H271" s="3">
        <v>32.576749568154717</v>
      </c>
      <c r="I271" s="3">
        <v>80.325322088373809</v>
      </c>
      <c r="J271" s="318">
        <v>112.90207165652853</v>
      </c>
      <c r="K271" s="3">
        <v>10.475921715206734</v>
      </c>
      <c r="L271" s="3">
        <v>7.7325132635722049</v>
      </c>
      <c r="M271" s="318">
        <v>18.208434978778939</v>
      </c>
      <c r="N271" s="3">
        <v>10.701938490589109</v>
      </c>
      <c r="O271" s="3">
        <v>44.083046816761438</v>
      </c>
      <c r="P271" s="3">
        <v>7.4039679621616346</v>
      </c>
      <c r="Q271" s="3">
        <v>5.5261467086989224</v>
      </c>
      <c r="R271" s="3">
        <v>10.70430726404385</v>
      </c>
      <c r="S271" s="3">
        <v>28.584868597093202</v>
      </c>
      <c r="T271" s="3">
        <v>47.451600547357643</v>
      </c>
      <c r="U271" s="3">
        <v>5.3960026628096331</v>
      </c>
      <c r="V271" s="318">
        <v>159.85187904951542</v>
      </c>
      <c r="W271" s="318">
        <v>290.96238568482289</v>
      </c>
      <c r="X271" s="3">
        <v>28.750035232145674</v>
      </c>
      <c r="Y271" s="318">
        <v>319.71242091696854</v>
      </c>
    </row>
    <row r="272" spans="1:25" x14ac:dyDescent="0.2">
      <c r="A272" s="314">
        <v>2017</v>
      </c>
      <c r="B272" s="5" t="s">
        <v>466</v>
      </c>
      <c r="C272" s="5" t="s">
        <v>122</v>
      </c>
      <c r="D272" s="5" t="s">
        <v>472</v>
      </c>
      <c r="E272" s="5" t="s">
        <v>137</v>
      </c>
      <c r="F272" s="5" t="s">
        <v>126</v>
      </c>
      <c r="G272" s="5" t="s">
        <v>138</v>
      </c>
      <c r="H272" s="3">
        <v>19.919888707703144</v>
      </c>
      <c r="I272" s="3">
        <v>33.171286962715882</v>
      </c>
      <c r="J272" s="318">
        <v>53.091175670419027</v>
      </c>
      <c r="K272" s="3">
        <v>1.5647324165415821</v>
      </c>
      <c r="L272" s="3">
        <v>18.551664757379143</v>
      </c>
      <c r="M272" s="318">
        <v>20.116397173920724</v>
      </c>
      <c r="N272" s="3">
        <v>11.062014872581264</v>
      </c>
      <c r="O272" s="3">
        <v>48.170580018182434</v>
      </c>
      <c r="P272" s="3">
        <v>10.991431308304426</v>
      </c>
      <c r="Q272" s="3">
        <v>8.6240643488695774</v>
      </c>
      <c r="R272" s="3">
        <v>15.398259186776395</v>
      </c>
      <c r="S272" s="3">
        <v>28.437466787661251</v>
      </c>
      <c r="T272" s="3">
        <v>67.454429999901393</v>
      </c>
      <c r="U272" s="3">
        <v>6.2813545700343125</v>
      </c>
      <c r="V272" s="318">
        <v>196.41960109231107</v>
      </c>
      <c r="W272" s="318">
        <v>269.62717393665082</v>
      </c>
      <c r="X272" s="3">
        <v>26.641899886741712</v>
      </c>
      <c r="Y272" s="318">
        <v>296.26907382339255</v>
      </c>
    </row>
    <row r="273" spans="1:25" x14ac:dyDescent="0.2">
      <c r="A273" s="314">
        <v>2017</v>
      </c>
      <c r="B273" s="5" t="s">
        <v>466</v>
      </c>
      <c r="C273" s="5" t="s">
        <v>122</v>
      </c>
      <c r="D273" s="5" t="s">
        <v>472</v>
      </c>
      <c r="E273" s="5" t="s">
        <v>139</v>
      </c>
      <c r="F273" s="5" t="s">
        <v>126</v>
      </c>
      <c r="G273" s="5" t="s">
        <v>140</v>
      </c>
      <c r="H273" s="3">
        <v>27.766924116013204</v>
      </c>
      <c r="I273" s="3">
        <v>162.53048656446498</v>
      </c>
      <c r="J273" s="318">
        <v>190.29741068047818</v>
      </c>
      <c r="K273" s="3">
        <v>4.6537052683768749</v>
      </c>
      <c r="L273" s="3">
        <v>13.431135996631287</v>
      </c>
      <c r="M273" s="318">
        <v>18.084841265008162</v>
      </c>
      <c r="N273" s="3">
        <v>8.5152879349710577</v>
      </c>
      <c r="O273" s="3">
        <v>52.925087795046402</v>
      </c>
      <c r="P273" s="3">
        <v>6.6352186360203307</v>
      </c>
      <c r="Q273" s="3">
        <v>4.4029646209597821</v>
      </c>
      <c r="R273" s="3">
        <v>11.015496385054778</v>
      </c>
      <c r="S273" s="3">
        <v>32.233710591009213</v>
      </c>
      <c r="T273" s="3">
        <v>45.450025802419098</v>
      </c>
      <c r="U273" s="3">
        <v>5.0235346785830481</v>
      </c>
      <c r="V273" s="318">
        <v>166.20132644406371</v>
      </c>
      <c r="W273" s="318">
        <v>374.58357838955004</v>
      </c>
      <c r="X273" s="3">
        <v>37.01265732591397</v>
      </c>
      <c r="Y273" s="318">
        <v>411.59623571546399</v>
      </c>
    </row>
    <row r="274" spans="1:25" x14ac:dyDescent="0.2">
      <c r="A274" s="314">
        <v>2017</v>
      </c>
      <c r="B274" s="5" t="s">
        <v>466</v>
      </c>
      <c r="C274" s="5" t="s">
        <v>141</v>
      </c>
      <c r="D274" s="5" t="s">
        <v>473</v>
      </c>
      <c r="E274" s="5" t="s">
        <v>143</v>
      </c>
      <c r="F274" s="5" t="s">
        <v>144</v>
      </c>
      <c r="G274" s="5" t="s">
        <v>146</v>
      </c>
      <c r="H274" s="3">
        <v>7.0097176205566498</v>
      </c>
      <c r="I274" s="3">
        <v>4.4775662160176921E-2</v>
      </c>
      <c r="J274" s="318">
        <v>7.0544932827168267</v>
      </c>
      <c r="K274" s="3">
        <v>2.2108553376532902</v>
      </c>
      <c r="L274" s="3">
        <v>1.939483236294548</v>
      </c>
      <c r="M274" s="318">
        <v>4.1503385739478382</v>
      </c>
      <c r="N274" s="3">
        <v>3.412838861299714</v>
      </c>
      <c r="O274" s="3">
        <v>7.1626560027023958</v>
      </c>
      <c r="P274" s="3">
        <v>7.3301164615237031</v>
      </c>
      <c r="Q274" s="3">
        <v>1.233886114971793</v>
      </c>
      <c r="R274" s="3">
        <v>3.5419272477727612</v>
      </c>
      <c r="S274" s="3">
        <v>4.0605943405160048</v>
      </c>
      <c r="T274" s="3">
        <v>7.1832835696718869</v>
      </c>
      <c r="U274" s="3">
        <v>1.6365223618991349</v>
      </c>
      <c r="V274" s="318">
        <v>35.561824960357391</v>
      </c>
      <c r="W274" s="318">
        <v>46.76665681702206</v>
      </c>
      <c r="X274" s="3">
        <v>4.6210200951386549</v>
      </c>
      <c r="Y274" s="318">
        <v>51.387676912160714</v>
      </c>
    </row>
    <row r="275" spans="1:25" x14ac:dyDescent="0.2">
      <c r="A275" s="314">
        <v>2017</v>
      </c>
      <c r="B275" s="5" t="s">
        <v>466</v>
      </c>
      <c r="C275" s="5" t="s">
        <v>141</v>
      </c>
      <c r="D275" s="5" t="s">
        <v>473</v>
      </c>
      <c r="E275" s="5" t="s">
        <v>147</v>
      </c>
      <c r="F275" s="5" t="s">
        <v>144</v>
      </c>
      <c r="G275" s="5" t="s">
        <v>148</v>
      </c>
      <c r="H275" s="3">
        <v>18.466828204233074</v>
      </c>
      <c r="I275" s="3">
        <v>0.32221951044746433</v>
      </c>
      <c r="J275" s="318">
        <v>18.789047714680539</v>
      </c>
      <c r="K275" s="3">
        <v>4.2954785601321799</v>
      </c>
      <c r="L275" s="3">
        <v>3.6357522037107248</v>
      </c>
      <c r="M275" s="318">
        <v>7.9312307638429047</v>
      </c>
      <c r="N275" s="3">
        <v>3.4712104483201656</v>
      </c>
      <c r="O275" s="3">
        <v>18.687552676652793</v>
      </c>
      <c r="P275" s="3">
        <v>3.9055289369157915</v>
      </c>
      <c r="Q275" s="3">
        <v>2.325635173992159</v>
      </c>
      <c r="R275" s="3">
        <v>7.7135293327366004</v>
      </c>
      <c r="S275" s="3">
        <v>8.0493947342869347</v>
      </c>
      <c r="T275" s="3">
        <v>15.819477837626495</v>
      </c>
      <c r="U275" s="3">
        <v>2.779014552257832</v>
      </c>
      <c r="V275" s="318">
        <v>62.751343692788772</v>
      </c>
      <c r="W275" s="318">
        <v>89.471622171312205</v>
      </c>
      <c r="X275" s="3">
        <v>8.8407038719047346</v>
      </c>
      <c r="Y275" s="318">
        <v>98.312326043216942</v>
      </c>
    </row>
    <row r="276" spans="1:25" x14ac:dyDescent="0.2">
      <c r="A276" s="314">
        <v>2017</v>
      </c>
      <c r="B276" s="5" t="s">
        <v>466</v>
      </c>
      <c r="C276" s="5" t="s">
        <v>141</v>
      </c>
      <c r="D276" s="5" t="s">
        <v>474</v>
      </c>
      <c r="E276" s="5" t="s">
        <v>149</v>
      </c>
      <c r="F276" s="5" t="s">
        <v>144</v>
      </c>
      <c r="G276" s="5" t="s">
        <v>150</v>
      </c>
      <c r="H276" s="3">
        <v>29.510802962233583</v>
      </c>
      <c r="I276" s="3">
        <v>72.32644145527631</v>
      </c>
      <c r="J276" s="318">
        <v>101.83724441750989</v>
      </c>
      <c r="K276" s="3">
        <v>41.907377059352207</v>
      </c>
      <c r="L276" s="3">
        <v>10.441503218040893</v>
      </c>
      <c r="M276" s="318">
        <v>52.3488802773931</v>
      </c>
      <c r="N276" s="3">
        <v>36.684328216278779</v>
      </c>
      <c r="O276" s="3">
        <v>169.37285000776393</v>
      </c>
      <c r="P276" s="3">
        <v>13.27617174484439</v>
      </c>
      <c r="Q276" s="3">
        <v>19.272913242060199</v>
      </c>
      <c r="R276" s="3">
        <v>40.964393475233578</v>
      </c>
      <c r="S276" s="3">
        <v>63.864304567093029</v>
      </c>
      <c r="T276" s="3">
        <v>71.340711913735717</v>
      </c>
      <c r="U276" s="3">
        <v>15.794256236494133</v>
      </c>
      <c r="V276" s="318">
        <v>430.56992940350375</v>
      </c>
      <c r="W276" s="318">
        <v>584.75605409840671</v>
      </c>
      <c r="X276" s="3">
        <v>57.779829918464301</v>
      </c>
      <c r="Y276" s="318">
        <v>642.53588401687102</v>
      </c>
    </row>
    <row r="277" spans="1:25" x14ac:dyDescent="0.2">
      <c r="A277" s="314">
        <v>2017</v>
      </c>
      <c r="B277" s="5" t="s">
        <v>466</v>
      </c>
      <c r="C277" s="5" t="s">
        <v>141</v>
      </c>
      <c r="D277" s="5" t="s">
        <v>474</v>
      </c>
      <c r="E277" s="5" t="s">
        <v>151</v>
      </c>
      <c r="F277" s="5" t="s">
        <v>144</v>
      </c>
      <c r="G277" s="5" t="s">
        <v>152</v>
      </c>
      <c r="H277" s="3">
        <v>11.053442507030693</v>
      </c>
      <c r="I277" s="3">
        <v>91.870473439239404</v>
      </c>
      <c r="J277" s="318">
        <v>102.9239159462701</v>
      </c>
      <c r="K277" s="3">
        <v>40.444622162892244</v>
      </c>
      <c r="L277" s="3">
        <v>3.8632135784718997</v>
      </c>
      <c r="M277" s="318">
        <v>44.307835741364144</v>
      </c>
      <c r="N277" s="3">
        <v>108.60908021330673</v>
      </c>
      <c r="O277" s="3">
        <v>25.125342669374835</v>
      </c>
      <c r="P277" s="3">
        <v>5.581152504534435</v>
      </c>
      <c r="Q277" s="3">
        <v>3.9696045447040733</v>
      </c>
      <c r="R277" s="3">
        <v>12.303413179837232</v>
      </c>
      <c r="S277" s="3">
        <v>39.41397858825934</v>
      </c>
      <c r="T277" s="3">
        <v>41.085385418841739</v>
      </c>
      <c r="U277" s="3">
        <v>4.0171812472963602</v>
      </c>
      <c r="V277" s="318">
        <v>240.10513836615476</v>
      </c>
      <c r="W277" s="318">
        <v>387.33689005378898</v>
      </c>
      <c r="X277" s="3">
        <v>38.272813888111578</v>
      </c>
      <c r="Y277" s="318">
        <v>425.60970394190053</v>
      </c>
    </row>
    <row r="278" spans="1:25" x14ac:dyDescent="0.2">
      <c r="A278" s="314">
        <v>2017</v>
      </c>
      <c r="B278" s="5" t="s">
        <v>466</v>
      </c>
      <c r="C278" s="5" t="s">
        <v>141</v>
      </c>
      <c r="D278" s="5" t="s">
        <v>474</v>
      </c>
      <c r="E278" s="5" t="s">
        <v>153</v>
      </c>
      <c r="F278" s="5" t="s">
        <v>144</v>
      </c>
      <c r="G278" s="5" t="s">
        <v>154</v>
      </c>
      <c r="H278" s="3">
        <v>8.1862118310245933</v>
      </c>
      <c r="I278" s="3">
        <v>15.97623076088454</v>
      </c>
      <c r="J278" s="318">
        <v>24.162442591909134</v>
      </c>
      <c r="K278" s="3">
        <v>13.408414698240678</v>
      </c>
      <c r="L278" s="3">
        <v>6.8691658786907954</v>
      </c>
      <c r="M278" s="318">
        <v>20.277580576931474</v>
      </c>
      <c r="N278" s="3">
        <v>11.897453355464743</v>
      </c>
      <c r="O278" s="3">
        <v>60.888152247075269</v>
      </c>
      <c r="P278" s="3">
        <v>3.7405975745130897</v>
      </c>
      <c r="Q278" s="3">
        <v>2.6502626185013569</v>
      </c>
      <c r="R278" s="3">
        <v>13.600056988846251</v>
      </c>
      <c r="S278" s="3">
        <v>15.979709442892331</v>
      </c>
      <c r="T278" s="3">
        <v>16.673621353358044</v>
      </c>
      <c r="U278" s="3">
        <v>3.1493219325672031</v>
      </c>
      <c r="V278" s="318">
        <v>128.57917551321827</v>
      </c>
      <c r="W278" s="318">
        <v>173.01919868205889</v>
      </c>
      <c r="X278" s="3">
        <v>17.096051938944058</v>
      </c>
      <c r="Y278" s="318">
        <v>190.11525062100293</v>
      </c>
    </row>
    <row r="279" spans="1:25" x14ac:dyDescent="0.2">
      <c r="A279" s="314">
        <v>2017</v>
      </c>
      <c r="B279" s="5" t="s">
        <v>466</v>
      </c>
      <c r="C279" s="5" t="s">
        <v>141</v>
      </c>
      <c r="D279" s="5" t="s">
        <v>474</v>
      </c>
      <c r="E279" s="5" t="s">
        <v>155</v>
      </c>
      <c r="F279" s="5" t="s">
        <v>144</v>
      </c>
      <c r="G279" s="5" t="s">
        <v>156</v>
      </c>
      <c r="H279" s="3">
        <v>41.221461022984897</v>
      </c>
      <c r="I279" s="3">
        <v>628.1784686235203</v>
      </c>
      <c r="J279" s="318">
        <v>669.39992964650514</v>
      </c>
      <c r="K279" s="3">
        <v>0.60595479304540822</v>
      </c>
      <c r="L279" s="3">
        <v>18.700495798977627</v>
      </c>
      <c r="M279" s="318">
        <v>19.306450592023037</v>
      </c>
      <c r="N279" s="3">
        <v>11.215345392611706</v>
      </c>
      <c r="O279" s="3">
        <v>19.016163284755699</v>
      </c>
      <c r="P279" s="3">
        <v>4.2884741888894258</v>
      </c>
      <c r="Q279" s="3">
        <v>2.3326697114952988</v>
      </c>
      <c r="R279" s="3">
        <v>9.6682728788218366</v>
      </c>
      <c r="S279" s="3">
        <v>58.751422015109014</v>
      </c>
      <c r="T279" s="3">
        <v>19.291769536154117</v>
      </c>
      <c r="U279" s="3">
        <v>4.0098483235922266</v>
      </c>
      <c r="V279" s="318">
        <v>128.57396533142935</v>
      </c>
      <c r="W279" s="318">
        <v>817.28034556995749</v>
      </c>
      <c r="X279" s="3">
        <v>80.755588645498634</v>
      </c>
      <c r="Y279" s="318">
        <v>898.03593421545611</v>
      </c>
    </row>
    <row r="280" spans="1:25" x14ac:dyDescent="0.2">
      <c r="A280" s="314">
        <v>2017</v>
      </c>
      <c r="B280" s="5" t="s">
        <v>466</v>
      </c>
      <c r="C280" s="5" t="s">
        <v>157</v>
      </c>
      <c r="D280" s="5" t="s">
        <v>475</v>
      </c>
      <c r="E280" s="5" t="s">
        <v>159</v>
      </c>
      <c r="F280" s="5" t="s">
        <v>160</v>
      </c>
      <c r="G280" s="5" t="s">
        <v>161</v>
      </c>
      <c r="H280" s="3">
        <v>27.853387114882047</v>
      </c>
      <c r="I280" s="3">
        <v>31.721872615176103</v>
      </c>
      <c r="J280" s="318">
        <v>59.57525973005815</v>
      </c>
      <c r="K280" s="3">
        <v>18.018644393586531</v>
      </c>
      <c r="L280" s="3">
        <v>35.814896481866569</v>
      </c>
      <c r="M280" s="318">
        <v>53.833540875453096</v>
      </c>
      <c r="N280" s="3">
        <v>379.85539540520881</v>
      </c>
      <c r="O280" s="3">
        <v>39.583355139360059</v>
      </c>
      <c r="P280" s="3">
        <v>8.0782353538205154</v>
      </c>
      <c r="Q280" s="3">
        <v>11.59789973207438</v>
      </c>
      <c r="R280" s="3">
        <v>17.1693080500104</v>
      </c>
      <c r="S280" s="3">
        <v>51.693672649971191</v>
      </c>
      <c r="T280" s="3">
        <v>39.035693823797807</v>
      </c>
      <c r="U280" s="3">
        <v>7.2215827756326272</v>
      </c>
      <c r="V280" s="318">
        <v>554.23514292987579</v>
      </c>
      <c r="W280" s="318">
        <v>667.64394353538705</v>
      </c>
      <c r="X280" s="3">
        <v>65.969994210740666</v>
      </c>
      <c r="Y280" s="318">
        <v>733.6139377461277</v>
      </c>
    </row>
    <row r="281" spans="1:25" x14ac:dyDescent="0.2">
      <c r="A281" s="314">
        <v>2017</v>
      </c>
      <c r="B281" s="5" t="s">
        <v>466</v>
      </c>
      <c r="C281" s="5" t="s">
        <v>157</v>
      </c>
      <c r="D281" s="5" t="s">
        <v>476</v>
      </c>
      <c r="E281" s="5" t="s">
        <v>162</v>
      </c>
      <c r="F281" s="5" t="s">
        <v>160</v>
      </c>
      <c r="G281" s="5" t="s">
        <v>163</v>
      </c>
      <c r="H281" s="3">
        <v>12.157960526263897</v>
      </c>
      <c r="I281" s="3">
        <v>1.9568968370714348</v>
      </c>
      <c r="J281" s="318">
        <v>14.114857363335332</v>
      </c>
      <c r="K281" s="3">
        <v>2.5251201012819728</v>
      </c>
      <c r="L281" s="3">
        <v>9.3351808836806338</v>
      </c>
      <c r="M281" s="318">
        <v>11.860300984962606</v>
      </c>
      <c r="N281" s="3">
        <v>76.755181043013508</v>
      </c>
      <c r="O281" s="3">
        <v>8.6238531473155486</v>
      </c>
      <c r="P281" s="3">
        <v>2.1452447432162045</v>
      </c>
      <c r="Q281" s="3">
        <v>1.2411146969888507</v>
      </c>
      <c r="R281" s="3">
        <v>3.1078552581885397</v>
      </c>
      <c r="S281" s="3">
        <v>9.8211370232504471</v>
      </c>
      <c r="T281" s="3">
        <v>14.023146715343167</v>
      </c>
      <c r="U281" s="3">
        <v>1.7124748428738834</v>
      </c>
      <c r="V281" s="318">
        <v>117.43000747019013</v>
      </c>
      <c r="W281" s="318">
        <v>143.40516581848806</v>
      </c>
      <c r="X281" s="3">
        <v>14.169885086862221</v>
      </c>
      <c r="Y281" s="318">
        <v>157.57505090535028</v>
      </c>
    </row>
    <row r="282" spans="1:25" x14ac:dyDescent="0.2">
      <c r="A282" s="314">
        <v>2017</v>
      </c>
      <c r="B282" s="5" t="s">
        <v>466</v>
      </c>
      <c r="C282" s="5" t="s">
        <v>157</v>
      </c>
      <c r="D282" s="5" t="s">
        <v>473</v>
      </c>
      <c r="E282" s="5" t="s">
        <v>164</v>
      </c>
      <c r="F282" s="5" t="s">
        <v>160</v>
      </c>
      <c r="G282" s="5" t="s">
        <v>165</v>
      </c>
      <c r="H282" s="3">
        <v>3.9198485245831636</v>
      </c>
      <c r="I282" s="3">
        <v>0</v>
      </c>
      <c r="J282" s="318">
        <v>3.9198485245831636</v>
      </c>
      <c r="K282" s="3">
        <v>6.9271411319598153</v>
      </c>
      <c r="L282" s="3">
        <v>2.7292275414097267</v>
      </c>
      <c r="M282" s="318">
        <v>9.656368673369542</v>
      </c>
      <c r="N282" s="3">
        <v>9.4324983688432376</v>
      </c>
      <c r="O282" s="3">
        <v>24.975653751724092</v>
      </c>
      <c r="P282" s="3">
        <v>3.5769638655459257</v>
      </c>
      <c r="Q282" s="3">
        <v>3.484353572674233</v>
      </c>
      <c r="R282" s="3">
        <v>12.36857805633497</v>
      </c>
      <c r="S282" s="3">
        <v>10.942183481524944</v>
      </c>
      <c r="T282" s="3">
        <v>17.890465319619697</v>
      </c>
      <c r="U282" s="3">
        <v>2.9474277315227853</v>
      </c>
      <c r="V282" s="318">
        <v>85.618124147789871</v>
      </c>
      <c r="W282" s="318">
        <v>99.194341345742572</v>
      </c>
      <c r="X282" s="3">
        <v>9.8014071537369212</v>
      </c>
      <c r="Y282" s="318">
        <v>108.99574849947949</v>
      </c>
    </row>
    <row r="283" spans="1:25" x14ac:dyDescent="0.2">
      <c r="A283" s="314">
        <v>2017</v>
      </c>
      <c r="B283" s="5" t="s">
        <v>466</v>
      </c>
      <c r="C283" s="5" t="s">
        <v>157</v>
      </c>
      <c r="D283" s="5" t="s">
        <v>477</v>
      </c>
      <c r="E283" s="5" t="s">
        <v>166</v>
      </c>
      <c r="F283" s="5" t="s">
        <v>160</v>
      </c>
      <c r="G283" s="5" t="s">
        <v>168</v>
      </c>
      <c r="H283" s="3">
        <v>41.395271797635083</v>
      </c>
      <c r="I283" s="3">
        <v>283.35776298562496</v>
      </c>
      <c r="J283" s="318">
        <v>324.75303478326003</v>
      </c>
      <c r="K283" s="3">
        <v>11.805676292648977</v>
      </c>
      <c r="L283" s="3">
        <v>8.8289621575755017</v>
      </c>
      <c r="M283" s="318">
        <v>20.634638450224479</v>
      </c>
      <c r="N283" s="3">
        <v>10.522591330341426</v>
      </c>
      <c r="O283" s="3">
        <v>60.968373650168125</v>
      </c>
      <c r="P283" s="3">
        <v>7.4426919788840076</v>
      </c>
      <c r="Q283" s="3">
        <v>4.8466234328913655</v>
      </c>
      <c r="R283" s="3">
        <v>17.032707065596934</v>
      </c>
      <c r="S283" s="3">
        <v>41.31153791370928</v>
      </c>
      <c r="T283" s="3">
        <v>35.413891403278974</v>
      </c>
      <c r="U283" s="3">
        <v>6.0962316205870595</v>
      </c>
      <c r="V283" s="318">
        <v>183.63464839545716</v>
      </c>
      <c r="W283" s="318">
        <v>529.02232162894165</v>
      </c>
      <c r="X283" s="3">
        <v>52.272771786724199</v>
      </c>
      <c r="Y283" s="318">
        <v>581.29509341566586</v>
      </c>
    </row>
    <row r="284" spans="1:25" x14ac:dyDescent="0.2">
      <c r="A284" s="314">
        <v>2017</v>
      </c>
      <c r="B284" s="5" t="s">
        <v>466</v>
      </c>
      <c r="C284" s="5" t="s">
        <v>157</v>
      </c>
      <c r="D284" s="5" t="s">
        <v>473</v>
      </c>
      <c r="E284" s="5" t="s">
        <v>169</v>
      </c>
      <c r="F284" s="5" t="s">
        <v>160</v>
      </c>
      <c r="G284" s="5" t="s">
        <v>170</v>
      </c>
      <c r="H284" s="3">
        <v>32.301931990051443</v>
      </c>
      <c r="I284" s="3">
        <v>13.724689479672882</v>
      </c>
      <c r="J284" s="318">
        <v>46.026621469724326</v>
      </c>
      <c r="K284" s="3">
        <v>4.1507359312108933</v>
      </c>
      <c r="L284" s="3">
        <v>13.636031902237626</v>
      </c>
      <c r="M284" s="318">
        <v>17.786767833448518</v>
      </c>
      <c r="N284" s="3">
        <v>9.6122198616996464</v>
      </c>
      <c r="O284" s="3">
        <v>28.781205490486798</v>
      </c>
      <c r="P284" s="3">
        <v>9.5419673584091491</v>
      </c>
      <c r="Q284" s="3">
        <v>6.7448791562259736</v>
      </c>
      <c r="R284" s="3">
        <v>18.552295456250874</v>
      </c>
      <c r="S284" s="3">
        <v>19.503405382929525</v>
      </c>
      <c r="T284" s="3">
        <v>30.995146773015076</v>
      </c>
      <c r="U284" s="3">
        <v>8.118093515358618</v>
      </c>
      <c r="V284" s="318">
        <v>131.84921299437568</v>
      </c>
      <c r="W284" s="318">
        <v>195.66260229754852</v>
      </c>
      <c r="X284" s="3">
        <v>19.333449911155487</v>
      </c>
      <c r="Y284" s="318">
        <v>214.99605220870401</v>
      </c>
    </row>
    <row r="285" spans="1:25" x14ac:dyDescent="0.2">
      <c r="A285" s="314">
        <v>2017</v>
      </c>
      <c r="B285" s="5" t="s">
        <v>466</v>
      </c>
      <c r="C285" s="5" t="s">
        <v>157</v>
      </c>
      <c r="D285" s="5" t="s">
        <v>473</v>
      </c>
      <c r="E285" s="5" t="s">
        <v>171</v>
      </c>
      <c r="F285" s="5" t="s">
        <v>160</v>
      </c>
      <c r="G285" s="5" t="s">
        <v>172</v>
      </c>
      <c r="H285" s="3">
        <v>66.6059011801906</v>
      </c>
      <c r="I285" s="3">
        <v>0.34630790296510838</v>
      </c>
      <c r="J285" s="318">
        <v>66.952209083155708</v>
      </c>
      <c r="K285" s="3">
        <v>7.736673794471943</v>
      </c>
      <c r="L285" s="3">
        <v>7.5112325632464492</v>
      </c>
      <c r="M285" s="318">
        <v>15.247906357718392</v>
      </c>
      <c r="N285" s="3">
        <v>5.4173337953472629</v>
      </c>
      <c r="O285" s="3">
        <v>24.012160835410491</v>
      </c>
      <c r="P285" s="3">
        <v>3.7177587508568402</v>
      </c>
      <c r="Q285" s="3">
        <v>2.6000248611505263</v>
      </c>
      <c r="R285" s="3">
        <v>10.168461044482385</v>
      </c>
      <c r="S285" s="3">
        <v>11.513114060244208</v>
      </c>
      <c r="T285" s="3">
        <v>19.790086877997318</v>
      </c>
      <c r="U285" s="3">
        <v>3.774673356280926</v>
      </c>
      <c r="V285" s="318">
        <v>80.993613581769964</v>
      </c>
      <c r="W285" s="318">
        <v>163.19372902264405</v>
      </c>
      <c r="X285" s="3">
        <v>16.125195866893062</v>
      </c>
      <c r="Y285" s="318">
        <v>179.3189248895371</v>
      </c>
    </row>
    <row r="286" spans="1:25" x14ac:dyDescent="0.2">
      <c r="A286" s="314">
        <v>2017</v>
      </c>
      <c r="B286" s="5" t="s">
        <v>466</v>
      </c>
      <c r="C286" s="5" t="s">
        <v>157</v>
      </c>
      <c r="D286" s="5" t="s">
        <v>477</v>
      </c>
      <c r="E286" s="5" t="s">
        <v>173</v>
      </c>
      <c r="F286" s="5" t="s">
        <v>160</v>
      </c>
      <c r="G286" s="5" t="s">
        <v>174</v>
      </c>
      <c r="H286" s="3">
        <v>14.640995910588959</v>
      </c>
      <c r="I286" s="3">
        <v>243.15589133495354</v>
      </c>
      <c r="J286" s="318">
        <v>257.79688724554251</v>
      </c>
      <c r="K286" s="3">
        <v>25.87042939110901</v>
      </c>
      <c r="L286" s="3">
        <v>4.2769783702096227</v>
      </c>
      <c r="M286" s="318">
        <v>30.147407761318632</v>
      </c>
      <c r="N286" s="3">
        <v>24.001018227835058</v>
      </c>
      <c r="O286" s="3">
        <v>94.553827795314973</v>
      </c>
      <c r="P286" s="3">
        <v>10.152037367909198</v>
      </c>
      <c r="Q286" s="3">
        <v>8.6581797800823548</v>
      </c>
      <c r="R286" s="3">
        <v>39.078097515870759</v>
      </c>
      <c r="S286" s="3">
        <v>54.398254737438457</v>
      </c>
      <c r="T286" s="3">
        <v>53.882274031074296</v>
      </c>
      <c r="U286" s="3">
        <v>10.740242704014117</v>
      </c>
      <c r="V286" s="318">
        <v>295.46393215953918</v>
      </c>
      <c r="W286" s="318">
        <v>583.40822716640037</v>
      </c>
      <c r="X286" s="3">
        <v>57.646650945206943</v>
      </c>
      <c r="Y286" s="318">
        <v>641.05487811160731</v>
      </c>
    </row>
    <row r="287" spans="1:25" x14ac:dyDescent="0.2">
      <c r="A287" s="314">
        <v>2017</v>
      </c>
      <c r="B287" s="5" t="s">
        <v>466</v>
      </c>
      <c r="C287" s="5" t="s">
        <v>157</v>
      </c>
      <c r="D287" s="5" t="s">
        <v>475</v>
      </c>
      <c r="E287" s="5" t="s">
        <v>175</v>
      </c>
      <c r="F287" s="5" t="s">
        <v>160</v>
      </c>
      <c r="G287" s="5" t="s">
        <v>176</v>
      </c>
      <c r="H287" s="3">
        <v>16.958811729417388</v>
      </c>
      <c r="I287" s="3">
        <v>5.6984059864128049</v>
      </c>
      <c r="J287" s="318">
        <v>22.657217715830193</v>
      </c>
      <c r="K287" s="3">
        <v>1.1599668071782303</v>
      </c>
      <c r="L287" s="3">
        <v>9.7279342797331712</v>
      </c>
      <c r="M287" s="318">
        <v>10.887901086911402</v>
      </c>
      <c r="N287" s="3">
        <v>3.5671879384700156</v>
      </c>
      <c r="O287" s="3">
        <v>27.021513791911914</v>
      </c>
      <c r="P287" s="3">
        <v>10.906831640599144</v>
      </c>
      <c r="Q287" s="3">
        <v>3.5354273118884216</v>
      </c>
      <c r="R287" s="3">
        <v>7.0416730852231142</v>
      </c>
      <c r="S287" s="3">
        <v>11.630222904408269</v>
      </c>
      <c r="T287" s="3">
        <v>23.787922937543531</v>
      </c>
      <c r="U287" s="3">
        <v>3.1532861403153656</v>
      </c>
      <c r="V287" s="318">
        <v>90.644065750359772</v>
      </c>
      <c r="W287" s="318">
        <v>124.18918455310137</v>
      </c>
      <c r="X287" s="3">
        <v>12.271151210660927</v>
      </c>
      <c r="Y287" s="318">
        <v>136.46033576376229</v>
      </c>
    </row>
    <row r="288" spans="1:25" x14ac:dyDescent="0.2">
      <c r="A288" s="314">
        <v>2017</v>
      </c>
      <c r="B288" s="5" t="s">
        <v>466</v>
      </c>
      <c r="C288" s="5" t="s">
        <v>157</v>
      </c>
      <c r="D288" s="5" t="s">
        <v>475</v>
      </c>
      <c r="E288" s="5" t="s">
        <v>177</v>
      </c>
      <c r="F288" s="5" t="s">
        <v>160</v>
      </c>
      <c r="G288" s="5" t="s">
        <v>178</v>
      </c>
      <c r="H288" s="3">
        <v>10.109600503737404</v>
      </c>
      <c r="I288" s="3">
        <v>0.66563829404915076</v>
      </c>
      <c r="J288" s="318">
        <v>10.775238797786555</v>
      </c>
      <c r="K288" s="3">
        <v>2.4576892168723159</v>
      </c>
      <c r="L288" s="3">
        <v>2.9460453887876961</v>
      </c>
      <c r="M288" s="318">
        <v>5.403734605660012</v>
      </c>
      <c r="N288" s="3">
        <v>2.1365547803136926</v>
      </c>
      <c r="O288" s="3">
        <v>13.900238337329251</v>
      </c>
      <c r="P288" s="3">
        <v>5.021037775618745</v>
      </c>
      <c r="Q288" s="3">
        <v>1.5884314792516849</v>
      </c>
      <c r="R288" s="3">
        <v>4.330779973610495</v>
      </c>
      <c r="S288" s="3">
        <v>6.4142860851750854</v>
      </c>
      <c r="T288" s="3">
        <v>12.676376498260746</v>
      </c>
      <c r="U288" s="3">
        <v>2.4771196809449725</v>
      </c>
      <c r="V288" s="318">
        <v>48.544824610504669</v>
      </c>
      <c r="W288" s="318">
        <v>64.723798013951239</v>
      </c>
      <c r="X288" s="3">
        <v>6.3953678028851888</v>
      </c>
      <c r="Y288" s="318">
        <v>71.119165816836428</v>
      </c>
    </row>
    <row r="289" spans="1:25" x14ac:dyDescent="0.2">
      <c r="A289" s="314">
        <v>2017</v>
      </c>
      <c r="B289" s="5" t="s">
        <v>466</v>
      </c>
      <c r="C289" s="5" t="s">
        <v>157</v>
      </c>
      <c r="D289" s="5" t="s">
        <v>475</v>
      </c>
      <c r="E289" s="5" t="s">
        <v>179</v>
      </c>
      <c r="F289" s="5" t="s">
        <v>160</v>
      </c>
      <c r="G289" s="5" t="s">
        <v>180</v>
      </c>
      <c r="H289" s="3">
        <v>41.088867374579166</v>
      </c>
      <c r="I289" s="3">
        <v>0</v>
      </c>
      <c r="J289" s="318">
        <v>41.088867374579166</v>
      </c>
      <c r="K289" s="3">
        <v>5.468177689189158</v>
      </c>
      <c r="L289" s="3">
        <v>17.060095143502192</v>
      </c>
      <c r="M289" s="318">
        <v>22.52827283269135</v>
      </c>
      <c r="N289" s="3">
        <v>4.1833754199651381</v>
      </c>
      <c r="O289" s="3">
        <v>44.120177637259495</v>
      </c>
      <c r="P289" s="3">
        <v>5.3954817888424884</v>
      </c>
      <c r="Q289" s="3">
        <v>4.1139635843518256</v>
      </c>
      <c r="R289" s="3">
        <v>10.71871606884619</v>
      </c>
      <c r="S289" s="3">
        <v>17.914875756095761</v>
      </c>
      <c r="T289" s="3">
        <v>46.919710787267555</v>
      </c>
      <c r="U289" s="3">
        <v>4.3882225055995896</v>
      </c>
      <c r="V289" s="318">
        <v>137.75452354822804</v>
      </c>
      <c r="W289" s="318">
        <v>201.37166375549856</v>
      </c>
      <c r="X289" s="3">
        <v>19.897563095999747</v>
      </c>
      <c r="Y289" s="318">
        <v>221.2692268514983</v>
      </c>
    </row>
    <row r="290" spans="1:25" x14ac:dyDescent="0.2">
      <c r="A290" s="314">
        <v>2017</v>
      </c>
      <c r="B290" s="5" t="s">
        <v>466</v>
      </c>
      <c r="C290" s="5" t="s">
        <v>181</v>
      </c>
      <c r="D290" s="5" t="s">
        <v>478</v>
      </c>
      <c r="E290" s="5" t="s">
        <v>183</v>
      </c>
      <c r="F290" s="5" t="s">
        <v>184</v>
      </c>
      <c r="G290" s="5" t="s">
        <v>185</v>
      </c>
      <c r="H290" s="3">
        <v>35.340665692980814</v>
      </c>
      <c r="I290" s="3">
        <v>0</v>
      </c>
      <c r="J290" s="318">
        <v>35.340665692980814</v>
      </c>
      <c r="K290" s="3">
        <v>5.2046226811914709</v>
      </c>
      <c r="L290" s="3">
        <v>13.26628329009338</v>
      </c>
      <c r="M290" s="318">
        <v>18.47090597128485</v>
      </c>
      <c r="N290" s="3">
        <v>3.2916410708204045</v>
      </c>
      <c r="O290" s="3">
        <v>20.569610725895</v>
      </c>
      <c r="P290" s="3">
        <v>4.3890643008263481</v>
      </c>
      <c r="Q290" s="3">
        <v>3.1079599458998093</v>
      </c>
      <c r="R290" s="3">
        <v>7.8594264031660899</v>
      </c>
      <c r="S290" s="3">
        <v>10.294987982370936</v>
      </c>
      <c r="T290" s="3">
        <v>24.708695784923655</v>
      </c>
      <c r="U290" s="3">
        <v>3.4209989299690511</v>
      </c>
      <c r="V290" s="318">
        <v>77.64238514387128</v>
      </c>
      <c r="W290" s="318">
        <v>131.45395680813695</v>
      </c>
      <c r="X290" s="3">
        <v>12.988984403409191</v>
      </c>
      <c r="Y290" s="318">
        <v>144.44294121154616</v>
      </c>
    </row>
    <row r="291" spans="1:25" x14ac:dyDescent="0.2">
      <c r="A291" s="314">
        <v>2017</v>
      </c>
      <c r="B291" s="5" t="s">
        <v>466</v>
      </c>
      <c r="C291" s="5" t="s">
        <v>181</v>
      </c>
      <c r="D291" s="5" t="s">
        <v>479</v>
      </c>
      <c r="E291" s="5" t="s">
        <v>186</v>
      </c>
      <c r="F291" s="5" t="s">
        <v>184</v>
      </c>
      <c r="G291" s="5" t="s">
        <v>187</v>
      </c>
      <c r="H291" s="3">
        <v>15.24431539891291</v>
      </c>
      <c r="I291" s="3">
        <v>0</v>
      </c>
      <c r="J291" s="318">
        <v>15.24431539891291</v>
      </c>
      <c r="K291" s="3">
        <v>4.2920105744698978</v>
      </c>
      <c r="L291" s="3">
        <v>1.5962461263932486</v>
      </c>
      <c r="M291" s="318">
        <v>5.8882567008631463</v>
      </c>
      <c r="N291" s="3">
        <v>2.8261997341500411</v>
      </c>
      <c r="O291" s="3">
        <v>14.520633736851568</v>
      </c>
      <c r="P291" s="3">
        <v>2.8998500509582588</v>
      </c>
      <c r="Q291" s="3">
        <v>1.2119140555213579</v>
      </c>
      <c r="R291" s="3">
        <v>7.0172348661154968</v>
      </c>
      <c r="S291" s="3">
        <v>6.0400713423640644</v>
      </c>
      <c r="T291" s="3">
        <v>11.359715134820583</v>
      </c>
      <c r="U291" s="3">
        <v>1.8613601303607445</v>
      </c>
      <c r="V291" s="318">
        <v>47.736979051142114</v>
      </c>
      <c r="W291" s="318">
        <v>68.86955115091817</v>
      </c>
      <c r="X291" s="3">
        <v>6.8050102673949739</v>
      </c>
      <c r="Y291" s="318">
        <v>75.674561418313147</v>
      </c>
    </row>
    <row r="292" spans="1:25" x14ac:dyDescent="0.2">
      <c r="A292" s="314">
        <v>2017</v>
      </c>
      <c r="B292" s="5" t="s">
        <v>466</v>
      </c>
      <c r="C292" s="5" t="s">
        <v>181</v>
      </c>
      <c r="D292" s="5" t="s">
        <v>478</v>
      </c>
      <c r="E292" s="5" t="s">
        <v>188</v>
      </c>
      <c r="F292" s="5" t="s">
        <v>184</v>
      </c>
      <c r="G292" s="5" t="s">
        <v>189</v>
      </c>
      <c r="H292" s="3">
        <v>12.217022508517237</v>
      </c>
      <c r="I292" s="3">
        <v>7.4747297026845505</v>
      </c>
      <c r="J292" s="318">
        <v>19.691752211201788</v>
      </c>
      <c r="K292" s="3">
        <v>0.39819879400322261</v>
      </c>
      <c r="L292" s="3">
        <v>5.0060446034241908</v>
      </c>
      <c r="M292" s="318">
        <v>5.4042433974274138</v>
      </c>
      <c r="N292" s="3">
        <v>2.1628027536734393</v>
      </c>
      <c r="O292" s="3">
        <v>6.7444720938685103</v>
      </c>
      <c r="P292" s="3">
        <v>3.0369834793511052</v>
      </c>
      <c r="Q292" s="3">
        <v>1.8090780317555133</v>
      </c>
      <c r="R292" s="3">
        <v>4.4234459706002376</v>
      </c>
      <c r="S292" s="3">
        <v>7.6395720415128254</v>
      </c>
      <c r="T292" s="3">
        <v>18.973925290068166</v>
      </c>
      <c r="U292" s="3">
        <v>2.7134905136599343</v>
      </c>
      <c r="V292" s="318">
        <v>47.50377017448973</v>
      </c>
      <c r="W292" s="318">
        <v>72.599765783118926</v>
      </c>
      <c r="X292" s="3">
        <v>7.1735933124054938</v>
      </c>
      <c r="Y292" s="318">
        <v>79.773359095524427</v>
      </c>
    </row>
    <row r="293" spans="1:25" x14ac:dyDescent="0.2">
      <c r="A293" s="314">
        <v>2017</v>
      </c>
      <c r="B293" s="5" t="s">
        <v>466</v>
      </c>
      <c r="C293" s="5" t="s">
        <v>181</v>
      </c>
      <c r="D293" s="5" t="s">
        <v>478</v>
      </c>
      <c r="E293" s="5" t="s">
        <v>190</v>
      </c>
      <c r="F293" s="5" t="s">
        <v>184</v>
      </c>
      <c r="G293" s="5" t="s">
        <v>191</v>
      </c>
      <c r="H293" s="3">
        <v>6.5590597505966732</v>
      </c>
      <c r="I293" s="3">
        <v>0</v>
      </c>
      <c r="J293" s="318">
        <v>6.5590597505966732</v>
      </c>
      <c r="K293" s="3">
        <v>3.9431252630627891</v>
      </c>
      <c r="L293" s="3">
        <v>2.0702125861404599</v>
      </c>
      <c r="M293" s="318">
        <v>6.013337849203249</v>
      </c>
      <c r="N293" s="3">
        <v>3.3807347969349957</v>
      </c>
      <c r="O293" s="3">
        <v>11.379489279071221</v>
      </c>
      <c r="P293" s="3">
        <v>3.0537899146425951</v>
      </c>
      <c r="Q293" s="3">
        <v>2.2172803285541329</v>
      </c>
      <c r="R293" s="3">
        <v>4.6651066853050596</v>
      </c>
      <c r="S293" s="3">
        <v>7.3109697629892834</v>
      </c>
      <c r="T293" s="3">
        <v>18.002384667664089</v>
      </c>
      <c r="U293" s="3">
        <v>2.196809780142726</v>
      </c>
      <c r="V293" s="318">
        <v>52.206565215304103</v>
      </c>
      <c r="W293" s="318">
        <v>64.778962815104023</v>
      </c>
      <c r="X293" s="3">
        <v>6.4008186448315927</v>
      </c>
      <c r="Y293" s="318">
        <v>71.179781459935612</v>
      </c>
    </row>
    <row r="294" spans="1:25" x14ac:dyDescent="0.2">
      <c r="A294" s="314">
        <v>2017</v>
      </c>
      <c r="B294" s="5" t="s">
        <v>466</v>
      </c>
      <c r="C294" s="5" t="s">
        <v>181</v>
      </c>
      <c r="D294" s="5" t="s">
        <v>476</v>
      </c>
      <c r="E294" s="5" t="s">
        <v>192</v>
      </c>
      <c r="F294" s="5" t="s">
        <v>184</v>
      </c>
      <c r="G294" s="5" t="s">
        <v>193</v>
      </c>
      <c r="H294" s="3">
        <v>5.5371095872401837</v>
      </c>
      <c r="I294" s="3">
        <v>0</v>
      </c>
      <c r="J294" s="318">
        <v>5.5371095872401837</v>
      </c>
      <c r="K294" s="3">
        <v>0.4077000856649039</v>
      </c>
      <c r="L294" s="3">
        <v>2.9650268244579743</v>
      </c>
      <c r="M294" s="318">
        <v>3.3727269101228781</v>
      </c>
      <c r="N294" s="3">
        <v>22.096850922773509</v>
      </c>
      <c r="O294" s="3">
        <v>1.5067265745253595</v>
      </c>
      <c r="P294" s="3">
        <v>0.40086453811444217</v>
      </c>
      <c r="Q294" s="3">
        <v>0.14969270116921576</v>
      </c>
      <c r="R294" s="3">
        <v>0.95484344983201508</v>
      </c>
      <c r="S294" s="3">
        <v>2.3713070237310827</v>
      </c>
      <c r="T294" s="3">
        <v>2.6230614099305081</v>
      </c>
      <c r="U294" s="3">
        <v>0.46108826846311107</v>
      </c>
      <c r="V294" s="318">
        <v>30.564434888539243</v>
      </c>
      <c r="W294" s="318">
        <v>39.474271385902298</v>
      </c>
      <c r="X294" s="3">
        <v>3.900458440484833</v>
      </c>
      <c r="Y294" s="318">
        <v>43.374729826387131</v>
      </c>
    </row>
    <row r="295" spans="1:25" x14ac:dyDescent="0.2">
      <c r="A295" s="314">
        <v>2017</v>
      </c>
      <c r="B295" s="5" t="s">
        <v>466</v>
      </c>
      <c r="C295" s="5" t="s">
        <v>181</v>
      </c>
      <c r="D295" s="5" t="s">
        <v>479</v>
      </c>
      <c r="E295" s="5" t="s">
        <v>194</v>
      </c>
      <c r="F295" s="5" t="s">
        <v>184</v>
      </c>
      <c r="G295" s="5" t="s">
        <v>195</v>
      </c>
      <c r="H295" s="3">
        <v>153.58071337972893</v>
      </c>
      <c r="I295" s="3">
        <v>0.77305595778162228</v>
      </c>
      <c r="J295" s="318">
        <v>154.35376933751056</v>
      </c>
      <c r="K295" s="3">
        <v>38.313017168003228</v>
      </c>
      <c r="L295" s="3">
        <v>7.3387013247995156</v>
      </c>
      <c r="M295" s="318">
        <v>45.651718492802743</v>
      </c>
      <c r="N295" s="3">
        <v>26.900373041971815</v>
      </c>
      <c r="O295" s="3">
        <v>55.433084030683752</v>
      </c>
      <c r="P295" s="3">
        <v>6.3546912534415112</v>
      </c>
      <c r="Q295" s="3">
        <v>11.031136497998494</v>
      </c>
      <c r="R295" s="3">
        <v>22.48303561531597</v>
      </c>
      <c r="S295" s="3">
        <v>27.990617924553586</v>
      </c>
      <c r="T295" s="3">
        <v>28.15291940356936</v>
      </c>
      <c r="U295" s="3">
        <v>8.2309857398425326</v>
      </c>
      <c r="V295" s="318">
        <v>186.57684350737702</v>
      </c>
      <c r="W295" s="318">
        <v>386.58233133769033</v>
      </c>
      <c r="X295" s="3">
        <v>38.198255832706941</v>
      </c>
      <c r="Y295" s="318">
        <v>424.78058717039727</v>
      </c>
    </row>
    <row r="296" spans="1:25" x14ac:dyDescent="0.2">
      <c r="A296" s="314">
        <v>2017</v>
      </c>
      <c r="B296" s="5" t="s">
        <v>466</v>
      </c>
      <c r="C296" s="5" t="s">
        <v>181</v>
      </c>
      <c r="D296" s="5" t="s">
        <v>479</v>
      </c>
      <c r="E296" s="5" t="s">
        <v>196</v>
      </c>
      <c r="F296" s="5" t="s">
        <v>184</v>
      </c>
      <c r="G296" s="5" t="s">
        <v>197</v>
      </c>
      <c r="H296" s="3">
        <v>46.62022076802289</v>
      </c>
      <c r="I296" s="3">
        <v>0</v>
      </c>
      <c r="J296" s="318">
        <v>46.62022076802289</v>
      </c>
      <c r="K296" s="3">
        <v>129.12382411653968</v>
      </c>
      <c r="L296" s="3">
        <v>53.694513617260469</v>
      </c>
      <c r="M296" s="318">
        <v>182.81833773380015</v>
      </c>
      <c r="N296" s="3">
        <v>6.5483424071924246</v>
      </c>
      <c r="O296" s="3">
        <v>36.05843784813257</v>
      </c>
      <c r="P296" s="3">
        <v>3.1460773657223253</v>
      </c>
      <c r="Q296" s="3">
        <v>4.3373231356253541</v>
      </c>
      <c r="R296" s="3">
        <v>10.762758083334006</v>
      </c>
      <c r="S296" s="3">
        <v>20.322483365222677</v>
      </c>
      <c r="T296" s="3">
        <v>12.647632268709884</v>
      </c>
      <c r="U296" s="3">
        <v>4.9593630145483711</v>
      </c>
      <c r="V296" s="318">
        <v>98.78241748848761</v>
      </c>
      <c r="W296" s="318">
        <v>328.22097599031065</v>
      </c>
      <c r="X296" s="3">
        <v>32.431561905985873</v>
      </c>
      <c r="Y296" s="318">
        <v>360.65253789629651</v>
      </c>
    </row>
    <row r="297" spans="1:25" x14ac:dyDescent="0.2">
      <c r="A297" s="314">
        <v>2017</v>
      </c>
      <c r="B297" s="5" t="s">
        <v>466</v>
      </c>
      <c r="C297" s="5" t="s">
        <v>181</v>
      </c>
      <c r="D297" s="5" t="s">
        <v>476</v>
      </c>
      <c r="E297" s="5" t="s">
        <v>198</v>
      </c>
      <c r="F297" s="5" t="s">
        <v>184</v>
      </c>
      <c r="G297" s="5" t="s">
        <v>199</v>
      </c>
      <c r="H297" s="3">
        <v>20.20949148129117</v>
      </c>
      <c r="I297" s="3">
        <v>0.16258447601199677</v>
      </c>
      <c r="J297" s="318">
        <v>20.372075957303167</v>
      </c>
      <c r="K297" s="3">
        <v>14.014450631695079</v>
      </c>
      <c r="L297" s="3">
        <v>11.120577532340354</v>
      </c>
      <c r="M297" s="318">
        <v>25.135028164035432</v>
      </c>
      <c r="N297" s="3">
        <v>19.213928593254042</v>
      </c>
      <c r="O297" s="3">
        <v>61.238345586966361</v>
      </c>
      <c r="P297" s="3">
        <v>28.209087135769728</v>
      </c>
      <c r="Q297" s="3">
        <v>6.13648811049225</v>
      </c>
      <c r="R297" s="3">
        <v>27.208905494352098</v>
      </c>
      <c r="S297" s="3">
        <v>38.477084808230025</v>
      </c>
      <c r="T297" s="3">
        <v>48.796880933117329</v>
      </c>
      <c r="U297" s="3">
        <v>11.935151654486598</v>
      </c>
      <c r="V297" s="318">
        <v>241.21587231666842</v>
      </c>
      <c r="W297" s="318">
        <v>286.72297643800698</v>
      </c>
      <c r="X297" s="3">
        <v>28.331138593933936</v>
      </c>
      <c r="Y297" s="318">
        <v>315.05411503194091</v>
      </c>
    </row>
    <row r="298" spans="1:25" x14ac:dyDescent="0.2">
      <c r="A298" s="314">
        <v>2017</v>
      </c>
      <c r="B298" s="5" t="s">
        <v>466</v>
      </c>
      <c r="C298" s="5" t="s">
        <v>181</v>
      </c>
      <c r="D298" s="5" t="s">
        <v>476</v>
      </c>
      <c r="E298" s="5" t="s">
        <v>200</v>
      </c>
      <c r="F298" s="5" t="s">
        <v>184</v>
      </c>
      <c r="G298" s="5" t="s">
        <v>201</v>
      </c>
      <c r="H298" s="3">
        <v>7.2660189265630946</v>
      </c>
      <c r="I298" s="3">
        <v>0</v>
      </c>
      <c r="J298" s="318">
        <v>7.2660189265630946</v>
      </c>
      <c r="K298" s="3">
        <v>1.30147390533276</v>
      </c>
      <c r="L298" s="3">
        <v>4.1170931505769222</v>
      </c>
      <c r="M298" s="318">
        <v>5.4185670559096817</v>
      </c>
      <c r="N298" s="3">
        <v>28.361158072441594</v>
      </c>
      <c r="O298" s="3">
        <v>3.1439760183101133</v>
      </c>
      <c r="P298" s="3">
        <v>0.97193479276181027</v>
      </c>
      <c r="Q298" s="3">
        <v>0.7144384981084918</v>
      </c>
      <c r="R298" s="3">
        <v>1.465159125965898</v>
      </c>
      <c r="S298" s="3">
        <v>3.7045790293273035</v>
      </c>
      <c r="T298" s="3">
        <v>5.0109233228408119</v>
      </c>
      <c r="U298" s="3">
        <v>1.0250613425977728</v>
      </c>
      <c r="V298" s="318">
        <v>44.397230202353796</v>
      </c>
      <c r="W298" s="318">
        <v>57.081816184826572</v>
      </c>
      <c r="X298" s="3">
        <v>5.6402624777977612</v>
      </c>
      <c r="Y298" s="318">
        <v>62.722078662624334</v>
      </c>
    </row>
    <row r="299" spans="1:25" x14ac:dyDescent="0.2">
      <c r="A299" s="314">
        <v>2017</v>
      </c>
      <c r="B299" s="5" t="s">
        <v>466</v>
      </c>
      <c r="C299" s="5" t="s">
        <v>181</v>
      </c>
      <c r="D299" s="5" t="s">
        <v>480</v>
      </c>
      <c r="E299" s="5" t="s">
        <v>202</v>
      </c>
      <c r="F299" s="5" t="s">
        <v>184</v>
      </c>
      <c r="G299" s="5" t="s">
        <v>203</v>
      </c>
      <c r="H299" s="3">
        <v>41.839759493272226</v>
      </c>
      <c r="I299" s="3">
        <v>7.3406560207959402</v>
      </c>
      <c r="J299" s="318">
        <v>49.180415514068166</v>
      </c>
      <c r="K299" s="3">
        <v>9.0131179497226146</v>
      </c>
      <c r="L299" s="3">
        <v>10.143715294628523</v>
      </c>
      <c r="M299" s="318">
        <v>19.156833244351137</v>
      </c>
      <c r="N299" s="3">
        <v>10.97383236616627</v>
      </c>
      <c r="O299" s="3">
        <v>27.080383035544529</v>
      </c>
      <c r="P299" s="3">
        <v>14.836509715175492</v>
      </c>
      <c r="Q299" s="3">
        <v>7.8728935645263203</v>
      </c>
      <c r="R299" s="3">
        <v>19.255240055449942</v>
      </c>
      <c r="S299" s="3">
        <v>21.366548471835074</v>
      </c>
      <c r="T299" s="3">
        <v>47.583576478941644</v>
      </c>
      <c r="U299" s="3">
        <v>6.0557877271244349</v>
      </c>
      <c r="V299" s="318">
        <v>155.02477141476371</v>
      </c>
      <c r="W299" s="318">
        <v>223.362020173183</v>
      </c>
      <c r="X299" s="3">
        <v>22.070433380548167</v>
      </c>
      <c r="Y299" s="318">
        <v>245.43245355373116</v>
      </c>
    </row>
    <row r="300" spans="1:25" x14ac:dyDescent="0.2">
      <c r="A300" s="314">
        <v>2017</v>
      </c>
      <c r="B300" s="5" t="s">
        <v>466</v>
      </c>
      <c r="C300" s="5" t="s">
        <v>181</v>
      </c>
      <c r="D300" s="5" t="s">
        <v>480</v>
      </c>
      <c r="E300" s="5" t="s">
        <v>204</v>
      </c>
      <c r="F300" s="5" t="s">
        <v>184</v>
      </c>
      <c r="G300" s="5" t="s">
        <v>205</v>
      </c>
      <c r="H300" s="3">
        <v>2.493498332759152</v>
      </c>
      <c r="I300" s="3">
        <v>0</v>
      </c>
      <c r="J300" s="318">
        <v>2.493498332759152</v>
      </c>
      <c r="K300" s="3">
        <v>0.73360304793282105</v>
      </c>
      <c r="L300" s="3">
        <v>3.7540232841531926</v>
      </c>
      <c r="M300" s="318">
        <v>4.4876263320860135</v>
      </c>
      <c r="N300" s="3">
        <v>1.8145650782219049</v>
      </c>
      <c r="O300" s="3">
        <v>6.90716869593839</v>
      </c>
      <c r="P300" s="3">
        <v>4.0268167406873223</v>
      </c>
      <c r="Q300" s="3">
        <v>1.4702990491141541</v>
      </c>
      <c r="R300" s="3">
        <v>8.3977700774216668</v>
      </c>
      <c r="S300" s="3">
        <v>5.5120209785140162</v>
      </c>
      <c r="T300" s="3">
        <v>14.275553048841688</v>
      </c>
      <c r="U300" s="3">
        <v>3.0857107037335227</v>
      </c>
      <c r="V300" s="318">
        <v>45.489904372472665</v>
      </c>
      <c r="W300" s="318">
        <v>52.471029037317834</v>
      </c>
      <c r="X300" s="3">
        <v>5.1846699357349779</v>
      </c>
      <c r="Y300" s="318">
        <v>57.655698973052814</v>
      </c>
    </row>
    <row r="301" spans="1:25" x14ac:dyDescent="0.2">
      <c r="A301" s="314">
        <v>2017</v>
      </c>
      <c r="B301" s="5" t="s">
        <v>466</v>
      </c>
      <c r="C301" s="5" t="s">
        <v>181</v>
      </c>
      <c r="D301" s="5" t="s">
        <v>479</v>
      </c>
      <c r="E301" s="5" t="s">
        <v>206</v>
      </c>
      <c r="F301" s="5" t="s">
        <v>184</v>
      </c>
      <c r="G301" s="5" t="s">
        <v>207</v>
      </c>
      <c r="H301" s="3">
        <v>4.8575722777000117</v>
      </c>
      <c r="I301" s="3">
        <v>0</v>
      </c>
      <c r="J301" s="318">
        <v>4.8575722777000117</v>
      </c>
      <c r="K301" s="3">
        <v>1.6853728871668714</v>
      </c>
      <c r="L301" s="3">
        <v>1.3938105674142662</v>
      </c>
      <c r="M301" s="318">
        <v>3.0791834545811376</v>
      </c>
      <c r="N301" s="3">
        <v>2.1747608325745653</v>
      </c>
      <c r="O301" s="3">
        <v>6.7214663867689994</v>
      </c>
      <c r="P301" s="3">
        <v>1.4517459678551587</v>
      </c>
      <c r="Q301" s="3">
        <v>0.98211522945008611</v>
      </c>
      <c r="R301" s="3">
        <v>3.1330645956735026</v>
      </c>
      <c r="S301" s="3">
        <v>3.2615335052757453</v>
      </c>
      <c r="T301" s="3">
        <v>6.993936224792777</v>
      </c>
      <c r="U301" s="3">
        <v>1.2930250004135189</v>
      </c>
      <c r="V301" s="318">
        <v>26.011647742804353</v>
      </c>
      <c r="W301" s="318">
        <v>33.948403475085499</v>
      </c>
      <c r="X301" s="3">
        <v>3.3544466364152301</v>
      </c>
      <c r="Y301" s="318">
        <v>37.302850111500732</v>
      </c>
    </row>
    <row r="302" spans="1:25" x14ac:dyDescent="0.2">
      <c r="A302" s="314">
        <v>2017</v>
      </c>
      <c r="B302" s="5" t="s">
        <v>466</v>
      </c>
      <c r="C302" s="5" t="s">
        <v>181</v>
      </c>
      <c r="D302" s="5" t="s">
        <v>479</v>
      </c>
      <c r="E302" s="5" t="s">
        <v>208</v>
      </c>
      <c r="F302" s="5" t="s">
        <v>184</v>
      </c>
      <c r="G302" s="5" t="s">
        <v>209</v>
      </c>
      <c r="H302" s="3">
        <v>55.979602176700965</v>
      </c>
      <c r="I302" s="3">
        <v>0.28280675109623843</v>
      </c>
      <c r="J302" s="318">
        <v>56.262408927797203</v>
      </c>
      <c r="K302" s="3">
        <v>381.68054167518409</v>
      </c>
      <c r="L302" s="3">
        <v>78.306367261656362</v>
      </c>
      <c r="M302" s="318">
        <v>459.98690893684045</v>
      </c>
      <c r="N302" s="3">
        <v>16.695619232668623</v>
      </c>
      <c r="O302" s="3">
        <v>69.117137938926362</v>
      </c>
      <c r="P302" s="3">
        <v>9.0892222748015659</v>
      </c>
      <c r="Q302" s="3">
        <v>10.074142766435239</v>
      </c>
      <c r="R302" s="3">
        <v>25.472790900369628</v>
      </c>
      <c r="S302" s="3">
        <v>49.765075760027123</v>
      </c>
      <c r="T302" s="3">
        <v>32.000576787343604</v>
      </c>
      <c r="U302" s="3">
        <v>6.6079022190066707</v>
      </c>
      <c r="V302" s="318">
        <v>218.8224678795788</v>
      </c>
      <c r="W302" s="318">
        <v>735.07178574421641</v>
      </c>
      <c r="X302" s="3">
        <v>72.632549009941712</v>
      </c>
      <c r="Y302" s="318">
        <v>807.70433475415814</v>
      </c>
    </row>
    <row r="303" spans="1:25" x14ac:dyDescent="0.2">
      <c r="A303" s="314">
        <v>2017</v>
      </c>
      <c r="B303" s="5" t="s">
        <v>466</v>
      </c>
      <c r="C303" s="5" t="s">
        <v>181</v>
      </c>
      <c r="D303" s="5" t="s">
        <v>479</v>
      </c>
      <c r="E303" s="5" t="s">
        <v>210</v>
      </c>
      <c r="F303" s="5" t="s">
        <v>184</v>
      </c>
      <c r="G303" s="5" t="s">
        <v>211</v>
      </c>
      <c r="H303" s="3">
        <v>323.92220496856601</v>
      </c>
      <c r="I303" s="3">
        <v>13.315060064150032</v>
      </c>
      <c r="J303" s="318">
        <v>337.23726503271604</v>
      </c>
      <c r="K303" s="3">
        <v>217.35203482633739</v>
      </c>
      <c r="L303" s="3">
        <v>47.884287741236903</v>
      </c>
      <c r="M303" s="318">
        <v>265.23632256757429</v>
      </c>
      <c r="N303" s="3">
        <v>33.945294697596132</v>
      </c>
      <c r="O303" s="3">
        <v>105.75731197367092</v>
      </c>
      <c r="P303" s="3">
        <v>13.847595477123638</v>
      </c>
      <c r="Q303" s="3">
        <v>12.79842040996034</v>
      </c>
      <c r="R303" s="3">
        <v>30.361927711000067</v>
      </c>
      <c r="S303" s="3">
        <v>64.829238304561812</v>
      </c>
      <c r="T303" s="3">
        <v>98.091411088300987</v>
      </c>
      <c r="U303" s="3">
        <v>11.007942327774876</v>
      </c>
      <c r="V303" s="318">
        <v>370.63914198998879</v>
      </c>
      <c r="W303" s="318">
        <v>973.11272959027906</v>
      </c>
      <c r="X303" s="3">
        <v>96.1534089525762</v>
      </c>
      <c r="Y303" s="318">
        <v>1069.2661385428553</v>
      </c>
    </row>
    <row r="304" spans="1:25" x14ac:dyDescent="0.2">
      <c r="A304" s="314">
        <v>2017</v>
      </c>
      <c r="B304" s="5" t="s">
        <v>466</v>
      </c>
      <c r="C304" s="5" t="s">
        <v>181</v>
      </c>
      <c r="D304" s="5" t="s">
        <v>480</v>
      </c>
      <c r="E304" s="5" t="s">
        <v>212</v>
      </c>
      <c r="F304" s="5" t="s">
        <v>184</v>
      </c>
      <c r="G304" s="5" t="s">
        <v>213</v>
      </c>
      <c r="H304" s="3">
        <v>9.5323473233349638</v>
      </c>
      <c r="I304" s="3">
        <v>0</v>
      </c>
      <c r="J304" s="318">
        <v>9.5323473233349638</v>
      </c>
      <c r="K304" s="3">
        <v>5.3927708614155332</v>
      </c>
      <c r="L304" s="3">
        <v>0.34385327617196371</v>
      </c>
      <c r="M304" s="318">
        <v>5.7366241375874969</v>
      </c>
      <c r="N304" s="3">
        <v>10.892397738294818</v>
      </c>
      <c r="O304" s="3">
        <v>12.344757362217901</v>
      </c>
      <c r="P304" s="3">
        <v>3.1496912090083615</v>
      </c>
      <c r="Q304" s="3">
        <v>1.4476369907696673</v>
      </c>
      <c r="R304" s="3">
        <v>4.0373854180781681</v>
      </c>
      <c r="S304" s="3">
        <v>6.3580047401671091</v>
      </c>
      <c r="T304" s="3">
        <v>10.256497361715903</v>
      </c>
      <c r="U304" s="3">
        <v>2.1714018762426965</v>
      </c>
      <c r="V304" s="318">
        <v>50.657772696494625</v>
      </c>
      <c r="W304" s="318">
        <v>65.92674415741709</v>
      </c>
      <c r="X304" s="3">
        <v>6.5142310845620157</v>
      </c>
      <c r="Y304" s="318">
        <v>72.440975241979103</v>
      </c>
    </row>
    <row r="305" spans="1:25" x14ac:dyDescent="0.2">
      <c r="A305" s="314">
        <v>2017</v>
      </c>
      <c r="B305" s="5" t="s">
        <v>466</v>
      </c>
      <c r="C305" s="5" t="s">
        <v>181</v>
      </c>
      <c r="D305" s="5" t="s">
        <v>478</v>
      </c>
      <c r="E305" s="5" t="s">
        <v>214</v>
      </c>
      <c r="F305" s="5" t="s">
        <v>184</v>
      </c>
      <c r="G305" s="5" t="s">
        <v>215</v>
      </c>
      <c r="H305" s="3">
        <v>15.900338597396681</v>
      </c>
      <c r="I305" s="3">
        <v>2.0667022158332582</v>
      </c>
      <c r="J305" s="318">
        <v>17.967040813229939</v>
      </c>
      <c r="K305" s="3">
        <v>3.9018813398259269</v>
      </c>
      <c r="L305" s="3">
        <v>6.4903453246791489</v>
      </c>
      <c r="M305" s="318">
        <v>10.392226664505076</v>
      </c>
      <c r="N305" s="3">
        <v>4.559260521229672</v>
      </c>
      <c r="O305" s="3">
        <v>40.83515608401013</v>
      </c>
      <c r="P305" s="3">
        <v>3.7593985985850793</v>
      </c>
      <c r="Q305" s="3">
        <v>2.9945573213457646</v>
      </c>
      <c r="R305" s="3">
        <v>7.0387165055805889</v>
      </c>
      <c r="S305" s="3">
        <v>11.859990545766486</v>
      </c>
      <c r="T305" s="3">
        <v>22.314736477662855</v>
      </c>
      <c r="U305" s="3">
        <v>3.2841466792896168</v>
      </c>
      <c r="V305" s="318">
        <v>96.645962733470185</v>
      </c>
      <c r="W305" s="318">
        <v>125.0052302112052</v>
      </c>
      <c r="X305" s="3">
        <v>12.351784799660084</v>
      </c>
      <c r="Y305" s="318">
        <v>137.3570150108653</v>
      </c>
    </row>
    <row r="306" spans="1:25" x14ac:dyDescent="0.2">
      <c r="A306" s="314">
        <v>2017</v>
      </c>
      <c r="B306" s="5" t="s">
        <v>466</v>
      </c>
      <c r="C306" s="5" t="s">
        <v>181</v>
      </c>
      <c r="D306" s="5" t="s">
        <v>478</v>
      </c>
      <c r="E306" s="5" t="s">
        <v>216</v>
      </c>
      <c r="F306" s="5" t="s">
        <v>184</v>
      </c>
      <c r="G306" s="5" t="s">
        <v>217</v>
      </c>
      <c r="H306" s="3">
        <v>46.031122674675686</v>
      </c>
      <c r="I306" s="3">
        <v>0.60113142234397543</v>
      </c>
      <c r="J306" s="318">
        <v>46.632254097019661</v>
      </c>
      <c r="K306" s="3">
        <v>89.333494087435355</v>
      </c>
      <c r="L306" s="3">
        <v>34.215126569449126</v>
      </c>
      <c r="M306" s="318">
        <v>123.54862065688448</v>
      </c>
      <c r="N306" s="3">
        <v>22.938589682870678</v>
      </c>
      <c r="O306" s="3">
        <v>125.24058657552609</v>
      </c>
      <c r="P306" s="3">
        <v>10.373476769219444</v>
      </c>
      <c r="Q306" s="3">
        <v>16.297879974943847</v>
      </c>
      <c r="R306" s="3">
        <v>33.875437979662088</v>
      </c>
      <c r="S306" s="3">
        <v>49.79664167364426</v>
      </c>
      <c r="T306" s="3">
        <v>83.345309269787066</v>
      </c>
      <c r="U306" s="3">
        <v>13.227201470056126</v>
      </c>
      <c r="V306" s="318">
        <v>355.09512339570961</v>
      </c>
      <c r="W306" s="318">
        <v>525.27599814961377</v>
      </c>
      <c r="X306" s="3">
        <v>51.902597024209143</v>
      </c>
      <c r="Y306" s="318">
        <v>577.17859517382294</v>
      </c>
    </row>
    <row r="307" spans="1:25" x14ac:dyDescent="0.2">
      <c r="A307" s="314">
        <v>2017</v>
      </c>
      <c r="B307" s="5" t="s">
        <v>466</v>
      </c>
      <c r="C307" s="5" t="s">
        <v>218</v>
      </c>
      <c r="D307" s="5" t="s">
        <v>481</v>
      </c>
      <c r="E307" s="5" t="s">
        <v>220</v>
      </c>
      <c r="F307" s="5" t="s">
        <v>221</v>
      </c>
      <c r="G307" s="5" t="s">
        <v>223</v>
      </c>
      <c r="H307" s="3">
        <v>4.7133129229736515</v>
      </c>
      <c r="I307" s="3">
        <v>0.10252122287534604</v>
      </c>
      <c r="J307" s="318">
        <v>4.8158341458489975</v>
      </c>
      <c r="K307" s="3">
        <v>0.62632028776988413</v>
      </c>
      <c r="L307" s="3">
        <v>1.2776398328220813</v>
      </c>
      <c r="M307" s="318">
        <v>1.9039601205919654</v>
      </c>
      <c r="N307" s="3">
        <v>2.9007055336478729</v>
      </c>
      <c r="O307" s="3">
        <v>1.9454216530861608</v>
      </c>
      <c r="P307" s="3">
        <v>0.55852734470667798</v>
      </c>
      <c r="Q307" s="3">
        <v>0.33096137385988189</v>
      </c>
      <c r="R307" s="3">
        <v>1.0624953143698035</v>
      </c>
      <c r="S307" s="3">
        <v>1.8437750401137412</v>
      </c>
      <c r="T307" s="3">
        <v>5.8585331613312341</v>
      </c>
      <c r="U307" s="3">
        <v>0.45439557736434649</v>
      </c>
      <c r="V307" s="318">
        <v>14.954814998479719</v>
      </c>
      <c r="W307" s="318">
        <v>21.674609264920683</v>
      </c>
      <c r="X307" s="3">
        <v>2.1416712629118542</v>
      </c>
      <c r="Y307" s="318">
        <v>23.816280527832536</v>
      </c>
    </row>
    <row r="308" spans="1:25" x14ac:dyDescent="0.2">
      <c r="A308" s="314">
        <v>2017</v>
      </c>
      <c r="B308" s="5" t="s">
        <v>466</v>
      </c>
      <c r="C308" s="5" t="s">
        <v>218</v>
      </c>
      <c r="D308" s="5" t="s">
        <v>482</v>
      </c>
      <c r="E308" s="5" t="s">
        <v>224</v>
      </c>
      <c r="F308" s="5" t="s">
        <v>221</v>
      </c>
      <c r="G308" s="5" t="s">
        <v>226</v>
      </c>
      <c r="H308" s="3">
        <v>41.707920480897329</v>
      </c>
      <c r="I308" s="3">
        <v>0</v>
      </c>
      <c r="J308" s="318">
        <v>41.707920480897329</v>
      </c>
      <c r="K308" s="3">
        <v>1.3034567932437435</v>
      </c>
      <c r="L308" s="3">
        <v>6.9869813603388984</v>
      </c>
      <c r="M308" s="318">
        <v>8.2904381535826417</v>
      </c>
      <c r="N308" s="3">
        <v>1.7018495007667898</v>
      </c>
      <c r="O308" s="3">
        <v>6.8223800058570996</v>
      </c>
      <c r="P308" s="3">
        <v>3.1907629142840754</v>
      </c>
      <c r="Q308" s="3">
        <v>2.0203163636497652</v>
      </c>
      <c r="R308" s="3">
        <v>5.1128491050408682</v>
      </c>
      <c r="S308" s="3">
        <v>7.6423667775765942</v>
      </c>
      <c r="T308" s="3">
        <v>13.726885163574018</v>
      </c>
      <c r="U308" s="3">
        <v>1.9639684700821918</v>
      </c>
      <c r="V308" s="318">
        <v>42.181378300831405</v>
      </c>
      <c r="W308" s="318">
        <v>92.179736935311382</v>
      </c>
      <c r="X308" s="3">
        <v>9.1082930817416639</v>
      </c>
      <c r="Y308" s="318">
        <v>101.28803001705305</v>
      </c>
    </row>
    <row r="309" spans="1:25" x14ac:dyDescent="0.2">
      <c r="A309" s="314">
        <v>2017</v>
      </c>
      <c r="B309" s="5" t="s">
        <v>466</v>
      </c>
      <c r="C309" s="5" t="s">
        <v>218</v>
      </c>
      <c r="D309" s="5" t="s">
        <v>482</v>
      </c>
      <c r="E309" s="5" t="s">
        <v>227</v>
      </c>
      <c r="F309" s="5" t="s">
        <v>221</v>
      </c>
      <c r="G309" s="5" t="s">
        <v>228</v>
      </c>
      <c r="H309" s="3">
        <v>12.343746951632305</v>
      </c>
      <c r="I309" s="3">
        <v>0</v>
      </c>
      <c r="J309" s="318">
        <v>12.343746951632305</v>
      </c>
      <c r="K309" s="3">
        <v>0.94320502274784623</v>
      </c>
      <c r="L309" s="3">
        <v>3.3831342907317117</v>
      </c>
      <c r="M309" s="318">
        <v>4.3263393134795578</v>
      </c>
      <c r="N309" s="3">
        <v>0.98367307186991448</v>
      </c>
      <c r="O309" s="3">
        <v>4.7516826284447466</v>
      </c>
      <c r="P309" s="3">
        <v>2.3352615444601428</v>
      </c>
      <c r="Q309" s="3">
        <v>1.1066394948065992</v>
      </c>
      <c r="R309" s="3">
        <v>3.520634783338279</v>
      </c>
      <c r="S309" s="3">
        <v>5.1466314974790404</v>
      </c>
      <c r="T309" s="3">
        <v>15.077005498271811</v>
      </c>
      <c r="U309" s="3">
        <v>1.7969716484786975</v>
      </c>
      <c r="V309" s="318">
        <v>34.71850016714923</v>
      </c>
      <c r="W309" s="318">
        <v>51.388586432261093</v>
      </c>
      <c r="X309" s="3">
        <v>5.0777136260425388</v>
      </c>
      <c r="Y309" s="318">
        <v>56.466300058303631</v>
      </c>
    </row>
    <row r="310" spans="1:25" x14ac:dyDescent="0.2">
      <c r="A310" s="314">
        <v>2017</v>
      </c>
      <c r="B310" s="5" t="s">
        <v>466</v>
      </c>
      <c r="C310" s="5" t="s">
        <v>218</v>
      </c>
      <c r="D310" s="5" t="s">
        <v>482</v>
      </c>
      <c r="E310" s="5" t="s">
        <v>229</v>
      </c>
      <c r="F310" s="5" t="s">
        <v>221</v>
      </c>
      <c r="G310" s="5" t="s">
        <v>230</v>
      </c>
      <c r="H310" s="3">
        <v>7.1225442616370707</v>
      </c>
      <c r="I310" s="3">
        <v>19.752491141347988</v>
      </c>
      <c r="J310" s="318">
        <v>26.875035402985059</v>
      </c>
      <c r="K310" s="3">
        <v>3.402832091127487</v>
      </c>
      <c r="L310" s="3">
        <v>2.3253245543006775</v>
      </c>
      <c r="M310" s="318">
        <v>5.7281566454281645</v>
      </c>
      <c r="N310" s="3">
        <v>3.971775968012353</v>
      </c>
      <c r="O310" s="3">
        <v>7.5237104060451614</v>
      </c>
      <c r="P310" s="3">
        <v>4.709621393259372</v>
      </c>
      <c r="Q310" s="3">
        <v>2.1043161797397323</v>
      </c>
      <c r="R310" s="3">
        <v>10.071445848820877</v>
      </c>
      <c r="S310" s="3">
        <v>8.1109574618966658</v>
      </c>
      <c r="T310" s="3">
        <v>12.523596667072715</v>
      </c>
      <c r="U310" s="3">
        <v>3.4007865879442969</v>
      </c>
      <c r="V310" s="318">
        <v>52.416210512791174</v>
      </c>
      <c r="W310" s="318">
        <v>85.019402561204402</v>
      </c>
      <c r="X310" s="3">
        <v>8.4007794110484664</v>
      </c>
      <c r="Y310" s="318">
        <v>93.420181972252863</v>
      </c>
    </row>
    <row r="311" spans="1:25" x14ac:dyDescent="0.2">
      <c r="A311" s="314">
        <v>2017</v>
      </c>
      <c r="B311" s="5" t="s">
        <v>466</v>
      </c>
      <c r="C311" s="5" t="s">
        <v>218</v>
      </c>
      <c r="D311" s="5" t="s">
        <v>482</v>
      </c>
      <c r="E311" s="5" t="s">
        <v>231</v>
      </c>
      <c r="F311" s="5" t="s">
        <v>221</v>
      </c>
      <c r="G311" s="5" t="s">
        <v>232</v>
      </c>
      <c r="H311" s="3">
        <v>37.71825667905528</v>
      </c>
      <c r="I311" s="3">
        <v>0.24747758543690423</v>
      </c>
      <c r="J311" s="318">
        <v>37.965734264492184</v>
      </c>
      <c r="K311" s="3">
        <v>3.0959270422972618</v>
      </c>
      <c r="L311" s="3">
        <v>5.8032309593719518</v>
      </c>
      <c r="M311" s="318">
        <v>8.899158001669214</v>
      </c>
      <c r="N311" s="3">
        <v>1.4800459017419669</v>
      </c>
      <c r="O311" s="3">
        <v>12.103631910870865</v>
      </c>
      <c r="P311" s="3">
        <v>3.276168344739852</v>
      </c>
      <c r="Q311" s="3">
        <v>2.8890713853972212</v>
      </c>
      <c r="R311" s="3">
        <v>6.9013280400734676</v>
      </c>
      <c r="S311" s="3">
        <v>9.0890632783720626</v>
      </c>
      <c r="T311" s="3">
        <v>19.979097472515832</v>
      </c>
      <c r="U311" s="3">
        <v>2.7050042275858091</v>
      </c>
      <c r="V311" s="318">
        <v>58.423410561297082</v>
      </c>
      <c r="W311" s="318">
        <v>105.28830282745848</v>
      </c>
      <c r="X311" s="3">
        <v>10.403552365360435</v>
      </c>
      <c r="Y311" s="318">
        <v>115.69185519281892</v>
      </c>
    </row>
    <row r="312" spans="1:25" x14ac:dyDescent="0.2">
      <c r="A312" s="314">
        <v>2017</v>
      </c>
      <c r="B312" s="5" t="s">
        <v>466</v>
      </c>
      <c r="C312" s="5" t="s">
        <v>218</v>
      </c>
      <c r="D312" s="5" t="s">
        <v>481</v>
      </c>
      <c r="E312" s="5" t="s">
        <v>233</v>
      </c>
      <c r="F312" s="5" t="s">
        <v>221</v>
      </c>
      <c r="G312" s="5" t="s">
        <v>234</v>
      </c>
      <c r="H312" s="3">
        <v>35.966034473129298</v>
      </c>
      <c r="I312" s="3">
        <v>0</v>
      </c>
      <c r="J312" s="318">
        <v>35.966034473129298</v>
      </c>
      <c r="K312" s="3">
        <v>1.5760382119966445</v>
      </c>
      <c r="L312" s="3">
        <v>11.08073896219793</v>
      </c>
      <c r="M312" s="318">
        <v>12.656777174194575</v>
      </c>
      <c r="N312" s="3">
        <v>9.8030925635350954</v>
      </c>
      <c r="O312" s="3">
        <v>28.336842459397829</v>
      </c>
      <c r="P312" s="3">
        <v>4.426288085968519</v>
      </c>
      <c r="Q312" s="3">
        <v>3.525797920806506</v>
      </c>
      <c r="R312" s="3">
        <v>11.927735267673476</v>
      </c>
      <c r="S312" s="3">
        <v>11.980703770869232</v>
      </c>
      <c r="T312" s="3">
        <v>26.023475513476928</v>
      </c>
      <c r="U312" s="3">
        <v>3.7142831376378034</v>
      </c>
      <c r="V312" s="318">
        <v>99.738218719365378</v>
      </c>
      <c r="W312" s="318">
        <v>148.36103036668925</v>
      </c>
      <c r="X312" s="3">
        <v>14.659574776583367</v>
      </c>
      <c r="Y312" s="318">
        <v>163.0206051432726</v>
      </c>
    </row>
    <row r="313" spans="1:25" x14ac:dyDescent="0.2">
      <c r="A313" s="314">
        <v>2017</v>
      </c>
      <c r="B313" s="5" t="s">
        <v>466</v>
      </c>
      <c r="C313" s="5" t="s">
        <v>218</v>
      </c>
      <c r="D313" s="5" t="s">
        <v>481</v>
      </c>
      <c r="E313" s="5" t="s">
        <v>235</v>
      </c>
      <c r="F313" s="5" t="s">
        <v>221</v>
      </c>
      <c r="G313" s="5" t="s">
        <v>236</v>
      </c>
      <c r="H313" s="3">
        <v>73.822058742815457</v>
      </c>
      <c r="I313" s="3">
        <v>0</v>
      </c>
      <c r="J313" s="318">
        <v>73.822058742815457</v>
      </c>
      <c r="K313" s="3">
        <v>4.7033346309411828</v>
      </c>
      <c r="L313" s="3">
        <v>15.969428024131361</v>
      </c>
      <c r="M313" s="318">
        <v>20.672762655072543</v>
      </c>
      <c r="N313" s="3">
        <v>5.6566727338197644</v>
      </c>
      <c r="O313" s="3">
        <v>43.52884255554973</v>
      </c>
      <c r="P313" s="3">
        <v>7.7612258414879305</v>
      </c>
      <c r="Q313" s="3">
        <v>6.9999156366554649</v>
      </c>
      <c r="R313" s="3">
        <v>15.356287823394192</v>
      </c>
      <c r="S313" s="3">
        <v>20.716430277249788</v>
      </c>
      <c r="T313" s="3">
        <v>39.283988321247001</v>
      </c>
      <c r="U313" s="3">
        <v>6.7833170934156488</v>
      </c>
      <c r="V313" s="318">
        <v>146.08668028281951</v>
      </c>
      <c r="W313" s="318">
        <v>240.5815016807075</v>
      </c>
      <c r="X313" s="3">
        <v>23.77189282815138</v>
      </c>
      <c r="Y313" s="318">
        <v>264.35339450885886</v>
      </c>
    </row>
    <row r="314" spans="1:25" x14ac:dyDescent="0.2">
      <c r="A314" s="314">
        <v>2017</v>
      </c>
      <c r="B314" s="5" t="s">
        <v>466</v>
      </c>
      <c r="C314" s="5" t="s">
        <v>218</v>
      </c>
      <c r="D314" s="5" t="s">
        <v>482</v>
      </c>
      <c r="E314" s="5" t="s">
        <v>237</v>
      </c>
      <c r="F314" s="5" t="s">
        <v>221</v>
      </c>
      <c r="G314" s="5" t="s">
        <v>238</v>
      </c>
      <c r="H314" s="3">
        <v>100.29765296459922</v>
      </c>
      <c r="I314" s="3">
        <v>0</v>
      </c>
      <c r="J314" s="318">
        <v>100.29765296459922</v>
      </c>
      <c r="K314" s="3">
        <v>8.8346781414854458</v>
      </c>
      <c r="L314" s="3">
        <v>9.1660924136953899</v>
      </c>
      <c r="M314" s="318">
        <v>18.000770555180836</v>
      </c>
      <c r="N314" s="3">
        <v>4.0383084860120935</v>
      </c>
      <c r="O314" s="3">
        <v>16.455475865494819</v>
      </c>
      <c r="P314" s="3">
        <v>5.0684529738091442</v>
      </c>
      <c r="Q314" s="3">
        <v>3.2543949389470437</v>
      </c>
      <c r="R314" s="3">
        <v>11.852714525550757</v>
      </c>
      <c r="S314" s="3">
        <v>12.855605989538807</v>
      </c>
      <c r="T314" s="3">
        <v>23.023064537564469</v>
      </c>
      <c r="U314" s="3">
        <v>5.8145664151870387</v>
      </c>
      <c r="V314" s="318">
        <v>82.362583732104184</v>
      </c>
      <c r="W314" s="318">
        <v>200.66100725188426</v>
      </c>
      <c r="X314" s="3">
        <v>19.827343024533199</v>
      </c>
      <c r="Y314" s="318">
        <v>220.48835027641746</v>
      </c>
    </row>
    <row r="315" spans="1:25" x14ac:dyDescent="0.2">
      <c r="A315" s="314">
        <v>2017</v>
      </c>
      <c r="B315" s="5" t="s">
        <v>466</v>
      </c>
      <c r="C315" s="5" t="s">
        <v>218</v>
      </c>
      <c r="D315" s="5" t="s">
        <v>481</v>
      </c>
      <c r="E315" s="5" t="s">
        <v>239</v>
      </c>
      <c r="F315" s="5" t="s">
        <v>221</v>
      </c>
      <c r="G315" s="5" t="s">
        <v>240</v>
      </c>
      <c r="H315" s="3">
        <v>28.234893914894482</v>
      </c>
      <c r="I315" s="3">
        <v>0.25403012914943091</v>
      </c>
      <c r="J315" s="318">
        <v>28.488924044043912</v>
      </c>
      <c r="K315" s="3">
        <v>1.3479935995911547</v>
      </c>
      <c r="L315" s="3">
        <v>16.304650860715256</v>
      </c>
      <c r="M315" s="318">
        <v>17.652644460306412</v>
      </c>
      <c r="N315" s="3">
        <v>16.232452924496059</v>
      </c>
      <c r="O315" s="3">
        <v>28.496781027442225</v>
      </c>
      <c r="P315" s="3">
        <v>6.5398039080300761</v>
      </c>
      <c r="Q315" s="3">
        <v>6.781371865581737</v>
      </c>
      <c r="R315" s="3">
        <v>11.85905699616494</v>
      </c>
      <c r="S315" s="3">
        <v>16.630861927208052</v>
      </c>
      <c r="T315" s="3">
        <v>37.21995816065526</v>
      </c>
      <c r="U315" s="3">
        <v>6.8241684560458147</v>
      </c>
      <c r="V315" s="318">
        <v>130.58445526562417</v>
      </c>
      <c r="W315" s="318">
        <v>176.72602376997452</v>
      </c>
      <c r="X315" s="3">
        <v>17.462323859715344</v>
      </c>
      <c r="Y315" s="318">
        <v>194.18834762968987</v>
      </c>
    </row>
    <row r="316" spans="1:25" x14ac:dyDescent="0.2">
      <c r="A316" s="314">
        <v>2017</v>
      </c>
      <c r="B316" s="5" t="s">
        <v>466</v>
      </c>
      <c r="C316" s="5" t="s">
        <v>218</v>
      </c>
      <c r="D316" s="5" t="s">
        <v>482</v>
      </c>
      <c r="E316" s="5" t="s">
        <v>241</v>
      </c>
      <c r="F316" s="5" t="s">
        <v>221</v>
      </c>
      <c r="G316" s="5" t="s">
        <v>242</v>
      </c>
      <c r="H316" s="3">
        <v>11.8264735251941</v>
      </c>
      <c r="I316" s="3">
        <v>0</v>
      </c>
      <c r="J316" s="318">
        <v>11.8264735251941</v>
      </c>
      <c r="K316" s="3">
        <v>0.99318543739724818</v>
      </c>
      <c r="L316" s="3">
        <v>3.135361554246066</v>
      </c>
      <c r="M316" s="318">
        <v>4.1285469916433142</v>
      </c>
      <c r="N316" s="3">
        <v>1.2231281363915583</v>
      </c>
      <c r="O316" s="3">
        <v>8.4933436984276156</v>
      </c>
      <c r="P316" s="3">
        <v>1.6859674264231013</v>
      </c>
      <c r="Q316" s="3">
        <v>0.98526945687739842</v>
      </c>
      <c r="R316" s="3">
        <v>4.3280549926063632</v>
      </c>
      <c r="S316" s="3">
        <v>4.9593207733918279</v>
      </c>
      <c r="T316" s="3">
        <v>10.5796075347968</v>
      </c>
      <c r="U316" s="3">
        <v>1.4206845927904548</v>
      </c>
      <c r="V316" s="318">
        <v>33.675376611705126</v>
      </c>
      <c r="W316" s="318">
        <v>49.63039712854254</v>
      </c>
      <c r="X316" s="3">
        <v>4.9039866877384073</v>
      </c>
      <c r="Y316" s="318">
        <v>54.53438381628095</v>
      </c>
    </row>
    <row r="317" spans="1:25" x14ac:dyDescent="0.2">
      <c r="A317" s="314">
        <v>2017</v>
      </c>
      <c r="B317" s="5" t="s">
        <v>466</v>
      </c>
      <c r="C317" s="5" t="s">
        <v>218</v>
      </c>
      <c r="D317" s="5" t="s">
        <v>482</v>
      </c>
      <c r="E317" s="5" t="s">
        <v>243</v>
      </c>
      <c r="F317" s="5" t="s">
        <v>221</v>
      </c>
      <c r="G317" s="5" t="s">
        <v>244</v>
      </c>
      <c r="H317" s="3">
        <v>18.506743912935743</v>
      </c>
      <c r="I317" s="3">
        <v>0.15722723002357597</v>
      </c>
      <c r="J317" s="318">
        <v>18.663971142959319</v>
      </c>
      <c r="K317" s="3">
        <v>1.472740606492428</v>
      </c>
      <c r="L317" s="3">
        <v>3.7133691355997431</v>
      </c>
      <c r="M317" s="318">
        <v>5.1861097420921709</v>
      </c>
      <c r="N317" s="3">
        <v>1.9164814586161434</v>
      </c>
      <c r="O317" s="3">
        <v>5.5581656668916324</v>
      </c>
      <c r="P317" s="3">
        <v>3.0326295016369729</v>
      </c>
      <c r="Q317" s="3">
        <v>1.6881794373154737</v>
      </c>
      <c r="R317" s="3">
        <v>5.3602652277213094</v>
      </c>
      <c r="S317" s="3">
        <v>5.3547501341743855</v>
      </c>
      <c r="T317" s="3">
        <v>12.022317993195797</v>
      </c>
      <c r="U317" s="3">
        <v>2.3512067667312495</v>
      </c>
      <c r="V317" s="318">
        <v>37.283996186282963</v>
      </c>
      <c r="W317" s="318">
        <v>61.134077071334453</v>
      </c>
      <c r="X317" s="3">
        <v>6.040666959575506</v>
      </c>
      <c r="Y317" s="318">
        <v>67.174744030909963</v>
      </c>
    </row>
    <row r="318" spans="1:25" x14ac:dyDescent="0.2">
      <c r="A318" s="314">
        <v>2017</v>
      </c>
      <c r="B318" s="5" t="s">
        <v>466</v>
      </c>
      <c r="C318" s="5" t="s">
        <v>218</v>
      </c>
      <c r="D318" s="5" t="s">
        <v>482</v>
      </c>
      <c r="E318" s="5" t="s">
        <v>245</v>
      </c>
      <c r="F318" s="5" t="s">
        <v>221</v>
      </c>
      <c r="G318" s="5" t="s">
        <v>246</v>
      </c>
      <c r="H318" s="3">
        <v>26.051632479828996</v>
      </c>
      <c r="I318" s="3">
        <v>0.1423212016601525</v>
      </c>
      <c r="J318" s="318">
        <v>26.193953681489148</v>
      </c>
      <c r="K318" s="3">
        <v>1.1494031171681109</v>
      </c>
      <c r="L318" s="3">
        <v>7.2278629764774447</v>
      </c>
      <c r="M318" s="318">
        <v>8.3772660936455559</v>
      </c>
      <c r="N318" s="3">
        <v>2.6076006405093022</v>
      </c>
      <c r="O318" s="3">
        <v>9.572265785648451</v>
      </c>
      <c r="P318" s="3">
        <v>3.3160701151176704</v>
      </c>
      <c r="Q318" s="3">
        <v>8.3971117014717649</v>
      </c>
      <c r="R318" s="3">
        <v>5.7016874156257416</v>
      </c>
      <c r="S318" s="3">
        <v>9.189381642844296</v>
      </c>
      <c r="T318" s="3">
        <v>20.651923607285148</v>
      </c>
      <c r="U318" s="3">
        <v>3.0143817403961952</v>
      </c>
      <c r="V318" s="318">
        <v>62.450422648898567</v>
      </c>
      <c r="W318" s="318">
        <v>97.021642424033274</v>
      </c>
      <c r="X318" s="3">
        <v>9.5867224603839762</v>
      </c>
      <c r="Y318" s="318">
        <v>106.60836488441726</v>
      </c>
    </row>
    <row r="319" spans="1:25" x14ac:dyDescent="0.2">
      <c r="A319" s="314">
        <v>2017</v>
      </c>
      <c r="B319" s="5" t="s">
        <v>466</v>
      </c>
      <c r="C319" s="5" t="s">
        <v>218</v>
      </c>
      <c r="D319" s="5" t="s">
        <v>482</v>
      </c>
      <c r="E319" s="5" t="s">
        <v>247</v>
      </c>
      <c r="F319" s="5" t="s">
        <v>221</v>
      </c>
      <c r="G319" s="5" t="s">
        <v>248</v>
      </c>
      <c r="H319" s="3">
        <v>6.1367128432988576</v>
      </c>
      <c r="I319" s="3">
        <v>4.6775483934310635E-2</v>
      </c>
      <c r="J319" s="318">
        <v>6.1834883272331682</v>
      </c>
      <c r="K319" s="3">
        <v>0.60421065979777877</v>
      </c>
      <c r="L319" s="3">
        <v>2.3168806107358839</v>
      </c>
      <c r="M319" s="318">
        <v>2.9210912705336627</v>
      </c>
      <c r="N319" s="3">
        <v>2.1298400069833665</v>
      </c>
      <c r="O319" s="3">
        <v>7.7841463092507066</v>
      </c>
      <c r="P319" s="3">
        <v>1.4065735829599302</v>
      </c>
      <c r="Q319" s="3">
        <v>0.60871452696356576</v>
      </c>
      <c r="R319" s="3">
        <v>3.1293366951816837</v>
      </c>
      <c r="S319" s="3">
        <v>3.4439480394894568</v>
      </c>
      <c r="T319" s="3">
        <v>5.9933692429088845</v>
      </c>
      <c r="U319" s="3">
        <v>0.94571345334811274</v>
      </c>
      <c r="V319" s="318">
        <v>25.441641857085706</v>
      </c>
      <c r="W319" s="318">
        <v>34.546221454852535</v>
      </c>
      <c r="X319" s="3">
        <v>3.4135171170901106</v>
      </c>
      <c r="Y319" s="318">
        <v>37.959738571942644</v>
      </c>
    </row>
    <row r="320" spans="1:25" x14ac:dyDescent="0.2">
      <c r="A320" s="314">
        <v>2017</v>
      </c>
      <c r="B320" s="5" t="s">
        <v>466</v>
      </c>
      <c r="C320" s="5" t="s">
        <v>218</v>
      </c>
      <c r="D320" s="5" t="s">
        <v>481</v>
      </c>
      <c r="E320" s="5" t="s">
        <v>249</v>
      </c>
      <c r="F320" s="5" t="s">
        <v>221</v>
      </c>
      <c r="G320" s="5" t="s">
        <v>250</v>
      </c>
      <c r="H320" s="3">
        <v>19.409339127997249</v>
      </c>
      <c r="I320" s="3">
        <v>0</v>
      </c>
      <c r="J320" s="318">
        <v>19.409339127997249</v>
      </c>
      <c r="K320" s="3">
        <v>2.9295947775445317</v>
      </c>
      <c r="L320" s="3">
        <v>3.4746386407425849</v>
      </c>
      <c r="M320" s="318">
        <v>6.4042334182871166</v>
      </c>
      <c r="N320" s="3">
        <v>1.3158990957071584</v>
      </c>
      <c r="O320" s="3">
        <v>9.3379083776739407</v>
      </c>
      <c r="P320" s="3">
        <v>3.2319651704489383</v>
      </c>
      <c r="Q320" s="3">
        <v>2.2045363039004684</v>
      </c>
      <c r="R320" s="3">
        <v>5.489260262031908</v>
      </c>
      <c r="S320" s="3">
        <v>7.2431875388909912</v>
      </c>
      <c r="T320" s="3">
        <v>19.232891675216823</v>
      </c>
      <c r="U320" s="3">
        <v>1.9364044644496239</v>
      </c>
      <c r="V320" s="318">
        <v>49.992052888319847</v>
      </c>
      <c r="W320" s="318">
        <v>75.805625434604224</v>
      </c>
      <c r="X320" s="3">
        <v>7.4903647662571124</v>
      </c>
      <c r="Y320" s="318">
        <v>83.29599020086134</v>
      </c>
    </row>
    <row r="321" spans="1:25" x14ac:dyDescent="0.2">
      <c r="A321" s="314">
        <v>2017</v>
      </c>
      <c r="B321" s="5" t="s">
        <v>466</v>
      </c>
      <c r="C321" s="5" t="s">
        <v>218</v>
      </c>
      <c r="D321" s="5" t="s">
        <v>482</v>
      </c>
      <c r="E321" s="5" t="s">
        <v>251</v>
      </c>
      <c r="F321" s="5" t="s">
        <v>221</v>
      </c>
      <c r="G321" s="5" t="s">
        <v>252</v>
      </c>
      <c r="H321" s="3">
        <v>26.820237459777914</v>
      </c>
      <c r="I321" s="3">
        <v>0.73362841050297334</v>
      </c>
      <c r="J321" s="318">
        <v>27.553865870280887</v>
      </c>
      <c r="K321" s="3">
        <v>5.1544991346067546</v>
      </c>
      <c r="L321" s="3">
        <v>2.5563670145009443</v>
      </c>
      <c r="M321" s="318">
        <v>7.7108661491076989</v>
      </c>
      <c r="N321" s="3">
        <v>2.2936111378569879</v>
      </c>
      <c r="O321" s="3">
        <v>7.0389849312917043</v>
      </c>
      <c r="P321" s="3">
        <v>3.4821284296071542</v>
      </c>
      <c r="Q321" s="3">
        <v>2.7048093750612132</v>
      </c>
      <c r="R321" s="3">
        <v>7.5359161549372216</v>
      </c>
      <c r="S321" s="3">
        <v>7.9048201780150293</v>
      </c>
      <c r="T321" s="3">
        <v>21.051115314835119</v>
      </c>
      <c r="U321" s="3">
        <v>2.4951510442825402</v>
      </c>
      <c r="V321" s="318">
        <v>54.506536565886975</v>
      </c>
      <c r="W321" s="318">
        <v>89.771268585275564</v>
      </c>
      <c r="X321" s="3">
        <v>8.8703119772217036</v>
      </c>
      <c r="Y321" s="318">
        <v>98.641580562497268</v>
      </c>
    </row>
    <row r="322" spans="1:25" x14ac:dyDescent="0.2">
      <c r="A322" s="314">
        <v>2017</v>
      </c>
      <c r="B322" s="5" t="s">
        <v>466</v>
      </c>
      <c r="C322" s="5" t="s">
        <v>218</v>
      </c>
      <c r="D322" s="5" t="s">
        <v>482</v>
      </c>
      <c r="E322" s="5" t="s">
        <v>253</v>
      </c>
      <c r="F322" s="5" t="s">
        <v>221</v>
      </c>
      <c r="G322" s="5" t="s">
        <v>254</v>
      </c>
      <c r="H322" s="3">
        <v>16.305743160086852</v>
      </c>
      <c r="I322" s="3">
        <v>0</v>
      </c>
      <c r="J322" s="318">
        <v>16.305743160086852</v>
      </c>
      <c r="K322" s="3">
        <v>2.4261759961171991</v>
      </c>
      <c r="L322" s="3">
        <v>11.993963693227403</v>
      </c>
      <c r="M322" s="318">
        <v>14.420139689344602</v>
      </c>
      <c r="N322" s="3">
        <v>9.8964118947620427</v>
      </c>
      <c r="O322" s="3">
        <v>51.442871379471171</v>
      </c>
      <c r="P322" s="3">
        <v>4.5182736245236521</v>
      </c>
      <c r="Q322" s="3">
        <v>3.7872789797458304</v>
      </c>
      <c r="R322" s="3">
        <v>28.571438718865153</v>
      </c>
      <c r="S322" s="3">
        <v>16.581831686216404</v>
      </c>
      <c r="T322" s="3">
        <v>19.99568359332638</v>
      </c>
      <c r="U322" s="3">
        <v>4.0426625089268775</v>
      </c>
      <c r="V322" s="318">
        <v>138.8364523858375</v>
      </c>
      <c r="W322" s="318">
        <v>169.56233523526896</v>
      </c>
      <c r="X322" s="3">
        <v>16.754478763930358</v>
      </c>
      <c r="Y322" s="318">
        <v>186.31681399919933</v>
      </c>
    </row>
    <row r="323" spans="1:25" x14ac:dyDescent="0.2">
      <c r="A323" s="314">
        <v>2017</v>
      </c>
      <c r="B323" s="5" t="s">
        <v>466</v>
      </c>
      <c r="C323" s="5" t="s">
        <v>218</v>
      </c>
      <c r="D323" s="5" t="s">
        <v>482</v>
      </c>
      <c r="E323" s="5" t="s">
        <v>255</v>
      </c>
      <c r="F323" s="5" t="s">
        <v>221</v>
      </c>
      <c r="G323" s="5" t="s">
        <v>256</v>
      </c>
      <c r="H323" s="3">
        <v>26.017337410779064</v>
      </c>
      <c r="I323" s="3">
        <v>1.4188458378679947</v>
      </c>
      <c r="J323" s="318">
        <v>27.436183248647058</v>
      </c>
      <c r="K323" s="3">
        <v>6.9700255646082274</v>
      </c>
      <c r="L323" s="3">
        <v>18.132795530234784</v>
      </c>
      <c r="M323" s="318">
        <v>25.102821094843012</v>
      </c>
      <c r="N323" s="3">
        <v>16.018679976632029</v>
      </c>
      <c r="O323" s="3">
        <v>91.9954379847551</v>
      </c>
      <c r="P323" s="3">
        <v>7.7848381418960306</v>
      </c>
      <c r="Q323" s="3">
        <v>5.4821567199076613</v>
      </c>
      <c r="R323" s="3">
        <v>27.352642745242814</v>
      </c>
      <c r="S323" s="3">
        <v>30.14970063542464</v>
      </c>
      <c r="T323" s="3">
        <v>61.162133387335679</v>
      </c>
      <c r="U323" s="3">
        <v>9.2833119425152031</v>
      </c>
      <c r="V323" s="318">
        <v>249.22890153370915</v>
      </c>
      <c r="W323" s="318">
        <v>301.76790587719921</v>
      </c>
      <c r="X323" s="3">
        <v>29.817730238499504</v>
      </c>
      <c r="Y323" s="318">
        <v>331.58563611569872</v>
      </c>
    </row>
    <row r="324" spans="1:25" x14ac:dyDescent="0.2">
      <c r="A324" s="314">
        <v>2017</v>
      </c>
      <c r="B324" s="5" t="s">
        <v>466</v>
      </c>
      <c r="C324" s="5" t="s">
        <v>218</v>
      </c>
      <c r="D324" s="5" t="s">
        <v>482</v>
      </c>
      <c r="E324" s="5" t="s">
        <v>257</v>
      </c>
      <c r="F324" s="5" t="s">
        <v>221</v>
      </c>
      <c r="G324" s="5" t="s">
        <v>258</v>
      </c>
      <c r="H324" s="3">
        <v>18.596174693054806</v>
      </c>
      <c r="I324" s="3">
        <v>1.0327328111547622</v>
      </c>
      <c r="J324" s="318">
        <v>19.628907504209568</v>
      </c>
      <c r="K324" s="3">
        <v>4.0222198651599568</v>
      </c>
      <c r="L324" s="3">
        <v>8.7708252468939669</v>
      </c>
      <c r="M324" s="318">
        <v>12.793045112053925</v>
      </c>
      <c r="N324" s="3">
        <v>7.2146980942558745</v>
      </c>
      <c r="O324" s="3">
        <v>36.778357507402816</v>
      </c>
      <c r="P324" s="3">
        <v>8.7105675944490599</v>
      </c>
      <c r="Q324" s="3">
        <v>3.5320362541058059</v>
      </c>
      <c r="R324" s="3">
        <v>17.286790445390729</v>
      </c>
      <c r="S324" s="3">
        <v>14.439913315020908</v>
      </c>
      <c r="T324" s="3">
        <v>23.170789465373847</v>
      </c>
      <c r="U324" s="3">
        <v>4.1552662236898188</v>
      </c>
      <c r="V324" s="318">
        <v>115.28841889968885</v>
      </c>
      <c r="W324" s="318">
        <v>147.71037151595235</v>
      </c>
      <c r="X324" s="3">
        <v>14.595283081838135</v>
      </c>
      <c r="Y324" s="318">
        <v>162.30565459779049</v>
      </c>
    </row>
    <row r="325" spans="1:25" x14ac:dyDescent="0.2">
      <c r="A325" s="314">
        <v>2017</v>
      </c>
      <c r="B325" s="5" t="s">
        <v>466</v>
      </c>
      <c r="C325" s="5" t="s">
        <v>218</v>
      </c>
      <c r="D325" s="5" t="s">
        <v>481</v>
      </c>
      <c r="E325" s="5" t="s">
        <v>259</v>
      </c>
      <c r="F325" s="5" t="s">
        <v>221</v>
      </c>
      <c r="G325" s="5" t="s">
        <v>260</v>
      </c>
      <c r="H325" s="3">
        <v>16.775183975554974</v>
      </c>
      <c r="I325" s="3">
        <v>0</v>
      </c>
      <c r="J325" s="318">
        <v>16.775183975554974</v>
      </c>
      <c r="K325" s="3">
        <v>1.6490200492979277</v>
      </c>
      <c r="L325" s="3">
        <v>4.0202629052630483</v>
      </c>
      <c r="M325" s="318">
        <v>5.669282954560976</v>
      </c>
      <c r="N325" s="3">
        <v>2.4625026823036382</v>
      </c>
      <c r="O325" s="3">
        <v>8.5005352742936235</v>
      </c>
      <c r="P325" s="3">
        <v>3.9933618300241318</v>
      </c>
      <c r="Q325" s="3">
        <v>1.4758091415115211</v>
      </c>
      <c r="R325" s="3">
        <v>4.2012606926914478</v>
      </c>
      <c r="S325" s="3">
        <v>5.612921746204635</v>
      </c>
      <c r="T325" s="3">
        <v>12.166094802731081</v>
      </c>
      <c r="U325" s="3">
        <v>1.653758710441616</v>
      </c>
      <c r="V325" s="318">
        <v>40.066244880201694</v>
      </c>
      <c r="W325" s="318">
        <v>62.510711810317645</v>
      </c>
      <c r="X325" s="3">
        <v>6.1766924363889748</v>
      </c>
      <c r="Y325" s="318">
        <v>68.68740424670662</v>
      </c>
    </row>
    <row r="326" spans="1:25" x14ac:dyDescent="0.2">
      <c r="A326" s="314">
        <v>2017</v>
      </c>
      <c r="B326" s="5" t="s">
        <v>466</v>
      </c>
      <c r="C326" s="5" t="s">
        <v>261</v>
      </c>
      <c r="D326" s="5" t="s">
        <v>483</v>
      </c>
      <c r="E326" s="5" t="s">
        <v>263</v>
      </c>
      <c r="F326" s="5" t="s">
        <v>264</v>
      </c>
      <c r="G326" s="5" t="s">
        <v>265</v>
      </c>
      <c r="H326" s="3">
        <v>86.049896391768939</v>
      </c>
      <c r="I326" s="3">
        <v>2.5327212986846064</v>
      </c>
      <c r="J326" s="318">
        <v>88.582617690453546</v>
      </c>
      <c r="K326" s="3">
        <v>3.8024881785940243</v>
      </c>
      <c r="L326" s="3">
        <v>16.308612431329522</v>
      </c>
      <c r="M326" s="318">
        <v>20.111100609923547</v>
      </c>
      <c r="N326" s="3">
        <v>4.826725069240875</v>
      </c>
      <c r="O326" s="3">
        <v>21.217726489254698</v>
      </c>
      <c r="P326" s="3">
        <v>8.1617314247992336</v>
      </c>
      <c r="Q326" s="3">
        <v>6.2692482452677734</v>
      </c>
      <c r="R326" s="3">
        <v>24.536104565982537</v>
      </c>
      <c r="S326" s="3">
        <v>17.098976463867167</v>
      </c>
      <c r="T326" s="3">
        <v>38.314517507721668</v>
      </c>
      <c r="U326" s="3">
        <v>5.7143740687969027</v>
      </c>
      <c r="V326" s="318">
        <v>126.13940383493085</v>
      </c>
      <c r="W326" s="318">
        <v>234.83312213530792</v>
      </c>
      <c r="X326" s="3">
        <v>23.203894617423877</v>
      </c>
      <c r="Y326" s="318">
        <v>258.0370167527318</v>
      </c>
    </row>
    <row r="327" spans="1:25" x14ac:dyDescent="0.2">
      <c r="A327" s="314">
        <v>2017</v>
      </c>
      <c r="B327" s="5" t="s">
        <v>466</v>
      </c>
      <c r="C327" s="5" t="s">
        <v>261</v>
      </c>
      <c r="D327" s="5" t="s">
        <v>484</v>
      </c>
      <c r="E327" s="5" t="s">
        <v>266</v>
      </c>
      <c r="F327" s="5" t="s">
        <v>264</v>
      </c>
      <c r="G327" s="5" t="s">
        <v>268</v>
      </c>
      <c r="H327" s="3">
        <v>8.2433598659996239</v>
      </c>
      <c r="I327" s="3">
        <v>0</v>
      </c>
      <c r="J327" s="318">
        <v>8.2433598659996239</v>
      </c>
      <c r="K327" s="3">
        <v>0.74637542900007792</v>
      </c>
      <c r="L327" s="3">
        <v>3.8409026505869184</v>
      </c>
      <c r="M327" s="318">
        <v>4.5872780795869961</v>
      </c>
      <c r="N327" s="3">
        <v>7.549470899007404</v>
      </c>
      <c r="O327" s="3">
        <v>5.1850221576357622</v>
      </c>
      <c r="P327" s="3">
        <v>1.8033200839124204</v>
      </c>
      <c r="Q327" s="3">
        <v>1.2673668330167005</v>
      </c>
      <c r="R327" s="3">
        <v>6.6087696211803406</v>
      </c>
      <c r="S327" s="3">
        <v>4.7425637664115774</v>
      </c>
      <c r="T327" s="3">
        <v>9.9405524671436698</v>
      </c>
      <c r="U327" s="3">
        <v>1.3455680583610952</v>
      </c>
      <c r="V327" s="318">
        <v>38.442633886668972</v>
      </c>
      <c r="W327" s="318">
        <v>51.273271832255588</v>
      </c>
      <c r="X327" s="3">
        <v>5.0663193738090904</v>
      </c>
      <c r="Y327" s="318">
        <v>56.339591206064682</v>
      </c>
    </row>
    <row r="328" spans="1:25" x14ac:dyDescent="0.2">
      <c r="A328" s="314">
        <v>2017</v>
      </c>
      <c r="B328" s="5" t="s">
        <v>466</v>
      </c>
      <c r="C328" s="5" t="s">
        <v>261</v>
      </c>
      <c r="D328" s="5" t="s">
        <v>483</v>
      </c>
      <c r="E328" s="5" t="s">
        <v>269</v>
      </c>
      <c r="F328" s="5" t="s">
        <v>264</v>
      </c>
      <c r="G328" s="5" t="s">
        <v>271</v>
      </c>
      <c r="H328" s="3">
        <v>22.359451680404508</v>
      </c>
      <c r="I328" s="3">
        <v>0</v>
      </c>
      <c r="J328" s="318">
        <v>22.359451680404508</v>
      </c>
      <c r="K328" s="3">
        <v>1.5094042648759689</v>
      </c>
      <c r="L328" s="3">
        <v>4.7231673401260679</v>
      </c>
      <c r="M328" s="318">
        <v>6.232571605002037</v>
      </c>
      <c r="N328" s="3">
        <v>1.6780469542036132</v>
      </c>
      <c r="O328" s="3">
        <v>4.5269589916720232</v>
      </c>
      <c r="P328" s="3">
        <v>2.8148150452209171</v>
      </c>
      <c r="Q328" s="3">
        <v>2.2022050807796698</v>
      </c>
      <c r="R328" s="3">
        <v>9.4336591431336831</v>
      </c>
      <c r="S328" s="3">
        <v>5.822939317966469</v>
      </c>
      <c r="T328" s="3">
        <v>15.593961736434808</v>
      </c>
      <c r="U328" s="3">
        <v>2.0399964352201359</v>
      </c>
      <c r="V328" s="318">
        <v>44.112582704631322</v>
      </c>
      <c r="W328" s="318">
        <v>72.704605990037862</v>
      </c>
      <c r="X328" s="3">
        <v>7.1839525883495998</v>
      </c>
      <c r="Y328" s="318">
        <v>79.88855857838746</v>
      </c>
    </row>
    <row r="329" spans="1:25" x14ac:dyDescent="0.2">
      <c r="A329" s="314">
        <v>2017</v>
      </c>
      <c r="B329" s="5" t="s">
        <v>466</v>
      </c>
      <c r="C329" s="5" t="s">
        <v>261</v>
      </c>
      <c r="D329" s="5" t="s">
        <v>485</v>
      </c>
      <c r="E329" s="5" t="s">
        <v>272</v>
      </c>
      <c r="F329" s="5" t="s">
        <v>264</v>
      </c>
      <c r="G329" s="5" t="s">
        <v>273</v>
      </c>
      <c r="H329" s="3">
        <v>13.028078203822229</v>
      </c>
      <c r="I329" s="3">
        <v>0</v>
      </c>
      <c r="J329" s="318">
        <v>13.028078203822229</v>
      </c>
      <c r="K329" s="3">
        <v>6.5117574354306074</v>
      </c>
      <c r="L329" s="3">
        <v>10.190464934994896</v>
      </c>
      <c r="M329" s="318">
        <v>16.702222370425503</v>
      </c>
      <c r="N329" s="3">
        <v>43.022696676647186</v>
      </c>
      <c r="O329" s="3">
        <v>17.296854604173749</v>
      </c>
      <c r="P329" s="3">
        <v>5.2208572225840504</v>
      </c>
      <c r="Q329" s="3">
        <v>2.5052189242183331</v>
      </c>
      <c r="R329" s="3">
        <v>14.366836579224747</v>
      </c>
      <c r="S329" s="3">
        <v>9.8646956442812073</v>
      </c>
      <c r="T329" s="3">
        <v>17.206514284622767</v>
      </c>
      <c r="U329" s="3">
        <v>2.7979744599035423</v>
      </c>
      <c r="V329" s="318">
        <v>112.28164839565559</v>
      </c>
      <c r="W329" s="318">
        <v>142.01194896990333</v>
      </c>
      <c r="X329" s="3">
        <v>14.032221129410964</v>
      </c>
      <c r="Y329" s="318">
        <v>156.0441700993143</v>
      </c>
    </row>
    <row r="330" spans="1:25" x14ac:dyDescent="0.2">
      <c r="A330" s="314">
        <v>2017</v>
      </c>
      <c r="B330" s="5" t="s">
        <v>466</v>
      </c>
      <c r="C330" s="5" t="s">
        <v>261</v>
      </c>
      <c r="D330" s="5" t="s">
        <v>484</v>
      </c>
      <c r="E330" s="5" t="s">
        <v>274</v>
      </c>
      <c r="F330" s="5" t="s">
        <v>264</v>
      </c>
      <c r="G330" s="5" t="s">
        <v>275</v>
      </c>
      <c r="H330" s="3">
        <v>17.295839298155776</v>
      </c>
      <c r="I330" s="3">
        <v>0</v>
      </c>
      <c r="J330" s="318">
        <v>17.295839298155776</v>
      </c>
      <c r="K330" s="3">
        <v>1.2608203272688483</v>
      </c>
      <c r="L330" s="3">
        <v>3.7988448644169663</v>
      </c>
      <c r="M330" s="318">
        <v>5.0596651916858146</v>
      </c>
      <c r="N330" s="3">
        <v>1.3004313517468937</v>
      </c>
      <c r="O330" s="3">
        <v>3.7483380515904665</v>
      </c>
      <c r="P330" s="3">
        <v>1.5190488497660799</v>
      </c>
      <c r="Q330" s="3">
        <v>1.0277495178383782</v>
      </c>
      <c r="R330" s="3">
        <v>7.3024624821649509</v>
      </c>
      <c r="S330" s="3">
        <v>6.6934761206012539</v>
      </c>
      <c r="T330" s="3">
        <v>7.2865007739820058</v>
      </c>
      <c r="U330" s="3">
        <v>1.1594702449805756</v>
      </c>
      <c r="V330" s="318">
        <v>30.037477392670603</v>
      </c>
      <c r="W330" s="318">
        <v>52.392981882512196</v>
      </c>
      <c r="X330" s="3">
        <v>5.1769580851287573</v>
      </c>
      <c r="Y330" s="318">
        <v>57.569939967640956</v>
      </c>
    </row>
    <row r="331" spans="1:25" x14ac:dyDescent="0.2">
      <c r="A331" s="314">
        <v>2017</v>
      </c>
      <c r="B331" s="5" t="s">
        <v>466</v>
      </c>
      <c r="C331" s="5" t="s">
        <v>261</v>
      </c>
      <c r="D331" s="5" t="s">
        <v>486</v>
      </c>
      <c r="E331" s="5" t="s">
        <v>276</v>
      </c>
      <c r="F331" s="5" t="s">
        <v>264</v>
      </c>
      <c r="G331" s="5" t="s">
        <v>277</v>
      </c>
      <c r="H331" s="3">
        <v>47.791812418881577</v>
      </c>
      <c r="I331" s="3">
        <v>0</v>
      </c>
      <c r="J331" s="318">
        <v>47.791812418881577</v>
      </c>
      <c r="K331" s="3">
        <v>26.492109340874826</v>
      </c>
      <c r="L331" s="3">
        <v>25.726841486408887</v>
      </c>
      <c r="M331" s="318">
        <v>52.218950827283713</v>
      </c>
      <c r="N331" s="3">
        <v>25.254102638249037</v>
      </c>
      <c r="O331" s="3">
        <v>139.69445885338229</v>
      </c>
      <c r="P331" s="3">
        <v>17.278305736123038</v>
      </c>
      <c r="Q331" s="3">
        <v>16.285687123490526</v>
      </c>
      <c r="R331" s="3">
        <v>87.933618846237039</v>
      </c>
      <c r="S331" s="3">
        <v>55.220092618032531</v>
      </c>
      <c r="T331" s="3">
        <v>82.65677103653853</v>
      </c>
      <c r="U331" s="3">
        <v>23.55187857950979</v>
      </c>
      <c r="V331" s="318">
        <v>447.87491543156278</v>
      </c>
      <c r="W331" s="318">
        <v>547.88567867772804</v>
      </c>
      <c r="X331" s="3">
        <v>54.136662813300418</v>
      </c>
      <c r="Y331" s="318">
        <v>602.02234149102844</v>
      </c>
    </row>
    <row r="332" spans="1:25" x14ac:dyDescent="0.2">
      <c r="A332" s="314">
        <v>2017</v>
      </c>
      <c r="B332" s="5" t="s">
        <v>466</v>
      </c>
      <c r="C332" s="5" t="s">
        <v>261</v>
      </c>
      <c r="D332" s="5" t="s">
        <v>484</v>
      </c>
      <c r="E332" s="5" t="s">
        <v>278</v>
      </c>
      <c r="F332" s="5" t="s">
        <v>264</v>
      </c>
      <c r="G332" s="5" t="s">
        <v>279</v>
      </c>
      <c r="H332" s="3">
        <v>195.28071746378035</v>
      </c>
      <c r="I332" s="3">
        <v>0</v>
      </c>
      <c r="J332" s="318">
        <v>195.28071746378035</v>
      </c>
      <c r="K332" s="3">
        <v>4.1463960236826445</v>
      </c>
      <c r="L332" s="3">
        <v>27.976473735981333</v>
      </c>
      <c r="M332" s="318">
        <v>32.122869759663978</v>
      </c>
      <c r="N332" s="3">
        <v>6.0444505525095558</v>
      </c>
      <c r="O332" s="3">
        <v>31.356036759349216</v>
      </c>
      <c r="P332" s="3">
        <v>7.3255251231157992</v>
      </c>
      <c r="Q332" s="3">
        <v>2.7959782741508565</v>
      </c>
      <c r="R332" s="3">
        <v>29.301835058238197</v>
      </c>
      <c r="S332" s="3">
        <v>17.707288872849805</v>
      </c>
      <c r="T332" s="3">
        <v>28.756419871163189</v>
      </c>
      <c r="U332" s="3">
        <v>9.7531322637804649</v>
      </c>
      <c r="V332" s="318">
        <v>133.04066677515706</v>
      </c>
      <c r="W332" s="318">
        <v>360.44425399860143</v>
      </c>
      <c r="X332" s="3">
        <v>35.615548646585076</v>
      </c>
      <c r="Y332" s="318">
        <v>396.05980264518649</v>
      </c>
    </row>
    <row r="333" spans="1:25" x14ac:dyDescent="0.2">
      <c r="A333" s="314">
        <v>2017</v>
      </c>
      <c r="B333" s="5" t="s">
        <v>466</v>
      </c>
      <c r="C333" s="5" t="s">
        <v>261</v>
      </c>
      <c r="D333" s="5" t="s">
        <v>486</v>
      </c>
      <c r="E333" s="5" t="s">
        <v>280</v>
      </c>
      <c r="F333" s="5" t="s">
        <v>264</v>
      </c>
      <c r="G333" s="5" t="s">
        <v>281</v>
      </c>
      <c r="H333" s="3">
        <v>44.448160748072262</v>
      </c>
      <c r="I333" s="3">
        <v>0.22861185371579751</v>
      </c>
      <c r="J333" s="318">
        <v>44.676772601788059</v>
      </c>
      <c r="K333" s="3">
        <v>25.202394499455995</v>
      </c>
      <c r="L333" s="3">
        <v>22.898896283921072</v>
      </c>
      <c r="M333" s="318">
        <v>48.101290783377067</v>
      </c>
      <c r="N333" s="3">
        <v>24.624220029385913</v>
      </c>
      <c r="O333" s="3">
        <v>92.853715409426783</v>
      </c>
      <c r="P333" s="3">
        <v>12.719669063287478</v>
      </c>
      <c r="Q333" s="3">
        <v>4.4011151267819892</v>
      </c>
      <c r="R333" s="3">
        <v>79.549134552935172</v>
      </c>
      <c r="S333" s="3">
        <v>47.217629512511984</v>
      </c>
      <c r="T333" s="3">
        <v>54.0549169020844</v>
      </c>
      <c r="U333" s="3">
        <v>14.84302816470745</v>
      </c>
      <c r="V333" s="318">
        <v>330.26342876112119</v>
      </c>
      <c r="W333" s="318">
        <v>423.04149214628632</v>
      </c>
      <c r="X333" s="3">
        <v>41.800790762830296</v>
      </c>
      <c r="Y333" s="318">
        <v>464.84228290911659</v>
      </c>
    </row>
    <row r="334" spans="1:25" x14ac:dyDescent="0.2">
      <c r="A334" s="314">
        <v>2017</v>
      </c>
      <c r="B334" s="5" t="s">
        <v>466</v>
      </c>
      <c r="C334" s="5" t="s">
        <v>261</v>
      </c>
      <c r="D334" s="5" t="s">
        <v>486</v>
      </c>
      <c r="E334" s="5" t="s">
        <v>282</v>
      </c>
      <c r="F334" s="5" t="s">
        <v>264</v>
      </c>
      <c r="G334" s="5" t="s">
        <v>284</v>
      </c>
      <c r="H334" s="3">
        <v>102.21080675692835</v>
      </c>
      <c r="I334" s="3">
        <v>0</v>
      </c>
      <c r="J334" s="318">
        <v>102.21080675692835</v>
      </c>
      <c r="K334" s="3">
        <v>23.672764301032544</v>
      </c>
      <c r="L334" s="3">
        <v>18.954043242311336</v>
      </c>
      <c r="M334" s="318">
        <v>42.62680754334388</v>
      </c>
      <c r="N334" s="3">
        <v>9.7882017434585116</v>
      </c>
      <c r="O334" s="3">
        <v>83.534371462441001</v>
      </c>
      <c r="P334" s="3">
        <v>8.3716254171080902</v>
      </c>
      <c r="Q334" s="3">
        <v>12.09950438214045</v>
      </c>
      <c r="R334" s="3">
        <v>44.375480759604159</v>
      </c>
      <c r="S334" s="3">
        <v>26.621069366287468</v>
      </c>
      <c r="T334" s="3">
        <v>35.230004019202525</v>
      </c>
      <c r="U334" s="3">
        <v>9.5273936889812578</v>
      </c>
      <c r="V334" s="318">
        <v>229.54765083922348</v>
      </c>
      <c r="W334" s="318">
        <v>374.38526513949569</v>
      </c>
      <c r="X334" s="3">
        <v>36.99306196511624</v>
      </c>
      <c r="Y334" s="318">
        <v>411.37832710461191</v>
      </c>
    </row>
    <row r="335" spans="1:25" x14ac:dyDescent="0.2">
      <c r="A335" s="314">
        <v>2017</v>
      </c>
      <c r="B335" s="5" t="s">
        <v>466</v>
      </c>
      <c r="C335" s="5" t="s">
        <v>261</v>
      </c>
      <c r="D335" s="5" t="s">
        <v>484</v>
      </c>
      <c r="E335" s="5" t="s">
        <v>285</v>
      </c>
      <c r="F335" s="5" t="s">
        <v>264</v>
      </c>
      <c r="G335" s="5" t="s">
        <v>286</v>
      </c>
      <c r="H335" s="3">
        <v>8.8961542204676984</v>
      </c>
      <c r="I335" s="3">
        <v>0</v>
      </c>
      <c r="J335" s="318">
        <v>8.8961542204676984</v>
      </c>
      <c r="K335" s="3">
        <v>1.7458712981275941</v>
      </c>
      <c r="L335" s="3">
        <v>4.4756340471048226</v>
      </c>
      <c r="M335" s="318">
        <v>6.2215053452324165</v>
      </c>
      <c r="N335" s="3">
        <v>4.1103887399664121</v>
      </c>
      <c r="O335" s="3">
        <v>7.67454562415762</v>
      </c>
      <c r="P335" s="3">
        <v>3.1292176173676887</v>
      </c>
      <c r="Q335" s="3">
        <v>2.2916949428534608</v>
      </c>
      <c r="R335" s="3">
        <v>16.159984777335268</v>
      </c>
      <c r="S335" s="3">
        <v>8.6107915047395771</v>
      </c>
      <c r="T335" s="3">
        <v>13.884483042564154</v>
      </c>
      <c r="U335" s="3">
        <v>1.9880347022197311</v>
      </c>
      <c r="V335" s="318">
        <v>57.849140951203914</v>
      </c>
      <c r="W335" s="318">
        <v>72.96680051690403</v>
      </c>
      <c r="X335" s="3">
        <v>7.2098600673089015</v>
      </c>
      <c r="Y335" s="318">
        <v>80.176660584212925</v>
      </c>
    </row>
    <row r="336" spans="1:25" x14ac:dyDescent="0.2">
      <c r="A336" s="314">
        <v>2017</v>
      </c>
      <c r="B336" s="5" t="s">
        <v>466</v>
      </c>
      <c r="C336" s="5" t="s">
        <v>261</v>
      </c>
      <c r="D336" s="5" t="s">
        <v>486</v>
      </c>
      <c r="E336" s="5" t="s">
        <v>287</v>
      </c>
      <c r="F336" s="5" t="s">
        <v>264</v>
      </c>
      <c r="G336" s="5" t="s">
        <v>288</v>
      </c>
      <c r="H336" s="3">
        <v>68.067289024560807</v>
      </c>
      <c r="I336" s="3">
        <v>0</v>
      </c>
      <c r="J336" s="318">
        <v>68.067289024560807</v>
      </c>
      <c r="K336" s="3">
        <v>551.53501333532677</v>
      </c>
      <c r="L336" s="3">
        <v>161.93782874338751</v>
      </c>
      <c r="M336" s="318">
        <v>713.47284207871428</v>
      </c>
      <c r="N336" s="3">
        <v>32.023119760946386</v>
      </c>
      <c r="O336" s="3">
        <v>151.06127555492401</v>
      </c>
      <c r="P336" s="3">
        <v>13.856181516734845</v>
      </c>
      <c r="Q336" s="3">
        <v>15.999360185412762</v>
      </c>
      <c r="R336" s="3">
        <v>89.701269718098075</v>
      </c>
      <c r="S336" s="3">
        <v>80.144321082823964</v>
      </c>
      <c r="T336" s="3">
        <v>47.1304077968935</v>
      </c>
      <c r="U336" s="3">
        <v>16.347239739390137</v>
      </c>
      <c r="V336" s="318">
        <v>446.26317535522367</v>
      </c>
      <c r="W336" s="318">
        <v>1227.8033064584986</v>
      </c>
      <c r="X336" s="3">
        <v>121.3194215319086</v>
      </c>
      <c r="Y336" s="318">
        <v>1349.1227279904072</v>
      </c>
    </row>
    <row r="337" spans="1:25" x14ac:dyDescent="0.2">
      <c r="A337" s="314">
        <v>2017</v>
      </c>
      <c r="B337" s="5" t="s">
        <v>466</v>
      </c>
      <c r="C337" s="5" t="s">
        <v>261</v>
      </c>
      <c r="D337" s="5" t="s">
        <v>484</v>
      </c>
      <c r="E337" s="5" t="s">
        <v>289</v>
      </c>
      <c r="F337" s="5" t="s">
        <v>264</v>
      </c>
      <c r="G337" s="5" t="s">
        <v>290</v>
      </c>
      <c r="H337" s="3">
        <v>5.8512057321454938</v>
      </c>
      <c r="I337" s="3">
        <v>0</v>
      </c>
      <c r="J337" s="318">
        <v>5.8512057321454938</v>
      </c>
      <c r="K337" s="3">
        <v>2.5334611983295874</v>
      </c>
      <c r="L337" s="3">
        <v>23.719120608060322</v>
      </c>
      <c r="M337" s="318">
        <v>26.252581806389909</v>
      </c>
      <c r="N337" s="3">
        <v>13.195227595801374</v>
      </c>
      <c r="O337" s="3">
        <v>93.017502477235738</v>
      </c>
      <c r="P337" s="3">
        <v>10.599832447419006</v>
      </c>
      <c r="Q337" s="3">
        <v>6.0628626441803206</v>
      </c>
      <c r="R337" s="3">
        <v>57.636537184814998</v>
      </c>
      <c r="S337" s="3">
        <v>49.467457917159983</v>
      </c>
      <c r="T337" s="3">
        <v>38.66388170928402</v>
      </c>
      <c r="U337" s="3">
        <v>10.650814853811937</v>
      </c>
      <c r="V337" s="318">
        <v>279.29411682970738</v>
      </c>
      <c r="W337" s="318">
        <v>311.39790436824279</v>
      </c>
      <c r="X337" s="3">
        <v>30.76927177625317</v>
      </c>
      <c r="Y337" s="318">
        <v>342.16717614449595</v>
      </c>
    </row>
    <row r="338" spans="1:25" x14ac:dyDescent="0.2">
      <c r="A338" s="314">
        <v>2017</v>
      </c>
      <c r="B338" s="5" t="s">
        <v>466</v>
      </c>
      <c r="C338" s="5" t="s">
        <v>261</v>
      </c>
      <c r="D338" s="5" t="s">
        <v>486</v>
      </c>
      <c r="E338" s="5" t="s">
        <v>291</v>
      </c>
      <c r="F338" s="5" t="s">
        <v>264</v>
      </c>
      <c r="G338" s="5" t="s">
        <v>292</v>
      </c>
      <c r="H338" s="3">
        <v>40.320797809504043</v>
      </c>
      <c r="I338" s="3">
        <v>0</v>
      </c>
      <c r="J338" s="318">
        <v>40.320797809504043</v>
      </c>
      <c r="K338" s="3">
        <v>53.462333808977327</v>
      </c>
      <c r="L338" s="3">
        <v>38.842066474311487</v>
      </c>
      <c r="M338" s="318">
        <v>92.304400283288814</v>
      </c>
      <c r="N338" s="3">
        <v>38.428315123726733</v>
      </c>
      <c r="O338" s="3">
        <v>202.55468211424778</v>
      </c>
      <c r="P338" s="3">
        <v>20.355460407990666</v>
      </c>
      <c r="Q338" s="3">
        <v>28.157801522059554</v>
      </c>
      <c r="R338" s="3">
        <v>137.02176357134258</v>
      </c>
      <c r="S338" s="3">
        <v>71.024860838505958</v>
      </c>
      <c r="T338" s="3">
        <v>79.21206787899493</v>
      </c>
      <c r="U338" s="3">
        <v>26.363412169197545</v>
      </c>
      <c r="V338" s="318">
        <v>603.11836362606573</v>
      </c>
      <c r="W338" s="318">
        <v>735.74356171885859</v>
      </c>
      <c r="X338" s="3">
        <v>72.698927290741167</v>
      </c>
      <c r="Y338" s="318">
        <v>808.44248900959974</v>
      </c>
    </row>
    <row r="339" spans="1:25" x14ac:dyDescent="0.2">
      <c r="A339" s="314">
        <v>2017</v>
      </c>
      <c r="B339" s="5" t="s">
        <v>466</v>
      </c>
      <c r="C339" s="5" t="s">
        <v>261</v>
      </c>
      <c r="D339" s="5" t="s">
        <v>486</v>
      </c>
      <c r="E339" s="5" t="s">
        <v>293</v>
      </c>
      <c r="F339" s="5" t="s">
        <v>264</v>
      </c>
      <c r="G339" s="5" t="s">
        <v>295</v>
      </c>
      <c r="H339" s="3">
        <v>20.447458651946182</v>
      </c>
      <c r="I339" s="3">
        <v>0.27460634704807774</v>
      </c>
      <c r="J339" s="318">
        <v>20.722064998994259</v>
      </c>
      <c r="K339" s="3">
        <v>22.512260426842495</v>
      </c>
      <c r="L339" s="3">
        <v>7.7450105043581239</v>
      </c>
      <c r="M339" s="318">
        <v>30.257270931200619</v>
      </c>
      <c r="N339" s="3">
        <v>10.160712701275116</v>
      </c>
      <c r="O339" s="3">
        <v>59.708091358722456</v>
      </c>
      <c r="P339" s="3">
        <v>7.3035799544196252</v>
      </c>
      <c r="Q339" s="3">
        <v>9.8209709409006205</v>
      </c>
      <c r="R339" s="3">
        <v>26.925391372187399</v>
      </c>
      <c r="S339" s="3">
        <v>21.140819403646695</v>
      </c>
      <c r="T339" s="3">
        <v>28.676590106829472</v>
      </c>
      <c r="U339" s="3">
        <v>9.2116120499939775</v>
      </c>
      <c r="V339" s="318">
        <v>172.94776788797537</v>
      </c>
      <c r="W339" s="318">
        <v>223.92710381817025</v>
      </c>
      <c r="X339" s="3">
        <v>22.126269376889255</v>
      </c>
      <c r="Y339" s="318">
        <v>246.05337319505952</v>
      </c>
    </row>
    <row r="340" spans="1:25" x14ac:dyDescent="0.2">
      <c r="A340" s="314">
        <v>2017</v>
      </c>
      <c r="B340" s="5" t="s">
        <v>466</v>
      </c>
      <c r="C340" s="5" t="s">
        <v>261</v>
      </c>
      <c r="D340" s="5" t="s">
        <v>486</v>
      </c>
      <c r="E340" s="5" t="s">
        <v>296</v>
      </c>
      <c r="F340" s="5" t="s">
        <v>264</v>
      </c>
      <c r="G340" s="5" t="s">
        <v>297</v>
      </c>
      <c r="H340" s="3">
        <v>149.98189068344323</v>
      </c>
      <c r="I340" s="3">
        <v>0</v>
      </c>
      <c r="J340" s="318">
        <v>149.98189068344323</v>
      </c>
      <c r="K340" s="3">
        <v>212.99440711823945</v>
      </c>
      <c r="L340" s="3">
        <v>62.684580811776755</v>
      </c>
      <c r="M340" s="318">
        <v>275.67898793001621</v>
      </c>
      <c r="N340" s="3">
        <v>31.106802579409308</v>
      </c>
      <c r="O340" s="3">
        <v>163.81728799902791</v>
      </c>
      <c r="P340" s="3">
        <v>24.736901425882916</v>
      </c>
      <c r="Q340" s="3">
        <v>29.035490930351671</v>
      </c>
      <c r="R340" s="3">
        <v>94.304924262645415</v>
      </c>
      <c r="S340" s="3">
        <v>68.997502937341295</v>
      </c>
      <c r="T340" s="3">
        <v>63.942926358258511</v>
      </c>
      <c r="U340" s="3">
        <v>20.97574816261282</v>
      </c>
      <c r="V340" s="318">
        <v>496.91758465552988</v>
      </c>
      <c r="W340" s="318">
        <v>922.57846326898925</v>
      </c>
      <c r="X340" s="3">
        <v>91.160110819732679</v>
      </c>
      <c r="Y340" s="318">
        <v>1013.738574088722</v>
      </c>
    </row>
    <row r="341" spans="1:25" x14ac:dyDescent="0.2">
      <c r="A341" s="314">
        <v>2017</v>
      </c>
      <c r="B341" s="5" t="s">
        <v>466</v>
      </c>
      <c r="C341" s="5" t="s">
        <v>261</v>
      </c>
      <c r="D341" s="5" t="s">
        <v>483</v>
      </c>
      <c r="E341" s="5" t="s">
        <v>298</v>
      </c>
      <c r="F341" s="5" t="s">
        <v>264</v>
      </c>
      <c r="G341" s="5" t="s">
        <v>299</v>
      </c>
      <c r="H341" s="3">
        <v>22.730038210500922</v>
      </c>
      <c r="I341" s="3">
        <v>0</v>
      </c>
      <c r="J341" s="318">
        <v>22.730038210500922</v>
      </c>
      <c r="K341" s="3">
        <v>0.83605787084485816</v>
      </c>
      <c r="L341" s="3">
        <v>12.025839730282135</v>
      </c>
      <c r="M341" s="318">
        <v>12.861897601126993</v>
      </c>
      <c r="N341" s="3">
        <v>1.4248353850443058</v>
      </c>
      <c r="O341" s="3">
        <v>11.291340963588183</v>
      </c>
      <c r="P341" s="3">
        <v>8.5913847987215792</v>
      </c>
      <c r="Q341" s="3">
        <v>1.8085050253215995</v>
      </c>
      <c r="R341" s="3">
        <v>7.5806829859693652</v>
      </c>
      <c r="S341" s="3">
        <v>14.807464759805038</v>
      </c>
      <c r="T341" s="3">
        <v>16.897250377241271</v>
      </c>
      <c r="U341" s="3">
        <v>1.7368678870299754</v>
      </c>
      <c r="V341" s="318">
        <v>64.138332182721314</v>
      </c>
      <c r="W341" s="318">
        <v>99.730267994349234</v>
      </c>
      <c r="X341" s="3">
        <v>9.8543621430666306</v>
      </c>
      <c r="Y341" s="318">
        <v>109.58463013741587</v>
      </c>
    </row>
    <row r="342" spans="1:25" x14ac:dyDescent="0.2">
      <c r="A342" s="314">
        <v>2017</v>
      </c>
      <c r="B342" s="5" t="s">
        <v>466</v>
      </c>
      <c r="C342" s="5" t="s">
        <v>261</v>
      </c>
      <c r="D342" s="5" t="s">
        <v>486</v>
      </c>
      <c r="E342" s="5" t="s">
        <v>300</v>
      </c>
      <c r="F342" s="5" t="s">
        <v>264</v>
      </c>
      <c r="G342" s="5" t="s">
        <v>301</v>
      </c>
      <c r="H342" s="3">
        <v>51.418285900009451</v>
      </c>
      <c r="I342" s="3">
        <v>0.42826829708162961</v>
      </c>
      <c r="J342" s="318">
        <v>51.846554197091081</v>
      </c>
      <c r="K342" s="3">
        <v>1395.8620834468138</v>
      </c>
      <c r="L342" s="3">
        <v>245.64359801191426</v>
      </c>
      <c r="M342" s="318">
        <v>1641.5056814587281</v>
      </c>
      <c r="N342" s="3">
        <v>98.632141641531859</v>
      </c>
      <c r="O342" s="3">
        <v>529.60014768461804</v>
      </c>
      <c r="P342" s="3">
        <v>29.485410926787861</v>
      </c>
      <c r="Q342" s="3">
        <v>37.977872983234548</v>
      </c>
      <c r="R342" s="3">
        <v>230.69156662000682</v>
      </c>
      <c r="S342" s="3">
        <v>257.68615305691134</v>
      </c>
      <c r="T342" s="3">
        <v>258.75909603734056</v>
      </c>
      <c r="U342" s="3">
        <v>42.316153714876904</v>
      </c>
      <c r="V342" s="318">
        <v>1485.1485426653078</v>
      </c>
      <c r="W342" s="318">
        <v>3178.5007783211267</v>
      </c>
      <c r="X342" s="3">
        <v>314.06811965420832</v>
      </c>
      <c r="Y342" s="318">
        <v>3492.5688979753349</v>
      </c>
    </row>
    <row r="343" spans="1:25" x14ac:dyDescent="0.2">
      <c r="A343" s="314">
        <v>2017</v>
      </c>
      <c r="B343" s="5" t="s">
        <v>466</v>
      </c>
      <c r="C343" s="5" t="s">
        <v>261</v>
      </c>
      <c r="D343" s="5" t="s">
        <v>484</v>
      </c>
      <c r="E343" s="5" t="s">
        <v>302</v>
      </c>
      <c r="F343" s="5" t="s">
        <v>264</v>
      </c>
      <c r="G343" s="5" t="s">
        <v>303</v>
      </c>
      <c r="H343" s="3">
        <v>18.386730262901342</v>
      </c>
      <c r="I343" s="3">
        <v>0.50122195228792421</v>
      </c>
      <c r="J343" s="318">
        <v>18.887952215189266</v>
      </c>
      <c r="K343" s="3">
        <v>27.43952350709748</v>
      </c>
      <c r="L343" s="3">
        <v>30.433557786563991</v>
      </c>
      <c r="M343" s="318">
        <v>57.873081293661471</v>
      </c>
      <c r="N343" s="3">
        <v>524.33716293398709</v>
      </c>
      <c r="O343" s="3">
        <v>20.832364174087648</v>
      </c>
      <c r="P343" s="3">
        <v>12.107523957245068</v>
      </c>
      <c r="Q343" s="3">
        <v>2.5226198024258122</v>
      </c>
      <c r="R343" s="3">
        <v>13.298615850394622</v>
      </c>
      <c r="S343" s="3">
        <v>16.331261883871822</v>
      </c>
      <c r="T343" s="3">
        <v>19.143216534436036</v>
      </c>
      <c r="U343" s="3">
        <v>2.641566633868706</v>
      </c>
      <c r="V343" s="318">
        <v>611.21433177031679</v>
      </c>
      <c r="W343" s="318">
        <v>687.97536527916748</v>
      </c>
      <c r="X343" s="3">
        <v>67.978944921250957</v>
      </c>
      <c r="Y343" s="318">
        <v>755.95431020041838</v>
      </c>
    </row>
    <row r="344" spans="1:25" x14ac:dyDescent="0.2">
      <c r="A344" s="314">
        <v>2017</v>
      </c>
      <c r="B344" s="5" t="s">
        <v>466</v>
      </c>
      <c r="C344" s="5" t="s">
        <v>261</v>
      </c>
      <c r="D344" s="5" t="s">
        <v>485</v>
      </c>
      <c r="E344" s="5" t="s">
        <v>304</v>
      </c>
      <c r="F344" s="5" t="s">
        <v>264</v>
      </c>
      <c r="G344" s="5" t="s">
        <v>305</v>
      </c>
      <c r="H344" s="3">
        <v>5.0049080651330922</v>
      </c>
      <c r="I344" s="3">
        <v>0.12257755739392717</v>
      </c>
      <c r="J344" s="318">
        <v>5.1274856225270193</v>
      </c>
      <c r="K344" s="3">
        <v>1.2548772073114012</v>
      </c>
      <c r="L344" s="3">
        <v>4.7433363392450794</v>
      </c>
      <c r="M344" s="318">
        <v>5.9982135465564808</v>
      </c>
      <c r="N344" s="3">
        <v>1.3083217086656207</v>
      </c>
      <c r="O344" s="3">
        <v>6.6176318043271181</v>
      </c>
      <c r="P344" s="3">
        <v>23.679675497524375</v>
      </c>
      <c r="Q344" s="3">
        <v>1.3261584560346722</v>
      </c>
      <c r="R344" s="3">
        <v>6.8341168882632948</v>
      </c>
      <c r="S344" s="3">
        <v>5.3969641059251634</v>
      </c>
      <c r="T344" s="3">
        <v>12.602206415016816</v>
      </c>
      <c r="U344" s="3">
        <v>1.4800640485969292</v>
      </c>
      <c r="V344" s="318">
        <v>59.245138924353988</v>
      </c>
      <c r="W344" s="318">
        <v>70.370838093437484</v>
      </c>
      <c r="X344" s="3">
        <v>6.9533526463914992</v>
      </c>
      <c r="Y344" s="318">
        <v>77.324190739828978</v>
      </c>
    </row>
    <row r="345" spans="1:25" x14ac:dyDescent="0.2">
      <c r="A345" s="314">
        <v>2017</v>
      </c>
      <c r="B345" s="5" t="s">
        <v>466</v>
      </c>
      <c r="C345" s="5" t="s">
        <v>261</v>
      </c>
      <c r="D345" s="5" t="s">
        <v>485</v>
      </c>
      <c r="E345" s="5" t="s">
        <v>306</v>
      </c>
      <c r="F345" s="5" t="s">
        <v>264</v>
      </c>
      <c r="G345" s="5" t="s">
        <v>307</v>
      </c>
      <c r="H345" s="3">
        <v>7.0920281612002789</v>
      </c>
      <c r="I345" s="3">
        <v>0.74995213422425788</v>
      </c>
      <c r="J345" s="318">
        <v>7.8419802954245368</v>
      </c>
      <c r="K345" s="3">
        <v>2.7377529657553783</v>
      </c>
      <c r="L345" s="3">
        <v>8.0843933101530787</v>
      </c>
      <c r="M345" s="318">
        <v>10.822146275908457</v>
      </c>
      <c r="N345" s="3">
        <v>3.4410378854867147</v>
      </c>
      <c r="O345" s="3">
        <v>18.487961415513102</v>
      </c>
      <c r="P345" s="3">
        <v>6.1916439607266982</v>
      </c>
      <c r="Q345" s="3">
        <v>2.8670716533217675</v>
      </c>
      <c r="R345" s="3">
        <v>10.114589894472662</v>
      </c>
      <c r="S345" s="3">
        <v>26.568578769423365</v>
      </c>
      <c r="T345" s="3">
        <v>19.858284331896218</v>
      </c>
      <c r="U345" s="3">
        <v>3.5934176864741887</v>
      </c>
      <c r="V345" s="318">
        <v>91.122585597314711</v>
      </c>
      <c r="W345" s="318">
        <v>109.7867121686477</v>
      </c>
      <c r="X345" s="3">
        <v>10.848040840196822</v>
      </c>
      <c r="Y345" s="318">
        <v>120.63475300884451</v>
      </c>
    </row>
    <row r="346" spans="1:25" x14ac:dyDescent="0.2">
      <c r="A346" s="314">
        <v>2017</v>
      </c>
      <c r="B346" s="5" t="s">
        <v>466</v>
      </c>
      <c r="C346" s="5" t="s">
        <v>261</v>
      </c>
      <c r="D346" s="5" t="s">
        <v>484</v>
      </c>
      <c r="E346" s="5" t="s">
        <v>308</v>
      </c>
      <c r="F346" s="5" t="s">
        <v>264</v>
      </c>
      <c r="G346" s="5" t="s">
        <v>309</v>
      </c>
      <c r="H346" s="3">
        <v>8.4797423680696422</v>
      </c>
      <c r="I346" s="3">
        <v>0</v>
      </c>
      <c r="J346" s="318">
        <v>8.4797423680696422</v>
      </c>
      <c r="K346" s="3">
        <v>1.3968662018130307</v>
      </c>
      <c r="L346" s="3">
        <v>15.675522843829627</v>
      </c>
      <c r="M346" s="318">
        <v>17.072389045642659</v>
      </c>
      <c r="N346" s="3">
        <v>122.9953247060787</v>
      </c>
      <c r="O346" s="3">
        <v>8.3519037088163888</v>
      </c>
      <c r="P346" s="3">
        <v>6.2234553855525085</v>
      </c>
      <c r="Q346" s="3">
        <v>1.2891953743437004</v>
      </c>
      <c r="R346" s="3">
        <v>7.3664594852159873</v>
      </c>
      <c r="S346" s="3">
        <v>4.3492733172958005</v>
      </c>
      <c r="T346" s="3">
        <v>8.0227999418190823</v>
      </c>
      <c r="U346" s="3">
        <v>1.3540369847016498</v>
      </c>
      <c r="V346" s="318">
        <v>159.95244890382381</v>
      </c>
      <c r="W346" s="318">
        <v>185.50458031753612</v>
      </c>
      <c r="X346" s="3">
        <v>18.329734296414088</v>
      </c>
      <c r="Y346" s="318">
        <v>203.8343146139502</v>
      </c>
    </row>
    <row r="347" spans="1:25" x14ac:dyDescent="0.2">
      <c r="A347" s="314">
        <v>2017</v>
      </c>
      <c r="B347" s="5" t="s">
        <v>466</v>
      </c>
      <c r="C347" s="5" t="s">
        <v>261</v>
      </c>
      <c r="D347" s="5" t="s">
        <v>486</v>
      </c>
      <c r="E347" s="5" t="s">
        <v>310</v>
      </c>
      <c r="F347" s="5" t="s">
        <v>264</v>
      </c>
      <c r="G347" s="5" t="s">
        <v>311</v>
      </c>
      <c r="H347" s="3">
        <v>67.543533335657358</v>
      </c>
      <c r="I347" s="3">
        <v>0</v>
      </c>
      <c r="J347" s="318">
        <v>67.543533335657358</v>
      </c>
      <c r="K347" s="3">
        <v>4.5120974519166088</v>
      </c>
      <c r="L347" s="3">
        <v>13.821013113800902</v>
      </c>
      <c r="M347" s="318">
        <v>18.333110565717512</v>
      </c>
      <c r="N347" s="3">
        <v>3.6879803614854429</v>
      </c>
      <c r="O347" s="3">
        <v>19.041247184107338</v>
      </c>
      <c r="P347" s="3">
        <v>44.153958217475207</v>
      </c>
      <c r="Q347" s="3">
        <v>1.8196248373153863</v>
      </c>
      <c r="R347" s="3">
        <v>22.246257562526541</v>
      </c>
      <c r="S347" s="3">
        <v>11.617090910543137</v>
      </c>
      <c r="T347" s="3">
        <v>23.034194985414327</v>
      </c>
      <c r="U347" s="3">
        <v>5.9867747098832735</v>
      </c>
      <c r="V347" s="318">
        <v>131.58712876875066</v>
      </c>
      <c r="W347" s="318">
        <v>217.46377267012554</v>
      </c>
      <c r="X347" s="3">
        <v>21.487626695341422</v>
      </c>
      <c r="Y347" s="318">
        <v>238.95139936546695</v>
      </c>
    </row>
    <row r="348" spans="1:25" x14ac:dyDescent="0.2">
      <c r="A348" s="314">
        <v>2017</v>
      </c>
      <c r="B348" s="5" t="s">
        <v>466</v>
      </c>
      <c r="C348" s="5" t="s">
        <v>261</v>
      </c>
      <c r="D348" s="5" t="s">
        <v>483</v>
      </c>
      <c r="E348" s="5" t="s">
        <v>312</v>
      </c>
      <c r="F348" s="5" t="s">
        <v>264</v>
      </c>
      <c r="G348" s="5" t="s">
        <v>313</v>
      </c>
      <c r="H348" s="3">
        <v>144.53621099844304</v>
      </c>
      <c r="I348" s="3">
        <v>9.8612278474740833</v>
      </c>
      <c r="J348" s="318">
        <v>154.39743884591712</v>
      </c>
      <c r="K348" s="3">
        <v>286.80137575770152</v>
      </c>
      <c r="L348" s="3">
        <v>20.454347088812938</v>
      </c>
      <c r="M348" s="318">
        <v>307.25572284651446</v>
      </c>
      <c r="N348" s="3">
        <v>29.958236300392088</v>
      </c>
      <c r="O348" s="3">
        <v>60.942785491070353</v>
      </c>
      <c r="P348" s="3">
        <v>10.414470798929571</v>
      </c>
      <c r="Q348" s="3">
        <v>11.042703571879093</v>
      </c>
      <c r="R348" s="3">
        <v>39.834841123344077</v>
      </c>
      <c r="S348" s="3">
        <v>55.311739001788396</v>
      </c>
      <c r="T348" s="3">
        <v>63.689492659857201</v>
      </c>
      <c r="U348" s="3">
        <v>8.5070498028159811</v>
      </c>
      <c r="V348" s="318">
        <v>279.70131875007672</v>
      </c>
      <c r="W348" s="318">
        <v>741.35448044250825</v>
      </c>
      <c r="X348" s="3">
        <v>73.253342977875306</v>
      </c>
      <c r="Y348" s="318">
        <v>814.60782342038351</v>
      </c>
    </row>
    <row r="349" spans="1:25" x14ac:dyDescent="0.2">
      <c r="A349" s="314">
        <v>2017</v>
      </c>
      <c r="B349" s="5" t="s">
        <v>466</v>
      </c>
      <c r="C349" s="5" t="s">
        <v>314</v>
      </c>
      <c r="D349" s="5" t="s">
        <v>487</v>
      </c>
      <c r="E349" s="5" t="s">
        <v>316</v>
      </c>
      <c r="F349" s="5" t="s">
        <v>317</v>
      </c>
      <c r="G349" s="5" t="s">
        <v>318</v>
      </c>
      <c r="H349" s="3">
        <v>49.744999165700548</v>
      </c>
      <c r="I349" s="3">
        <v>0.93623313292821564</v>
      </c>
      <c r="J349" s="318">
        <v>50.681232298628764</v>
      </c>
      <c r="K349" s="3">
        <v>144.10583600508295</v>
      </c>
      <c r="L349" s="3">
        <v>47.602883981066071</v>
      </c>
      <c r="M349" s="318">
        <v>191.70871998614902</v>
      </c>
      <c r="N349" s="3">
        <v>21.535278365975753</v>
      </c>
      <c r="O349" s="3">
        <v>55.107330638216872</v>
      </c>
      <c r="P349" s="3">
        <v>12.864973556436384</v>
      </c>
      <c r="Q349" s="3">
        <v>9.8387507037502715</v>
      </c>
      <c r="R349" s="3">
        <v>32.735283997876294</v>
      </c>
      <c r="S349" s="3">
        <v>38.285674277781418</v>
      </c>
      <c r="T349" s="3">
        <v>45.048023839132156</v>
      </c>
      <c r="U349" s="3">
        <v>10.743505222741458</v>
      </c>
      <c r="V349" s="318">
        <v>226.15882060191061</v>
      </c>
      <c r="W349" s="318">
        <v>468.54877288668837</v>
      </c>
      <c r="X349" s="3">
        <v>46.297371726470466</v>
      </c>
      <c r="Y349" s="318">
        <v>514.8461446131588</v>
      </c>
    </row>
    <row r="350" spans="1:25" x14ac:dyDescent="0.2">
      <c r="A350" s="314">
        <v>2017</v>
      </c>
      <c r="B350" s="5" t="s">
        <v>466</v>
      </c>
      <c r="C350" s="5" t="s">
        <v>314</v>
      </c>
      <c r="D350" s="5" t="s">
        <v>488</v>
      </c>
      <c r="E350" s="5" t="s">
        <v>319</v>
      </c>
      <c r="F350" s="5" t="s">
        <v>317</v>
      </c>
      <c r="G350" s="5" t="s">
        <v>321</v>
      </c>
      <c r="H350" s="3">
        <v>151.44794761380749</v>
      </c>
      <c r="I350" s="3">
        <v>0.88374421492542865</v>
      </c>
      <c r="J350" s="318">
        <v>152.33169182873291</v>
      </c>
      <c r="K350" s="3">
        <v>89.597259802877801</v>
      </c>
      <c r="L350" s="3">
        <v>119.52590753773686</v>
      </c>
      <c r="M350" s="318">
        <v>209.12316734061466</v>
      </c>
      <c r="N350" s="3">
        <v>12.953023569916267</v>
      </c>
      <c r="O350" s="3">
        <v>108.53412808087381</v>
      </c>
      <c r="P350" s="3">
        <v>10.881216829945179</v>
      </c>
      <c r="Q350" s="3">
        <v>21.639306823887733</v>
      </c>
      <c r="R350" s="3">
        <v>30.504803019083116</v>
      </c>
      <c r="S350" s="3">
        <v>48.348144190027917</v>
      </c>
      <c r="T350" s="3">
        <v>70.93424294323799</v>
      </c>
      <c r="U350" s="3">
        <v>12.131371504347474</v>
      </c>
      <c r="V350" s="318">
        <v>315.92623696131949</v>
      </c>
      <c r="W350" s="318">
        <v>677.38109613066706</v>
      </c>
      <c r="X350" s="3">
        <v>66.93212366096563</v>
      </c>
      <c r="Y350" s="318">
        <v>744.31321979163272</v>
      </c>
    </row>
    <row r="351" spans="1:25" x14ac:dyDescent="0.2">
      <c r="A351" s="314">
        <v>2017</v>
      </c>
      <c r="B351" s="5" t="s">
        <v>466</v>
      </c>
      <c r="C351" s="5" t="s">
        <v>314</v>
      </c>
      <c r="D351" s="5" t="s">
        <v>487</v>
      </c>
      <c r="E351" s="5" t="s">
        <v>322</v>
      </c>
      <c r="F351" s="5" t="s">
        <v>317</v>
      </c>
      <c r="G351" s="5" t="s">
        <v>323</v>
      </c>
      <c r="H351" s="3">
        <v>31.711476250080654</v>
      </c>
      <c r="I351" s="3">
        <v>0.87358232073464492</v>
      </c>
      <c r="J351" s="318">
        <v>32.585058570815299</v>
      </c>
      <c r="K351" s="3">
        <v>5.5951406779161195</v>
      </c>
      <c r="L351" s="3">
        <v>1.4391991082748605</v>
      </c>
      <c r="M351" s="318">
        <v>7.03433978619098</v>
      </c>
      <c r="N351" s="3">
        <v>2.764416806348589</v>
      </c>
      <c r="O351" s="3">
        <v>11.878685863111002</v>
      </c>
      <c r="P351" s="3">
        <v>3.7036918060959434</v>
      </c>
      <c r="Q351" s="3">
        <v>1.1156074908917386</v>
      </c>
      <c r="R351" s="3">
        <v>3.5988755850339316</v>
      </c>
      <c r="S351" s="3">
        <v>5.847096126131798</v>
      </c>
      <c r="T351" s="3">
        <v>10.845139820604194</v>
      </c>
      <c r="U351" s="3">
        <v>1.8140273850715114</v>
      </c>
      <c r="V351" s="318">
        <v>41.567540883288707</v>
      </c>
      <c r="W351" s="318">
        <v>81.186939240294976</v>
      </c>
      <c r="X351" s="3">
        <v>8.0220931583814128</v>
      </c>
      <c r="Y351" s="318">
        <v>89.209032398676385</v>
      </c>
    </row>
    <row r="352" spans="1:25" x14ac:dyDescent="0.2">
      <c r="A352" s="314">
        <v>2017</v>
      </c>
      <c r="B352" s="5" t="s">
        <v>466</v>
      </c>
      <c r="C352" s="5" t="s">
        <v>314</v>
      </c>
      <c r="D352" s="5" t="s">
        <v>488</v>
      </c>
      <c r="E352" s="5" t="s">
        <v>324</v>
      </c>
      <c r="F352" s="5" t="s">
        <v>317</v>
      </c>
      <c r="G352" s="5" t="s">
        <v>325</v>
      </c>
      <c r="H352" s="3">
        <v>73.875196975770351</v>
      </c>
      <c r="I352" s="3">
        <v>0</v>
      </c>
      <c r="J352" s="318">
        <v>73.875196975770351</v>
      </c>
      <c r="K352" s="3">
        <v>5.9339537456439517</v>
      </c>
      <c r="L352" s="3">
        <v>7.8033409632988606</v>
      </c>
      <c r="M352" s="318">
        <v>13.737294708942812</v>
      </c>
      <c r="N352" s="3">
        <v>2.7407134936971875</v>
      </c>
      <c r="O352" s="3">
        <v>19.383587933420493</v>
      </c>
      <c r="P352" s="3">
        <v>5.8199947205365854</v>
      </c>
      <c r="Q352" s="3">
        <v>3.2152403946701211</v>
      </c>
      <c r="R352" s="3">
        <v>8.6894058937437197</v>
      </c>
      <c r="S352" s="3">
        <v>10.54075766580455</v>
      </c>
      <c r="T352" s="3">
        <v>18.290218510447083</v>
      </c>
      <c r="U352" s="3">
        <v>3.4076506849871593</v>
      </c>
      <c r="V352" s="318">
        <v>72.087569297306899</v>
      </c>
      <c r="W352" s="318">
        <v>159.70006098202006</v>
      </c>
      <c r="X352" s="3">
        <v>15.779986024662241</v>
      </c>
      <c r="Y352" s="318">
        <v>175.4800470066823</v>
      </c>
    </row>
    <row r="353" spans="1:25" x14ac:dyDescent="0.2">
      <c r="A353" s="314">
        <v>2017</v>
      </c>
      <c r="B353" s="5" t="s">
        <v>466</v>
      </c>
      <c r="C353" s="5" t="s">
        <v>314</v>
      </c>
      <c r="D353" s="5" t="s">
        <v>489</v>
      </c>
      <c r="E353" s="5" t="s">
        <v>326</v>
      </c>
      <c r="F353" s="5" t="s">
        <v>317</v>
      </c>
      <c r="G353" s="5" t="s">
        <v>327</v>
      </c>
      <c r="H353" s="3">
        <v>99.030157554602511</v>
      </c>
      <c r="I353" s="3">
        <v>0</v>
      </c>
      <c r="J353" s="318">
        <v>99.030157554602511</v>
      </c>
      <c r="K353" s="3">
        <v>8.4424404411269514</v>
      </c>
      <c r="L353" s="3">
        <v>10.22580629574994</v>
      </c>
      <c r="M353" s="318">
        <v>18.668246736876892</v>
      </c>
      <c r="N353" s="3">
        <v>4.7986201892920608</v>
      </c>
      <c r="O353" s="3">
        <v>18.750213455857299</v>
      </c>
      <c r="P353" s="3">
        <v>6.2589704144746943</v>
      </c>
      <c r="Q353" s="3">
        <v>5.2623245690852061</v>
      </c>
      <c r="R353" s="3">
        <v>14.393097977950987</v>
      </c>
      <c r="S353" s="3">
        <v>14.727440014768341</v>
      </c>
      <c r="T353" s="3">
        <v>33.376533548958392</v>
      </c>
      <c r="U353" s="3">
        <v>5.0319020394185268</v>
      </c>
      <c r="V353" s="318">
        <v>102.59910220980551</v>
      </c>
      <c r="W353" s="318">
        <v>220.29750650128491</v>
      </c>
      <c r="X353" s="3">
        <v>21.767628343295346</v>
      </c>
      <c r="Y353" s="318">
        <v>242.06513484458026</v>
      </c>
    </row>
    <row r="354" spans="1:25" x14ac:dyDescent="0.2">
      <c r="A354" s="314">
        <v>2017</v>
      </c>
      <c r="B354" s="5" t="s">
        <v>466</v>
      </c>
      <c r="C354" s="5" t="s">
        <v>314</v>
      </c>
      <c r="D354" s="5" t="s">
        <v>490</v>
      </c>
      <c r="E354" s="5" t="s">
        <v>328</v>
      </c>
      <c r="F354" s="5" t="s">
        <v>317</v>
      </c>
      <c r="G354" s="5" t="s">
        <v>330</v>
      </c>
      <c r="H354" s="3">
        <v>17.928220598277292</v>
      </c>
      <c r="I354" s="3">
        <v>0</v>
      </c>
      <c r="J354" s="318">
        <v>17.928220598277292</v>
      </c>
      <c r="K354" s="3">
        <v>0.61976255940992686</v>
      </c>
      <c r="L354" s="3">
        <v>4.869885450738745</v>
      </c>
      <c r="M354" s="318">
        <v>5.489648010148672</v>
      </c>
      <c r="N354" s="3">
        <v>1.7879190904170703</v>
      </c>
      <c r="O354" s="3">
        <v>7.0447013931919749</v>
      </c>
      <c r="P354" s="3">
        <v>6.3177350211528145</v>
      </c>
      <c r="Q354" s="3">
        <v>1.524313804469593</v>
      </c>
      <c r="R354" s="3">
        <v>3.4007480058821664</v>
      </c>
      <c r="S354" s="3">
        <v>5.4775461722828203</v>
      </c>
      <c r="T354" s="3">
        <v>11.095118270197148</v>
      </c>
      <c r="U354" s="3">
        <v>1.3094004808333994</v>
      </c>
      <c r="V354" s="318">
        <v>37.957482238426984</v>
      </c>
      <c r="W354" s="318">
        <v>61.375350846852946</v>
      </c>
      <c r="X354" s="3">
        <v>6.0645072560812654</v>
      </c>
      <c r="Y354" s="318">
        <v>67.43985810293421</v>
      </c>
    </row>
    <row r="355" spans="1:25" x14ac:dyDescent="0.2">
      <c r="A355" s="314">
        <v>2017</v>
      </c>
      <c r="B355" s="5" t="s">
        <v>466</v>
      </c>
      <c r="C355" s="5" t="s">
        <v>314</v>
      </c>
      <c r="D355" s="5" t="s">
        <v>488</v>
      </c>
      <c r="E355" s="5" t="s">
        <v>331</v>
      </c>
      <c r="F355" s="5" t="s">
        <v>317</v>
      </c>
      <c r="G355" s="5" t="s">
        <v>332</v>
      </c>
      <c r="H355" s="3">
        <v>105.08878954106999</v>
      </c>
      <c r="I355" s="3">
        <v>0</v>
      </c>
      <c r="J355" s="318">
        <v>105.08878954106999</v>
      </c>
      <c r="K355" s="3">
        <v>10.724980710552348</v>
      </c>
      <c r="L355" s="3">
        <v>17.67916929792132</v>
      </c>
      <c r="M355" s="318">
        <v>28.404150008473668</v>
      </c>
      <c r="N355" s="3">
        <v>9.2016035490458439</v>
      </c>
      <c r="O355" s="3">
        <v>67.441632793343871</v>
      </c>
      <c r="P355" s="3">
        <v>7.5159088386353021</v>
      </c>
      <c r="Q355" s="3">
        <v>6.7067119269989588</v>
      </c>
      <c r="R355" s="3">
        <v>23.496446449017171</v>
      </c>
      <c r="S355" s="3">
        <v>26.051922336433474</v>
      </c>
      <c r="T355" s="3">
        <v>55.551277031630342</v>
      </c>
      <c r="U355" s="3">
        <v>7.486248122006069</v>
      </c>
      <c r="V355" s="318">
        <v>203.45175104711103</v>
      </c>
      <c r="W355" s="318">
        <v>336.94469059665471</v>
      </c>
      <c r="X355" s="3">
        <v>33.293553402574901</v>
      </c>
      <c r="Y355" s="318">
        <v>370.23824399922961</v>
      </c>
    </row>
    <row r="356" spans="1:25" x14ac:dyDescent="0.2">
      <c r="A356" s="314">
        <v>2017</v>
      </c>
      <c r="B356" s="5" t="s">
        <v>466</v>
      </c>
      <c r="C356" s="5" t="s">
        <v>314</v>
      </c>
      <c r="D356" s="5" t="s">
        <v>489</v>
      </c>
      <c r="E356" s="5" t="s">
        <v>333</v>
      </c>
      <c r="F356" s="5" t="s">
        <v>317</v>
      </c>
      <c r="G356" s="5" t="s">
        <v>334</v>
      </c>
      <c r="H356" s="3">
        <v>123.11449841093095</v>
      </c>
      <c r="I356" s="3">
        <v>0</v>
      </c>
      <c r="J356" s="318">
        <v>123.11449841093095</v>
      </c>
      <c r="K356" s="3">
        <v>11.022443379756121</v>
      </c>
      <c r="L356" s="3">
        <v>13.009380201297025</v>
      </c>
      <c r="M356" s="318">
        <v>24.031823581053146</v>
      </c>
      <c r="N356" s="3">
        <v>8.587601532795178</v>
      </c>
      <c r="O356" s="3">
        <v>29.369328199250809</v>
      </c>
      <c r="P356" s="3">
        <v>10.641368613611402</v>
      </c>
      <c r="Q356" s="3">
        <v>6.7867731773407654</v>
      </c>
      <c r="R356" s="3">
        <v>15.59070983369528</v>
      </c>
      <c r="S356" s="3">
        <v>17.538477423284483</v>
      </c>
      <c r="T356" s="3">
        <v>32.172496940221102</v>
      </c>
      <c r="U356" s="3">
        <v>6.5905900035735892</v>
      </c>
      <c r="V356" s="318">
        <v>127.27734572377261</v>
      </c>
      <c r="W356" s="318">
        <v>274.42366771575672</v>
      </c>
      <c r="X356" s="3">
        <v>27.115842127816947</v>
      </c>
      <c r="Y356" s="318">
        <v>301.53950984357368</v>
      </c>
    </row>
    <row r="357" spans="1:25" x14ac:dyDescent="0.2">
      <c r="A357" s="314">
        <v>2017</v>
      </c>
      <c r="B357" s="5" t="s">
        <v>466</v>
      </c>
      <c r="C357" s="5" t="s">
        <v>314</v>
      </c>
      <c r="D357" s="5" t="s">
        <v>487</v>
      </c>
      <c r="E357" s="5" t="s">
        <v>335</v>
      </c>
      <c r="F357" s="5" t="s">
        <v>317</v>
      </c>
      <c r="G357" s="5" t="s">
        <v>336</v>
      </c>
      <c r="H357" s="3">
        <v>114.3850859435257</v>
      </c>
      <c r="I357" s="3">
        <v>1.2468021334193793</v>
      </c>
      <c r="J357" s="318">
        <v>115.63188807694507</v>
      </c>
      <c r="K357" s="3">
        <v>9.4567815190497413</v>
      </c>
      <c r="L357" s="3">
        <v>19.348688841744675</v>
      </c>
      <c r="M357" s="318">
        <v>28.805470360794416</v>
      </c>
      <c r="N357" s="3">
        <v>8.5525695088439431</v>
      </c>
      <c r="O357" s="3">
        <v>46.145646490766673</v>
      </c>
      <c r="P357" s="3">
        <v>7.8304427040094913</v>
      </c>
      <c r="Q357" s="3">
        <v>8.5961502614092282</v>
      </c>
      <c r="R357" s="3">
        <v>23.708331628264169</v>
      </c>
      <c r="S357" s="3">
        <v>24.463419513672601</v>
      </c>
      <c r="T357" s="3">
        <v>37.99806781149929</v>
      </c>
      <c r="U357" s="3">
        <v>9.7074444645167279</v>
      </c>
      <c r="V357" s="318">
        <v>167.00207238298213</v>
      </c>
      <c r="W357" s="318">
        <v>311.43943082072161</v>
      </c>
      <c r="X357" s="3">
        <v>30.77337501100299</v>
      </c>
      <c r="Y357" s="318">
        <v>342.21280583172461</v>
      </c>
    </row>
    <row r="358" spans="1:25" x14ac:dyDescent="0.2">
      <c r="A358" s="314">
        <v>2017</v>
      </c>
      <c r="B358" s="5" t="s">
        <v>466</v>
      </c>
      <c r="C358" s="5" t="s">
        <v>314</v>
      </c>
      <c r="D358" s="5" t="s">
        <v>488</v>
      </c>
      <c r="E358" s="5" t="s">
        <v>337</v>
      </c>
      <c r="F358" s="5" t="s">
        <v>317</v>
      </c>
      <c r="G358" s="5" t="s">
        <v>338</v>
      </c>
      <c r="H358" s="3">
        <v>16.965477653628803</v>
      </c>
      <c r="I358" s="3">
        <v>0</v>
      </c>
      <c r="J358" s="318">
        <v>16.965477653628803</v>
      </c>
      <c r="K358" s="3">
        <v>2.4928318551585495</v>
      </c>
      <c r="L358" s="3">
        <v>3.1097983449955175</v>
      </c>
      <c r="M358" s="318">
        <v>5.6026302001540671</v>
      </c>
      <c r="N358" s="3">
        <v>2.0201019467477348</v>
      </c>
      <c r="O358" s="3">
        <v>11.253560356933564</v>
      </c>
      <c r="P358" s="3">
        <v>3.1613073734314976</v>
      </c>
      <c r="Q358" s="3">
        <v>1.1940629338279631</v>
      </c>
      <c r="R358" s="3">
        <v>5.3200566811840053</v>
      </c>
      <c r="S358" s="3">
        <v>5.1327864433194375</v>
      </c>
      <c r="T358" s="3">
        <v>9.6586486194553665</v>
      </c>
      <c r="U358" s="3">
        <v>1.6143367548385368</v>
      </c>
      <c r="V358" s="318">
        <v>39.354861109738117</v>
      </c>
      <c r="W358" s="318">
        <v>61.922968963520987</v>
      </c>
      <c r="X358" s="3">
        <v>6.1186174810538549</v>
      </c>
      <c r="Y358" s="318">
        <v>68.041586444574847</v>
      </c>
    </row>
    <row r="359" spans="1:25" x14ac:dyDescent="0.2">
      <c r="A359" s="314">
        <v>2017</v>
      </c>
      <c r="B359" s="5" t="s">
        <v>466</v>
      </c>
      <c r="C359" s="5" t="s">
        <v>314</v>
      </c>
      <c r="D359" s="5" t="s">
        <v>488</v>
      </c>
      <c r="E359" s="5" t="s">
        <v>339</v>
      </c>
      <c r="F359" s="5" t="s">
        <v>317</v>
      </c>
      <c r="G359" s="5" t="s">
        <v>340</v>
      </c>
      <c r="H359" s="3">
        <v>47.307061315384246</v>
      </c>
      <c r="I359" s="3">
        <v>0.36149085033826367</v>
      </c>
      <c r="J359" s="318">
        <v>47.66855216572251</v>
      </c>
      <c r="K359" s="3">
        <v>6.3425128030714433</v>
      </c>
      <c r="L359" s="3">
        <v>10.140104371520366</v>
      </c>
      <c r="M359" s="318">
        <v>16.482617174591809</v>
      </c>
      <c r="N359" s="3">
        <v>5.1224564513922202</v>
      </c>
      <c r="O359" s="3">
        <v>34.341326942560165</v>
      </c>
      <c r="P359" s="3">
        <v>5.301801871387843</v>
      </c>
      <c r="Q359" s="3">
        <v>5.6561511491742191</v>
      </c>
      <c r="R359" s="3">
        <v>18.366800031980922</v>
      </c>
      <c r="S359" s="3">
        <v>15.590095367825381</v>
      </c>
      <c r="T359" s="3">
        <v>30.081190430881101</v>
      </c>
      <c r="U359" s="3">
        <v>4.4492322523069721</v>
      </c>
      <c r="V359" s="318">
        <v>118.90905449750882</v>
      </c>
      <c r="W359" s="318">
        <v>183.06022383782314</v>
      </c>
      <c r="X359" s="3">
        <v>18.08820708063233</v>
      </c>
      <c r="Y359" s="318">
        <v>201.14843091845546</v>
      </c>
    </row>
    <row r="360" spans="1:25" x14ac:dyDescent="0.2">
      <c r="A360" s="314">
        <v>2017</v>
      </c>
      <c r="B360" s="5" t="s">
        <v>466</v>
      </c>
      <c r="C360" s="5" t="s">
        <v>314</v>
      </c>
      <c r="D360" s="5" t="s">
        <v>490</v>
      </c>
      <c r="E360" s="5" t="s">
        <v>341</v>
      </c>
      <c r="F360" s="5" t="s">
        <v>317</v>
      </c>
      <c r="G360" s="5" t="s">
        <v>342</v>
      </c>
      <c r="H360" s="3">
        <v>59.135068914710125</v>
      </c>
      <c r="I360" s="3">
        <v>0</v>
      </c>
      <c r="J360" s="318">
        <v>59.135068914710125</v>
      </c>
      <c r="K360" s="3">
        <v>1.9658259806226652</v>
      </c>
      <c r="L360" s="3">
        <v>13.727810818825658</v>
      </c>
      <c r="M360" s="318">
        <v>15.693636799448322</v>
      </c>
      <c r="N360" s="3">
        <v>21.542718056856412</v>
      </c>
      <c r="O360" s="3">
        <v>25.353418823942071</v>
      </c>
      <c r="P360" s="3">
        <v>4.5965032718538357</v>
      </c>
      <c r="Q360" s="3">
        <v>3.9430932923808184</v>
      </c>
      <c r="R360" s="3">
        <v>13.039544645296841</v>
      </c>
      <c r="S360" s="3">
        <v>12.380481889986473</v>
      </c>
      <c r="T360" s="3">
        <v>19.12545767947034</v>
      </c>
      <c r="U360" s="3">
        <v>3.4263066644114595</v>
      </c>
      <c r="V360" s="318">
        <v>103.40752432419823</v>
      </c>
      <c r="W360" s="318">
        <v>178.23623003835669</v>
      </c>
      <c r="X360" s="3">
        <v>17.611547558584888</v>
      </c>
      <c r="Y360" s="318">
        <v>195.84777759694157</v>
      </c>
    </row>
    <row r="361" spans="1:25" x14ac:dyDescent="0.2">
      <c r="A361" s="314">
        <v>2017</v>
      </c>
      <c r="B361" s="5" t="s">
        <v>466</v>
      </c>
      <c r="C361" s="5" t="s">
        <v>314</v>
      </c>
      <c r="D361" s="5" t="s">
        <v>490</v>
      </c>
      <c r="E361" s="5" t="s">
        <v>343</v>
      </c>
      <c r="F361" s="5" t="s">
        <v>317</v>
      </c>
      <c r="G361" s="5" t="s">
        <v>344</v>
      </c>
      <c r="H361" s="3">
        <v>4.2026739616699471</v>
      </c>
      <c r="I361" s="3">
        <v>0.7928348268481118</v>
      </c>
      <c r="J361" s="318">
        <v>4.9955087885180589</v>
      </c>
      <c r="K361" s="3">
        <v>9.1704337416258426</v>
      </c>
      <c r="L361" s="3">
        <v>40.214084161267515</v>
      </c>
      <c r="M361" s="318">
        <v>49.384517902893357</v>
      </c>
      <c r="N361" s="3">
        <v>6.7341900266988493</v>
      </c>
      <c r="O361" s="3">
        <v>49.351293588299704</v>
      </c>
      <c r="P361" s="3">
        <v>3.7052311555275477</v>
      </c>
      <c r="Q361" s="3">
        <v>2.2505627319654318</v>
      </c>
      <c r="R361" s="3">
        <v>8.2233630523208436</v>
      </c>
      <c r="S361" s="3">
        <v>13.559567481079691</v>
      </c>
      <c r="T361" s="3">
        <v>18.888982794231048</v>
      </c>
      <c r="U361" s="3">
        <v>2.8717752952419602</v>
      </c>
      <c r="V361" s="318">
        <v>105.58496612536509</v>
      </c>
      <c r="W361" s="318">
        <v>159.96499281677652</v>
      </c>
      <c r="X361" s="3">
        <v>15.806163977408392</v>
      </c>
      <c r="Y361" s="318">
        <v>175.77115679418492</v>
      </c>
    </row>
    <row r="362" spans="1:25" x14ac:dyDescent="0.2">
      <c r="A362" s="314">
        <v>2017</v>
      </c>
      <c r="B362" s="5" t="s">
        <v>466</v>
      </c>
      <c r="C362" s="5" t="s">
        <v>314</v>
      </c>
      <c r="D362" s="5" t="s">
        <v>490</v>
      </c>
      <c r="E362" s="5" t="s">
        <v>345</v>
      </c>
      <c r="F362" s="5" t="s">
        <v>317</v>
      </c>
      <c r="G362" s="5" t="s">
        <v>346</v>
      </c>
      <c r="H362" s="3">
        <v>15.338788661019548</v>
      </c>
      <c r="I362" s="3">
        <v>0</v>
      </c>
      <c r="J362" s="318">
        <v>15.338788661019548</v>
      </c>
      <c r="K362" s="3">
        <v>13.741011127308047</v>
      </c>
      <c r="L362" s="3">
        <v>27.160959807628032</v>
      </c>
      <c r="M362" s="318">
        <v>40.901970934936081</v>
      </c>
      <c r="N362" s="3">
        <v>1.4098883666783879</v>
      </c>
      <c r="O362" s="3">
        <v>8.8748012754725565</v>
      </c>
      <c r="P362" s="3">
        <v>4.5302312575602199</v>
      </c>
      <c r="Q362" s="3">
        <v>1.7014693775574932</v>
      </c>
      <c r="R362" s="3">
        <v>6.1591917162118852</v>
      </c>
      <c r="S362" s="3">
        <v>7.0450996668851964</v>
      </c>
      <c r="T362" s="3">
        <v>13.570672456648641</v>
      </c>
      <c r="U362" s="3">
        <v>2.2198463020160615</v>
      </c>
      <c r="V362" s="318">
        <v>45.511200419030438</v>
      </c>
      <c r="W362" s="318">
        <v>101.75196001498607</v>
      </c>
      <c r="X362" s="3">
        <v>10.054125822777513</v>
      </c>
      <c r="Y362" s="318">
        <v>111.80608583776358</v>
      </c>
    </row>
    <row r="363" spans="1:25" x14ac:dyDescent="0.2">
      <c r="A363" s="314">
        <v>2017</v>
      </c>
      <c r="B363" s="5" t="s">
        <v>466</v>
      </c>
      <c r="C363" s="5" t="s">
        <v>314</v>
      </c>
      <c r="D363" s="5" t="s">
        <v>490</v>
      </c>
      <c r="E363" s="5" t="s">
        <v>347</v>
      </c>
      <c r="F363" s="5" t="s">
        <v>317</v>
      </c>
      <c r="G363" s="5" t="s">
        <v>348</v>
      </c>
      <c r="H363" s="3">
        <v>19.392015626211219</v>
      </c>
      <c r="I363" s="3">
        <v>0</v>
      </c>
      <c r="J363" s="318">
        <v>19.392015626211219</v>
      </c>
      <c r="K363" s="3">
        <v>1.4112881046132211</v>
      </c>
      <c r="L363" s="3">
        <v>6.7691840879668019</v>
      </c>
      <c r="M363" s="318">
        <v>8.180472192580023</v>
      </c>
      <c r="N363" s="3">
        <v>2.6330690555334342</v>
      </c>
      <c r="O363" s="3">
        <v>10.079903984525378</v>
      </c>
      <c r="P363" s="3">
        <v>3.6939583967700749</v>
      </c>
      <c r="Q363" s="3">
        <v>2.7577831587639894</v>
      </c>
      <c r="R363" s="3">
        <v>7.567055131794687</v>
      </c>
      <c r="S363" s="3">
        <v>7.5760971736631113</v>
      </c>
      <c r="T363" s="3">
        <v>18.364022319592035</v>
      </c>
      <c r="U363" s="3">
        <v>2.0930356596774837</v>
      </c>
      <c r="V363" s="318">
        <v>54.764924880320194</v>
      </c>
      <c r="W363" s="318">
        <v>82.337412699111439</v>
      </c>
      <c r="X363" s="3">
        <v>8.135771606531236</v>
      </c>
      <c r="Y363" s="318">
        <v>90.473184305642675</v>
      </c>
    </row>
    <row r="364" spans="1:25" x14ac:dyDescent="0.2">
      <c r="A364" s="314">
        <v>2017</v>
      </c>
      <c r="B364" s="5" t="s">
        <v>466</v>
      </c>
      <c r="C364" s="5" t="s">
        <v>314</v>
      </c>
      <c r="D364" s="5" t="s">
        <v>489</v>
      </c>
      <c r="E364" s="5" t="s">
        <v>349</v>
      </c>
      <c r="F364" s="5" t="s">
        <v>317</v>
      </c>
      <c r="G364" s="5" t="s">
        <v>350</v>
      </c>
      <c r="H364" s="3">
        <v>107.07247875294125</v>
      </c>
      <c r="I364" s="3">
        <v>0.54447854679705188</v>
      </c>
      <c r="J364" s="318">
        <v>107.6169572997383</v>
      </c>
      <c r="K364" s="3">
        <v>4.0649916870394405</v>
      </c>
      <c r="L364" s="3">
        <v>17.025185742337531</v>
      </c>
      <c r="M364" s="318">
        <v>21.090177429376972</v>
      </c>
      <c r="N364" s="3">
        <v>18.723888475298178</v>
      </c>
      <c r="O364" s="3">
        <v>33.465672986730681</v>
      </c>
      <c r="P364" s="3">
        <v>6.4451077789994518</v>
      </c>
      <c r="Q364" s="3">
        <v>4.7980491044307163</v>
      </c>
      <c r="R364" s="3">
        <v>11.046064550134409</v>
      </c>
      <c r="S364" s="3">
        <v>15.178826367761895</v>
      </c>
      <c r="T364" s="3">
        <v>24.63193848914705</v>
      </c>
      <c r="U364" s="3">
        <v>5.353934527442834</v>
      </c>
      <c r="V364" s="318">
        <v>119.64348227994522</v>
      </c>
      <c r="W364" s="318">
        <v>248.3506170090605</v>
      </c>
      <c r="X364" s="3">
        <v>24.53956023260654</v>
      </c>
      <c r="Y364" s="318">
        <v>272.89017724166706</v>
      </c>
    </row>
    <row r="365" spans="1:25" x14ac:dyDescent="0.2">
      <c r="A365" s="314">
        <v>2017</v>
      </c>
      <c r="B365" s="5" t="s">
        <v>466</v>
      </c>
      <c r="C365" s="5" t="s">
        <v>314</v>
      </c>
      <c r="D365" s="5" t="s">
        <v>490</v>
      </c>
      <c r="E365" s="5" t="s">
        <v>351</v>
      </c>
      <c r="F365" s="5" t="s">
        <v>317</v>
      </c>
      <c r="G365" s="5" t="s">
        <v>352</v>
      </c>
      <c r="H365" s="3">
        <v>76.238717402319935</v>
      </c>
      <c r="I365" s="3">
        <v>10.147519744060403</v>
      </c>
      <c r="J365" s="318">
        <v>86.386237146380338</v>
      </c>
      <c r="K365" s="3">
        <v>11.095531860712796</v>
      </c>
      <c r="L365" s="3">
        <v>12.765931648060864</v>
      </c>
      <c r="M365" s="318">
        <v>23.86146350877366</v>
      </c>
      <c r="N365" s="3">
        <v>8.1439964357626931</v>
      </c>
      <c r="O365" s="3">
        <v>43.061773947824754</v>
      </c>
      <c r="P365" s="3">
        <v>8.5833205405043067</v>
      </c>
      <c r="Q365" s="3">
        <v>8.6933824267023176</v>
      </c>
      <c r="R365" s="3">
        <v>30.051807166827487</v>
      </c>
      <c r="S365" s="3">
        <v>23.493347000757989</v>
      </c>
      <c r="T365" s="3">
        <v>40.995963886529417</v>
      </c>
      <c r="U365" s="3">
        <v>9.1627313819595546</v>
      </c>
      <c r="V365" s="318">
        <v>172.18632278686852</v>
      </c>
      <c r="W365" s="318">
        <v>282.43402344202252</v>
      </c>
      <c r="X365" s="3">
        <v>27.90734653073185</v>
      </c>
      <c r="Y365" s="318">
        <v>310.34136997275436</v>
      </c>
    </row>
    <row r="366" spans="1:25" x14ac:dyDescent="0.2">
      <c r="A366" s="314">
        <v>2017</v>
      </c>
      <c r="B366" s="5" t="s">
        <v>466</v>
      </c>
      <c r="C366" s="5" t="s">
        <v>314</v>
      </c>
      <c r="D366" s="5" t="s">
        <v>490</v>
      </c>
      <c r="E366" s="5" t="s">
        <v>353</v>
      </c>
      <c r="F366" s="5" t="s">
        <v>317</v>
      </c>
      <c r="G366" s="5" t="s">
        <v>354</v>
      </c>
      <c r="H366" s="3">
        <v>69.714645547038472</v>
      </c>
      <c r="I366" s="3">
        <v>0</v>
      </c>
      <c r="J366" s="318">
        <v>69.714645547038472</v>
      </c>
      <c r="K366" s="3">
        <v>6.1999367279525162</v>
      </c>
      <c r="L366" s="3">
        <v>12.139004891657994</v>
      </c>
      <c r="M366" s="318">
        <v>18.338941619610509</v>
      </c>
      <c r="N366" s="3">
        <v>6.1783842185560989</v>
      </c>
      <c r="O366" s="3">
        <v>27.335949835777857</v>
      </c>
      <c r="P366" s="3">
        <v>5.4871528685131912</v>
      </c>
      <c r="Q366" s="3">
        <v>5.9727675458836584</v>
      </c>
      <c r="R366" s="3">
        <v>17.179172190048128</v>
      </c>
      <c r="S366" s="3">
        <v>16.857356359151439</v>
      </c>
      <c r="T366" s="3">
        <v>34.423666908209405</v>
      </c>
      <c r="U366" s="3">
        <v>5.7651051618755904</v>
      </c>
      <c r="V366" s="318">
        <v>119.19955508801539</v>
      </c>
      <c r="W366" s="318">
        <v>207.25314225466434</v>
      </c>
      <c r="X366" s="3">
        <v>20.478712833516983</v>
      </c>
      <c r="Y366" s="318">
        <v>227.73185508818133</v>
      </c>
    </row>
    <row r="367" spans="1:25" x14ac:dyDescent="0.2">
      <c r="A367" s="314">
        <v>2017</v>
      </c>
      <c r="B367" s="5" t="s">
        <v>466</v>
      </c>
      <c r="C367" s="5" t="s">
        <v>314</v>
      </c>
      <c r="D367" s="5" t="s">
        <v>490</v>
      </c>
      <c r="E367" s="5" t="s">
        <v>355</v>
      </c>
      <c r="F367" s="5" t="s">
        <v>317</v>
      </c>
      <c r="G367" s="5" t="s">
        <v>356</v>
      </c>
      <c r="H367" s="3">
        <v>39.809183498120561</v>
      </c>
      <c r="I367" s="3">
        <v>0</v>
      </c>
      <c r="J367" s="318">
        <v>39.809183498120561</v>
      </c>
      <c r="K367" s="3">
        <v>1.3010061034090616</v>
      </c>
      <c r="L367" s="3">
        <v>8.0276994157954533</v>
      </c>
      <c r="M367" s="318">
        <v>9.3287055192045152</v>
      </c>
      <c r="N367" s="3">
        <v>3.2998422282862303</v>
      </c>
      <c r="O367" s="3">
        <v>16.427261720736503</v>
      </c>
      <c r="P367" s="3">
        <v>3.0377369229393789</v>
      </c>
      <c r="Q367" s="3">
        <v>2.4998536941245155</v>
      </c>
      <c r="R367" s="3">
        <v>6.740583334100398</v>
      </c>
      <c r="S367" s="3">
        <v>9.3716201600472111</v>
      </c>
      <c r="T367" s="3">
        <v>16.855552218793999</v>
      </c>
      <c r="U367" s="3">
        <v>2.3127743456471035</v>
      </c>
      <c r="V367" s="318">
        <v>60.545224624675349</v>
      </c>
      <c r="W367" s="318">
        <v>109.68311364200042</v>
      </c>
      <c r="X367" s="3">
        <v>10.837804254859176</v>
      </c>
      <c r="Y367" s="318">
        <v>120.5209178968596</v>
      </c>
    </row>
    <row r="368" spans="1:25" x14ac:dyDescent="0.2">
      <c r="A368" s="314">
        <v>2017</v>
      </c>
      <c r="B368" s="5" t="s">
        <v>466</v>
      </c>
      <c r="C368" s="5" t="s">
        <v>314</v>
      </c>
      <c r="D368" s="5" t="s">
        <v>487</v>
      </c>
      <c r="E368" s="5" t="s">
        <v>357</v>
      </c>
      <c r="F368" s="5" t="s">
        <v>317</v>
      </c>
      <c r="G368" s="5" t="s">
        <v>358</v>
      </c>
      <c r="H368" s="3">
        <v>32.851114752826646</v>
      </c>
      <c r="I368" s="3">
        <v>1.545647205229848</v>
      </c>
      <c r="J368" s="318">
        <v>34.396761958056494</v>
      </c>
      <c r="K368" s="3">
        <v>4.2088929100805261</v>
      </c>
      <c r="L368" s="3">
        <v>5.3777406218448318</v>
      </c>
      <c r="M368" s="318">
        <v>9.5866335319253579</v>
      </c>
      <c r="N368" s="3">
        <v>3.8564652837079416</v>
      </c>
      <c r="O368" s="3">
        <v>23.528281551910961</v>
      </c>
      <c r="P368" s="3">
        <v>5.7233118233997251</v>
      </c>
      <c r="Q368" s="3">
        <v>2.2595965186164815</v>
      </c>
      <c r="R368" s="3">
        <v>8.9146611847956816</v>
      </c>
      <c r="S368" s="3">
        <v>10.9999775591196</v>
      </c>
      <c r="T368" s="3">
        <v>21.454934630453835</v>
      </c>
      <c r="U368" s="3">
        <v>3.6014290823039286</v>
      </c>
      <c r="V368" s="318">
        <v>80.338657634308149</v>
      </c>
      <c r="W368" s="318">
        <v>124.32205312428999</v>
      </c>
      <c r="X368" s="3">
        <v>12.284279973314998</v>
      </c>
      <c r="Y368" s="318">
        <v>136.60633309760499</v>
      </c>
    </row>
    <row r="369" spans="1:25" x14ac:dyDescent="0.2">
      <c r="A369" s="314">
        <v>2017</v>
      </c>
      <c r="B369" s="5" t="s">
        <v>466</v>
      </c>
      <c r="C369" s="5" t="s">
        <v>314</v>
      </c>
      <c r="D369" s="5" t="s">
        <v>489</v>
      </c>
      <c r="E369" s="5" t="s">
        <v>359</v>
      </c>
      <c r="F369" s="5" t="s">
        <v>317</v>
      </c>
      <c r="G369" s="5" t="s">
        <v>360</v>
      </c>
      <c r="H369" s="3">
        <v>226.05334107783594</v>
      </c>
      <c r="I369" s="3">
        <v>1.5117761473717906</v>
      </c>
      <c r="J369" s="318">
        <v>227.56511722520773</v>
      </c>
      <c r="K369" s="3">
        <v>28.281979149819897</v>
      </c>
      <c r="L369" s="3">
        <v>20.321096495842255</v>
      </c>
      <c r="M369" s="318">
        <v>48.603075645662152</v>
      </c>
      <c r="N369" s="3">
        <v>12.371778199123019</v>
      </c>
      <c r="O369" s="3">
        <v>49.399120219906663</v>
      </c>
      <c r="P369" s="3">
        <v>11.412926657110109</v>
      </c>
      <c r="Q369" s="3">
        <v>11.438724948060974</v>
      </c>
      <c r="R369" s="3">
        <v>23.426866176236221</v>
      </c>
      <c r="S369" s="3">
        <v>32.637522092990928</v>
      </c>
      <c r="T369" s="3">
        <v>63.847167788330729</v>
      </c>
      <c r="U369" s="3">
        <v>10.445010389033531</v>
      </c>
      <c r="V369" s="318">
        <v>214.97911647079218</v>
      </c>
      <c r="W369" s="318">
        <v>491.14730934166209</v>
      </c>
      <c r="X369" s="3">
        <v>48.53033636808982</v>
      </c>
      <c r="Y369" s="318">
        <v>539.67764570975191</v>
      </c>
    </row>
    <row r="370" spans="1:25" x14ac:dyDescent="0.2">
      <c r="A370" s="314">
        <v>2017</v>
      </c>
      <c r="B370" s="5" t="s">
        <v>466</v>
      </c>
      <c r="C370" s="5" t="s">
        <v>314</v>
      </c>
      <c r="D370" s="5" t="s">
        <v>490</v>
      </c>
      <c r="E370" s="5" t="s">
        <v>361</v>
      </c>
      <c r="F370" s="5" t="s">
        <v>317</v>
      </c>
      <c r="G370" s="5" t="s">
        <v>362</v>
      </c>
      <c r="H370" s="3">
        <v>48.030340395745021</v>
      </c>
      <c r="I370" s="3">
        <v>2.454563711371371</v>
      </c>
      <c r="J370" s="318">
        <v>50.484904107116392</v>
      </c>
      <c r="K370" s="3">
        <v>2.1357909913906359</v>
      </c>
      <c r="L370" s="3">
        <v>7.6543090320901683</v>
      </c>
      <c r="M370" s="318">
        <v>9.7901000234808038</v>
      </c>
      <c r="N370" s="3">
        <v>2.4363721412439192</v>
      </c>
      <c r="O370" s="3">
        <v>11.265637948053168</v>
      </c>
      <c r="P370" s="3">
        <v>3.1107268315889303</v>
      </c>
      <c r="Q370" s="3">
        <v>2.1544080171521793</v>
      </c>
      <c r="R370" s="3">
        <v>8.9877625201623133</v>
      </c>
      <c r="S370" s="3">
        <v>8.7285527469392665</v>
      </c>
      <c r="T370" s="3">
        <v>15.524993641944592</v>
      </c>
      <c r="U370" s="3">
        <v>2.9635951931318503</v>
      </c>
      <c r="V370" s="318">
        <v>55.172049040216216</v>
      </c>
      <c r="W370" s="318">
        <v>115.4470531708134</v>
      </c>
      <c r="X370" s="3">
        <v>11.407339949788609</v>
      </c>
      <c r="Y370" s="318">
        <v>126.85439312060201</v>
      </c>
    </row>
    <row r="371" spans="1:25" x14ac:dyDescent="0.2">
      <c r="A371" s="314">
        <v>2017</v>
      </c>
      <c r="B371" s="5" t="s">
        <v>466</v>
      </c>
      <c r="C371" s="5" t="s">
        <v>314</v>
      </c>
      <c r="D371" s="5" t="s">
        <v>487</v>
      </c>
      <c r="E371" s="5" t="s">
        <v>363</v>
      </c>
      <c r="F371" s="5" t="s">
        <v>317</v>
      </c>
      <c r="G371" s="5" t="s">
        <v>364</v>
      </c>
      <c r="H371" s="3">
        <v>47.059289775521052</v>
      </c>
      <c r="I371" s="3">
        <v>1.5895229978550418</v>
      </c>
      <c r="J371" s="318">
        <v>48.648812773376093</v>
      </c>
      <c r="K371" s="3">
        <v>5.783682308280178</v>
      </c>
      <c r="L371" s="3">
        <v>9.4635965966979789</v>
      </c>
      <c r="M371" s="318">
        <v>15.247278904978156</v>
      </c>
      <c r="N371" s="3">
        <v>6.6520552651340186</v>
      </c>
      <c r="O371" s="3">
        <v>29.805786608405917</v>
      </c>
      <c r="P371" s="3">
        <v>4.3689090473088443</v>
      </c>
      <c r="Q371" s="3">
        <v>4.0789751233672344</v>
      </c>
      <c r="R371" s="3">
        <v>15.946060046550368</v>
      </c>
      <c r="S371" s="3">
        <v>15.55082060468191</v>
      </c>
      <c r="T371" s="3">
        <v>26.727887391286284</v>
      </c>
      <c r="U371" s="3">
        <v>4.691827253396557</v>
      </c>
      <c r="V371" s="318">
        <v>107.82232134013114</v>
      </c>
      <c r="W371" s="318">
        <v>171.71841301848539</v>
      </c>
      <c r="X371" s="3">
        <v>16.967521120195148</v>
      </c>
      <c r="Y371" s="318">
        <v>188.68593413868055</v>
      </c>
    </row>
    <row r="372" spans="1:25" x14ac:dyDescent="0.2">
      <c r="A372" s="314">
        <v>2017</v>
      </c>
      <c r="B372" s="5" t="s">
        <v>466</v>
      </c>
      <c r="C372" s="5" t="s">
        <v>365</v>
      </c>
      <c r="D372" s="5" t="s">
        <v>491</v>
      </c>
      <c r="E372" s="5" t="s">
        <v>367</v>
      </c>
      <c r="F372" s="5" t="s">
        <v>368</v>
      </c>
      <c r="G372" s="5" t="s">
        <v>370</v>
      </c>
      <c r="H372" s="3">
        <v>556.6051775253801</v>
      </c>
      <c r="I372" s="3">
        <v>3.7165123010776142</v>
      </c>
      <c r="J372" s="318">
        <v>560.32168982645771</v>
      </c>
      <c r="K372" s="3">
        <v>85.512502868300999</v>
      </c>
      <c r="L372" s="3">
        <v>171.00875151004618</v>
      </c>
      <c r="M372" s="318">
        <v>256.52125437834718</v>
      </c>
      <c r="N372" s="3">
        <v>75.470516214146272</v>
      </c>
      <c r="O372" s="3">
        <v>562.21889540750226</v>
      </c>
      <c r="P372" s="3">
        <v>58.534563626497956</v>
      </c>
      <c r="Q372" s="3">
        <v>64.459363647385487</v>
      </c>
      <c r="R372" s="3">
        <v>121.20018227137083</v>
      </c>
      <c r="S372" s="3">
        <v>186.18143531294893</v>
      </c>
      <c r="T372" s="3">
        <v>282.12416092748936</v>
      </c>
      <c r="U372" s="3">
        <v>37.357414813566315</v>
      </c>
      <c r="V372" s="318">
        <v>1387.5465322209075</v>
      </c>
      <c r="W372" s="318">
        <v>2204.3894764257125</v>
      </c>
      <c r="X372" s="3">
        <v>217.81604162835339</v>
      </c>
      <c r="Y372" s="318">
        <v>2422.205518054066</v>
      </c>
    </row>
    <row r="373" spans="1:25" x14ac:dyDescent="0.2">
      <c r="A373" s="314">
        <v>2017</v>
      </c>
      <c r="B373" s="5" t="s">
        <v>466</v>
      </c>
      <c r="C373" s="5" t="s">
        <v>365</v>
      </c>
      <c r="D373" s="5" t="s">
        <v>492</v>
      </c>
      <c r="E373" s="5" t="s">
        <v>371</v>
      </c>
      <c r="F373" s="5" t="s">
        <v>368</v>
      </c>
      <c r="G373" s="5" t="s">
        <v>372</v>
      </c>
      <c r="H373" s="3">
        <v>53.365120387957603</v>
      </c>
      <c r="I373" s="3">
        <v>0</v>
      </c>
      <c r="J373" s="318">
        <v>53.365120387957603</v>
      </c>
      <c r="K373" s="3">
        <v>1.5864369715373183</v>
      </c>
      <c r="L373" s="3">
        <v>22.307372678923763</v>
      </c>
      <c r="M373" s="318">
        <v>23.89380965046108</v>
      </c>
      <c r="N373" s="3">
        <v>9.5622645134956485</v>
      </c>
      <c r="O373" s="3">
        <v>29.687482288319167</v>
      </c>
      <c r="P373" s="3">
        <v>18.075475213825744</v>
      </c>
      <c r="Q373" s="3">
        <v>8.9722000477468811</v>
      </c>
      <c r="R373" s="3">
        <v>17.00885135279584</v>
      </c>
      <c r="S373" s="3">
        <v>27.213559807375752</v>
      </c>
      <c r="T373" s="3">
        <v>78.524056807840353</v>
      </c>
      <c r="U373" s="3">
        <v>10.345881137507851</v>
      </c>
      <c r="V373" s="318">
        <v>199.38977116890723</v>
      </c>
      <c r="W373" s="318">
        <v>276.64870120732587</v>
      </c>
      <c r="X373" s="3">
        <v>27.335698007554655</v>
      </c>
      <c r="Y373" s="318">
        <v>303.98439921488051</v>
      </c>
    </row>
    <row r="374" spans="1:25" x14ac:dyDescent="0.2">
      <c r="A374" s="314">
        <v>2017</v>
      </c>
      <c r="B374" s="5" t="s">
        <v>466</v>
      </c>
      <c r="C374" s="5" t="s">
        <v>365</v>
      </c>
      <c r="D374" s="5" t="s">
        <v>491</v>
      </c>
      <c r="E374" s="5" t="s">
        <v>373</v>
      </c>
      <c r="F374" s="5" t="s">
        <v>368</v>
      </c>
      <c r="G374" s="5" t="s">
        <v>374</v>
      </c>
      <c r="H374" s="3">
        <v>552.40013521962521</v>
      </c>
      <c r="I374" s="3">
        <v>3.2000292426102988</v>
      </c>
      <c r="J374" s="318">
        <v>555.60016446223551</v>
      </c>
      <c r="K374" s="3">
        <v>24.100896470691143</v>
      </c>
      <c r="L374" s="3">
        <v>61.299956715571312</v>
      </c>
      <c r="M374" s="318">
        <v>85.400853186262452</v>
      </c>
      <c r="N374" s="3">
        <v>21.454947276341723</v>
      </c>
      <c r="O374" s="3">
        <v>141.10908066449133</v>
      </c>
      <c r="P374" s="3">
        <v>18.930277777776372</v>
      </c>
      <c r="Q374" s="3">
        <v>12.724191327203876</v>
      </c>
      <c r="R374" s="3">
        <v>27.877165361728032</v>
      </c>
      <c r="S374" s="3">
        <v>53.815103986634782</v>
      </c>
      <c r="T374" s="3">
        <v>75.171525334819279</v>
      </c>
      <c r="U374" s="3">
        <v>13.304262269744846</v>
      </c>
      <c r="V374" s="318">
        <v>364.38655399874028</v>
      </c>
      <c r="W374" s="318">
        <v>1005.3875716472382</v>
      </c>
      <c r="X374" s="3">
        <v>99.342490744250227</v>
      </c>
      <c r="Y374" s="318">
        <v>1104.7300623914884</v>
      </c>
    </row>
    <row r="375" spans="1:25" x14ac:dyDescent="0.2">
      <c r="A375" s="314">
        <v>2017</v>
      </c>
      <c r="B375" s="5" t="s">
        <v>466</v>
      </c>
      <c r="C375" s="5" t="s">
        <v>365</v>
      </c>
      <c r="D375" s="5" t="s">
        <v>491</v>
      </c>
      <c r="E375" s="5" t="s">
        <v>375</v>
      </c>
      <c r="F375" s="5" t="s">
        <v>368</v>
      </c>
      <c r="G375" s="5" t="s">
        <v>376</v>
      </c>
      <c r="H375" s="3">
        <v>293.85784982791648</v>
      </c>
      <c r="I375" s="3">
        <v>2.1441741031509878</v>
      </c>
      <c r="J375" s="318">
        <v>296.00202393106747</v>
      </c>
      <c r="K375" s="3">
        <v>26.902903049948517</v>
      </c>
      <c r="L375" s="3">
        <v>44.219326189703793</v>
      </c>
      <c r="M375" s="318">
        <v>71.122229239652313</v>
      </c>
      <c r="N375" s="3">
        <v>26.38155284785141</v>
      </c>
      <c r="O375" s="3">
        <v>173.01552916421454</v>
      </c>
      <c r="P375" s="3">
        <v>17.651012149911644</v>
      </c>
      <c r="Q375" s="3">
        <v>22.145190845151756</v>
      </c>
      <c r="R375" s="3">
        <v>38.088018338906707</v>
      </c>
      <c r="S375" s="3">
        <v>61.48138572533626</v>
      </c>
      <c r="T375" s="3">
        <v>99.199289401700597</v>
      </c>
      <c r="U375" s="3">
        <v>15.534444811606988</v>
      </c>
      <c r="V375" s="318">
        <v>453.49642328467991</v>
      </c>
      <c r="W375" s="318">
        <v>820.62067645539969</v>
      </c>
      <c r="X375" s="3">
        <v>81.085647221343237</v>
      </c>
      <c r="Y375" s="318">
        <v>901.70632367674295</v>
      </c>
    </row>
    <row r="376" spans="1:25" x14ac:dyDescent="0.2">
      <c r="A376" s="314">
        <v>2017</v>
      </c>
      <c r="B376" s="5" t="s">
        <v>466</v>
      </c>
      <c r="C376" s="5" t="s">
        <v>365</v>
      </c>
      <c r="D376" s="5" t="s">
        <v>493</v>
      </c>
      <c r="E376" s="5" t="s">
        <v>377</v>
      </c>
      <c r="F376" s="5" t="s">
        <v>368</v>
      </c>
      <c r="G376" s="5" t="s">
        <v>378</v>
      </c>
      <c r="H376" s="3">
        <v>0.87583020815654289</v>
      </c>
      <c r="I376" s="3">
        <v>0</v>
      </c>
      <c r="J376" s="318">
        <v>0.87583020815654289</v>
      </c>
      <c r="K376" s="3">
        <v>0.38575336862907189</v>
      </c>
      <c r="L376" s="3">
        <v>2.7987425627344855</v>
      </c>
      <c r="M376" s="318">
        <v>3.1844959313635575</v>
      </c>
      <c r="N376" s="3">
        <v>0.83244838521189846</v>
      </c>
      <c r="O376" s="3">
        <v>2.146714245758786</v>
      </c>
      <c r="P376" s="3">
        <v>14.979484628751342</v>
      </c>
      <c r="Q376" s="3">
        <v>0.58753509816210392</v>
      </c>
      <c r="R376" s="3">
        <v>1.6495394469712115</v>
      </c>
      <c r="S376" s="3">
        <v>3.2148825542411292</v>
      </c>
      <c r="T376" s="3">
        <v>10.187309383674702</v>
      </c>
      <c r="U376" s="3">
        <v>0.62346020437588601</v>
      </c>
      <c r="V376" s="318">
        <v>34.221373947147057</v>
      </c>
      <c r="W376" s="318">
        <v>38.281700086667158</v>
      </c>
      <c r="X376" s="3">
        <v>3.7826202986605644</v>
      </c>
      <c r="Y376" s="318">
        <v>42.064320385327719</v>
      </c>
    </row>
    <row r="377" spans="1:25" x14ac:dyDescent="0.2">
      <c r="A377" s="314">
        <v>2017</v>
      </c>
      <c r="B377" s="5" t="s">
        <v>466</v>
      </c>
      <c r="C377" s="5" t="s">
        <v>365</v>
      </c>
      <c r="D377" s="5" t="s">
        <v>491</v>
      </c>
      <c r="E377" s="5" t="s">
        <v>379</v>
      </c>
      <c r="F377" s="5" t="s">
        <v>368</v>
      </c>
      <c r="G377" s="5" t="s">
        <v>380</v>
      </c>
      <c r="H377" s="3">
        <v>23.396681299442541</v>
      </c>
      <c r="I377" s="3">
        <v>26.181959164161725</v>
      </c>
      <c r="J377" s="318">
        <v>49.578640463604266</v>
      </c>
      <c r="K377" s="3">
        <v>1.6328209503801172</v>
      </c>
      <c r="L377" s="3">
        <v>11.343982368322029</v>
      </c>
      <c r="M377" s="318">
        <v>12.976803318702146</v>
      </c>
      <c r="N377" s="3">
        <v>7.9043063016286936</v>
      </c>
      <c r="O377" s="3">
        <v>23.128512503331816</v>
      </c>
      <c r="P377" s="3">
        <v>5.7360654517710801</v>
      </c>
      <c r="Q377" s="3">
        <v>4.288447705258533</v>
      </c>
      <c r="R377" s="3">
        <v>8.9025537217456172</v>
      </c>
      <c r="S377" s="3">
        <v>16.096104429379412</v>
      </c>
      <c r="T377" s="3">
        <v>37.010247346746937</v>
      </c>
      <c r="U377" s="3">
        <v>2.9757260666845538</v>
      </c>
      <c r="V377" s="318">
        <v>106.04196352654665</v>
      </c>
      <c r="W377" s="318">
        <v>168.59740730885306</v>
      </c>
      <c r="X377" s="3">
        <v>16.659134096558166</v>
      </c>
      <c r="Y377" s="318">
        <v>185.25654140541124</v>
      </c>
    </row>
    <row r="378" spans="1:25" x14ac:dyDescent="0.2">
      <c r="A378" s="314">
        <v>2017</v>
      </c>
      <c r="B378" s="5" t="s">
        <v>466</v>
      </c>
      <c r="C378" s="5" t="s">
        <v>365</v>
      </c>
      <c r="D378" s="5" t="s">
        <v>492</v>
      </c>
      <c r="E378" s="5" t="s">
        <v>381</v>
      </c>
      <c r="F378" s="5" t="s">
        <v>368</v>
      </c>
      <c r="G378" s="5" t="s">
        <v>382</v>
      </c>
      <c r="H378" s="3">
        <v>96.083957742707398</v>
      </c>
      <c r="I378" s="3">
        <v>1.021609029024674</v>
      </c>
      <c r="J378" s="318">
        <v>97.105566771732072</v>
      </c>
      <c r="K378" s="3">
        <v>2.4818474999615612</v>
      </c>
      <c r="L378" s="3">
        <v>36.853640869567002</v>
      </c>
      <c r="M378" s="318">
        <v>39.335488369528562</v>
      </c>
      <c r="N378" s="3">
        <v>26.905441909409269</v>
      </c>
      <c r="O378" s="3">
        <v>89.206190670021783</v>
      </c>
      <c r="P378" s="3">
        <v>13.922454639941243</v>
      </c>
      <c r="Q378" s="3">
        <v>11.655634613358018</v>
      </c>
      <c r="R378" s="3">
        <v>23.648692068144101</v>
      </c>
      <c r="S378" s="3">
        <v>41.770024085866069</v>
      </c>
      <c r="T378" s="3">
        <v>99.708575745837408</v>
      </c>
      <c r="U378" s="3">
        <v>11.707520199686993</v>
      </c>
      <c r="V378" s="318">
        <v>318.52453393226483</v>
      </c>
      <c r="W378" s="318">
        <v>454.96558907352545</v>
      </c>
      <c r="X378" s="3">
        <v>44.955215377724556</v>
      </c>
      <c r="Y378" s="318">
        <v>499.92080445124998</v>
      </c>
    </row>
    <row r="379" spans="1:25" x14ac:dyDescent="0.2">
      <c r="A379" s="314">
        <v>2017</v>
      </c>
      <c r="B379" s="5" t="s">
        <v>466</v>
      </c>
      <c r="C379" s="5" t="s">
        <v>365</v>
      </c>
      <c r="D379" s="5" t="s">
        <v>492</v>
      </c>
      <c r="E379" s="5" t="s">
        <v>383</v>
      </c>
      <c r="F379" s="5" t="s">
        <v>368</v>
      </c>
      <c r="G379" s="5" t="s">
        <v>384</v>
      </c>
      <c r="H379" s="3">
        <v>50.203458035636764</v>
      </c>
      <c r="I379" s="3">
        <v>0.25646863187080982</v>
      </c>
      <c r="J379" s="318">
        <v>50.459926667507574</v>
      </c>
      <c r="K379" s="3">
        <v>1.434770930717709</v>
      </c>
      <c r="L379" s="3">
        <v>14.489652279929077</v>
      </c>
      <c r="M379" s="318">
        <v>15.924423210646786</v>
      </c>
      <c r="N379" s="3">
        <v>10.179932572839665</v>
      </c>
      <c r="O379" s="3">
        <v>26.883542791729447</v>
      </c>
      <c r="P379" s="3">
        <v>7.397584989139312</v>
      </c>
      <c r="Q379" s="3">
        <v>5.4447556298148641</v>
      </c>
      <c r="R379" s="3">
        <v>6.4771696385450204</v>
      </c>
      <c r="S379" s="3">
        <v>17.201560486948978</v>
      </c>
      <c r="T379" s="3">
        <v>43.844363577783845</v>
      </c>
      <c r="U379" s="3">
        <v>4.3098667511628967</v>
      </c>
      <c r="V379" s="318">
        <v>121.73877643796402</v>
      </c>
      <c r="W379" s="318">
        <v>188.12312631611837</v>
      </c>
      <c r="X379" s="3">
        <v>18.588473203641026</v>
      </c>
      <c r="Y379" s="318">
        <v>206.7115995197594</v>
      </c>
    </row>
    <row r="380" spans="1:25" x14ac:dyDescent="0.2">
      <c r="A380" s="314">
        <v>2017</v>
      </c>
      <c r="B380" s="5" t="s">
        <v>466</v>
      </c>
      <c r="C380" s="5" t="s">
        <v>365</v>
      </c>
      <c r="D380" s="5" t="s">
        <v>492</v>
      </c>
      <c r="E380" s="5" t="s">
        <v>385</v>
      </c>
      <c r="F380" s="5" t="s">
        <v>368</v>
      </c>
      <c r="G380" s="5" t="s">
        <v>386</v>
      </c>
      <c r="H380" s="3">
        <v>56.136457022743414</v>
      </c>
      <c r="I380" s="3">
        <v>0</v>
      </c>
      <c r="J380" s="318">
        <v>56.136457022743414</v>
      </c>
      <c r="K380" s="3">
        <v>1.8719172108047197</v>
      </c>
      <c r="L380" s="3">
        <v>20.717295389329262</v>
      </c>
      <c r="M380" s="318">
        <v>22.589212600133983</v>
      </c>
      <c r="N380" s="3">
        <v>11.368634864890158</v>
      </c>
      <c r="O380" s="3">
        <v>40.004519434266797</v>
      </c>
      <c r="P380" s="3">
        <v>11.530759968377167</v>
      </c>
      <c r="Q380" s="3">
        <v>8.2397820997888118</v>
      </c>
      <c r="R380" s="3">
        <v>13.848954673920129</v>
      </c>
      <c r="S380" s="3">
        <v>25.490404174079451</v>
      </c>
      <c r="T380" s="3">
        <v>72.293393693502466</v>
      </c>
      <c r="U380" s="3">
        <v>6.3591764624917033</v>
      </c>
      <c r="V380" s="318">
        <v>189.13562537131668</v>
      </c>
      <c r="W380" s="318">
        <v>267.86129499419405</v>
      </c>
      <c r="X380" s="3">
        <v>26.467413134126449</v>
      </c>
      <c r="Y380" s="318">
        <v>294.3287081283205</v>
      </c>
    </row>
    <row r="381" spans="1:25" x14ac:dyDescent="0.2">
      <c r="A381" s="314">
        <v>2017</v>
      </c>
      <c r="B381" s="5" t="s">
        <v>466</v>
      </c>
      <c r="C381" s="5" t="s">
        <v>365</v>
      </c>
      <c r="D381" s="5" t="s">
        <v>491</v>
      </c>
      <c r="E381" s="5" t="s">
        <v>387</v>
      </c>
      <c r="F381" s="5" t="s">
        <v>368</v>
      </c>
      <c r="G381" s="5" t="s">
        <v>494</v>
      </c>
      <c r="H381" s="3">
        <v>717.46393901035276</v>
      </c>
      <c r="I381" s="3">
        <v>4.3728253358661959</v>
      </c>
      <c r="J381" s="318">
        <v>721.83676434621896</v>
      </c>
      <c r="K381" s="3">
        <v>26.834904830234983</v>
      </c>
      <c r="L381" s="3">
        <v>151.1649633514686</v>
      </c>
      <c r="M381" s="318">
        <v>177.99986818170359</v>
      </c>
      <c r="N381" s="3">
        <v>59.132610766902154</v>
      </c>
      <c r="O381" s="3">
        <v>276.45533217634807</v>
      </c>
      <c r="P381" s="3">
        <v>41.056515463907772</v>
      </c>
      <c r="Q381" s="3">
        <v>47.225407148945557</v>
      </c>
      <c r="R381" s="3">
        <v>82.596311054291675</v>
      </c>
      <c r="S381" s="3">
        <v>175.27661124484118</v>
      </c>
      <c r="T381" s="3">
        <v>452.81700533290854</v>
      </c>
      <c r="U381" s="3">
        <v>38.498312870226727</v>
      </c>
      <c r="V381" s="318">
        <v>1173.0581060583718</v>
      </c>
      <c r="W381" s="318">
        <v>2072.8947385862944</v>
      </c>
      <c r="X381" s="3">
        <v>204.82302764537025</v>
      </c>
      <c r="Y381" s="318">
        <v>2277.7177662316644</v>
      </c>
    </row>
    <row r="382" spans="1:25" x14ac:dyDescent="0.2">
      <c r="A382" s="312">
        <v>2017</v>
      </c>
      <c r="B382" s="309" t="s">
        <v>466</v>
      </c>
      <c r="C382" s="315" t="s">
        <v>365</v>
      </c>
      <c r="D382" s="315" t="s">
        <v>493</v>
      </c>
      <c r="E382" s="309" t="s">
        <v>389</v>
      </c>
      <c r="F382" s="315" t="s">
        <v>368</v>
      </c>
      <c r="G382" s="309" t="s">
        <v>390</v>
      </c>
      <c r="H382" s="313">
        <v>10.867897436106201</v>
      </c>
      <c r="I382" s="313">
        <v>0</v>
      </c>
      <c r="J382" s="318">
        <v>10.867897436106201</v>
      </c>
      <c r="K382" s="313">
        <v>0</v>
      </c>
      <c r="L382" s="313">
        <v>5.1234535661088243</v>
      </c>
      <c r="M382" s="318">
        <v>5.1234535661088243</v>
      </c>
      <c r="N382" s="313">
        <v>2.5050567013587126</v>
      </c>
      <c r="O382" s="313">
        <v>6.3492932570873277</v>
      </c>
      <c r="P382" s="313">
        <v>2.9357549276239197</v>
      </c>
      <c r="Q382" s="313">
        <v>1.7839934052174016</v>
      </c>
      <c r="R382" s="313">
        <v>4.3483541236642456</v>
      </c>
      <c r="S382" s="313">
        <v>6.1981154888162049</v>
      </c>
      <c r="T382" s="313">
        <v>19.360348340828669</v>
      </c>
      <c r="U382" s="313">
        <v>2.1181750250871474</v>
      </c>
      <c r="V382" s="318">
        <v>45.599091269683633</v>
      </c>
      <c r="W382" s="318">
        <v>61.590442271898652</v>
      </c>
      <c r="X382" s="313">
        <v>6.0857604707661865</v>
      </c>
      <c r="Y382" s="318">
        <v>67.676202742664842</v>
      </c>
    </row>
    <row r="383" spans="1:25" x14ac:dyDescent="0.2">
      <c r="A383" s="314">
        <v>2018</v>
      </c>
      <c r="B383" s="5" t="s">
        <v>466</v>
      </c>
      <c r="C383" s="5"/>
      <c r="D383" s="5"/>
      <c r="E383" s="5"/>
      <c r="F383" s="5"/>
      <c r="G383" s="5" t="s">
        <v>467</v>
      </c>
      <c r="H383" s="3">
        <v>7959.6039008397966</v>
      </c>
      <c r="I383" s="3">
        <v>2674.5405995441283</v>
      </c>
      <c r="J383" s="318">
        <v>10634.144500383925</v>
      </c>
      <c r="K383" s="3">
        <v>21028.568077165975</v>
      </c>
      <c r="L383" s="3">
        <v>10687.749455898018</v>
      </c>
      <c r="M383" s="318">
        <v>31716.317533063993</v>
      </c>
      <c r="N383" s="3">
        <v>6425.7821611304071</v>
      </c>
      <c r="O383" s="3">
        <v>24232.489384445551</v>
      </c>
      <c r="P383" s="3">
        <v>4130.6779085771368</v>
      </c>
      <c r="Q383" s="3">
        <v>6787.9735877772919</v>
      </c>
      <c r="R383" s="3">
        <v>12454.641652026221</v>
      </c>
      <c r="S383" s="3">
        <v>12684.490604496992</v>
      </c>
      <c r="T383" s="3">
        <v>16550.604329171591</v>
      </c>
      <c r="U383" s="3">
        <v>3293.2443543578029</v>
      </c>
      <c r="V383" s="318">
        <v>86559.903981982992</v>
      </c>
      <c r="W383" s="318">
        <v>128910.36601543092</v>
      </c>
      <c r="X383" s="3">
        <v>12769.714316624691</v>
      </c>
      <c r="Y383" s="318">
        <v>141680.0803320556</v>
      </c>
    </row>
    <row r="384" spans="1:25" x14ac:dyDescent="0.2">
      <c r="A384" s="314">
        <v>2018</v>
      </c>
      <c r="B384" s="5" t="s">
        <v>466</v>
      </c>
      <c r="C384" s="5" t="s">
        <v>90</v>
      </c>
      <c r="D384" s="5" t="s">
        <v>468</v>
      </c>
      <c r="E384" s="5" t="s">
        <v>93</v>
      </c>
      <c r="F384" s="5" t="s">
        <v>94</v>
      </c>
      <c r="G384" s="5" t="s">
        <v>469</v>
      </c>
      <c r="H384" s="3">
        <v>156.75323741756171</v>
      </c>
      <c r="I384" s="3">
        <v>5.4932336783090818</v>
      </c>
      <c r="J384" s="318">
        <v>162.24647109587079</v>
      </c>
      <c r="K384" s="3">
        <v>7665.1006694804455</v>
      </c>
      <c r="L384" s="3">
        <v>5013.8607389200279</v>
      </c>
      <c r="M384" s="318">
        <v>12678.961408400473</v>
      </c>
      <c r="N384" s="3">
        <v>2131.8297624333795</v>
      </c>
      <c r="O384" s="3">
        <v>11522.004072468997</v>
      </c>
      <c r="P384" s="3">
        <v>1852.3767863465566</v>
      </c>
      <c r="Q384" s="3">
        <v>5060.5836899570932</v>
      </c>
      <c r="R384" s="3">
        <v>6251.3824125660813</v>
      </c>
      <c r="S384" s="3">
        <v>6020.1058200554971</v>
      </c>
      <c r="T384" s="3">
        <v>7903.723945487257</v>
      </c>
      <c r="U384" s="3">
        <v>1499.0868112733672</v>
      </c>
      <c r="V384" s="318">
        <v>42241.093300588225</v>
      </c>
      <c r="W384" s="318">
        <v>55082.301180084571</v>
      </c>
      <c r="X384" s="3">
        <v>5456.3901392364533</v>
      </c>
      <c r="Y384" s="318">
        <v>60538.69131932102</v>
      </c>
    </row>
    <row r="385" spans="1:25" x14ac:dyDescent="0.2">
      <c r="A385" s="314">
        <v>2018</v>
      </c>
      <c r="B385" s="5" t="s">
        <v>466</v>
      </c>
      <c r="C385" s="5" t="s">
        <v>90</v>
      </c>
      <c r="D385" s="5" t="s">
        <v>470</v>
      </c>
      <c r="E385" s="5" t="s">
        <v>98</v>
      </c>
      <c r="F385" s="5" t="s">
        <v>94</v>
      </c>
      <c r="G385" s="5" t="s">
        <v>99</v>
      </c>
      <c r="H385" s="3">
        <v>97.100311074305921</v>
      </c>
      <c r="I385" s="3">
        <v>4.7670182003574695</v>
      </c>
      <c r="J385" s="318">
        <v>101.86732927466339</v>
      </c>
      <c r="K385" s="3">
        <v>343.4424510382031</v>
      </c>
      <c r="L385" s="3">
        <v>88.696179164677346</v>
      </c>
      <c r="M385" s="318">
        <v>432.13863020288045</v>
      </c>
      <c r="N385" s="3">
        <v>142.76439994895722</v>
      </c>
      <c r="O385" s="3">
        <v>88.549538056678074</v>
      </c>
      <c r="P385" s="3">
        <v>16.372224187062685</v>
      </c>
      <c r="Q385" s="3">
        <v>7.9516021138004271</v>
      </c>
      <c r="R385" s="3">
        <v>49.095939463766058</v>
      </c>
      <c r="S385" s="3">
        <v>56.885877927466993</v>
      </c>
      <c r="T385" s="3">
        <v>46.050521949993282</v>
      </c>
      <c r="U385" s="3">
        <v>15.979590343590619</v>
      </c>
      <c r="V385" s="318">
        <v>423.64969399131542</v>
      </c>
      <c r="W385" s="318">
        <v>957.65565346885921</v>
      </c>
      <c r="X385" s="3">
        <v>94.864280402663852</v>
      </c>
      <c r="Y385" s="318">
        <v>1052.5199338715231</v>
      </c>
    </row>
    <row r="386" spans="1:25" x14ac:dyDescent="0.2">
      <c r="A386" s="314">
        <v>2018</v>
      </c>
      <c r="B386" s="5" t="s">
        <v>466</v>
      </c>
      <c r="C386" s="5" t="s">
        <v>90</v>
      </c>
      <c r="D386" s="5" t="s">
        <v>470</v>
      </c>
      <c r="E386" s="5" t="s">
        <v>101</v>
      </c>
      <c r="F386" s="5" t="s">
        <v>94</v>
      </c>
      <c r="G386" s="5" t="s">
        <v>102</v>
      </c>
      <c r="H386" s="3">
        <v>31.378578770154359</v>
      </c>
      <c r="I386" s="3">
        <v>1.3204173431412407</v>
      </c>
      <c r="J386" s="318">
        <v>32.6989961132956</v>
      </c>
      <c r="K386" s="3">
        <v>553.26726905871158</v>
      </c>
      <c r="L386" s="3">
        <v>546.0343312338606</v>
      </c>
      <c r="M386" s="318">
        <v>1099.3016002925722</v>
      </c>
      <c r="N386" s="3">
        <v>235.67375914581277</v>
      </c>
      <c r="O386" s="3">
        <v>1475.702824571887</v>
      </c>
      <c r="P386" s="3">
        <v>288.80754979593382</v>
      </c>
      <c r="Q386" s="3">
        <v>188.4598901082467</v>
      </c>
      <c r="R386" s="3">
        <v>703.34808255173664</v>
      </c>
      <c r="S386" s="3">
        <v>596.85442457947681</v>
      </c>
      <c r="T386" s="3">
        <v>793.05178096443399</v>
      </c>
      <c r="U386" s="3">
        <v>253.55993508928759</v>
      </c>
      <c r="V386" s="318">
        <v>4535.4582468068165</v>
      </c>
      <c r="W386" s="318">
        <v>5667.4588432126848</v>
      </c>
      <c r="X386" s="3">
        <v>561.41203043664552</v>
      </c>
      <c r="Y386" s="318">
        <v>6228.87087364933</v>
      </c>
    </row>
    <row r="387" spans="1:25" x14ac:dyDescent="0.2">
      <c r="A387" s="314">
        <v>2018</v>
      </c>
      <c r="B387" s="5" t="s">
        <v>466</v>
      </c>
      <c r="C387" s="5" t="s">
        <v>90</v>
      </c>
      <c r="D387" s="5" t="s">
        <v>471</v>
      </c>
      <c r="E387" s="5" t="s">
        <v>104</v>
      </c>
      <c r="F387" s="5" t="s">
        <v>94</v>
      </c>
      <c r="G387" s="5" t="s">
        <v>105</v>
      </c>
      <c r="H387" s="3">
        <v>59.635219869932094</v>
      </c>
      <c r="I387" s="3">
        <v>0</v>
      </c>
      <c r="J387" s="318">
        <v>59.635219869932094</v>
      </c>
      <c r="K387" s="3">
        <v>245.71572293766366</v>
      </c>
      <c r="L387" s="3">
        <v>74.690244387404448</v>
      </c>
      <c r="M387" s="318">
        <v>320.4059673250681</v>
      </c>
      <c r="N387" s="3">
        <v>32.088219063353243</v>
      </c>
      <c r="O387" s="3">
        <v>286.94583590081055</v>
      </c>
      <c r="P387" s="3">
        <v>38.720176101607144</v>
      </c>
      <c r="Q387" s="3">
        <v>27.97021308709278</v>
      </c>
      <c r="R387" s="3">
        <v>99.537243984555218</v>
      </c>
      <c r="S387" s="3">
        <v>91.380682095248417</v>
      </c>
      <c r="T387" s="3">
        <v>107.28473994313462</v>
      </c>
      <c r="U387" s="3">
        <v>25.000534452590522</v>
      </c>
      <c r="V387" s="318">
        <v>708.92764462839239</v>
      </c>
      <c r="W387" s="318">
        <v>1088.9688318233927</v>
      </c>
      <c r="X387" s="3">
        <v>107.87201457816575</v>
      </c>
      <c r="Y387" s="318">
        <v>1196.8408464015586</v>
      </c>
    </row>
    <row r="388" spans="1:25" x14ac:dyDescent="0.2">
      <c r="A388" s="314">
        <v>2018</v>
      </c>
      <c r="B388" s="5" t="s">
        <v>466</v>
      </c>
      <c r="C388" s="5" t="s">
        <v>90</v>
      </c>
      <c r="D388" s="5" t="s">
        <v>470</v>
      </c>
      <c r="E388" s="5" t="s">
        <v>106</v>
      </c>
      <c r="F388" s="5" t="s">
        <v>94</v>
      </c>
      <c r="G388" s="5" t="s">
        <v>107</v>
      </c>
      <c r="H388" s="3">
        <v>9.9500475377651743</v>
      </c>
      <c r="I388" s="3">
        <v>0.22566914921507575</v>
      </c>
      <c r="J388" s="318">
        <v>10.17571668698025</v>
      </c>
      <c r="K388" s="3">
        <v>352.90022260274446</v>
      </c>
      <c r="L388" s="3">
        <v>150.88310119861831</v>
      </c>
      <c r="M388" s="318">
        <v>503.78332380136277</v>
      </c>
      <c r="N388" s="3">
        <v>47.402649903154398</v>
      </c>
      <c r="O388" s="3">
        <v>225.68623113783121</v>
      </c>
      <c r="P388" s="3">
        <v>49.660230028504664</v>
      </c>
      <c r="Q388" s="3">
        <v>26.375208118465082</v>
      </c>
      <c r="R388" s="3">
        <v>139.63135743371544</v>
      </c>
      <c r="S388" s="3">
        <v>106.03839193236644</v>
      </c>
      <c r="T388" s="3">
        <v>91.775955146386565</v>
      </c>
      <c r="U388" s="3">
        <v>34.571971842165084</v>
      </c>
      <c r="V388" s="318">
        <v>721.14199554258892</v>
      </c>
      <c r="W388" s="318">
        <v>1235.1010360309319</v>
      </c>
      <c r="X388" s="3">
        <v>122.34770460890822</v>
      </c>
      <c r="Y388" s="318">
        <v>1357.4487406398403</v>
      </c>
    </row>
    <row r="389" spans="1:25" x14ac:dyDescent="0.2">
      <c r="A389" s="314">
        <v>2018</v>
      </c>
      <c r="B389" s="5" t="s">
        <v>466</v>
      </c>
      <c r="C389" s="5" t="s">
        <v>90</v>
      </c>
      <c r="D389" s="5" t="s">
        <v>471</v>
      </c>
      <c r="E389" s="5" t="s">
        <v>109</v>
      </c>
      <c r="F389" s="5" t="s">
        <v>94</v>
      </c>
      <c r="G389" s="5" t="s">
        <v>110</v>
      </c>
      <c r="H389" s="3">
        <v>18.444049561917446</v>
      </c>
      <c r="I389" s="3">
        <v>0</v>
      </c>
      <c r="J389" s="318">
        <v>18.444049561917446</v>
      </c>
      <c r="K389" s="3">
        <v>2101.6476560387314</v>
      </c>
      <c r="L389" s="3">
        <v>566.51743482368875</v>
      </c>
      <c r="M389" s="318">
        <v>2668.1650908624201</v>
      </c>
      <c r="N389" s="3">
        <v>359.33324362261146</v>
      </c>
      <c r="O389" s="3">
        <v>1841.9174381430532</v>
      </c>
      <c r="P389" s="3">
        <v>291.9214440976474</v>
      </c>
      <c r="Q389" s="3">
        <v>360.65869243640918</v>
      </c>
      <c r="R389" s="3">
        <v>1207.0556039792884</v>
      </c>
      <c r="S389" s="3">
        <v>984.02261775776674</v>
      </c>
      <c r="T389" s="3">
        <v>991.54369219822638</v>
      </c>
      <c r="U389" s="3">
        <v>259.98254285774442</v>
      </c>
      <c r="V389" s="318">
        <v>6296.4352750927474</v>
      </c>
      <c r="W389" s="318">
        <v>8983.0444155170862</v>
      </c>
      <c r="X389" s="3">
        <v>889.85016818564338</v>
      </c>
      <c r="Y389" s="318">
        <v>9872.8945837027295</v>
      </c>
    </row>
    <row r="390" spans="1:25" x14ac:dyDescent="0.2">
      <c r="A390" s="314">
        <v>2018</v>
      </c>
      <c r="B390" s="5" t="s">
        <v>466</v>
      </c>
      <c r="C390" s="5" t="s">
        <v>90</v>
      </c>
      <c r="D390" s="5" t="s">
        <v>470</v>
      </c>
      <c r="E390" s="5" t="s">
        <v>112</v>
      </c>
      <c r="F390" s="5" t="s">
        <v>94</v>
      </c>
      <c r="G390" s="5" t="s">
        <v>113</v>
      </c>
      <c r="H390" s="3">
        <v>42.642342375074229</v>
      </c>
      <c r="I390" s="3">
        <v>17.479596624610878</v>
      </c>
      <c r="J390" s="318">
        <v>60.121938999685106</v>
      </c>
      <c r="K390" s="3">
        <v>1134.0725875861388</v>
      </c>
      <c r="L390" s="3">
        <v>180.47017827431932</v>
      </c>
      <c r="M390" s="318">
        <v>1314.5427658604581</v>
      </c>
      <c r="N390" s="3">
        <v>48.521197611625453</v>
      </c>
      <c r="O390" s="3">
        <v>271.08759108089038</v>
      </c>
      <c r="P390" s="3">
        <v>25.043908193975543</v>
      </c>
      <c r="Q390" s="3">
        <v>14.023567915380424</v>
      </c>
      <c r="R390" s="3">
        <v>68.678276873014752</v>
      </c>
      <c r="S390" s="3">
        <v>134.25961691364398</v>
      </c>
      <c r="T390" s="3">
        <v>72.378281241205741</v>
      </c>
      <c r="U390" s="3">
        <v>18.127958943852171</v>
      </c>
      <c r="V390" s="318">
        <v>652.12039877358836</v>
      </c>
      <c r="W390" s="318">
        <v>2026.7851036337318</v>
      </c>
      <c r="X390" s="3">
        <v>200.77102838646238</v>
      </c>
      <c r="Y390" s="318">
        <v>2227.5561320201941</v>
      </c>
    </row>
    <row r="391" spans="1:25" x14ac:dyDescent="0.2">
      <c r="A391" s="314">
        <v>2018</v>
      </c>
      <c r="B391" s="5" t="s">
        <v>466</v>
      </c>
      <c r="C391" s="5" t="s">
        <v>90</v>
      </c>
      <c r="D391" s="5" t="s">
        <v>471</v>
      </c>
      <c r="E391" s="5" t="s">
        <v>115</v>
      </c>
      <c r="F391" s="5" t="s">
        <v>94</v>
      </c>
      <c r="G391" s="5" t="s">
        <v>116</v>
      </c>
      <c r="H391" s="3">
        <v>0.16419936194583143</v>
      </c>
      <c r="I391" s="3">
        <v>0.13259050307849404</v>
      </c>
      <c r="J391" s="318">
        <v>0.29678986502432547</v>
      </c>
      <c r="K391" s="3">
        <v>2361.2622220480298</v>
      </c>
      <c r="L391" s="3">
        <v>599.50938192582771</v>
      </c>
      <c r="M391" s="318">
        <v>2960.7716039738575</v>
      </c>
      <c r="N391" s="3">
        <v>325.98449260866778</v>
      </c>
      <c r="O391" s="3">
        <v>1395.6881680547817</v>
      </c>
      <c r="P391" s="3">
        <v>264.92028734865352</v>
      </c>
      <c r="Q391" s="3">
        <v>256.21185379614326</v>
      </c>
      <c r="R391" s="3">
        <v>729.95369434448639</v>
      </c>
      <c r="S391" s="3">
        <v>765.82138822877937</v>
      </c>
      <c r="T391" s="3">
        <v>666.40129498859869</v>
      </c>
      <c r="U391" s="3">
        <v>207.07544852018648</v>
      </c>
      <c r="V391" s="318">
        <v>4612.056627890297</v>
      </c>
      <c r="W391" s="318">
        <v>7573.1250217291781</v>
      </c>
      <c r="X391" s="3">
        <v>750.18515578481674</v>
      </c>
      <c r="Y391" s="318">
        <v>8323.3101775139949</v>
      </c>
    </row>
    <row r="392" spans="1:25" x14ac:dyDescent="0.2">
      <c r="A392" s="314">
        <v>2018</v>
      </c>
      <c r="B392" s="5" t="s">
        <v>466</v>
      </c>
      <c r="C392" s="5" t="s">
        <v>90</v>
      </c>
      <c r="D392" s="5" t="s">
        <v>471</v>
      </c>
      <c r="E392" s="5" t="s">
        <v>118</v>
      </c>
      <c r="F392" s="5" t="s">
        <v>94</v>
      </c>
      <c r="G392" s="5" t="s">
        <v>119</v>
      </c>
      <c r="H392" s="3">
        <v>6.3299309124104726</v>
      </c>
      <c r="I392" s="3">
        <v>0</v>
      </c>
      <c r="J392" s="318">
        <v>6.3299309124104726</v>
      </c>
      <c r="K392" s="3">
        <v>822.12549133265588</v>
      </c>
      <c r="L392" s="3">
        <v>171.21873928876516</v>
      </c>
      <c r="M392" s="318">
        <v>993.34423062142105</v>
      </c>
      <c r="N392" s="3">
        <v>68.088209933954346</v>
      </c>
      <c r="O392" s="3">
        <v>299.41923154859444</v>
      </c>
      <c r="P392" s="3">
        <v>50.29880173830032</v>
      </c>
      <c r="Q392" s="3">
        <v>23.266272729919038</v>
      </c>
      <c r="R392" s="3">
        <v>137.56391503768745</v>
      </c>
      <c r="S392" s="3">
        <v>150.26259435219404</v>
      </c>
      <c r="T392" s="3">
        <v>94.285746589064388</v>
      </c>
      <c r="U392" s="3">
        <v>30.647036969241057</v>
      </c>
      <c r="V392" s="318">
        <v>853.83180889895505</v>
      </c>
      <c r="W392" s="318">
        <v>1853.5059704327864</v>
      </c>
      <c r="X392" s="3">
        <v>183.60619442932693</v>
      </c>
      <c r="Y392" s="318">
        <v>2037.1121648621133</v>
      </c>
    </row>
    <row r="393" spans="1:25" x14ac:dyDescent="0.2">
      <c r="A393" s="314">
        <v>2018</v>
      </c>
      <c r="B393" s="5" t="s">
        <v>466</v>
      </c>
      <c r="C393" s="5" t="s">
        <v>90</v>
      </c>
      <c r="D393" s="5" t="s">
        <v>471</v>
      </c>
      <c r="E393" s="5" t="s">
        <v>120</v>
      </c>
      <c r="F393" s="5" t="s">
        <v>94</v>
      </c>
      <c r="G393" s="5" t="s">
        <v>121</v>
      </c>
      <c r="H393" s="3">
        <v>8.229287656636215</v>
      </c>
      <c r="I393" s="3">
        <v>0</v>
      </c>
      <c r="J393" s="318">
        <v>8.229287656636215</v>
      </c>
      <c r="K393" s="3">
        <v>1064.38676984275</v>
      </c>
      <c r="L393" s="3">
        <v>209.28349296634565</v>
      </c>
      <c r="M393" s="318">
        <v>1273.6702628090957</v>
      </c>
      <c r="N393" s="3">
        <v>123.70276391728072</v>
      </c>
      <c r="O393" s="3">
        <v>511.64098225913881</v>
      </c>
      <c r="P393" s="3">
        <v>88.929737100840271</v>
      </c>
      <c r="Q393" s="3">
        <v>72.540588650195602</v>
      </c>
      <c r="R393" s="3">
        <v>369.63899095192784</v>
      </c>
      <c r="S393" s="3">
        <v>324.29166366040221</v>
      </c>
      <c r="T393" s="3">
        <v>393.04551431492985</v>
      </c>
      <c r="U393" s="3">
        <v>67.928673410023208</v>
      </c>
      <c r="V393" s="318">
        <v>1951.7189142647385</v>
      </c>
      <c r="W393" s="318">
        <v>3233.6184647304704</v>
      </c>
      <c r="X393" s="3">
        <v>320.31856925010851</v>
      </c>
      <c r="Y393" s="318">
        <v>3553.9370339805787</v>
      </c>
    </row>
    <row r="394" spans="1:25" x14ac:dyDescent="0.2">
      <c r="A394" s="314">
        <v>2018</v>
      </c>
      <c r="B394" s="5" t="s">
        <v>466</v>
      </c>
      <c r="C394" s="5" t="s">
        <v>122</v>
      </c>
      <c r="D394" s="5" t="s">
        <v>472</v>
      </c>
      <c r="E394" s="5" t="s">
        <v>125</v>
      </c>
      <c r="F394" s="5" t="s">
        <v>126</v>
      </c>
      <c r="G394" s="5" t="s">
        <v>128</v>
      </c>
      <c r="H394" s="3">
        <v>56.462508366808208</v>
      </c>
      <c r="I394" s="3">
        <v>67.296681987138186</v>
      </c>
      <c r="J394" s="318">
        <v>123.75919035394639</v>
      </c>
      <c r="K394" s="3">
        <v>3.0505930470507008</v>
      </c>
      <c r="L394" s="3">
        <v>26.059910318063466</v>
      </c>
      <c r="M394" s="318">
        <v>29.110503365114166</v>
      </c>
      <c r="N394" s="3">
        <v>26.42732096880863</v>
      </c>
      <c r="O394" s="3">
        <v>74.382494491748218</v>
      </c>
      <c r="P394" s="3">
        <v>15.152515430006732</v>
      </c>
      <c r="Q394" s="3">
        <v>4.522738698134618</v>
      </c>
      <c r="R394" s="3">
        <v>14.544528502102684</v>
      </c>
      <c r="S394" s="3">
        <v>43.02546456490321</v>
      </c>
      <c r="T394" s="3">
        <v>77.227060886680903</v>
      </c>
      <c r="U394" s="3">
        <v>7.6300392956345453</v>
      </c>
      <c r="V394" s="318">
        <v>262.91216283801953</v>
      </c>
      <c r="W394" s="318">
        <v>415.78185655708006</v>
      </c>
      <c r="X394" s="3">
        <v>41.186878064051029</v>
      </c>
      <c r="Y394" s="318">
        <v>456.96873462113109</v>
      </c>
    </row>
    <row r="395" spans="1:25" x14ac:dyDescent="0.2">
      <c r="A395" s="314">
        <v>2018</v>
      </c>
      <c r="B395" s="5" t="s">
        <v>466</v>
      </c>
      <c r="C395" s="5" t="s">
        <v>122</v>
      </c>
      <c r="D395" s="5" t="s">
        <v>472</v>
      </c>
      <c r="E395" s="5" t="s">
        <v>130</v>
      </c>
      <c r="F395" s="5" t="s">
        <v>126</v>
      </c>
      <c r="G395" s="5" t="s">
        <v>131</v>
      </c>
      <c r="H395" s="3">
        <v>89.10000274086434</v>
      </c>
      <c r="I395" s="3">
        <v>183.3383028624927</v>
      </c>
      <c r="J395" s="318">
        <v>272.43830560335704</v>
      </c>
      <c r="K395" s="3">
        <v>21.679867827451098</v>
      </c>
      <c r="L395" s="3">
        <v>62.189011959577634</v>
      </c>
      <c r="M395" s="318">
        <v>83.868879787028732</v>
      </c>
      <c r="N395" s="3">
        <v>48.082746706152236</v>
      </c>
      <c r="O395" s="3">
        <v>352.24760206940067</v>
      </c>
      <c r="P395" s="3">
        <v>30.741977878796646</v>
      </c>
      <c r="Q395" s="3">
        <v>27.749651013181595</v>
      </c>
      <c r="R395" s="3">
        <v>57.345857437642707</v>
      </c>
      <c r="S395" s="3">
        <v>112.02407453073923</v>
      </c>
      <c r="T395" s="3">
        <v>176.10952963715329</v>
      </c>
      <c r="U395" s="3">
        <v>18.71526005171615</v>
      </c>
      <c r="V395" s="318">
        <v>823.01669932478262</v>
      </c>
      <c r="W395" s="318">
        <v>1179.3238847151683</v>
      </c>
      <c r="X395" s="3">
        <v>116.8224834051131</v>
      </c>
      <c r="Y395" s="318">
        <v>1296.1463681202815</v>
      </c>
    </row>
    <row r="396" spans="1:25" x14ac:dyDescent="0.2">
      <c r="A396" s="314">
        <v>2018</v>
      </c>
      <c r="B396" s="5" t="s">
        <v>466</v>
      </c>
      <c r="C396" s="5" t="s">
        <v>122</v>
      </c>
      <c r="D396" s="5" t="s">
        <v>472</v>
      </c>
      <c r="E396" s="5" t="s">
        <v>133</v>
      </c>
      <c r="F396" s="5" t="s">
        <v>126</v>
      </c>
      <c r="G396" s="5" t="s">
        <v>134</v>
      </c>
      <c r="H396" s="3">
        <v>29.026596955669305</v>
      </c>
      <c r="I396" s="3">
        <v>382.56194207003853</v>
      </c>
      <c r="J396" s="318">
        <v>411.58853902570786</v>
      </c>
      <c r="K396" s="3">
        <v>3.0023750198795285</v>
      </c>
      <c r="L396" s="3">
        <v>38.393766772831214</v>
      </c>
      <c r="M396" s="318">
        <v>41.396141792710743</v>
      </c>
      <c r="N396" s="3">
        <v>32.557671943089453</v>
      </c>
      <c r="O396" s="3">
        <v>125.78170333946289</v>
      </c>
      <c r="P396" s="3">
        <v>21.031177116034936</v>
      </c>
      <c r="Q396" s="3">
        <v>12.466440258454069</v>
      </c>
      <c r="R396" s="3">
        <v>25.713183999144601</v>
      </c>
      <c r="S396" s="3">
        <v>78.07442733276325</v>
      </c>
      <c r="T396" s="3">
        <v>89.25757083045788</v>
      </c>
      <c r="U396" s="3">
        <v>11.044742670189537</v>
      </c>
      <c r="V396" s="318">
        <v>395.92691748959663</v>
      </c>
      <c r="W396" s="318">
        <v>848.9115983080153</v>
      </c>
      <c r="X396" s="3">
        <v>84.092217914926991</v>
      </c>
      <c r="Y396" s="318">
        <v>933.00381622294231</v>
      </c>
    </row>
    <row r="397" spans="1:25" x14ac:dyDescent="0.2">
      <c r="A397" s="314">
        <v>2018</v>
      </c>
      <c r="B397" s="5" t="s">
        <v>466</v>
      </c>
      <c r="C397" s="5" t="s">
        <v>122</v>
      </c>
      <c r="D397" s="5" t="s">
        <v>472</v>
      </c>
      <c r="E397" s="5" t="s">
        <v>135</v>
      </c>
      <c r="F397" s="5" t="s">
        <v>126</v>
      </c>
      <c r="G397" s="5" t="s">
        <v>136</v>
      </c>
      <c r="H397" s="3">
        <v>24.51681167986915</v>
      </c>
      <c r="I397" s="3">
        <v>39.49168325994286</v>
      </c>
      <c r="J397" s="318">
        <v>64.00849493981201</v>
      </c>
      <c r="K397" s="3">
        <v>10.502153377037214</v>
      </c>
      <c r="L397" s="3">
        <v>9.8866045332163033</v>
      </c>
      <c r="M397" s="318">
        <v>20.388757910253517</v>
      </c>
      <c r="N397" s="3">
        <v>20.316151860729136</v>
      </c>
      <c r="O397" s="3">
        <v>48.790922453518107</v>
      </c>
      <c r="P397" s="3">
        <v>10.227273190007903</v>
      </c>
      <c r="Q397" s="3">
        <v>4.875516578840938</v>
      </c>
      <c r="R397" s="3">
        <v>13.296620082859439</v>
      </c>
      <c r="S397" s="3">
        <v>25.419829752295577</v>
      </c>
      <c r="T397" s="3">
        <v>45.645902686584435</v>
      </c>
      <c r="U397" s="3">
        <v>5.6945158144735286</v>
      </c>
      <c r="V397" s="318">
        <v>174.26673241930908</v>
      </c>
      <c r="W397" s="318">
        <v>258.66398526937462</v>
      </c>
      <c r="X397" s="3">
        <v>25.622960340475228</v>
      </c>
      <c r="Y397" s="318">
        <v>284.28694560984985</v>
      </c>
    </row>
    <row r="398" spans="1:25" x14ac:dyDescent="0.2">
      <c r="A398" s="314">
        <v>2018</v>
      </c>
      <c r="B398" s="5" t="s">
        <v>466</v>
      </c>
      <c r="C398" s="5" t="s">
        <v>122</v>
      </c>
      <c r="D398" s="5" t="s">
        <v>472</v>
      </c>
      <c r="E398" s="5" t="s">
        <v>137</v>
      </c>
      <c r="F398" s="5" t="s">
        <v>126</v>
      </c>
      <c r="G398" s="5" t="s">
        <v>138</v>
      </c>
      <c r="H398" s="3">
        <v>22.671517307003995</v>
      </c>
      <c r="I398" s="3">
        <v>35.604396723965309</v>
      </c>
      <c r="J398" s="318">
        <v>58.275914030969304</v>
      </c>
      <c r="K398" s="3">
        <v>3.8189564200841852</v>
      </c>
      <c r="L398" s="3">
        <v>18.345925811274459</v>
      </c>
      <c r="M398" s="318">
        <v>22.164882231358643</v>
      </c>
      <c r="N398" s="3">
        <v>10.201683434621376</v>
      </c>
      <c r="O398" s="3">
        <v>47.882314893495099</v>
      </c>
      <c r="P398" s="3">
        <v>12.895946384973097</v>
      </c>
      <c r="Q398" s="3">
        <v>6.9311327237431746</v>
      </c>
      <c r="R398" s="3">
        <v>17.131789201411003</v>
      </c>
      <c r="S398" s="3">
        <v>32.498507793251484</v>
      </c>
      <c r="T398" s="3">
        <v>74.318747857860274</v>
      </c>
      <c r="U398" s="3">
        <v>7.6514050160920188</v>
      </c>
      <c r="V398" s="318">
        <v>209.51152730544754</v>
      </c>
      <c r="W398" s="318">
        <v>289.95232356777547</v>
      </c>
      <c r="X398" s="3">
        <v>28.722347564809532</v>
      </c>
      <c r="Y398" s="318">
        <v>318.67467113258499</v>
      </c>
    </row>
    <row r="399" spans="1:25" x14ac:dyDescent="0.2">
      <c r="A399" s="314">
        <v>2018</v>
      </c>
      <c r="B399" s="5" t="s">
        <v>466</v>
      </c>
      <c r="C399" s="5" t="s">
        <v>122</v>
      </c>
      <c r="D399" s="5" t="s">
        <v>472</v>
      </c>
      <c r="E399" s="5" t="s">
        <v>139</v>
      </c>
      <c r="F399" s="5" t="s">
        <v>126</v>
      </c>
      <c r="G399" s="5" t="s">
        <v>140</v>
      </c>
      <c r="H399" s="3">
        <v>28.871244055822007</v>
      </c>
      <c r="I399" s="3">
        <v>158.99881583557692</v>
      </c>
      <c r="J399" s="318">
        <v>187.87005989139894</v>
      </c>
      <c r="K399" s="3">
        <v>8.3249544768246597</v>
      </c>
      <c r="L399" s="3">
        <v>11.993747591820886</v>
      </c>
      <c r="M399" s="318">
        <v>20.318702068645546</v>
      </c>
      <c r="N399" s="3">
        <v>24.674833347864247</v>
      </c>
      <c r="O399" s="3">
        <v>46.456515100930972</v>
      </c>
      <c r="P399" s="3">
        <v>7.8261359679285931</v>
      </c>
      <c r="Q399" s="3">
        <v>3.396742683278096</v>
      </c>
      <c r="R399" s="3">
        <v>12.332077311337599</v>
      </c>
      <c r="S399" s="3">
        <v>32.289217031968782</v>
      </c>
      <c r="T399" s="3">
        <v>48.83144777019946</v>
      </c>
      <c r="U399" s="3">
        <v>4.5500090353508851</v>
      </c>
      <c r="V399" s="318">
        <v>180.35697824885861</v>
      </c>
      <c r="W399" s="318">
        <v>388.54574020890311</v>
      </c>
      <c r="X399" s="3">
        <v>38.488899339679563</v>
      </c>
      <c r="Y399" s="318">
        <v>427.03463954858267</v>
      </c>
    </row>
    <row r="400" spans="1:25" x14ac:dyDescent="0.2">
      <c r="A400" s="314">
        <v>2018</v>
      </c>
      <c r="B400" s="5" t="s">
        <v>466</v>
      </c>
      <c r="C400" s="5" t="s">
        <v>141</v>
      </c>
      <c r="D400" s="5" t="s">
        <v>473</v>
      </c>
      <c r="E400" s="5" t="s">
        <v>143</v>
      </c>
      <c r="F400" s="5" t="s">
        <v>144</v>
      </c>
      <c r="G400" s="5" t="s">
        <v>146</v>
      </c>
      <c r="H400" s="3">
        <v>7.0959796200683494</v>
      </c>
      <c r="I400" s="3">
        <v>0</v>
      </c>
      <c r="J400" s="318">
        <v>7.0959796200683494</v>
      </c>
      <c r="K400" s="3">
        <v>0.85940290605934577</v>
      </c>
      <c r="L400" s="3">
        <v>3.6561323627701334</v>
      </c>
      <c r="M400" s="318">
        <v>4.5155352688294794</v>
      </c>
      <c r="N400" s="3">
        <v>3.4178606403488794</v>
      </c>
      <c r="O400" s="3">
        <v>7.3173279488567307</v>
      </c>
      <c r="P400" s="3">
        <v>1.9809504052599605</v>
      </c>
      <c r="Q400" s="3">
        <v>1.1652882189184937</v>
      </c>
      <c r="R400" s="3">
        <v>3.9333246786845697</v>
      </c>
      <c r="S400" s="3">
        <v>5.9446467629239521</v>
      </c>
      <c r="T400" s="3">
        <v>12.701685314606836</v>
      </c>
      <c r="U400" s="3">
        <v>1.5856200433280274</v>
      </c>
      <c r="V400" s="318">
        <v>38.046704012927449</v>
      </c>
      <c r="W400" s="318">
        <v>49.658218901825279</v>
      </c>
      <c r="X400" s="3">
        <v>4.9190867146619937</v>
      </c>
      <c r="Y400" s="318">
        <v>54.577305616487273</v>
      </c>
    </row>
    <row r="401" spans="1:25" x14ac:dyDescent="0.2">
      <c r="A401" s="314">
        <v>2018</v>
      </c>
      <c r="B401" s="5" t="s">
        <v>466</v>
      </c>
      <c r="C401" s="5" t="s">
        <v>141</v>
      </c>
      <c r="D401" s="5" t="s">
        <v>473</v>
      </c>
      <c r="E401" s="5" t="s">
        <v>147</v>
      </c>
      <c r="F401" s="5" t="s">
        <v>144</v>
      </c>
      <c r="G401" s="5" t="s">
        <v>148</v>
      </c>
      <c r="H401" s="3">
        <v>22.27724245709696</v>
      </c>
      <c r="I401" s="3">
        <v>0.50995785109972402</v>
      </c>
      <c r="J401" s="318">
        <v>22.787200308196685</v>
      </c>
      <c r="K401" s="3">
        <v>1.3035124015975237</v>
      </c>
      <c r="L401" s="3">
        <v>7.6691116266971902</v>
      </c>
      <c r="M401" s="318">
        <v>8.9726240282947138</v>
      </c>
      <c r="N401" s="3">
        <v>2.8800666729122093</v>
      </c>
      <c r="O401" s="3">
        <v>19.364461705842142</v>
      </c>
      <c r="P401" s="3">
        <v>3.2926529360619377</v>
      </c>
      <c r="Q401" s="3">
        <v>1.7467927439982935</v>
      </c>
      <c r="R401" s="3">
        <v>7.6079294805259376</v>
      </c>
      <c r="S401" s="3">
        <v>9.3792357204612102</v>
      </c>
      <c r="T401" s="3">
        <v>19.071292666715088</v>
      </c>
      <c r="U401" s="3">
        <v>3.3591852130854409</v>
      </c>
      <c r="V401" s="318">
        <v>66.701617139602263</v>
      </c>
      <c r="W401" s="318">
        <v>98.461441476093668</v>
      </c>
      <c r="X401" s="3">
        <v>9.7534784650465784</v>
      </c>
      <c r="Y401" s="318">
        <v>108.21491994114025</v>
      </c>
    </row>
    <row r="402" spans="1:25" x14ac:dyDescent="0.2">
      <c r="A402" s="314">
        <v>2018</v>
      </c>
      <c r="B402" s="5" t="s">
        <v>466</v>
      </c>
      <c r="C402" s="5" t="s">
        <v>141</v>
      </c>
      <c r="D402" s="5" t="s">
        <v>474</v>
      </c>
      <c r="E402" s="5" t="s">
        <v>149</v>
      </c>
      <c r="F402" s="5" t="s">
        <v>144</v>
      </c>
      <c r="G402" s="5" t="s">
        <v>150</v>
      </c>
      <c r="H402" s="3">
        <v>28.909141106155161</v>
      </c>
      <c r="I402" s="3">
        <v>48.547601455988158</v>
      </c>
      <c r="J402" s="318">
        <v>77.456742562143319</v>
      </c>
      <c r="K402" s="3">
        <v>45.358437462800644</v>
      </c>
      <c r="L402" s="3">
        <v>13.233966098405539</v>
      </c>
      <c r="M402" s="318">
        <v>58.592403561206183</v>
      </c>
      <c r="N402" s="3">
        <v>41.709812767271799</v>
      </c>
      <c r="O402" s="3">
        <v>167.18405739856408</v>
      </c>
      <c r="P402" s="3">
        <v>19.24908076247954</v>
      </c>
      <c r="Q402" s="3">
        <v>20.483286343736559</v>
      </c>
      <c r="R402" s="3">
        <v>46.3927107714199</v>
      </c>
      <c r="S402" s="3">
        <v>63.539805400890799</v>
      </c>
      <c r="T402" s="3">
        <v>77.262691320044325</v>
      </c>
      <c r="U402" s="3">
        <v>17.025153703873602</v>
      </c>
      <c r="V402" s="318">
        <v>452.8465984682806</v>
      </c>
      <c r="W402" s="318">
        <v>588.89574459163009</v>
      </c>
      <c r="X402" s="3">
        <v>58.33534302284837</v>
      </c>
      <c r="Y402" s="318">
        <v>647.2310876144785</v>
      </c>
    </row>
    <row r="403" spans="1:25" x14ac:dyDescent="0.2">
      <c r="A403" s="314">
        <v>2018</v>
      </c>
      <c r="B403" s="5" t="s">
        <v>466</v>
      </c>
      <c r="C403" s="5" t="s">
        <v>141</v>
      </c>
      <c r="D403" s="5" t="s">
        <v>474</v>
      </c>
      <c r="E403" s="5" t="s">
        <v>151</v>
      </c>
      <c r="F403" s="5" t="s">
        <v>144</v>
      </c>
      <c r="G403" s="5" t="s">
        <v>152</v>
      </c>
      <c r="H403" s="3">
        <v>13.211507042812745</v>
      </c>
      <c r="I403" s="3">
        <v>117.99842158133075</v>
      </c>
      <c r="J403" s="318">
        <v>131.20992862414349</v>
      </c>
      <c r="K403" s="3">
        <v>47.067497691922924</v>
      </c>
      <c r="L403" s="3">
        <v>6.4449004902539571</v>
      </c>
      <c r="M403" s="318">
        <v>53.512398182176881</v>
      </c>
      <c r="N403" s="3">
        <v>118.34687164968877</v>
      </c>
      <c r="O403" s="3">
        <v>26.297181141402433</v>
      </c>
      <c r="P403" s="3">
        <v>6.9111857638520675</v>
      </c>
      <c r="Q403" s="3">
        <v>2.4787754612059505</v>
      </c>
      <c r="R403" s="3">
        <v>13.490810138487239</v>
      </c>
      <c r="S403" s="3">
        <v>40.520079054134555</v>
      </c>
      <c r="T403" s="3">
        <v>43.97508833385433</v>
      </c>
      <c r="U403" s="3">
        <v>10.083932519775958</v>
      </c>
      <c r="V403" s="318">
        <v>262.10392406240129</v>
      </c>
      <c r="W403" s="318">
        <v>446.82625086872167</v>
      </c>
      <c r="X403" s="3">
        <v>44.26210047436409</v>
      </c>
      <c r="Y403" s="318">
        <v>491.08835134308578</v>
      </c>
    </row>
    <row r="404" spans="1:25" x14ac:dyDescent="0.2">
      <c r="A404" s="314">
        <v>2018</v>
      </c>
      <c r="B404" s="5" t="s">
        <v>466</v>
      </c>
      <c r="C404" s="5" t="s">
        <v>141</v>
      </c>
      <c r="D404" s="5" t="s">
        <v>474</v>
      </c>
      <c r="E404" s="5" t="s">
        <v>153</v>
      </c>
      <c r="F404" s="5" t="s">
        <v>144</v>
      </c>
      <c r="G404" s="5" t="s">
        <v>154</v>
      </c>
      <c r="H404" s="3">
        <v>11.081585547254175</v>
      </c>
      <c r="I404" s="3">
        <v>14.221614064383608</v>
      </c>
      <c r="J404" s="318">
        <v>25.303199611637783</v>
      </c>
      <c r="K404" s="3">
        <v>24.838610968051405</v>
      </c>
      <c r="L404" s="3">
        <v>8.19673043212957</v>
      </c>
      <c r="M404" s="318">
        <v>33.035341400180975</v>
      </c>
      <c r="N404" s="3">
        <v>12.627837409018273</v>
      </c>
      <c r="O404" s="3">
        <v>58.305397624439593</v>
      </c>
      <c r="P404" s="3">
        <v>5.0182937949529256</v>
      </c>
      <c r="Q404" s="3">
        <v>1.5121035629298398</v>
      </c>
      <c r="R404" s="3">
        <v>13.717412494811475</v>
      </c>
      <c r="S404" s="3">
        <v>17.360922498170865</v>
      </c>
      <c r="T404" s="3">
        <v>22.923413414185248</v>
      </c>
      <c r="U404" s="3">
        <v>4.1720439405447918</v>
      </c>
      <c r="V404" s="318">
        <v>135.63742473905299</v>
      </c>
      <c r="W404" s="318">
        <v>193.97596575087175</v>
      </c>
      <c r="X404" s="3">
        <v>19.215038662084808</v>
      </c>
      <c r="Y404" s="318">
        <v>213.19100441295654</v>
      </c>
    </row>
    <row r="405" spans="1:25" x14ac:dyDescent="0.2">
      <c r="A405" s="314">
        <v>2018</v>
      </c>
      <c r="B405" s="5" t="s">
        <v>466</v>
      </c>
      <c r="C405" s="5" t="s">
        <v>141</v>
      </c>
      <c r="D405" s="5" t="s">
        <v>474</v>
      </c>
      <c r="E405" s="5" t="s">
        <v>155</v>
      </c>
      <c r="F405" s="5" t="s">
        <v>144</v>
      </c>
      <c r="G405" s="5" t="s">
        <v>156</v>
      </c>
      <c r="H405" s="3">
        <v>65.814219309306452</v>
      </c>
      <c r="I405" s="3">
        <v>727.6155401242861</v>
      </c>
      <c r="J405" s="318">
        <v>793.42975943359261</v>
      </c>
      <c r="K405" s="3">
        <v>3.3829153504746099</v>
      </c>
      <c r="L405" s="3">
        <v>21.011570742845798</v>
      </c>
      <c r="M405" s="318">
        <v>24.39448609332041</v>
      </c>
      <c r="N405" s="3">
        <v>13.910059774444729</v>
      </c>
      <c r="O405" s="3">
        <v>20.512633530045939</v>
      </c>
      <c r="P405" s="3">
        <v>5.2565249028394607</v>
      </c>
      <c r="Q405" s="3">
        <v>1.7574465853610357</v>
      </c>
      <c r="R405" s="3">
        <v>11.053345677518406</v>
      </c>
      <c r="S405" s="3">
        <v>59.578068760654482</v>
      </c>
      <c r="T405" s="3">
        <v>25.977027594456676</v>
      </c>
      <c r="U405" s="3">
        <v>6.4147889271003233</v>
      </c>
      <c r="V405" s="318">
        <v>144.45989575242103</v>
      </c>
      <c r="W405" s="318">
        <v>962.28414127933411</v>
      </c>
      <c r="X405" s="3">
        <v>95.322773143664008</v>
      </c>
      <c r="Y405" s="318">
        <v>1057.6069144229982</v>
      </c>
    </row>
    <row r="406" spans="1:25" x14ac:dyDescent="0.2">
      <c r="A406" s="314">
        <v>2018</v>
      </c>
      <c r="B406" s="5" t="s">
        <v>466</v>
      </c>
      <c r="C406" s="5" t="s">
        <v>157</v>
      </c>
      <c r="D406" s="5" t="s">
        <v>475</v>
      </c>
      <c r="E406" s="5" t="s">
        <v>159</v>
      </c>
      <c r="F406" s="5" t="s">
        <v>160</v>
      </c>
      <c r="G406" s="5" t="s">
        <v>161</v>
      </c>
      <c r="H406" s="3">
        <v>33.866969478283949</v>
      </c>
      <c r="I406" s="3">
        <v>31.797694247297088</v>
      </c>
      <c r="J406" s="318">
        <v>65.664663725581036</v>
      </c>
      <c r="K406" s="3">
        <v>12.890590398383873</v>
      </c>
      <c r="L406" s="3">
        <v>48.639295653306917</v>
      </c>
      <c r="M406" s="318">
        <v>61.529886051690788</v>
      </c>
      <c r="N406" s="3">
        <v>424.38048652265547</v>
      </c>
      <c r="O406" s="3">
        <v>38.841472252383319</v>
      </c>
      <c r="P406" s="3">
        <v>8.8374085886923019</v>
      </c>
      <c r="Q406" s="3">
        <v>10.107549850443849</v>
      </c>
      <c r="R406" s="3">
        <v>17.463061793609082</v>
      </c>
      <c r="S406" s="3">
        <v>52.390851718279592</v>
      </c>
      <c r="T406" s="3">
        <v>54.825176636023883</v>
      </c>
      <c r="U406" s="3">
        <v>8.7135074275632878</v>
      </c>
      <c r="V406" s="318">
        <v>615.55951478965085</v>
      </c>
      <c r="W406" s="318">
        <v>742.75406456692269</v>
      </c>
      <c r="X406" s="3">
        <v>73.576373298762192</v>
      </c>
      <c r="Y406" s="318">
        <v>816.33043786568487</v>
      </c>
    </row>
    <row r="407" spans="1:25" x14ac:dyDescent="0.2">
      <c r="A407" s="314">
        <v>2018</v>
      </c>
      <c r="B407" s="5" t="s">
        <v>466</v>
      </c>
      <c r="C407" s="5" t="s">
        <v>157</v>
      </c>
      <c r="D407" s="5" t="s">
        <v>476</v>
      </c>
      <c r="E407" s="5" t="s">
        <v>162</v>
      </c>
      <c r="F407" s="5" t="s">
        <v>160</v>
      </c>
      <c r="G407" s="5" t="s">
        <v>163</v>
      </c>
      <c r="H407" s="3">
        <v>14.02748272179009</v>
      </c>
      <c r="I407" s="3">
        <v>3.6999072333945691</v>
      </c>
      <c r="J407" s="318">
        <v>17.727389955184659</v>
      </c>
      <c r="K407" s="3">
        <v>1.71782157835498</v>
      </c>
      <c r="L407" s="3">
        <v>11.547674419952893</v>
      </c>
      <c r="M407" s="318">
        <v>13.265495998307873</v>
      </c>
      <c r="N407" s="3">
        <v>85.821732141722507</v>
      </c>
      <c r="O407" s="3">
        <v>9.4179246064097182</v>
      </c>
      <c r="P407" s="3">
        <v>2.2102217559287487</v>
      </c>
      <c r="Q407" s="3">
        <v>0.89601947462117115</v>
      </c>
      <c r="R407" s="3">
        <v>3.506278857281278</v>
      </c>
      <c r="S407" s="3">
        <v>10.723365746180209</v>
      </c>
      <c r="T407" s="3">
        <v>13.826956992857237</v>
      </c>
      <c r="U407" s="3">
        <v>2.0400542503456469</v>
      </c>
      <c r="V407" s="318">
        <v>128.44255382534649</v>
      </c>
      <c r="W407" s="318">
        <v>159.43543977883903</v>
      </c>
      <c r="X407" s="3">
        <v>15.793493423775454</v>
      </c>
      <c r="Y407" s="318">
        <v>175.22893320261448</v>
      </c>
    </row>
    <row r="408" spans="1:25" x14ac:dyDescent="0.2">
      <c r="A408" s="314">
        <v>2018</v>
      </c>
      <c r="B408" s="5" t="s">
        <v>466</v>
      </c>
      <c r="C408" s="5" t="s">
        <v>157</v>
      </c>
      <c r="D408" s="5" t="s">
        <v>473</v>
      </c>
      <c r="E408" s="5" t="s">
        <v>164</v>
      </c>
      <c r="F408" s="5" t="s">
        <v>160</v>
      </c>
      <c r="G408" s="5" t="s">
        <v>165</v>
      </c>
      <c r="H408" s="3">
        <v>4.2424205884264703</v>
      </c>
      <c r="I408" s="3">
        <v>0</v>
      </c>
      <c r="J408" s="318">
        <v>4.2424205884264703</v>
      </c>
      <c r="K408" s="3">
        <v>8.2309377325429569</v>
      </c>
      <c r="L408" s="3">
        <v>4.4261388444874896</v>
      </c>
      <c r="M408" s="318">
        <v>12.657076577030447</v>
      </c>
      <c r="N408" s="3">
        <v>12.627368249142933</v>
      </c>
      <c r="O408" s="3">
        <v>29.91548683974348</v>
      </c>
      <c r="P408" s="3">
        <v>5.6239969950772473</v>
      </c>
      <c r="Q408" s="3">
        <v>3.8683879475808149</v>
      </c>
      <c r="R408" s="3">
        <v>14.476260342231864</v>
      </c>
      <c r="S408" s="3">
        <v>15.043842184476564</v>
      </c>
      <c r="T408" s="3">
        <v>24.956808663760004</v>
      </c>
      <c r="U408" s="3">
        <v>5.7739309344532925</v>
      </c>
      <c r="V408" s="318">
        <v>112.28608215646619</v>
      </c>
      <c r="W408" s="318">
        <v>129.18557932192311</v>
      </c>
      <c r="X408" s="3">
        <v>12.796976633912806</v>
      </c>
      <c r="Y408" s="318">
        <v>141.98255595583592</v>
      </c>
    </row>
    <row r="409" spans="1:25" x14ac:dyDescent="0.2">
      <c r="A409" s="314">
        <v>2018</v>
      </c>
      <c r="B409" s="5" t="s">
        <v>466</v>
      </c>
      <c r="C409" s="5" t="s">
        <v>157</v>
      </c>
      <c r="D409" s="5" t="s">
        <v>477</v>
      </c>
      <c r="E409" s="5" t="s">
        <v>166</v>
      </c>
      <c r="F409" s="5" t="s">
        <v>160</v>
      </c>
      <c r="G409" s="5" t="s">
        <v>168</v>
      </c>
      <c r="H409" s="3">
        <v>79.747524686774838</v>
      </c>
      <c r="I409" s="3">
        <v>272.0882923813914</v>
      </c>
      <c r="J409" s="318">
        <v>351.83581706816625</v>
      </c>
      <c r="K409" s="3">
        <v>13.419031258836661</v>
      </c>
      <c r="L409" s="3">
        <v>8.979302400451818</v>
      </c>
      <c r="M409" s="318">
        <v>22.398333659288479</v>
      </c>
      <c r="N409" s="3">
        <v>12.762481203335103</v>
      </c>
      <c r="O409" s="3">
        <v>60.829469190383307</v>
      </c>
      <c r="P409" s="3">
        <v>9.0788334249758229</v>
      </c>
      <c r="Q409" s="3">
        <v>3.8514563986176005</v>
      </c>
      <c r="R409" s="3">
        <v>19.708423725400625</v>
      </c>
      <c r="S409" s="3">
        <v>39.459591464189707</v>
      </c>
      <c r="T409" s="3">
        <v>39.188623357841905</v>
      </c>
      <c r="U409" s="3">
        <v>10.776670205532346</v>
      </c>
      <c r="V409" s="318">
        <v>195.65554897027641</v>
      </c>
      <c r="W409" s="318">
        <v>569.8896996977312</v>
      </c>
      <c r="X409" s="3">
        <v>56.452625821075934</v>
      </c>
      <c r="Y409" s="318">
        <v>626.34232551880712</v>
      </c>
    </row>
    <row r="410" spans="1:25" x14ac:dyDescent="0.2">
      <c r="A410" s="314">
        <v>2018</v>
      </c>
      <c r="B410" s="5" t="s">
        <v>466</v>
      </c>
      <c r="C410" s="5" t="s">
        <v>157</v>
      </c>
      <c r="D410" s="5" t="s">
        <v>473</v>
      </c>
      <c r="E410" s="5" t="s">
        <v>169</v>
      </c>
      <c r="F410" s="5" t="s">
        <v>160</v>
      </c>
      <c r="G410" s="5" t="s">
        <v>170</v>
      </c>
      <c r="H410" s="3">
        <v>29.814627266816295</v>
      </c>
      <c r="I410" s="3">
        <v>5.7735274598357833</v>
      </c>
      <c r="J410" s="318">
        <v>35.588154726652078</v>
      </c>
      <c r="K410" s="3">
        <v>3.9338549824130791</v>
      </c>
      <c r="L410" s="3">
        <v>16.565673648942827</v>
      </c>
      <c r="M410" s="318">
        <v>20.499528631355908</v>
      </c>
      <c r="N410" s="3">
        <v>8.0036485138446238</v>
      </c>
      <c r="O410" s="3">
        <v>30.502951264291365</v>
      </c>
      <c r="P410" s="3">
        <v>9.86542494834862</v>
      </c>
      <c r="Q410" s="3">
        <v>4.0176872703682687</v>
      </c>
      <c r="R410" s="3">
        <v>15.486488783375224</v>
      </c>
      <c r="S410" s="3">
        <v>22.187458030114136</v>
      </c>
      <c r="T410" s="3">
        <v>44.264077222644389</v>
      </c>
      <c r="U410" s="3">
        <v>7.7170648281606846</v>
      </c>
      <c r="V410" s="318">
        <v>142.04480086114734</v>
      </c>
      <c r="W410" s="318">
        <v>198.13248421915532</v>
      </c>
      <c r="X410" s="3">
        <v>19.626778656565946</v>
      </c>
      <c r="Y410" s="318">
        <v>217.75926287572128</v>
      </c>
    </row>
    <row r="411" spans="1:25" x14ac:dyDescent="0.2">
      <c r="A411" s="314">
        <v>2018</v>
      </c>
      <c r="B411" s="5" t="s">
        <v>466</v>
      </c>
      <c r="C411" s="5" t="s">
        <v>157</v>
      </c>
      <c r="D411" s="5" t="s">
        <v>473</v>
      </c>
      <c r="E411" s="5" t="s">
        <v>171</v>
      </c>
      <c r="F411" s="5" t="s">
        <v>160</v>
      </c>
      <c r="G411" s="5" t="s">
        <v>172</v>
      </c>
      <c r="H411" s="3">
        <v>71.42025428436915</v>
      </c>
      <c r="I411" s="3">
        <v>3.2132430591300647</v>
      </c>
      <c r="J411" s="318">
        <v>74.633497343499215</v>
      </c>
      <c r="K411" s="3">
        <v>6.1449402469120633</v>
      </c>
      <c r="L411" s="3">
        <v>11.022738280725079</v>
      </c>
      <c r="M411" s="318">
        <v>17.167678527637143</v>
      </c>
      <c r="N411" s="3">
        <v>20.154421059000772</v>
      </c>
      <c r="O411" s="3">
        <v>16.78067768763156</v>
      </c>
      <c r="P411" s="3">
        <v>3.7453600057897707</v>
      </c>
      <c r="Q411" s="3">
        <v>1.1715544842319396</v>
      </c>
      <c r="R411" s="3">
        <v>7.5236902522889615</v>
      </c>
      <c r="S411" s="3">
        <v>12.279826261604327</v>
      </c>
      <c r="T411" s="3">
        <v>21.463460187410139</v>
      </c>
      <c r="U411" s="3">
        <v>3.5033210725546016</v>
      </c>
      <c r="V411" s="318">
        <v>86.622311010512064</v>
      </c>
      <c r="W411" s="318">
        <v>178.42348688164842</v>
      </c>
      <c r="X411" s="3">
        <v>17.674427784821834</v>
      </c>
      <c r="Y411" s="318">
        <v>196.09791466647025</v>
      </c>
    </row>
    <row r="412" spans="1:25" x14ac:dyDescent="0.2">
      <c r="A412" s="314">
        <v>2018</v>
      </c>
      <c r="B412" s="5" t="s">
        <v>466</v>
      </c>
      <c r="C412" s="5" t="s">
        <v>157</v>
      </c>
      <c r="D412" s="5" t="s">
        <v>477</v>
      </c>
      <c r="E412" s="5" t="s">
        <v>173</v>
      </c>
      <c r="F412" s="5" t="s">
        <v>160</v>
      </c>
      <c r="G412" s="5" t="s">
        <v>174</v>
      </c>
      <c r="H412" s="3">
        <v>27.164709248538234</v>
      </c>
      <c r="I412" s="3">
        <v>389.2304931304555</v>
      </c>
      <c r="J412" s="318">
        <v>416.39520237899376</v>
      </c>
      <c r="K412" s="3">
        <v>26.764128877685987</v>
      </c>
      <c r="L412" s="3">
        <v>6.6137901573537228</v>
      </c>
      <c r="M412" s="318">
        <v>33.37791903503971</v>
      </c>
      <c r="N412" s="3">
        <v>22.29652022125941</v>
      </c>
      <c r="O412" s="3">
        <v>97.227430065413046</v>
      </c>
      <c r="P412" s="3">
        <v>13.904259356096006</v>
      </c>
      <c r="Q412" s="3">
        <v>8.326536855779505</v>
      </c>
      <c r="R412" s="3">
        <v>44.70160134177172</v>
      </c>
      <c r="S412" s="3">
        <v>63.7852728901481</v>
      </c>
      <c r="T412" s="3">
        <v>54.409803379426805</v>
      </c>
      <c r="U412" s="3">
        <v>17.299351476565921</v>
      </c>
      <c r="V412" s="318">
        <v>321.95077558646051</v>
      </c>
      <c r="W412" s="318">
        <v>771.72389700049393</v>
      </c>
      <c r="X412" s="3">
        <v>76.446091967724129</v>
      </c>
      <c r="Y412" s="318">
        <v>848.16998896821804</v>
      </c>
    </row>
    <row r="413" spans="1:25" x14ac:dyDescent="0.2">
      <c r="A413" s="314">
        <v>2018</v>
      </c>
      <c r="B413" s="5" t="s">
        <v>466</v>
      </c>
      <c r="C413" s="5" t="s">
        <v>157</v>
      </c>
      <c r="D413" s="5" t="s">
        <v>475</v>
      </c>
      <c r="E413" s="5" t="s">
        <v>175</v>
      </c>
      <c r="F413" s="5" t="s">
        <v>160</v>
      </c>
      <c r="G413" s="5" t="s">
        <v>176</v>
      </c>
      <c r="H413" s="3">
        <v>16.615149200529739</v>
      </c>
      <c r="I413" s="3">
        <v>4.6714836128481778</v>
      </c>
      <c r="J413" s="318">
        <v>21.286632813377917</v>
      </c>
      <c r="K413" s="3">
        <v>0.4667203981417396</v>
      </c>
      <c r="L413" s="3">
        <v>12.02920631039575</v>
      </c>
      <c r="M413" s="318">
        <v>12.495926708537489</v>
      </c>
      <c r="N413" s="3">
        <v>4.474909287000294</v>
      </c>
      <c r="O413" s="3">
        <v>28.467812348139443</v>
      </c>
      <c r="P413" s="3">
        <v>6.3746537143669544</v>
      </c>
      <c r="Q413" s="3">
        <v>3.9380981899135041</v>
      </c>
      <c r="R413" s="3">
        <v>9.0060800298940329</v>
      </c>
      <c r="S413" s="3">
        <v>13.116092504742918</v>
      </c>
      <c r="T413" s="3">
        <v>24.123446625339852</v>
      </c>
      <c r="U413" s="3">
        <v>6.4622187570717005</v>
      </c>
      <c r="V413" s="318">
        <v>95.963311456468702</v>
      </c>
      <c r="W413" s="318">
        <v>129.74587097838409</v>
      </c>
      <c r="X413" s="3">
        <v>12.852478488481575</v>
      </c>
      <c r="Y413" s="318">
        <v>142.59834946686567</v>
      </c>
    </row>
    <row r="414" spans="1:25" x14ac:dyDescent="0.2">
      <c r="A414" s="314">
        <v>2018</v>
      </c>
      <c r="B414" s="5" t="s">
        <v>466</v>
      </c>
      <c r="C414" s="5" t="s">
        <v>157</v>
      </c>
      <c r="D414" s="5" t="s">
        <v>475</v>
      </c>
      <c r="E414" s="5" t="s">
        <v>177</v>
      </c>
      <c r="F414" s="5" t="s">
        <v>160</v>
      </c>
      <c r="G414" s="5" t="s">
        <v>178</v>
      </c>
      <c r="H414" s="3">
        <v>12.951509820977675</v>
      </c>
      <c r="I414" s="3">
        <v>1.8270622396011387</v>
      </c>
      <c r="J414" s="318">
        <v>14.778572060578814</v>
      </c>
      <c r="K414" s="3">
        <v>1.8779181554221203</v>
      </c>
      <c r="L414" s="3">
        <v>4.2251306685027572</v>
      </c>
      <c r="M414" s="318">
        <v>6.1030488239248779</v>
      </c>
      <c r="N414" s="3">
        <v>2.447812366366108</v>
      </c>
      <c r="O414" s="3">
        <v>13.484434147951468</v>
      </c>
      <c r="P414" s="3">
        <v>3.6556909524806374</v>
      </c>
      <c r="Q414" s="3">
        <v>1.3434354933761166</v>
      </c>
      <c r="R414" s="3">
        <v>5.1446816480506463</v>
      </c>
      <c r="S414" s="3">
        <v>7.9775296913262945</v>
      </c>
      <c r="T414" s="3">
        <v>14.857739344845339</v>
      </c>
      <c r="U414" s="3">
        <v>3.7370339092575158</v>
      </c>
      <c r="V414" s="318">
        <v>52.648357553654122</v>
      </c>
      <c r="W414" s="318">
        <v>73.529978438157812</v>
      </c>
      <c r="X414" s="3">
        <v>7.2837960777370947</v>
      </c>
      <c r="Y414" s="318">
        <v>80.813774515894906</v>
      </c>
    </row>
    <row r="415" spans="1:25" x14ac:dyDescent="0.2">
      <c r="A415" s="314">
        <v>2018</v>
      </c>
      <c r="B415" s="5" t="s">
        <v>466</v>
      </c>
      <c r="C415" s="5" t="s">
        <v>157</v>
      </c>
      <c r="D415" s="5" t="s">
        <v>475</v>
      </c>
      <c r="E415" s="5" t="s">
        <v>179</v>
      </c>
      <c r="F415" s="5" t="s">
        <v>160</v>
      </c>
      <c r="G415" s="5" t="s">
        <v>180</v>
      </c>
      <c r="H415" s="3">
        <v>51.159556489193285</v>
      </c>
      <c r="I415" s="3">
        <v>1.8931312387516499</v>
      </c>
      <c r="J415" s="318">
        <v>53.052687727944935</v>
      </c>
      <c r="K415" s="3">
        <v>3.8708959504705645</v>
      </c>
      <c r="L415" s="3">
        <v>20.538714318259998</v>
      </c>
      <c r="M415" s="318">
        <v>24.409610268730564</v>
      </c>
      <c r="N415" s="3">
        <v>4.8400469530549524</v>
      </c>
      <c r="O415" s="3">
        <v>37.255403714819899</v>
      </c>
      <c r="P415" s="3">
        <v>7.7873567755494815</v>
      </c>
      <c r="Q415" s="3">
        <v>3.2699743323989305</v>
      </c>
      <c r="R415" s="3">
        <v>11.754564780590171</v>
      </c>
      <c r="S415" s="3">
        <v>20.149181675696397</v>
      </c>
      <c r="T415" s="3">
        <v>51.631435722773091</v>
      </c>
      <c r="U415" s="3">
        <v>10.781556904905443</v>
      </c>
      <c r="V415" s="318">
        <v>147.46952085978836</v>
      </c>
      <c r="W415" s="318">
        <v>224.93181885646388</v>
      </c>
      <c r="X415" s="3">
        <v>22.281490281177199</v>
      </c>
      <c r="Y415" s="318">
        <v>247.21330913764109</v>
      </c>
    </row>
    <row r="416" spans="1:25" x14ac:dyDescent="0.2">
      <c r="A416" s="314">
        <v>2018</v>
      </c>
      <c r="B416" s="5" t="s">
        <v>466</v>
      </c>
      <c r="C416" s="5" t="s">
        <v>181</v>
      </c>
      <c r="D416" s="5" t="s">
        <v>478</v>
      </c>
      <c r="E416" s="5" t="s">
        <v>183</v>
      </c>
      <c r="F416" s="5" t="s">
        <v>184</v>
      </c>
      <c r="G416" s="5" t="s">
        <v>185</v>
      </c>
      <c r="H416" s="3">
        <v>32.854451881831217</v>
      </c>
      <c r="I416" s="3">
        <v>0</v>
      </c>
      <c r="J416" s="318">
        <v>32.854451881831217</v>
      </c>
      <c r="K416" s="3">
        <v>1.4933171586404803</v>
      </c>
      <c r="L416" s="3">
        <v>19.100297180617133</v>
      </c>
      <c r="M416" s="318">
        <v>20.593614339257613</v>
      </c>
      <c r="N416" s="3">
        <v>4.3811343503788791</v>
      </c>
      <c r="O416" s="3">
        <v>18.811950891490692</v>
      </c>
      <c r="P416" s="3">
        <v>5.2007968544246594</v>
      </c>
      <c r="Q416" s="3">
        <v>2.1107848372645455</v>
      </c>
      <c r="R416" s="3">
        <v>8.0084346740243628</v>
      </c>
      <c r="S416" s="3">
        <v>10.375262636083363</v>
      </c>
      <c r="T416" s="3">
        <v>28.18576755786161</v>
      </c>
      <c r="U416" s="3">
        <v>2.9683779384214448</v>
      </c>
      <c r="V416" s="318">
        <v>80.042509739949551</v>
      </c>
      <c r="W416" s="318">
        <v>133.49057596103839</v>
      </c>
      <c r="X416" s="3">
        <v>13.223424707211665</v>
      </c>
      <c r="Y416" s="318">
        <v>146.71400066825007</v>
      </c>
    </row>
    <row r="417" spans="1:25" x14ac:dyDescent="0.2">
      <c r="A417" s="314">
        <v>2018</v>
      </c>
      <c r="B417" s="5" t="s">
        <v>466</v>
      </c>
      <c r="C417" s="5" t="s">
        <v>181</v>
      </c>
      <c r="D417" s="5" t="s">
        <v>479</v>
      </c>
      <c r="E417" s="5" t="s">
        <v>186</v>
      </c>
      <c r="F417" s="5" t="s">
        <v>184</v>
      </c>
      <c r="G417" s="5" t="s">
        <v>187</v>
      </c>
      <c r="H417" s="3">
        <v>17.816468341181441</v>
      </c>
      <c r="I417" s="3">
        <v>0</v>
      </c>
      <c r="J417" s="318">
        <v>17.816468341181441</v>
      </c>
      <c r="K417" s="3">
        <v>2.3569567573439594</v>
      </c>
      <c r="L417" s="3">
        <v>3.6953067100971859</v>
      </c>
      <c r="M417" s="318">
        <v>6.0522634674411453</v>
      </c>
      <c r="N417" s="3">
        <v>1.9414638220387876</v>
      </c>
      <c r="O417" s="3">
        <v>5.2796829911151102</v>
      </c>
      <c r="P417" s="3">
        <v>1.594489595661966</v>
      </c>
      <c r="Q417" s="3">
        <v>0.41545658975840311</v>
      </c>
      <c r="R417" s="3">
        <v>4.4248975452080419</v>
      </c>
      <c r="S417" s="3">
        <v>5.6194404917923242</v>
      </c>
      <c r="T417" s="3">
        <v>24.964507427793276</v>
      </c>
      <c r="U417" s="3">
        <v>1.4311192338261876</v>
      </c>
      <c r="V417" s="318">
        <v>45.671057697194094</v>
      </c>
      <c r="W417" s="318">
        <v>69.539789505816685</v>
      </c>
      <c r="X417" s="3">
        <v>6.888532498008721</v>
      </c>
      <c r="Y417" s="318">
        <v>76.4283220038254</v>
      </c>
    </row>
    <row r="418" spans="1:25" x14ac:dyDescent="0.2">
      <c r="A418" s="314">
        <v>2018</v>
      </c>
      <c r="B418" s="5" t="s">
        <v>466</v>
      </c>
      <c r="C418" s="5" t="s">
        <v>181</v>
      </c>
      <c r="D418" s="5" t="s">
        <v>478</v>
      </c>
      <c r="E418" s="5" t="s">
        <v>188</v>
      </c>
      <c r="F418" s="5" t="s">
        <v>184</v>
      </c>
      <c r="G418" s="5" t="s">
        <v>189</v>
      </c>
      <c r="H418" s="3">
        <v>15.077381930436141</v>
      </c>
      <c r="I418" s="3">
        <v>6.2496945713773879</v>
      </c>
      <c r="J418" s="318">
        <v>21.327076501813529</v>
      </c>
      <c r="K418" s="3">
        <v>0.54560481738229116</v>
      </c>
      <c r="L418" s="3">
        <v>5.4607314885345701</v>
      </c>
      <c r="M418" s="318">
        <v>6.0063363059168609</v>
      </c>
      <c r="N418" s="3">
        <v>1.9970265483682434</v>
      </c>
      <c r="O418" s="3">
        <v>6.3784760409378638</v>
      </c>
      <c r="P418" s="3">
        <v>3.2678823467096003</v>
      </c>
      <c r="Q418" s="3">
        <v>1.1467135879679131</v>
      </c>
      <c r="R418" s="3">
        <v>4.529634787086148</v>
      </c>
      <c r="S418" s="3">
        <v>9.6136257778649927</v>
      </c>
      <c r="T418" s="3">
        <v>23.527351699745324</v>
      </c>
      <c r="U418" s="3">
        <v>2.3121847992405886</v>
      </c>
      <c r="V418" s="318">
        <v>52.772895587920679</v>
      </c>
      <c r="W418" s="318">
        <v>80.10630839565107</v>
      </c>
      <c r="X418" s="3">
        <v>7.9352398475809958</v>
      </c>
      <c r="Y418" s="318">
        <v>88.041548243232072</v>
      </c>
    </row>
    <row r="419" spans="1:25" x14ac:dyDescent="0.2">
      <c r="A419" s="314">
        <v>2018</v>
      </c>
      <c r="B419" s="5" t="s">
        <v>466</v>
      </c>
      <c r="C419" s="5" t="s">
        <v>181</v>
      </c>
      <c r="D419" s="5" t="s">
        <v>478</v>
      </c>
      <c r="E419" s="5" t="s">
        <v>190</v>
      </c>
      <c r="F419" s="5" t="s">
        <v>184</v>
      </c>
      <c r="G419" s="5" t="s">
        <v>191</v>
      </c>
      <c r="H419" s="3">
        <v>7.1870849177193863</v>
      </c>
      <c r="I419" s="3">
        <v>0.17191654852632965</v>
      </c>
      <c r="J419" s="318">
        <v>7.3590014662457159</v>
      </c>
      <c r="K419" s="3">
        <v>1.6405073558676471</v>
      </c>
      <c r="L419" s="3">
        <v>5.1217894740136618</v>
      </c>
      <c r="M419" s="318">
        <v>6.7622968298813086</v>
      </c>
      <c r="N419" s="3">
        <v>2.8637186278012869</v>
      </c>
      <c r="O419" s="3">
        <v>11.381648190753939</v>
      </c>
      <c r="P419" s="3">
        <v>4.1266413614599191</v>
      </c>
      <c r="Q419" s="3">
        <v>1.7506431528678763</v>
      </c>
      <c r="R419" s="3">
        <v>5.3072115072460564</v>
      </c>
      <c r="S419" s="3">
        <v>8.6651752749827402</v>
      </c>
      <c r="T419" s="3">
        <v>19.764714805201049</v>
      </c>
      <c r="U419" s="3">
        <v>2.6138756549790823</v>
      </c>
      <c r="V419" s="318">
        <v>56.473628575291954</v>
      </c>
      <c r="W419" s="318">
        <v>70.594926871418977</v>
      </c>
      <c r="X419" s="3">
        <v>6.9930532060014698</v>
      </c>
      <c r="Y419" s="318">
        <v>77.58798007742044</v>
      </c>
    </row>
    <row r="420" spans="1:25" x14ac:dyDescent="0.2">
      <c r="A420" s="314">
        <v>2018</v>
      </c>
      <c r="B420" s="5" t="s">
        <v>466</v>
      </c>
      <c r="C420" s="5" t="s">
        <v>181</v>
      </c>
      <c r="D420" s="5" t="s">
        <v>476</v>
      </c>
      <c r="E420" s="5" t="s">
        <v>192</v>
      </c>
      <c r="F420" s="5" t="s">
        <v>184</v>
      </c>
      <c r="G420" s="5" t="s">
        <v>193</v>
      </c>
      <c r="H420" s="3">
        <v>7.5860551447388742</v>
      </c>
      <c r="I420" s="3">
        <v>0</v>
      </c>
      <c r="J420" s="318">
        <v>7.5860551447388742</v>
      </c>
      <c r="K420" s="3">
        <v>0.64777809668165798</v>
      </c>
      <c r="L420" s="3">
        <v>3.2147024458439875</v>
      </c>
      <c r="M420" s="318">
        <v>3.8624805425256454</v>
      </c>
      <c r="N420" s="3">
        <v>23.598909220723726</v>
      </c>
      <c r="O420" s="3">
        <v>1.4284291057985998</v>
      </c>
      <c r="P420" s="3">
        <v>0.49944585124099139</v>
      </c>
      <c r="Q420" s="3">
        <v>0.23599917314742869</v>
      </c>
      <c r="R420" s="3">
        <v>0.93515430123738763</v>
      </c>
      <c r="S420" s="3">
        <v>2.6590106609109712</v>
      </c>
      <c r="T420" s="3">
        <v>3.1042733566457983</v>
      </c>
      <c r="U420" s="3">
        <v>0.35823877563112111</v>
      </c>
      <c r="V420" s="318">
        <v>32.819460445336027</v>
      </c>
      <c r="W420" s="318">
        <v>44.267996132600544</v>
      </c>
      <c r="X420" s="3">
        <v>4.3851373745621736</v>
      </c>
      <c r="Y420" s="318">
        <v>48.653133507162721</v>
      </c>
    </row>
    <row r="421" spans="1:25" x14ac:dyDescent="0.2">
      <c r="A421" s="314">
        <v>2018</v>
      </c>
      <c r="B421" s="5" t="s">
        <v>466</v>
      </c>
      <c r="C421" s="5" t="s">
        <v>181</v>
      </c>
      <c r="D421" s="5" t="s">
        <v>479</v>
      </c>
      <c r="E421" s="5" t="s">
        <v>194</v>
      </c>
      <c r="F421" s="5" t="s">
        <v>184</v>
      </c>
      <c r="G421" s="5" t="s">
        <v>195</v>
      </c>
      <c r="H421" s="3">
        <v>162.7063191283745</v>
      </c>
      <c r="I421" s="3">
        <v>0</v>
      </c>
      <c r="J421" s="318">
        <v>162.7063191283745</v>
      </c>
      <c r="K421" s="3">
        <v>27.812330850808895</v>
      </c>
      <c r="L421" s="3">
        <v>20.239998607722139</v>
      </c>
      <c r="M421" s="318">
        <v>48.052329458531034</v>
      </c>
      <c r="N421" s="3">
        <v>28.013994575078723</v>
      </c>
      <c r="O421" s="3">
        <v>60.458497522860355</v>
      </c>
      <c r="P421" s="3">
        <v>10.256082607823778</v>
      </c>
      <c r="Q421" s="3">
        <v>10.524790451550103</v>
      </c>
      <c r="R421" s="3">
        <v>22.251429436429042</v>
      </c>
      <c r="S421" s="3">
        <v>27.483229868815339</v>
      </c>
      <c r="T421" s="3">
        <v>28.434239058728636</v>
      </c>
      <c r="U421" s="3">
        <v>8.4750236486315078</v>
      </c>
      <c r="V421" s="318">
        <v>195.89728716991749</v>
      </c>
      <c r="W421" s="318">
        <v>406.65593575682306</v>
      </c>
      <c r="X421" s="3">
        <v>40.28287472361</v>
      </c>
      <c r="Y421" s="318">
        <v>446.93881048043306</v>
      </c>
    </row>
    <row r="422" spans="1:25" x14ac:dyDescent="0.2">
      <c r="A422" s="314">
        <v>2018</v>
      </c>
      <c r="B422" s="5" t="s">
        <v>466</v>
      </c>
      <c r="C422" s="5" t="s">
        <v>181</v>
      </c>
      <c r="D422" s="5" t="s">
        <v>479</v>
      </c>
      <c r="E422" s="5" t="s">
        <v>196</v>
      </c>
      <c r="F422" s="5" t="s">
        <v>184</v>
      </c>
      <c r="G422" s="5" t="s">
        <v>197</v>
      </c>
      <c r="H422" s="3">
        <v>63.682914590011329</v>
      </c>
      <c r="I422" s="3">
        <v>0</v>
      </c>
      <c r="J422" s="318">
        <v>63.682914590011329</v>
      </c>
      <c r="K422" s="3">
        <v>139.40582105743334</v>
      </c>
      <c r="L422" s="3">
        <v>49.616273005736872</v>
      </c>
      <c r="M422" s="318">
        <v>189.02209406317021</v>
      </c>
      <c r="N422" s="3">
        <v>9.8934194067697572</v>
      </c>
      <c r="O422" s="3">
        <v>32.570168236310778</v>
      </c>
      <c r="P422" s="3">
        <v>4.7626929783011089</v>
      </c>
      <c r="Q422" s="3">
        <v>4.041783298579241</v>
      </c>
      <c r="R422" s="3">
        <v>12.488213739058535</v>
      </c>
      <c r="S422" s="3">
        <v>21.574660583061171</v>
      </c>
      <c r="T422" s="3">
        <v>15.386242306615619</v>
      </c>
      <c r="U422" s="3">
        <v>4.9646833332724674</v>
      </c>
      <c r="V422" s="318">
        <v>105.68186388196867</v>
      </c>
      <c r="W422" s="318">
        <v>358.38687253515019</v>
      </c>
      <c r="X422" s="3">
        <v>35.501396191479579</v>
      </c>
      <c r="Y422" s="318">
        <v>393.88826872662975</v>
      </c>
    </row>
    <row r="423" spans="1:25" x14ac:dyDescent="0.2">
      <c r="A423" s="314">
        <v>2018</v>
      </c>
      <c r="B423" s="5" t="s">
        <v>466</v>
      </c>
      <c r="C423" s="5" t="s">
        <v>181</v>
      </c>
      <c r="D423" s="5" t="s">
        <v>476</v>
      </c>
      <c r="E423" s="5" t="s">
        <v>198</v>
      </c>
      <c r="F423" s="5" t="s">
        <v>184</v>
      </c>
      <c r="G423" s="5" t="s">
        <v>199</v>
      </c>
      <c r="H423" s="3">
        <v>23.120237543528077</v>
      </c>
      <c r="I423" s="3">
        <v>0.52796519880796211</v>
      </c>
      <c r="J423" s="318">
        <v>23.648202742336039</v>
      </c>
      <c r="K423" s="3">
        <v>14.559398522252087</v>
      </c>
      <c r="L423" s="3">
        <v>13.776742828010038</v>
      </c>
      <c r="M423" s="318">
        <v>28.336141350262125</v>
      </c>
      <c r="N423" s="3">
        <v>25.573570669616231</v>
      </c>
      <c r="O423" s="3">
        <v>60.97151789715987</v>
      </c>
      <c r="P423" s="3">
        <v>14.887727559075003</v>
      </c>
      <c r="Q423" s="3">
        <v>5.6934424764852309</v>
      </c>
      <c r="R423" s="3">
        <v>33.061777751049839</v>
      </c>
      <c r="S423" s="3">
        <v>41.146073830584179</v>
      </c>
      <c r="T423" s="3">
        <v>71.895164092384704</v>
      </c>
      <c r="U423" s="3">
        <v>14.528396291007745</v>
      </c>
      <c r="V423" s="318">
        <v>267.75767056736282</v>
      </c>
      <c r="W423" s="318">
        <v>319.742014659961</v>
      </c>
      <c r="X423" s="3">
        <v>31.673280500506667</v>
      </c>
      <c r="Y423" s="318">
        <v>351.41529516046768</v>
      </c>
    </row>
    <row r="424" spans="1:25" x14ac:dyDescent="0.2">
      <c r="A424" s="314">
        <v>2018</v>
      </c>
      <c r="B424" s="5" t="s">
        <v>466</v>
      </c>
      <c r="C424" s="5" t="s">
        <v>181</v>
      </c>
      <c r="D424" s="5" t="s">
        <v>476</v>
      </c>
      <c r="E424" s="5" t="s">
        <v>200</v>
      </c>
      <c r="F424" s="5" t="s">
        <v>184</v>
      </c>
      <c r="G424" s="5" t="s">
        <v>201</v>
      </c>
      <c r="H424" s="3">
        <v>7.9118198059452771</v>
      </c>
      <c r="I424" s="3">
        <v>0</v>
      </c>
      <c r="J424" s="318">
        <v>7.9118198059452771</v>
      </c>
      <c r="K424" s="3">
        <v>0.18919264962363974</v>
      </c>
      <c r="L424" s="3">
        <v>5.9235169316576668</v>
      </c>
      <c r="M424" s="318">
        <v>6.1127095812813064</v>
      </c>
      <c r="N424" s="3">
        <v>30.34831985284983</v>
      </c>
      <c r="O424" s="3">
        <v>3.1086193049774224</v>
      </c>
      <c r="P424" s="3">
        <v>1.1889657584605715</v>
      </c>
      <c r="Q424" s="3">
        <v>0.52655492276399252</v>
      </c>
      <c r="R424" s="3">
        <v>1.4600030403530233</v>
      </c>
      <c r="S424" s="3">
        <v>4.5046400196936647</v>
      </c>
      <c r="T424" s="3">
        <v>6.8340810760299906</v>
      </c>
      <c r="U424" s="3">
        <v>1.0291229782935105</v>
      </c>
      <c r="V424" s="318">
        <v>49.000306953421997</v>
      </c>
      <c r="W424" s="318">
        <v>63.024836340648584</v>
      </c>
      <c r="X424" s="3">
        <v>6.2431686434415257</v>
      </c>
      <c r="Y424" s="318">
        <v>69.268004984090112</v>
      </c>
    </row>
    <row r="425" spans="1:25" x14ac:dyDescent="0.2">
      <c r="A425" s="314">
        <v>2018</v>
      </c>
      <c r="B425" s="5" t="s">
        <v>466</v>
      </c>
      <c r="C425" s="5" t="s">
        <v>181</v>
      </c>
      <c r="D425" s="5" t="s">
        <v>480</v>
      </c>
      <c r="E425" s="5" t="s">
        <v>202</v>
      </c>
      <c r="F425" s="5" t="s">
        <v>184</v>
      </c>
      <c r="G425" s="5" t="s">
        <v>203</v>
      </c>
      <c r="H425" s="3">
        <v>46.163842283878417</v>
      </c>
      <c r="I425" s="3">
        <v>0</v>
      </c>
      <c r="J425" s="318">
        <v>46.163842283878417</v>
      </c>
      <c r="K425" s="3">
        <v>7.311686851103171</v>
      </c>
      <c r="L425" s="3">
        <v>13.154619942652623</v>
      </c>
      <c r="M425" s="318">
        <v>20.466306793755795</v>
      </c>
      <c r="N425" s="3">
        <v>13.313289351309036</v>
      </c>
      <c r="O425" s="3">
        <v>25.884858960420516</v>
      </c>
      <c r="P425" s="3">
        <v>12.013305528313468</v>
      </c>
      <c r="Q425" s="3">
        <v>4.6703823925227299</v>
      </c>
      <c r="R425" s="3">
        <v>16.30067832378985</v>
      </c>
      <c r="S425" s="3">
        <v>26.063782926735758</v>
      </c>
      <c r="T425" s="3">
        <v>63.195333886862976</v>
      </c>
      <c r="U425" s="3">
        <v>6.4310571490098756</v>
      </c>
      <c r="V425" s="318">
        <v>167.87268851896422</v>
      </c>
      <c r="W425" s="318">
        <v>234.50283759659843</v>
      </c>
      <c r="X425" s="3">
        <v>23.229584517570483</v>
      </c>
      <c r="Y425" s="318">
        <v>257.73242211416891</v>
      </c>
    </row>
    <row r="426" spans="1:25" x14ac:dyDescent="0.2">
      <c r="A426" s="314">
        <v>2018</v>
      </c>
      <c r="B426" s="5" t="s">
        <v>466</v>
      </c>
      <c r="C426" s="5" t="s">
        <v>181</v>
      </c>
      <c r="D426" s="5" t="s">
        <v>480</v>
      </c>
      <c r="E426" s="5" t="s">
        <v>204</v>
      </c>
      <c r="F426" s="5" t="s">
        <v>184</v>
      </c>
      <c r="G426" s="5" t="s">
        <v>205</v>
      </c>
      <c r="H426" s="3">
        <v>2.5734223349410619</v>
      </c>
      <c r="I426" s="3">
        <v>0</v>
      </c>
      <c r="J426" s="318">
        <v>2.5734223349410619</v>
      </c>
      <c r="K426" s="3">
        <v>0.41520456745798612</v>
      </c>
      <c r="L426" s="3">
        <v>4.5333308584171919</v>
      </c>
      <c r="M426" s="318">
        <v>4.9485354258751784</v>
      </c>
      <c r="N426" s="3">
        <v>1.779104993803023</v>
      </c>
      <c r="O426" s="3">
        <v>5.7809287028048653</v>
      </c>
      <c r="P426" s="3">
        <v>3.0563477772494099</v>
      </c>
      <c r="Q426" s="3">
        <v>2.1630192604762275</v>
      </c>
      <c r="R426" s="3">
        <v>7.9995791082454826</v>
      </c>
      <c r="S426" s="3">
        <v>7.3417547705716526</v>
      </c>
      <c r="T426" s="3">
        <v>18.115475316563376</v>
      </c>
      <c r="U426" s="3">
        <v>2.6363146271840749</v>
      </c>
      <c r="V426" s="318">
        <v>48.872524556898114</v>
      </c>
      <c r="W426" s="318">
        <v>56.394482317714356</v>
      </c>
      <c r="X426" s="3">
        <v>5.5863733110877396</v>
      </c>
      <c r="Y426" s="318">
        <v>61.980855628802097</v>
      </c>
    </row>
    <row r="427" spans="1:25" x14ac:dyDescent="0.2">
      <c r="A427" s="314">
        <v>2018</v>
      </c>
      <c r="B427" s="5" t="s">
        <v>466</v>
      </c>
      <c r="C427" s="5" t="s">
        <v>181</v>
      </c>
      <c r="D427" s="5" t="s">
        <v>479</v>
      </c>
      <c r="E427" s="5" t="s">
        <v>206</v>
      </c>
      <c r="F427" s="5" t="s">
        <v>184</v>
      </c>
      <c r="G427" s="5" t="s">
        <v>207</v>
      </c>
      <c r="H427" s="3">
        <v>4.5151409042666044</v>
      </c>
      <c r="I427" s="3">
        <v>0</v>
      </c>
      <c r="J427" s="318">
        <v>4.5151409042666044</v>
      </c>
      <c r="K427" s="3">
        <v>1.3284764173776871</v>
      </c>
      <c r="L427" s="3">
        <v>2.0440363221931035</v>
      </c>
      <c r="M427" s="318">
        <v>3.3725127395707908</v>
      </c>
      <c r="N427" s="3">
        <v>2.6077803007058056</v>
      </c>
      <c r="O427" s="3">
        <v>5.7752850388835268</v>
      </c>
      <c r="P427" s="3">
        <v>1.5077840518407559</v>
      </c>
      <c r="Q427" s="3">
        <v>0.90483372844004584</v>
      </c>
      <c r="R427" s="3">
        <v>3.1402104376786886</v>
      </c>
      <c r="S427" s="3">
        <v>4.2028531304383288</v>
      </c>
      <c r="T427" s="3">
        <v>8.7727024893013752</v>
      </c>
      <c r="U427" s="3">
        <v>1.7855354188870503</v>
      </c>
      <c r="V427" s="318">
        <v>28.696984596175575</v>
      </c>
      <c r="W427" s="318">
        <v>36.584638240012964</v>
      </c>
      <c r="X427" s="3">
        <v>3.6240326758990555</v>
      </c>
      <c r="Y427" s="318">
        <v>40.208670915912023</v>
      </c>
    </row>
    <row r="428" spans="1:25" x14ac:dyDescent="0.2">
      <c r="A428" s="314">
        <v>2018</v>
      </c>
      <c r="B428" s="5" t="s">
        <v>466</v>
      </c>
      <c r="C428" s="5" t="s">
        <v>181</v>
      </c>
      <c r="D428" s="5" t="s">
        <v>479</v>
      </c>
      <c r="E428" s="5" t="s">
        <v>208</v>
      </c>
      <c r="F428" s="5" t="s">
        <v>184</v>
      </c>
      <c r="G428" s="5" t="s">
        <v>209</v>
      </c>
      <c r="H428" s="3">
        <v>57.601204750393073</v>
      </c>
      <c r="I428" s="3">
        <v>0</v>
      </c>
      <c r="J428" s="318">
        <v>57.601204750393073</v>
      </c>
      <c r="K428" s="3">
        <v>383.06010078613389</v>
      </c>
      <c r="L428" s="3">
        <v>72.818078996474298</v>
      </c>
      <c r="M428" s="318">
        <v>455.87817978260819</v>
      </c>
      <c r="N428" s="3">
        <v>19.000416455279172</v>
      </c>
      <c r="O428" s="3">
        <v>67.187869916783796</v>
      </c>
      <c r="P428" s="3">
        <v>10.03807780286205</v>
      </c>
      <c r="Q428" s="3">
        <v>10.810050566382005</v>
      </c>
      <c r="R428" s="3">
        <v>29.235415870837393</v>
      </c>
      <c r="S428" s="3">
        <v>50.634159643772328</v>
      </c>
      <c r="T428" s="3">
        <v>33.433036936723219</v>
      </c>
      <c r="U428" s="3">
        <v>8.8667286614515071</v>
      </c>
      <c r="V428" s="318">
        <v>229.20575585409148</v>
      </c>
      <c r="W428" s="318">
        <v>742.6851403870927</v>
      </c>
      <c r="X428" s="3">
        <v>73.569545747858911</v>
      </c>
      <c r="Y428" s="318">
        <v>816.25468613495161</v>
      </c>
    </row>
    <row r="429" spans="1:25" x14ac:dyDescent="0.2">
      <c r="A429" s="314">
        <v>2018</v>
      </c>
      <c r="B429" s="5" t="s">
        <v>466</v>
      </c>
      <c r="C429" s="5" t="s">
        <v>181</v>
      </c>
      <c r="D429" s="5" t="s">
        <v>479</v>
      </c>
      <c r="E429" s="5" t="s">
        <v>210</v>
      </c>
      <c r="F429" s="5" t="s">
        <v>184</v>
      </c>
      <c r="G429" s="5" t="s">
        <v>211</v>
      </c>
      <c r="H429" s="3">
        <v>288.00674567861086</v>
      </c>
      <c r="I429" s="3">
        <v>24.770441039016134</v>
      </c>
      <c r="J429" s="318">
        <v>312.77718671762699</v>
      </c>
      <c r="K429" s="3">
        <v>188.00599479823558</v>
      </c>
      <c r="L429" s="3">
        <v>92.421976494282944</v>
      </c>
      <c r="M429" s="318">
        <v>280.42797129251852</v>
      </c>
      <c r="N429" s="3">
        <v>47.647722588212233</v>
      </c>
      <c r="O429" s="3">
        <v>107.32334858246793</v>
      </c>
      <c r="P429" s="3">
        <v>16.610599525791361</v>
      </c>
      <c r="Q429" s="3">
        <v>13.921388971693473</v>
      </c>
      <c r="R429" s="3">
        <v>36.306476784061928</v>
      </c>
      <c r="S429" s="3">
        <v>67.988012222757618</v>
      </c>
      <c r="T429" s="3">
        <v>105.62036306165813</v>
      </c>
      <c r="U429" s="3">
        <v>12.623412193181993</v>
      </c>
      <c r="V429" s="318">
        <v>408.04132392982461</v>
      </c>
      <c r="W429" s="318">
        <v>1001.2464819399702</v>
      </c>
      <c r="X429" s="3">
        <v>99.182338318459756</v>
      </c>
      <c r="Y429" s="318">
        <v>1100.4288202584298</v>
      </c>
    </row>
    <row r="430" spans="1:25" x14ac:dyDescent="0.2">
      <c r="A430" s="314">
        <v>2018</v>
      </c>
      <c r="B430" s="5" t="s">
        <v>466</v>
      </c>
      <c r="C430" s="5" t="s">
        <v>181</v>
      </c>
      <c r="D430" s="5" t="s">
        <v>480</v>
      </c>
      <c r="E430" s="5" t="s">
        <v>212</v>
      </c>
      <c r="F430" s="5" t="s">
        <v>184</v>
      </c>
      <c r="G430" s="5" t="s">
        <v>213</v>
      </c>
      <c r="H430" s="3">
        <v>11.761277587174638</v>
      </c>
      <c r="I430" s="3">
        <v>0</v>
      </c>
      <c r="J430" s="318">
        <v>11.761277587174638</v>
      </c>
      <c r="K430" s="3">
        <v>5.7487047996552638</v>
      </c>
      <c r="L430" s="3">
        <v>0.75338788205527241</v>
      </c>
      <c r="M430" s="318">
        <v>6.5020926817105362</v>
      </c>
      <c r="N430" s="3">
        <v>9.7806825673597633</v>
      </c>
      <c r="O430" s="3">
        <v>13.536468240323732</v>
      </c>
      <c r="P430" s="3">
        <v>2.4021604981568689</v>
      </c>
      <c r="Q430" s="3">
        <v>1.2700018405431845</v>
      </c>
      <c r="R430" s="3">
        <v>4.8773701801413916</v>
      </c>
      <c r="S430" s="3">
        <v>7.8086032751946721</v>
      </c>
      <c r="T430" s="3">
        <v>14.030223386482996</v>
      </c>
      <c r="U430" s="3">
        <v>1.8572525814557626</v>
      </c>
      <c r="V430" s="318">
        <v>55.562762569658368</v>
      </c>
      <c r="W430" s="318">
        <v>73.826132838543543</v>
      </c>
      <c r="X430" s="3">
        <v>7.3131327959811809</v>
      </c>
      <c r="Y430" s="318">
        <v>81.139265634524719</v>
      </c>
    </row>
    <row r="431" spans="1:25" x14ac:dyDescent="0.2">
      <c r="A431" s="314">
        <v>2018</v>
      </c>
      <c r="B431" s="5" t="s">
        <v>466</v>
      </c>
      <c r="C431" s="5" t="s">
        <v>181</v>
      </c>
      <c r="D431" s="5" t="s">
        <v>478</v>
      </c>
      <c r="E431" s="5" t="s">
        <v>214</v>
      </c>
      <c r="F431" s="5" t="s">
        <v>184</v>
      </c>
      <c r="G431" s="5" t="s">
        <v>215</v>
      </c>
      <c r="H431" s="3">
        <v>19.142834101314229</v>
      </c>
      <c r="I431" s="3">
        <v>2.1272299430503487</v>
      </c>
      <c r="J431" s="318">
        <v>21.270064044364577</v>
      </c>
      <c r="K431" s="3">
        <v>0.85276982303848536</v>
      </c>
      <c r="L431" s="3">
        <v>10.369340946849075</v>
      </c>
      <c r="M431" s="318">
        <v>11.222110769887561</v>
      </c>
      <c r="N431" s="3">
        <v>4.9146973615375966</v>
      </c>
      <c r="O431" s="3">
        <v>31.487023320357601</v>
      </c>
      <c r="P431" s="3">
        <v>4.9649706525956754</v>
      </c>
      <c r="Q431" s="3">
        <v>2.1647730516082762</v>
      </c>
      <c r="R431" s="3">
        <v>7.7218437341050041</v>
      </c>
      <c r="S431" s="3">
        <v>13.587628937799733</v>
      </c>
      <c r="T431" s="3">
        <v>32.133996044657202</v>
      </c>
      <c r="U431" s="3">
        <v>3.5284323419753081</v>
      </c>
      <c r="V431" s="318">
        <v>100.50336544463639</v>
      </c>
      <c r="W431" s="318">
        <v>132.99554025888852</v>
      </c>
      <c r="X431" s="3">
        <v>13.174387033296236</v>
      </c>
      <c r="Y431" s="318">
        <v>146.16992729218475</v>
      </c>
    </row>
    <row r="432" spans="1:25" x14ac:dyDescent="0.2">
      <c r="A432" s="314">
        <v>2018</v>
      </c>
      <c r="B432" s="5" t="s">
        <v>466</v>
      </c>
      <c r="C432" s="5" t="s">
        <v>181</v>
      </c>
      <c r="D432" s="5" t="s">
        <v>478</v>
      </c>
      <c r="E432" s="5" t="s">
        <v>216</v>
      </c>
      <c r="F432" s="5" t="s">
        <v>184</v>
      </c>
      <c r="G432" s="5" t="s">
        <v>217</v>
      </c>
      <c r="H432" s="3">
        <v>50.727186587823027</v>
      </c>
      <c r="I432" s="3">
        <v>1.8318787313327292</v>
      </c>
      <c r="J432" s="318">
        <v>52.559065319155756</v>
      </c>
      <c r="K432" s="3">
        <v>78.824875320447092</v>
      </c>
      <c r="L432" s="3">
        <v>50.76989503883172</v>
      </c>
      <c r="M432" s="318">
        <v>129.59477035927881</v>
      </c>
      <c r="N432" s="3">
        <v>26.431919075115619</v>
      </c>
      <c r="O432" s="3">
        <v>127.64678392802179</v>
      </c>
      <c r="P432" s="3">
        <v>19.692776445295259</v>
      </c>
      <c r="Q432" s="3">
        <v>17.696189110649769</v>
      </c>
      <c r="R432" s="3">
        <v>40.300894358443628</v>
      </c>
      <c r="S432" s="3">
        <v>53.770307805556492</v>
      </c>
      <c r="T432" s="3">
        <v>89.757953580778718</v>
      </c>
      <c r="U432" s="3">
        <v>14.464006888491818</v>
      </c>
      <c r="V432" s="318">
        <v>389.76083119235312</v>
      </c>
      <c r="W432" s="318">
        <v>571.91466687078764</v>
      </c>
      <c r="X432" s="3">
        <v>56.653216767325979</v>
      </c>
      <c r="Y432" s="318">
        <v>628.56788363811359</v>
      </c>
    </row>
    <row r="433" spans="1:25" x14ac:dyDescent="0.2">
      <c r="A433" s="314">
        <v>2018</v>
      </c>
      <c r="B433" s="5" t="s">
        <v>466</v>
      </c>
      <c r="C433" s="5" t="s">
        <v>218</v>
      </c>
      <c r="D433" s="5" t="s">
        <v>481</v>
      </c>
      <c r="E433" s="5" t="s">
        <v>220</v>
      </c>
      <c r="F433" s="5" t="s">
        <v>221</v>
      </c>
      <c r="G433" s="5" t="s">
        <v>223</v>
      </c>
      <c r="H433" s="3">
        <v>7.3417337447094013</v>
      </c>
      <c r="I433" s="3">
        <v>1.1227079922966698</v>
      </c>
      <c r="J433" s="318">
        <v>8.4644417370060712</v>
      </c>
      <c r="K433" s="3">
        <v>0.61939787938235069</v>
      </c>
      <c r="L433" s="3">
        <v>1.89158601605111</v>
      </c>
      <c r="M433" s="318">
        <v>2.5109838954334607</v>
      </c>
      <c r="N433" s="3">
        <v>2.8670542038941065</v>
      </c>
      <c r="O433" s="3">
        <v>1.8085637798718164</v>
      </c>
      <c r="P433" s="3">
        <v>0.79080943367590695</v>
      </c>
      <c r="Q433" s="3">
        <v>0.21159818988081233</v>
      </c>
      <c r="R433" s="3">
        <v>1.1993744352781883</v>
      </c>
      <c r="S433" s="3">
        <v>2.5702106063095558</v>
      </c>
      <c r="T433" s="3">
        <v>7.481323976571514</v>
      </c>
      <c r="U433" s="3">
        <v>0.65830217307927097</v>
      </c>
      <c r="V433" s="318">
        <v>17.587236798561172</v>
      </c>
      <c r="W433" s="318">
        <v>28.562662431000703</v>
      </c>
      <c r="X433" s="3">
        <v>2.8293848713640921</v>
      </c>
      <c r="Y433" s="318">
        <v>31.392047302364794</v>
      </c>
    </row>
    <row r="434" spans="1:25" x14ac:dyDescent="0.2">
      <c r="A434" s="314">
        <v>2018</v>
      </c>
      <c r="B434" s="5" t="s">
        <v>466</v>
      </c>
      <c r="C434" s="5" t="s">
        <v>218</v>
      </c>
      <c r="D434" s="5" t="s">
        <v>482</v>
      </c>
      <c r="E434" s="5" t="s">
        <v>224</v>
      </c>
      <c r="F434" s="5" t="s">
        <v>221</v>
      </c>
      <c r="G434" s="5" t="s">
        <v>226</v>
      </c>
      <c r="H434" s="3">
        <v>54.274183414891695</v>
      </c>
      <c r="I434" s="3">
        <v>0</v>
      </c>
      <c r="J434" s="318">
        <v>54.274183414891695</v>
      </c>
      <c r="K434" s="3">
        <v>0.71324143335413859</v>
      </c>
      <c r="L434" s="3">
        <v>9.2757520923270782</v>
      </c>
      <c r="M434" s="318">
        <v>9.9889935256812166</v>
      </c>
      <c r="N434" s="3">
        <v>1.6492812868558753</v>
      </c>
      <c r="O434" s="3">
        <v>7.0322319874597055</v>
      </c>
      <c r="P434" s="3">
        <v>3.1161555965453003</v>
      </c>
      <c r="Q434" s="3">
        <v>1.5159235064052941</v>
      </c>
      <c r="R434" s="3">
        <v>5.4241218823084925</v>
      </c>
      <c r="S434" s="3">
        <v>8.917715917796869</v>
      </c>
      <c r="T434" s="3">
        <v>15.233994722207928</v>
      </c>
      <c r="U434" s="3">
        <v>2.5920699165589447</v>
      </c>
      <c r="V434" s="318">
        <v>45.481494816138408</v>
      </c>
      <c r="W434" s="318">
        <v>109.74467175671131</v>
      </c>
      <c r="X434" s="3">
        <v>10.87118243025702</v>
      </c>
      <c r="Y434" s="318">
        <v>120.61585418696833</v>
      </c>
    </row>
    <row r="435" spans="1:25" x14ac:dyDescent="0.2">
      <c r="A435" s="314">
        <v>2018</v>
      </c>
      <c r="B435" s="5" t="s">
        <v>466</v>
      </c>
      <c r="C435" s="5" t="s">
        <v>218</v>
      </c>
      <c r="D435" s="5" t="s">
        <v>482</v>
      </c>
      <c r="E435" s="5" t="s">
        <v>227</v>
      </c>
      <c r="F435" s="5" t="s">
        <v>221</v>
      </c>
      <c r="G435" s="5" t="s">
        <v>228</v>
      </c>
      <c r="H435" s="3">
        <v>12.841514323955565</v>
      </c>
      <c r="I435" s="3">
        <v>0</v>
      </c>
      <c r="J435" s="318">
        <v>12.841514323955565</v>
      </c>
      <c r="K435" s="3">
        <v>1.245399631871654</v>
      </c>
      <c r="L435" s="3">
        <v>3.1917780626772214</v>
      </c>
      <c r="M435" s="318">
        <v>4.4371776945488755</v>
      </c>
      <c r="N435" s="3">
        <v>1.1514173416823315</v>
      </c>
      <c r="O435" s="3">
        <v>5.6668236605033435</v>
      </c>
      <c r="P435" s="3">
        <v>2.1532092413813206</v>
      </c>
      <c r="Q435" s="3">
        <v>0.93086641103563483</v>
      </c>
      <c r="R435" s="3">
        <v>4.2953411566124444</v>
      </c>
      <c r="S435" s="3">
        <v>5.3620315207739822</v>
      </c>
      <c r="T435" s="3">
        <v>12.495640515283313</v>
      </c>
      <c r="U435" s="3">
        <v>2.1723164241488999</v>
      </c>
      <c r="V435" s="318">
        <v>34.227646271421271</v>
      </c>
      <c r="W435" s="318">
        <v>51.506338289925708</v>
      </c>
      <c r="X435" s="3">
        <v>5.1021593203687594</v>
      </c>
      <c r="Y435" s="318">
        <v>56.608497610294464</v>
      </c>
    </row>
    <row r="436" spans="1:25" x14ac:dyDescent="0.2">
      <c r="A436" s="314">
        <v>2018</v>
      </c>
      <c r="B436" s="5" t="s">
        <v>466</v>
      </c>
      <c r="C436" s="5" t="s">
        <v>218</v>
      </c>
      <c r="D436" s="5" t="s">
        <v>482</v>
      </c>
      <c r="E436" s="5" t="s">
        <v>229</v>
      </c>
      <c r="F436" s="5" t="s">
        <v>221</v>
      </c>
      <c r="G436" s="5" t="s">
        <v>230</v>
      </c>
      <c r="H436" s="3">
        <v>6.2529558803680887</v>
      </c>
      <c r="I436" s="3">
        <v>16.235458672739782</v>
      </c>
      <c r="J436" s="318">
        <v>22.488414553107869</v>
      </c>
      <c r="K436" s="3">
        <v>4.3112999126885008</v>
      </c>
      <c r="L436" s="3">
        <v>1.949974442612219</v>
      </c>
      <c r="M436" s="318">
        <v>6.2612743553007197</v>
      </c>
      <c r="N436" s="3">
        <v>5.3323667544290174</v>
      </c>
      <c r="O436" s="3">
        <v>7.8122429971372247</v>
      </c>
      <c r="P436" s="3">
        <v>3.7403604740309779</v>
      </c>
      <c r="Q436" s="3">
        <v>1.1773685617447438</v>
      </c>
      <c r="R436" s="3">
        <v>9.3542646060971943</v>
      </c>
      <c r="S436" s="3">
        <v>9.1746582147736824</v>
      </c>
      <c r="T436" s="3">
        <v>17.04438816822778</v>
      </c>
      <c r="U436" s="3">
        <v>3.5032382449347592</v>
      </c>
      <c r="V436" s="318">
        <v>57.138888021375386</v>
      </c>
      <c r="W436" s="318">
        <v>85.88857692978398</v>
      </c>
      <c r="X436" s="3">
        <v>8.5080247954884971</v>
      </c>
      <c r="Y436" s="318">
        <v>94.396601725272475</v>
      </c>
    </row>
    <row r="437" spans="1:25" x14ac:dyDescent="0.2">
      <c r="A437" s="314">
        <v>2018</v>
      </c>
      <c r="B437" s="5" t="s">
        <v>466</v>
      </c>
      <c r="C437" s="5" t="s">
        <v>218</v>
      </c>
      <c r="D437" s="5" t="s">
        <v>482</v>
      </c>
      <c r="E437" s="5" t="s">
        <v>231</v>
      </c>
      <c r="F437" s="5" t="s">
        <v>221</v>
      </c>
      <c r="G437" s="5" t="s">
        <v>232</v>
      </c>
      <c r="H437" s="3">
        <v>32.083497935065118</v>
      </c>
      <c r="I437" s="3">
        <v>0</v>
      </c>
      <c r="J437" s="318">
        <v>32.083497935065118</v>
      </c>
      <c r="K437" s="3">
        <v>2.5169564612836544</v>
      </c>
      <c r="L437" s="3">
        <v>6.3799055544405983</v>
      </c>
      <c r="M437" s="318">
        <v>8.8968620157242526</v>
      </c>
      <c r="N437" s="3">
        <v>1.6154257838977035</v>
      </c>
      <c r="O437" s="3">
        <v>11.443609154400425</v>
      </c>
      <c r="P437" s="3">
        <v>4.3658882768035889</v>
      </c>
      <c r="Q437" s="3">
        <v>2.1955435467142617</v>
      </c>
      <c r="R437" s="3">
        <v>7.3269901064026994</v>
      </c>
      <c r="S437" s="3">
        <v>9.9160101247182073</v>
      </c>
      <c r="T437" s="3">
        <v>22.167069508360598</v>
      </c>
      <c r="U437" s="3">
        <v>3.3513369906380954</v>
      </c>
      <c r="V437" s="318">
        <v>62.381873491935579</v>
      </c>
      <c r="W437" s="318">
        <v>103.36223344272494</v>
      </c>
      <c r="X437" s="3">
        <v>10.238945346209569</v>
      </c>
      <c r="Y437" s="318">
        <v>113.6011787889345</v>
      </c>
    </row>
    <row r="438" spans="1:25" x14ac:dyDescent="0.2">
      <c r="A438" s="314">
        <v>2018</v>
      </c>
      <c r="B438" s="5" t="s">
        <v>466</v>
      </c>
      <c r="C438" s="5" t="s">
        <v>218</v>
      </c>
      <c r="D438" s="5" t="s">
        <v>481</v>
      </c>
      <c r="E438" s="5" t="s">
        <v>233</v>
      </c>
      <c r="F438" s="5" t="s">
        <v>221</v>
      </c>
      <c r="G438" s="5" t="s">
        <v>234</v>
      </c>
      <c r="H438" s="3">
        <v>28.582864931883979</v>
      </c>
      <c r="I438" s="3">
        <v>0</v>
      </c>
      <c r="J438" s="318">
        <v>28.582864931883979</v>
      </c>
      <c r="K438" s="3">
        <v>0.71162626650985739</v>
      </c>
      <c r="L438" s="3">
        <v>12.372775886044149</v>
      </c>
      <c r="M438" s="318">
        <v>13.084402152554006</v>
      </c>
      <c r="N438" s="3">
        <v>8.1823828290316261</v>
      </c>
      <c r="O438" s="3">
        <v>23.812114646188753</v>
      </c>
      <c r="P438" s="3">
        <v>5.6057388129614765</v>
      </c>
      <c r="Q438" s="3">
        <v>2.3428066054993835</v>
      </c>
      <c r="R438" s="3">
        <v>10.833006992005044</v>
      </c>
      <c r="S438" s="3">
        <v>15.545337373938942</v>
      </c>
      <c r="T438" s="3">
        <v>36.021860438750892</v>
      </c>
      <c r="U438" s="3">
        <v>4.5901035322827743</v>
      </c>
      <c r="V438" s="318">
        <v>106.93335123065889</v>
      </c>
      <c r="W438" s="318">
        <v>148.60061831509688</v>
      </c>
      <c r="X438" s="3">
        <v>14.720208326229001</v>
      </c>
      <c r="Y438" s="318">
        <v>163.32082664132588</v>
      </c>
    </row>
    <row r="439" spans="1:25" x14ac:dyDescent="0.2">
      <c r="A439" s="314">
        <v>2018</v>
      </c>
      <c r="B439" s="5" t="s">
        <v>466</v>
      </c>
      <c r="C439" s="5" t="s">
        <v>218</v>
      </c>
      <c r="D439" s="5" t="s">
        <v>481</v>
      </c>
      <c r="E439" s="5" t="s">
        <v>235</v>
      </c>
      <c r="F439" s="5" t="s">
        <v>221</v>
      </c>
      <c r="G439" s="5" t="s">
        <v>236</v>
      </c>
      <c r="H439" s="3">
        <v>63.552308271909418</v>
      </c>
      <c r="I439" s="3">
        <v>5.5461992837864713</v>
      </c>
      <c r="J439" s="318">
        <v>69.098507555695889</v>
      </c>
      <c r="K439" s="3">
        <v>2.052572788936212</v>
      </c>
      <c r="L439" s="3">
        <v>19.313486143461553</v>
      </c>
      <c r="M439" s="318">
        <v>21.366058932397763</v>
      </c>
      <c r="N439" s="3">
        <v>5.6627010430612827</v>
      </c>
      <c r="O439" s="3">
        <v>42.752099720087983</v>
      </c>
      <c r="P439" s="3">
        <v>10.38836785502634</v>
      </c>
      <c r="Q439" s="3">
        <v>5.2927079643697361</v>
      </c>
      <c r="R439" s="3">
        <v>16.00445403461055</v>
      </c>
      <c r="S439" s="3">
        <v>24.819413623894107</v>
      </c>
      <c r="T439" s="3">
        <v>47.668666070981502</v>
      </c>
      <c r="U439" s="3">
        <v>5.7493725250755174</v>
      </c>
      <c r="V439" s="318">
        <v>158.33778283710703</v>
      </c>
      <c r="W439" s="318">
        <v>248.80234932520068</v>
      </c>
      <c r="X439" s="3">
        <v>24.646077894213427</v>
      </c>
      <c r="Y439" s="318">
        <v>273.4484272194141</v>
      </c>
    </row>
    <row r="440" spans="1:25" x14ac:dyDescent="0.2">
      <c r="A440" s="314">
        <v>2018</v>
      </c>
      <c r="B440" s="5" t="s">
        <v>466</v>
      </c>
      <c r="C440" s="5" t="s">
        <v>218</v>
      </c>
      <c r="D440" s="5" t="s">
        <v>482</v>
      </c>
      <c r="E440" s="5" t="s">
        <v>237</v>
      </c>
      <c r="F440" s="5" t="s">
        <v>221</v>
      </c>
      <c r="G440" s="5" t="s">
        <v>238</v>
      </c>
      <c r="H440" s="3">
        <v>107.84839666643865</v>
      </c>
      <c r="I440" s="3">
        <v>0</v>
      </c>
      <c r="J440" s="318">
        <v>107.84839666643865</v>
      </c>
      <c r="K440" s="3">
        <v>7.8798040999706442</v>
      </c>
      <c r="L440" s="3">
        <v>11.958277521562934</v>
      </c>
      <c r="M440" s="318">
        <v>19.838081621533579</v>
      </c>
      <c r="N440" s="3">
        <v>4.0792811827797015</v>
      </c>
      <c r="O440" s="3">
        <v>18.620996625966288</v>
      </c>
      <c r="P440" s="3">
        <v>7.0072510974292124</v>
      </c>
      <c r="Q440" s="3">
        <v>2.1651238884203647</v>
      </c>
      <c r="R440" s="3">
        <v>12.959681289550208</v>
      </c>
      <c r="S440" s="3">
        <v>14.282277974932855</v>
      </c>
      <c r="T440" s="3">
        <v>24.220173149325987</v>
      </c>
      <c r="U440" s="3">
        <v>5.3239171011544464</v>
      </c>
      <c r="V440" s="318">
        <v>88.658702309559061</v>
      </c>
      <c r="W440" s="318">
        <v>216.34518059753128</v>
      </c>
      <c r="X440" s="3">
        <v>21.430907656241949</v>
      </c>
      <c r="Y440" s="318">
        <v>237.77608825377322</v>
      </c>
    </row>
    <row r="441" spans="1:25" x14ac:dyDescent="0.2">
      <c r="A441" s="314">
        <v>2018</v>
      </c>
      <c r="B441" s="5" t="s">
        <v>466</v>
      </c>
      <c r="C441" s="5" t="s">
        <v>218</v>
      </c>
      <c r="D441" s="5" t="s">
        <v>481</v>
      </c>
      <c r="E441" s="5" t="s">
        <v>239</v>
      </c>
      <c r="F441" s="5" t="s">
        <v>221</v>
      </c>
      <c r="G441" s="5" t="s">
        <v>240</v>
      </c>
      <c r="H441" s="3">
        <v>28.23751680641104</v>
      </c>
      <c r="I441" s="3">
        <v>1.8698152222578877</v>
      </c>
      <c r="J441" s="318">
        <v>30.107332028668928</v>
      </c>
      <c r="K441" s="3">
        <v>2.6930922433003355</v>
      </c>
      <c r="L441" s="3">
        <v>17.75316515369552</v>
      </c>
      <c r="M441" s="318">
        <v>20.446257396995854</v>
      </c>
      <c r="N441" s="3">
        <v>14.841569930216618</v>
      </c>
      <c r="O441" s="3">
        <v>34.472299250994318</v>
      </c>
      <c r="P441" s="3">
        <v>9.9061230607154851</v>
      </c>
      <c r="Q441" s="3">
        <v>5.6278045437500976</v>
      </c>
      <c r="R441" s="3">
        <v>12.082747235985584</v>
      </c>
      <c r="S441" s="3">
        <v>19.676980486784316</v>
      </c>
      <c r="T441" s="3">
        <v>41.2077066013752</v>
      </c>
      <c r="U441" s="3">
        <v>5.3361599701471683</v>
      </c>
      <c r="V441" s="318">
        <v>143.15139107996879</v>
      </c>
      <c r="W441" s="318">
        <v>193.70498050563359</v>
      </c>
      <c r="X441" s="3">
        <v>19.188195171738208</v>
      </c>
      <c r="Y441" s="318">
        <v>212.8931756773718</v>
      </c>
    </row>
    <row r="442" spans="1:25" x14ac:dyDescent="0.2">
      <c r="A442" s="314">
        <v>2018</v>
      </c>
      <c r="B442" s="5" t="s">
        <v>466</v>
      </c>
      <c r="C442" s="5" t="s">
        <v>218</v>
      </c>
      <c r="D442" s="5" t="s">
        <v>482</v>
      </c>
      <c r="E442" s="5" t="s">
        <v>241</v>
      </c>
      <c r="F442" s="5" t="s">
        <v>221</v>
      </c>
      <c r="G442" s="5" t="s">
        <v>242</v>
      </c>
      <c r="H442" s="3">
        <v>12.106416526725909</v>
      </c>
      <c r="I442" s="3">
        <v>0</v>
      </c>
      <c r="J442" s="318">
        <v>12.106416526725909</v>
      </c>
      <c r="K442" s="3">
        <v>0.66002282640642185</v>
      </c>
      <c r="L442" s="3">
        <v>3.9151322951961509</v>
      </c>
      <c r="M442" s="318">
        <v>4.575155121602573</v>
      </c>
      <c r="N442" s="3">
        <v>1.3332687451557677</v>
      </c>
      <c r="O442" s="3">
        <v>8.4923539114607181</v>
      </c>
      <c r="P442" s="3">
        <v>1.9575045218036129</v>
      </c>
      <c r="Q442" s="3">
        <v>0.65833856087687759</v>
      </c>
      <c r="R442" s="3">
        <v>4.3410362809995124</v>
      </c>
      <c r="S442" s="3">
        <v>5.9603915050119856</v>
      </c>
      <c r="T442" s="3">
        <v>12.054966322646168</v>
      </c>
      <c r="U442" s="3">
        <v>2.5589313568527858</v>
      </c>
      <c r="V442" s="318">
        <v>37.356791204807429</v>
      </c>
      <c r="W442" s="318">
        <v>54.038362853135908</v>
      </c>
      <c r="X442" s="3">
        <v>5.3529787952820511</v>
      </c>
      <c r="Y442" s="318">
        <v>59.391341648417956</v>
      </c>
    </row>
    <row r="443" spans="1:25" x14ac:dyDescent="0.2">
      <c r="A443" s="314">
        <v>2018</v>
      </c>
      <c r="B443" s="5" t="s">
        <v>466</v>
      </c>
      <c r="C443" s="5" t="s">
        <v>218</v>
      </c>
      <c r="D443" s="5" t="s">
        <v>482</v>
      </c>
      <c r="E443" s="5" t="s">
        <v>243</v>
      </c>
      <c r="F443" s="5" t="s">
        <v>221</v>
      </c>
      <c r="G443" s="5" t="s">
        <v>244</v>
      </c>
      <c r="H443" s="3">
        <v>14.135708943157201</v>
      </c>
      <c r="I443" s="3">
        <v>0</v>
      </c>
      <c r="J443" s="318">
        <v>14.135708943157201</v>
      </c>
      <c r="K443" s="3">
        <v>1.0120665951247025</v>
      </c>
      <c r="L443" s="3">
        <v>3.8810276451101293</v>
      </c>
      <c r="M443" s="318">
        <v>4.8930942402348316</v>
      </c>
      <c r="N443" s="3">
        <v>1.7724086477104783</v>
      </c>
      <c r="O443" s="3">
        <v>5.9906982063869965</v>
      </c>
      <c r="P443" s="3">
        <v>2.45825800637465</v>
      </c>
      <c r="Q443" s="3">
        <v>1.1960546640256917</v>
      </c>
      <c r="R443" s="3">
        <v>4.7668418127366827</v>
      </c>
      <c r="S443" s="3">
        <v>5.9181600513052466</v>
      </c>
      <c r="T443" s="3">
        <v>13.225761602022251</v>
      </c>
      <c r="U443" s="3">
        <v>1.8667846332705258</v>
      </c>
      <c r="V443" s="318">
        <v>37.194967623832525</v>
      </c>
      <c r="W443" s="318">
        <v>56.223770807224554</v>
      </c>
      <c r="X443" s="3">
        <v>5.5694628229175835</v>
      </c>
      <c r="Y443" s="318">
        <v>61.79323363014214</v>
      </c>
    </row>
    <row r="444" spans="1:25" x14ac:dyDescent="0.2">
      <c r="A444" s="314">
        <v>2018</v>
      </c>
      <c r="B444" s="5" t="s">
        <v>466</v>
      </c>
      <c r="C444" s="5" t="s">
        <v>218</v>
      </c>
      <c r="D444" s="5" t="s">
        <v>482</v>
      </c>
      <c r="E444" s="5" t="s">
        <v>245</v>
      </c>
      <c r="F444" s="5" t="s">
        <v>221</v>
      </c>
      <c r="G444" s="5" t="s">
        <v>246</v>
      </c>
      <c r="H444" s="3">
        <v>18.421371092906735</v>
      </c>
      <c r="I444" s="3">
        <v>0</v>
      </c>
      <c r="J444" s="318">
        <v>18.421371092906735</v>
      </c>
      <c r="K444" s="3">
        <v>0.29450867739306075</v>
      </c>
      <c r="L444" s="3">
        <v>8.1211839728058344</v>
      </c>
      <c r="M444" s="318">
        <v>8.4156926501988956</v>
      </c>
      <c r="N444" s="3">
        <v>2.6733187267511722</v>
      </c>
      <c r="O444" s="3">
        <v>9.7651714849623641</v>
      </c>
      <c r="P444" s="3">
        <v>4.3553607484553307</v>
      </c>
      <c r="Q444" s="3">
        <v>7.7693766986241579</v>
      </c>
      <c r="R444" s="3">
        <v>5.4175252851039568</v>
      </c>
      <c r="S444" s="3">
        <v>10.426738950877008</v>
      </c>
      <c r="T444" s="3">
        <v>22.286107889049777</v>
      </c>
      <c r="U444" s="3">
        <v>5.7599388667900726</v>
      </c>
      <c r="V444" s="318">
        <v>68.453538650613837</v>
      </c>
      <c r="W444" s="318">
        <v>95.290602393719467</v>
      </c>
      <c r="X444" s="3">
        <v>9.4393787500472417</v>
      </c>
      <c r="Y444" s="318">
        <v>104.72998114376671</v>
      </c>
    </row>
    <row r="445" spans="1:25" x14ac:dyDescent="0.2">
      <c r="A445" s="314">
        <v>2018</v>
      </c>
      <c r="B445" s="5" t="s">
        <v>466</v>
      </c>
      <c r="C445" s="5" t="s">
        <v>218</v>
      </c>
      <c r="D445" s="5" t="s">
        <v>482</v>
      </c>
      <c r="E445" s="5" t="s">
        <v>247</v>
      </c>
      <c r="F445" s="5" t="s">
        <v>221</v>
      </c>
      <c r="G445" s="5" t="s">
        <v>248</v>
      </c>
      <c r="H445" s="3">
        <v>6.2230721252308818</v>
      </c>
      <c r="I445" s="3">
        <v>0</v>
      </c>
      <c r="J445" s="318">
        <v>6.2230721252308818</v>
      </c>
      <c r="K445" s="3">
        <v>0.15009610564915368</v>
      </c>
      <c r="L445" s="3">
        <v>2.8885962643747316</v>
      </c>
      <c r="M445" s="318">
        <v>3.0386923700238855</v>
      </c>
      <c r="N445" s="3">
        <v>2.3990341370360984</v>
      </c>
      <c r="O445" s="3">
        <v>6.1560005207777868</v>
      </c>
      <c r="P445" s="3">
        <v>1.6523218451009682</v>
      </c>
      <c r="Q445" s="3">
        <v>0.30082295105545154</v>
      </c>
      <c r="R445" s="3">
        <v>3.3950494322194658</v>
      </c>
      <c r="S445" s="3">
        <v>3.9129028470345424</v>
      </c>
      <c r="T445" s="3">
        <v>6.811875901567376</v>
      </c>
      <c r="U445" s="3">
        <v>1.4289972396790442</v>
      </c>
      <c r="V445" s="318">
        <v>26.057004874470731</v>
      </c>
      <c r="W445" s="318">
        <v>35.318769369725501</v>
      </c>
      <c r="X445" s="3">
        <v>3.4986371446045097</v>
      </c>
      <c r="Y445" s="318">
        <v>38.81740651433001</v>
      </c>
    </row>
    <row r="446" spans="1:25" x14ac:dyDescent="0.2">
      <c r="A446" s="314">
        <v>2018</v>
      </c>
      <c r="B446" s="5" t="s">
        <v>466</v>
      </c>
      <c r="C446" s="5" t="s">
        <v>218</v>
      </c>
      <c r="D446" s="5" t="s">
        <v>481</v>
      </c>
      <c r="E446" s="5" t="s">
        <v>249</v>
      </c>
      <c r="F446" s="5" t="s">
        <v>221</v>
      </c>
      <c r="G446" s="5" t="s">
        <v>250</v>
      </c>
      <c r="H446" s="3">
        <v>12.408298772126907</v>
      </c>
      <c r="I446" s="3">
        <v>0</v>
      </c>
      <c r="J446" s="318">
        <v>12.408298772126907</v>
      </c>
      <c r="K446" s="3">
        <v>0.74906823240368037</v>
      </c>
      <c r="L446" s="3">
        <v>5.3578653253006037</v>
      </c>
      <c r="M446" s="318">
        <v>6.1069335577042843</v>
      </c>
      <c r="N446" s="3">
        <v>1.3711131466757478</v>
      </c>
      <c r="O446" s="3">
        <v>5.1253871638293633</v>
      </c>
      <c r="P446" s="3">
        <v>3.4456567446581414</v>
      </c>
      <c r="Q446" s="3">
        <v>1.5712118532220105</v>
      </c>
      <c r="R446" s="3">
        <v>5.5676640942600457</v>
      </c>
      <c r="S446" s="3">
        <v>9.1100940065283904</v>
      </c>
      <c r="T446" s="3">
        <v>24.182257219626859</v>
      </c>
      <c r="U446" s="3">
        <v>2.0934520478128489</v>
      </c>
      <c r="V446" s="318">
        <v>52.466836276613407</v>
      </c>
      <c r="W446" s="318">
        <v>70.982068606444599</v>
      </c>
      <c r="X446" s="3">
        <v>7.0314030261837193</v>
      </c>
      <c r="Y446" s="318">
        <v>78.013471632628324</v>
      </c>
    </row>
    <row r="447" spans="1:25" x14ac:dyDescent="0.2">
      <c r="A447" s="314">
        <v>2018</v>
      </c>
      <c r="B447" s="5" t="s">
        <v>466</v>
      </c>
      <c r="C447" s="5" t="s">
        <v>218</v>
      </c>
      <c r="D447" s="5" t="s">
        <v>482</v>
      </c>
      <c r="E447" s="5" t="s">
        <v>251</v>
      </c>
      <c r="F447" s="5" t="s">
        <v>221</v>
      </c>
      <c r="G447" s="5" t="s">
        <v>252</v>
      </c>
      <c r="H447" s="3">
        <v>15.943477315480798</v>
      </c>
      <c r="I447" s="3">
        <v>0.60047221300187203</v>
      </c>
      <c r="J447" s="318">
        <v>16.543949528482671</v>
      </c>
      <c r="K447" s="3">
        <v>5.2294099825127756</v>
      </c>
      <c r="L447" s="3">
        <v>1.9841055770763667</v>
      </c>
      <c r="M447" s="318">
        <v>7.2135155595891423</v>
      </c>
      <c r="N447" s="3">
        <v>2.7548049311186285</v>
      </c>
      <c r="O447" s="3">
        <v>6.9791348204619705</v>
      </c>
      <c r="P447" s="3">
        <v>4.2050961294682674</v>
      </c>
      <c r="Q447" s="3">
        <v>1.8553040873063631</v>
      </c>
      <c r="R447" s="3">
        <v>7.4600279432956471</v>
      </c>
      <c r="S447" s="3">
        <v>8.8886603292163926</v>
      </c>
      <c r="T447" s="3">
        <v>23.395552245063001</v>
      </c>
      <c r="U447" s="3">
        <v>2.3619616739055695</v>
      </c>
      <c r="V447" s="318">
        <v>57.900542159835837</v>
      </c>
      <c r="W447" s="318">
        <v>81.658007247907648</v>
      </c>
      <c r="X447" s="3">
        <v>8.0889493719677237</v>
      </c>
      <c r="Y447" s="318">
        <v>89.746956619875377</v>
      </c>
    </row>
    <row r="448" spans="1:25" x14ac:dyDescent="0.2">
      <c r="A448" s="314">
        <v>2018</v>
      </c>
      <c r="B448" s="5" t="s">
        <v>466</v>
      </c>
      <c r="C448" s="5" t="s">
        <v>218</v>
      </c>
      <c r="D448" s="5" t="s">
        <v>482</v>
      </c>
      <c r="E448" s="5" t="s">
        <v>253</v>
      </c>
      <c r="F448" s="5" t="s">
        <v>221</v>
      </c>
      <c r="G448" s="5" t="s">
        <v>254</v>
      </c>
      <c r="H448" s="3">
        <v>21.765398746570984</v>
      </c>
      <c r="I448" s="3">
        <v>0</v>
      </c>
      <c r="J448" s="318">
        <v>21.765398746570984</v>
      </c>
      <c r="K448" s="3">
        <v>1.7884048448840812</v>
      </c>
      <c r="L448" s="3">
        <v>15.79648197477615</v>
      </c>
      <c r="M448" s="318">
        <v>17.58488681966023</v>
      </c>
      <c r="N448" s="3">
        <v>10.69060732633845</v>
      </c>
      <c r="O448" s="3">
        <v>55.053752719406475</v>
      </c>
      <c r="P448" s="3">
        <v>7.2574807619369857</v>
      </c>
      <c r="Q448" s="3">
        <v>2.8290636976770993</v>
      </c>
      <c r="R448" s="3">
        <v>29.843848252535814</v>
      </c>
      <c r="S448" s="3">
        <v>21.576922725648924</v>
      </c>
      <c r="T448" s="3">
        <v>31.437487405070467</v>
      </c>
      <c r="U448" s="3">
        <v>5.7252181806297848</v>
      </c>
      <c r="V448" s="318">
        <v>164.414381069244</v>
      </c>
      <c r="W448" s="318">
        <v>203.76466663547521</v>
      </c>
      <c r="X448" s="3">
        <v>20.184696244255623</v>
      </c>
      <c r="Y448" s="318">
        <v>223.94936287973084</v>
      </c>
    </row>
    <row r="449" spans="1:25" x14ac:dyDescent="0.2">
      <c r="A449" s="314">
        <v>2018</v>
      </c>
      <c r="B449" s="5" t="s">
        <v>466</v>
      </c>
      <c r="C449" s="5" t="s">
        <v>218</v>
      </c>
      <c r="D449" s="5" t="s">
        <v>482</v>
      </c>
      <c r="E449" s="5" t="s">
        <v>255</v>
      </c>
      <c r="F449" s="5" t="s">
        <v>221</v>
      </c>
      <c r="G449" s="5" t="s">
        <v>256</v>
      </c>
      <c r="H449" s="3">
        <v>28.276934261271844</v>
      </c>
      <c r="I449" s="3">
        <v>0</v>
      </c>
      <c r="J449" s="318">
        <v>28.276934261271844</v>
      </c>
      <c r="K449" s="3">
        <v>5.3073744311104774</v>
      </c>
      <c r="L449" s="3">
        <v>21.694973876523623</v>
      </c>
      <c r="M449" s="318">
        <v>27.002348307634101</v>
      </c>
      <c r="N449" s="3">
        <v>16.780192283010159</v>
      </c>
      <c r="O449" s="3">
        <v>85.697976249550436</v>
      </c>
      <c r="P449" s="3">
        <v>10.864715116364486</v>
      </c>
      <c r="Q449" s="3">
        <v>8.351746274813447</v>
      </c>
      <c r="R449" s="3">
        <v>28.048865289924844</v>
      </c>
      <c r="S449" s="3">
        <v>33.92361261481814</v>
      </c>
      <c r="T449" s="3">
        <v>71.410702777677514</v>
      </c>
      <c r="U449" s="3">
        <v>8.5747587407189236</v>
      </c>
      <c r="V449" s="318">
        <v>263.65256934687795</v>
      </c>
      <c r="W449" s="318">
        <v>318.93185191578391</v>
      </c>
      <c r="X449" s="3">
        <v>31.593026700033594</v>
      </c>
      <c r="Y449" s="318">
        <v>350.5248786158175</v>
      </c>
    </row>
    <row r="450" spans="1:25" x14ac:dyDescent="0.2">
      <c r="A450" s="314">
        <v>2018</v>
      </c>
      <c r="B450" s="5" t="s">
        <v>466</v>
      </c>
      <c r="C450" s="5" t="s">
        <v>218</v>
      </c>
      <c r="D450" s="5" t="s">
        <v>482</v>
      </c>
      <c r="E450" s="5" t="s">
        <v>257</v>
      </c>
      <c r="F450" s="5" t="s">
        <v>221</v>
      </c>
      <c r="G450" s="5" t="s">
        <v>258</v>
      </c>
      <c r="H450" s="3">
        <v>18.794824565638265</v>
      </c>
      <c r="I450" s="3">
        <v>0.7224656721722198</v>
      </c>
      <c r="J450" s="318">
        <v>19.517290237810485</v>
      </c>
      <c r="K450" s="3">
        <v>1.2006997859042619</v>
      </c>
      <c r="L450" s="3">
        <v>13.685711605516154</v>
      </c>
      <c r="M450" s="318">
        <v>14.886411391420417</v>
      </c>
      <c r="N450" s="3">
        <v>7.6189601848323569</v>
      </c>
      <c r="O450" s="3">
        <v>36.223979469984705</v>
      </c>
      <c r="P450" s="3">
        <v>6.8216446362689798</v>
      </c>
      <c r="Q450" s="3">
        <v>2.953812946574367</v>
      </c>
      <c r="R450" s="3">
        <v>19.130782199358585</v>
      </c>
      <c r="S450" s="3">
        <v>19.795499847580526</v>
      </c>
      <c r="T450" s="3">
        <v>36.34967419319792</v>
      </c>
      <c r="U450" s="3">
        <v>6.3256303417863124</v>
      </c>
      <c r="V450" s="318">
        <v>135.21998381958375</v>
      </c>
      <c r="W450" s="318">
        <v>169.62368544881463</v>
      </c>
      <c r="X450" s="3">
        <v>16.802729458196485</v>
      </c>
      <c r="Y450" s="318">
        <v>186.42641490701112</v>
      </c>
    </row>
    <row r="451" spans="1:25" x14ac:dyDescent="0.2">
      <c r="A451" s="314">
        <v>2018</v>
      </c>
      <c r="B451" s="5" t="s">
        <v>466</v>
      </c>
      <c r="C451" s="5" t="s">
        <v>218</v>
      </c>
      <c r="D451" s="5" t="s">
        <v>481</v>
      </c>
      <c r="E451" s="5" t="s">
        <v>259</v>
      </c>
      <c r="F451" s="5" t="s">
        <v>221</v>
      </c>
      <c r="G451" s="5" t="s">
        <v>260</v>
      </c>
      <c r="H451" s="3">
        <v>21.526001176314196</v>
      </c>
      <c r="I451" s="3">
        <v>0</v>
      </c>
      <c r="J451" s="318">
        <v>21.526001176314196</v>
      </c>
      <c r="K451" s="3">
        <v>0.46216421148722647</v>
      </c>
      <c r="L451" s="3">
        <v>6.160524604776497</v>
      </c>
      <c r="M451" s="318">
        <v>6.6226888162637234</v>
      </c>
      <c r="N451" s="3">
        <v>2.5049865158576514</v>
      </c>
      <c r="O451" s="3">
        <v>9.1626119102613899</v>
      </c>
      <c r="P451" s="3">
        <v>2.9162884902018447</v>
      </c>
      <c r="Q451" s="3">
        <v>1.0189241946714935</v>
      </c>
      <c r="R451" s="3">
        <v>4.4938402337912464</v>
      </c>
      <c r="S451" s="3">
        <v>6.5797833633498861</v>
      </c>
      <c r="T451" s="3">
        <v>14.468083590903051</v>
      </c>
      <c r="U451" s="3">
        <v>2.5577194207648359</v>
      </c>
      <c r="V451" s="318">
        <v>43.702237719801396</v>
      </c>
      <c r="W451" s="318">
        <v>71.850927712379317</v>
      </c>
      <c r="X451" s="3">
        <v>7.1174712215285094</v>
      </c>
      <c r="Y451" s="318">
        <v>78.968398933907821</v>
      </c>
    </row>
    <row r="452" spans="1:25" x14ac:dyDescent="0.2">
      <c r="A452" s="314">
        <v>2018</v>
      </c>
      <c r="B452" s="5" t="s">
        <v>466</v>
      </c>
      <c r="C452" s="5" t="s">
        <v>261</v>
      </c>
      <c r="D452" s="5" t="s">
        <v>483</v>
      </c>
      <c r="E452" s="5" t="s">
        <v>263</v>
      </c>
      <c r="F452" s="5" t="s">
        <v>264</v>
      </c>
      <c r="G452" s="5" t="s">
        <v>265</v>
      </c>
      <c r="H452" s="3">
        <v>75.79509527481531</v>
      </c>
      <c r="I452" s="3">
        <v>2.2539430929794548</v>
      </c>
      <c r="J452" s="318">
        <v>78.049038367794765</v>
      </c>
      <c r="K452" s="3">
        <v>4.7103046302589604</v>
      </c>
      <c r="L452" s="3">
        <v>15.574548539523022</v>
      </c>
      <c r="M452" s="318">
        <v>20.284853169781982</v>
      </c>
      <c r="N452" s="3">
        <v>5.5280576941724169</v>
      </c>
      <c r="O452" s="3">
        <v>23.16228534135082</v>
      </c>
      <c r="P452" s="3">
        <v>9.4985358524062491</v>
      </c>
      <c r="Q452" s="3">
        <v>4.7185646450264409</v>
      </c>
      <c r="R452" s="3">
        <v>23.357743745774375</v>
      </c>
      <c r="S452" s="3">
        <v>19.533027788219336</v>
      </c>
      <c r="T452" s="3">
        <v>39.34458331899156</v>
      </c>
      <c r="U452" s="3">
        <v>7.6953655654399631</v>
      </c>
      <c r="V452" s="318">
        <v>132.83816395138118</v>
      </c>
      <c r="W452" s="318">
        <v>231.17205548895794</v>
      </c>
      <c r="X452" s="3">
        <v>22.899641028305989</v>
      </c>
      <c r="Y452" s="318">
        <v>254.07169651726392</v>
      </c>
    </row>
    <row r="453" spans="1:25" x14ac:dyDescent="0.2">
      <c r="A453" s="314">
        <v>2018</v>
      </c>
      <c r="B453" s="5" t="s">
        <v>466</v>
      </c>
      <c r="C453" s="5" t="s">
        <v>261</v>
      </c>
      <c r="D453" s="5" t="s">
        <v>484</v>
      </c>
      <c r="E453" s="5" t="s">
        <v>266</v>
      </c>
      <c r="F453" s="5" t="s">
        <v>264</v>
      </c>
      <c r="G453" s="5" t="s">
        <v>268</v>
      </c>
      <c r="H453" s="3">
        <v>7.6825522173319181</v>
      </c>
      <c r="I453" s="3">
        <v>0</v>
      </c>
      <c r="J453" s="318">
        <v>7.6825522173319181</v>
      </c>
      <c r="K453" s="3">
        <v>0.67795883586660755</v>
      </c>
      <c r="L453" s="3">
        <v>4.1695889248455336</v>
      </c>
      <c r="M453" s="318">
        <v>4.8475477607121409</v>
      </c>
      <c r="N453" s="3">
        <v>8.1838445630821521</v>
      </c>
      <c r="O453" s="3">
        <v>6.3563353342203905</v>
      </c>
      <c r="P453" s="3">
        <v>1.6377441826779087</v>
      </c>
      <c r="Q453" s="3">
        <v>0.79821839615342327</v>
      </c>
      <c r="R453" s="3">
        <v>5.3018803615855328</v>
      </c>
      <c r="S453" s="3">
        <v>5.1286577452055591</v>
      </c>
      <c r="T453" s="3">
        <v>11.021028519153058</v>
      </c>
      <c r="U453" s="3">
        <v>1.3765298165432358</v>
      </c>
      <c r="V453" s="318">
        <v>39.804238918621259</v>
      </c>
      <c r="W453" s="318">
        <v>52.334338896665315</v>
      </c>
      <c r="X453" s="3">
        <v>5.1841801192298149</v>
      </c>
      <c r="Y453" s="318">
        <v>57.51851901589513</v>
      </c>
    </row>
    <row r="454" spans="1:25" x14ac:dyDescent="0.2">
      <c r="A454" s="314">
        <v>2018</v>
      </c>
      <c r="B454" s="5" t="s">
        <v>466</v>
      </c>
      <c r="C454" s="5" t="s">
        <v>261</v>
      </c>
      <c r="D454" s="5" t="s">
        <v>483</v>
      </c>
      <c r="E454" s="5" t="s">
        <v>269</v>
      </c>
      <c r="F454" s="5" t="s">
        <v>264</v>
      </c>
      <c r="G454" s="5" t="s">
        <v>271</v>
      </c>
      <c r="H454" s="3">
        <v>20.738483013382741</v>
      </c>
      <c r="I454" s="3">
        <v>0</v>
      </c>
      <c r="J454" s="318">
        <v>20.738483013382741</v>
      </c>
      <c r="K454" s="3">
        <v>2.3073558502928591</v>
      </c>
      <c r="L454" s="3">
        <v>4.2099394503613059</v>
      </c>
      <c r="M454" s="318">
        <v>6.5172953006541654</v>
      </c>
      <c r="N454" s="3">
        <v>1.689568059660465</v>
      </c>
      <c r="O454" s="3">
        <v>5.9763824992592642</v>
      </c>
      <c r="P454" s="3">
        <v>3.3605959509211023</v>
      </c>
      <c r="Q454" s="3">
        <v>1.7208856831313284</v>
      </c>
      <c r="R454" s="3">
        <v>9.2975985611235998</v>
      </c>
      <c r="S454" s="3">
        <v>6.8113539785397306</v>
      </c>
      <c r="T454" s="3">
        <v>16.144799552512911</v>
      </c>
      <c r="U454" s="3">
        <v>1.7976316082808714</v>
      </c>
      <c r="V454" s="318">
        <v>46.798815893429271</v>
      </c>
      <c r="W454" s="318">
        <v>74.054594207466181</v>
      </c>
      <c r="X454" s="3">
        <v>7.3357639194796445</v>
      </c>
      <c r="Y454" s="318">
        <v>81.390358126945827</v>
      </c>
    </row>
    <row r="455" spans="1:25" x14ac:dyDescent="0.2">
      <c r="A455" s="314">
        <v>2018</v>
      </c>
      <c r="B455" s="5" t="s">
        <v>466</v>
      </c>
      <c r="C455" s="5" t="s">
        <v>261</v>
      </c>
      <c r="D455" s="5" t="s">
        <v>485</v>
      </c>
      <c r="E455" s="5" t="s">
        <v>272</v>
      </c>
      <c r="F455" s="5" t="s">
        <v>264</v>
      </c>
      <c r="G455" s="5" t="s">
        <v>273</v>
      </c>
      <c r="H455" s="3">
        <v>15.444085443479736</v>
      </c>
      <c r="I455" s="3">
        <v>0</v>
      </c>
      <c r="J455" s="318">
        <v>15.444085443479736</v>
      </c>
      <c r="K455" s="3">
        <v>3.3739399031968307</v>
      </c>
      <c r="L455" s="3">
        <v>14.827242408191136</v>
      </c>
      <c r="M455" s="318">
        <v>18.201182311387967</v>
      </c>
      <c r="N455" s="3">
        <v>47.456009113325116</v>
      </c>
      <c r="O455" s="3">
        <v>16.410565647130888</v>
      </c>
      <c r="P455" s="3">
        <v>4.3755891805820841</v>
      </c>
      <c r="Q455" s="3">
        <v>2.0065176845045136</v>
      </c>
      <c r="R455" s="3">
        <v>15.925849755758298</v>
      </c>
      <c r="S455" s="3">
        <v>10.526361983341459</v>
      </c>
      <c r="T455" s="3">
        <v>17.626102737500336</v>
      </c>
      <c r="U455" s="3">
        <v>2.9647512808497236</v>
      </c>
      <c r="V455" s="318">
        <v>117.29174738299241</v>
      </c>
      <c r="W455" s="318">
        <v>150.93701513786013</v>
      </c>
      <c r="X455" s="3">
        <v>14.951649139556496</v>
      </c>
      <c r="Y455" s="318">
        <v>165.88866427741664</v>
      </c>
    </row>
    <row r="456" spans="1:25" x14ac:dyDescent="0.2">
      <c r="A456" s="314">
        <v>2018</v>
      </c>
      <c r="B456" s="5" t="s">
        <v>466</v>
      </c>
      <c r="C456" s="5" t="s">
        <v>261</v>
      </c>
      <c r="D456" s="5" t="s">
        <v>484</v>
      </c>
      <c r="E456" s="5" t="s">
        <v>274</v>
      </c>
      <c r="F456" s="5" t="s">
        <v>264</v>
      </c>
      <c r="G456" s="5" t="s">
        <v>275</v>
      </c>
      <c r="H456" s="3">
        <v>14.360967233970872</v>
      </c>
      <c r="I456" s="3">
        <v>0</v>
      </c>
      <c r="J456" s="318">
        <v>14.360967233970872</v>
      </c>
      <c r="K456" s="3">
        <v>2.0112031898264462</v>
      </c>
      <c r="L456" s="3">
        <v>3.7667315872942169</v>
      </c>
      <c r="M456" s="318">
        <v>5.7779347771206631</v>
      </c>
      <c r="N456" s="3">
        <v>1.3451775249196849</v>
      </c>
      <c r="O456" s="3">
        <v>4.4829469059535914</v>
      </c>
      <c r="P456" s="3">
        <v>1.807651609129139</v>
      </c>
      <c r="Q456" s="3">
        <v>0.72938841636061835</v>
      </c>
      <c r="R456" s="3">
        <v>7.439765394006252</v>
      </c>
      <c r="S456" s="3">
        <v>7.9386707456164327</v>
      </c>
      <c r="T456" s="3">
        <v>9.8570649084335926</v>
      </c>
      <c r="U456" s="3">
        <v>1.6758911201376756</v>
      </c>
      <c r="V456" s="318">
        <v>35.276556624556989</v>
      </c>
      <c r="W456" s="318">
        <v>55.41545863564852</v>
      </c>
      <c r="X456" s="3">
        <v>5.4893923380626983</v>
      </c>
      <c r="Y456" s="318">
        <v>60.90485097371122</v>
      </c>
    </row>
    <row r="457" spans="1:25" x14ac:dyDescent="0.2">
      <c r="A457" s="314">
        <v>2018</v>
      </c>
      <c r="B457" s="5" t="s">
        <v>466</v>
      </c>
      <c r="C457" s="5" t="s">
        <v>261</v>
      </c>
      <c r="D457" s="5" t="s">
        <v>486</v>
      </c>
      <c r="E457" s="5" t="s">
        <v>276</v>
      </c>
      <c r="F457" s="5" t="s">
        <v>264</v>
      </c>
      <c r="G457" s="5" t="s">
        <v>277</v>
      </c>
      <c r="H457" s="3">
        <v>51.30313367009331</v>
      </c>
      <c r="I457" s="3">
        <v>0</v>
      </c>
      <c r="J457" s="318">
        <v>51.30313367009331</v>
      </c>
      <c r="K457" s="3">
        <v>27.14445472211014</v>
      </c>
      <c r="L457" s="3">
        <v>29.481216748894809</v>
      </c>
      <c r="M457" s="318">
        <v>56.625671471004949</v>
      </c>
      <c r="N457" s="3">
        <v>28.21772216973476</v>
      </c>
      <c r="O457" s="3">
        <v>157.42469371220517</v>
      </c>
      <c r="P457" s="3">
        <v>31.245784304834316</v>
      </c>
      <c r="Q457" s="3">
        <v>13.564331768234437</v>
      </c>
      <c r="R457" s="3">
        <v>97.923938931202457</v>
      </c>
      <c r="S457" s="3">
        <v>57.800126695813169</v>
      </c>
      <c r="T457" s="3">
        <v>70.986778304226902</v>
      </c>
      <c r="U457" s="3">
        <v>27.726580148293028</v>
      </c>
      <c r="V457" s="318">
        <v>484.88995603454424</v>
      </c>
      <c r="W457" s="318">
        <v>592.81876117564252</v>
      </c>
      <c r="X457" s="3">
        <v>58.723952586110514</v>
      </c>
      <c r="Y457" s="318">
        <v>651.54271376175302</v>
      </c>
    </row>
    <row r="458" spans="1:25" x14ac:dyDescent="0.2">
      <c r="A458" s="314">
        <v>2018</v>
      </c>
      <c r="B458" s="5" t="s">
        <v>466</v>
      </c>
      <c r="C458" s="5" t="s">
        <v>261</v>
      </c>
      <c r="D458" s="5" t="s">
        <v>484</v>
      </c>
      <c r="E458" s="5" t="s">
        <v>278</v>
      </c>
      <c r="F458" s="5" t="s">
        <v>264</v>
      </c>
      <c r="G458" s="5" t="s">
        <v>279</v>
      </c>
      <c r="H458" s="3">
        <v>330.42925474621796</v>
      </c>
      <c r="I458" s="3">
        <v>0</v>
      </c>
      <c r="J458" s="318">
        <v>330.42925474621796</v>
      </c>
      <c r="K458" s="3">
        <v>6.1510786764810019</v>
      </c>
      <c r="L458" s="3">
        <v>40.573377199135535</v>
      </c>
      <c r="M458" s="318">
        <v>46.724455875616535</v>
      </c>
      <c r="N458" s="3">
        <v>6.3297806633255291</v>
      </c>
      <c r="O458" s="3">
        <v>38.352102510898185</v>
      </c>
      <c r="P458" s="3">
        <v>8.1913280644576005</v>
      </c>
      <c r="Q458" s="3">
        <v>4.9779997216132479</v>
      </c>
      <c r="R458" s="3">
        <v>30.5306319556943</v>
      </c>
      <c r="S458" s="3">
        <v>21.838440346576139</v>
      </c>
      <c r="T458" s="3">
        <v>29.587138781542791</v>
      </c>
      <c r="U458" s="3">
        <v>7.4558452850878956</v>
      </c>
      <c r="V458" s="318">
        <v>147.26326732919568</v>
      </c>
      <c r="W458" s="318">
        <v>524.41697795103016</v>
      </c>
      <c r="X458" s="3">
        <v>51.948149696671557</v>
      </c>
      <c r="Y458" s="318">
        <v>576.36512764770168</v>
      </c>
    </row>
    <row r="459" spans="1:25" x14ac:dyDescent="0.2">
      <c r="A459" s="314">
        <v>2018</v>
      </c>
      <c r="B459" s="5" t="s">
        <v>466</v>
      </c>
      <c r="C459" s="5" t="s">
        <v>261</v>
      </c>
      <c r="D459" s="5" t="s">
        <v>486</v>
      </c>
      <c r="E459" s="5" t="s">
        <v>280</v>
      </c>
      <c r="F459" s="5" t="s">
        <v>264</v>
      </c>
      <c r="G459" s="5" t="s">
        <v>281</v>
      </c>
      <c r="H459" s="3">
        <v>50.356726859454689</v>
      </c>
      <c r="I459" s="3">
        <v>1.3824761597214987</v>
      </c>
      <c r="J459" s="318">
        <v>51.739203019176188</v>
      </c>
      <c r="K459" s="3">
        <v>16.627259802995088</v>
      </c>
      <c r="L459" s="3">
        <v>33.291536825618792</v>
      </c>
      <c r="M459" s="318">
        <v>49.918796628613876</v>
      </c>
      <c r="N459" s="3">
        <v>24.592244359800333</v>
      </c>
      <c r="O459" s="3">
        <v>99.0850004063293</v>
      </c>
      <c r="P459" s="3">
        <v>21.858733060206902</v>
      </c>
      <c r="Q459" s="3">
        <v>11.902810587948242</v>
      </c>
      <c r="R459" s="3">
        <v>75.065790107492376</v>
      </c>
      <c r="S459" s="3">
        <v>49.028044185533304</v>
      </c>
      <c r="T459" s="3">
        <v>57.506887970460781</v>
      </c>
      <c r="U459" s="3">
        <v>13.738248548525538</v>
      </c>
      <c r="V459" s="318">
        <v>352.77775922629672</v>
      </c>
      <c r="W459" s="318">
        <v>454.43575887408679</v>
      </c>
      <c r="X459" s="3">
        <v>45.015889687148956</v>
      </c>
      <c r="Y459" s="318">
        <v>499.45164856123574</v>
      </c>
    </row>
    <row r="460" spans="1:25" x14ac:dyDescent="0.2">
      <c r="A460" s="314">
        <v>2018</v>
      </c>
      <c r="B460" s="5" t="s">
        <v>466</v>
      </c>
      <c r="C460" s="5" t="s">
        <v>261</v>
      </c>
      <c r="D460" s="5" t="s">
        <v>486</v>
      </c>
      <c r="E460" s="5" t="s">
        <v>282</v>
      </c>
      <c r="F460" s="5" t="s">
        <v>264</v>
      </c>
      <c r="G460" s="5" t="s">
        <v>284</v>
      </c>
      <c r="H460" s="3">
        <v>18.006550820782874</v>
      </c>
      <c r="I460" s="3">
        <v>0</v>
      </c>
      <c r="J460" s="318">
        <v>18.006550820782874</v>
      </c>
      <c r="K460" s="3">
        <v>21.838071118758219</v>
      </c>
      <c r="L460" s="3">
        <v>16.483348100524967</v>
      </c>
      <c r="M460" s="318">
        <v>38.321419219283186</v>
      </c>
      <c r="N460" s="3">
        <v>11.024078937359677</v>
      </c>
      <c r="O460" s="3">
        <v>79.128391305317479</v>
      </c>
      <c r="P460" s="3">
        <v>13.647873202550489</v>
      </c>
      <c r="Q460" s="3">
        <v>11.714376167064172</v>
      </c>
      <c r="R460" s="3">
        <v>48.533900647796109</v>
      </c>
      <c r="S460" s="3">
        <v>31.940666913141836</v>
      </c>
      <c r="T460" s="3">
        <v>49.730838661840281</v>
      </c>
      <c r="U460" s="3">
        <v>9.7986977500217094</v>
      </c>
      <c r="V460" s="318">
        <v>255.51882358509172</v>
      </c>
      <c r="W460" s="318">
        <v>311.84679362515777</v>
      </c>
      <c r="X460" s="3">
        <v>30.891188879814401</v>
      </c>
      <c r="Y460" s="318">
        <v>342.73798250497219</v>
      </c>
    </row>
    <row r="461" spans="1:25" x14ac:dyDescent="0.2">
      <c r="A461" s="314">
        <v>2018</v>
      </c>
      <c r="B461" s="5" t="s">
        <v>466</v>
      </c>
      <c r="C461" s="5" t="s">
        <v>261</v>
      </c>
      <c r="D461" s="5" t="s">
        <v>484</v>
      </c>
      <c r="E461" s="5" t="s">
        <v>285</v>
      </c>
      <c r="F461" s="5" t="s">
        <v>264</v>
      </c>
      <c r="G461" s="5" t="s">
        <v>286</v>
      </c>
      <c r="H461" s="3">
        <v>12.864478266282299</v>
      </c>
      <c r="I461" s="3">
        <v>0</v>
      </c>
      <c r="J461" s="318">
        <v>12.864478266282299</v>
      </c>
      <c r="K461" s="3">
        <v>1.2488638470016833</v>
      </c>
      <c r="L461" s="3">
        <v>5.7372484887587341</v>
      </c>
      <c r="M461" s="318">
        <v>6.9861123357604171</v>
      </c>
      <c r="N461" s="3">
        <v>6.2755167274291379</v>
      </c>
      <c r="O461" s="3">
        <v>8.0739233088905245</v>
      </c>
      <c r="P461" s="3">
        <v>3.2139283642301222</v>
      </c>
      <c r="Q461" s="3">
        <v>1.797243080499737</v>
      </c>
      <c r="R461" s="3">
        <v>16.467080276395009</v>
      </c>
      <c r="S461" s="3">
        <v>9.004186920199146</v>
      </c>
      <c r="T461" s="3">
        <v>13.203899163333698</v>
      </c>
      <c r="U461" s="3">
        <v>2.6198487436585416</v>
      </c>
      <c r="V461" s="318">
        <v>60.655626584635918</v>
      </c>
      <c r="W461" s="318">
        <v>80.50621718667864</v>
      </c>
      <c r="X461" s="3">
        <v>7.9748543578176454</v>
      </c>
      <c r="Y461" s="318">
        <v>88.481071544496288</v>
      </c>
    </row>
    <row r="462" spans="1:25" x14ac:dyDescent="0.2">
      <c r="A462" s="314">
        <v>2018</v>
      </c>
      <c r="B462" s="5" t="s">
        <v>466</v>
      </c>
      <c r="C462" s="5" t="s">
        <v>261</v>
      </c>
      <c r="D462" s="5" t="s">
        <v>486</v>
      </c>
      <c r="E462" s="5" t="s">
        <v>287</v>
      </c>
      <c r="F462" s="5" t="s">
        <v>264</v>
      </c>
      <c r="G462" s="5" t="s">
        <v>288</v>
      </c>
      <c r="H462" s="3">
        <v>80.023079506339542</v>
      </c>
      <c r="I462" s="3">
        <v>0</v>
      </c>
      <c r="J462" s="318">
        <v>80.023079506339542</v>
      </c>
      <c r="K462" s="3">
        <v>549.30400935939997</v>
      </c>
      <c r="L462" s="3">
        <v>188.57453574780743</v>
      </c>
      <c r="M462" s="318">
        <v>737.8785451072074</v>
      </c>
      <c r="N462" s="3">
        <v>38.361681527168606</v>
      </c>
      <c r="O462" s="3">
        <v>162.14824501658433</v>
      </c>
      <c r="P462" s="3">
        <v>28.760165925763104</v>
      </c>
      <c r="Q462" s="3">
        <v>13.526183160537487</v>
      </c>
      <c r="R462" s="3">
        <v>104.30067205930426</v>
      </c>
      <c r="S462" s="3">
        <v>90.927972928217855</v>
      </c>
      <c r="T462" s="3">
        <v>65.696146511592332</v>
      </c>
      <c r="U462" s="3">
        <v>20.608088410360253</v>
      </c>
      <c r="V462" s="318">
        <v>524.32915553952819</v>
      </c>
      <c r="W462" s="318">
        <v>1342.2307801530753</v>
      </c>
      <c r="X462" s="3">
        <v>132.9598552802446</v>
      </c>
      <c r="Y462" s="318">
        <v>1475.19063543332</v>
      </c>
    </row>
    <row r="463" spans="1:25" x14ac:dyDescent="0.2">
      <c r="A463" s="314">
        <v>2018</v>
      </c>
      <c r="B463" s="5" t="s">
        <v>466</v>
      </c>
      <c r="C463" s="5" t="s">
        <v>261</v>
      </c>
      <c r="D463" s="5" t="s">
        <v>484</v>
      </c>
      <c r="E463" s="5" t="s">
        <v>289</v>
      </c>
      <c r="F463" s="5" t="s">
        <v>264</v>
      </c>
      <c r="G463" s="5" t="s">
        <v>290</v>
      </c>
      <c r="H463" s="3">
        <v>4.022893220743188</v>
      </c>
      <c r="I463" s="3">
        <v>0</v>
      </c>
      <c r="J463" s="318">
        <v>4.022893220743188</v>
      </c>
      <c r="K463" s="3">
        <v>7.0258093608157406</v>
      </c>
      <c r="L463" s="3">
        <v>22.090154440121758</v>
      </c>
      <c r="M463" s="318">
        <v>29.1159638009375</v>
      </c>
      <c r="N463" s="3">
        <v>13.569961195380325</v>
      </c>
      <c r="O463" s="3">
        <v>119.45210188735156</v>
      </c>
      <c r="P463" s="3">
        <v>12.779664758750684</v>
      </c>
      <c r="Q463" s="3">
        <v>4.7748514026240443</v>
      </c>
      <c r="R463" s="3">
        <v>59.568117431588092</v>
      </c>
      <c r="S463" s="3">
        <v>42.845236360089913</v>
      </c>
      <c r="T463" s="3">
        <v>39.836041605441388</v>
      </c>
      <c r="U463" s="3">
        <v>12.46819357026237</v>
      </c>
      <c r="V463" s="318">
        <v>305.29416821148834</v>
      </c>
      <c r="W463" s="318">
        <v>338.43302523316902</v>
      </c>
      <c r="X463" s="3">
        <v>33.524790760591642</v>
      </c>
      <c r="Y463" s="318">
        <v>371.95781599376068</v>
      </c>
    </row>
    <row r="464" spans="1:25" x14ac:dyDescent="0.2">
      <c r="A464" s="314">
        <v>2018</v>
      </c>
      <c r="B464" s="5" t="s">
        <v>466</v>
      </c>
      <c r="C464" s="5" t="s">
        <v>261</v>
      </c>
      <c r="D464" s="5" t="s">
        <v>486</v>
      </c>
      <c r="E464" s="5" t="s">
        <v>291</v>
      </c>
      <c r="F464" s="5" t="s">
        <v>264</v>
      </c>
      <c r="G464" s="5" t="s">
        <v>292</v>
      </c>
      <c r="H464" s="3">
        <v>54.544020061691356</v>
      </c>
      <c r="I464" s="3">
        <v>0</v>
      </c>
      <c r="J464" s="318">
        <v>54.544020061691356</v>
      </c>
      <c r="K464" s="3">
        <v>46.137414804499961</v>
      </c>
      <c r="L464" s="3">
        <v>49.010254724497777</v>
      </c>
      <c r="M464" s="318">
        <v>95.147669528997739</v>
      </c>
      <c r="N464" s="3">
        <v>40.523322012592345</v>
      </c>
      <c r="O464" s="3">
        <v>176.57133056820027</v>
      </c>
      <c r="P464" s="3">
        <v>40.424596622446799</v>
      </c>
      <c r="Q464" s="3">
        <v>43.825459963530854</v>
      </c>
      <c r="R464" s="3">
        <v>134.12581234346871</v>
      </c>
      <c r="S464" s="3">
        <v>81.763076966677048</v>
      </c>
      <c r="T464" s="3">
        <v>97.229161624448849</v>
      </c>
      <c r="U464" s="3">
        <v>29.323525536664611</v>
      </c>
      <c r="V464" s="318">
        <v>643.78628563802954</v>
      </c>
      <c r="W464" s="318">
        <v>793.47797522871861</v>
      </c>
      <c r="X464" s="3">
        <v>78.6010262277252</v>
      </c>
      <c r="Y464" s="318">
        <v>872.07900145644385</v>
      </c>
    </row>
    <row r="465" spans="1:25" x14ac:dyDescent="0.2">
      <c r="A465" s="314">
        <v>2018</v>
      </c>
      <c r="B465" s="5" t="s">
        <v>466</v>
      </c>
      <c r="C465" s="5" t="s">
        <v>261</v>
      </c>
      <c r="D465" s="5" t="s">
        <v>486</v>
      </c>
      <c r="E465" s="5" t="s">
        <v>293</v>
      </c>
      <c r="F465" s="5" t="s">
        <v>264</v>
      </c>
      <c r="G465" s="5" t="s">
        <v>295</v>
      </c>
      <c r="H465" s="3">
        <v>26.312916756373735</v>
      </c>
      <c r="I465" s="3">
        <v>0.6126178915381999</v>
      </c>
      <c r="J465" s="318">
        <v>26.925534647911935</v>
      </c>
      <c r="K465" s="3">
        <v>29.609761397131479</v>
      </c>
      <c r="L465" s="3">
        <v>11.584509165674227</v>
      </c>
      <c r="M465" s="318">
        <v>41.194270562805706</v>
      </c>
      <c r="N465" s="3">
        <v>10.538806068454935</v>
      </c>
      <c r="O465" s="3">
        <v>57.997719048692872</v>
      </c>
      <c r="P465" s="3">
        <v>11.409994666581047</v>
      </c>
      <c r="Q465" s="3">
        <v>9.4587719314486964</v>
      </c>
      <c r="R465" s="3">
        <v>28.485550625726209</v>
      </c>
      <c r="S465" s="3">
        <v>23.308234932258788</v>
      </c>
      <c r="T465" s="3">
        <v>29.47931940979743</v>
      </c>
      <c r="U465" s="3">
        <v>8.8369709542971453</v>
      </c>
      <c r="V465" s="318">
        <v>179.51536763725713</v>
      </c>
      <c r="W465" s="318">
        <v>247.63517284797479</v>
      </c>
      <c r="X465" s="3">
        <v>24.530458719185443</v>
      </c>
      <c r="Y465" s="318">
        <v>272.16563156716023</v>
      </c>
    </row>
    <row r="466" spans="1:25" x14ac:dyDescent="0.2">
      <c r="A466" s="314">
        <v>2018</v>
      </c>
      <c r="B466" s="5" t="s">
        <v>466</v>
      </c>
      <c r="C466" s="5" t="s">
        <v>261</v>
      </c>
      <c r="D466" s="5" t="s">
        <v>486</v>
      </c>
      <c r="E466" s="5" t="s">
        <v>296</v>
      </c>
      <c r="F466" s="5" t="s">
        <v>264</v>
      </c>
      <c r="G466" s="5" t="s">
        <v>297</v>
      </c>
      <c r="H466" s="3">
        <v>197.14428905260155</v>
      </c>
      <c r="I466" s="3">
        <v>0</v>
      </c>
      <c r="J466" s="318">
        <v>197.14428905260155</v>
      </c>
      <c r="K466" s="3">
        <v>218.37596580012365</v>
      </c>
      <c r="L466" s="3">
        <v>100.06341415764012</v>
      </c>
      <c r="M466" s="318">
        <v>318.43937995776378</v>
      </c>
      <c r="N466" s="3">
        <v>32.42281550535251</v>
      </c>
      <c r="O466" s="3">
        <v>148.64517667114814</v>
      </c>
      <c r="P466" s="3">
        <v>28.842647562174967</v>
      </c>
      <c r="Q466" s="3">
        <v>23.998680892569233</v>
      </c>
      <c r="R466" s="3">
        <v>91.322123083705961</v>
      </c>
      <c r="S466" s="3">
        <v>84.046470075067901</v>
      </c>
      <c r="T466" s="3">
        <v>110.9328073744114</v>
      </c>
      <c r="U466" s="3">
        <v>23.67218606462982</v>
      </c>
      <c r="V466" s="318">
        <v>543.88290722905992</v>
      </c>
      <c r="W466" s="318">
        <v>1059.4665762394252</v>
      </c>
      <c r="X466" s="3">
        <v>104.94955467716591</v>
      </c>
      <c r="Y466" s="318">
        <v>1164.4161309165911</v>
      </c>
    </row>
    <row r="467" spans="1:25" x14ac:dyDescent="0.2">
      <c r="A467" s="314">
        <v>2018</v>
      </c>
      <c r="B467" s="5" t="s">
        <v>466</v>
      </c>
      <c r="C467" s="5" t="s">
        <v>261</v>
      </c>
      <c r="D467" s="5" t="s">
        <v>483</v>
      </c>
      <c r="E467" s="5" t="s">
        <v>298</v>
      </c>
      <c r="F467" s="5" t="s">
        <v>264</v>
      </c>
      <c r="G467" s="5" t="s">
        <v>299</v>
      </c>
      <c r="H467" s="3">
        <v>17.506142088030348</v>
      </c>
      <c r="I467" s="3">
        <v>0</v>
      </c>
      <c r="J467" s="318">
        <v>17.506142088030348</v>
      </c>
      <c r="K467" s="3">
        <v>6.9062062251450653</v>
      </c>
      <c r="L467" s="3">
        <v>6.0917901673393251</v>
      </c>
      <c r="M467" s="318">
        <v>12.99799639248439</v>
      </c>
      <c r="N467" s="3">
        <v>1.8332662432460511</v>
      </c>
      <c r="O467" s="3">
        <v>11.075500013105922</v>
      </c>
      <c r="P467" s="3">
        <v>3.8241038316473306</v>
      </c>
      <c r="Q467" s="3">
        <v>1.8272947889008215</v>
      </c>
      <c r="R467" s="3">
        <v>10.395503942783325</v>
      </c>
      <c r="S467" s="3">
        <v>18.131403065140553</v>
      </c>
      <c r="T467" s="3">
        <v>19.696533727644862</v>
      </c>
      <c r="U467" s="3">
        <v>2.5270487327751421</v>
      </c>
      <c r="V467" s="318">
        <v>69.310654345244004</v>
      </c>
      <c r="W467" s="318">
        <v>99.814792825758744</v>
      </c>
      <c r="X467" s="3">
        <v>9.8875399113012019</v>
      </c>
      <c r="Y467" s="318">
        <v>109.70233273705995</v>
      </c>
    </row>
    <row r="468" spans="1:25" x14ac:dyDescent="0.2">
      <c r="A468" s="314">
        <v>2018</v>
      </c>
      <c r="B468" s="5" t="s">
        <v>466</v>
      </c>
      <c r="C468" s="5" t="s">
        <v>261</v>
      </c>
      <c r="D468" s="5" t="s">
        <v>486</v>
      </c>
      <c r="E468" s="5" t="s">
        <v>300</v>
      </c>
      <c r="F468" s="5" t="s">
        <v>264</v>
      </c>
      <c r="G468" s="5" t="s">
        <v>301</v>
      </c>
      <c r="H468" s="3">
        <v>55.790980787054089</v>
      </c>
      <c r="I468" s="3">
        <v>1.2802158144368718</v>
      </c>
      <c r="J468" s="318">
        <v>57.071196601490961</v>
      </c>
      <c r="K468" s="3">
        <v>1378.4942059121713</v>
      </c>
      <c r="L468" s="3">
        <v>450.86032770173711</v>
      </c>
      <c r="M468" s="318">
        <v>1829.3545336139084</v>
      </c>
      <c r="N468" s="3">
        <v>100.22447285972504</v>
      </c>
      <c r="O468" s="3">
        <v>486.28941883078699</v>
      </c>
      <c r="P468" s="3">
        <v>64.200712282422685</v>
      </c>
      <c r="Q468" s="3">
        <v>31.348462114317915</v>
      </c>
      <c r="R468" s="3">
        <v>247.06955228692655</v>
      </c>
      <c r="S468" s="3">
        <v>288.63342784900618</v>
      </c>
      <c r="T468" s="3">
        <v>377.19791242412583</v>
      </c>
      <c r="U468" s="3">
        <v>48.696077714112782</v>
      </c>
      <c r="V468" s="318">
        <v>1643.6600363614241</v>
      </c>
      <c r="W468" s="318">
        <v>3530.0857665768235</v>
      </c>
      <c r="X468" s="3">
        <v>349.6862831571911</v>
      </c>
      <c r="Y468" s="318">
        <v>3879.7720497340147</v>
      </c>
    </row>
    <row r="469" spans="1:25" x14ac:dyDescent="0.2">
      <c r="A469" s="314">
        <v>2018</v>
      </c>
      <c r="B469" s="5" t="s">
        <v>466</v>
      </c>
      <c r="C469" s="5" t="s">
        <v>261</v>
      </c>
      <c r="D469" s="5" t="s">
        <v>484</v>
      </c>
      <c r="E469" s="5" t="s">
        <v>302</v>
      </c>
      <c r="F469" s="5" t="s">
        <v>264</v>
      </c>
      <c r="G469" s="5" t="s">
        <v>303</v>
      </c>
      <c r="H469" s="3">
        <v>15.363123484654173</v>
      </c>
      <c r="I469" s="3">
        <v>0.36068981239302822</v>
      </c>
      <c r="J469" s="318">
        <v>15.723813297047201</v>
      </c>
      <c r="K469" s="3">
        <v>4.1318807065797731</v>
      </c>
      <c r="L469" s="3">
        <v>60.874665878722986</v>
      </c>
      <c r="M469" s="318">
        <v>65.006546585302758</v>
      </c>
      <c r="N469" s="3">
        <v>602.09246341819403</v>
      </c>
      <c r="O469" s="3">
        <v>20.014267536181165</v>
      </c>
      <c r="P469" s="3">
        <v>4.624373320037499</v>
      </c>
      <c r="Q469" s="3">
        <v>1.526316673613328</v>
      </c>
      <c r="R469" s="3">
        <v>14.712382669785779</v>
      </c>
      <c r="S469" s="3">
        <v>10.493030818415859</v>
      </c>
      <c r="T469" s="3">
        <v>20.553218761633847</v>
      </c>
      <c r="U469" s="3">
        <v>4.1410128486323075</v>
      </c>
      <c r="V469" s="318">
        <v>678.15706604649381</v>
      </c>
      <c r="W469" s="318">
        <v>758.88742592884375</v>
      </c>
      <c r="X469" s="3">
        <v>75.174525735424609</v>
      </c>
      <c r="Y469" s="318">
        <v>834.06195166426835</v>
      </c>
    </row>
    <row r="470" spans="1:25" x14ac:dyDescent="0.2">
      <c r="A470" s="314">
        <v>2018</v>
      </c>
      <c r="B470" s="5" t="s">
        <v>466</v>
      </c>
      <c r="C470" s="5" t="s">
        <v>261</v>
      </c>
      <c r="D470" s="5" t="s">
        <v>485</v>
      </c>
      <c r="E470" s="5" t="s">
        <v>304</v>
      </c>
      <c r="F470" s="5" t="s">
        <v>264</v>
      </c>
      <c r="G470" s="5" t="s">
        <v>305</v>
      </c>
      <c r="H470" s="3">
        <v>5.4823143874796729</v>
      </c>
      <c r="I470" s="3">
        <v>0</v>
      </c>
      <c r="J470" s="318">
        <v>5.4823143874796729</v>
      </c>
      <c r="K470" s="3">
        <v>5.1263987297465778E-2</v>
      </c>
      <c r="L470" s="3">
        <v>5.7045490170030924</v>
      </c>
      <c r="M470" s="318">
        <v>5.755813004300558</v>
      </c>
      <c r="N470" s="3">
        <v>1.7037016732535295</v>
      </c>
      <c r="O470" s="3">
        <v>12.160326359107943</v>
      </c>
      <c r="P470" s="3">
        <v>3.1036444293985852</v>
      </c>
      <c r="Q470" s="3">
        <v>1.2853023904385574</v>
      </c>
      <c r="R470" s="3">
        <v>9.4499672599916664</v>
      </c>
      <c r="S470" s="3">
        <v>7.3150772769767514</v>
      </c>
      <c r="T470" s="3">
        <v>16.788633034984102</v>
      </c>
      <c r="U470" s="3">
        <v>2.2880643819534958</v>
      </c>
      <c r="V470" s="318">
        <v>54.094716806104636</v>
      </c>
      <c r="W470" s="318">
        <v>65.332844197884867</v>
      </c>
      <c r="X470" s="3">
        <v>6.471797278115516</v>
      </c>
      <c r="Y470" s="318">
        <v>71.804641476000384</v>
      </c>
    </row>
    <row r="471" spans="1:25" x14ac:dyDescent="0.2">
      <c r="A471" s="314">
        <v>2018</v>
      </c>
      <c r="B471" s="5" t="s">
        <v>466</v>
      </c>
      <c r="C471" s="5" t="s">
        <v>261</v>
      </c>
      <c r="D471" s="5" t="s">
        <v>485</v>
      </c>
      <c r="E471" s="5" t="s">
        <v>306</v>
      </c>
      <c r="F471" s="5" t="s">
        <v>264</v>
      </c>
      <c r="G471" s="5" t="s">
        <v>307</v>
      </c>
      <c r="H471" s="3">
        <v>6.805042001991561</v>
      </c>
      <c r="I471" s="3">
        <v>0.45862419859052128</v>
      </c>
      <c r="J471" s="318">
        <v>7.2636662005820822</v>
      </c>
      <c r="K471" s="3">
        <v>2.8215683349553506</v>
      </c>
      <c r="L471" s="3">
        <v>8.7958790747432083</v>
      </c>
      <c r="M471" s="318">
        <v>11.61744740969856</v>
      </c>
      <c r="N471" s="3">
        <v>3.7577687017455923</v>
      </c>
      <c r="O471" s="3">
        <v>20.948421877374553</v>
      </c>
      <c r="P471" s="3">
        <v>4.819526900697392</v>
      </c>
      <c r="Q471" s="3">
        <v>2.7518910012718383</v>
      </c>
      <c r="R471" s="3">
        <v>11.368740203491383</v>
      </c>
      <c r="S471" s="3">
        <v>24.615916939741233</v>
      </c>
      <c r="T471" s="3">
        <v>24.154457152613585</v>
      </c>
      <c r="U471" s="3">
        <v>3.4823263340568422</v>
      </c>
      <c r="V471" s="318">
        <v>95.899049110992422</v>
      </c>
      <c r="W471" s="318">
        <v>114.78016272127306</v>
      </c>
      <c r="X471" s="3">
        <v>11.369992441033819</v>
      </c>
      <c r="Y471" s="318">
        <v>126.15015516230687</v>
      </c>
    </row>
    <row r="472" spans="1:25" x14ac:dyDescent="0.2">
      <c r="A472" s="314">
        <v>2018</v>
      </c>
      <c r="B472" s="5" t="s">
        <v>466</v>
      </c>
      <c r="C472" s="5" t="s">
        <v>261</v>
      </c>
      <c r="D472" s="5" t="s">
        <v>484</v>
      </c>
      <c r="E472" s="5" t="s">
        <v>308</v>
      </c>
      <c r="F472" s="5" t="s">
        <v>264</v>
      </c>
      <c r="G472" s="5" t="s">
        <v>309</v>
      </c>
      <c r="H472" s="3">
        <v>11.930711172684161</v>
      </c>
      <c r="I472" s="3">
        <v>0</v>
      </c>
      <c r="J472" s="318">
        <v>11.930711172684161</v>
      </c>
      <c r="K472" s="3">
        <v>3.6107331944910785</v>
      </c>
      <c r="L472" s="3">
        <v>15.724849938682745</v>
      </c>
      <c r="M472" s="318">
        <v>19.335583133173824</v>
      </c>
      <c r="N472" s="3">
        <v>124.97653195675163</v>
      </c>
      <c r="O472" s="3">
        <v>11.839090627470512</v>
      </c>
      <c r="P472" s="3">
        <v>2.9205604048296099</v>
      </c>
      <c r="Q472" s="3">
        <v>1.2991132709471997</v>
      </c>
      <c r="R472" s="3">
        <v>9.7845121199982987</v>
      </c>
      <c r="S472" s="3">
        <v>7.0351363191706628</v>
      </c>
      <c r="T472" s="3">
        <v>13.939777432915331</v>
      </c>
      <c r="U472" s="3">
        <v>2.5521238295134721</v>
      </c>
      <c r="V472" s="318">
        <v>174.34684596159673</v>
      </c>
      <c r="W472" s="318">
        <v>205.61314026745472</v>
      </c>
      <c r="X472" s="3">
        <v>20.36780394095835</v>
      </c>
      <c r="Y472" s="318">
        <v>225.98094420841306</v>
      </c>
    </row>
    <row r="473" spans="1:25" x14ac:dyDescent="0.2">
      <c r="A473" s="314">
        <v>2018</v>
      </c>
      <c r="B473" s="5" t="s">
        <v>466</v>
      </c>
      <c r="C473" s="5" t="s">
        <v>261</v>
      </c>
      <c r="D473" s="5" t="s">
        <v>486</v>
      </c>
      <c r="E473" s="5" t="s">
        <v>310</v>
      </c>
      <c r="F473" s="5" t="s">
        <v>264</v>
      </c>
      <c r="G473" s="5" t="s">
        <v>311</v>
      </c>
      <c r="H473" s="3">
        <v>90.443666563668486</v>
      </c>
      <c r="I473" s="3">
        <v>0</v>
      </c>
      <c r="J473" s="318">
        <v>90.443666563668486</v>
      </c>
      <c r="K473" s="3">
        <v>4.5439289789759467</v>
      </c>
      <c r="L473" s="3">
        <v>17.587613580043239</v>
      </c>
      <c r="M473" s="318">
        <v>22.131542559019188</v>
      </c>
      <c r="N473" s="3">
        <v>5.5938036651400624</v>
      </c>
      <c r="O473" s="3">
        <v>30.221400915369898</v>
      </c>
      <c r="P473" s="3">
        <v>9.1453461513228458</v>
      </c>
      <c r="Q473" s="3">
        <v>3.5234026100990845</v>
      </c>
      <c r="R473" s="3">
        <v>31.317132799600934</v>
      </c>
      <c r="S473" s="3">
        <v>20.142006155846936</v>
      </c>
      <c r="T473" s="3">
        <v>37.595181405656056</v>
      </c>
      <c r="U473" s="3">
        <v>7.3702514261268695</v>
      </c>
      <c r="V473" s="318">
        <v>144.90852512916268</v>
      </c>
      <c r="W473" s="318">
        <v>257.48373425185036</v>
      </c>
      <c r="X473" s="3">
        <v>25.50604601634798</v>
      </c>
      <c r="Y473" s="318">
        <v>282.98978026819833</v>
      </c>
    </row>
    <row r="474" spans="1:25" x14ac:dyDescent="0.2">
      <c r="A474" s="314">
        <v>2018</v>
      </c>
      <c r="B474" s="5" t="s">
        <v>466</v>
      </c>
      <c r="C474" s="5" t="s">
        <v>261</v>
      </c>
      <c r="D474" s="5" t="s">
        <v>483</v>
      </c>
      <c r="E474" s="5" t="s">
        <v>312</v>
      </c>
      <c r="F474" s="5" t="s">
        <v>264</v>
      </c>
      <c r="G474" s="5" t="s">
        <v>313</v>
      </c>
      <c r="H474" s="3">
        <v>164.66331512441621</v>
      </c>
      <c r="I474" s="3">
        <v>7.8144127445320066</v>
      </c>
      <c r="J474" s="318">
        <v>172.47772786894822</v>
      </c>
      <c r="K474" s="3">
        <v>280.60963932569729</v>
      </c>
      <c r="L474" s="3">
        <v>37.609737471644962</v>
      </c>
      <c r="M474" s="318">
        <v>318.21937679734225</v>
      </c>
      <c r="N474" s="3">
        <v>39.925435534768752</v>
      </c>
      <c r="O474" s="3">
        <v>62.53854396998458</v>
      </c>
      <c r="P474" s="3">
        <v>14.802494233721006</v>
      </c>
      <c r="Q474" s="3">
        <v>9.3973597696022058</v>
      </c>
      <c r="R474" s="3">
        <v>41.667098144926868</v>
      </c>
      <c r="S474" s="3">
        <v>56.596421994578598</v>
      </c>
      <c r="T474" s="3">
        <v>67.733316854827564</v>
      </c>
      <c r="U474" s="3">
        <v>10.576359895776021</v>
      </c>
      <c r="V474" s="318">
        <v>303.2370303981856</v>
      </c>
      <c r="W474" s="318">
        <v>793.9341350644761</v>
      </c>
      <c r="X474" s="3">
        <v>78.646212902508566</v>
      </c>
      <c r="Y474" s="318">
        <v>872.58034796698462</v>
      </c>
    </row>
    <row r="475" spans="1:25" x14ac:dyDescent="0.2">
      <c r="A475" s="314">
        <v>2018</v>
      </c>
      <c r="B475" s="5" t="s">
        <v>466</v>
      </c>
      <c r="C475" s="5" t="s">
        <v>314</v>
      </c>
      <c r="D475" s="5" t="s">
        <v>487</v>
      </c>
      <c r="E475" s="5" t="s">
        <v>316</v>
      </c>
      <c r="F475" s="5" t="s">
        <v>317</v>
      </c>
      <c r="G475" s="5" t="s">
        <v>318</v>
      </c>
      <c r="H475" s="3">
        <v>55.014566556282247</v>
      </c>
      <c r="I475" s="3">
        <v>1.9763181187941541</v>
      </c>
      <c r="J475" s="318">
        <v>56.990884675076401</v>
      </c>
      <c r="K475" s="3">
        <v>141.43528594882861</v>
      </c>
      <c r="L475" s="3">
        <v>50.414020521106835</v>
      </c>
      <c r="M475" s="318">
        <v>191.84930646993544</v>
      </c>
      <c r="N475" s="3">
        <v>22.727912750457133</v>
      </c>
      <c r="O475" s="3">
        <v>58.180363964589169</v>
      </c>
      <c r="P475" s="3">
        <v>13.19712884171577</v>
      </c>
      <c r="Q475" s="3">
        <v>7.9232537044766023</v>
      </c>
      <c r="R475" s="3">
        <v>31.237755266243614</v>
      </c>
      <c r="S475" s="3">
        <v>41.487496839590861</v>
      </c>
      <c r="T475" s="3">
        <v>55.792686976698036</v>
      </c>
      <c r="U475" s="3">
        <v>12.711914235911541</v>
      </c>
      <c r="V475" s="318">
        <v>243.25851257968273</v>
      </c>
      <c r="W475" s="318">
        <v>492.09870372469459</v>
      </c>
      <c r="X475" s="3">
        <v>48.746738190111721</v>
      </c>
      <c r="Y475" s="318">
        <v>540.84544191480632</v>
      </c>
    </row>
    <row r="476" spans="1:25" x14ac:dyDescent="0.2">
      <c r="A476" s="314">
        <v>2018</v>
      </c>
      <c r="B476" s="5" t="s">
        <v>466</v>
      </c>
      <c r="C476" s="5" t="s">
        <v>314</v>
      </c>
      <c r="D476" s="5" t="s">
        <v>488</v>
      </c>
      <c r="E476" s="5" t="s">
        <v>319</v>
      </c>
      <c r="F476" s="5" t="s">
        <v>317</v>
      </c>
      <c r="G476" s="5" t="s">
        <v>321</v>
      </c>
      <c r="H476" s="3">
        <v>133.86085992914991</v>
      </c>
      <c r="I476" s="3">
        <v>0</v>
      </c>
      <c r="J476" s="318">
        <v>133.86085992914991</v>
      </c>
      <c r="K476" s="3">
        <v>97.03015530785855</v>
      </c>
      <c r="L476" s="3">
        <v>110.93349210103467</v>
      </c>
      <c r="M476" s="318">
        <v>207.96364740889322</v>
      </c>
      <c r="N476" s="3">
        <v>13.158260524169119</v>
      </c>
      <c r="O476" s="3">
        <v>105.44403453568853</v>
      </c>
      <c r="P476" s="3">
        <v>19.798528769411593</v>
      </c>
      <c r="Q476" s="3">
        <v>22.162486039019853</v>
      </c>
      <c r="R476" s="3">
        <v>33.475403754265592</v>
      </c>
      <c r="S476" s="3">
        <v>54.27859057810393</v>
      </c>
      <c r="T476" s="3">
        <v>77.321142473751692</v>
      </c>
      <c r="U476" s="3">
        <v>12.781963811696047</v>
      </c>
      <c r="V476" s="318">
        <v>338.42041048610639</v>
      </c>
      <c r="W476" s="318">
        <v>680.24491782414952</v>
      </c>
      <c r="X476" s="3">
        <v>67.384288280668045</v>
      </c>
      <c r="Y476" s="318">
        <v>747.62920610481751</v>
      </c>
    </row>
    <row r="477" spans="1:25" x14ac:dyDescent="0.2">
      <c r="A477" s="314">
        <v>2018</v>
      </c>
      <c r="B477" s="5" t="s">
        <v>466</v>
      </c>
      <c r="C477" s="5" t="s">
        <v>314</v>
      </c>
      <c r="D477" s="5" t="s">
        <v>487</v>
      </c>
      <c r="E477" s="5" t="s">
        <v>322</v>
      </c>
      <c r="F477" s="5" t="s">
        <v>317</v>
      </c>
      <c r="G477" s="5" t="s">
        <v>323</v>
      </c>
      <c r="H477" s="3">
        <v>30.818714314400289</v>
      </c>
      <c r="I477" s="3">
        <v>1.0970978434986769</v>
      </c>
      <c r="J477" s="318">
        <v>31.915812157898966</v>
      </c>
      <c r="K477" s="3">
        <v>4.9651178474561188</v>
      </c>
      <c r="L477" s="3">
        <v>2.2931386252413288</v>
      </c>
      <c r="M477" s="318">
        <v>7.2582564726974477</v>
      </c>
      <c r="N477" s="3">
        <v>3.2762602684733118</v>
      </c>
      <c r="O477" s="3">
        <v>12.092430967313422</v>
      </c>
      <c r="P477" s="3">
        <v>2.5340033028314197</v>
      </c>
      <c r="Q477" s="3">
        <v>1.06055281090415</v>
      </c>
      <c r="R477" s="3">
        <v>5.3843829231128408</v>
      </c>
      <c r="S477" s="3">
        <v>6.2918537389002172</v>
      </c>
      <c r="T477" s="3">
        <v>9.9897081487863684</v>
      </c>
      <c r="U477" s="3">
        <v>2.3836361512200552</v>
      </c>
      <c r="V477" s="318">
        <v>43.012828311541782</v>
      </c>
      <c r="W477" s="318">
        <v>82.186896942138191</v>
      </c>
      <c r="X477" s="3">
        <v>8.1413405838546158</v>
      </c>
      <c r="Y477" s="318">
        <v>90.328237525992805</v>
      </c>
    </row>
    <row r="478" spans="1:25" x14ac:dyDescent="0.2">
      <c r="A478" s="314">
        <v>2018</v>
      </c>
      <c r="B478" s="5" t="s">
        <v>466</v>
      </c>
      <c r="C478" s="5" t="s">
        <v>314</v>
      </c>
      <c r="D478" s="5" t="s">
        <v>488</v>
      </c>
      <c r="E478" s="5" t="s">
        <v>324</v>
      </c>
      <c r="F478" s="5" t="s">
        <v>317</v>
      </c>
      <c r="G478" s="5" t="s">
        <v>325</v>
      </c>
      <c r="H478" s="3">
        <v>60.244849134086252</v>
      </c>
      <c r="I478" s="3">
        <v>0</v>
      </c>
      <c r="J478" s="318">
        <v>60.244849134086252</v>
      </c>
      <c r="K478" s="3">
        <v>9.0764418447993958</v>
      </c>
      <c r="L478" s="3">
        <v>4.0815186982427321</v>
      </c>
      <c r="M478" s="318">
        <v>13.157960543042128</v>
      </c>
      <c r="N478" s="3">
        <v>2.9677668863288993</v>
      </c>
      <c r="O478" s="3">
        <v>17.437463893353296</v>
      </c>
      <c r="P478" s="3">
        <v>4.8676070403824756</v>
      </c>
      <c r="Q478" s="3">
        <v>2.232075957229521</v>
      </c>
      <c r="R478" s="3">
        <v>8.3297639769001535</v>
      </c>
      <c r="S478" s="3">
        <v>12.244263293557442</v>
      </c>
      <c r="T478" s="3">
        <v>23.413433707122131</v>
      </c>
      <c r="U478" s="3">
        <v>3.4661633146214159</v>
      </c>
      <c r="V478" s="318">
        <v>74.958538069495319</v>
      </c>
      <c r="W478" s="318">
        <v>148.36134774662369</v>
      </c>
      <c r="X478" s="3">
        <v>14.696506455710592</v>
      </c>
      <c r="Y478" s="318">
        <v>163.05785420233428</v>
      </c>
    </row>
    <row r="479" spans="1:25" x14ac:dyDescent="0.2">
      <c r="A479" s="314">
        <v>2018</v>
      </c>
      <c r="B479" s="5" t="s">
        <v>466</v>
      </c>
      <c r="C479" s="5" t="s">
        <v>314</v>
      </c>
      <c r="D479" s="5" t="s">
        <v>489</v>
      </c>
      <c r="E479" s="5" t="s">
        <v>326</v>
      </c>
      <c r="F479" s="5" t="s">
        <v>317</v>
      </c>
      <c r="G479" s="5" t="s">
        <v>327</v>
      </c>
      <c r="H479" s="3">
        <v>96.253687639308112</v>
      </c>
      <c r="I479" s="3">
        <v>0</v>
      </c>
      <c r="J479" s="318">
        <v>96.253687639308112</v>
      </c>
      <c r="K479" s="3">
        <v>7.7359855701599809</v>
      </c>
      <c r="L479" s="3">
        <v>11.620043312636676</v>
      </c>
      <c r="M479" s="318">
        <v>19.356028882796657</v>
      </c>
      <c r="N479" s="3">
        <v>4.4510822182294696</v>
      </c>
      <c r="O479" s="3">
        <v>22.457322584116316</v>
      </c>
      <c r="P479" s="3">
        <v>7.1471809551309899</v>
      </c>
      <c r="Q479" s="3">
        <v>3.6521471425936629</v>
      </c>
      <c r="R479" s="3">
        <v>13.070031151721698</v>
      </c>
      <c r="S479" s="3">
        <v>16.869211584184928</v>
      </c>
      <c r="T479" s="3">
        <v>35.928948070919617</v>
      </c>
      <c r="U479" s="3">
        <v>4.976370204525999</v>
      </c>
      <c r="V479" s="318">
        <v>108.55229391142268</v>
      </c>
      <c r="W479" s="318">
        <v>224.16201043352746</v>
      </c>
      <c r="X479" s="3">
        <v>22.205233933892817</v>
      </c>
      <c r="Y479" s="318">
        <v>246.36724436742028</v>
      </c>
    </row>
    <row r="480" spans="1:25" x14ac:dyDescent="0.2">
      <c r="A480" s="314">
        <v>2018</v>
      </c>
      <c r="B480" s="5" t="s">
        <v>466</v>
      </c>
      <c r="C480" s="5" t="s">
        <v>314</v>
      </c>
      <c r="D480" s="5" t="s">
        <v>490</v>
      </c>
      <c r="E480" s="5" t="s">
        <v>328</v>
      </c>
      <c r="F480" s="5" t="s">
        <v>317</v>
      </c>
      <c r="G480" s="5" t="s">
        <v>330</v>
      </c>
      <c r="H480" s="3">
        <v>14.984274411363581</v>
      </c>
      <c r="I480" s="3">
        <v>0</v>
      </c>
      <c r="J480" s="318">
        <v>14.984274411363581</v>
      </c>
      <c r="K480" s="3">
        <v>2.3678512205995745</v>
      </c>
      <c r="L480" s="3">
        <v>3.5778086261541344</v>
      </c>
      <c r="M480" s="318">
        <v>5.945659846753709</v>
      </c>
      <c r="N480" s="3">
        <v>1.7957401577136998</v>
      </c>
      <c r="O480" s="3">
        <v>9.5838076296295061</v>
      </c>
      <c r="P480" s="3">
        <v>2.6195089861033161</v>
      </c>
      <c r="Q480" s="3">
        <v>1.6005263794557985</v>
      </c>
      <c r="R480" s="3">
        <v>4.5851388492194491</v>
      </c>
      <c r="S480" s="3">
        <v>7.4990298285342387</v>
      </c>
      <c r="T480" s="3">
        <v>14.398290525366038</v>
      </c>
      <c r="U480" s="3">
        <v>1.8898409560148199</v>
      </c>
      <c r="V480" s="318">
        <v>43.971883312036866</v>
      </c>
      <c r="W480" s="318">
        <v>64.901817570154151</v>
      </c>
      <c r="X480" s="3">
        <v>6.4291002703487372</v>
      </c>
      <c r="Y480" s="318">
        <v>71.330917840502892</v>
      </c>
    </row>
    <row r="481" spans="1:25" x14ac:dyDescent="0.2">
      <c r="A481" s="314">
        <v>2018</v>
      </c>
      <c r="B481" s="5" t="s">
        <v>466</v>
      </c>
      <c r="C481" s="5" t="s">
        <v>314</v>
      </c>
      <c r="D481" s="5" t="s">
        <v>488</v>
      </c>
      <c r="E481" s="5" t="s">
        <v>331</v>
      </c>
      <c r="F481" s="5" t="s">
        <v>317</v>
      </c>
      <c r="G481" s="5" t="s">
        <v>332</v>
      </c>
      <c r="H481" s="3">
        <v>91.909300395129577</v>
      </c>
      <c r="I481" s="3">
        <v>0</v>
      </c>
      <c r="J481" s="318">
        <v>91.909300395129577</v>
      </c>
      <c r="K481" s="3">
        <v>8.9980022514985141</v>
      </c>
      <c r="L481" s="3">
        <v>19.795208610854381</v>
      </c>
      <c r="M481" s="318">
        <v>28.793210862352893</v>
      </c>
      <c r="N481" s="3">
        <v>9.2145671612190334</v>
      </c>
      <c r="O481" s="3">
        <v>62.741949240121819</v>
      </c>
      <c r="P481" s="3">
        <v>11.955988378204582</v>
      </c>
      <c r="Q481" s="3">
        <v>5.5063223843086062</v>
      </c>
      <c r="R481" s="3">
        <v>26.019870907346185</v>
      </c>
      <c r="S481" s="3">
        <v>29.070939390136179</v>
      </c>
      <c r="T481" s="3">
        <v>61.596404590115242</v>
      </c>
      <c r="U481" s="3">
        <v>8.9848811190209634</v>
      </c>
      <c r="V481" s="318">
        <v>215.09092317047262</v>
      </c>
      <c r="W481" s="318">
        <v>335.79343442795505</v>
      </c>
      <c r="X481" s="3">
        <v>33.263315896023052</v>
      </c>
      <c r="Y481" s="318">
        <v>369.05675032397812</v>
      </c>
    </row>
    <row r="482" spans="1:25" x14ac:dyDescent="0.2">
      <c r="A482" s="314">
        <v>2018</v>
      </c>
      <c r="B482" s="5" t="s">
        <v>466</v>
      </c>
      <c r="C482" s="5" t="s">
        <v>314</v>
      </c>
      <c r="D482" s="5" t="s">
        <v>489</v>
      </c>
      <c r="E482" s="5" t="s">
        <v>333</v>
      </c>
      <c r="F482" s="5" t="s">
        <v>317</v>
      </c>
      <c r="G482" s="5" t="s">
        <v>334</v>
      </c>
      <c r="H482" s="3">
        <v>110.82598865164189</v>
      </c>
      <c r="I482" s="3">
        <v>0</v>
      </c>
      <c r="J482" s="318">
        <v>110.82598865164189</v>
      </c>
      <c r="K482" s="3">
        <v>9.5550358595000109</v>
      </c>
      <c r="L482" s="3">
        <v>16.276512940263899</v>
      </c>
      <c r="M482" s="318">
        <v>25.831548799763908</v>
      </c>
      <c r="N482" s="3">
        <v>9.7659256782511932</v>
      </c>
      <c r="O482" s="3">
        <v>36.983574205436291</v>
      </c>
      <c r="P482" s="3">
        <v>11.141243689203396</v>
      </c>
      <c r="Q482" s="3">
        <v>5.7380855433881992</v>
      </c>
      <c r="R482" s="3">
        <v>17.642866931707072</v>
      </c>
      <c r="S482" s="3">
        <v>22.815719937270838</v>
      </c>
      <c r="T482" s="3">
        <v>39.86048845244305</v>
      </c>
      <c r="U482" s="3">
        <v>7.2391609712843028</v>
      </c>
      <c r="V482" s="318">
        <v>151.18706540898435</v>
      </c>
      <c r="W482" s="318">
        <v>287.84460286039018</v>
      </c>
      <c r="X482" s="3">
        <v>28.513559147520247</v>
      </c>
      <c r="Y482" s="318">
        <v>316.35816200791044</v>
      </c>
    </row>
    <row r="483" spans="1:25" x14ac:dyDescent="0.2">
      <c r="A483" s="314">
        <v>2018</v>
      </c>
      <c r="B483" s="5" t="s">
        <v>466</v>
      </c>
      <c r="C483" s="5" t="s">
        <v>314</v>
      </c>
      <c r="D483" s="5" t="s">
        <v>487</v>
      </c>
      <c r="E483" s="5" t="s">
        <v>335</v>
      </c>
      <c r="F483" s="5" t="s">
        <v>317</v>
      </c>
      <c r="G483" s="5" t="s">
        <v>336</v>
      </c>
      <c r="H483" s="3">
        <v>132.20249329046729</v>
      </c>
      <c r="I483" s="3">
        <v>0</v>
      </c>
      <c r="J483" s="318">
        <v>132.20249329046729</v>
      </c>
      <c r="K483" s="3">
        <v>11.242526578944263</v>
      </c>
      <c r="L483" s="3">
        <v>21.554697300989474</v>
      </c>
      <c r="M483" s="318">
        <v>32.797223879933739</v>
      </c>
      <c r="N483" s="3">
        <v>8.8926342345233884</v>
      </c>
      <c r="O483" s="3">
        <v>47.156823866958355</v>
      </c>
      <c r="P483" s="3">
        <v>12.107993358894246</v>
      </c>
      <c r="Q483" s="3">
        <v>6.1472910106408509</v>
      </c>
      <c r="R483" s="3">
        <v>24.037183724339702</v>
      </c>
      <c r="S483" s="3">
        <v>29.828775172633343</v>
      </c>
      <c r="T483" s="3">
        <v>46.991041121742029</v>
      </c>
      <c r="U483" s="3">
        <v>10.423145291277393</v>
      </c>
      <c r="V483" s="318">
        <v>185.58488778100931</v>
      </c>
      <c r="W483" s="318">
        <v>350.58460495141037</v>
      </c>
      <c r="X483" s="3">
        <v>34.728512433983354</v>
      </c>
      <c r="Y483" s="318">
        <v>385.31311738539375</v>
      </c>
    </row>
    <row r="484" spans="1:25" x14ac:dyDescent="0.2">
      <c r="A484" s="314">
        <v>2018</v>
      </c>
      <c r="B484" s="5" t="s">
        <v>466</v>
      </c>
      <c r="C484" s="5" t="s">
        <v>314</v>
      </c>
      <c r="D484" s="5" t="s">
        <v>488</v>
      </c>
      <c r="E484" s="5" t="s">
        <v>337</v>
      </c>
      <c r="F484" s="5" t="s">
        <v>317</v>
      </c>
      <c r="G484" s="5" t="s">
        <v>338</v>
      </c>
      <c r="H484" s="3">
        <v>16.370577750905873</v>
      </c>
      <c r="I484" s="3">
        <v>0</v>
      </c>
      <c r="J484" s="318">
        <v>16.370577750905873</v>
      </c>
      <c r="K484" s="3">
        <v>2.5927027624290258</v>
      </c>
      <c r="L484" s="3">
        <v>3.4330624322992955</v>
      </c>
      <c r="M484" s="318">
        <v>6.0257651947283213</v>
      </c>
      <c r="N484" s="3">
        <v>2.4176481241908254</v>
      </c>
      <c r="O484" s="3">
        <v>11.899607676558078</v>
      </c>
      <c r="P484" s="3">
        <v>2.4070287063092892</v>
      </c>
      <c r="Q484" s="3">
        <v>1.1115662021056318</v>
      </c>
      <c r="R484" s="3">
        <v>6.0169754958611357</v>
      </c>
      <c r="S484" s="3">
        <v>6.1387728214497299</v>
      </c>
      <c r="T484" s="3">
        <v>11.059721300480094</v>
      </c>
      <c r="U484" s="3">
        <v>1.7507663484591105</v>
      </c>
      <c r="V484" s="318">
        <v>42.802086675413896</v>
      </c>
      <c r="W484" s="318">
        <v>65.198429621048092</v>
      </c>
      <c r="X484" s="3">
        <v>6.4584823229319266</v>
      </c>
      <c r="Y484" s="318">
        <v>71.65691194398002</v>
      </c>
    </row>
    <row r="485" spans="1:25" x14ac:dyDescent="0.2">
      <c r="A485" s="314">
        <v>2018</v>
      </c>
      <c r="B485" s="5" t="s">
        <v>466</v>
      </c>
      <c r="C485" s="5" t="s">
        <v>314</v>
      </c>
      <c r="D485" s="5" t="s">
        <v>488</v>
      </c>
      <c r="E485" s="5" t="s">
        <v>339</v>
      </c>
      <c r="F485" s="5" t="s">
        <v>317</v>
      </c>
      <c r="G485" s="5" t="s">
        <v>340</v>
      </c>
      <c r="H485" s="3">
        <v>53.420365009345666</v>
      </c>
      <c r="I485" s="3">
        <v>0</v>
      </c>
      <c r="J485" s="318">
        <v>53.420365009345666</v>
      </c>
      <c r="K485" s="3">
        <v>10.884681839547291</v>
      </c>
      <c r="L485" s="3">
        <v>6.9408579012093945</v>
      </c>
      <c r="M485" s="318">
        <v>17.825539740756685</v>
      </c>
      <c r="N485" s="3">
        <v>5.2558878889104896</v>
      </c>
      <c r="O485" s="3">
        <v>36.184811131573085</v>
      </c>
      <c r="P485" s="3">
        <v>7.0951036311189357</v>
      </c>
      <c r="Q485" s="3">
        <v>5.1396987068001794</v>
      </c>
      <c r="R485" s="3">
        <v>18.817340992724251</v>
      </c>
      <c r="S485" s="3">
        <v>16.376447664685852</v>
      </c>
      <c r="T485" s="3">
        <v>26.991490178851471</v>
      </c>
      <c r="U485" s="3">
        <v>5.1000596896818253</v>
      </c>
      <c r="V485" s="318">
        <v>120.9608398843461</v>
      </c>
      <c r="W485" s="318">
        <v>192.20674463444846</v>
      </c>
      <c r="X485" s="3">
        <v>19.039781629481539</v>
      </c>
      <c r="Y485" s="318">
        <v>211.24652626392998</v>
      </c>
    </row>
    <row r="486" spans="1:25" x14ac:dyDescent="0.2">
      <c r="A486" s="314">
        <v>2018</v>
      </c>
      <c r="B486" s="5" t="s">
        <v>466</v>
      </c>
      <c r="C486" s="5" t="s">
        <v>314</v>
      </c>
      <c r="D486" s="5" t="s">
        <v>490</v>
      </c>
      <c r="E486" s="5" t="s">
        <v>341</v>
      </c>
      <c r="F486" s="5" t="s">
        <v>317</v>
      </c>
      <c r="G486" s="5" t="s">
        <v>342</v>
      </c>
      <c r="H486" s="3">
        <v>63.69984594395315</v>
      </c>
      <c r="I486" s="3">
        <v>0</v>
      </c>
      <c r="J486" s="318">
        <v>63.69984594395315</v>
      </c>
      <c r="K486" s="3">
        <v>4.1915545160445156</v>
      </c>
      <c r="L486" s="3">
        <v>13.679853426698454</v>
      </c>
      <c r="M486" s="318">
        <v>17.87140794274297</v>
      </c>
      <c r="N486" s="3">
        <v>21.270568968455912</v>
      </c>
      <c r="O486" s="3">
        <v>24.825150014844237</v>
      </c>
      <c r="P486" s="3">
        <v>5.3884025488129881</v>
      </c>
      <c r="Q486" s="3">
        <v>3.1925972600981622</v>
      </c>
      <c r="R486" s="3">
        <v>12.367788427304939</v>
      </c>
      <c r="S486" s="3">
        <v>16.195404082148883</v>
      </c>
      <c r="T486" s="3">
        <v>28.530993117976902</v>
      </c>
      <c r="U486" s="3">
        <v>5.1243250768822115</v>
      </c>
      <c r="V486" s="318">
        <v>116.89522949652424</v>
      </c>
      <c r="W486" s="318">
        <v>198.46648338322035</v>
      </c>
      <c r="X486" s="3">
        <v>19.659864234079485</v>
      </c>
      <c r="Y486" s="318">
        <v>218.12634761729984</v>
      </c>
    </row>
    <row r="487" spans="1:25" x14ac:dyDescent="0.2">
      <c r="A487" s="314">
        <v>2018</v>
      </c>
      <c r="B487" s="5" t="s">
        <v>466</v>
      </c>
      <c r="C487" s="5" t="s">
        <v>314</v>
      </c>
      <c r="D487" s="5" t="s">
        <v>490</v>
      </c>
      <c r="E487" s="5" t="s">
        <v>343</v>
      </c>
      <c r="F487" s="5" t="s">
        <v>317</v>
      </c>
      <c r="G487" s="5" t="s">
        <v>344</v>
      </c>
      <c r="H487" s="3">
        <v>7.2094161866983475</v>
      </c>
      <c r="I487" s="3">
        <v>8.3522162799584017</v>
      </c>
      <c r="J487" s="318">
        <v>15.56163246665675</v>
      </c>
      <c r="K487" s="3">
        <v>22.184990333818728</v>
      </c>
      <c r="L487" s="3">
        <v>50.590796411423909</v>
      </c>
      <c r="M487" s="318">
        <v>72.775786745242641</v>
      </c>
      <c r="N487" s="3">
        <v>6.8716245358330381</v>
      </c>
      <c r="O487" s="3">
        <v>49.544335700289196</v>
      </c>
      <c r="P487" s="3">
        <v>3.8880482224020274</v>
      </c>
      <c r="Q487" s="3">
        <v>2.0407368357966513</v>
      </c>
      <c r="R487" s="3">
        <v>8.4458897078898971</v>
      </c>
      <c r="S487" s="3">
        <v>14.737730441069655</v>
      </c>
      <c r="T487" s="3">
        <v>17.876368062104763</v>
      </c>
      <c r="U487" s="3">
        <v>3.258139415386442</v>
      </c>
      <c r="V487" s="318">
        <v>106.66287292077166</v>
      </c>
      <c r="W487" s="318">
        <v>195.00029213267106</v>
      </c>
      <c r="X487" s="3">
        <v>19.316507269046902</v>
      </c>
      <c r="Y487" s="318">
        <v>214.31679940171796</v>
      </c>
    </row>
    <row r="488" spans="1:25" x14ac:dyDescent="0.2">
      <c r="A488" s="314">
        <v>2018</v>
      </c>
      <c r="B488" s="5" t="s">
        <v>466</v>
      </c>
      <c r="C488" s="5" t="s">
        <v>314</v>
      </c>
      <c r="D488" s="5" t="s">
        <v>490</v>
      </c>
      <c r="E488" s="5" t="s">
        <v>345</v>
      </c>
      <c r="F488" s="5" t="s">
        <v>317</v>
      </c>
      <c r="G488" s="5" t="s">
        <v>346</v>
      </c>
      <c r="H488" s="3">
        <v>15.70377317287428</v>
      </c>
      <c r="I488" s="3">
        <v>0</v>
      </c>
      <c r="J488" s="318">
        <v>15.70377317287428</v>
      </c>
      <c r="K488" s="3">
        <v>8.4724352972069692</v>
      </c>
      <c r="L488" s="3">
        <v>25.628090591277541</v>
      </c>
      <c r="M488" s="318">
        <v>34.100525888484512</v>
      </c>
      <c r="N488" s="3">
        <v>1.5703227219440146</v>
      </c>
      <c r="O488" s="3">
        <v>8.8054087574032582</v>
      </c>
      <c r="P488" s="3">
        <v>3.0768975876992033</v>
      </c>
      <c r="Q488" s="3">
        <v>1.3577038093668727</v>
      </c>
      <c r="R488" s="3">
        <v>7.0350098296409111</v>
      </c>
      <c r="S488" s="3">
        <v>8.3886982382641264</v>
      </c>
      <c r="T488" s="3">
        <v>16.402024237385287</v>
      </c>
      <c r="U488" s="3">
        <v>2.2857814079574839</v>
      </c>
      <c r="V488" s="318">
        <v>48.921846589661158</v>
      </c>
      <c r="W488" s="318">
        <v>98.726145651019948</v>
      </c>
      <c r="X488" s="3">
        <v>9.7796997597081869</v>
      </c>
      <c r="Y488" s="318">
        <v>108.50584541072814</v>
      </c>
    </row>
    <row r="489" spans="1:25" x14ac:dyDescent="0.2">
      <c r="A489" s="314">
        <v>2018</v>
      </c>
      <c r="B489" s="5" t="s">
        <v>466</v>
      </c>
      <c r="C489" s="5" t="s">
        <v>314</v>
      </c>
      <c r="D489" s="5" t="s">
        <v>490</v>
      </c>
      <c r="E489" s="5" t="s">
        <v>347</v>
      </c>
      <c r="F489" s="5" t="s">
        <v>317</v>
      </c>
      <c r="G489" s="5" t="s">
        <v>348</v>
      </c>
      <c r="H489" s="3">
        <v>1.1434706444399163</v>
      </c>
      <c r="I489" s="3">
        <v>0</v>
      </c>
      <c r="J489" s="318">
        <v>1.1434706444399163</v>
      </c>
      <c r="K489" s="3">
        <v>1.3542016001442956</v>
      </c>
      <c r="L489" s="3">
        <v>6.5716539498065432</v>
      </c>
      <c r="M489" s="318">
        <v>7.925855549950839</v>
      </c>
      <c r="N489" s="3">
        <v>2.4262716890540887</v>
      </c>
      <c r="O489" s="3">
        <v>9.057197394171201</v>
      </c>
      <c r="P489" s="3">
        <v>4.4497639719659299</v>
      </c>
      <c r="Q489" s="3">
        <v>1.9474392722898164</v>
      </c>
      <c r="R489" s="3">
        <v>6.7145240019749188</v>
      </c>
      <c r="S489" s="3">
        <v>9.8866636649747495</v>
      </c>
      <c r="T489" s="3">
        <v>25.016587314553529</v>
      </c>
      <c r="U489" s="3">
        <v>3.0717798042662592</v>
      </c>
      <c r="V489" s="318">
        <v>62.570227113250496</v>
      </c>
      <c r="W489" s="318">
        <v>71.639553307641251</v>
      </c>
      <c r="X489" s="3">
        <v>7.0965327132782976</v>
      </c>
      <c r="Y489" s="318">
        <v>78.736086020919544</v>
      </c>
    </row>
    <row r="490" spans="1:25" x14ac:dyDescent="0.2">
      <c r="A490" s="314">
        <v>2018</v>
      </c>
      <c r="B490" s="5" t="s">
        <v>466</v>
      </c>
      <c r="C490" s="5" t="s">
        <v>314</v>
      </c>
      <c r="D490" s="5" t="s">
        <v>489</v>
      </c>
      <c r="E490" s="5" t="s">
        <v>349</v>
      </c>
      <c r="F490" s="5" t="s">
        <v>317</v>
      </c>
      <c r="G490" s="5" t="s">
        <v>350</v>
      </c>
      <c r="H490" s="3">
        <v>82.254173767196534</v>
      </c>
      <c r="I490" s="3">
        <v>0</v>
      </c>
      <c r="J490" s="318">
        <v>82.254173767196534</v>
      </c>
      <c r="K490" s="3">
        <v>6.1340564672964435</v>
      </c>
      <c r="L490" s="3">
        <v>14.067434943711934</v>
      </c>
      <c r="M490" s="318">
        <v>20.201491411008377</v>
      </c>
      <c r="N490" s="3">
        <v>18.651139423262592</v>
      </c>
      <c r="O490" s="3">
        <v>33.1518839734333</v>
      </c>
      <c r="P490" s="3">
        <v>6.9418472073805342</v>
      </c>
      <c r="Q490" s="3">
        <v>3.8372934760940232</v>
      </c>
      <c r="R490" s="3">
        <v>11.044419451847217</v>
      </c>
      <c r="S490" s="3">
        <v>18.176514456032276</v>
      </c>
      <c r="T490" s="3">
        <v>32.492120526866515</v>
      </c>
      <c r="U490" s="3">
        <v>5.7086444665727694</v>
      </c>
      <c r="V490" s="318">
        <v>130.00386298148922</v>
      </c>
      <c r="W490" s="318">
        <v>232.45952815969414</v>
      </c>
      <c r="X490" s="3">
        <v>23.027176607514541</v>
      </c>
      <c r="Y490" s="318">
        <v>255.48670476720869</v>
      </c>
    </row>
    <row r="491" spans="1:25" x14ac:dyDescent="0.2">
      <c r="A491" s="314">
        <v>2018</v>
      </c>
      <c r="B491" s="5" t="s">
        <v>466</v>
      </c>
      <c r="C491" s="5" t="s">
        <v>314</v>
      </c>
      <c r="D491" s="5" t="s">
        <v>490</v>
      </c>
      <c r="E491" s="5" t="s">
        <v>351</v>
      </c>
      <c r="F491" s="5" t="s">
        <v>317</v>
      </c>
      <c r="G491" s="5" t="s">
        <v>352</v>
      </c>
      <c r="H491" s="3">
        <v>75.510511486380352</v>
      </c>
      <c r="I491" s="3">
        <v>0</v>
      </c>
      <c r="J491" s="318">
        <v>75.510511486380352</v>
      </c>
      <c r="K491" s="3">
        <v>10.071021792417977</v>
      </c>
      <c r="L491" s="3">
        <v>16.351113880058413</v>
      </c>
      <c r="M491" s="318">
        <v>26.42213567247639</v>
      </c>
      <c r="N491" s="3">
        <v>9.1772969605829893</v>
      </c>
      <c r="O491" s="3">
        <v>57.551781531403009</v>
      </c>
      <c r="P491" s="3">
        <v>13.000897950612979</v>
      </c>
      <c r="Q491" s="3">
        <v>7.8132820116572086</v>
      </c>
      <c r="R491" s="3">
        <v>32.095613961630903</v>
      </c>
      <c r="S491" s="3">
        <v>25.773240323928309</v>
      </c>
      <c r="T491" s="3">
        <v>38.75217178438794</v>
      </c>
      <c r="U491" s="3">
        <v>9.6107697320500254</v>
      </c>
      <c r="V491" s="318">
        <v>193.77505425625336</v>
      </c>
      <c r="W491" s="318">
        <v>295.70770141511014</v>
      </c>
      <c r="X491" s="3">
        <v>29.292468751851207</v>
      </c>
      <c r="Y491" s="318">
        <v>325.00017016696137</v>
      </c>
    </row>
    <row r="492" spans="1:25" x14ac:dyDescent="0.2">
      <c r="A492" s="314">
        <v>2018</v>
      </c>
      <c r="B492" s="5" t="s">
        <v>466</v>
      </c>
      <c r="C492" s="5" t="s">
        <v>314</v>
      </c>
      <c r="D492" s="5" t="s">
        <v>490</v>
      </c>
      <c r="E492" s="5" t="s">
        <v>353</v>
      </c>
      <c r="F492" s="5" t="s">
        <v>317</v>
      </c>
      <c r="G492" s="5" t="s">
        <v>354</v>
      </c>
      <c r="H492" s="3">
        <v>75.454537768956428</v>
      </c>
      <c r="I492" s="3">
        <v>0</v>
      </c>
      <c r="J492" s="318">
        <v>75.454537768956428</v>
      </c>
      <c r="K492" s="3">
        <v>6.9689660447029826</v>
      </c>
      <c r="L492" s="3">
        <v>25.702467537865857</v>
      </c>
      <c r="M492" s="318">
        <v>32.671433582568838</v>
      </c>
      <c r="N492" s="3">
        <v>6.3993967744479168</v>
      </c>
      <c r="O492" s="3">
        <v>28.007029590162674</v>
      </c>
      <c r="P492" s="3">
        <v>7.9917870024140232</v>
      </c>
      <c r="Q492" s="3">
        <v>4.3159772787324391</v>
      </c>
      <c r="R492" s="3">
        <v>15.631897495435917</v>
      </c>
      <c r="S492" s="3">
        <v>17.927068002271856</v>
      </c>
      <c r="T492" s="3">
        <v>33.634695643951524</v>
      </c>
      <c r="U492" s="3">
        <v>6.2275906050892891</v>
      </c>
      <c r="V492" s="318">
        <v>120.13544239250564</v>
      </c>
      <c r="W492" s="318">
        <v>228.2614137440309</v>
      </c>
      <c r="X492" s="3">
        <v>22.611316165770805</v>
      </c>
      <c r="Y492" s="318">
        <v>250.87272990980171</v>
      </c>
    </row>
    <row r="493" spans="1:25" x14ac:dyDescent="0.2">
      <c r="A493" s="314">
        <v>2018</v>
      </c>
      <c r="B493" s="5" t="s">
        <v>466</v>
      </c>
      <c r="C493" s="5" t="s">
        <v>314</v>
      </c>
      <c r="D493" s="5" t="s">
        <v>490</v>
      </c>
      <c r="E493" s="5" t="s">
        <v>355</v>
      </c>
      <c r="F493" s="5" t="s">
        <v>317</v>
      </c>
      <c r="G493" s="5" t="s">
        <v>356</v>
      </c>
      <c r="H493" s="3">
        <v>45.058915979428228</v>
      </c>
      <c r="I493" s="3">
        <v>0</v>
      </c>
      <c r="J493" s="318">
        <v>45.058915979428228</v>
      </c>
      <c r="K493" s="3">
        <v>5.6532947765499522</v>
      </c>
      <c r="L493" s="3">
        <v>4.1457076248214051</v>
      </c>
      <c r="M493" s="318">
        <v>9.7990024013713573</v>
      </c>
      <c r="N493" s="3">
        <v>3.9700698640447163</v>
      </c>
      <c r="O493" s="3">
        <v>11.542048608473216</v>
      </c>
      <c r="P493" s="3">
        <v>3.1889669136808299</v>
      </c>
      <c r="Q493" s="3">
        <v>2.006395236854968</v>
      </c>
      <c r="R493" s="3">
        <v>7.12654151492384</v>
      </c>
      <c r="S493" s="3">
        <v>9.6915259494927497</v>
      </c>
      <c r="T493" s="3">
        <v>18.38998580061547</v>
      </c>
      <c r="U493" s="3">
        <v>2.4791525761291084</v>
      </c>
      <c r="V493" s="318">
        <v>58.3946864642149</v>
      </c>
      <c r="W493" s="318">
        <v>113.25260484501447</v>
      </c>
      <c r="X493" s="3">
        <v>11.218674294286824</v>
      </c>
      <c r="Y493" s="318">
        <v>124.4712791393013</v>
      </c>
    </row>
    <row r="494" spans="1:25" x14ac:dyDescent="0.2">
      <c r="A494" s="314">
        <v>2018</v>
      </c>
      <c r="B494" s="5" t="s">
        <v>466</v>
      </c>
      <c r="C494" s="5" t="s">
        <v>314</v>
      </c>
      <c r="D494" s="5" t="s">
        <v>487</v>
      </c>
      <c r="E494" s="5" t="s">
        <v>357</v>
      </c>
      <c r="F494" s="5" t="s">
        <v>317</v>
      </c>
      <c r="G494" s="5" t="s">
        <v>358</v>
      </c>
      <c r="H494" s="3">
        <v>27.778259966403635</v>
      </c>
      <c r="I494" s="3">
        <v>1.3709188528595213</v>
      </c>
      <c r="J494" s="318">
        <v>29.149178819263156</v>
      </c>
      <c r="K494" s="3">
        <v>4.1054438746532842</v>
      </c>
      <c r="L494" s="3">
        <v>5.8868055639878918</v>
      </c>
      <c r="M494" s="318">
        <v>9.992249438641176</v>
      </c>
      <c r="N494" s="3">
        <v>4.492287010344671</v>
      </c>
      <c r="O494" s="3">
        <v>22.118655599930992</v>
      </c>
      <c r="P494" s="3">
        <v>5.0006209241657213</v>
      </c>
      <c r="Q494" s="3">
        <v>1.8917597865677849</v>
      </c>
      <c r="R494" s="3">
        <v>10.576319102122516</v>
      </c>
      <c r="S494" s="3">
        <v>12.512674959736257</v>
      </c>
      <c r="T494" s="3">
        <v>21.872586994612593</v>
      </c>
      <c r="U494" s="3">
        <v>4.247083154053918</v>
      </c>
      <c r="V494" s="318">
        <v>82.711987531534447</v>
      </c>
      <c r="W494" s="318">
        <v>121.85341578943878</v>
      </c>
      <c r="X494" s="3">
        <v>12.07066084933586</v>
      </c>
      <c r="Y494" s="318">
        <v>133.92407663877464</v>
      </c>
    </row>
    <row r="495" spans="1:25" x14ac:dyDescent="0.2">
      <c r="A495" s="314">
        <v>2018</v>
      </c>
      <c r="B495" s="5" t="s">
        <v>466</v>
      </c>
      <c r="C495" s="5" t="s">
        <v>314</v>
      </c>
      <c r="D495" s="5" t="s">
        <v>489</v>
      </c>
      <c r="E495" s="5" t="s">
        <v>359</v>
      </c>
      <c r="F495" s="5" t="s">
        <v>317</v>
      </c>
      <c r="G495" s="5" t="s">
        <v>360</v>
      </c>
      <c r="H495" s="3">
        <v>241.88466925024065</v>
      </c>
      <c r="I495" s="3">
        <v>0</v>
      </c>
      <c r="J495" s="318">
        <v>241.88466925024065</v>
      </c>
      <c r="K495" s="3">
        <v>25.942240869560251</v>
      </c>
      <c r="L495" s="3">
        <v>26.262386320765856</v>
      </c>
      <c r="M495" s="318">
        <v>52.204627190326107</v>
      </c>
      <c r="N495" s="3">
        <v>10.357347055876096</v>
      </c>
      <c r="O495" s="3">
        <v>51.042167385907661</v>
      </c>
      <c r="P495" s="3">
        <v>14.168405389000272</v>
      </c>
      <c r="Q495" s="3">
        <v>10.044830977037829</v>
      </c>
      <c r="R495" s="3">
        <v>26.100396880366137</v>
      </c>
      <c r="S495" s="3">
        <v>35.596568848568232</v>
      </c>
      <c r="T495" s="3">
        <v>69.442876253938422</v>
      </c>
      <c r="U495" s="3">
        <v>9.7180199857375218</v>
      </c>
      <c r="V495" s="318">
        <v>226.4706127764322</v>
      </c>
      <c r="W495" s="318">
        <v>520.55990921699902</v>
      </c>
      <c r="X495" s="3">
        <v>51.566072852461303</v>
      </c>
      <c r="Y495" s="318">
        <v>572.12598206946029</v>
      </c>
    </row>
    <row r="496" spans="1:25" x14ac:dyDescent="0.2">
      <c r="A496" s="314">
        <v>2018</v>
      </c>
      <c r="B496" s="5" t="s">
        <v>466</v>
      </c>
      <c r="C496" s="5" t="s">
        <v>314</v>
      </c>
      <c r="D496" s="5" t="s">
        <v>490</v>
      </c>
      <c r="E496" s="5" t="s">
        <v>361</v>
      </c>
      <c r="F496" s="5" t="s">
        <v>317</v>
      </c>
      <c r="G496" s="5" t="s">
        <v>362</v>
      </c>
      <c r="H496" s="3">
        <v>95.067406216549799</v>
      </c>
      <c r="I496" s="3">
        <v>4.3040102073310322</v>
      </c>
      <c r="J496" s="318">
        <v>99.371416423880831</v>
      </c>
      <c r="K496" s="3">
        <v>1.5712770978268977</v>
      </c>
      <c r="L496" s="3">
        <v>12.994423610098025</v>
      </c>
      <c r="M496" s="318">
        <v>14.565700707924922</v>
      </c>
      <c r="N496" s="3">
        <v>2.7030280002865847</v>
      </c>
      <c r="O496" s="3">
        <v>11.479225544833691</v>
      </c>
      <c r="P496" s="3">
        <v>3.7492117674270777</v>
      </c>
      <c r="Q496" s="3">
        <v>1.7205594409465892</v>
      </c>
      <c r="R496" s="3">
        <v>9.2809144713283835</v>
      </c>
      <c r="S496" s="3">
        <v>9.4938484588770589</v>
      </c>
      <c r="T496" s="3">
        <v>13.881549796300106</v>
      </c>
      <c r="U496" s="3">
        <v>3.2087147149146213</v>
      </c>
      <c r="V496" s="318">
        <v>55.517052194914108</v>
      </c>
      <c r="W496" s="318">
        <v>169.45416932671986</v>
      </c>
      <c r="X496" s="3">
        <v>16.785937383841866</v>
      </c>
      <c r="Y496" s="318">
        <v>186.24010671056172</v>
      </c>
    </row>
    <row r="497" spans="1:25" x14ac:dyDescent="0.2">
      <c r="A497" s="314">
        <v>2018</v>
      </c>
      <c r="B497" s="5" t="s">
        <v>466</v>
      </c>
      <c r="C497" s="5" t="s">
        <v>314</v>
      </c>
      <c r="D497" s="5" t="s">
        <v>487</v>
      </c>
      <c r="E497" s="5" t="s">
        <v>363</v>
      </c>
      <c r="F497" s="5" t="s">
        <v>317</v>
      </c>
      <c r="G497" s="5" t="s">
        <v>364</v>
      </c>
      <c r="H497" s="3">
        <v>49.420083958771109</v>
      </c>
      <c r="I497" s="3">
        <v>0</v>
      </c>
      <c r="J497" s="318">
        <v>49.420083958771109</v>
      </c>
      <c r="K497" s="3">
        <v>5.8672839266613508</v>
      </c>
      <c r="L497" s="3">
        <v>14.111383612182813</v>
      </c>
      <c r="M497" s="318">
        <v>19.978667538844164</v>
      </c>
      <c r="N497" s="3">
        <v>6.6333018986492016</v>
      </c>
      <c r="O497" s="3">
        <v>29.554006228727729</v>
      </c>
      <c r="P497" s="3">
        <v>6.1138098392106199</v>
      </c>
      <c r="Q497" s="3">
        <v>2.7524070053476128</v>
      </c>
      <c r="R497" s="3">
        <v>14.953169161904826</v>
      </c>
      <c r="S497" s="3">
        <v>17.557920161049861</v>
      </c>
      <c r="T497" s="3">
        <v>31.717562361313604</v>
      </c>
      <c r="U497" s="3">
        <v>5.4993981848100448</v>
      </c>
      <c r="V497" s="318">
        <v>114.78157484101351</v>
      </c>
      <c r="W497" s="318">
        <v>184.18032633862879</v>
      </c>
      <c r="X497" s="3">
        <v>18.244693757253497</v>
      </c>
      <c r="Y497" s="318">
        <v>202.42502009588227</v>
      </c>
    </row>
    <row r="498" spans="1:25" x14ac:dyDescent="0.2">
      <c r="A498" s="314">
        <v>2018</v>
      </c>
      <c r="B498" s="5" t="s">
        <v>466</v>
      </c>
      <c r="C498" s="5" t="s">
        <v>365</v>
      </c>
      <c r="D498" s="5" t="s">
        <v>491</v>
      </c>
      <c r="E498" s="5" t="s">
        <v>367</v>
      </c>
      <c r="F498" s="5" t="s">
        <v>368</v>
      </c>
      <c r="G498" s="5" t="s">
        <v>370</v>
      </c>
      <c r="H498" s="3">
        <v>596.68593266138896</v>
      </c>
      <c r="I498" s="3">
        <v>13.786324884019791</v>
      </c>
      <c r="J498" s="318">
        <v>610.47225754540875</v>
      </c>
      <c r="K498" s="3">
        <v>97.99658285931018</v>
      </c>
      <c r="L498" s="3">
        <v>183.52726519478495</v>
      </c>
      <c r="M498" s="318">
        <v>281.52384805409514</v>
      </c>
      <c r="N498" s="3">
        <v>81.86383540724286</v>
      </c>
      <c r="O498" s="3">
        <v>553.7801886400033</v>
      </c>
      <c r="P498" s="3">
        <v>63.516012167952333</v>
      </c>
      <c r="Q498" s="3">
        <v>73.732013158129519</v>
      </c>
      <c r="R498" s="3">
        <v>149.65366071716781</v>
      </c>
      <c r="S498" s="3">
        <v>197.54701948471921</v>
      </c>
      <c r="T498" s="3">
        <v>282.51679627491131</v>
      </c>
      <c r="U498" s="3">
        <v>50.218491049376084</v>
      </c>
      <c r="V498" s="318">
        <v>1452.8280168995025</v>
      </c>
      <c r="W498" s="318">
        <v>2344.8241224990065</v>
      </c>
      <c r="X498" s="3">
        <v>232.27561205945435</v>
      </c>
      <c r="Y498" s="318">
        <v>2577.099734558461</v>
      </c>
    </row>
    <row r="499" spans="1:25" x14ac:dyDescent="0.2">
      <c r="A499" s="314">
        <v>2018</v>
      </c>
      <c r="B499" s="5" t="s">
        <v>466</v>
      </c>
      <c r="C499" s="5" t="s">
        <v>365</v>
      </c>
      <c r="D499" s="5" t="s">
        <v>492</v>
      </c>
      <c r="E499" s="5" t="s">
        <v>371</v>
      </c>
      <c r="F499" s="5" t="s">
        <v>368</v>
      </c>
      <c r="G499" s="5" t="s">
        <v>372</v>
      </c>
      <c r="H499" s="3">
        <v>61.002231460078498</v>
      </c>
      <c r="I499" s="3">
        <v>0</v>
      </c>
      <c r="J499" s="318">
        <v>61.002231460078498</v>
      </c>
      <c r="K499" s="3">
        <v>3.0093186870056621</v>
      </c>
      <c r="L499" s="3">
        <v>21.941776504271811</v>
      </c>
      <c r="M499" s="318">
        <v>24.951095191277474</v>
      </c>
      <c r="N499" s="3">
        <v>9.3466690836533139</v>
      </c>
      <c r="O499" s="3">
        <v>51.972773112012746</v>
      </c>
      <c r="P499" s="3">
        <v>13.732753686085562</v>
      </c>
      <c r="Q499" s="3">
        <v>6.5156719124999212</v>
      </c>
      <c r="R499" s="3">
        <v>17.869416891409731</v>
      </c>
      <c r="S499" s="3">
        <v>27.942738915650725</v>
      </c>
      <c r="T499" s="3">
        <v>65.519845764081737</v>
      </c>
      <c r="U499" s="3">
        <v>7.2168869778186799</v>
      </c>
      <c r="V499" s="318">
        <v>200.11675634321242</v>
      </c>
      <c r="W499" s="318">
        <v>286.07008299456839</v>
      </c>
      <c r="X499" s="3">
        <v>28.337777226825011</v>
      </c>
      <c r="Y499" s="318">
        <v>314.40786022139343</v>
      </c>
    </row>
    <row r="500" spans="1:25" x14ac:dyDescent="0.2">
      <c r="A500" s="314">
        <v>2018</v>
      </c>
      <c r="B500" s="5" t="s">
        <v>466</v>
      </c>
      <c r="C500" s="5" t="s">
        <v>365</v>
      </c>
      <c r="D500" s="5" t="s">
        <v>491</v>
      </c>
      <c r="E500" s="5" t="s">
        <v>373</v>
      </c>
      <c r="F500" s="5" t="s">
        <v>368</v>
      </c>
      <c r="G500" s="5" t="s">
        <v>374</v>
      </c>
      <c r="H500" s="3">
        <v>589.91418686982854</v>
      </c>
      <c r="I500" s="3">
        <v>0</v>
      </c>
      <c r="J500" s="318">
        <v>589.91418686982854</v>
      </c>
      <c r="K500" s="3">
        <v>47.282360518341449</v>
      </c>
      <c r="L500" s="3">
        <v>45.008618054529222</v>
      </c>
      <c r="M500" s="318">
        <v>92.290978572870671</v>
      </c>
      <c r="N500" s="3">
        <v>26.683174363788282</v>
      </c>
      <c r="O500" s="3">
        <v>139.16323289667673</v>
      </c>
      <c r="P500" s="3">
        <v>23.638643533788773</v>
      </c>
      <c r="Q500" s="3">
        <v>15.495261442610566</v>
      </c>
      <c r="R500" s="3">
        <v>39.222847337440264</v>
      </c>
      <c r="S500" s="3">
        <v>57.677545931644431</v>
      </c>
      <c r="T500" s="3">
        <v>73.33677655411492</v>
      </c>
      <c r="U500" s="3">
        <v>15.010143354888839</v>
      </c>
      <c r="V500" s="318">
        <v>390.22762541495285</v>
      </c>
      <c r="W500" s="318">
        <v>1072.432790857652</v>
      </c>
      <c r="X500" s="3">
        <v>106.23397315770131</v>
      </c>
      <c r="Y500" s="318">
        <v>1178.6667640153532</v>
      </c>
    </row>
    <row r="501" spans="1:25" x14ac:dyDescent="0.2">
      <c r="A501" s="314">
        <v>2018</v>
      </c>
      <c r="B501" s="5" t="s">
        <v>466</v>
      </c>
      <c r="C501" s="5" t="s">
        <v>365</v>
      </c>
      <c r="D501" s="5" t="s">
        <v>491</v>
      </c>
      <c r="E501" s="5" t="s">
        <v>375</v>
      </c>
      <c r="F501" s="5" t="s">
        <v>368</v>
      </c>
      <c r="G501" s="5" t="s">
        <v>376</v>
      </c>
      <c r="H501" s="3">
        <v>327.02751024750995</v>
      </c>
      <c r="I501" s="3">
        <v>0</v>
      </c>
      <c r="J501" s="318">
        <v>327.02751024750995</v>
      </c>
      <c r="K501" s="3">
        <v>22.289304483662484</v>
      </c>
      <c r="L501" s="3">
        <v>54.57461379916105</v>
      </c>
      <c r="M501" s="318">
        <v>76.863918282823533</v>
      </c>
      <c r="N501" s="3">
        <v>30.041936393493629</v>
      </c>
      <c r="O501" s="3">
        <v>151.67521491859196</v>
      </c>
      <c r="P501" s="3">
        <v>27.852579234371891</v>
      </c>
      <c r="Q501" s="3">
        <v>23.833955656110163</v>
      </c>
      <c r="R501" s="3">
        <v>46.022401706028482</v>
      </c>
      <c r="S501" s="3">
        <v>65.202152363448405</v>
      </c>
      <c r="T501" s="3">
        <v>109.9177802942001</v>
      </c>
      <c r="U501" s="3">
        <v>21.829487103247658</v>
      </c>
      <c r="V501" s="318">
        <v>476.37550766949232</v>
      </c>
      <c r="W501" s="318">
        <v>880.26693619982575</v>
      </c>
      <c r="X501" s="3">
        <v>87.198242042821619</v>
      </c>
      <c r="Y501" s="318">
        <v>967.46517824264743</v>
      </c>
    </row>
    <row r="502" spans="1:25" x14ac:dyDescent="0.2">
      <c r="A502" s="314">
        <v>2018</v>
      </c>
      <c r="B502" s="5" t="s">
        <v>466</v>
      </c>
      <c r="C502" s="5" t="s">
        <v>365</v>
      </c>
      <c r="D502" s="5" t="s">
        <v>493</v>
      </c>
      <c r="E502" s="5" t="s">
        <v>377</v>
      </c>
      <c r="F502" s="5" t="s">
        <v>368</v>
      </c>
      <c r="G502" s="5" t="s">
        <v>378</v>
      </c>
      <c r="H502" s="3">
        <v>1.5680193631901016</v>
      </c>
      <c r="I502" s="3">
        <v>0</v>
      </c>
      <c r="J502" s="318">
        <v>1.5680193631901016</v>
      </c>
      <c r="K502" s="3">
        <v>0.31067249968949862</v>
      </c>
      <c r="L502" s="3">
        <v>2.9727538263918034</v>
      </c>
      <c r="M502" s="318">
        <v>3.2834263260813019</v>
      </c>
      <c r="N502" s="3">
        <v>0.97645497661305058</v>
      </c>
      <c r="O502" s="3">
        <v>3.1945871088397788</v>
      </c>
      <c r="P502" s="3">
        <v>2.3310940935319273</v>
      </c>
      <c r="Q502" s="3">
        <v>0.72361896092500222</v>
      </c>
      <c r="R502" s="3">
        <v>2.4450541366079377</v>
      </c>
      <c r="S502" s="3">
        <v>5.6888050043349141</v>
      </c>
      <c r="T502" s="3">
        <v>17.308234675785098</v>
      </c>
      <c r="U502" s="3">
        <v>1.2621189880334966</v>
      </c>
      <c r="V502" s="318">
        <v>33.929967944671212</v>
      </c>
      <c r="W502" s="318">
        <v>38.78141363394262</v>
      </c>
      <c r="X502" s="3">
        <v>3.8416427492031238</v>
      </c>
      <c r="Y502" s="318">
        <v>42.623056383145745</v>
      </c>
    </row>
    <row r="503" spans="1:25" x14ac:dyDescent="0.2">
      <c r="A503" s="314">
        <v>2018</v>
      </c>
      <c r="B503" s="5" t="s">
        <v>466</v>
      </c>
      <c r="C503" s="5" t="s">
        <v>365</v>
      </c>
      <c r="D503" s="5" t="s">
        <v>491</v>
      </c>
      <c r="E503" s="5" t="s">
        <v>379</v>
      </c>
      <c r="F503" s="5" t="s">
        <v>368</v>
      </c>
      <c r="G503" s="5" t="s">
        <v>380</v>
      </c>
      <c r="H503" s="3">
        <v>47.39550997023678</v>
      </c>
      <c r="I503" s="3">
        <v>30.780593241345237</v>
      </c>
      <c r="J503" s="318">
        <v>78.176103211582017</v>
      </c>
      <c r="K503" s="3">
        <v>1.5164432662875886</v>
      </c>
      <c r="L503" s="3">
        <v>15.146703476816334</v>
      </c>
      <c r="M503" s="318">
        <v>16.663146743103923</v>
      </c>
      <c r="N503" s="3">
        <v>8.2831909309530989</v>
      </c>
      <c r="O503" s="3">
        <v>28.151393665258215</v>
      </c>
      <c r="P503" s="3">
        <v>5.6405201514986709</v>
      </c>
      <c r="Q503" s="3">
        <v>3.451185372489995</v>
      </c>
      <c r="R503" s="3">
        <v>9.6300068806861017</v>
      </c>
      <c r="S503" s="3">
        <v>19.077415346742029</v>
      </c>
      <c r="T503" s="3">
        <v>43.769970329504588</v>
      </c>
      <c r="U503" s="3">
        <v>3.4442027479209916</v>
      </c>
      <c r="V503" s="318">
        <v>121.4478854250537</v>
      </c>
      <c r="W503" s="318">
        <v>216.28713537973965</v>
      </c>
      <c r="X503" s="3">
        <v>21.425157762951315</v>
      </c>
      <c r="Y503" s="318">
        <v>237.71229314269095</v>
      </c>
    </row>
    <row r="504" spans="1:25" x14ac:dyDescent="0.2">
      <c r="A504" s="314">
        <v>2018</v>
      </c>
      <c r="B504" s="5" t="s">
        <v>466</v>
      </c>
      <c r="C504" s="5" t="s">
        <v>365</v>
      </c>
      <c r="D504" s="5" t="s">
        <v>492</v>
      </c>
      <c r="E504" s="5" t="s">
        <v>381</v>
      </c>
      <c r="F504" s="5" t="s">
        <v>368</v>
      </c>
      <c r="G504" s="5" t="s">
        <v>382</v>
      </c>
      <c r="H504" s="3">
        <v>97.982623045903367</v>
      </c>
      <c r="I504" s="3">
        <v>0</v>
      </c>
      <c r="J504" s="318">
        <v>97.982623045903367</v>
      </c>
      <c r="K504" s="3">
        <v>7.0546980582817627</v>
      </c>
      <c r="L504" s="3">
        <v>34.635074912115094</v>
      </c>
      <c r="M504" s="318">
        <v>41.689772970396859</v>
      </c>
      <c r="N504" s="3">
        <v>30.008321388537066</v>
      </c>
      <c r="O504" s="3">
        <v>94.276028932402525</v>
      </c>
      <c r="P504" s="3">
        <v>18.408477065124991</v>
      </c>
      <c r="Q504" s="3">
        <v>9.5536852075446514</v>
      </c>
      <c r="R504" s="3">
        <v>28.189050802098727</v>
      </c>
      <c r="S504" s="3">
        <v>45.619070533359498</v>
      </c>
      <c r="T504" s="3">
        <v>101.78380088449582</v>
      </c>
      <c r="U504" s="3">
        <v>10.291266172264596</v>
      </c>
      <c r="V504" s="318">
        <v>338.12970098582787</v>
      </c>
      <c r="W504" s="318">
        <v>477.80209700212811</v>
      </c>
      <c r="X504" s="3">
        <v>47.330532580064371</v>
      </c>
      <c r="Y504" s="318">
        <v>525.13262958219252</v>
      </c>
    </row>
    <row r="505" spans="1:25" x14ac:dyDescent="0.2">
      <c r="A505" s="314">
        <v>2018</v>
      </c>
      <c r="B505" s="5" t="s">
        <v>466</v>
      </c>
      <c r="C505" s="5" t="s">
        <v>365</v>
      </c>
      <c r="D505" s="5" t="s">
        <v>492</v>
      </c>
      <c r="E505" s="5" t="s">
        <v>383</v>
      </c>
      <c r="F505" s="5" t="s">
        <v>368</v>
      </c>
      <c r="G505" s="5" t="s">
        <v>384</v>
      </c>
      <c r="H505" s="3">
        <v>51.45046572708555</v>
      </c>
      <c r="I505" s="3">
        <v>0</v>
      </c>
      <c r="J505" s="318">
        <v>51.45046572708555</v>
      </c>
      <c r="K505" s="3">
        <v>3.161571598534842</v>
      </c>
      <c r="L505" s="3">
        <v>14.245574123253817</v>
      </c>
      <c r="M505" s="318">
        <v>17.407145721788659</v>
      </c>
      <c r="N505" s="3">
        <v>10.448850056137697</v>
      </c>
      <c r="O505" s="3">
        <v>30.627960402537628</v>
      </c>
      <c r="P505" s="3">
        <v>9.3038585820336763</v>
      </c>
      <c r="Q505" s="3">
        <v>3.9245408725770821</v>
      </c>
      <c r="R505" s="3">
        <v>7.19962417693334</v>
      </c>
      <c r="S505" s="3">
        <v>18.828437925492914</v>
      </c>
      <c r="T505" s="3">
        <v>48.879571162467691</v>
      </c>
      <c r="U505" s="3">
        <v>4.5365549283276652</v>
      </c>
      <c r="V505" s="318">
        <v>133.7493981065077</v>
      </c>
      <c r="W505" s="318">
        <v>202.60700955538189</v>
      </c>
      <c r="X505" s="3">
        <v>20.070020049886271</v>
      </c>
      <c r="Y505" s="318">
        <v>222.67702960526816</v>
      </c>
    </row>
    <row r="506" spans="1:25" x14ac:dyDescent="0.2">
      <c r="A506" s="314">
        <v>2018</v>
      </c>
      <c r="B506" s="5" t="s">
        <v>466</v>
      </c>
      <c r="C506" s="5" t="s">
        <v>365</v>
      </c>
      <c r="D506" s="5" t="s">
        <v>492</v>
      </c>
      <c r="E506" s="5" t="s">
        <v>385</v>
      </c>
      <c r="F506" s="5" t="s">
        <v>368</v>
      </c>
      <c r="G506" s="5" t="s">
        <v>386</v>
      </c>
      <c r="H506" s="3">
        <v>45.474906412846245</v>
      </c>
      <c r="I506" s="3">
        <v>0</v>
      </c>
      <c r="J506" s="318">
        <v>45.474906412846245</v>
      </c>
      <c r="K506" s="3">
        <v>2.9364420493346888</v>
      </c>
      <c r="L506" s="3">
        <v>19.850199190847505</v>
      </c>
      <c r="M506" s="318">
        <v>22.786641240182192</v>
      </c>
      <c r="N506" s="3">
        <v>10.231849660500188</v>
      </c>
      <c r="O506" s="3">
        <v>52.603672651339672</v>
      </c>
      <c r="P506" s="3">
        <v>12.070506055910613</v>
      </c>
      <c r="Q506" s="3">
        <v>5.2625337708422029</v>
      </c>
      <c r="R506" s="3">
        <v>12.648646935414119</v>
      </c>
      <c r="S506" s="3">
        <v>28.525603535884134</v>
      </c>
      <c r="T506" s="3">
        <v>70.368633410635468</v>
      </c>
      <c r="U506" s="3">
        <v>5.3688665116684255</v>
      </c>
      <c r="V506" s="318">
        <v>197.08031253219482</v>
      </c>
      <c r="W506" s="318">
        <v>265.34186018522325</v>
      </c>
      <c r="X506" s="3">
        <v>26.284463038461002</v>
      </c>
      <c r="Y506" s="318">
        <v>291.62632322368427</v>
      </c>
    </row>
    <row r="507" spans="1:25" x14ac:dyDescent="0.2">
      <c r="A507" s="314">
        <v>2018</v>
      </c>
      <c r="B507" s="5" t="s">
        <v>466</v>
      </c>
      <c r="C507" s="5" t="s">
        <v>365</v>
      </c>
      <c r="D507" s="5" t="s">
        <v>491</v>
      </c>
      <c r="E507" s="5" t="s">
        <v>387</v>
      </c>
      <c r="F507" s="5" t="s">
        <v>368</v>
      </c>
      <c r="G507" s="5" t="s">
        <v>494</v>
      </c>
      <c r="H507" s="3">
        <v>730.23496961548506</v>
      </c>
      <c r="I507" s="3">
        <v>16.945678799718848</v>
      </c>
      <c r="J507" s="318">
        <v>747.1806484152039</v>
      </c>
      <c r="K507" s="3">
        <v>25.98982878810482</v>
      </c>
      <c r="L507" s="3">
        <v>167.65041149031856</v>
      </c>
      <c r="M507" s="318">
        <v>193.64024027842339</v>
      </c>
      <c r="N507" s="3">
        <v>62.841348467565069</v>
      </c>
      <c r="O507" s="3">
        <v>361.85797642871881</v>
      </c>
      <c r="P507" s="3">
        <v>63.95167162078468</v>
      </c>
      <c r="Q507" s="3">
        <v>38.909724478556065</v>
      </c>
      <c r="R507" s="3">
        <v>92.803124410346825</v>
      </c>
      <c r="S507" s="3">
        <v>188.92905870334502</v>
      </c>
      <c r="T507" s="3">
        <v>441.35723844195519</v>
      </c>
      <c r="U507" s="3">
        <v>36.217464304332033</v>
      </c>
      <c r="V507" s="318">
        <v>1286.8676068556038</v>
      </c>
      <c r="W507" s="318">
        <v>2227.688495549231</v>
      </c>
      <c r="X507" s="3">
        <v>220.6722900095557</v>
      </c>
      <c r="Y507" s="318">
        <v>2448.3607855587866</v>
      </c>
    </row>
    <row r="508" spans="1:25" x14ac:dyDescent="0.2">
      <c r="A508" s="312">
        <v>2018</v>
      </c>
      <c r="B508" s="309" t="s">
        <v>466</v>
      </c>
      <c r="C508" s="315" t="s">
        <v>365</v>
      </c>
      <c r="D508" s="315" t="s">
        <v>493</v>
      </c>
      <c r="E508" s="309" t="s">
        <v>389</v>
      </c>
      <c r="F508" s="315" t="s">
        <v>368</v>
      </c>
      <c r="G508" s="309" t="s">
        <v>390</v>
      </c>
      <c r="H508" s="313">
        <v>8.0363547633758987</v>
      </c>
      <c r="I508" s="313">
        <v>0.18989859638246109</v>
      </c>
      <c r="J508" s="318">
        <v>8.2262533597583598</v>
      </c>
      <c r="K508" s="313">
        <v>0.68431723072087691</v>
      </c>
      <c r="L508" s="313">
        <v>5.177732649866158</v>
      </c>
      <c r="M508" s="318">
        <v>5.8620498805870351</v>
      </c>
      <c r="N508" s="313">
        <v>2.7257727836834587</v>
      </c>
      <c r="O508" s="313">
        <v>7.0239131826461607</v>
      </c>
      <c r="P508" s="313">
        <v>3.1091785061414905</v>
      </c>
      <c r="Q508" s="313">
        <v>0.97358191162352958</v>
      </c>
      <c r="R508" s="313">
        <v>4.046348685384598</v>
      </c>
      <c r="S508" s="313">
        <v>9.1248565188886577</v>
      </c>
      <c r="T508" s="313">
        <v>25.941997050171874</v>
      </c>
      <c r="U508" s="313">
        <v>2.2140698415714346</v>
      </c>
      <c r="V508" s="318">
        <v>55.159718480111202</v>
      </c>
      <c r="W508" s="318">
        <v>69.248021720456592</v>
      </c>
      <c r="X508" s="313">
        <v>6.85963031286252</v>
      </c>
      <c r="Y508" s="318">
        <v>76.107652033319113</v>
      </c>
    </row>
    <row r="509" spans="1:25" x14ac:dyDescent="0.2">
      <c r="A509" s="314">
        <v>2019</v>
      </c>
      <c r="B509" s="5" t="s">
        <v>466</v>
      </c>
      <c r="C509" s="5"/>
      <c r="D509" s="5"/>
      <c r="E509" s="5"/>
      <c r="F509" s="5"/>
      <c r="G509" s="5" t="s">
        <v>467</v>
      </c>
      <c r="H509" s="3">
        <v>8918.46413279222</v>
      </c>
      <c r="I509" s="3">
        <v>3175.2932223956418</v>
      </c>
      <c r="J509" s="318">
        <v>12093.757355187861</v>
      </c>
      <c r="K509" s="3">
        <v>22127.442830199001</v>
      </c>
      <c r="L509" s="3">
        <v>11048.784309695007</v>
      </c>
      <c r="M509" s="318">
        <v>33176.227139894007</v>
      </c>
      <c r="N509" s="3">
        <v>7053.783627599074</v>
      </c>
      <c r="O509" s="3">
        <v>26342.510799766529</v>
      </c>
      <c r="P509" s="3">
        <v>4286.9798798570373</v>
      </c>
      <c r="Q509" s="3">
        <v>7515.7040420033309</v>
      </c>
      <c r="R509" s="3">
        <v>13376.223965884999</v>
      </c>
      <c r="S509" s="3">
        <v>13715.3509846257</v>
      </c>
      <c r="T509" s="3">
        <v>18056.6633283802</v>
      </c>
      <c r="U509" s="3">
        <v>3848.0158314909354</v>
      </c>
      <c r="V509" s="318">
        <v>94195.232459607811</v>
      </c>
      <c r="W509" s="318">
        <v>139465.21695468968</v>
      </c>
      <c r="X509" s="3">
        <v>14094.231983888652</v>
      </c>
      <c r="Y509" s="318">
        <v>153559.44893857837</v>
      </c>
    </row>
    <row r="510" spans="1:25" x14ac:dyDescent="0.2">
      <c r="A510" s="314">
        <v>2019</v>
      </c>
      <c r="B510" s="5" t="s">
        <v>466</v>
      </c>
      <c r="C510" s="5" t="s">
        <v>90</v>
      </c>
      <c r="D510" s="5" t="s">
        <v>468</v>
      </c>
      <c r="E510" s="5" t="s">
        <v>93</v>
      </c>
      <c r="F510" s="5" t="s">
        <v>94</v>
      </c>
      <c r="G510" s="5" t="s">
        <v>469</v>
      </c>
      <c r="H510" s="3">
        <v>156.61361844364188</v>
      </c>
      <c r="I510" s="3">
        <v>2.2789547562339862</v>
      </c>
      <c r="J510" s="318">
        <v>158.89257319987587</v>
      </c>
      <c r="K510" s="3">
        <v>7876.9209251015609</v>
      </c>
      <c r="L510" s="3">
        <v>5138.961785280776</v>
      </c>
      <c r="M510" s="318">
        <v>13015.882710382337</v>
      </c>
      <c r="N510" s="3">
        <v>2380.4576184851749</v>
      </c>
      <c r="O510" s="3">
        <v>12722.867450373189</v>
      </c>
      <c r="P510" s="3">
        <v>1962.1236325474997</v>
      </c>
      <c r="Q510" s="3">
        <v>5558.0038760728248</v>
      </c>
      <c r="R510" s="3">
        <v>6770.7309203497098</v>
      </c>
      <c r="S510" s="3">
        <v>6471.2998806885953</v>
      </c>
      <c r="T510" s="3">
        <v>8627.5187725156557</v>
      </c>
      <c r="U510" s="3">
        <v>1767.1887756736362</v>
      </c>
      <c r="V510" s="318">
        <v>46260.190926706287</v>
      </c>
      <c r="W510" s="318">
        <v>59434.966210288498</v>
      </c>
      <c r="X510" s="3">
        <v>6006.4453346424216</v>
      </c>
      <c r="Y510" s="318">
        <v>65441.411544930917</v>
      </c>
    </row>
    <row r="511" spans="1:25" x14ac:dyDescent="0.2">
      <c r="A511" s="314">
        <v>2019</v>
      </c>
      <c r="B511" s="5" t="s">
        <v>466</v>
      </c>
      <c r="C511" s="5" t="s">
        <v>90</v>
      </c>
      <c r="D511" s="5" t="s">
        <v>470</v>
      </c>
      <c r="E511" s="5" t="s">
        <v>98</v>
      </c>
      <c r="F511" s="5" t="s">
        <v>94</v>
      </c>
      <c r="G511" s="5" t="s">
        <v>99</v>
      </c>
      <c r="H511" s="3">
        <v>94.782431807993049</v>
      </c>
      <c r="I511" s="3">
        <v>3.3560322994729574</v>
      </c>
      <c r="J511" s="318">
        <v>98.138464107466007</v>
      </c>
      <c r="K511" s="3">
        <v>368.83379100838238</v>
      </c>
      <c r="L511" s="3">
        <v>93.970492015508569</v>
      </c>
      <c r="M511" s="318">
        <v>462.80428302389095</v>
      </c>
      <c r="N511" s="3">
        <v>140.46508683436869</v>
      </c>
      <c r="O511" s="3">
        <v>101.78784380199336</v>
      </c>
      <c r="P511" s="3">
        <v>16.388756452389579</v>
      </c>
      <c r="Q511" s="3">
        <v>10.183371460145391</v>
      </c>
      <c r="R511" s="3">
        <v>56.385601283083126</v>
      </c>
      <c r="S511" s="3">
        <v>63.177791177376314</v>
      </c>
      <c r="T511" s="3">
        <v>58.464028411625186</v>
      </c>
      <c r="U511" s="3">
        <v>20.200567242734973</v>
      </c>
      <c r="V511" s="318">
        <v>467.05304666371666</v>
      </c>
      <c r="W511" s="318">
        <v>1027.9957937950735</v>
      </c>
      <c r="X511" s="3">
        <v>103.88834945789196</v>
      </c>
      <c r="Y511" s="318">
        <v>1131.8841432529655</v>
      </c>
    </row>
    <row r="512" spans="1:25" x14ac:dyDescent="0.2">
      <c r="A512" s="314">
        <v>2019</v>
      </c>
      <c r="B512" s="5" t="s">
        <v>466</v>
      </c>
      <c r="C512" s="5" t="s">
        <v>90</v>
      </c>
      <c r="D512" s="5" t="s">
        <v>470</v>
      </c>
      <c r="E512" s="5" t="s">
        <v>101</v>
      </c>
      <c r="F512" s="5" t="s">
        <v>94</v>
      </c>
      <c r="G512" s="5" t="s">
        <v>102</v>
      </c>
      <c r="H512" s="3">
        <v>32.765663989137231</v>
      </c>
      <c r="I512" s="3">
        <v>1.0753017361886776</v>
      </c>
      <c r="J512" s="318">
        <v>33.840965725325908</v>
      </c>
      <c r="K512" s="3">
        <v>680.90773908715425</v>
      </c>
      <c r="L512" s="3">
        <v>528.90776412727416</v>
      </c>
      <c r="M512" s="318">
        <v>1209.8155032144284</v>
      </c>
      <c r="N512" s="3">
        <v>275.13426879636773</v>
      </c>
      <c r="O512" s="3">
        <v>1651.8668630193963</v>
      </c>
      <c r="P512" s="3">
        <v>304.79771025392512</v>
      </c>
      <c r="Q512" s="3">
        <v>212.36819691569673</v>
      </c>
      <c r="R512" s="3">
        <v>752.29485147722846</v>
      </c>
      <c r="S512" s="3">
        <v>645.00039056366393</v>
      </c>
      <c r="T512" s="3">
        <v>833.96157470449555</v>
      </c>
      <c r="U512" s="3">
        <v>292.89695797314221</v>
      </c>
      <c r="V512" s="318">
        <v>4968.3208137039164</v>
      </c>
      <c r="W512" s="318">
        <v>6211.9772826436711</v>
      </c>
      <c r="X512" s="3">
        <v>627.77695264813508</v>
      </c>
      <c r="Y512" s="318">
        <v>6839.7542352918063</v>
      </c>
    </row>
    <row r="513" spans="1:25" x14ac:dyDescent="0.2">
      <c r="A513" s="314">
        <v>2019</v>
      </c>
      <c r="B513" s="5" t="s">
        <v>466</v>
      </c>
      <c r="C513" s="5" t="s">
        <v>90</v>
      </c>
      <c r="D513" s="5" t="s">
        <v>471</v>
      </c>
      <c r="E513" s="5" t="s">
        <v>104</v>
      </c>
      <c r="F513" s="5" t="s">
        <v>94</v>
      </c>
      <c r="G513" s="5" t="s">
        <v>105</v>
      </c>
      <c r="H513" s="3">
        <v>65.221423463330851</v>
      </c>
      <c r="I513" s="3">
        <v>0</v>
      </c>
      <c r="J513" s="318">
        <v>65.221423463330851</v>
      </c>
      <c r="K513" s="3">
        <v>262.55302622820454</v>
      </c>
      <c r="L513" s="3">
        <v>76.471002798056588</v>
      </c>
      <c r="M513" s="318">
        <v>339.02402902626113</v>
      </c>
      <c r="N513" s="3">
        <v>40.617618909713215</v>
      </c>
      <c r="O513" s="3">
        <v>244.29051667008233</v>
      </c>
      <c r="P513" s="3">
        <v>48.97591046085514</v>
      </c>
      <c r="Q513" s="3">
        <v>37.27905220755121</v>
      </c>
      <c r="R513" s="3">
        <v>127.80908726471348</v>
      </c>
      <c r="S513" s="3">
        <v>108.36784597149531</v>
      </c>
      <c r="T513" s="3">
        <v>137.43932309210845</v>
      </c>
      <c r="U513" s="3">
        <v>34.913718449759749</v>
      </c>
      <c r="V513" s="318">
        <v>779.69307302627885</v>
      </c>
      <c r="W513" s="318">
        <v>1183.9385255158709</v>
      </c>
      <c r="X513" s="3">
        <v>119.64778457057882</v>
      </c>
      <c r="Y513" s="318">
        <v>1303.5863100864497</v>
      </c>
    </row>
    <row r="514" spans="1:25" x14ac:dyDescent="0.2">
      <c r="A514" s="314">
        <v>2019</v>
      </c>
      <c r="B514" s="5" t="s">
        <v>466</v>
      </c>
      <c r="C514" s="5" t="s">
        <v>90</v>
      </c>
      <c r="D514" s="5" t="s">
        <v>470</v>
      </c>
      <c r="E514" s="5" t="s">
        <v>106</v>
      </c>
      <c r="F514" s="5" t="s">
        <v>94</v>
      </c>
      <c r="G514" s="5" t="s">
        <v>107</v>
      </c>
      <c r="H514" s="3">
        <v>10.114863648397614</v>
      </c>
      <c r="I514" s="3">
        <v>0.12092897821590398</v>
      </c>
      <c r="J514" s="318">
        <v>10.235792626613518</v>
      </c>
      <c r="K514" s="3">
        <v>412.11604242492177</v>
      </c>
      <c r="L514" s="3">
        <v>165.3794951495866</v>
      </c>
      <c r="M514" s="318">
        <v>577.49553757450838</v>
      </c>
      <c r="N514" s="3">
        <v>52.146455883452539</v>
      </c>
      <c r="O514" s="3">
        <v>249.99130051434213</v>
      </c>
      <c r="P514" s="3">
        <v>52.499780563889004</v>
      </c>
      <c r="Q514" s="3">
        <v>30.459109931225989</v>
      </c>
      <c r="R514" s="3">
        <v>150.60507114590465</v>
      </c>
      <c r="S514" s="3">
        <v>114.80496399711535</v>
      </c>
      <c r="T514" s="3">
        <v>101.13064472754276</v>
      </c>
      <c r="U514" s="3">
        <v>40.654311621864764</v>
      </c>
      <c r="V514" s="318">
        <v>792.29163838533714</v>
      </c>
      <c r="W514" s="318">
        <v>1380.0229685864592</v>
      </c>
      <c r="X514" s="3">
        <v>139.46390567528664</v>
      </c>
      <c r="Y514" s="318">
        <v>1519.4868742617459</v>
      </c>
    </row>
    <row r="515" spans="1:25" x14ac:dyDescent="0.2">
      <c r="A515" s="314">
        <v>2019</v>
      </c>
      <c r="B515" s="5" t="s">
        <v>466</v>
      </c>
      <c r="C515" s="5" t="s">
        <v>90</v>
      </c>
      <c r="D515" s="5" t="s">
        <v>471</v>
      </c>
      <c r="E515" s="5" t="s">
        <v>109</v>
      </c>
      <c r="F515" s="5" t="s">
        <v>94</v>
      </c>
      <c r="G515" s="5" t="s">
        <v>110</v>
      </c>
      <c r="H515" s="3">
        <v>19.17738980485084</v>
      </c>
      <c r="I515" s="3">
        <v>0</v>
      </c>
      <c r="J515" s="318">
        <v>19.17738980485084</v>
      </c>
      <c r="K515" s="3">
        <v>2111.7556215173895</v>
      </c>
      <c r="L515" s="3">
        <v>586.36593190156509</v>
      </c>
      <c r="M515" s="318">
        <v>2698.1215534189546</v>
      </c>
      <c r="N515" s="3">
        <v>371.66603857867847</v>
      </c>
      <c r="O515" s="3">
        <v>1724.8721949890689</v>
      </c>
      <c r="P515" s="3">
        <v>323.2337333992408</v>
      </c>
      <c r="Q515" s="3">
        <v>437.11450422183242</v>
      </c>
      <c r="R515" s="3">
        <v>1282.2303216814062</v>
      </c>
      <c r="S515" s="3">
        <v>1039.2970460749434</v>
      </c>
      <c r="T515" s="3">
        <v>1034.944386412423</v>
      </c>
      <c r="U515" s="3">
        <v>298.50785164682418</v>
      </c>
      <c r="V515" s="318">
        <v>6511.866077004418</v>
      </c>
      <c r="W515" s="318">
        <v>9229.1650202282235</v>
      </c>
      <c r="X515" s="3">
        <v>932.69128785672376</v>
      </c>
      <c r="Y515" s="318">
        <v>10161.856308084947</v>
      </c>
    </row>
    <row r="516" spans="1:25" x14ac:dyDescent="0.2">
      <c r="A516" s="314">
        <v>2019</v>
      </c>
      <c r="B516" s="5" t="s">
        <v>466</v>
      </c>
      <c r="C516" s="5" t="s">
        <v>90</v>
      </c>
      <c r="D516" s="5" t="s">
        <v>470</v>
      </c>
      <c r="E516" s="5" t="s">
        <v>112</v>
      </c>
      <c r="F516" s="5" t="s">
        <v>94</v>
      </c>
      <c r="G516" s="5" t="s">
        <v>113</v>
      </c>
      <c r="H516" s="3">
        <v>57.517625377547859</v>
      </c>
      <c r="I516" s="3">
        <v>46.450931357638638</v>
      </c>
      <c r="J516" s="318">
        <v>103.9685567351865</v>
      </c>
      <c r="K516" s="3">
        <v>1267.2729989969073</v>
      </c>
      <c r="L516" s="3">
        <v>200.54086610404693</v>
      </c>
      <c r="M516" s="318">
        <v>1467.8138651009542</v>
      </c>
      <c r="N516" s="3">
        <v>63.030287952713621</v>
      </c>
      <c r="O516" s="3">
        <v>220.183860009928</v>
      </c>
      <c r="P516" s="3">
        <v>29.58570070755567</v>
      </c>
      <c r="Q516" s="3">
        <v>19.492200137731121</v>
      </c>
      <c r="R516" s="3">
        <v>88.402780754888283</v>
      </c>
      <c r="S516" s="3">
        <v>165.66758994609353</v>
      </c>
      <c r="T516" s="3">
        <v>101.09505635069152</v>
      </c>
      <c r="U516" s="3">
        <v>25.538342693478338</v>
      </c>
      <c r="V516" s="318">
        <v>712.99581855307997</v>
      </c>
      <c r="W516" s="318">
        <v>2284.7782403892211</v>
      </c>
      <c r="X516" s="3">
        <v>230.89767653140794</v>
      </c>
      <c r="Y516" s="318">
        <v>2515.6759169206289</v>
      </c>
    </row>
    <row r="517" spans="1:25" x14ac:dyDescent="0.2">
      <c r="A517" s="314">
        <v>2019</v>
      </c>
      <c r="B517" s="5" t="s">
        <v>466</v>
      </c>
      <c r="C517" s="5" t="s">
        <v>90</v>
      </c>
      <c r="D517" s="5" t="s">
        <v>471</v>
      </c>
      <c r="E517" s="5" t="s">
        <v>115</v>
      </c>
      <c r="F517" s="5" t="s">
        <v>94</v>
      </c>
      <c r="G517" s="5" t="s">
        <v>116</v>
      </c>
      <c r="H517" s="3">
        <v>0.28967670625915143</v>
      </c>
      <c r="I517" s="3">
        <v>0.28726645847539323</v>
      </c>
      <c r="J517" s="318">
        <v>0.57694316473454466</v>
      </c>
      <c r="K517" s="3">
        <v>2535.0013243432272</v>
      </c>
      <c r="L517" s="3">
        <v>630.62727142427912</v>
      </c>
      <c r="M517" s="318">
        <v>3165.6285957675063</v>
      </c>
      <c r="N517" s="3">
        <v>359.46392288953115</v>
      </c>
      <c r="O517" s="3">
        <v>1685.997159532561</v>
      </c>
      <c r="P517" s="3">
        <v>270.18830332329514</v>
      </c>
      <c r="Q517" s="3">
        <v>268.32345805215584</v>
      </c>
      <c r="R517" s="3">
        <v>750.04984569512692</v>
      </c>
      <c r="S517" s="3">
        <v>807.18368854803566</v>
      </c>
      <c r="T517" s="3">
        <v>690.12367440472281</v>
      </c>
      <c r="U517" s="3">
        <v>230.38861570141174</v>
      </c>
      <c r="V517" s="318">
        <v>5061.7186681468411</v>
      </c>
      <c r="W517" s="318">
        <v>8227.9242070790824</v>
      </c>
      <c r="X517" s="3">
        <v>831.50677317700968</v>
      </c>
      <c r="Y517" s="318">
        <v>9059.4309802560929</v>
      </c>
    </row>
    <row r="518" spans="1:25" x14ac:dyDescent="0.2">
      <c r="A518" s="314">
        <v>2019</v>
      </c>
      <c r="B518" s="5" t="s">
        <v>466</v>
      </c>
      <c r="C518" s="5" t="s">
        <v>90</v>
      </c>
      <c r="D518" s="5" t="s">
        <v>471</v>
      </c>
      <c r="E518" s="5" t="s">
        <v>118</v>
      </c>
      <c r="F518" s="5" t="s">
        <v>94</v>
      </c>
      <c r="G518" s="5" t="s">
        <v>119</v>
      </c>
      <c r="H518" s="3">
        <v>6.94513152937163</v>
      </c>
      <c r="I518" s="3">
        <v>0</v>
      </c>
      <c r="J518" s="318">
        <v>6.94513152937163</v>
      </c>
      <c r="K518" s="3">
        <v>858.61339396158007</v>
      </c>
      <c r="L518" s="3">
        <v>177.21964383239458</v>
      </c>
      <c r="M518" s="318">
        <v>1035.8330377939747</v>
      </c>
      <c r="N518" s="3">
        <v>84.743604049353806</v>
      </c>
      <c r="O518" s="3">
        <v>259.59899345869769</v>
      </c>
      <c r="P518" s="3">
        <v>60.972988620528696</v>
      </c>
      <c r="Q518" s="3">
        <v>30.423979002082234</v>
      </c>
      <c r="R518" s="3">
        <v>163.9291419228023</v>
      </c>
      <c r="S518" s="3">
        <v>170.91700843158864</v>
      </c>
      <c r="T518" s="3">
        <v>115.40729182835058</v>
      </c>
      <c r="U518" s="3">
        <v>39.896097406397608</v>
      </c>
      <c r="V518" s="318">
        <v>925.88910471980159</v>
      </c>
      <c r="W518" s="318">
        <v>1968.6672740431479</v>
      </c>
      <c r="X518" s="3">
        <v>198.95178070434847</v>
      </c>
      <c r="Y518" s="318">
        <v>2167.6190547474962</v>
      </c>
    </row>
    <row r="519" spans="1:25" x14ac:dyDescent="0.2">
      <c r="A519" s="314">
        <v>2019</v>
      </c>
      <c r="B519" s="5" t="s">
        <v>466</v>
      </c>
      <c r="C519" s="5" t="s">
        <v>90</v>
      </c>
      <c r="D519" s="5" t="s">
        <v>471</v>
      </c>
      <c r="E519" s="5" t="s">
        <v>120</v>
      </c>
      <c r="F519" s="5" t="s">
        <v>94</v>
      </c>
      <c r="G519" s="5" t="s">
        <v>121</v>
      </c>
      <c r="H519" s="3">
        <v>8.5832277236907437</v>
      </c>
      <c r="I519" s="3">
        <v>0</v>
      </c>
      <c r="J519" s="318">
        <v>8.5832277236907437</v>
      </c>
      <c r="K519" s="3">
        <v>1089.3548520350914</v>
      </c>
      <c r="L519" s="3">
        <v>224.10417926227001</v>
      </c>
      <c r="M519" s="318">
        <v>1313.4590312973614</v>
      </c>
      <c r="N519" s="3">
        <v>123.90379444533819</v>
      </c>
      <c r="O519" s="3">
        <v>641.20847221407405</v>
      </c>
      <c r="P519" s="3">
        <v>94.758126523566233</v>
      </c>
      <c r="Q519" s="3">
        <v>73.817148431252974</v>
      </c>
      <c r="R519" s="3">
        <v>355.3354996103302</v>
      </c>
      <c r="S519" s="3">
        <v>330.0344578081216</v>
      </c>
      <c r="T519" s="3">
        <v>386.82788468103195</v>
      </c>
      <c r="U519" s="3">
        <v>70.729802154244481</v>
      </c>
      <c r="V519" s="318">
        <v>2076.61518586796</v>
      </c>
      <c r="W519" s="318">
        <v>3398.6574448890124</v>
      </c>
      <c r="X519" s="3">
        <v>343.46532782864773</v>
      </c>
      <c r="Y519" s="318">
        <v>3742.1227727176602</v>
      </c>
    </row>
    <row r="520" spans="1:25" x14ac:dyDescent="0.2">
      <c r="A520" s="314">
        <v>2019</v>
      </c>
      <c r="B520" s="5" t="s">
        <v>466</v>
      </c>
      <c r="C520" s="5" t="s">
        <v>122</v>
      </c>
      <c r="D520" s="5" t="s">
        <v>472</v>
      </c>
      <c r="E520" s="5" t="s">
        <v>125</v>
      </c>
      <c r="F520" s="5" t="s">
        <v>126</v>
      </c>
      <c r="G520" s="5" t="s">
        <v>128</v>
      </c>
      <c r="H520" s="3">
        <v>46.549861539511667</v>
      </c>
      <c r="I520" s="3">
        <v>56.143362909398348</v>
      </c>
      <c r="J520" s="318">
        <v>102.69322444891002</v>
      </c>
      <c r="K520" s="3">
        <v>2.7428705831092515</v>
      </c>
      <c r="L520" s="3">
        <v>26.281870274992535</v>
      </c>
      <c r="M520" s="318">
        <v>29.024740858101787</v>
      </c>
      <c r="N520" s="3">
        <v>26.84166519636813</v>
      </c>
      <c r="O520" s="3">
        <v>87.963078004856527</v>
      </c>
      <c r="P520" s="3">
        <v>13.090873605813563</v>
      </c>
      <c r="Q520" s="3">
        <v>5.0951842816444382</v>
      </c>
      <c r="R520" s="3">
        <v>16.245560654235955</v>
      </c>
      <c r="S520" s="3">
        <v>45.031681789074227</v>
      </c>
      <c r="T520" s="3">
        <v>77.680411819744251</v>
      </c>
      <c r="U520" s="3">
        <v>9.3334674573415466</v>
      </c>
      <c r="V520" s="318">
        <v>281.28192280907859</v>
      </c>
      <c r="W520" s="318">
        <v>412.9998881160904</v>
      </c>
      <c r="X520" s="3">
        <v>41.737404920965837</v>
      </c>
      <c r="Y520" s="318">
        <v>454.73729303705625</v>
      </c>
    </row>
    <row r="521" spans="1:25" x14ac:dyDescent="0.2">
      <c r="A521" s="314">
        <v>2019</v>
      </c>
      <c r="B521" s="5" t="s">
        <v>466</v>
      </c>
      <c r="C521" s="5" t="s">
        <v>122</v>
      </c>
      <c r="D521" s="5" t="s">
        <v>472</v>
      </c>
      <c r="E521" s="5" t="s">
        <v>130</v>
      </c>
      <c r="F521" s="5" t="s">
        <v>126</v>
      </c>
      <c r="G521" s="5" t="s">
        <v>131</v>
      </c>
      <c r="H521" s="3">
        <v>37.11834542268992</v>
      </c>
      <c r="I521" s="3">
        <v>340.74257904230552</v>
      </c>
      <c r="J521" s="318">
        <v>377.86092446499543</v>
      </c>
      <c r="K521" s="3">
        <v>20.509929358966396</v>
      </c>
      <c r="L521" s="3">
        <v>65.554046623768841</v>
      </c>
      <c r="M521" s="318">
        <v>86.063975982735229</v>
      </c>
      <c r="N521" s="3">
        <v>60.715109202635823</v>
      </c>
      <c r="O521" s="3">
        <v>297.9449125226854</v>
      </c>
      <c r="P521" s="3">
        <v>36.662801153849244</v>
      </c>
      <c r="Q521" s="3">
        <v>34.059351567411809</v>
      </c>
      <c r="R521" s="3">
        <v>70.717159233818279</v>
      </c>
      <c r="S521" s="3">
        <v>139.30737732903447</v>
      </c>
      <c r="T521" s="3">
        <v>224.61825322935556</v>
      </c>
      <c r="U521" s="3">
        <v>24.743604068066048</v>
      </c>
      <c r="V521" s="318">
        <v>888.76856830685654</v>
      </c>
      <c r="W521" s="318">
        <v>1352.6934687545872</v>
      </c>
      <c r="X521" s="3">
        <v>136.70201049421655</v>
      </c>
      <c r="Y521" s="318">
        <v>1489.3954792488039</v>
      </c>
    </row>
    <row r="522" spans="1:25" x14ac:dyDescent="0.2">
      <c r="A522" s="314">
        <v>2019</v>
      </c>
      <c r="B522" s="5" t="s">
        <v>466</v>
      </c>
      <c r="C522" s="5" t="s">
        <v>122</v>
      </c>
      <c r="D522" s="5" t="s">
        <v>472</v>
      </c>
      <c r="E522" s="5" t="s">
        <v>133</v>
      </c>
      <c r="F522" s="5" t="s">
        <v>126</v>
      </c>
      <c r="G522" s="5" t="s">
        <v>134</v>
      </c>
      <c r="H522" s="3">
        <v>25.948993316127702</v>
      </c>
      <c r="I522" s="3">
        <v>307.035312213917</v>
      </c>
      <c r="J522" s="318">
        <v>332.98430553004471</v>
      </c>
      <c r="K522" s="3">
        <v>2.7200067074940946</v>
      </c>
      <c r="L522" s="3">
        <v>37.185969448191869</v>
      </c>
      <c r="M522" s="318">
        <v>39.905976155685963</v>
      </c>
      <c r="N522" s="3">
        <v>28.554517774633311</v>
      </c>
      <c r="O522" s="3">
        <v>133.27433848004327</v>
      </c>
      <c r="P522" s="3">
        <v>20.854131415705293</v>
      </c>
      <c r="Q522" s="3">
        <v>13.801788328616565</v>
      </c>
      <c r="R522" s="3">
        <v>28.19116208543069</v>
      </c>
      <c r="S522" s="3">
        <v>75.476661295806551</v>
      </c>
      <c r="T522" s="3">
        <v>98.036700408115593</v>
      </c>
      <c r="U522" s="3">
        <v>13.164174231531739</v>
      </c>
      <c r="V522" s="318">
        <v>411.35347401988298</v>
      </c>
      <c r="W522" s="318">
        <v>784.24375570561369</v>
      </c>
      <c r="X522" s="3">
        <v>79.254983186396075</v>
      </c>
      <c r="Y522" s="318">
        <v>863.49873889200978</v>
      </c>
    </row>
    <row r="523" spans="1:25" x14ac:dyDescent="0.2">
      <c r="A523" s="314">
        <v>2019</v>
      </c>
      <c r="B523" s="5" t="s">
        <v>466</v>
      </c>
      <c r="C523" s="5" t="s">
        <v>122</v>
      </c>
      <c r="D523" s="5" t="s">
        <v>472</v>
      </c>
      <c r="E523" s="5" t="s">
        <v>135</v>
      </c>
      <c r="F523" s="5" t="s">
        <v>126</v>
      </c>
      <c r="G523" s="5" t="s">
        <v>136</v>
      </c>
      <c r="H523" s="3">
        <v>45.075792257572786</v>
      </c>
      <c r="I523" s="3">
        <v>41.440664373581114</v>
      </c>
      <c r="J523" s="318">
        <v>86.516456631153901</v>
      </c>
      <c r="K523" s="3">
        <v>10.269331291828522</v>
      </c>
      <c r="L523" s="3">
        <v>11.828223479280354</v>
      </c>
      <c r="M523" s="318">
        <v>22.097554771108875</v>
      </c>
      <c r="N523" s="3">
        <v>20.723823926912246</v>
      </c>
      <c r="O523" s="3">
        <v>56.863828737575162</v>
      </c>
      <c r="P523" s="3">
        <v>8.4259202303733929</v>
      </c>
      <c r="Q523" s="3">
        <v>5.2944818738399517</v>
      </c>
      <c r="R523" s="3">
        <v>14.517611538459402</v>
      </c>
      <c r="S523" s="3">
        <v>29.988519483325355</v>
      </c>
      <c r="T523" s="3">
        <v>54.04473093833851</v>
      </c>
      <c r="U523" s="3">
        <v>6.8018294988567067</v>
      </c>
      <c r="V523" s="318">
        <v>196.66074622768073</v>
      </c>
      <c r="W523" s="318">
        <v>305.27475762994351</v>
      </c>
      <c r="X523" s="3">
        <v>30.850798118785871</v>
      </c>
      <c r="Y523" s="318">
        <v>336.12555574872937</v>
      </c>
    </row>
    <row r="524" spans="1:25" x14ac:dyDescent="0.2">
      <c r="A524" s="314">
        <v>2019</v>
      </c>
      <c r="B524" s="5" t="s">
        <v>466</v>
      </c>
      <c r="C524" s="5" t="s">
        <v>122</v>
      </c>
      <c r="D524" s="5" t="s">
        <v>472</v>
      </c>
      <c r="E524" s="5" t="s">
        <v>137</v>
      </c>
      <c r="F524" s="5" t="s">
        <v>126</v>
      </c>
      <c r="G524" s="5" t="s">
        <v>138</v>
      </c>
      <c r="H524" s="3">
        <v>21.16565792138563</v>
      </c>
      <c r="I524" s="3">
        <v>44.323460268884247</v>
      </c>
      <c r="J524" s="318">
        <v>65.489118190269878</v>
      </c>
      <c r="K524" s="3">
        <v>3.8739713688575987</v>
      </c>
      <c r="L524" s="3">
        <v>19.454324068999938</v>
      </c>
      <c r="M524" s="318">
        <v>23.328295437857538</v>
      </c>
      <c r="N524" s="3">
        <v>10.155264915293234</v>
      </c>
      <c r="O524" s="3">
        <v>54.222573745603327</v>
      </c>
      <c r="P524" s="3">
        <v>11.738258277867459</v>
      </c>
      <c r="Q524" s="3">
        <v>7.5671263005039737</v>
      </c>
      <c r="R524" s="3">
        <v>18.951007992490659</v>
      </c>
      <c r="S524" s="3">
        <v>36.76859343967427</v>
      </c>
      <c r="T524" s="3">
        <v>83.890510484990131</v>
      </c>
      <c r="U524" s="3">
        <v>9.2380154976252165</v>
      </c>
      <c r="V524" s="318">
        <v>232.53135065404825</v>
      </c>
      <c r="W524" s="318">
        <v>321.34876428217569</v>
      </c>
      <c r="X524" s="3">
        <v>32.475223073007491</v>
      </c>
      <c r="Y524" s="318">
        <v>353.82398735518319</v>
      </c>
    </row>
    <row r="525" spans="1:25" x14ac:dyDescent="0.2">
      <c r="A525" s="314">
        <v>2019</v>
      </c>
      <c r="B525" s="5" t="s">
        <v>466</v>
      </c>
      <c r="C525" s="5" t="s">
        <v>122</v>
      </c>
      <c r="D525" s="5" t="s">
        <v>472</v>
      </c>
      <c r="E525" s="5" t="s">
        <v>139</v>
      </c>
      <c r="F525" s="5" t="s">
        <v>126</v>
      </c>
      <c r="G525" s="5" t="s">
        <v>140</v>
      </c>
      <c r="H525" s="3">
        <v>44.518180239800536</v>
      </c>
      <c r="I525" s="3">
        <v>170.42240044128633</v>
      </c>
      <c r="J525" s="318">
        <v>214.94058068108686</v>
      </c>
      <c r="K525" s="3">
        <v>8.2460286310216944</v>
      </c>
      <c r="L525" s="3">
        <v>12.257815887944584</v>
      </c>
      <c r="M525" s="318">
        <v>20.503844518966279</v>
      </c>
      <c r="N525" s="3">
        <v>35.523341646403793</v>
      </c>
      <c r="O525" s="3">
        <v>42.653282569859769</v>
      </c>
      <c r="P525" s="3">
        <v>6.5286427779238583</v>
      </c>
      <c r="Q525" s="3">
        <v>3.6751033101111688</v>
      </c>
      <c r="R525" s="3">
        <v>12.980869366061873</v>
      </c>
      <c r="S525" s="3">
        <v>36.189125255217036</v>
      </c>
      <c r="T525" s="3">
        <v>52.069327920151807</v>
      </c>
      <c r="U525" s="3">
        <v>5.2472947788991346</v>
      </c>
      <c r="V525" s="318">
        <v>194.86698762462845</v>
      </c>
      <c r="W525" s="318">
        <v>430.31141282468161</v>
      </c>
      <c r="X525" s="3">
        <v>43.486892359951952</v>
      </c>
      <c r="Y525" s="318">
        <v>473.79830518463359</v>
      </c>
    </row>
    <row r="526" spans="1:25" x14ac:dyDescent="0.2">
      <c r="A526" s="314">
        <v>2019</v>
      </c>
      <c r="B526" s="5" t="s">
        <v>466</v>
      </c>
      <c r="C526" s="5" t="s">
        <v>141</v>
      </c>
      <c r="D526" s="5" t="s">
        <v>473</v>
      </c>
      <c r="E526" s="5" t="s">
        <v>143</v>
      </c>
      <c r="F526" s="5" t="s">
        <v>144</v>
      </c>
      <c r="G526" s="5" t="s">
        <v>146</v>
      </c>
      <c r="H526" s="3">
        <v>7.4331896938256437</v>
      </c>
      <c r="I526" s="3">
        <v>0.24167523559023874</v>
      </c>
      <c r="J526" s="318">
        <v>7.6748649294158824</v>
      </c>
      <c r="K526" s="3">
        <v>0.83444902542892652</v>
      </c>
      <c r="L526" s="3">
        <v>3.7908870935164183</v>
      </c>
      <c r="M526" s="318">
        <v>4.625336118945345</v>
      </c>
      <c r="N526" s="3">
        <v>3.4472160602619475</v>
      </c>
      <c r="O526" s="3">
        <v>7.643512353469462</v>
      </c>
      <c r="P526" s="3">
        <v>1.7216538827588301</v>
      </c>
      <c r="Q526" s="3">
        <v>1.2681900978562659</v>
      </c>
      <c r="R526" s="3">
        <v>4.0572009272757876</v>
      </c>
      <c r="S526" s="3">
        <v>6.5827379408179576</v>
      </c>
      <c r="T526" s="3">
        <v>14.45063547008448</v>
      </c>
      <c r="U526" s="3">
        <v>1.7905143380263251</v>
      </c>
      <c r="V526" s="318">
        <v>40.961661070551052</v>
      </c>
      <c r="W526" s="318">
        <v>53.261862118912283</v>
      </c>
      <c r="X526" s="3">
        <v>5.3825968724641049</v>
      </c>
      <c r="Y526" s="318">
        <v>58.644458991376389</v>
      </c>
    </row>
    <row r="527" spans="1:25" x14ac:dyDescent="0.2">
      <c r="A527" s="314">
        <v>2019</v>
      </c>
      <c r="B527" s="5" t="s">
        <v>466</v>
      </c>
      <c r="C527" s="5" t="s">
        <v>141</v>
      </c>
      <c r="D527" s="5" t="s">
        <v>473</v>
      </c>
      <c r="E527" s="5" t="s">
        <v>147</v>
      </c>
      <c r="F527" s="5" t="s">
        <v>144</v>
      </c>
      <c r="G527" s="5" t="s">
        <v>148</v>
      </c>
      <c r="H527" s="3">
        <v>22.466512007782242</v>
      </c>
      <c r="I527" s="3">
        <v>0</v>
      </c>
      <c r="J527" s="318">
        <v>22.466512007782242</v>
      </c>
      <c r="K527" s="3">
        <v>1.1623717601789529</v>
      </c>
      <c r="L527" s="3">
        <v>7.9410801654651966</v>
      </c>
      <c r="M527" s="318">
        <v>9.1034519256441495</v>
      </c>
      <c r="N527" s="3">
        <v>3.170154082334999</v>
      </c>
      <c r="O527" s="3">
        <v>22.899056552218408</v>
      </c>
      <c r="P527" s="3">
        <v>2.757042309773678</v>
      </c>
      <c r="Q527" s="3">
        <v>1.8223585958441193</v>
      </c>
      <c r="R527" s="3">
        <v>7.5237620220163315</v>
      </c>
      <c r="S527" s="3">
        <v>10.293329587241084</v>
      </c>
      <c r="T527" s="3">
        <v>20.569367765976125</v>
      </c>
      <c r="U527" s="3">
        <v>3.6244369504378851</v>
      </c>
      <c r="V527" s="318">
        <v>72.659507865842613</v>
      </c>
      <c r="W527" s="318">
        <v>104.22947179926901</v>
      </c>
      <c r="X527" s="3">
        <v>10.533338614275026</v>
      </c>
      <c r="Y527" s="318">
        <v>114.76281041354403</v>
      </c>
    </row>
    <row r="528" spans="1:25" x14ac:dyDescent="0.2">
      <c r="A528" s="314">
        <v>2019</v>
      </c>
      <c r="B528" s="5" t="s">
        <v>466</v>
      </c>
      <c r="C528" s="5" t="s">
        <v>141</v>
      </c>
      <c r="D528" s="5" t="s">
        <v>474</v>
      </c>
      <c r="E528" s="5" t="s">
        <v>149</v>
      </c>
      <c r="F528" s="5" t="s">
        <v>144</v>
      </c>
      <c r="G528" s="5" t="s">
        <v>150</v>
      </c>
      <c r="H528" s="3">
        <v>27.739725827113322</v>
      </c>
      <c r="I528" s="3">
        <v>74.995430178058385</v>
      </c>
      <c r="J528" s="318">
        <v>102.7351560051717</v>
      </c>
      <c r="K528" s="3">
        <v>51.421946943922592</v>
      </c>
      <c r="L528" s="3">
        <v>13.996081843267007</v>
      </c>
      <c r="M528" s="318">
        <v>65.418028787189598</v>
      </c>
      <c r="N528" s="3">
        <v>48.317594330372039</v>
      </c>
      <c r="O528" s="3">
        <v>170.19069236015454</v>
      </c>
      <c r="P528" s="3">
        <v>18.524163176423855</v>
      </c>
      <c r="Q528" s="3">
        <v>23.908466935213344</v>
      </c>
      <c r="R528" s="3">
        <v>52.049924163619536</v>
      </c>
      <c r="S528" s="3">
        <v>72.365483742923686</v>
      </c>
      <c r="T528" s="3">
        <v>89.840899559380176</v>
      </c>
      <c r="U528" s="3">
        <v>20.569974080187979</v>
      </c>
      <c r="V528" s="318">
        <v>495.7671983482752</v>
      </c>
      <c r="W528" s="318">
        <v>663.92038314063655</v>
      </c>
      <c r="X528" s="3">
        <v>67.095209136314367</v>
      </c>
      <c r="Y528" s="318">
        <v>731.01559227695088</v>
      </c>
    </row>
    <row r="529" spans="1:25" x14ac:dyDescent="0.2">
      <c r="A529" s="314">
        <v>2019</v>
      </c>
      <c r="B529" s="5" t="s">
        <v>466</v>
      </c>
      <c r="C529" s="5" t="s">
        <v>141</v>
      </c>
      <c r="D529" s="5" t="s">
        <v>474</v>
      </c>
      <c r="E529" s="5" t="s">
        <v>151</v>
      </c>
      <c r="F529" s="5" t="s">
        <v>144</v>
      </c>
      <c r="G529" s="5" t="s">
        <v>152</v>
      </c>
      <c r="H529" s="3">
        <v>7.8555077344782687</v>
      </c>
      <c r="I529" s="3">
        <v>124.09048668058747</v>
      </c>
      <c r="J529" s="318">
        <v>131.94599441506574</v>
      </c>
      <c r="K529" s="3">
        <v>55.745029189344763</v>
      </c>
      <c r="L529" s="3">
        <v>7.3087461888727461</v>
      </c>
      <c r="M529" s="318">
        <v>63.053775378217509</v>
      </c>
      <c r="N529" s="3">
        <v>65.753859517208042</v>
      </c>
      <c r="O529" s="3">
        <v>42.634964031256885</v>
      </c>
      <c r="P529" s="3">
        <v>9.3191940970357638</v>
      </c>
      <c r="Q529" s="3">
        <v>4.0413913452455441</v>
      </c>
      <c r="R529" s="3">
        <v>20.700150101691325</v>
      </c>
      <c r="S529" s="3">
        <v>57.525037004200392</v>
      </c>
      <c r="T529" s="3">
        <v>69.568643176097524</v>
      </c>
      <c r="U529" s="3">
        <v>16.82327261931967</v>
      </c>
      <c r="V529" s="318">
        <v>286.36651189205514</v>
      </c>
      <c r="W529" s="318">
        <v>481.36628168533838</v>
      </c>
      <c r="X529" s="3">
        <v>48.646452437665751</v>
      </c>
      <c r="Y529" s="318">
        <v>530.01273412300418</v>
      </c>
    </row>
    <row r="530" spans="1:25" x14ac:dyDescent="0.2">
      <c r="A530" s="314">
        <v>2019</v>
      </c>
      <c r="B530" s="5" t="s">
        <v>466</v>
      </c>
      <c r="C530" s="5" t="s">
        <v>141</v>
      </c>
      <c r="D530" s="5" t="s">
        <v>474</v>
      </c>
      <c r="E530" s="5" t="s">
        <v>153</v>
      </c>
      <c r="F530" s="5" t="s">
        <v>144</v>
      </c>
      <c r="G530" s="5" t="s">
        <v>154</v>
      </c>
      <c r="H530" s="3">
        <v>11.61995996403976</v>
      </c>
      <c r="I530" s="3">
        <v>8.9491031784446289</v>
      </c>
      <c r="J530" s="318">
        <v>20.569063142484389</v>
      </c>
      <c r="K530" s="3">
        <v>21.285387967833056</v>
      </c>
      <c r="L530" s="3">
        <v>7.0626009980175688</v>
      </c>
      <c r="M530" s="318">
        <v>28.347988965850625</v>
      </c>
      <c r="N530" s="3">
        <v>14.868532680797239</v>
      </c>
      <c r="O530" s="3">
        <v>65.029330096191245</v>
      </c>
      <c r="P530" s="3">
        <v>5.3669234121022997</v>
      </c>
      <c r="Q530" s="3">
        <v>1.7211888319831883</v>
      </c>
      <c r="R530" s="3">
        <v>14.598440715509472</v>
      </c>
      <c r="S530" s="3">
        <v>18.529699033830219</v>
      </c>
      <c r="T530" s="3">
        <v>25.323644691695161</v>
      </c>
      <c r="U530" s="3">
        <v>4.9503434664488735</v>
      </c>
      <c r="V530" s="318">
        <v>150.38810292855771</v>
      </c>
      <c r="W530" s="318">
        <v>199.30515503689273</v>
      </c>
      <c r="X530" s="3">
        <v>20.141603419205815</v>
      </c>
      <c r="Y530" s="318">
        <v>219.44675845609854</v>
      </c>
    </row>
    <row r="531" spans="1:25" x14ac:dyDescent="0.2">
      <c r="A531" s="314">
        <v>2019</v>
      </c>
      <c r="B531" s="5" t="s">
        <v>466</v>
      </c>
      <c r="C531" s="5" t="s">
        <v>141</v>
      </c>
      <c r="D531" s="5" t="s">
        <v>474</v>
      </c>
      <c r="E531" s="5" t="s">
        <v>155</v>
      </c>
      <c r="F531" s="5" t="s">
        <v>144</v>
      </c>
      <c r="G531" s="5" t="s">
        <v>156</v>
      </c>
      <c r="H531" s="3">
        <v>42.758911413752081</v>
      </c>
      <c r="I531" s="3">
        <v>714.5894297230401</v>
      </c>
      <c r="J531" s="318">
        <v>757.34834113679221</v>
      </c>
      <c r="K531" s="3">
        <v>3.1434529520102892</v>
      </c>
      <c r="L531" s="3">
        <v>19.250248220887695</v>
      </c>
      <c r="M531" s="318">
        <v>22.393701172897984</v>
      </c>
      <c r="N531" s="3">
        <v>16.516777979356728</v>
      </c>
      <c r="O531" s="3">
        <v>25.153204127585109</v>
      </c>
      <c r="P531" s="3">
        <v>4.6000949973068295</v>
      </c>
      <c r="Q531" s="3">
        <v>1.7775075467155181</v>
      </c>
      <c r="R531" s="3">
        <v>11.440750370909202</v>
      </c>
      <c r="S531" s="3">
        <v>60.00503951921975</v>
      </c>
      <c r="T531" s="3">
        <v>29.271891910629595</v>
      </c>
      <c r="U531" s="3">
        <v>7.2650898962392194</v>
      </c>
      <c r="V531" s="318">
        <v>156.03035634796197</v>
      </c>
      <c r="W531" s="318">
        <v>935.77239865765216</v>
      </c>
      <c r="X531" s="3">
        <v>94.568334376060193</v>
      </c>
      <c r="Y531" s="318">
        <v>1030.3407330337122</v>
      </c>
    </row>
    <row r="532" spans="1:25" x14ac:dyDescent="0.2">
      <c r="A532" s="314">
        <v>2019</v>
      </c>
      <c r="B532" s="5" t="s">
        <v>466</v>
      </c>
      <c r="C532" s="5" t="s">
        <v>157</v>
      </c>
      <c r="D532" s="5" t="s">
        <v>475</v>
      </c>
      <c r="E532" s="5" t="s">
        <v>159</v>
      </c>
      <c r="F532" s="5" t="s">
        <v>160</v>
      </c>
      <c r="G532" s="5" t="s">
        <v>161</v>
      </c>
      <c r="H532" s="3">
        <v>40.737508981680868</v>
      </c>
      <c r="I532" s="3">
        <v>17.768132549762896</v>
      </c>
      <c r="J532" s="318">
        <v>58.505641531443764</v>
      </c>
      <c r="K532" s="3">
        <v>12.291131074388016</v>
      </c>
      <c r="L532" s="3">
        <v>51.459796870333435</v>
      </c>
      <c r="M532" s="318">
        <v>63.750927944721454</v>
      </c>
      <c r="N532" s="3">
        <v>447.43020722232961</v>
      </c>
      <c r="O532" s="3">
        <v>50.122330189151555</v>
      </c>
      <c r="P532" s="3">
        <v>8.9115511104402945</v>
      </c>
      <c r="Q532" s="3">
        <v>4.8283124370561499</v>
      </c>
      <c r="R532" s="3">
        <v>21.933921413455245</v>
      </c>
      <c r="S532" s="3">
        <v>58.855339529415062</v>
      </c>
      <c r="T532" s="3">
        <v>70.889249722046031</v>
      </c>
      <c r="U532" s="3">
        <v>11.794817033994056</v>
      </c>
      <c r="V532" s="318">
        <v>674.76572865788796</v>
      </c>
      <c r="W532" s="318">
        <v>797.02229813405313</v>
      </c>
      <c r="X532" s="3">
        <v>80.546371428820038</v>
      </c>
      <c r="Y532" s="318">
        <v>877.5686695628732</v>
      </c>
    </row>
    <row r="533" spans="1:25" x14ac:dyDescent="0.2">
      <c r="A533" s="314">
        <v>2019</v>
      </c>
      <c r="B533" s="5" t="s">
        <v>466</v>
      </c>
      <c r="C533" s="5" t="s">
        <v>157</v>
      </c>
      <c r="D533" s="5" t="s">
        <v>476</v>
      </c>
      <c r="E533" s="5" t="s">
        <v>162</v>
      </c>
      <c r="F533" s="5" t="s">
        <v>160</v>
      </c>
      <c r="G533" s="5" t="s">
        <v>163</v>
      </c>
      <c r="H533" s="3">
        <v>14.048039747367548</v>
      </c>
      <c r="I533" s="3">
        <v>1.1596123809231216</v>
      </c>
      <c r="J533" s="318">
        <v>15.20765212829067</v>
      </c>
      <c r="K533" s="3">
        <v>1.1971046482457233</v>
      </c>
      <c r="L533" s="3">
        <v>11.958544581313289</v>
      </c>
      <c r="M533" s="318">
        <v>13.155649229559012</v>
      </c>
      <c r="N533" s="3">
        <v>86.243174615987826</v>
      </c>
      <c r="O533" s="3">
        <v>11.312111402155624</v>
      </c>
      <c r="P533" s="3">
        <v>2.1324824355524417</v>
      </c>
      <c r="Q533" s="3">
        <v>1.0334290534358934</v>
      </c>
      <c r="R533" s="3">
        <v>4.062124956483637</v>
      </c>
      <c r="S533" s="3">
        <v>11.683116438340171</v>
      </c>
      <c r="T533" s="3">
        <v>16.249775349355321</v>
      </c>
      <c r="U533" s="3">
        <v>2.555390373585495</v>
      </c>
      <c r="V533" s="318">
        <v>135.27160462489641</v>
      </c>
      <c r="W533" s="318">
        <v>163.63490598274609</v>
      </c>
      <c r="X533" s="3">
        <v>16.536799468299819</v>
      </c>
      <c r="Y533" s="318">
        <v>180.17170545104591</v>
      </c>
    </row>
    <row r="534" spans="1:25" x14ac:dyDescent="0.2">
      <c r="A534" s="314">
        <v>2019</v>
      </c>
      <c r="B534" s="5" t="s">
        <v>466</v>
      </c>
      <c r="C534" s="5" t="s">
        <v>157</v>
      </c>
      <c r="D534" s="5" t="s">
        <v>473</v>
      </c>
      <c r="E534" s="5" t="s">
        <v>164</v>
      </c>
      <c r="F534" s="5" t="s">
        <v>160</v>
      </c>
      <c r="G534" s="5" t="s">
        <v>165</v>
      </c>
      <c r="H534" s="3">
        <v>4.5541773483040888</v>
      </c>
      <c r="I534" s="3">
        <v>5.765370762041222E-2</v>
      </c>
      <c r="J534" s="318">
        <v>4.611831055924501</v>
      </c>
      <c r="K534" s="3">
        <v>7.5603211817008313</v>
      </c>
      <c r="L534" s="3">
        <v>4.0020622868464999</v>
      </c>
      <c r="M534" s="318">
        <v>11.562383468547331</v>
      </c>
      <c r="N534" s="3">
        <v>11.832432270025963</v>
      </c>
      <c r="O534" s="3">
        <v>28.71749668776847</v>
      </c>
      <c r="P534" s="3">
        <v>4.9520586178349983</v>
      </c>
      <c r="Q534" s="3">
        <v>3.5075283101164407</v>
      </c>
      <c r="R534" s="3">
        <v>12.70604538136695</v>
      </c>
      <c r="S534" s="3">
        <v>13.971916662556044</v>
      </c>
      <c r="T534" s="3">
        <v>23.098842759158895</v>
      </c>
      <c r="U534" s="3">
        <v>5.4993554535636902</v>
      </c>
      <c r="V534" s="318">
        <v>104.28567614239147</v>
      </c>
      <c r="W534" s="318">
        <v>120.4598906668633</v>
      </c>
      <c r="X534" s="3">
        <v>12.173570449212594</v>
      </c>
      <c r="Y534" s="318">
        <v>132.63346111607589</v>
      </c>
    </row>
    <row r="535" spans="1:25" x14ac:dyDescent="0.2">
      <c r="A535" s="314">
        <v>2019</v>
      </c>
      <c r="B535" s="5" t="s">
        <v>466</v>
      </c>
      <c r="C535" s="5" t="s">
        <v>157</v>
      </c>
      <c r="D535" s="5" t="s">
        <v>477</v>
      </c>
      <c r="E535" s="5" t="s">
        <v>166</v>
      </c>
      <c r="F535" s="5" t="s">
        <v>160</v>
      </c>
      <c r="G535" s="5" t="s">
        <v>168</v>
      </c>
      <c r="H535" s="3">
        <v>62.081573788921801</v>
      </c>
      <c r="I535" s="3">
        <v>477.12865409066399</v>
      </c>
      <c r="J535" s="318">
        <v>539.21022787958577</v>
      </c>
      <c r="K535" s="3">
        <v>16.262422535441516</v>
      </c>
      <c r="L535" s="3">
        <v>7.3376166171819861</v>
      </c>
      <c r="M535" s="318">
        <v>23.600039152623502</v>
      </c>
      <c r="N535" s="3">
        <v>15.389799029258699</v>
      </c>
      <c r="O535" s="3">
        <v>58.778693544333478</v>
      </c>
      <c r="P535" s="3">
        <v>8.0025527168803823</v>
      </c>
      <c r="Q535" s="3">
        <v>4.2599306288716337</v>
      </c>
      <c r="R535" s="3">
        <v>20.676984771832615</v>
      </c>
      <c r="S535" s="3">
        <v>55.343321622607135</v>
      </c>
      <c r="T535" s="3">
        <v>45.232423250450893</v>
      </c>
      <c r="U535" s="3">
        <v>12.418523609465588</v>
      </c>
      <c r="V535" s="318">
        <v>220.10222917370041</v>
      </c>
      <c r="W535" s="318">
        <v>782.91249620590975</v>
      </c>
      <c r="X535" s="3">
        <v>79.120447273934985</v>
      </c>
      <c r="Y535" s="318">
        <v>862.03294347984479</v>
      </c>
    </row>
    <row r="536" spans="1:25" x14ac:dyDescent="0.2">
      <c r="A536" s="314">
        <v>2019</v>
      </c>
      <c r="B536" s="5" t="s">
        <v>466</v>
      </c>
      <c r="C536" s="5" t="s">
        <v>157</v>
      </c>
      <c r="D536" s="5" t="s">
        <v>473</v>
      </c>
      <c r="E536" s="5" t="s">
        <v>169</v>
      </c>
      <c r="F536" s="5" t="s">
        <v>160</v>
      </c>
      <c r="G536" s="5" t="s">
        <v>170</v>
      </c>
      <c r="H536" s="3">
        <v>29.075024498967746</v>
      </c>
      <c r="I536" s="3">
        <v>0.60272081915803355</v>
      </c>
      <c r="J536" s="318">
        <v>29.67774531812578</v>
      </c>
      <c r="K536" s="3">
        <v>3.8833218384736572</v>
      </c>
      <c r="L536" s="3">
        <v>16.740568856773706</v>
      </c>
      <c r="M536" s="318">
        <v>20.623890695247361</v>
      </c>
      <c r="N536" s="3">
        <v>22.892696702154797</v>
      </c>
      <c r="O536" s="3">
        <v>34.349502355357593</v>
      </c>
      <c r="P536" s="3">
        <v>7.3067790587109904</v>
      </c>
      <c r="Q536" s="3">
        <v>3.447712309878654</v>
      </c>
      <c r="R536" s="3">
        <v>13.160374638762805</v>
      </c>
      <c r="S536" s="3">
        <v>21.052437951882965</v>
      </c>
      <c r="T536" s="3">
        <v>41.160908957334151</v>
      </c>
      <c r="U536" s="3">
        <v>7.1697811231851185</v>
      </c>
      <c r="V536" s="318">
        <v>150.54019309726706</v>
      </c>
      <c r="W536" s="318">
        <v>200.84182911064019</v>
      </c>
      <c r="X536" s="3">
        <v>20.296898347589721</v>
      </c>
      <c r="Y536" s="318">
        <v>221.13872745822991</v>
      </c>
    </row>
    <row r="537" spans="1:25" x14ac:dyDescent="0.2">
      <c r="A537" s="314">
        <v>2019</v>
      </c>
      <c r="B537" s="5" t="s">
        <v>466</v>
      </c>
      <c r="C537" s="5" t="s">
        <v>157</v>
      </c>
      <c r="D537" s="5" t="s">
        <v>473</v>
      </c>
      <c r="E537" s="5" t="s">
        <v>171</v>
      </c>
      <c r="F537" s="5" t="s">
        <v>160</v>
      </c>
      <c r="G537" s="5" t="s">
        <v>172</v>
      </c>
      <c r="H537" s="3">
        <v>58.328910681107104</v>
      </c>
      <c r="I537" s="3">
        <v>19.332825803778476</v>
      </c>
      <c r="J537" s="318">
        <v>77.66173648488558</v>
      </c>
      <c r="K537" s="3">
        <v>8.5244290977506019</v>
      </c>
      <c r="L537" s="3">
        <v>4.9353475692247599</v>
      </c>
      <c r="M537" s="318">
        <v>13.459776666975362</v>
      </c>
      <c r="N537" s="3">
        <v>30.532357154776289</v>
      </c>
      <c r="O537" s="3">
        <v>14.553229211691107</v>
      </c>
      <c r="P537" s="3">
        <v>2.3774788149929957</v>
      </c>
      <c r="Q537" s="3">
        <v>0.97561686488959054</v>
      </c>
      <c r="R537" s="3">
        <v>6.2116552294790015</v>
      </c>
      <c r="S537" s="3">
        <v>12.207605348424432</v>
      </c>
      <c r="T537" s="3">
        <v>19.088638267350937</v>
      </c>
      <c r="U537" s="3">
        <v>3.1757763612536714</v>
      </c>
      <c r="V537" s="318">
        <v>89.122357252858023</v>
      </c>
      <c r="W537" s="318">
        <v>180.24387040471896</v>
      </c>
      <c r="X537" s="3">
        <v>18.215286783538367</v>
      </c>
      <c r="Y537" s="318">
        <v>198.45915718825734</v>
      </c>
    </row>
    <row r="538" spans="1:25" x14ac:dyDescent="0.2">
      <c r="A538" s="314">
        <v>2019</v>
      </c>
      <c r="B538" s="5" t="s">
        <v>466</v>
      </c>
      <c r="C538" s="5" t="s">
        <v>157</v>
      </c>
      <c r="D538" s="5" t="s">
        <v>477</v>
      </c>
      <c r="E538" s="5" t="s">
        <v>173</v>
      </c>
      <c r="F538" s="5" t="s">
        <v>160</v>
      </c>
      <c r="G538" s="5" t="s">
        <v>174</v>
      </c>
      <c r="H538" s="3">
        <v>24.811085503328197</v>
      </c>
      <c r="I538" s="3">
        <v>567.25977186880789</v>
      </c>
      <c r="J538" s="318">
        <v>592.07085737213606</v>
      </c>
      <c r="K538" s="3">
        <v>28.782946537919571</v>
      </c>
      <c r="L538" s="3">
        <v>6.424653662939761</v>
      </c>
      <c r="M538" s="318">
        <v>35.207600200859332</v>
      </c>
      <c r="N538" s="3">
        <v>27.679336990776459</v>
      </c>
      <c r="O538" s="3">
        <v>97.813483819002087</v>
      </c>
      <c r="P538" s="3">
        <v>17.23103755964781</v>
      </c>
      <c r="Q538" s="3">
        <v>8.791345321571189</v>
      </c>
      <c r="R538" s="3">
        <v>46.662299432117671</v>
      </c>
      <c r="S538" s="3">
        <v>80.774777918281657</v>
      </c>
      <c r="T538" s="3">
        <v>59.488495537859066</v>
      </c>
      <c r="U538" s="3">
        <v>19.557972704794036</v>
      </c>
      <c r="V538" s="318">
        <v>357.99874928405001</v>
      </c>
      <c r="W538" s="318">
        <v>985.27720685704537</v>
      </c>
      <c r="X538" s="3">
        <v>99.571246688646667</v>
      </c>
      <c r="Y538" s="318">
        <v>1084.8484535456921</v>
      </c>
    </row>
    <row r="539" spans="1:25" x14ac:dyDescent="0.2">
      <c r="A539" s="314">
        <v>2019</v>
      </c>
      <c r="B539" s="5" t="s">
        <v>466</v>
      </c>
      <c r="C539" s="5" t="s">
        <v>157</v>
      </c>
      <c r="D539" s="5" t="s">
        <v>475</v>
      </c>
      <c r="E539" s="5" t="s">
        <v>175</v>
      </c>
      <c r="F539" s="5" t="s">
        <v>160</v>
      </c>
      <c r="G539" s="5" t="s">
        <v>176</v>
      </c>
      <c r="H539" s="3">
        <v>16.233907051968288</v>
      </c>
      <c r="I539" s="3">
        <v>1.2010346895434338</v>
      </c>
      <c r="J539" s="318">
        <v>17.434941741511722</v>
      </c>
      <c r="K539" s="3">
        <v>0.51149278052058111</v>
      </c>
      <c r="L539" s="3">
        <v>11.942299959115712</v>
      </c>
      <c r="M539" s="318">
        <v>12.453792739636292</v>
      </c>
      <c r="N539" s="3">
        <v>5.5312416287332447</v>
      </c>
      <c r="O539" s="3">
        <v>26.110803340578904</v>
      </c>
      <c r="P539" s="3">
        <v>5.5146434982133883</v>
      </c>
      <c r="Q539" s="3">
        <v>4.3737471658185241</v>
      </c>
      <c r="R539" s="3">
        <v>9.8981155283630677</v>
      </c>
      <c r="S539" s="3">
        <v>13.599321532317539</v>
      </c>
      <c r="T539" s="3">
        <v>28.389166303088498</v>
      </c>
      <c r="U539" s="3">
        <v>7.6695543819040068</v>
      </c>
      <c r="V539" s="318">
        <v>101.08659337901717</v>
      </c>
      <c r="W539" s="318">
        <v>130.97532786016518</v>
      </c>
      <c r="X539" s="3">
        <v>13.236251269926184</v>
      </c>
      <c r="Y539" s="318">
        <v>144.21157913009137</v>
      </c>
    </row>
    <row r="540" spans="1:25" x14ac:dyDescent="0.2">
      <c r="A540" s="314">
        <v>2019</v>
      </c>
      <c r="B540" s="5" t="s">
        <v>466</v>
      </c>
      <c r="C540" s="5" t="s">
        <v>157</v>
      </c>
      <c r="D540" s="5" t="s">
        <v>475</v>
      </c>
      <c r="E540" s="5" t="s">
        <v>177</v>
      </c>
      <c r="F540" s="5" t="s">
        <v>160</v>
      </c>
      <c r="G540" s="5" t="s">
        <v>178</v>
      </c>
      <c r="H540" s="3">
        <v>14.401551404322179</v>
      </c>
      <c r="I540" s="3">
        <v>0.84263702856348388</v>
      </c>
      <c r="J540" s="318">
        <v>15.244188432885663</v>
      </c>
      <c r="K540" s="3">
        <v>1.9199297013942629</v>
      </c>
      <c r="L540" s="3">
        <v>4.2002065124162655</v>
      </c>
      <c r="M540" s="318">
        <v>6.1201362138105289</v>
      </c>
      <c r="N540" s="3">
        <v>4.5976101750938581</v>
      </c>
      <c r="O540" s="3">
        <v>11.227281411365485</v>
      </c>
      <c r="P540" s="3">
        <v>2.6765409539881833</v>
      </c>
      <c r="Q540" s="3">
        <v>1.334056573086511</v>
      </c>
      <c r="R540" s="3">
        <v>4.9573761879878839</v>
      </c>
      <c r="S540" s="3">
        <v>8.4852768727156942</v>
      </c>
      <c r="T540" s="3">
        <v>18.910627065277936</v>
      </c>
      <c r="U540" s="3">
        <v>3.9338566919231051</v>
      </c>
      <c r="V540" s="318">
        <v>56.122625931438655</v>
      </c>
      <c r="W540" s="318">
        <v>77.486950578134852</v>
      </c>
      <c r="X540" s="3">
        <v>7.8307629745928775</v>
      </c>
      <c r="Y540" s="318">
        <v>85.317713552727724</v>
      </c>
    </row>
    <row r="541" spans="1:25" x14ac:dyDescent="0.2">
      <c r="A541" s="314">
        <v>2019</v>
      </c>
      <c r="B541" s="5" t="s">
        <v>466</v>
      </c>
      <c r="C541" s="5" t="s">
        <v>157</v>
      </c>
      <c r="D541" s="5" t="s">
        <v>475</v>
      </c>
      <c r="E541" s="5" t="s">
        <v>179</v>
      </c>
      <c r="F541" s="5" t="s">
        <v>160</v>
      </c>
      <c r="G541" s="5" t="s">
        <v>180</v>
      </c>
      <c r="H541" s="3">
        <v>47.992156717286534</v>
      </c>
      <c r="I541" s="3">
        <v>0.97825762653138071</v>
      </c>
      <c r="J541" s="318">
        <v>48.970414343817914</v>
      </c>
      <c r="K541" s="3">
        <v>3.962690095527694</v>
      </c>
      <c r="L541" s="3">
        <v>20.519597414842899</v>
      </c>
      <c r="M541" s="318">
        <v>24.482287510370593</v>
      </c>
      <c r="N541" s="3">
        <v>6.2133705685225786</v>
      </c>
      <c r="O541" s="3">
        <v>32.22219805255753</v>
      </c>
      <c r="P541" s="3">
        <v>6.9526796943687295</v>
      </c>
      <c r="Q541" s="3">
        <v>3.8267461637328073</v>
      </c>
      <c r="R541" s="3">
        <v>13.548918505350759</v>
      </c>
      <c r="S541" s="3">
        <v>22.498029128422043</v>
      </c>
      <c r="T541" s="3">
        <v>62.270990522548317</v>
      </c>
      <c r="U541" s="3">
        <v>13.605810339452095</v>
      </c>
      <c r="V541" s="318">
        <v>161.13874297495485</v>
      </c>
      <c r="W541" s="318">
        <v>234.59144482914334</v>
      </c>
      <c r="X541" s="3">
        <v>23.707604785297541</v>
      </c>
      <c r="Y541" s="318">
        <v>258.29904961444089</v>
      </c>
    </row>
    <row r="542" spans="1:25" x14ac:dyDescent="0.2">
      <c r="A542" s="314">
        <v>2019</v>
      </c>
      <c r="B542" s="5" t="s">
        <v>466</v>
      </c>
      <c r="C542" s="5" t="s">
        <v>181</v>
      </c>
      <c r="D542" s="5" t="s">
        <v>478</v>
      </c>
      <c r="E542" s="5" t="s">
        <v>183</v>
      </c>
      <c r="F542" s="5" t="s">
        <v>184</v>
      </c>
      <c r="G542" s="5" t="s">
        <v>185</v>
      </c>
      <c r="H542" s="3">
        <v>30.471873025627765</v>
      </c>
      <c r="I542" s="3">
        <v>0</v>
      </c>
      <c r="J542" s="318">
        <v>30.471873025627765</v>
      </c>
      <c r="K542" s="3">
        <v>1.2151708944902069</v>
      </c>
      <c r="L542" s="3">
        <v>19.371850848552668</v>
      </c>
      <c r="M542" s="318">
        <v>20.587021743042875</v>
      </c>
      <c r="N542" s="3">
        <v>6.2499179563669358</v>
      </c>
      <c r="O542" s="3">
        <v>20.855421457451154</v>
      </c>
      <c r="P542" s="3">
        <v>4.5880151860235312</v>
      </c>
      <c r="Q542" s="3">
        <v>2.5315637981071322</v>
      </c>
      <c r="R542" s="3">
        <v>9.10377850687901</v>
      </c>
      <c r="S542" s="3">
        <v>11.28448719936638</v>
      </c>
      <c r="T542" s="3">
        <v>26.736154154724289</v>
      </c>
      <c r="U542" s="3">
        <v>3.7097990764188591</v>
      </c>
      <c r="V542" s="318">
        <v>85.059137335337297</v>
      </c>
      <c r="W542" s="318">
        <v>136.11803210400794</v>
      </c>
      <c r="X542" s="3">
        <v>13.755968431093304</v>
      </c>
      <c r="Y542" s="318">
        <v>149.87400053510123</v>
      </c>
    </row>
    <row r="543" spans="1:25" x14ac:dyDescent="0.2">
      <c r="A543" s="314">
        <v>2019</v>
      </c>
      <c r="B543" s="5" t="s">
        <v>466</v>
      </c>
      <c r="C543" s="5" t="s">
        <v>181</v>
      </c>
      <c r="D543" s="5" t="s">
        <v>479</v>
      </c>
      <c r="E543" s="5" t="s">
        <v>186</v>
      </c>
      <c r="F543" s="5" t="s">
        <v>184</v>
      </c>
      <c r="G543" s="5" t="s">
        <v>187</v>
      </c>
      <c r="H543" s="3">
        <v>23.067583516188641</v>
      </c>
      <c r="I543" s="3">
        <v>0.2723101531489398</v>
      </c>
      <c r="J543" s="318">
        <v>23.339893669337581</v>
      </c>
      <c r="K543" s="3">
        <v>2.5595746947060465</v>
      </c>
      <c r="L543" s="3">
        <v>4.2120714328613591</v>
      </c>
      <c r="M543" s="318">
        <v>6.771646127567406</v>
      </c>
      <c r="N543" s="3">
        <v>2.3265196030834074</v>
      </c>
      <c r="O543" s="3">
        <v>6.8563900729680967</v>
      </c>
      <c r="P543" s="3">
        <v>1.339843222360418</v>
      </c>
      <c r="Q543" s="3">
        <v>0.42825643533451674</v>
      </c>
      <c r="R543" s="3">
        <v>4.5016875904040345</v>
      </c>
      <c r="S543" s="3">
        <v>6.5745999328050919</v>
      </c>
      <c r="T543" s="3">
        <v>27.704887809959374</v>
      </c>
      <c r="U543" s="3">
        <v>1.6061260708923704</v>
      </c>
      <c r="V543" s="318">
        <v>51.338310737807312</v>
      </c>
      <c r="W543" s="318">
        <v>81.449850534712297</v>
      </c>
      <c r="X543" s="3">
        <v>8.231250153665572</v>
      </c>
      <c r="Y543" s="318">
        <v>89.681100688377867</v>
      </c>
    </row>
    <row r="544" spans="1:25" x14ac:dyDescent="0.2">
      <c r="A544" s="314">
        <v>2019</v>
      </c>
      <c r="B544" s="5" t="s">
        <v>466</v>
      </c>
      <c r="C544" s="5" t="s">
        <v>181</v>
      </c>
      <c r="D544" s="5" t="s">
        <v>478</v>
      </c>
      <c r="E544" s="5" t="s">
        <v>188</v>
      </c>
      <c r="F544" s="5" t="s">
        <v>184</v>
      </c>
      <c r="G544" s="5" t="s">
        <v>189</v>
      </c>
      <c r="H544" s="3">
        <v>10.129819531871407</v>
      </c>
      <c r="I544" s="3">
        <v>0.92711628873756702</v>
      </c>
      <c r="J544" s="318">
        <v>11.056935820608974</v>
      </c>
      <c r="K544" s="3">
        <v>0.56356478172768265</v>
      </c>
      <c r="L544" s="3">
        <v>5.4619705994446779</v>
      </c>
      <c r="M544" s="318">
        <v>6.0255353811723609</v>
      </c>
      <c r="N544" s="3">
        <v>2.3089484028488192</v>
      </c>
      <c r="O544" s="3">
        <v>6.8300702321271531</v>
      </c>
      <c r="P544" s="3">
        <v>2.8251230758127486</v>
      </c>
      <c r="Q544" s="3">
        <v>1.2223891852852582</v>
      </c>
      <c r="R544" s="3">
        <v>4.8711156631632724</v>
      </c>
      <c r="S544" s="3">
        <v>9.8930115100563647</v>
      </c>
      <c r="T544" s="3">
        <v>25.460311031039179</v>
      </c>
      <c r="U544" s="3">
        <v>2.7003507552555659</v>
      </c>
      <c r="V544" s="318">
        <v>56.111319855588356</v>
      </c>
      <c r="W544" s="318">
        <v>73.193791057369694</v>
      </c>
      <c r="X544" s="3">
        <v>7.3969000548573947</v>
      </c>
      <c r="Y544" s="318">
        <v>80.590691112227091</v>
      </c>
    </row>
    <row r="545" spans="1:25" x14ac:dyDescent="0.2">
      <c r="A545" s="314">
        <v>2019</v>
      </c>
      <c r="B545" s="5" t="s">
        <v>466</v>
      </c>
      <c r="C545" s="5" t="s">
        <v>181</v>
      </c>
      <c r="D545" s="5" t="s">
        <v>478</v>
      </c>
      <c r="E545" s="5" t="s">
        <v>190</v>
      </c>
      <c r="F545" s="5" t="s">
        <v>184</v>
      </c>
      <c r="G545" s="5" t="s">
        <v>191</v>
      </c>
      <c r="H545" s="3">
        <v>5.7003127473751691</v>
      </c>
      <c r="I545" s="3">
        <v>0</v>
      </c>
      <c r="J545" s="318">
        <v>5.7003127473751691</v>
      </c>
      <c r="K545" s="3">
        <v>1.1531709926718536</v>
      </c>
      <c r="L545" s="3">
        <v>5.6936815652322181</v>
      </c>
      <c r="M545" s="318">
        <v>6.8468525579040715</v>
      </c>
      <c r="N545" s="3">
        <v>4.191804867177968</v>
      </c>
      <c r="O545" s="3">
        <v>12.034804307913763</v>
      </c>
      <c r="P545" s="3">
        <v>3.4876822656892448</v>
      </c>
      <c r="Q545" s="3">
        <v>1.8975690284974411</v>
      </c>
      <c r="R545" s="3">
        <v>5.7352246198310652</v>
      </c>
      <c r="S545" s="3">
        <v>9.5178699539282814</v>
      </c>
      <c r="T545" s="3">
        <v>22.062891608907108</v>
      </c>
      <c r="U545" s="3">
        <v>3.0662917963638803</v>
      </c>
      <c r="V545" s="318">
        <v>61.994138448308746</v>
      </c>
      <c r="W545" s="318">
        <v>74.541303753587982</v>
      </c>
      <c r="X545" s="3">
        <v>7.5330785010423407</v>
      </c>
      <c r="Y545" s="318">
        <v>82.074382254630322</v>
      </c>
    </row>
    <row r="546" spans="1:25" x14ac:dyDescent="0.2">
      <c r="A546" s="314">
        <v>2019</v>
      </c>
      <c r="B546" s="5" t="s">
        <v>466</v>
      </c>
      <c r="C546" s="5" t="s">
        <v>181</v>
      </c>
      <c r="D546" s="5" t="s">
        <v>476</v>
      </c>
      <c r="E546" s="5" t="s">
        <v>192</v>
      </c>
      <c r="F546" s="5" t="s">
        <v>184</v>
      </c>
      <c r="G546" s="5" t="s">
        <v>193</v>
      </c>
      <c r="H546" s="3">
        <v>7.0065373129466177</v>
      </c>
      <c r="I546" s="3">
        <v>0</v>
      </c>
      <c r="J546" s="318">
        <v>7.0065373129466177</v>
      </c>
      <c r="K546" s="3">
        <v>0.61275373308984837</v>
      </c>
      <c r="L546" s="3">
        <v>3.0909552296874629</v>
      </c>
      <c r="M546" s="318">
        <v>3.7037089627773114</v>
      </c>
      <c r="N546" s="3">
        <v>23.663862717475336</v>
      </c>
      <c r="O546" s="3">
        <v>1.5947098630449905</v>
      </c>
      <c r="P546" s="3">
        <v>0.46924708539058635</v>
      </c>
      <c r="Q546" s="3">
        <v>0.24156402775345226</v>
      </c>
      <c r="R546" s="3">
        <v>0.98385697784383164</v>
      </c>
      <c r="S546" s="3">
        <v>2.7390697291015798</v>
      </c>
      <c r="T546" s="3">
        <v>3.4115565425602474</v>
      </c>
      <c r="U546" s="3">
        <v>0.40653779042044108</v>
      </c>
      <c r="V546" s="318">
        <v>33.51040473359047</v>
      </c>
      <c r="W546" s="318">
        <v>44.220651009314402</v>
      </c>
      <c r="X546" s="3">
        <v>4.4689000412650843</v>
      </c>
      <c r="Y546" s="318">
        <v>48.689551050579489</v>
      </c>
    </row>
    <row r="547" spans="1:25" x14ac:dyDescent="0.2">
      <c r="A547" s="314">
        <v>2019</v>
      </c>
      <c r="B547" s="5" t="s">
        <v>466</v>
      </c>
      <c r="C547" s="5" t="s">
        <v>181</v>
      </c>
      <c r="D547" s="5" t="s">
        <v>479</v>
      </c>
      <c r="E547" s="5" t="s">
        <v>194</v>
      </c>
      <c r="F547" s="5" t="s">
        <v>184</v>
      </c>
      <c r="G547" s="5" t="s">
        <v>195</v>
      </c>
      <c r="H547" s="3">
        <v>165.71939150568619</v>
      </c>
      <c r="I547" s="3">
        <v>0</v>
      </c>
      <c r="J547" s="318">
        <v>165.71939150568619</v>
      </c>
      <c r="K547" s="3">
        <v>28.110979988701718</v>
      </c>
      <c r="L547" s="3">
        <v>20.776508909488552</v>
      </c>
      <c r="M547" s="318">
        <v>48.88748889819027</v>
      </c>
      <c r="N547" s="3">
        <v>28.555861067382686</v>
      </c>
      <c r="O547" s="3">
        <v>77.091170202269367</v>
      </c>
      <c r="P547" s="3">
        <v>9.7451039349229145</v>
      </c>
      <c r="Q547" s="3">
        <v>11.335839914561227</v>
      </c>
      <c r="R547" s="3">
        <v>22.052717050084251</v>
      </c>
      <c r="S547" s="3">
        <v>30.053698226230527</v>
      </c>
      <c r="T547" s="3">
        <v>28.715200701005696</v>
      </c>
      <c r="U547" s="3">
        <v>9.1814501616469641</v>
      </c>
      <c r="V547" s="318">
        <v>216.73104125810363</v>
      </c>
      <c r="W547" s="318">
        <v>431.33792166198009</v>
      </c>
      <c r="X547" s="3">
        <v>43.590630438896028</v>
      </c>
      <c r="Y547" s="318">
        <v>474.92855210087612</v>
      </c>
    </row>
    <row r="548" spans="1:25" x14ac:dyDescent="0.2">
      <c r="A548" s="314">
        <v>2019</v>
      </c>
      <c r="B548" s="5" t="s">
        <v>466</v>
      </c>
      <c r="C548" s="5" t="s">
        <v>181</v>
      </c>
      <c r="D548" s="5" t="s">
        <v>479</v>
      </c>
      <c r="E548" s="5" t="s">
        <v>196</v>
      </c>
      <c r="F548" s="5" t="s">
        <v>184</v>
      </c>
      <c r="G548" s="5" t="s">
        <v>197</v>
      </c>
      <c r="H548" s="3">
        <v>74.60063386614965</v>
      </c>
      <c r="I548" s="3">
        <v>0</v>
      </c>
      <c r="J548" s="318">
        <v>74.60063386614965</v>
      </c>
      <c r="K548" s="3">
        <v>150.53228087880996</v>
      </c>
      <c r="L548" s="3">
        <v>52.403084560023757</v>
      </c>
      <c r="M548" s="318">
        <v>202.93536543883371</v>
      </c>
      <c r="N548" s="3">
        <v>11.632157718076853</v>
      </c>
      <c r="O548" s="3">
        <v>38.752614603632743</v>
      </c>
      <c r="P548" s="3">
        <v>5.0334752689691804</v>
      </c>
      <c r="Q548" s="3">
        <v>4.7258328288253022</v>
      </c>
      <c r="R548" s="3">
        <v>12.761165916862751</v>
      </c>
      <c r="S548" s="3">
        <v>23.784592410406518</v>
      </c>
      <c r="T548" s="3">
        <v>18.627095760605837</v>
      </c>
      <c r="U548" s="3">
        <v>5.5789386940012635</v>
      </c>
      <c r="V548" s="318">
        <v>120.89587320138045</v>
      </c>
      <c r="W548" s="318">
        <v>398.43187250636379</v>
      </c>
      <c r="X548" s="3">
        <v>40.265174095016562</v>
      </c>
      <c r="Y548" s="318">
        <v>438.69704660138035</v>
      </c>
    </row>
    <row r="549" spans="1:25" x14ac:dyDescent="0.2">
      <c r="A549" s="314">
        <v>2019</v>
      </c>
      <c r="B549" s="5" t="s">
        <v>466</v>
      </c>
      <c r="C549" s="5" t="s">
        <v>181</v>
      </c>
      <c r="D549" s="5" t="s">
        <v>476</v>
      </c>
      <c r="E549" s="5" t="s">
        <v>198</v>
      </c>
      <c r="F549" s="5" t="s">
        <v>184</v>
      </c>
      <c r="G549" s="5" t="s">
        <v>199</v>
      </c>
      <c r="H549" s="3">
        <v>26.310642595741616</v>
      </c>
      <c r="I549" s="3">
        <v>1.1615964457502201</v>
      </c>
      <c r="J549" s="318">
        <v>27.472239041491836</v>
      </c>
      <c r="K549" s="3">
        <v>14.713292739210038</v>
      </c>
      <c r="L549" s="3">
        <v>14.808307350306476</v>
      </c>
      <c r="M549" s="318">
        <v>29.521600089516514</v>
      </c>
      <c r="N549" s="3">
        <v>29.51611768209635</v>
      </c>
      <c r="O549" s="3">
        <v>55.044358424809921</v>
      </c>
      <c r="P549" s="3">
        <v>14.187379237670182</v>
      </c>
      <c r="Q549" s="3">
        <v>6.4972484296780451</v>
      </c>
      <c r="R549" s="3">
        <v>35.950941452834741</v>
      </c>
      <c r="S549" s="3">
        <v>46.819382780127974</v>
      </c>
      <c r="T549" s="3">
        <v>87.840007492142519</v>
      </c>
      <c r="U549" s="3">
        <v>17.233798616864718</v>
      </c>
      <c r="V549" s="318">
        <v>293.08923411622442</v>
      </c>
      <c r="W549" s="318">
        <v>350.08307324723279</v>
      </c>
      <c r="X549" s="3">
        <v>35.379087027715428</v>
      </c>
      <c r="Y549" s="318">
        <v>385.46216027494825</v>
      </c>
    </row>
    <row r="550" spans="1:25" x14ac:dyDescent="0.2">
      <c r="A550" s="314">
        <v>2019</v>
      </c>
      <c r="B550" s="5" t="s">
        <v>466</v>
      </c>
      <c r="C550" s="5" t="s">
        <v>181</v>
      </c>
      <c r="D550" s="5" t="s">
        <v>476</v>
      </c>
      <c r="E550" s="5" t="s">
        <v>200</v>
      </c>
      <c r="F550" s="5" t="s">
        <v>184</v>
      </c>
      <c r="G550" s="5" t="s">
        <v>201</v>
      </c>
      <c r="H550" s="3">
        <v>7.5452652013440353</v>
      </c>
      <c r="I550" s="3">
        <v>0</v>
      </c>
      <c r="J550" s="318">
        <v>7.5452652013440353</v>
      </c>
      <c r="K550" s="3">
        <v>0.2031207106906078</v>
      </c>
      <c r="L550" s="3">
        <v>6.1381470073838544</v>
      </c>
      <c r="M550" s="318">
        <v>6.3412677180744623</v>
      </c>
      <c r="N550" s="3">
        <v>32.672737173133143</v>
      </c>
      <c r="O550" s="3">
        <v>3.65558945112332</v>
      </c>
      <c r="P550" s="3">
        <v>1.087230578456355</v>
      </c>
      <c r="Q550" s="3">
        <v>0.62922402141466127</v>
      </c>
      <c r="R550" s="3">
        <v>1.6280996660992622</v>
      </c>
      <c r="S550" s="3">
        <v>5.1329925815458042</v>
      </c>
      <c r="T550" s="3">
        <v>8.4380182364612022</v>
      </c>
      <c r="U550" s="3">
        <v>1.2445406987894698</v>
      </c>
      <c r="V550" s="318">
        <v>54.488432407023225</v>
      </c>
      <c r="W550" s="318">
        <v>68.374965326441725</v>
      </c>
      <c r="X550" s="3">
        <v>6.9099137709318752</v>
      </c>
      <c r="Y550" s="318">
        <v>75.284879097373604</v>
      </c>
    </row>
    <row r="551" spans="1:25" x14ac:dyDescent="0.2">
      <c r="A551" s="314">
        <v>2019</v>
      </c>
      <c r="B551" s="5" t="s">
        <v>466</v>
      </c>
      <c r="C551" s="5" t="s">
        <v>181</v>
      </c>
      <c r="D551" s="5" t="s">
        <v>480</v>
      </c>
      <c r="E551" s="5" t="s">
        <v>202</v>
      </c>
      <c r="F551" s="5" t="s">
        <v>184</v>
      </c>
      <c r="G551" s="5" t="s">
        <v>203</v>
      </c>
      <c r="H551" s="3">
        <v>43.89383002946817</v>
      </c>
      <c r="I551" s="3">
        <v>0</v>
      </c>
      <c r="J551" s="318">
        <v>43.89383002946817</v>
      </c>
      <c r="K551" s="3">
        <v>6.0311933940100451</v>
      </c>
      <c r="L551" s="3">
        <v>14.941614045234999</v>
      </c>
      <c r="M551" s="318">
        <v>20.972807439245045</v>
      </c>
      <c r="N551" s="3">
        <v>10.316214471136943</v>
      </c>
      <c r="O551" s="3">
        <v>33.064436591941501</v>
      </c>
      <c r="P551" s="3">
        <v>10.195366731996595</v>
      </c>
      <c r="Q551" s="3">
        <v>5.1538231727357022</v>
      </c>
      <c r="R551" s="3">
        <v>17.553702446906208</v>
      </c>
      <c r="S551" s="3">
        <v>29.71608378097509</v>
      </c>
      <c r="T551" s="3">
        <v>72.448164131997785</v>
      </c>
      <c r="U551" s="3">
        <v>7.6002738734283968</v>
      </c>
      <c r="V551" s="318">
        <v>186.04806520111819</v>
      </c>
      <c r="W551" s="318">
        <v>250.9147026698314</v>
      </c>
      <c r="X551" s="3">
        <v>25.357218845083011</v>
      </c>
      <c r="Y551" s="318">
        <v>276.27192151491442</v>
      </c>
    </row>
    <row r="552" spans="1:25" x14ac:dyDescent="0.2">
      <c r="A552" s="314">
        <v>2019</v>
      </c>
      <c r="B552" s="5" t="s">
        <v>466</v>
      </c>
      <c r="C552" s="5" t="s">
        <v>181</v>
      </c>
      <c r="D552" s="5" t="s">
        <v>480</v>
      </c>
      <c r="E552" s="5" t="s">
        <v>204</v>
      </c>
      <c r="F552" s="5" t="s">
        <v>184</v>
      </c>
      <c r="G552" s="5" t="s">
        <v>205</v>
      </c>
      <c r="H552" s="3">
        <v>16.708859211052097</v>
      </c>
      <c r="I552" s="3">
        <v>0</v>
      </c>
      <c r="J552" s="318">
        <v>16.708859211052097</v>
      </c>
      <c r="K552" s="3">
        <v>0.66302055019788875</v>
      </c>
      <c r="L552" s="3">
        <v>5.6678014254937157</v>
      </c>
      <c r="M552" s="318">
        <v>6.3308219756916042</v>
      </c>
      <c r="N552" s="3">
        <v>2.1997622439983502</v>
      </c>
      <c r="O552" s="3">
        <v>7.6531182862467064</v>
      </c>
      <c r="P552" s="3">
        <v>2.6505946933222715</v>
      </c>
      <c r="Q552" s="3">
        <v>2.1859463075075882</v>
      </c>
      <c r="R552" s="3">
        <v>8.2016727079142058</v>
      </c>
      <c r="S552" s="3">
        <v>8.1224461769426135</v>
      </c>
      <c r="T552" s="3">
        <v>18.894496961114228</v>
      </c>
      <c r="U552" s="3">
        <v>2.9378282525666832</v>
      </c>
      <c r="V552" s="318">
        <v>52.845865629612646</v>
      </c>
      <c r="W552" s="318">
        <v>75.885546816356353</v>
      </c>
      <c r="X552" s="3">
        <v>7.668926520950742</v>
      </c>
      <c r="Y552" s="318">
        <v>83.554473337307101</v>
      </c>
    </row>
    <row r="553" spans="1:25" x14ac:dyDescent="0.2">
      <c r="A553" s="314">
        <v>2019</v>
      </c>
      <c r="B553" s="5" t="s">
        <v>466</v>
      </c>
      <c r="C553" s="5" t="s">
        <v>181</v>
      </c>
      <c r="D553" s="5" t="s">
        <v>479</v>
      </c>
      <c r="E553" s="5" t="s">
        <v>206</v>
      </c>
      <c r="F553" s="5" t="s">
        <v>184</v>
      </c>
      <c r="G553" s="5" t="s">
        <v>207</v>
      </c>
      <c r="H553" s="3">
        <v>4.2463869299752703</v>
      </c>
      <c r="I553" s="3">
        <v>0</v>
      </c>
      <c r="J553" s="318">
        <v>4.2463869299752703</v>
      </c>
      <c r="K553" s="3">
        <v>1.3729094111871873</v>
      </c>
      <c r="L553" s="3">
        <v>2.0516488702321674</v>
      </c>
      <c r="M553" s="318">
        <v>3.4245582814193547</v>
      </c>
      <c r="N553" s="3">
        <v>3.3496131271693752</v>
      </c>
      <c r="O553" s="3">
        <v>6.3772089462591985</v>
      </c>
      <c r="P553" s="3">
        <v>1.4219889277129216</v>
      </c>
      <c r="Q553" s="3">
        <v>0.90990199423900253</v>
      </c>
      <c r="R553" s="3">
        <v>3.1386723991238177</v>
      </c>
      <c r="S553" s="3">
        <v>4.6029523493291462</v>
      </c>
      <c r="T553" s="3">
        <v>9.3496243282625819</v>
      </c>
      <c r="U553" s="3">
        <v>1.950954508858679</v>
      </c>
      <c r="V553" s="318">
        <v>31.100916580954724</v>
      </c>
      <c r="W553" s="318">
        <v>38.771861792349355</v>
      </c>
      <c r="X553" s="3">
        <v>3.9182502023151584</v>
      </c>
      <c r="Y553" s="318">
        <v>42.690111994664512</v>
      </c>
    </row>
    <row r="554" spans="1:25" x14ac:dyDescent="0.2">
      <c r="A554" s="314">
        <v>2019</v>
      </c>
      <c r="B554" s="5" t="s">
        <v>466</v>
      </c>
      <c r="C554" s="5" t="s">
        <v>181</v>
      </c>
      <c r="D554" s="5" t="s">
        <v>479</v>
      </c>
      <c r="E554" s="5" t="s">
        <v>208</v>
      </c>
      <c r="F554" s="5" t="s">
        <v>184</v>
      </c>
      <c r="G554" s="5" t="s">
        <v>209</v>
      </c>
      <c r="H554" s="3">
        <v>104.79428678204698</v>
      </c>
      <c r="I554" s="3">
        <v>1.2305656406302035</v>
      </c>
      <c r="J554" s="318">
        <v>106.02485242267718</v>
      </c>
      <c r="K554" s="3">
        <v>395.47901576160552</v>
      </c>
      <c r="L554" s="3">
        <v>71.438629717253605</v>
      </c>
      <c r="M554" s="318">
        <v>466.91764547885913</v>
      </c>
      <c r="N554" s="3">
        <v>20.880298296251169</v>
      </c>
      <c r="O554" s="3">
        <v>75.431199131033225</v>
      </c>
      <c r="P554" s="3">
        <v>10.938526677564809</v>
      </c>
      <c r="Q554" s="3">
        <v>12.349918564824792</v>
      </c>
      <c r="R554" s="3">
        <v>30.512981254600039</v>
      </c>
      <c r="S554" s="3">
        <v>53.781045352625313</v>
      </c>
      <c r="T554" s="3">
        <v>36.244465296932155</v>
      </c>
      <c r="U554" s="3">
        <v>10.142980645659552</v>
      </c>
      <c r="V554" s="318">
        <v>250.28141521949107</v>
      </c>
      <c r="W554" s="318">
        <v>823.22391312102741</v>
      </c>
      <c r="X554" s="3">
        <v>83.194283560910449</v>
      </c>
      <c r="Y554" s="318">
        <v>906.41819668193784</v>
      </c>
    </row>
    <row r="555" spans="1:25" x14ac:dyDescent="0.2">
      <c r="A555" s="314">
        <v>2019</v>
      </c>
      <c r="B555" s="5" t="s">
        <v>466</v>
      </c>
      <c r="C555" s="5" t="s">
        <v>181</v>
      </c>
      <c r="D555" s="5" t="s">
        <v>479</v>
      </c>
      <c r="E555" s="5" t="s">
        <v>210</v>
      </c>
      <c r="F555" s="5" t="s">
        <v>184</v>
      </c>
      <c r="G555" s="5" t="s">
        <v>211</v>
      </c>
      <c r="H555" s="3">
        <v>256.54391405149943</v>
      </c>
      <c r="I555" s="3">
        <v>5.9040076152840015</v>
      </c>
      <c r="J555" s="318">
        <v>262.44792166678343</v>
      </c>
      <c r="K555" s="3">
        <v>164.92185755830329</v>
      </c>
      <c r="L555" s="3">
        <v>112.54582764468151</v>
      </c>
      <c r="M555" s="318">
        <v>277.4676852029848</v>
      </c>
      <c r="N555" s="3">
        <v>46.832151401573071</v>
      </c>
      <c r="O555" s="3">
        <v>106.0153528489479</v>
      </c>
      <c r="P555" s="3">
        <v>15.753571998118408</v>
      </c>
      <c r="Q555" s="3">
        <v>15.335502722252247</v>
      </c>
      <c r="R555" s="3">
        <v>36.439677062047217</v>
      </c>
      <c r="S555" s="3">
        <v>69.534218386432087</v>
      </c>
      <c r="T555" s="3">
        <v>112.08006204072056</v>
      </c>
      <c r="U555" s="3">
        <v>13.921830163285131</v>
      </c>
      <c r="V555" s="318">
        <v>415.91236662337661</v>
      </c>
      <c r="W555" s="318">
        <v>955.82797349314478</v>
      </c>
      <c r="X555" s="3">
        <v>96.595133103900054</v>
      </c>
      <c r="Y555" s="318">
        <v>1052.4231065970448</v>
      </c>
    </row>
    <row r="556" spans="1:25" x14ac:dyDescent="0.2">
      <c r="A556" s="314">
        <v>2019</v>
      </c>
      <c r="B556" s="5" t="s">
        <v>466</v>
      </c>
      <c r="C556" s="5" t="s">
        <v>181</v>
      </c>
      <c r="D556" s="5" t="s">
        <v>480</v>
      </c>
      <c r="E556" s="5" t="s">
        <v>212</v>
      </c>
      <c r="F556" s="5" t="s">
        <v>184</v>
      </c>
      <c r="G556" s="5" t="s">
        <v>213</v>
      </c>
      <c r="H556" s="3">
        <v>10.127520112825211</v>
      </c>
      <c r="I556" s="3">
        <v>0.64551687951453118</v>
      </c>
      <c r="J556" s="318">
        <v>10.773036992339742</v>
      </c>
      <c r="K556" s="3">
        <v>6.1348416357459854</v>
      </c>
      <c r="L556" s="3">
        <v>0.7494508496747736</v>
      </c>
      <c r="M556" s="318">
        <v>6.884292485420759</v>
      </c>
      <c r="N556" s="3">
        <v>10.017150224883586</v>
      </c>
      <c r="O556" s="3">
        <v>14.252579587315459</v>
      </c>
      <c r="P556" s="3">
        <v>2.2376128061799516</v>
      </c>
      <c r="Q556" s="3">
        <v>1.5531194293506472</v>
      </c>
      <c r="R556" s="3">
        <v>5.7473964165723599</v>
      </c>
      <c r="S556" s="3">
        <v>9.2480131299012616</v>
      </c>
      <c r="T556" s="3">
        <v>18.630660666315855</v>
      </c>
      <c r="U556" s="3">
        <v>2.3823458236611099</v>
      </c>
      <c r="V556" s="318">
        <v>64.068878084180227</v>
      </c>
      <c r="W556" s="318">
        <v>81.726207561940726</v>
      </c>
      <c r="X556" s="3">
        <v>8.25917855142084</v>
      </c>
      <c r="Y556" s="318">
        <v>89.985386113361571</v>
      </c>
    </row>
    <row r="557" spans="1:25" x14ac:dyDescent="0.2">
      <c r="A557" s="314">
        <v>2019</v>
      </c>
      <c r="B557" s="5" t="s">
        <v>466</v>
      </c>
      <c r="C557" s="5" t="s">
        <v>181</v>
      </c>
      <c r="D557" s="5" t="s">
        <v>478</v>
      </c>
      <c r="E557" s="5" t="s">
        <v>214</v>
      </c>
      <c r="F557" s="5" t="s">
        <v>184</v>
      </c>
      <c r="G557" s="5" t="s">
        <v>215</v>
      </c>
      <c r="H557" s="3">
        <v>14.108377139338081</v>
      </c>
      <c r="I557" s="3">
        <v>0.60243652894803823</v>
      </c>
      <c r="J557" s="318">
        <v>14.71081366828612</v>
      </c>
      <c r="K557" s="3">
        <v>0.39880341616095588</v>
      </c>
      <c r="L557" s="3">
        <v>10.372397430970979</v>
      </c>
      <c r="M557" s="318">
        <v>10.771200847131935</v>
      </c>
      <c r="N557" s="3">
        <v>5.429505754005775</v>
      </c>
      <c r="O557" s="3">
        <v>27.520468740910715</v>
      </c>
      <c r="P557" s="3">
        <v>4.7358826296511634</v>
      </c>
      <c r="Q557" s="3">
        <v>2.6743211235962301</v>
      </c>
      <c r="R557" s="3">
        <v>9.1797975906854461</v>
      </c>
      <c r="S557" s="3">
        <v>14.712792924245814</v>
      </c>
      <c r="T557" s="3">
        <v>36.194096642958534</v>
      </c>
      <c r="U557" s="3">
        <v>4.5870094069818865</v>
      </c>
      <c r="V557" s="318">
        <v>105.03387481303558</v>
      </c>
      <c r="W557" s="318">
        <v>130.51588932845362</v>
      </c>
      <c r="X557" s="3">
        <v>13.189820816586812</v>
      </c>
      <c r="Y557" s="318">
        <v>143.70571014504043</v>
      </c>
    </row>
    <row r="558" spans="1:25" x14ac:dyDescent="0.2">
      <c r="A558" s="314">
        <v>2019</v>
      </c>
      <c r="B558" s="5" t="s">
        <v>466</v>
      </c>
      <c r="C558" s="5" t="s">
        <v>181</v>
      </c>
      <c r="D558" s="5" t="s">
        <v>478</v>
      </c>
      <c r="E558" s="5" t="s">
        <v>216</v>
      </c>
      <c r="F558" s="5" t="s">
        <v>184</v>
      </c>
      <c r="G558" s="5" t="s">
        <v>217</v>
      </c>
      <c r="H558" s="3">
        <v>52.02787064070769</v>
      </c>
      <c r="I558" s="3">
        <v>1.2857895292013737</v>
      </c>
      <c r="J558" s="318">
        <v>53.313660169909063</v>
      </c>
      <c r="K558" s="3">
        <v>82.265858149166618</v>
      </c>
      <c r="L558" s="3">
        <v>53.543181911924094</v>
      </c>
      <c r="M558" s="318">
        <v>135.80904006109071</v>
      </c>
      <c r="N558" s="3">
        <v>27.924732709996782</v>
      </c>
      <c r="O558" s="3">
        <v>123.23154028893592</v>
      </c>
      <c r="P558" s="3">
        <v>20.583943203137757</v>
      </c>
      <c r="Q558" s="3">
        <v>21.568410994258482</v>
      </c>
      <c r="R558" s="3">
        <v>44.689641304612877</v>
      </c>
      <c r="S558" s="3">
        <v>60.304491780116216</v>
      </c>
      <c r="T558" s="3">
        <v>106.48366188685851</v>
      </c>
      <c r="U558" s="3">
        <v>17.392916258004004</v>
      </c>
      <c r="V558" s="318">
        <v>422.17933842592049</v>
      </c>
      <c r="W558" s="318">
        <v>611.30203865692033</v>
      </c>
      <c r="X558" s="3">
        <v>61.777645589250156</v>
      </c>
      <c r="Y558" s="318">
        <v>673.07968424617047</v>
      </c>
    </row>
    <row r="559" spans="1:25" x14ac:dyDescent="0.2">
      <c r="A559" s="314">
        <v>2019</v>
      </c>
      <c r="B559" s="5" t="s">
        <v>466</v>
      </c>
      <c r="C559" s="5" t="s">
        <v>218</v>
      </c>
      <c r="D559" s="5" t="s">
        <v>481</v>
      </c>
      <c r="E559" s="5" t="s">
        <v>220</v>
      </c>
      <c r="F559" s="5" t="s">
        <v>221</v>
      </c>
      <c r="G559" s="5" t="s">
        <v>223</v>
      </c>
      <c r="H559" s="3">
        <v>8.5519575956464688</v>
      </c>
      <c r="I559" s="3">
        <v>0.48826919733412488</v>
      </c>
      <c r="J559" s="318">
        <v>9.0402267929805937</v>
      </c>
      <c r="K559" s="3">
        <v>0.37308017098343021</v>
      </c>
      <c r="L559" s="3">
        <v>2.3274810462918492</v>
      </c>
      <c r="M559" s="318">
        <v>2.7005612172752795</v>
      </c>
      <c r="N559" s="3">
        <v>3.0963368022566375</v>
      </c>
      <c r="O559" s="3">
        <v>2.0866387300887554</v>
      </c>
      <c r="P559" s="3">
        <v>0.68594365090165466</v>
      </c>
      <c r="Q559" s="3">
        <v>0.24557630042008485</v>
      </c>
      <c r="R559" s="3">
        <v>1.3690227215066051</v>
      </c>
      <c r="S559" s="3">
        <v>2.9655125539025611</v>
      </c>
      <c r="T559" s="3">
        <v>8.8053917218295599</v>
      </c>
      <c r="U559" s="3">
        <v>0.82207292030384693</v>
      </c>
      <c r="V559" s="318">
        <v>20.076495401209705</v>
      </c>
      <c r="W559" s="318">
        <v>31.817283411465578</v>
      </c>
      <c r="X559" s="3">
        <v>3.2154266367650632</v>
      </c>
      <c r="Y559" s="318">
        <v>35.032710048230641</v>
      </c>
    </row>
    <row r="560" spans="1:25" x14ac:dyDescent="0.2">
      <c r="A560" s="314">
        <v>2019</v>
      </c>
      <c r="B560" s="5" t="s">
        <v>466</v>
      </c>
      <c r="C560" s="5" t="s">
        <v>218</v>
      </c>
      <c r="D560" s="5" t="s">
        <v>482</v>
      </c>
      <c r="E560" s="5" t="s">
        <v>224</v>
      </c>
      <c r="F560" s="5" t="s">
        <v>221</v>
      </c>
      <c r="G560" s="5" t="s">
        <v>226</v>
      </c>
      <c r="H560" s="3">
        <v>50.461948999946081</v>
      </c>
      <c r="I560" s="3">
        <v>0.689871550905373</v>
      </c>
      <c r="J560" s="318">
        <v>51.151820550851454</v>
      </c>
      <c r="K560" s="3">
        <v>0.70085353150731866</v>
      </c>
      <c r="L560" s="3">
        <v>8.9613542459784661</v>
      </c>
      <c r="M560" s="318">
        <v>9.6622077774857846</v>
      </c>
      <c r="N560" s="3">
        <v>1.7895421220881422</v>
      </c>
      <c r="O560" s="3">
        <v>9.4834274511770147</v>
      </c>
      <c r="P560" s="3">
        <v>2.3716376230466327</v>
      </c>
      <c r="Q560" s="3">
        <v>1.5885825580764177</v>
      </c>
      <c r="R560" s="3">
        <v>5.4655964276628914</v>
      </c>
      <c r="S560" s="3">
        <v>9.4729429712652333</v>
      </c>
      <c r="T560" s="3">
        <v>16.477379676582686</v>
      </c>
      <c r="U560" s="3">
        <v>2.8783616658449795</v>
      </c>
      <c r="V560" s="318">
        <v>49.527470495743998</v>
      </c>
      <c r="W560" s="318">
        <v>110.34149882408124</v>
      </c>
      <c r="X560" s="3">
        <v>11.151014681903323</v>
      </c>
      <c r="Y560" s="318">
        <v>121.49251350598456</v>
      </c>
    </row>
    <row r="561" spans="1:25" x14ac:dyDescent="0.2">
      <c r="A561" s="314">
        <v>2019</v>
      </c>
      <c r="B561" s="5" t="s">
        <v>466</v>
      </c>
      <c r="C561" s="5" t="s">
        <v>218</v>
      </c>
      <c r="D561" s="5" t="s">
        <v>482</v>
      </c>
      <c r="E561" s="5" t="s">
        <v>227</v>
      </c>
      <c r="F561" s="5" t="s">
        <v>221</v>
      </c>
      <c r="G561" s="5" t="s">
        <v>228</v>
      </c>
      <c r="H561" s="3">
        <v>13.812102036343921</v>
      </c>
      <c r="I561" s="3">
        <v>0</v>
      </c>
      <c r="J561" s="318">
        <v>13.812102036343921</v>
      </c>
      <c r="K561" s="3">
        <v>1.3711537909519229</v>
      </c>
      <c r="L561" s="3">
        <v>3.252318423071503</v>
      </c>
      <c r="M561" s="318">
        <v>4.6234722140234261</v>
      </c>
      <c r="N561" s="3">
        <v>1.3342379404195324</v>
      </c>
      <c r="O561" s="3">
        <v>7.4499960039894519</v>
      </c>
      <c r="P561" s="3">
        <v>1.7524499132734879</v>
      </c>
      <c r="Q561" s="3">
        <v>1.0062170134141397</v>
      </c>
      <c r="R561" s="3">
        <v>4.8353820655331399</v>
      </c>
      <c r="S561" s="3">
        <v>5.7037028472534992</v>
      </c>
      <c r="T561" s="3">
        <v>12.887425713036166</v>
      </c>
      <c r="U561" s="3">
        <v>2.6562739234221393</v>
      </c>
      <c r="V561" s="318">
        <v>37.625685420341561</v>
      </c>
      <c r="W561" s="318">
        <v>56.061259670708914</v>
      </c>
      <c r="X561" s="3">
        <v>5.6655015233274808</v>
      </c>
      <c r="Y561" s="318">
        <v>61.726761194036392</v>
      </c>
    </row>
    <row r="562" spans="1:25" x14ac:dyDescent="0.2">
      <c r="A562" s="314">
        <v>2019</v>
      </c>
      <c r="B562" s="5" t="s">
        <v>466</v>
      </c>
      <c r="C562" s="5" t="s">
        <v>218</v>
      </c>
      <c r="D562" s="5" t="s">
        <v>482</v>
      </c>
      <c r="E562" s="5" t="s">
        <v>229</v>
      </c>
      <c r="F562" s="5" t="s">
        <v>221</v>
      </c>
      <c r="G562" s="5" t="s">
        <v>230</v>
      </c>
      <c r="H562" s="3">
        <v>6.1476924483816093</v>
      </c>
      <c r="I562" s="3">
        <v>10.998251050019253</v>
      </c>
      <c r="J562" s="318">
        <v>17.145943498400861</v>
      </c>
      <c r="K562" s="3">
        <v>5.3351559178874313</v>
      </c>
      <c r="L562" s="3">
        <v>1.302170889188857</v>
      </c>
      <c r="M562" s="318">
        <v>6.6373268070762883</v>
      </c>
      <c r="N562" s="3">
        <v>8.2483423811324315</v>
      </c>
      <c r="O562" s="3">
        <v>12.034074412203134</v>
      </c>
      <c r="P562" s="3">
        <v>2.8958944734030019</v>
      </c>
      <c r="Q562" s="3">
        <v>1.1883216883710159</v>
      </c>
      <c r="R562" s="3">
        <v>8.9330595663221928</v>
      </c>
      <c r="S562" s="3">
        <v>8.9940969718832395</v>
      </c>
      <c r="T562" s="3">
        <v>17.226364240551419</v>
      </c>
      <c r="U562" s="3">
        <v>3.6861145814516347</v>
      </c>
      <c r="V562" s="318">
        <v>63.206268315318063</v>
      </c>
      <c r="W562" s="318">
        <v>86.989538620795201</v>
      </c>
      <c r="X562" s="3">
        <v>8.791086152264441</v>
      </c>
      <c r="Y562" s="318">
        <v>95.780624773059643</v>
      </c>
    </row>
    <row r="563" spans="1:25" x14ac:dyDescent="0.2">
      <c r="A563" s="314">
        <v>2019</v>
      </c>
      <c r="B563" s="5" t="s">
        <v>466</v>
      </c>
      <c r="C563" s="5" t="s">
        <v>218</v>
      </c>
      <c r="D563" s="5" t="s">
        <v>482</v>
      </c>
      <c r="E563" s="5" t="s">
        <v>231</v>
      </c>
      <c r="F563" s="5" t="s">
        <v>221</v>
      </c>
      <c r="G563" s="5" t="s">
        <v>232</v>
      </c>
      <c r="H563" s="3">
        <v>30.710176342806196</v>
      </c>
      <c r="I563" s="3">
        <v>0</v>
      </c>
      <c r="J563" s="318">
        <v>30.710176342806196</v>
      </c>
      <c r="K563" s="3">
        <v>2.3350668869571685</v>
      </c>
      <c r="L563" s="3">
        <v>5.8415546414079067</v>
      </c>
      <c r="M563" s="318">
        <v>8.1766215283650752</v>
      </c>
      <c r="N563" s="3">
        <v>1.8110477789634951</v>
      </c>
      <c r="O563" s="3">
        <v>10.198034594215352</v>
      </c>
      <c r="P563" s="3">
        <v>3.2106508993474892</v>
      </c>
      <c r="Q563" s="3">
        <v>2.1353217720123814</v>
      </c>
      <c r="R563" s="3">
        <v>6.9927732886688343</v>
      </c>
      <c r="S563" s="3">
        <v>9.8227805635737617</v>
      </c>
      <c r="T563" s="3">
        <v>22.426232952353196</v>
      </c>
      <c r="U563" s="3">
        <v>3.5173749192523713</v>
      </c>
      <c r="V563" s="318">
        <v>60.114216768386882</v>
      </c>
      <c r="W563" s="318">
        <v>99.00101463955815</v>
      </c>
      <c r="X563" s="3">
        <v>10.004955338961802</v>
      </c>
      <c r="Y563" s="318">
        <v>109.00596997851996</v>
      </c>
    </row>
    <row r="564" spans="1:25" x14ac:dyDescent="0.2">
      <c r="A564" s="314">
        <v>2019</v>
      </c>
      <c r="B564" s="5" t="s">
        <v>466</v>
      </c>
      <c r="C564" s="5" t="s">
        <v>218</v>
      </c>
      <c r="D564" s="5" t="s">
        <v>481</v>
      </c>
      <c r="E564" s="5" t="s">
        <v>233</v>
      </c>
      <c r="F564" s="5" t="s">
        <v>221</v>
      </c>
      <c r="G564" s="5" t="s">
        <v>234</v>
      </c>
      <c r="H564" s="3">
        <v>33.232940588612884</v>
      </c>
      <c r="I564" s="3">
        <v>0</v>
      </c>
      <c r="J564" s="318">
        <v>33.232940588612884</v>
      </c>
      <c r="K564" s="3">
        <v>1.8469565335620384</v>
      </c>
      <c r="L564" s="3">
        <v>17.949310915265187</v>
      </c>
      <c r="M564" s="318">
        <v>19.796267448827226</v>
      </c>
      <c r="N564" s="3">
        <v>9.0065389532655225</v>
      </c>
      <c r="O564" s="3">
        <v>24.89942940657367</v>
      </c>
      <c r="P564" s="3">
        <v>4.7709871286133003</v>
      </c>
      <c r="Q564" s="3">
        <v>2.5771751422283682</v>
      </c>
      <c r="R564" s="3">
        <v>11.468099989412845</v>
      </c>
      <c r="S564" s="3">
        <v>17.093471342151751</v>
      </c>
      <c r="T564" s="3">
        <v>40.299857938572465</v>
      </c>
      <c r="U564" s="3">
        <v>5.2926053184330861</v>
      </c>
      <c r="V564" s="318">
        <v>115.40816521925103</v>
      </c>
      <c r="W564" s="318">
        <v>168.43737325669113</v>
      </c>
      <c r="X564" s="3">
        <v>17.022132580971242</v>
      </c>
      <c r="Y564" s="318">
        <v>185.45950583766236</v>
      </c>
    </row>
    <row r="565" spans="1:25" x14ac:dyDescent="0.2">
      <c r="A565" s="314">
        <v>2019</v>
      </c>
      <c r="B565" s="5" t="s">
        <v>466</v>
      </c>
      <c r="C565" s="5" t="s">
        <v>218</v>
      </c>
      <c r="D565" s="5" t="s">
        <v>481</v>
      </c>
      <c r="E565" s="5" t="s">
        <v>235</v>
      </c>
      <c r="F565" s="5" t="s">
        <v>221</v>
      </c>
      <c r="G565" s="5" t="s">
        <v>236</v>
      </c>
      <c r="H565" s="3">
        <v>73.052079159780931</v>
      </c>
      <c r="I565" s="3">
        <v>27.593418637101394</v>
      </c>
      <c r="J565" s="318">
        <v>100.64549779688232</v>
      </c>
      <c r="K565" s="3">
        <v>2.2654443616686488</v>
      </c>
      <c r="L565" s="3">
        <v>21.053879944479977</v>
      </c>
      <c r="M565" s="318">
        <v>23.319324306148626</v>
      </c>
      <c r="N565" s="3">
        <v>6.5931832882196311</v>
      </c>
      <c r="O565" s="3">
        <v>49.07639896408056</v>
      </c>
      <c r="P565" s="3">
        <v>8.8479683947443064</v>
      </c>
      <c r="Q565" s="3">
        <v>5.8393263638638864</v>
      </c>
      <c r="R565" s="3">
        <v>16.332630999126906</v>
      </c>
      <c r="S565" s="3">
        <v>28.995064728370405</v>
      </c>
      <c r="T565" s="3">
        <v>52.32720286734483</v>
      </c>
      <c r="U565" s="3">
        <v>6.4498711075144941</v>
      </c>
      <c r="V565" s="318">
        <v>174.46164671326503</v>
      </c>
      <c r="W565" s="318">
        <v>298.42646881629594</v>
      </c>
      <c r="X565" s="3">
        <v>30.158716083280371</v>
      </c>
      <c r="Y565" s="318">
        <v>328.58518489957629</v>
      </c>
    </row>
    <row r="566" spans="1:25" x14ac:dyDescent="0.2">
      <c r="A566" s="314">
        <v>2019</v>
      </c>
      <c r="B566" s="5" t="s">
        <v>466</v>
      </c>
      <c r="C566" s="5" t="s">
        <v>218</v>
      </c>
      <c r="D566" s="5" t="s">
        <v>482</v>
      </c>
      <c r="E566" s="5" t="s">
        <v>237</v>
      </c>
      <c r="F566" s="5" t="s">
        <v>221</v>
      </c>
      <c r="G566" s="5" t="s">
        <v>238</v>
      </c>
      <c r="H566" s="3">
        <v>124.83257327688594</v>
      </c>
      <c r="I566" s="3">
        <v>0</v>
      </c>
      <c r="J566" s="318">
        <v>124.83257327688594</v>
      </c>
      <c r="K566" s="3">
        <v>8.5771848954622598</v>
      </c>
      <c r="L566" s="3">
        <v>12.337384775632295</v>
      </c>
      <c r="M566" s="318">
        <v>20.914569671094554</v>
      </c>
      <c r="N566" s="3">
        <v>4.2362448141351798</v>
      </c>
      <c r="O566" s="3">
        <v>19.317575031622173</v>
      </c>
      <c r="P566" s="3">
        <v>5.6429693975782014</v>
      </c>
      <c r="Q566" s="3">
        <v>2.3512068239001231</v>
      </c>
      <c r="R566" s="3">
        <v>13.522514989603916</v>
      </c>
      <c r="S566" s="3">
        <v>15.276326263939957</v>
      </c>
      <c r="T566" s="3">
        <v>26.562057600314223</v>
      </c>
      <c r="U566" s="3">
        <v>6.0700172218094961</v>
      </c>
      <c r="V566" s="318">
        <v>92.978912142903269</v>
      </c>
      <c r="W566" s="318">
        <v>238.72605509088376</v>
      </c>
      <c r="X566" s="3">
        <v>24.125444856566833</v>
      </c>
      <c r="Y566" s="318">
        <v>262.85149994745058</v>
      </c>
    </row>
    <row r="567" spans="1:25" x14ac:dyDescent="0.2">
      <c r="A567" s="314">
        <v>2019</v>
      </c>
      <c r="B567" s="5" t="s">
        <v>466</v>
      </c>
      <c r="C567" s="5" t="s">
        <v>218</v>
      </c>
      <c r="D567" s="5" t="s">
        <v>481</v>
      </c>
      <c r="E567" s="5" t="s">
        <v>239</v>
      </c>
      <c r="F567" s="5" t="s">
        <v>221</v>
      </c>
      <c r="G567" s="5" t="s">
        <v>240</v>
      </c>
      <c r="H567" s="3">
        <v>33.815007763077617</v>
      </c>
      <c r="I567" s="3">
        <v>4.3557534158322539</v>
      </c>
      <c r="J567" s="318">
        <v>38.170761178909871</v>
      </c>
      <c r="K567" s="3">
        <v>2.9963412506229461</v>
      </c>
      <c r="L567" s="3">
        <v>18.46322274017399</v>
      </c>
      <c r="M567" s="318">
        <v>21.459563990796937</v>
      </c>
      <c r="N567" s="3">
        <v>15.239271225682058</v>
      </c>
      <c r="O567" s="3">
        <v>44.615402171932359</v>
      </c>
      <c r="P567" s="3">
        <v>8.3221402635975519</v>
      </c>
      <c r="Q567" s="3">
        <v>6.0491038042698122</v>
      </c>
      <c r="R567" s="3">
        <v>12.476505553894853</v>
      </c>
      <c r="S567" s="3">
        <v>21.351538239450786</v>
      </c>
      <c r="T567" s="3">
        <v>45.312491945621787</v>
      </c>
      <c r="U567" s="3">
        <v>5.9644977697137547</v>
      </c>
      <c r="V567" s="318">
        <v>159.33095097416296</v>
      </c>
      <c r="W567" s="318">
        <v>218.96127614386978</v>
      </c>
      <c r="X567" s="3">
        <v>22.128033705082402</v>
      </c>
      <c r="Y567" s="318">
        <v>241.08930984895218</v>
      </c>
    </row>
    <row r="568" spans="1:25" x14ac:dyDescent="0.2">
      <c r="A568" s="314">
        <v>2019</v>
      </c>
      <c r="B568" s="5" t="s">
        <v>466</v>
      </c>
      <c r="C568" s="5" t="s">
        <v>218</v>
      </c>
      <c r="D568" s="5" t="s">
        <v>482</v>
      </c>
      <c r="E568" s="5" t="s">
        <v>241</v>
      </c>
      <c r="F568" s="5" t="s">
        <v>221</v>
      </c>
      <c r="G568" s="5" t="s">
        <v>242</v>
      </c>
      <c r="H568" s="3">
        <v>11.691237223495669</v>
      </c>
      <c r="I568" s="3">
        <v>0</v>
      </c>
      <c r="J568" s="318">
        <v>11.691237223495669</v>
      </c>
      <c r="K568" s="3">
        <v>0.85934811022148472</v>
      </c>
      <c r="L568" s="3">
        <v>3.8346247889607086</v>
      </c>
      <c r="M568" s="318">
        <v>4.6939728991821932</v>
      </c>
      <c r="N568" s="3">
        <v>1.6862499605351231</v>
      </c>
      <c r="O568" s="3">
        <v>10.03888054662445</v>
      </c>
      <c r="P568" s="3">
        <v>1.6123423208240846</v>
      </c>
      <c r="Q568" s="3">
        <v>0.72068730850166707</v>
      </c>
      <c r="R568" s="3">
        <v>4.5310030301737987</v>
      </c>
      <c r="S568" s="3">
        <v>6.6830557080129935</v>
      </c>
      <c r="T568" s="3">
        <v>13.303959679049719</v>
      </c>
      <c r="U568" s="3">
        <v>2.9401134707316188</v>
      </c>
      <c r="V568" s="318">
        <v>41.516292024453449</v>
      </c>
      <c r="W568" s="318">
        <v>57.90150214713131</v>
      </c>
      <c r="X568" s="3">
        <v>5.8514748071013827</v>
      </c>
      <c r="Y568" s="318">
        <v>63.752976954232693</v>
      </c>
    </row>
    <row r="569" spans="1:25" x14ac:dyDescent="0.2">
      <c r="A569" s="314">
        <v>2019</v>
      </c>
      <c r="B569" s="5" t="s">
        <v>466</v>
      </c>
      <c r="C569" s="5" t="s">
        <v>218</v>
      </c>
      <c r="D569" s="5" t="s">
        <v>482</v>
      </c>
      <c r="E569" s="5" t="s">
        <v>243</v>
      </c>
      <c r="F569" s="5" t="s">
        <v>221</v>
      </c>
      <c r="G569" s="5" t="s">
        <v>244</v>
      </c>
      <c r="H569" s="3">
        <v>14.681395317372367</v>
      </c>
      <c r="I569" s="3">
        <v>0</v>
      </c>
      <c r="J569" s="318">
        <v>14.681395317372367</v>
      </c>
      <c r="K569" s="3">
        <v>1.0675067072051581</v>
      </c>
      <c r="L569" s="3">
        <v>3.7771492924819974</v>
      </c>
      <c r="M569" s="318">
        <v>4.8446559996871557</v>
      </c>
      <c r="N569" s="3">
        <v>1.9181486763974793</v>
      </c>
      <c r="O569" s="3">
        <v>7.7796431408244091</v>
      </c>
      <c r="P569" s="3">
        <v>1.7840532473305095</v>
      </c>
      <c r="Q569" s="3">
        <v>1.1579876510444997</v>
      </c>
      <c r="R569" s="3">
        <v>4.5658415407741293</v>
      </c>
      <c r="S569" s="3">
        <v>6.0622083773280506</v>
      </c>
      <c r="T569" s="3">
        <v>13.332591342706797</v>
      </c>
      <c r="U569" s="3">
        <v>1.9334469995558725</v>
      </c>
      <c r="V569" s="318">
        <v>38.533920975961749</v>
      </c>
      <c r="W569" s="318">
        <v>58.059972293021275</v>
      </c>
      <c r="X569" s="3">
        <v>5.8674896604638471</v>
      </c>
      <c r="Y569" s="318">
        <v>63.927461953485121</v>
      </c>
    </row>
    <row r="570" spans="1:25" x14ac:dyDescent="0.2">
      <c r="A570" s="314">
        <v>2019</v>
      </c>
      <c r="B570" s="5" t="s">
        <v>466</v>
      </c>
      <c r="C570" s="5" t="s">
        <v>218</v>
      </c>
      <c r="D570" s="5" t="s">
        <v>482</v>
      </c>
      <c r="E570" s="5" t="s">
        <v>245</v>
      </c>
      <c r="F570" s="5" t="s">
        <v>221</v>
      </c>
      <c r="G570" s="5" t="s">
        <v>246</v>
      </c>
      <c r="H570" s="3">
        <v>23.568298367163528</v>
      </c>
      <c r="I570" s="3">
        <v>0</v>
      </c>
      <c r="J570" s="318">
        <v>23.568298367163528</v>
      </c>
      <c r="K570" s="3">
        <v>0.31663792245741607</v>
      </c>
      <c r="L570" s="3">
        <v>8.7877648282379823</v>
      </c>
      <c r="M570" s="318">
        <v>9.1044027506953977</v>
      </c>
      <c r="N570" s="3">
        <v>2.851498257242425</v>
      </c>
      <c r="O570" s="3">
        <v>14.698205679258683</v>
      </c>
      <c r="P570" s="3">
        <v>3.3754943049495196</v>
      </c>
      <c r="Q570" s="3">
        <v>8.6145064594030281</v>
      </c>
      <c r="R570" s="3">
        <v>5.3906969771628086</v>
      </c>
      <c r="S570" s="3">
        <v>11.210731245385713</v>
      </c>
      <c r="T570" s="3">
        <v>22.792356440742914</v>
      </c>
      <c r="U570" s="3">
        <v>6.2928895295845422</v>
      </c>
      <c r="V570" s="318">
        <v>75.226378893729631</v>
      </c>
      <c r="W570" s="318">
        <v>107.89908001158855</v>
      </c>
      <c r="X570" s="3">
        <v>10.904185988005626</v>
      </c>
      <c r="Y570" s="318">
        <v>118.80326599959417</v>
      </c>
    </row>
    <row r="571" spans="1:25" x14ac:dyDescent="0.2">
      <c r="A571" s="314">
        <v>2019</v>
      </c>
      <c r="B571" s="5" t="s">
        <v>466</v>
      </c>
      <c r="C571" s="5" t="s">
        <v>218</v>
      </c>
      <c r="D571" s="5" t="s">
        <v>482</v>
      </c>
      <c r="E571" s="5" t="s">
        <v>247</v>
      </c>
      <c r="F571" s="5" t="s">
        <v>221</v>
      </c>
      <c r="G571" s="5" t="s">
        <v>248</v>
      </c>
      <c r="H571" s="3">
        <v>6.3933734713292436</v>
      </c>
      <c r="I571" s="3">
        <v>7.5868502138503047E-2</v>
      </c>
      <c r="J571" s="318">
        <v>6.4692419734677467</v>
      </c>
      <c r="K571" s="3">
        <v>0.15391525228350447</v>
      </c>
      <c r="L571" s="3">
        <v>3.0174157706180602</v>
      </c>
      <c r="M571" s="318">
        <v>3.1713310229015645</v>
      </c>
      <c r="N571" s="3">
        <v>2.8845973147946036</v>
      </c>
      <c r="O571" s="3">
        <v>6.6909179261689573</v>
      </c>
      <c r="P571" s="3">
        <v>1.4192878165591969</v>
      </c>
      <c r="Q571" s="3">
        <v>0.33417396675035044</v>
      </c>
      <c r="R571" s="3">
        <v>3.5928953775506445</v>
      </c>
      <c r="S571" s="3">
        <v>4.3427539778602942</v>
      </c>
      <c r="T571" s="3">
        <v>7.9288094422258686</v>
      </c>
      <c r="U571" s="3">
        <v>1.6700440640139245</v>
      </c>
      <c r="V571" s="318">
        <v>28.863479885923844</v>
      </c>
      <c r="W571" s="318">
        <v>38.504052882293152</v>
      </c>
      <c r="X571" s="3">
        <v>3.8911856697520988</v>
      </c>
      <c r="Y571" s="318">
        <v>42.395238552045249</v>
      </c>
    </row>
    <row r="572" spans="1:25" x14ac:dyDescent="0.2">
      <c r="A572" s="314">
        <v>2019</v>
      </c>
      <c r="B572" s="5" t="s">
        <v>466</v>
      </c>
      <c r="C572" s="5" t="s">
        <v>218</v>
      </c>
      <c r="D572" s="5" t="s">
        <v>481</v>
      </c>
      <c r="E572" s="5" t="s">
        <v>249</v>
      </c>
      <c r="F572" s="5" t="s">
        <v>221</v>
      </c>
      <c r="G572" s="5" t="s">
        <v>250</v>
      </c>
      <c r="H572" s="3">
        <v>15.485459667122242</v>
      </c>
      <c r="I572" s="3">
        <v>0</v>
      </c>
      <c r="J572" s="318">
        <v>15.485459667122242</v>
      </c>
      <c r="K572" s="3">
        <v>0.78363063067415573</v>
      </c>
      <c r="L572" s="3">
        <v>5.6079597520744224</v>
      </c>
      <c r="M572" s="318">
        <v>6.3915903827485785</v>
      </c>
      <c r="N572" s="3">
        <v>1.4497361352172795</v>
      </c>
      <c r="O572" s="3">
        <v>5.1805844106466914</v>
      </c>
      <c r="P572" s="3">
        <v>2.7114815557024272</v>
      </c>
      <c r="Q572" s="3">
        <v>1.6360470526929249</v>
      </c>
      <c r="R572" s="3">
        <v>5.676691916257063</v>
      </c>
      <c r="S572" s="3">
        <v>9.9978094962198565</v>
      </c>
      <c r="T572" s="3">
        <v>26.736409052848888</v>
      </c>
      <c r="U572" s="3">
        <v>2.3403655022750129</v>
      </c>
      <c r="V572" s="318">
        <v>55.729125121860143</v>
      </c>
      <c r="W572" s="318">
        <v>77.606175171730968</v>
      </c>
      <c r="X572" s="3">
        <v>7.8428117070081766</v>
      </c>
      <c r="Y572" s="318">
        <v>85.448986878739149</v>
      </c>
    </row>
    <row r="573" spans="1:25" x14ac:dyDescent="0.2">
      <c r="A573" s="314">
        <v>2019</v>
      </c>
      <c r="B573" s="5" t="s">
        <v>466</v>
      </c>
      <c r="C573" s="5" t="s">
        <v>218</v>
      </c>
      <c r="D573" s="5" t="s">
        <v>482</v>
      </c>
      <c r="E573" s="5" t="s">
        <v>251</v>
      </c>
      <c r="F573" s="5" t="s">
        <v>221</v>
      </c>
      <c r="G573" s="5" t="s">
        <v>252</v>
      </c>
      <c r="H573" s="3">
        <v>15.671247867194737</v>
      </c>
      <c r="I573" s="3">
        <v>0</v>
      </c>
      <c r="J573" s="318">
        <v>15.671247867194737</v>
      </c>
      <c r="K573" s="3">
        <v>5.1980795944319009</v>
      </c>
      <c r="L573" s="3">
        <v>2.0983439314521384</v>
      </c>
      <c r="M573" s="318">
        <v>7.2964235258840393</v>
      </c>
      <c r="N573" s="3">
        <v>3.0444878212952773</v>
      </c>
      <c r="O573" s="3">
        <v>8.7770156391096315</v>
      </c>
      <c r="P573" s="3">
        <v>3.4135502251963592</v>
      </c>
      <c r="Q573" s="3">
        <v>1.932335104789731</v>
      </c>
      <c r="R573" s="3">
        <v>7.6111707326549185</v>
      </c>
      <c r="S573" s="3">
        <v>9.4832385742357381</v>
      </c>
      <c r="T573" s="3">
        <v>26.028270304805002</v>
      </c>
      <c r="U573" s="3">
        <v>2.6601473427011966</v>
      </c>
      <c r="V573" s="318">
        <v>62.950215744787855</v>
      </c>
      <c r="W573" s="318">
        <v>85.917887137866629</v>
      </c>
      <c r="X573" s="3">
        <v>8.6827859973148307</v>
      </c>
      <c r="Y573" s="318">
        <v>94.600673135181466</v>
      </c>
    </row>
    <row r="574" spans="1:25" x14ac:dyDescent="0.2">
      <c r="A574" s="314">
        <v>2019</v>
      </c>
      <c r="B574" s="5" t="s">
        <v>466</v>
      </c>
      <c r="C574" s="5" t="s">
        <v>218</v>
      </c>
      <c r="D574" s="5" t="s">
        <v>482</v>
      </c>
      <c r="E574" s="5" t="s">
        <v>253</v>
      </c>
      <c r="F574" s="5" t="s">
        <v>221</v>
      </c>
      <c r="G574" s="5" t="s">
        <v>254</v>
      </c>
      <c r="H574" s="3">
        <v>15.821460019032418</v>
      </c>
      <c r="I574" s="3">
        <v>0</v>
      </c>
      <c r="J574" s="318">
        <v>15.821460019032418</v>
      </c>
      <c r="K574" s="3">
        <v>1.9701416704631884</v>
      </c>
      <c r="L574" s="3">
        <v>15.574458368672907</v>
      </c>
      <c r="M574" s="318">
        <v>17.544600039136096</v>
      </c>
      <c r="N574" s="3">
        <v>12.671968158556925</v>
      </c>
      <c r="O574" s="3">
        <v>60.086233697918686</v>
      </c>
      <c r="P574" s="3">
        <v>6.6622922583222435</v>
      </c>
      <c r="Q574" s="3">
        <v>3.1667101335119368</v>
      </c>
      <c r="R574" s="3">
        <v>31.918828747317257</v>
      </c>
      <c r="S574" s="3">
        <v>23.311324012838281</v>
      </c>
      <c r="T574" s="3">
        <v>34.288495102590765</v>
      </c>
      <c r="U574" s="3">
        <v>6.7020603087468835</v>
      </c>
      <c r="V574" s="318">
        <v>178.80791241980296</v>
      </c>
      <c r="W574" s="318">
        <v>212.17397247797149</v>
      </c>
      <c r="X574" s="3">
        <v>21.442114774892467</v>
      </c>
      <c r="Y574" s="318">
        <v>233.61608725286396</v>
      </c>
    </row>
    <row r="575" spans="1:25" x14ac:dyDescent="0.2">
      <c r="A575" s="314">
        <v>2019</v>
      </c>
      <c r="B575" s="5" t="s">
        <v>466</v>
      </c>
      <c r="C575" s="5" t="s">
        <v>218</v>
      </c>
      <c r="D575" s="5" t="s">
        <v>482</v>
      </c>
      <c r="E575" s="5" t="s">
        <v>255</v>
      </c>
      <c r="F575" s="5" t="s">
        <v>221</v>
      </c>
      <c r="G575" s="5" t="s">
        <v>256</v>
      </c>
      <c r="H575" s="3">
        <v>89.679175518850769</v>
      </c>
      <c r="I575" s="3">
        <v>2.4791684965514662</v>
      </c>
      <c r="J575" s="318">
        <v>92.158344015402236</v>
      </c>
      <c r="K575" s="3">
        <v>6.9159010580918476</v>
      </c>
      <c r="L575" s="3">
        <v>25.913220041736842</v>
      </c>
      <c r="M575" s="318">
        <v>32.82912109982869</v>
      </c>
      <c r="N575" s="3">
        <v>19.137025068694317</v>
      </c>
      <c r="O575" s="3">
        <v>84.457185397287816</v>
      </c>
      <c r="P575" s="3">
        <v>10.183320406941645</v>
      </c>
      <c r="Q575" s="3">
        <v>10.269687470500424</v>
      </c>
      <c r="R575" s="3">
        <v>30.708492473114099</v>
      </c>
      <c r="S575" s="3">
        <v>37.440485248178121</v>
      </c>
      <c r="T575" s="3">
        <v>78.711835569320527</v>
      </c>
      <c r="U575" s="3">
        <v>10.189818353344473</v>
      </c>
      <c r="V575" s="318">
        <v>281.09784998738149</v>
      </c>
      <c r="W575" s="318">
        <v>406.08531510261241</v>
      </c>
      <c r="X575" s="3">
        <v>41.03862426260887</v>
      </c>
      <c r="Y575" s="318">
        <v>447.1239393652213</v>
      </c>
    </row>
    <row r="576" spans="1:25" x14ac:dyDescent="0.2">
      <c r="A576" s="314">
        <v>2019</v>
      </c>
      <c r="B576" s="5" t="s">
        <v>466</v>
      </c>
      <c r="C576" s="5" t="s">
        <v>218</v>
      </c>
      <c r="D576" s="5" t="s">
        <v>482</v>
      </c>
      <c r="E576" s="5" t="s">
        <v>257</v>
      </c>
      <c r="F576" s="5" t="s">
        <v>221</v>
      </c>
      <c r="G576" s="5" t="s">
        <v>258</v>
      </c>
      <c r="H576" s="3">
        <v>20.036013398210734</v>
      </c>
      <c r="I576" s="3">
        <v>0.23971695061000631</v>
      </c>
      <c r="J576" s="318">
        <v>20.275730348820741</v>
      </c>
      <c r="K576" s="3">
        <v>1.0583137285983333</v>
      </c>
      <c r="L576" s="3">
        <v>13.848024307960056</v>
      </c>
      <c r="M576" s="318">
        <v>14.90633803655839</v>
      </c>
      <c r="N576" s="3">
        <v>8.8370089078393548</v>
      </c>
      <c r="O576" s="3">
        <v>37.216420767324983</v>
      </c>
      <c r="P576" s="3">
        <v>6.380413198780813</v>
      </c>
      <c r="Q576" s="3">
        <v>3.2632819128688264</v>
      </c>
      <c r="R576" s="3">
        <v>20.470716761778231</v>
      </c>
      <c r="S576" s="3">
        <v>21.326420395932328</v>
      </c>
      <c r="T576" s="3">
        <v>37.08725907513255</v>
      </c>
      <c r="U576" s="3">
        <v>7.4405793718308963</v>
      </c>
      <c r="V576" s="318">
        <v>142.02210039148798</v>
      </c>
      <c r="W576" s="318">
        <v>177.20416877686711</v>
      </c>
      <c r="X576" s="3">
        <v>17.908097214409693</v>
      </c>
      <c r="Y576" s="318">
        <v>195.11226599127679</v>
      </c>
    </row>
    <row r="577" spans="1:25" x14ac:dyDescent="0.2">
      <c r="A577" s="314">
        <v>2019</v>
      </c>
      <c r="B577" s="5" t="s">
        <v>466</v>
      </c>
      <c r="C577" s="5" t="s">
        <v>218</v>
      </c>
      <c r="D577" s="5" t="s">
        <v>481</v>
      </c>
      <c r="E577" s="5" t="s">
        <v>259</v>
      </c>
      <c r="F577" s="5" t="s">
        <v>221</v>
      </c>
      <c r="G577" s="5" t="s">
        <v>260</v>
      </c>
      <c r="H577" s="3">
        <v>35.656632908223933</v>
      </c>
      <c r="I577" s="3">
        <v>0</v>
      </c>
      <c r="J577" s="318">
        <v>35.656632908223933</v>
      </c>
      <c r="K577" s="3">
        <v>0.61763615090521562</v>
      </c>
      <c r="L577" s="3">
        <v>7.1863271379345965</v>
      </c>
      <c r="M577" s="318">
        <v>7.8039632888398121</v>
      </c>
      <c r="N577" s="3">
        <v>3.1426017262837584</v>
      </c>
      <c r="O577" s="3">
        <v>10.812355508186391</v>
      </c>
      <c r="P577" s="3">
        <v>2.4483980728615298</v>
      </c>
      <c r="Q577" s="3">
        <v>1.1781736236065457</v>
      </c>
      <c r="R577" s="3">
        <v>4.8061603698317601</v>
      </c>
      <c r="S577" s="3">
        <v>7.1099152313511889</v>
      </c>
      <c r="T577" s="3">
        <v>13.47853941317341</v>
      </c>
      <c r="U577" s="3">
        <v>2.9798118680859553</v>
      </c>
      <c r="V577" s="318">
        <v>45.955955813380534</v>
      </c>
      <c r="W577" s="318">
        <v>89.416552010444278</v>
      </c>
      <c r="X577" s="3">
        <v>9.0363579876987288</v>
      </c>
      <c r="Y577" s="318">
        <v>98.452909998143014</v>
      </c>
    </row>
    <row r="578" spans="1:25" x14ac:dyDescent="0.2">
      <c r="A578" s="314">
        <v>2019</v>
      </c>
      <c r="B578" s="5" t="s">
        <v>466</v>
      </c>
      <c r="C578" s="5" t="s">
        <v>261</v>
      </c>
      <c r="D578" s="5" t="s">
        <v>483</v>
      </c>
      <c r="E578" s="5" t="s">
        <v>263</v>
      </c>
      <c r="F578" s="5" t="s">
        <v>264</v>
      </c>
      <c r="G578" s="5" t="s">
        <v>265</v>
      </c>
      <c r="H578" s="3">
        <v>77.045602463149919</v>
      </c>
      <c r="I578" s="3">
        <v>1.2561829450913535</v>
      </c>
      <c r="J578" s="318">
        <v>78.301785408241273</v>
      </c>
      <c r="K578" s="3">
        <v>4.7792389519705853</v>
      </c>
      <c r="L578" s="3">
        <v>15.772755977323731</v>
      </c>
      <c r="M578" s="318">
        <v>20.551994929294317</v>
      </c>
      <c r="N578" s="3">
        <v>6.1358747870909767</v>
      </c>
      <c r="O578" s="3">
        <v>29.159677180032347</v>
      </c>
      <c r="P578" s="3">
        <v>8.0147082180238822</v>
      </c>
      <c r="Q578" s="3">
        <v>5.4701130197058552</v>
      </c>
      <c r="R578" s="3">
        <v>24.690639639190067</v>
      </c>
      <c r="S578" s="3">
        <v>20.857547805032556</v>
      </c>
      <c r="T578" s="3">
        <v>42.461493706347973</v>
      </c>
      <c r="U578" s="3">
        <v>8.853418039632988</v>
      </c>
      <c r="V578" s="318">
        <v>145.64347239505665</v>
      </c>
      <c r="W578" s="318">
        <v>244.49725273259224</v>
      </c>
      <c r="X578" s="3">
        <v>24.708677006942633</v>
      </c>
      <c r="Y578" s="318">
        <v>269.20592973953489</v>
      </c>
    </row>
    <row r="579" spans="1:25" x14ac:dyDescent="0.2">
      <c r="A579" s="314">
        <v>2019</v>
      </c>
      <c r="B579" s="5" t="s">
        <v>466</v>
      </c>
      <c r="C579" s="5" t="s">
        <v>261</v>
      </c>
      <c r="D579" s="5" t="s">
        <v>484</v>
      </c>
      <c r="E579" s="5" t="s">
        <v>266</v>
      </c>
      <c r="F579" s="5" t="s">
        <v>264</v>
      </c>
      <c r="G579" s="5" t="s">
        <v>268</v>
      </c>
      <c r="H579" s="3">
        <v>7.401577308280995</v>
      </c>
      <c r="I579" s="3">
        <v>0</v>
      </c>
      <c r="J579" s="318">
        <v>7.401577308280995</v>
      </c>
      <c r="K579" s="3">
        <v>0.75129592856152516</v>
      </c>
      <c r="L579" s="3">
        <v>4.2848774463016062</v>
      </c>
      <c r="M579" s="318">
        <v>5.0361733748631314</v>
      </c>
      <c r="N579" s="3">
        <v>17.228388726264615</v>
      </c>
      <c r="O579" s="3">
        <v>7.022167040583545</v>
      </c>
      <c r="P579" s="3">
        <v>1.0548881513240984</v>
      </c>
      <c r="Q579" s="3">
        <v>0.65045906462645531</v>
      </c>
      <c r="R579" s="3">
        <v>4.0865286193164554</v>
      </c>
      <c r="S579" s="3">
        <v>4.8077327458680958</v>
      </c>
      <c r="T579" s="3">
        <v>8.4136257162402206</v>
      </c>
      <c r="U579" s="3">
        <v>1.1544418518877142</v>
      </c>
      <c r="V579" s="318">
        <v>44.418231916111196</v>
      </c>
      <c r="W579" s="318">
        <v>56.855982599255327</v>
      </c>
      <c r="X579" s="3">
        <v>5.7458155224910694</v>
      </c>
      <c r="Y579" s="318">
        <v>62.601798121746398</v>
      </c>
    </row>
    <row r="580" spans="1:25" x14ac:dyDescent="0.2">
      <c r="A580" s="314">
        <v>2019</v>
      </c>
      <c r="B580" s="5" t="s">
        <v>466</v>
      </c>
      <c r="C580" s="5" t="s">
        <v>261</v>
      </c>
      <c r="D580" s="5" t="s">
        <v>483</v>
      </c>
      <c r="E580" s="5" t="s">
        <v>269</v>
      </c>
      <c r="F580" s="5" t="s">
        <v>264</v>
      </c>
      <c r="G580" s="5" t="s">
        <v>271</v>
      </c>
      <c r="H580" s="3">
        <v>14.704093181263007</v>
      </c>
      <c r="I580" s="3">
        <v>0</v>
      </c>
      <c r="J580" s="318">
        <v>14.704093181263007</v>
      </c>
      <c r="K580" s="3">
        <v>2.0514377846751199</v>
      </c>
      <c r="L580" s="3">
        <v>3.8573543880910193</v>
      </c>
      <c r="M580" s="318">
        <v>5.9087921727661392</v>
      </c>
      <c r="N580" s="3">
        <v>1.7046064978822106</v>
      </c>
      <c r="O580" s="3">
        <v>7.9910082928884654</v>
      </c>
      <c r="P580" s="3">
        <v>2.6361536882152774</v>
      </c>
      <c r="Q580" s="3">
        <v>1.7817018943279535</v>
      </c>
      <c r="R580" s="3">
        <v>9.2913369053623818</v>
      </c>
      <c r="S580" s="3">
        <v>6.867924698817613</v>
      </c>
      <c r="T580" s="3">
        <v>16.930644799205677</v>
      </c>
      <c r="U580" s="3">
        <v>1.927860296989204</v>
      </c>
      <c r="V580" s="318">
        <v>49.13123707368878</v>
      </c>
      <c r="W580" s="318">
        <v>69.744122427717926</v>
      </c>
      <c r="X580" s="3">
        <v>7.048279581627491</v>
      </c>
      <c r="Y580" s="318">
        <v>76.792402009345423</v>
      </c>
    </row>
    <row r="581" spans="1:25" x14ac:dyDescent="0.2">
      <c r="A581" s="314">
        <v>2019</v>
      </c>
      <c r="B581" s="5" t="s">
        <v>466</v>
      </c>
      <c r="C581" s="5" t="s">
        <v>261</v>
      </c>
      <c r="D581" s="5" t="s">
        <v>485</v>
      </c>
      <c r="E581" s="5" t="s">
        <v>272</v>
      </c>
      <c r="F581" s="5" t="s">
        <v>264</v>
      </c>
      <c r="G581" s="5" t="s">
        <v>273</v>
      </c>
      <c r="H581" s="3">
        <v>14.690391300773047</v>
      </c>
      <c r="I581" s="3">
        <v>0</v>
      </c>
      <c r="J581" s="318">
        <v>14.690391300773047</v>
      </c>
      <c r="K581" s="3">
        <v>3.4277799655926442</v>
      </c>
      <c r="L581" s="3">
        <v>15.009692835494153</v>
      </c>
      <c r="M581" s="318">
        <v>18.437472801086798</v>
      </c>
      <c r="N581" s="3">
        <v>51.219245335462581</v>
      </c>
      <c r="O581" s="3">
        <v>17.833282423638398</v>
      </c>
      <c r="P581" s="3">
        <v>3.5599678815047184</v>
      </c>
      <c r="Q581" s="3">
        <v>2.2381812297069108</v>
      </c>
      <c r="R581" s="3">
        <v>16.492229340134191</v>
      </c>
      <c r="S581" s="3">
        <v>11.092526611352701</v>
      </c>
      <c r="T581" s="3">
        <v>19.123366093663957</v>
      </c>
      <c r="U581" s="3">
        <v>3.2488101820288557</v>
      </c>
      <c r="V581" s="318">
        <v>124.80760909749232</v>
      </c>
      <c r="W581" s="318">
        <v>157.93547319935217</v>
      </c>
      <c r="X581" s="3">
        <v>15.960819811294503</v>
      </c>
      <c r="Y581" s="318">
        <v>173.89629301064667</v>
      </c>
    </row>
    <row r="582" spans="1:25" x14ac:dyDescent="0.2">
      <c r="A582" s="314">
        <v>2019</v>
      </c>
      <c r="B582" s="5" t="s">
        <v>466</v>
      </c>
      <c r="C582" s="5" t="s">
        <v>261</v>
      </c>
      <c r="D582" s="5" t="s">
        <v>484</v>
      </c>
      <c r="E582" s="5" t="s">
        <v>274</v>
      </c>
      <c r="F582" s="5" t="s">
        <v>264</v>
      </c>
      <c r="G582" s="5" t="s">
        <v>275</v>
      </c>
      <c r="H582" s="3">
        <v>15.900128277086475</v>
      </c>
      <c r="I582" s="3">
        <v>0</v>
      </c>
      <c r="J582" s="318">
        <v>15.900128277086475</v>
      </c>
      <c r="K582" s="3">
        <v>2.0458010206084918</v>
      </c>
      <c r="L582" s="3">
        <v>3.7644086781311872</v>
      </c>
      <c r="M582" s="318">
        <v>5.810209698739679</v>
      </c>
      <c r="N582" s="3">
        <v>11.237523085405851</v>
      </c>
      <c r="O582" s="3">
        <v>4.4205445222582789</v>
      </c>
      <c r="P582" s="3">
        <v>0.99685288463520538</v>
      </c>
      <c r="Q582" s="3">
        <v>0.50614069100715109</v>
      </c>
      <c r="R582" s="3">
        <v>5.1195716813456578</v>
      </c>
      <c r="S582" s="3">
        <v>5.6296742894610343</v>
      </c>
      <c r="T582" s="3">
        <v>6.9298266643385862</v>
      </c>
      <c r="U582" s="3">
        <v>1.2474151286852457</v>
      </c>
      <c r="V582" s="318">
        <v>36.087548947137009</v>
      </c>
      <c r="W582" s="318">
        <v>57.797886922963158</v>
      </c>
      <c r="X582" s="3">
        <v>5.8410035438116754</v>
      </c>
      <c r="Y582" s="318">
        <v>63.638890466774832</v>
      </c>
    </row>
    <row r="583" spans="1:25" x14ac:dyDescent="0.2">
      <c r="A583" s="314">
        <v>2019</v>
      </c>
      <c r="B583" s="5" t="s">
        <v>466</v>
      </c>
      <c r="C583" s="5" t="s">
        <v>261</v>
      </c>
      <c r="D583" s="5" t="s">
        <v>486</v>
      </c>
      <c r="E583" s="5" t="s">
        <v>276</v>
      </c>
      <c r="F583" s="5" t="s">
        <v>264</v>
      </c>
      <c r="G583" s="5" t="s">
        <v>277</v>
      </c>
      <c r="H583" s="3">
        <v>135.07247499558272</v>
      </c>
      <c r="I583" s="3">
        <v>0</v>
      </c>
      <c r="J583" s="318">
        <v>135.07247499558272</v>
      </c>
      <c r="K583" s="3">
        <v>32.852722142687611</v>
      </c>
      <c r="L583" s="3">
        <v>36.005945964814657</v>
      </c>
      <c r="M583" s="318">
        <v>68.858668107502268</v>
      </c>
      <c r="N583" s="3">
        <v>32.159124883991197</v>
      </c>
      <c r="O583" s="3">
        <v>187.08366977140156</v>
      </c>
      <c r="P583" s="3">
        <v>29.912579758586169</v>
      </c>
      <c r="Q583" s="3">
        <v>15.741765568881799</v>
      </c>
      <c r="R583" s="3">
        <v>103.73928650800134</v>
      </c>
      <c r="S583" s="3">
        <v>66.073166149429866</v>
      </c>
      <c r="T583" s="3">
        <v>78.239699127146082</v>
      </c>
      <c r="U583" s="3">
        <v>32.282945779536014</v>
      </c>
      <c r="V583" s="318">
        <v>545.23223754697403</v>
      </c>
      <c r="W583" s="318">
        <v>749.16338065005903</v>
      </c>
      <c r="X583" s="3">
        <v>75.709791382224296</v>
      </c>
      <c r="Y583" s="318">
        <v>824.87317203228326</v>
      </c>
    </row>
    <row r="584" spans="1:25" x14ac:dyDescent="0.2">
      <c r="A584" s="314">
        <v>2019</v>
      </c>
      <c r="B584" s="5" t="s">
        <v>466</v>
      </c>
      <c r="C584" s="5" t="s">
        <v>261</v>
      </c>
      <c r="D584" s="5" t="s">
        <v>484</v>
      </c>
      <c r="E584" s="5" t="s">
        <v>278</v>
      </c>
      <c r="F584" s="5" t="s">
        <v>264</v>
      </c>
      <c r="G584" s="5" t="s">
        <v>279</v>
      </c>
      <c r="H584" s="3">
        <v>261.50795643462891</v>
      </c>
      <c r="I584" s="3">
        <v>0</v>
      </c>
      <c r="J584" s="318">
        <v>261.50795643462891</v>
      </c>
      <c r="K584" s="3">
        <v>5.2586190915100079</v>
      </c>
      <c r="L584" s="3">
        <v>34.930014490755298</v>
      </c>
      <c r="M584" s="318">
        <v>40.188633582265304</v>
      </c>
      <c r="N584" s="3">
        <v>6.9832204585504938</v>
      </c>
      <c r="O584" s="3">
        <v>47.64659516444069</v>
      </c>
      <c r="P584" s="3">
        <v>8.891605769221723</v>
      </c>
      <c r="Q584" s="3">
        <v>5.3375562146711122</v>
      </c>
      <c r="R584" s="3">
        <v>29.991985029919441</v>
      </c>
      <c r="S584" s="3">
        <v>23.306607357431346</v>
      </c>
      <c r="T584" s="3">
        <v>32.376116036690405</v>
      </c>
      <c r="U584" s="3">
        <v>8.0669718664193013</v>
      </c>
      <c r="V584" s="318">
        <v>162.60065789734449</v>
      </c>
      <c r="W584" s="318">
        <v>464.29724791423871</v>
      </c>
      <c r="X584" s="3">
        <v>46.921470919235468</v>
      </c>
      <c r="Y584" s="318">
        <v>511.21871883347416</v>
      </c>
    </row>
    <row r="585" spans="1:25" x14ac:dyDescent="0.2">
      <c r="A585" s="314">
        <v>2019</v>
      </c>
      <c r="B585" s="5" t="s">
        <v>466</v>
      </c>
      <c r="C585" s="5" t="s">
        <v>261</v>
      </c>
      <c r="D585" s="5" t="s">
        <v>486</v>
      </c>
      <c r="E585" s="5" t="s">
        <v>280</v>
      </c>
      <c r="F585" s="5" t="s">
        <v>264</v>
      </c>
      <c r="G585" s="5" t="s">
        <v>281</v>
      </c>
      <c r="H585" s="3">
        <v>55.8279105475088</v>
      </c>
      <c r="I585" s="3">
        <v>0</v>
      </c>
      <c r="J585" s="318">
        <v>55.8279105475088</v>
      </c>
      <c r="K585" s="3">
        <v>17.913211738366922</v>
      </c>
      <c r="L585" s="3">
        <v>35.084473009345146</v>
      </c>
      <c r="M585" s="318">
        <v>52.997684747712071</v>
      </c>
      <c r="N585" s="3">
        <v>28.495808264996349</v>
      </c>
      <c r="O585" s="3">
        <v>118.83113015982394</v>
      </c>
      <c r="P585" s="3">
        <v>24.728238373127425</v>
      </c>
      <c r="Q585" s="3">
        <v>13.026964177129898</v>
      </c>
      <c r="R585" s="3">
        <v>78.280759777683457</v>
      </c>
      <c r="S585" s="3">
        <v>56.77083032327257</v>
      </c>
      <c r="T585" s="3">
        <v>65.548197520974796</v>
      </c>
      <c r="U585" s="3">
        <v>15.760572042049759</v>
      </c>
      <c r="V585" s="318">
        <v>401.44250063905815</v>
      </c>
      <c r="W585" s="318">
        <v>510.26809593427902</v>
      </c>
      <c r="X585" s="3">
        <v>51.567244328823612</v>
      </c>
      <c r="Y585" s="318">
        <v>561.83534026310258</v>
      </c>
    </row>
    <row r="586" spans="1:25" x14ac:dyDescent="0.2">
      <c r="A586" s="314">
        <v>2019</v>
      </c>
      <c r="B586" s="5" t="s">
        <v>466</v>
      </c>
      <c r="C586" s="5" t="s">
        <v>261</v>
      </c>
      <c r="D586" s="5" t="s">
        <v>486</v>
      </c>
      <c r="E586" s="5" t="s">
        <v>282</v>
      </c>
      <c r="F586" s="5" t="s">
        <v>264</v>
      </c>
      <c r="G586" s="5" t="s">
        <v>284</v>
      </c>
      <c r="H586" s="3">
        <v>123.87607719928326</v>
      </c>
      <c r="I586" s="3">
        <v>0</v>
      </c>
      <c r="J586" s="318">
        <v>123.87607719928326</v>
      </c>
      <c r="K586" s="3">
        <v>27.884233226099067</v>
      </c>
      <c r="L586" s="3">
        <v>20.640339440393642</v>
      </c>
      <c r="M586" s="318">
        <v>48.524572666492709</v>
      </c>
      <c r="N586" s="3">
        <v>13.383298851944939</v>
      </c>
      <c r="O586" s="3">
        <v>84.221332715690167</v>
      </c>
      <c r="P586" s="3">
        <v>12.312276634239964</v>
      </c>
      <c r="Q586" s="3">
        <v>13.084343421480721</v>
      </c>
      <c r="R586" s="3">
        <v>53.679131299458376</v>
      </c>
      <c r="S586" s="3">
        <v>36.296279215033657</v>
      </c>
      <c r="T586" s="3">
        <v>57.93502981940172</v>
      </c>
      <c r="U586" s="3">
        <v>11.761274107073344</v>
      </c>
      <c r="V586" s="318">
        <v>282.67296606432291</v>
      </c>
      <c r="W586" s="318">
        <v>455.07361593009887</v>
      </c>
      <c r="X586" s="3">
        <v>45.989338795132326</v>
      </c>
      <c r="Y586" s="318">
        <v>501.06295472523118</v>
      </c>
    </row>
    <row r="587" spans="1:25" x14ac:dyDescent="0.2">
      <c r="A587" s="314">
        <v>2019</v>
      </c>
      <c r="B587" s="5" t="s">
        <v>466</v>
      </c>
      <c r="C587" s="5" t="s">
        <v>261</v>
      </c>
      <c r="D587" s="5" t="s">
        <v>484</v>
      </c>
      <c r="E587" s="5" t="s">
        <v>285</v>
      </c>
      <c r="F587" s="5" t="s">
        <v>264</v>
      </c>
      <c r="G587" s="5" t="s">
        <v>286</v>
      </c>
      <c r="H587" s="3">
        <v>19.226117121439565</v>
      </c>
      <c r="I587" s="3">
        <v>0</v>
      </c>
      <c r="J587" s="318">
        <v>19.226117121439565</v>
      </c>
      <c r="K587" s="3">
        <v>1.3490238802885586</v>
      </c>
      <c r="L587" s="3">
        <v>6.2905240719266002</v>
      </c>
      <c r="M587" s="318">
        <v>7.6395479522151586</v>
      </c>
      <c r="N587" s="3">
        <v>10.13408924922674</v>
      </c>
      <c r="O587" s="3">
        <v>9.0321726950436467</v>
      </c>
      <c r="P587" s="3">
        <v>2.7101603206706923</v>
      </c>
      <c r="Q587" s="3">
        <v>1.771167560274594</v>
      </c>
      <c r="R587" s="3">
        <v>15.813838955835157</v>
      </c>
      <c r="S587" s="3">
        <v>9.1138256973455594</v>
      </c>
      <c r="T587" s="3">
        <v>13.924448192345309</v>
      </c>
      <c r="U587" s="3">
        <v>2.7099045024148429</v>
      </c>
      <c r="V587" s="318">
        <v>65.209607173156542</v>
      </c>
      <c r="W587" s="318">
        <v>92.075272246811267</v>
      </c>
      <c r="X587" s="3">
        <v>9.3050459129739611</v>
      </c>
      <c r="Y587" s="318">
        <v>101.38031815978523</v>
      </c>
    </row>
    <row r="588" spans="1:25" x14ac:dyDescent="0.2">
      <c r="A588" s="314">
        <v>2019</v>
      </c>
      <c r="B588" s="5" t="s">
        <v>466</v>
      </c>
      <c r="C588" s="5" t="s">
        <v>261</v>
      </c>
      <c r="D588" s="5" t="s">
        <v>486</v>
      </c>
      <c r="E588" s="5" t="s">
        <v>287</v>
      </c>
      <c r="F588" s="5" t="s">
        <v>264</v>
      </c>
      <c r="G588" s="5" t="s">
        <v>288</v>
      </c>
      <c r="H588" s="3">
        <v>98.292494512659758</v>
      </c>
      <c r="I588" s="3">
        <v>0</v>
      </c>
      <c r="J588" s="318">
        <v>98.292494512659758</v>
      </c>
      <c r="K588" s="3">
        <v>573.00839989901795</v>
      </c>
      <c r="L588" s="3">
        <v>202.38875198272194</v>
      </c>
      <c r="M588" s="318">
        <v>775.39715188173989</v>
      </c>
      <c r="N588" s="3">
        <v>44.105770945543988</v>
      </c>
      <c r="O588" s="3">
        <v>170.91222075894524</v>
      </c>
      <c r="P588" s="3">
        <v>29.003789071288619</v>
      </c>
      <c r="Q588" s="3">
        <v>15.884111223838671</v>
      </c>
      <c r="R588" s="3">
        <v>113.43292970782205</v>
      </c>
      <c r="S588" s="3">
        <v>99.17164122496213</v>
      </c>
      <c r="T588" s="3">
        <v>75.925764992476473</v>
      </c>
      <c r="U588" s="3">
        <v>24.712730036501711</v>
      </c>
      <c r="V588" s="318">
        <v>573.14895796137887</v>
      </c>
      <c r="W588" s="318">
        <v>1446.8386043557784</v>
      </c>
      <c r="X588" s="3">
        <v>146.21623497463975</v>
      </c>
      <c r="Y588" s="318">
        <v>1593.0548393304182</v>
      </c>
    </row>
    <row r="589" spans="1:25" x14ac:dyDescent="0.2">
      <c r="A589" s="314">
        <v>2019</v>
      </c>
      <c r="B589" s="5" t="s">
        <v>466</v>
      </c>
      <c r="C589" s="5" t="s">
        <v>261</v>
      </c>
      <c r="D589" s="5" t="s">
        <v>484</v>
      </c>
      <c r="E589" s="5" t="s">
        <v>289</v>
      </c>
      <c r="F589" s="5" t="s">
        <v>264</v>
      </c>
      <c r="G589" s="5" t="s">
        <v>290</v>
      </c>
      <c r="H589" s="3">
        <v>3.6631523422382863</v>
      </c>
      <c r="I589" s="3">
        <v>0</v>
      </c>
      <c r="J589" s="318">
        <v>3.6631523422382863</v>
      </c>
      <c r="K589" s="3">
        <v>7.5271222846382733</v>
      </c>
      <c r="L589" s="3">
        <v>23.191885437774182</v>
      </c>
      <c r="M589" s="318">
        <v>30.719007722412456</v>
      </c>
      <c r="N589" s="3">
        <v>15.769791455644057</v>
      </c>
      <c r="O589" s="3">
        <v>152.53801212598543</v>
      </c>
      <c r="P589" s="3">
        <v>12.541455037098332</v>
      </c>
      <c r="Q589" s="3">
        <v>6.7233234890359288</v>
      </c>
      <c r="R589" s="3">
        <v>57.459395188408756</v>
      </c>
      <c r="S589" s="3">
        <v>44.1318207893015</v>
      </c>
      <c r="T589" s="3">
        <v>36.302619089142468</v>
      </c>
      <c r="U589" s="3">
        <v>13.218920378499037</v>
      </c>
      <c r="V589" s="318">
        <v>338.68533755311552</v>
      </c>
      <c r="W589" s="318">
        <v>373.06749761776626</v>
      </c>
      <c r="X589" s="3">
        <v>37.701872709823455</v>
      </c>
      <c r="Y589" s="318">
        <v>410.76937032758974</v>
      </c>
    </row>
    <row r="590" spans="1:25" x14ac:dyDescent="0.2">
      <c r="A590" s="314">
        <v>2019</v>
      </c>
      <c r="B590" s="5" t="s">
        <v>466</v>
      </c>
      <c r="C590" s="5" t="s">
        <v>261</v>
      </c>
      <c r="D590" s="5" t="s">
        <v>486</v>
      </c>
      <c r="E590" s="5" t="s">
        <v>291</v>
      </c>
      <c r="F590" s="5" t="s">
        <v>264</v>
      </c>
      <c r="G590" s="5" t="s">
        <v>292</v>
      </c>
      <c r="H590" s="3">
        <v>55.172042070656175</v>
      </c>
      <c r="I590" s="3">
        <v>0</v>
      </c>
      <c r="J590" s="318">
        <v>55.172042070656175</v>
      </c>
      <c r="K590" s="3">
        <v>50.923220718168515</v>
      </c>
      <c r="L590" s="3">
        <v>53.715013320652439</v>
      </c>
      <c r="M590" s="318">
        <v>104.63823403882095</v>
      </c>
      <c r="N590" s="3">
        <v>47.345787929523752</v>
      </c>
      <c r="O590" s="3">
        <v>192.21388432945932</v>
      </c>
      <c r="P590" s="3">
        <v>47.683544357893872</v>
      </c>
      <c r="Q590" s="3">
        <v>52.047376155884471</v>
      </c>
      <c r="R590" s="3">
        <v>152.19047877424754</v>
      </c>
      <c r="S590" s="3">
        <v>97.627770560362265</v>
      </c>
      <c r="T590" s="3">
        <v>118.4623991731885</v>
      </c>
      <c r="U590" s="3">
        <v>36.029759398795747</v>
      </c>
      <c r="V590" s="318">
        <v>743.60100067935548</v>
      </c>
      <c r="W590" s="318">
        <v>903.41127678883265</v>
      </c>
      <c r="X590" s="3">
        <v>91.297947903810169</v>
      </c>
      <c r="Y590" s="318">
        <v>994.70922469264281</v>
      </c>
    </row>
    <row r="591" spans="1:25" x14ac:dyDescent="0.2">
      <c r="A591" s="314">
        <v>2019</v>
      </c>
      <c r="B591" s="5" t="s">
        <v>466</v>
      </c>
      <c r="C591" s="5" t="s">
        <v>261</v>
      </c>
      <c r="D591" s="5" t="s">
        <v>486</v>
      </c>
      <c r="E591" s="5" t="s">
        <v>293</v>
      </c>
      <c r="F591" s="5" t="s">
        <v>264</v>
      </c>
      <c r="G591" s="5" t="s">
        <v>295</v>
      </c>
      <c r="H591" s="3">
        <v>34.279550946503278</v>
      </c>
      <c r="I591" s="3">
        <v>0.40913428446639699</v>
      </c>
      <c r="J591" s="318">
        <v>34.688685230969675</v>
      </c>
      <c r="K591" s="3">
        <v>26.906444177263261</v>
      </c>
      <c r="L591" s="3">
        <v>11.726011880107251</v>
      </c>
      <c r="M591" s="318">
        <v>38.632456057370511</v>
      </c>
      <c r="N591" s="3">
        <v>13.092020887999128</v>
      </c>
      <c r="O591" s="3">
        <v>66.183783926408964</v>
      </c>
      <c r="P591" s="3">
        <v>11.380114843107746</v>
      </c>
      <c r="Q591" s="3">
        <v>11.014777446592907</v>
      </c>
      <c r="R591" s="3">
        <v>32.475378501963888</v>
      </c>
      <c r="S591" s="3">
        <v>25.831741300614503</v>
      </c>
      <c r="T591" s="3">
        <v>35.637555287818216</v>
      </c>
      <c r="U591" s="3">
        <v>10.996091332633878</v>
      </c>
      <c r="V591" s="318">
        <v>206.61146352713925</v>
      </c>
      <c r="W591" s="318">
        <v>279.93260481547946</v>
      </c>
      <c r="X591" s="3">
        <v>28.289742476831396</v>
      </c>
      <c r="Y591" s="318">
        <v>308.22234729231087</v>
      </c>
    </row>
    <row r="592" spans="1:25" x14ac:dyDescent="0.2">
      <c r="A592" s="314">
        <v>2019</v>
      </c>
      <c r="B592" s="5" t="s">
        <v>466</v>
      </c>
      <c r="C592" s="5" t="s">
        <v>261</v>
      </c>
      <c r="D592" s="5" t="s">
        <v>486</v>
      </c>
      <c r="E592" s="5" t="s">
        <v>296</v>
      </c>
      <c r="F592" s="5" t="s">
        <v>264</v>
      </c>
      <c r="G592" s="5" t="s">
        <v>297</v>
      </c>
      <c r="H592" s="3">
        <v>168.89144931176909</v>
      </c>
      <c r="I592" s="3">
        <v>0</v>
      </c>
      <c r="J592" s="318">
        <v>168.89144931176909</v>
      </c>
      <c r="K592" s="3">
        <v>240.83195625146644</v>
      </c>
      <c r="L592" s="3">
        <v>110.88202715599348</v>
      </c>
      <c r="M592" s="318">
        <v>351.71398340745992</v>
      </c>
      <c r="N592" s="3">
        <v>36.254220167180016</v>
      </c>
      <c r="O592" s="3">
        <v>164.5174367329308</v>
      </c>
      <c r="P592" s="3">
        <v>30.048820670775129</v>
      </c>
      <c r="Q592" s="3">
        <v>28.779899041143668</v>
      </c>
      <c r="R592" s="3">
        <v>104.14904288867348</v>
      </c>
      <c r="S592" s="3">
        <v>97.981174817582485</v>
      </c>
      <c r="T592" s="3">
        <v>136.25318038486159</v>
      </c>
      <c r="U592" s="3">
        <v>29.554291228110905</v>
      </c>
      <c r="V592" s="318">
        <v>627.53806593125807</v>
      </c>
      <c r="W592" s="318">
        <v>1148.1434986504871</v>
      </c>
      <c r="X592" s="3">
        <v>116.03037068397404</v>
      </c>
      <c r="Y592" s="318">
        <v>1264.1738693344612</v>
      </c>
    </row>
    <row r="593" spans="1:25" x14ac:dyDescent="0.2">
      <c r="A593" s="314">
        <v>2019</v>
      </c>
      <c r="B593" s="5" t="s">
        <v>466</v>
      </c>
      <c r="C593" s="5" t="s">
        <v>261</v>
      </c>
      <c r="D593" s="5" t="s">
        <v>483</v>
      </c>
      <c r="E593" s="5" t="s">
        <v>298</v>
      </c>
      <c r="F593" s="5" t="s">
        <v>264</v>
      </c>
      <c r="G593" s="5" t="s">
        <v>299</v>
      </c>
      <c r="H593" s="3">
        <v>18.90392255252727</v>
      </c>
      <c r="I593" s="3">
        <v>0</v>
      </c>
      <c r="J593" s="318">
        <v>18.90392255252727</v>
      </c>
      <c r="K593" s="3">
        <v>6.973152822491282</v>
      </c>
      <c r="L593" s="3">
        <v>6.0048856228390308</v>
      </c>
      <c r="M593" s="318">
        <v>12.978038445330313</v>
      </c>
      <c r="N593" s="3">
        <v>2.0138415856033065</v>
      </c>
      <c r="O593" s="3">
        <v>7.3297191140497588</v>
      </c>
      <c r="P593" s="3">
        <v>3.2642425608067902</v>
      </c>
      <c r="Q593" s="3">
        <v>2.0935477231670201</v>
      </c>
      <c r="R593" s="3">
        <v>11.561285560591976</v>
      </c>
      <c r="S593" s="3">
        <v>19.251709009085218</v>
      </c>
      <c r="T593" s="3">
        <v>22.096532658451558</v>
      </c>
      <c r="U593" s="3">
        <v>3.030410365508597</v>
      </c>
      <c r="V593" s="318">
        <v>70.64128857726422</v>
      </c>
      <c r="W593" s="318">
        <v>102.52324957512181</v>
      </c>
      <c r="X593" s="3">
        <v>10.360909299150453</v>
      </c>
      <c r="Y593" s="318">
        <v>112.88415887427226</v>
      </c>
    </row>
    <row r="594" spans="1:25" x14ac:dyDescent="0.2">
      <c r="A594" s="314">
        <v>2019</v>
      </c>
      <c r="B594" s="5" t="s">
        <v>466</v>
      </c>
      <c r="C594" s="5" t="s">
        <v>261</v>
      </c>
      <c r="D594" s="5" t="s">
        <v>486</v>
      </c>
      <c r="E594" s="5" t="s">
        <v>300</v>
      </c>
      <c r="F594" s="5" t="s">
        <v>264</v>
      </c>
      <c r="G594" s="5" t="s">
        <v>301</v>
      </c>
      <c r="H594" s="3">
        <v>59.41657971252053</v>
      </c>
      <c r="I594" s="3">
        <v>0.71249312662538955</v>
      </c>
      <c r="J594" s="318">
        <v>60.12907283914592</v>
      </c>
      <c r="K594" s="3">
        <v>1531.0295168562395</v>
      </c>
      <c r="L594" s="3">
        <v>501.35523698793622</v>
      </c>
      <c r="M594" s="318">
        <v>2032.3847538441757</v>
      </c>
      <c r="N594" s="3">
        <v>114.049125933124</v>
      </c>
      <c r="O594" s="3">
        <v>578.00764003943334</v>
      </c>
      <c r="P594" s="3">
        <v>71.744288094728134</v>
      </c>
      <c r="Q594" s="3">
        <v>35.052993669709814</v>
      </c>
      <c r="R594" s="3">
        <v>263.704912070852</v>
      </c>
      <c r="S594" s="3">
        <v>321.60156566588012</v>
      </c>
      <c r="T594" s="3">
        <v>407.5865684136312</v>
      </c>
      <c r="U594" s="3">
        <v>56.992617007487645</v>
      </c>
      <c r="V594" s="318">
        <v>1848.7397108948462</v>
      </c>
      <c r="W594" s="318">
        <v>3941.2535375781681</v>
      </c>
      <c r="X594" s="3">
        <v>398.29961103488301</v>
      </c>
      <c r="Y594" s="318">
        <v>4339.5531486130512</v>
      </c>
    </row>
    <row r="595" spans="1:25" x14ac:dyDescent="0.2">
      <c r="A595" s="314">
        <v>2019</v>
      </c>
      <c r="B595" s="5" t="s">
        <v>466</v>
      </c>
      <c r="C595" s="5" t="s">
        <v>261</v>
      </c>
      <c r="D595" s="5" t="s">
        <v>484</v>
      </c>
      <c r="E595" s="5" t="s">
        <v>302</v>
      </c>
      <c r="F595" s="5" t="s">
        <v>264</v>
      </c>
      <c r="G595" s="5" t="s">
        <v>303</v>
      </c>
      <c r="H595" s="3">
        <v>15.139839154175181</v>
      </c>
      <c r="I595" s="3">
        <v>0.17792337888789156</v>
      </c>
      <c r="J595" s="318">
        <v>15.317762533063073</v>
      </c>
      <c r="K595" s="3">
        <v>4.5122494959103969</v>
      </c>
      <c r="L595" s="3">
        <v>62.773378174310025</v>
      </c>
      <c r="M595" s="318">
        <v>67.285627670220421</v>
      </c>
      <c r="N595" s="3">
        <v>655.24721570650445</v>
      </c>
      <c r="O595" s="3">
        <v>19.998390490707578</v>
      </c>
      <c r="P595" s="3">
        <v>4.5987983630667815</v>
      </c>
      <c r="Q595" s="3">
        <v>1.5908097128594054</v>
      </c>
      <c r="R595" s="3">
        <v>15.851023784661521</v>
      </c>
      <c r="S595" s="3">
        <v>12.687365664468572</v>
      </c>
      <c r="T595" s="3">
        <v>23.083712198910909</v>
      </c>
      <c r="U595" s="3">
        <v>4.8129806507999433</v>
      </c>
      <c r="V595" s="318">
        <v>737.870296571979</v>
      </c>
      <c r="W595" s="318">
        <v>820.47368677526242</v>
      </c>
      <c r="X595" s="3">
        <v>82.916348108818482</v>
      </c>
      <c r="Y595" s="318">
        <v>903.39003488408093</v>
      </c>
    </row>
    <row r="596" spans="1:25" x14ac:dyDescent="0.2">
      <c r="A596" s="314">
        <v>2019</v>
      </c>
      <c r="B596" s="5" t="s">
        <v>466</v>
      </c>
      <c r="C596" s="5" t="s">
        <v>261</v>
      </c>
      <c r="D596" s="5" t="s">
        <v>485</v>
      </c>
      <c r="E596" s="5" t="s">
        <v>304</v>
      </c>
      <c r="F596" s="5" t="s">
        <v>264</v>
      </c>
      <c r="G596" s="5" t="s">
        <v>305</v>
      </c>
      <c r="H596" s="3">
        <v>5.2410131222683001</v>
      </c>
      <c r="I596" s="3">
        <v>0</v>
      </c>
      <c r="J596" s="318">
        <v>5.2410131222683001</v>
      </c>
      <c r="K596" s="3">
        <v>4.9725096723785271E-2</v>
      </c>
      <c r="L596" s="3">
        <v>5.8901934695260865</v>
      </c>
      <c r="M596" s="318">
        <v>5.9399185662498715</v>
      </c>
      <c r="N596" s="3">
        <v>1.9664401189828153</v>
      </c>
      <c r="O596" s="3">
        <v>16.465264935380109</v>
      </c>
      <c r="P596" s="3">
        <v>2.4131895751363608</v>
      </c>
      <c r="Q596" s="3">
        <v>1.2656999908511242</v>
      </c>
      <c r="R596" s="3">
        <v>9.1697070777264358</v>
      </c>
      <c r="S596" s="3">
        <v>7.928633216699926</v>
      </c>
      <c r="T596" s="3">
        <v>17.561908227787331</v>
      </c>
      <c r="U596" s="3">
        <v>2.442070402137432</v>
      </c>
      <c r="V596" s="318">
        <v>59.212913544701536</v>
      </c>
      <c r="W596" s="318">
        <v>70.393845233219707</v>
      </c>
      <c r="X596" s="3">
        <v>7.1139399960729071</v>
      </c>
      <c r="Y596" s="318">
        <v>77.507785229292608</v>
      </c>
    </row>
    <row r="597" spans="1:25" x14ac:dyDescent="0.2">
      <c r="A597" s="314">
        <v>2019</v>
      </c>
      <c r="B597" s="5" t="s">
        <v>466</v>
      </c>
      <c r="C597" s="5" t="s">
        <v>261</v>
      </c>
      <c r="D597" s="5" t="s">
        <v>485</v>
      </c>
      <c r="E597" s="5" t="s">
        <v>306</v>
      </c>
      <c r="F597" s="5" t="s">
        <v>264</v>
      </c>
      <c r="G597" s="5" t="s">
        <v>307</v>
      </c>
      <c r="H597" s="3">
        <v>6.8580392129993797</v>
      </c>
      <c r="I597" s="3">
        <v>0.22758246500565971</v>
      </c>
      <c r="J597" s="318">
        <v>7.0856216780050394</v>
      </c>
      <c r="K597" s="3">
        <v>2.7177851637883141</v>
      </c>
      <c r="L597" s="3">
        <v>9.2464240457031188</v>
      </c>
      <c r="M597" s="318">
        <v>11.964209209491433</v>
      </c>
      <c r="N597" s="3">
        <v>4.106032227579524</v>
      </c>
      <c r="O597" s="3">
        <v>24.114842442136414</v>
      </c>
      <c r="P597" s="3">
        <v>4.3703450892651174</v>
      </c>
      <c r="Q597" s="3">
        <v>2.9476590631371473</v>
      </c>
      <c r="R597" s="3">
        <v>11.787389460307969</v>
      </c>
      <c r="S597" s="3">
        <v>26.312274419540838</v>
      </c>
      <c r="T597" s="3">
        <v>26.503891568096499</v>
      </c>
      <c r="U597" s="3">
        <v>3.8910874973153273</v>
      </c>
      <c r="V597" s="318">
        <v>104.03352176737884</v>
      </c>
      <c r="W597" s="318">
        <v>123.08335265487531</v>
      </c>
      <c r="X597" s="3">
        <v>12.43869520696469</v>
      </c>
      <c r="Y597" s="318">
        <v>135.52204786184001</v>
      </c>
    </row>
    <row r="598" spans="1:25" x14ac:dyDescent="0.2">
      <c r="A598" s="314">
        <v>2019</v>
      </c>
      <c r="B598" s="5" t="s">
        <v>466</v>
      </c>
      <c r="C598" s="5" t="s">
        <v>261</v>
      </c>
      <c r="D598" s="5" t="s">
        <v>484</v>
      </c>
      <c r="E598" s="5" t="s">
        <v>308</v>
      </c>
      <c r="F598" s="5" t="s">
        <v>264</v>
      </c>
      <c r="G598" s="5" t="s">
        <v>309</v>
      </c>
      <c r="H598" s="3">
        <v>12.434474582173385</v>
      </c>
      <c r="I598" s="3">
        <v>0</v>
      </c>
      <c r="J598" s="318">
        <v>12.434474582173385</v>
      </c>
      <c r="K598" s="3">
        <v>3.848439728958319</v>
      </c>
      <c r="L598" s="3">
        <v>16.250573722216256</v>
      </c>
      <c r="M598" s="318">
        <v>20.099013451174574</v>
      </c>
      <c r="N598" s="3">
        <v>137.52563809770029</v>
      </c>
      <c r="O598" s="3">
        <v>14.223142033905745</v>
      </c>
      <c r="P598" s="3">
        <v>2.6059848797150309</v>
      </c>
      <c r="Q598" s="3">
        <v>1.3541129407193813</v>
      </c>
      <c r="R598" s="3">
        <v>10.01272237947158</v>
      </c>
      <c r="S598" s="3">
        <v>7.4246293518052369</v>
      </c>
      <c r="T598" s="3">
        <v>15.001993082603262</v>
      </c>
      <c r="U598" s="3">
        <v>2.8451009993642824</v>
      </c>
      <c r="V598" s="318">
        <v>190.99332376528483</v>
      </c>
      <c r="W598" s="318">
        <v>223.52681179863279</v>
      </c>
      <c r="X598" s="3">
        <v>22.589422717009661</v>
      </c>
      <c r="Y598" s="318">
        <v>246.11623451564245</v>
      </c>
    </row>
    <row r="599" spans="1:25" x14ac:dyDescent="0.2">
      <c r="A599" s="314">
        <v>2019</v>
      </c>
      <c r="B599" s="5" t="s">
        <v>466</v>
      </c>
      <c r="C599" s="5" t="s">
        <v>261</v>
      </c>
      <c r="D599" s="5" t="s">
        <v>486</v>
      </c>
      <c r="E599" s="5" t="s">
        <v>310</v>
      </c>
      <c r="F599" s="5" t="s">
        <v>264</v>
      </c>
      <c r="G599" s="5" t="s">
        <v>311</v>
      </c>
      <c r="H599" s="3">
        <v>100.82560919723836</v>
      </c>
      <c r="I599" s="3">
        <v>1.1949232492956838</v>
      </c>
      <c r="J599" s="318">
        <v>102.02053244653405</v>
      </c>
      <c r="K599" s="3">
        <v>4.807769285983138</v>
      </c>
      <c r="L599" s="3">
        <v>18.376684070681627</v>
      </c>
      <c r="M599" s="318">
        <v>23.184453356664765</v>
      </c>
      <c r="N599" s="3">
        <v>5.762763704315347</v>
      </c>
      <c r="O599" s="3">
        <v>37.247989687025473</v>
      </c>
      <c r="P599" s="3">
        <v>7.1557358422212207</v>
      </c>
      <c r="Q599" s="3">
        <v>3.7166091610578551</v>
      </c>
      <c r="R599" s="3">
        <v>32.044958372429008</v>
      </c>
      <c r="S599" s="3">
        <v>21.715557499766469</v>
      </c>
      <c r="T599" s="3">
        <v>40.69131760215803</v>
      </c>
      <c r="U599" s="3">
        <v>8.2797939359708295</v>
      </c>
      <c r="V599" s="318">
        <v>156.61472580494421</v>
      </c>
      <c r="W599" s="318">
        <v>281.81971160814305</v>
      </c>
      <c r="X599" s="3">
        <v>28.480451827126345</v>
      </c>
      <c r="Y599" s="318">
        <v>310.30016343526938</v>
      </c>
    </row>
    <row r="600" spans="1:25" x14ac:dyDescent="0.2">
      <c r="A600" s="314">
        <v>2019</v>
      </c>
      <c r="B600" s="5" t="s">
        <v>466</v>
      </c>
      <c r="C600" s="5" t="s">
        <v>261</v>
      </c>
      <c r="D600" s="5" t="s">
        <v>483</v>
      </c>
      <c r="E600" s="5" t="s">
        <v>312</v>
      </c>
      <c r="F600" s="5" t="s">
        <v>264</v>
      </c>
      <c r="G600" s="5" t="s">
        <v>313</v>
      </c>
      <c r="H600" s="3">
        <v>471.28198045388154</v>
      </c>
      <c r="I600" s="3">
        <v>19.553347508392505</v>
      </c>
      <c r="J600" s="318">
        <v>490.83532796227405</v>
      </c>
      <c r="K600" s="3">
        <v>315.72278937661406</v>
      </c>
      <c r="L600" s="3">
        <v>42.091399669757379</v>
      </c>
      <c r="M600" s="318">
        <v>357.81418904637144</v>
      </c>
      <c r="N600" s="3">
        <v>41.324943212931601</v>
      </c>
      <c r="O600" s="3">
        <v>65.606309907040398</v>
      </c>
      <c r="P600" s="3">
        <v>13.880646798026353</v>
      </c>
      <c r="Q600" s="3">
        <v>10.43566179326875</v>
      </c>
      <c r="R600" s="3">
        <v>42.909753710119141</v>
      </c>
      <c r="S600" s="3">
        <v>66.332890867775646</v>
      </c>
      <c r="T600" s="3">
        <v>77.562000273319313</v>
      </c>
      <c r="U600" s="3">
        <v>11.891331049881353</v>
      </c>
      <c r="V600" s="318">
        <v>329.94353761236255</v>
      </c>
      <c r="W600" s="318">
        <v>1178.5930546210079</v>
      </c>
      <c r="X600" s="3">
        <v>119.10757599025732</v>
      </c>
      <c r="Y600" s="318">
        <v>1297.7006306112653</v>
      </c>
    </row>
    <row r="601" spans="1:25" x14ac:dyDescent="0.2">
      <c r="A601" s="314">
        <v>2019</v>
      </c>
      <c r="B601" s="5" t="s">
        <v>466</v>
      </c>
      <c r="C601" s="5" t="s">
        <v>314</v>
      </c>
      <c r="D601" s="5" t="s">
        <v>487</v>
      </c>
      <c r="E601" s="5" t="s">
        <v>316</v>
      </c>
      <c r="F601" s="5" t="s">
        <v>317</v>
      </c>
      <c r="G601" s="5" t="s">
        <v>318</v>
      </c>
      <c r="H601" s="3">
        <v>56.530665562736516</v>
      </c>
      <c r="I601" s="3">
        <v>1.9007783316573068</v>
      </c>
      <c r="J601" s="318">
        <v>58.431443894393823</v>
      </c>
      <c r="K601" s="3">
        <v>155.56047007700562</v>
      </c>
      <c r="L601" s="3">
        <v>58.908675822205112</v>
      </c>
      <c r="M601" s="318">
        <v>214.46914589921073</v>
      </c>
      <c r="N601" s="3">
        <v>22.499229561561499</v>
      </c>
      <c r="O601" s="3">
        <v>70.25261057518685</v>
      </c>
      <c r="P601" s="3">
        <v>12.388264543334364</v>
      </c>
      <c r="Q601" s="3">
        <v>9.0581334912107057</v>
      </c>
      <c r="R601" s="3">
        <v>32.238891615544908</v>
      </c>
      <c r="S601" s="3">
        <v>43.988627408879026</v>
      </c>
      <c r="T601" s="3">
        <v>58.128885474559965</v>
      </c>
      <c r="U601" s="3">
        <v>14.407811809908303</v>
      </c>
      <c r="V601" s="318">
        <v>262.96245448018561</v>
      </c>
      <c r="W601" s="318">
        <v>535.86304427379014</v>
      </c>
      <c r="X601" s="3">
        <v>54.15384726387596</v>
      </c>
      <c r="Y601" s="318">
        <v>590.01689153766608</v>
      </c>
    </row>
    <row r="602" spans="1:25" x14ac:dyDescent="0.2">
      <c r="A602" s="314">
        <v>2019</v>
      </c>
      <c r="B602" s="5" t="s">
        <v>466</v>
      </c>
      <c r="C602" s="5" t="s">
        <v>314</v>
      </c>
      <c r="D602" s="5" t="s">
        <v>488</v>
      </c>
      <c r="E602" s="5" t="s">
        <v>319</v>
      </c>
      <c r="F602" s="5" t="s">
        <v>317</v>
      </c>
      <c r="G602" s="5" t="s">
        <v>321</v>
      </c>
      <c r="H602" s="3">
        <v>131.86788766110692</v>
      </c>
      <c r="I602" s="3">
        <v>4.5598633099984909</v>
      </c>
      <c r="J602" s="318">
        <v>136.42775097110541</v>
      </c>
      <c r="K602" s="3">
        <v>80.74813889500264</v>
      </c>
      <c r="L602" s="3">
        <v>86.848140506892648</v>
      </c>
      <c r="M602" s="318">
        <v>167.59627940189529</v>
      </c>
      <c r="N602" s="3">
        <v>18.468193868394692</v>
      </c>
      <c r="O602" s="3">
        <v>100.09321251071657</v>
      </c>
      <c r="P602" s="3">
        <v>19.494270567431162</v>
      </c>
      <c r="Q602" s="3">
        <v>24.473844808587096</v>
      </c>
      <c r="R602" s="3">
        <v>39.706614190054253</v>
      </c>
      <c r="S602" s="3">
        <v>59.097009426165201</v>
      </c>
      <c r="T602" s="3">
        <v>96.256430121474011</v>
      </c>
      <c r="U602" s="3">
        <v>16.535096722352502</v>
      </c>
      <c r="V602" s="318">
        <v>374.12467221517545</v>
      </c>
      <c r="W602" s="318">
        <v>678.14870258817621</v>
      </c>
      <c r="X602" s="3">
        <v>68.533110567318857</v>
      </c>
      <c r="Y602" s="318">
        <v>746.68181315549509</v>
      </c>
    </row>
    <row r="603" spans="1:25" x14ac:dyDescent="0.2">
      <c r="A603" s="314">
        <v>2019</v>
      </c>
      <c r="B603" s="5" t="s">
        <v>466</v>
      </c>
      <c r="C603" s="5" t="s">
        <v>314</v>
      </c>
      <c r="D603" s="5" t="s">
        <v>487</v>
      </c>
      <c r="E603" s="5" t="s">
        <v>322</v>
      </c>
      <c r="F603" s="5" t="s">
        <v>317</v>
      </c>
      <c r="G603" s="5" t="s">
        <v>323</v>
      </c>
      <c r="H603" s="3">
        <v>26.891883726472983</v>
      </c>
      <c r="I603" s="3">
        <v>0.9923460703828475</v>
      </c>
      <c r="J603" s="318">
        <v>27.884229796855831</v>
      </c>
      <c r="K603" s="3">
        <v>4.8900943323225254</v>
      </c>
      <c r="L603" s="3">
        <v>2.146506505573873</v>
      </c>
      <c r="M603" s="318">
        <v>7.0366008378963985</v>
      </c>
      <c r="N603" s="3">
        <v>4.9219799542187479</v>
      </c>
      <c r="O603" s="3">
        <v>10.6793504220114</v>
      </c>
      <c r="P603" s="3">
        <v>2.5125238099780995</v>
      </c>
      <c r="Q603" s="3">
        <v>1.3364497767241279</v>
      </c>
      <c r="R603" s="3">
        <v>6.5614423300138291</v>
      </c>
      <c r="S603" s="3">
        <v>7.2114123304457127</v>
      </c>
      <c r="T603" s="3">
        <v>11.754768091977535</v>
      </c>
      <c r="U603" s="3">
        <v>3.2272115838652349</v>
      </c>
      <c r="V603" s="318">
        <v>48.205138299234683</v>
      </c>
      <c r="W603" s="318">
        <v>83.125968933986911</v>
      </c>
      <c r="X603" s="3">
        <v>8.4006372027640968</v>
      </c>
      <c r="Y603" s="318">
        <v>91.526606136751013</v>
      </c>
    </row>
    <row r="604" spans="1:25" x14ac:dyDescent="0.2">
      <c r="A604" s="314">
        <v>2019</v>
      </c>
      <c r="B604" s="5" t="s">
        <v>466</v>
      </c>
      <c r="C604" s="5" t="s">
        <v>314</v>
      </c>
      <c r="D604" s="5" t="s">
        <v>488</v>
      </c>
      <c r="E604" s="5" t="s">
        <v>324</v>
      </c>
      <c r="F604" s="5" t="s">
        <v>317</v>
      </c>
      <c r="G604" s="5" t="s">
        <v>325</v>
      </c>
      <c r="H604" s="3">
        <v>70.049843045880962</v>
      </c>
      <c r="I604" s="3">
        <v>0</v>
      </c>
      <c r="J604" s="318">
        <v>70.049843045880962</v>
      </c>
      <c r="K604" s="3">
        <v>10.000141892564566</v>
      </c>
      <c r="L604" s="3">
        <v>4.1805982226414784</v>
      </c>
      <c r="M604" s="318">
        <v>14.180740115206044</v>
      </c>
      <c r="N604" s="3">
        <v>3.6799777752323473</v>
      </c>
      <c r="O604" s="3">
        <v>18.764612148416937</v>
      </c>
      <c r="P604" s="3">
        <v>4.3957237922976455</v>
      </c>
      <c r="Q604" s="3">
        <v>1.9902409674943768</v>
      </c>
      <c r="R604" s="3">
        <v>9.1854229736995787</v>
      </c>
      <c r="S604" s="3">
        <v>13.504498082510963</v>
      </c>
      <c r="T604" s="3">
        <v>27.45351769788962</v>
      </c>
      <c r="U604" s="3">
        <v>4.1616095710385883</v>
      </c>
      <c r="V604" s="318">
        <v>83.135603008580048</v>
      </c>
      <c r="W604" s="318">
        <v>167.36618616966706</v>
      </c>
      <c r="X604" s="3">
        <v>16.913879357462701</v>
      </c>
      <c r="Y604" s="318">
        <v>184.28006552712975</v>
      </c>
    </row>
    <row r="605" spans="1:25" x14ac:dyDescent="0.2">
      <c r="A605" s="314">
        <v>2019</v>
      </c>
      <c r="B605" s="5" t="s">
        <v>466</v>
      </c>
      <c r="C605" s="5" t="s">
        <v>314</v>
      </c>
      <c r="D605" s="5" t="s">
        <v>489</v>
      </c>
      <c r="E605" s="5" t="s">
        <v>326</v>
      </c>
      <c r="F605" s="5" t="s">
        <v>317</v>
      </c>
      <c r="G605" s="5" t="s">
        <v>327</v>
      </c>
      <c r="H605" s="3">
        <v>97.143893978805366</v>
      </c>
      <c r="I605" s="3">
        <v>0</v>
      </c>
      <c r="J605" s="318">
        <v>97.143893978805366</v>
      </c>
      <c r="K605" s="3">
        <v>7.6762434109228019</v>
      </c>
      <c r="L605" s="3">
        <v>11.508769199654889</v>
      </c>
      <c r="M605" s="318">
        <v>19.18501261057769</v>
      </c>
      <c r="N605" s="3">
        <v>4.6123541523410063</v>
      </c>
      <c r="O605" s="3">
        <v>29.034958154719096</v>
      </c>
      <c r="P605" s="3">
        <v>5.6349849507607681</v>
      </c>
      <c r="Q605" s="3">
        <v>4.072989499555737</v>
      </c>
      <c r="R605" s="3">
        <v>12.630524616738956</v>
      </c>
      <c r="S605" s="3">
        <v>17.354373949095212</v>
      </c>
      <c r="T605" s="3">
        <v>36.878196703873712</v>
      </c>
      <c r="U605" s="3">
        <v>5.2974690685778922</v>
      </c>
      <c r="V605" s="318">
        <v>115.5158510956624</v>
      </c>
      <c r="W605" s="318">
        <v>231.84475768504547</v>
      </c>
      <c r="X605" s="3">
        <v>23.430027001808639</v>
      </c>
      <c r="Y605" s="318">
        <v>255.2747846868541</v>
      </c>
    </row>
    <row r="606" spans="1:25" x14ac:dyDescent="0.2">
      <c r="A606" s="314">
        <v>2019</v>
      </c>
      <c r="B606" s="5" t="s">
        <v>466</v>
      </c>
      <c r="C606" s="5" t="s">
        <v>314</v>
      </c>
      <c r="D606" s="5" t="s">
        <v>490</v>
      </c>
      <c r="E606" s="5" t="s">
        <v>328</v>
      </c>
      <c r="F606" s="5" t="s">
        <v>317</v>
      </c>
      <c r="G606" s="5" t="s">
        <v>330</v>
      </c>
      <c r="H606" s="3">
        <v>14.954972970054461</v>
      </c>
      <c r="I606" s="3">
        <v>0</v>
      </c>
      <c r="J606" s="318">
        <v>14.954972970054461</v>
      </c>
      <c r="K606" s="3">
        <v>2.4220353549359506</v>
      </c>
      <c r="L606" s="3">
        <v>3.2535174112847929</v>
      </c>
      <c r="M606" s="318">
        <v>5.6755527662207435</v>
      </c>
      <c r="N606" s="3">
        <v>1.7044103781495601</v>
      </c>
      <c r="O606" s="3">
        <v>10.37581919478278</v>
      </c>
      <c r="P606" s="3">
        <v>2.0374329495224592</v>
      </c>
      <c r="Q606" s="3">
        <v>1.4323065428281032</v>
      </c>
      <c r="R606" s="3">
        <v>4.2715440061385701</v>
      </c>
      <c r="S606" s="3">
        <v>7.3078174670282392</v>
      </c>
      <c r="T606" s="3">
        <v>14.545371947673203</v>
      </c>
      <c r="U606" s="3">
        <v>1.9164906904427883</v>
      </c>
      <c r="V606" s="318">
        <v>43.591193176565703</v>
      </c>
      <c r="W606" s="318">
        <v>64.221718912840899</v>
      </c>
      <c r="X606" s="3">
        <v>6.4901903465703636</v>
      </c>
      <c r="Y606" s="318">
        <v>70.711909259411257</v>
      </c>
    </row>
    <row r="607" spans="1:25" x14ac:dyDescent="0.2">
      <c r="A607" s="314">
        <v>2019</v>
      </c>
      <c r="B607" s="5" t="s">
        <v>466</v>
      </c>
      <c r="C607" s="5" t="s">
        <v>314</v>
      </c>
      <c r="D607" s="5" t="s">
        <v>488</v>
      </c>
      <c r="E607" s="5" t="s">
        <v>331</v>
      </c>
      <c r="F607" s="5" t="s">
        <v>317</v>
      </c>
      <c r="G607" s="5" t="s">
        <v>332</v>
      </c>
      <c r="H607" s="3">
        <v>90.870335375723741</v>
      </c>
      <c r="I607" s="3">
        <v>0</v>
      </c>
      <c r="J607" s="318">
        <v>90.870335375723741</v>
      </c>
      <c r="K607" s="3">
        <v>9.3245629277215336</v>
      </c>
      <c r="L607" s="3">
        <v>19.748464864283466</v>
      </c>
      <c r="M607" s="318">
        <v>29.073027792005</v>
      </c>
      <c r="N607" s="3">
        <v>10.748702280265057</v>
      </c>
      <c r="O607" s="3">
        <v>63.90087645019036</v>
      </c>
      <c r="P607" s="3">
        <v>11.185281835241833</v>
      </c>
      <c r="Q607" s="3">
        <v>6.1831457694622278</v>
      </c>
      <c r="R607" s="3">
        <v>27.929400016745948</v>
      </c>
      <c r="S607" s="3">
        <v>32.1412963964193</v>
      </c>
      <c r="T607" s="3">
        <v>71.684547678845789</v>
      </c>
      <c r="U607" s="3">
        <v>10.673916100015841</v>
      </c>
      <c r="V607" s="318">
        <v>234.44716652718637</v>
      </c>
      <c r="W607" s="318">
        <v>354.39052969491513</v>
      </c>
      <c r="X607" s="3">
        <v>35.814394782292361</v>
      </c>
      <c r="Y607" s="318">
        <v>390.2049244772075</v>
      </c>
    </row>
    <row r="608" spans="1:25" x14ac:dyDescent="0.2">
      <c r="A608" s="314">
        <v>2019</v>
      </c>
      <c r="B608" s="5" t="s">
        <v>466</v>
      </c>
      <c r="C608" s="5" t="s">
        <v>314</v>
      </c>
      <c r="D608" s="5" t="s">
        <v>489</v>
      </c>
      <c r="E608" s="5" t="s">
        <v>333</v>
      </c>
      <c r="F608" s="5" t="s">
        <v>317</v>
      </c>
      <c r="G608" s="5" t="s">
        <v>334</v>
      </c>
      <c r="H608" s="3">
        <v>117.84168221597072</v>
      </c>
      <c r="I608" s="3">
        <v>0</v>
      </c>
      <c r="J608" s="318">
        <v>117.84168221597072</v>
      </c>
      <c r="K608" s="3">
        <v>10.302356269163759</v>
      </c>
      <c r="L608" s="3">
        <v>16.02915140380334</v>
      </c>
      <c r="M608" s="318">
        <v>26.331507672967099</v>
      </c>
      <c r="N608" s="3">
        <v>10.826496285604685</v>
      </c>
      <c r="O608" s="3">
        <v>43.923201713789126</v>
      </c>
      <c r="P608" s="3">
        <v>8.8239075009675449</v>
      </c>
      <c r="Q608" s="3">
        <v>6.0212692080027761</v>
      </c>
      <c r="R608" s="3">
        <v>17.82485712142083</v>
      </c>
      <c r="S608" s="3">
        <v>23.671430738429347</v>
      </c>
      <c r="T608" s="3">
        <v>42.941509124952027</v>
      </c>
      <c r="U608" s="3">
        <v>8.0243441031733518</v>
      </c>
      <c r="V608" s="318">
        <v>162.0570157963397</v>
      </c>
      <c r="W608" s="318">
        <v>306.2302056852775</v>
      </c>
      <c r="X608" s="3">
        <v>30.947354857695242</v>
      </c>
      <c r="Y608" s="318">
        <v>337.17756054297274</v>
      </c>
    </row>
    <row r="609" spans="1:25" x14ac:dyDescent="0.2">
      <c r="A609" s="314">
        <v>2019</v>
      </c>
      <c r="B609" s="5" t="s">
        <v>466</v>
      </c>
      <c r="C609" s="5" t="s">
        <v>314</v>
      </c>
      <c r="D609" s="5" t="s">
        <v>487</v>
      </c>
      <c r="E609" s="5" t="s">
        <v>335</v>
      </c>
      <c r="F609" s="5" t="s">
        <v>317</v>
      </c>
      <c r="G609" s="5" t="s">
        <v>336</v>
      </c>
      <c r="H609" s="3">
        <v>146.47941593147002</v>
      </c>
      <c r="I609" s="3">
        <v>2.0195912037609105</v>
      </c>
      <c r="J609" s="318">
        <v>148.49900713523093</v>
      </c>
      <c r="K609" s="3">
        <v>11.020773001711637</v>
      </c>
      <c r="L609" s="3">
        <v>21.709291725114404</v>
      </c>
      <c r="M609" s="318">
        <v>32.730064726826043</v>
      </c>
      <c r="N609" s="3">
        <v>8.8459753495924183</v>
      </c>
      <c r="O609" s="3">
        <v>47.774532242053255</v>
      </c>
      <c r="P609" s="3">
        <v>9.7871745852859195</v>
      </c>
      <c r="Q609" s="3">
        <v>6.3646827162494199</v>
      </c>
      <c r="R609" s="3">
        <v>22.342350613657587</v>
      </c>
      <c r="S609" s="3">
        <v>29.97527827095649</v>
      </c>
      <c r="T609" s="3">
        <v>49.81834695131716</v>
      </c>
      <c r="U609" s="3">
        <v>10.653769111095921</v>
      </c>
      <c r="V609" s="318">
        <v>185.56210984020819</v>
      </c>
      <c r="W609" s="318">
        <v>366.79118170226513</v>
      </c>
      <c r="X609" s="3">
        <v>37.067593751608484</v>
      </c>
      <c r="Y609" s="318">
        <v>403.85877545387359</v>
      </c>
    </row>
    <row r="610" spans="1:25" x14ac:dyDescent="0.2">
      <c r="A610" s="314">
        <v>2019</v>
      </c>
      <c r="B610" s="5" t="s">
        <v>466</v>
      </c>
      <c r="C610" s="5" t="s">
        <v>314</v>
      </c>
      <c r="D610" s="5" t="s">
        <v>488</v>
      </c>
      <c r="E610" s="5" t="s">
        <v>337</v>
      </c>
      <c r="F610" s="5" t="s">
        <v>317</v>
      </c>
      <c r="G610" s="5" t="s">
        <v>338</v>
      </c>
      <c r="H610" s="3">
        <v>17.789018484318241</v>
      </c>
      <c r="I610" s="3">
        <v>0</v>
      </c>
      <c r="J610" s="318">
        <v>17.789018484318241</v>
      </c>
      <c r="K610" s="3">
        <v>2.977685638003599</v>
      </c>
      <c r="L610" s="3">
        <v>3.6362018876185247</v>
      </c>
      <c r="M610" s="318">
        <v>6.6138875256221237</v>
      </c>
      <c r="N610" s="3">
        <v>4.1333609098233559</v>
      </c>
      <c r="O610" s="3">
        <v>13.293608584745332</v>
      </c>
      <c r="P610" s="3">
        <v>2.5002658336537733</v>
      </c>
      <c r="Q610" s="3">
        <v>1.2584796935926597</v>
      </c>
      <c r="R610" s="3">
        <v>6.847129800671981</v>
      </c>
      <c r="S610" s="3">
        <v>7.3447917381084089</v>
      </c>
      <c r="T610" s="3">
        <v>13.204539709698137</v>
      </c>
      <c r="U610" s="3">
        <v>2.1642211709294488</v>
      </c>
      <c r="V610" s="318">
        <v>50.746397441223095</v>
      </c>
      <c r="W610" s="318">
        <v>75.149303451163462</v>
      </c>
      <c r="X610" s="3">
        <v>7.5945224149506156</v>
      </c>
      <c r="Y610" s="318">
        <v>82.743825866114079</v>
      </c>
    </row>
    <row r="611" spans="1:25" x14ac:dyDescent="0.2">
      <c r="A611" s="314">
        <v>2019</v>
      </c>
      <c r="B611" s="5" t="s">
        <v>466</v>
      </c>
      <c r="C611" s="5" t="s">
        <v>314</v>
      </c>
      <c r="D611" s="5" t="s">
        <v>488</v>
      </c>
      <c r="E611" s="5" t="s">
        <v>339</v>
      </c>
      <c r="F611" s="5" t="s">
        <v>317</v>
      </c>
      <c r="G611" s="5" t="s">
        <v>340</v>
      </c>
      <c r="H611" s="3">
        <v>75.052651202208025</v>
      </c>
      <c r="I611" s="3">
        <v>0</v>
      </c>
      <c r="J611" s="318">
        <v>75.052651202208025</v>
      </c>
      <c r="K611" s="3">
        <v>12.535518819894225</v>
      </c>
      <c r="L611" s="3">
        <v>7.8111961529407985</v>
      </c>
      <c r="M611" s="318">
        <v>20.346714972835024</v>
      </c>
      <c r="N611" s="3">
        <v>6.1980709076471152</v>
      </c>
      <c r="O611" s="3">
        <v>42.052563288407903</v>
      </c>
      <c r="P611" s="3">
        <v>6.5748498885410269</v>
      </c>
      <c r="Q611" s="3">
        <v>5.6538907293971885</v>
      </c>
      <c r="R611" s="3">
        <v>20.388752604390444</v>
      </c>
      <c r="S611" s="3">
        <v>18.202966498209413</v>
      </c>
      <c r="T611" s="3">
        <v>30.70428724171602</v>
      </c>
      <c r="U611" s="3">
        <v>6.0304126549778969</v>
      </c>
      <c r="V611" s="318">
        <v>135.80579381328704</v>
      </c>
      <c r="W611" s="318">
        <v>231.20515998833008</v>
      </c>
      <c r="X611" s="3">
        <v>23.365389821938937</v>
      </c>
      <c r="Y611" s="318">
        <v>254.57054981026903</v>
      </c>
    </row>
    <row r="612" spans="1:25" x14ac:dyDescent="0.2">
      <c r="A612" s="314">
        <v>2019</v>
      </c>
      <c r="B612" s="5" t="s">
        <v>466</v>
      </c>
      <c r="C612" s="5" t="s">
        <v>314</v>
      </c>
      <c r="D612" s="5" t="s">
        <v>490</v>
      </c>
      <c r="E612" s="5" t="s">
        <v>341</v>
      </c>
      <c r="F612" s="5" t="s">
        <v>317</v>
      </c>
      <c r="G612" s="5" t="s">
        <v>342</v>
      </c>
      <c r="H612" s="3">
        <v>72.38491116152376</v>
      </c>
      <c r="I612" s="3">
        <v>0</v>
      </c>
      <c r="J612" s="318">
        <v>72.38491116152376</v>
      </c>
      <c r="K612" s="3">
        <v>4.5095987143081944</v>
      </c>
      <c r="L612" s="3">
        <v>14.317347550312348</v>
      </c>
      <c r="M612" s="318">
        <v>18.826946264620542</v>
      </c>
      <c r="N612" s="3">
        <v>23.239963011690719</v>
      </c>
      <c r="O612" s="3">
        <v>28.040779188685736</v>
      </c>
      <c r="P612" s="3">
        <v>4.8142605289050833</v>
      </c>
      <c r="Q612" s="3">
        <v>3.4036536674365183</v>
      </c>
      <c r="R612" s="3">
        <v>12.886365028300339</v>
      </c>
      <c r="S612" s="3">
        <v>17.566605150774556</v>
      </c>
      <c r="T612" s="3">
        <v>31.689441280766097</v>
      </c>
      <c r="U612" s="3">
        <v>5.7849656403714045</v>
      </c>
      <c r="V612" s="318">
        <v>127.42603349693044</v>
      </c>
      <c r="W612" s="318">
        <v>218.63789092307474</v>
      </c>
      <c r="X612" s="3">
        <v>22.095352679507926</v>
      </c>
      <c r="Y612" s="318">
        <v>240.73324360258266</v>
      </c>
    </row>
    <row r="613" spans="1:25" x14ac:dyDescent="0.2">
      <c r="A613" s="314">
        <v>2019</v>
      </c>
      <c r="B613" s="5" t="s">
        <v>466</v>
      </c>
      <c r="C613" s="5" t="s">
        <v>314</v>
      </c>
      <c r="D613" s="5" t="s">
        <v>490</v>
      </c>
      <c r="E613" s="5" t="s">
        <v>343</v>
      </c>
      <c r="F613" s="5" t="s">
        <v>317</v>
      </c>
      <c r="G613" s="5" t="s">
        <v>344</v>
      </c>
      <c r="H613" s="3">
        <v>8.1586788524360312</v>
      </c>
      <c r="I613" s="3">
        <v>3.5204668532515697</v>
      </c>
      <c r="J613" s="318">
        <v>11.679145705687601</v>
      </c>
      <c r="K613" s="3">
        <v>20.901371798338218</v>
      </c>
      <c r="L613" s="3">
        <v>54.423411447998461</v>
      </c>
      <c r="M613" s="318">
        <v>75.324783246336679</v>
      </c>
      <c r="N613" s="3">
        <v>8.8403715725122289</v>
      </c>
      <c r="O613" s="3">
        <v>56.750867702657395</v>
      </c>
      <c r="P613" s="3">
        <v>4.2731219351671879</v>
      </c>
      <c r="Q613" s="3">
        <v>2.4147753096227071</v>
      </c>
      <c r="R613" s="3">
        <v>10.055675084638438</v>
      </c>
      <c r="S613" s="3">
        <v>15.804870075710786</v>
      </c>
      <c r="T613" s="3">
        <v>21.418188094662803</v>
      </c>
      <c r="U613" s="3">
        <v>4.1678077159235354</v>
      </c>
      <c r="V613" s="318">
        <v>123.72567749089508</v>
      </c>
      <c r="W613" s="318">
        <v>210.72960644291936</v>
      </c>
      <c r="X613" s="3">
        <v>21.296148415593802</v>
      </c>
      <c r="Y613" s="318">
        <v>232.02575485851315</v>
      </c>
    </row>
    <row r="614" spans="1:25" x14ac:dyDescent="0.2">
      <c r="A614" s="314">
        <v>2019</v>
      </c>
      <c r="B614" s="5" t="s">
        <v>466</v>
      </c>
      <c r="C614" s="5" t="s">
        <v>314</v>
      </c>
      <c r="D614" s="5" t="s">
        <v>490</v>
      </c>
      <c r="E614" s="5" t="s">
        <v>345</v>
      </c>
      <c r="F614" s="5" t="s">
        <v>317</v>
      </c>
      <c r="G614" s="5" t="s">
        <v>346</v>
      </c>
      <c r="H614" s="3">
        <v>17.29607877268289</v>
      </c>
      <c r="I614" s="3">
        <v>0</v>
      </c>
      <c r="J614" s="318">
        <v>17.29607877268289</v>
      </c>
      <c r="K614" s="3">
        <v>7.6443831804128832</v>
      </c>
      <c r="L614" s="3">
        <v>24.057927839577022</v>
      </c>
      <c r="M614" s="318">
        <v>31.702311019989907</v>
      </c>
      <c r="N614" s="3">
        <v>2.1365207285891743</v>
      </c>
      <c r="O614" s="3">
        <v>14.069985909345087</v>
      </c>
      <c r="P614" s="3">
        <v>2.9580467123022061</v>
      </c>
      <c r="Q614" s="3">
        <v>1.6746260472694956</v>
      </c>
      <c r="R614" s="3">
        <v>8.6936668769734027</v>
      </c>
      <c r="S614" s="3">
        <v>11.679871467022112</v>
      </c>
      <c r="T614" s="3">
        <v>25.059478005446607</v>
      </c>
      <c r="U614" s="3">
        <v>3.0768369359158672</v>
      </c>
      <c r="V614" s="318">
        <v>69.34903268286395</v>
      </c>
      <c r="W614" s="318">
        <v>118.34742247553675</v>
      </c>
      <c r="X614" s="3">
        <v>11.960086274468042</v>
      </c>
      <c r="Y614" s="318">
        <v>130.30750875000479</v>
      </c>
    </row>
    <row r="615" spans="1:25" x14ac:dyDescent="0.2">
      <c r="A615" s="314">
        <v>2019</v>
      </c>
      <c r="B615" s="5" t="s">
        <v>466</v>
      </c>
      <c r="C615" s="5" t="s">
        <v>314</v>
      </c>
      <c r="D615" s="5" t="s">
        <v>490</v>
      </c>
      <c r="E615" s="5" t="s">
        <v>347</v>
      </c>
      <c r="F615" s="5" t="s">
        <v>317</v>
      </c>
      <c r="G615" s="5" t="s">
        <v>348</v>
      </c>
      <c r="H615" s="3">
        <v>21.549322131318668</v>
      </c>
      <c r="I615" s="3">
        <v>0</v>
      </c>
      <c r="J615" s="318">
        <v>21.549322131318668</v>
      </c>
      <c r="K615" s="3">
        <v>1.7095019002294294</v>
      </c>
      <c r="L615" s="3">
        <v>8.3603277044280357</v>
      </c>
      <c r="M615" s="318">
        <v>10.069829604657466</v>
      </c>
      <c r="N615" s="3">
        <v>3.1495102634233572</v>
      </c>
      <c r="O615" s="3">
        <v>11.291383768531666</v>
      </c>
      <c r="P615" s="3">
        <v>4.1704270287468752</v>
      </c>
      <c r="Q615" s="3">
        <v>2.3430548670109053</v>
      </c>
      <c r="R615" s="3">
        <v>7.9048462336190211</v>
      </c>
      <c r="S615" s="3">
        <v>11.348663054702399</v>
      </c>
      <c r="T615" s="3">
        <v>24.809202608820002</v>
      </c>
      <c r="U615" s="3">
        <v>3.9114237694866008</v>
      </c>
      <c r="V615" s="318">
        <v>68.928511594340833</v>
      </c>
      <c r="W615" s="318">
        <v>100.54766333031696</v>
      </c>
      <c r="X615" s="3">
        <v>10.161258293355186</v>
      </c>
      <c r="Y615" s="318">
        <v>110.70892162367215</v>
      </c>
    </row>
    <row r="616" spans="1:25" x14ac:dyDescent="0.2">
      <c r="A616" s="314">
        <v>2019</v>
      </c>
      <c r="B616" s="5" t="s">
        <v>466</v>
      </c>
      <c r="C616" s="5" t="s">
        <v>314</v>
      </c>
      <c r="D616" s="5" t="s">
        <v>489</v>
      </c>
      <c r="E616" s="5" t="s">
        <v>349</v>
      </c>
      <c r="F616" s="5" t="s">
        <v>317</v>
      </c>
      <c r="G616" s="5" t="s">
        <v>350</v>
      </c>
      <c r="H616" s="3">
        <v>94.060488859105632</v>
      </c>
      <c r="I616" s="3">
        <v>0</v>
      </c>
      <c r="J616" s="318">
        <v>94.060488859105632</v>
      </c>
      <c r="K616" s="3">
        <v>7.7210827900253376</v>
      </c>
      <c r="L616" s="3">
        <v>13.359104203107172</v>
      </c>
      <c r="M616" s="318">
        <v>21.080186993132511</v>
      </c>
      <c r="N616" s="3">
        <v>20.670638971586317</v>
      </c>
      <c r="O616" s="3">
        <v>34.275996246726535</v>
      </c>
      <c r="P616" s="3">
        <v>5.788681776451952</v>
      </c>
      <c r="Q616" s="3">
        <v>4.4306599315709283</v>
      </c>
      <c r="R616" s="3">
        <v>11.661068669525205</v>
      </c>
      <c r="S616" s="3">
        <v>19.266991018642518</v>
      </c>
      <c r="T616" s="3">
        <v>35.664822904570542</v>
      </c>
      <c r="U616" s="3">
        <v>6.5358892392185872</v>
      </c>
      <c r="V616" s="318">
        <v>138.2947487582926</v>
      </c>
      <c r="W616" s="318">
        <v>253.43542461053073</v>
      </c>
      <c r="X616" s="3">
        <v>25.611960784147545</v>
      </c>
      <c r="Y616" s="318">
        <v>279.04738539467826</v>
      </c>
    </row>
    <row r="617" spans="1:25" x14ac:dyDescent="0.2">
      <c r="A617" s="314">
        <v>2019</v>
      </c>
      <c r="B617" s="5" t="s">
        <v>466</v>
      </c>
      <c r="C617" s="5" t="s">
        <v>314</v>
      </c>
      <c r="D617" s="5" t="s">
        <v>490</v>
      </c>
      <c r="E617" s="5" t="s">
        <v>351</v>
      </c>
      <c r="F617" s="5" t="s">
        <v>317</v>
      </c>
      <c r="G617" s="5" t="s">
        <v>352</v>
      </c>
      <c r="H617" s="3">
        <v>61.572335627979861</v>
      </c>
      <c r="I617" s="3">
        <v>0</v>
      </c>
      <c r="J617" s="318">
        <v>61.572335627979861</v>
      </c>
      <c r="K617" s="3">
        <v>10.072359324999496</v>
      </c>
      <c r="L617" s="3">
        <v>15.299296350851385</v>
      </c>
      <c r="M617" s="318">
        <v>25.371655675850882</v>
      </c>
      <c r="N617" s="3">
        <v>10.688631558267499</v>
      </c>
      <c r="O617" s="3">
        <v>72.063637205043349</v>
      </c>
      <c r="P617" s="3">
        <v>10.578505707741911</v>
      </c>
      <c r="Q617" s="3">
        <v>7.8650084233147446</v>
      </c>
      <c r="R617" s="3">
        <v>31.686635497652631</v>
      </c>
      <c r="S617" s="3">
        <v>26.053775692330319</v>
      </c>
      <c r="T617" s="3">
        <v>39.143529648574983</v>
      </c>
      <c r="U617" s="3">
        <v>10.356007294774786</v>
      </c>
      <c r="V617" s="318">
        <v>208.43573102770026</v>
      </c>
      <c r="W617" s="318">
        <v>295.37972233153101</v>
      </c>
      <c r="X617" s="3">
        <v>29.85081456711719</v>
      </c>
      <c r="Y617" s="318">
        <v>325.23053689864821</v>
      </c>
    </row>
    <row r="618" spans="1:25" x14ac:dyDescent="0.2">
      <c r="A618" s="314">
        <v>2019</v>
      </c>
      <c r="B618" s="5" t="s">
        <v>466</v>
      </c>
      <c r="C618" s="5" t="s">
        <v>314</v>
      </c>
      <c r="D618" s="5" t="s">
        <v>490</v>
      </c>
      <c r="E618" s="5" t="s">
        <v>353</v>
      </c>
      <c r="F618" s="5" t="s">
        <v>317</v>
      </c>
      <c r="G618" s="5" t="s">
        <v>354</v>
      </c>
      <c r="H618" s="3">
        <v>89.505294582913265</v>
      </c>
      <c r="I618" s="3">
        <v>0</v>
      </c>
      <c r="J618" s="318">
        <v>89.505294582913265</v>
      </c>
      <c r="K618" s="3">
        <v>6.7360921732384833</v>
      </c>
      <c r="L618" s="3">
        <v>24.699528521736617</v>
      </c>
      <c r="M618" s="318">
        <v>31.4356206949751</v>
      </c>
      <c r="N618" s="3">
        <v>7.4505986324330564</v>
      </c>
      <c r="O618" s="3">
        <v>33.407933173054687</v>
      </c>
      <c r="P618" s="3">
        <v>6.673499544787008</v>
      </c>
      <c r="Q618" s="3">
        <v>4.9471022104981248</v>
      </c>
      <c r="R618" s="3">
        <v>15.610625982167981</v>
      </c>
      <c r="S618" s="3">
        <v>18.91473740239778</v>
      </c>
      <c r="T618" s="3">
        <v>32.964082058959335</v>
      </c>
      <c r="U618" s="3">
        <v>6.7353656533678459</v>
      </c>
      <c r="V618" s="318">
        <v>126.70394465766582</v>
      </c>
      <c r="W618" s="318">
        <v>247.64485993555417</v>
      </c>
      <c r="X618" s="3">
        <v>25.026771418448241</v>
      </c>
      <c r="Y618" s="318">
        <v>272.67163135400239</v>
      </c>
    </row>
    <row r="619" spans="1:25" x14ac:dyDescent="0.2">
      <c r="A619" s="314">
        <v>2019</v>
      </c>
      <c r="B619" s="5" t="s">
        <v>466</v>
      </c>
      <c r="C619" s="5" t="s">
        <v>314</v>
      </c>
      <c r="D619" s="5" t="s">
        <v>490</v>
      </c>
      <c r="E619" s="5" t="s">
        <v>355</v>
      </c>
      <c r="F619" s="5" t="s">
        <v>317</v>
      </c>
      <c r="G619" s="5" t="s">
        <v>356</v>
      </c>
      <c r="H619" s="3">
        <v>48.580212838287444</v>
      </c>
      <c r="I619" s="3">
        <v>0</v>
      </c>
      <c r="J619" s="318">
        <v>48.580212838287444</v>
      </c>
      <c r="K619" s="3">
        <v>5.3645538197205598</v>
      </c>
      <c r="L619" s="3">
        <v>4.6560910036805874</v>
      </c>
      <c r="M619" s="318">
        <v>10.020644823401147</v>
      </c>
      <c r="N619" s="3">
        <v>5.3388951725227347</v>
      </c>
      <c r="O619" s="3">
        <v>8.438051560646656</v>
      </c>
      <c r="P619" s="3">
        <v>2.9433659940575527</v>
      </c>
      <c r="Q619" s="3">
        <v>2.1475161977665511</v>
      </c>
      <c r="R619" s="3">
        <v>7.746498468125786</v>
      </c>
      <c r="S619" s="3">
        <v>10.617067944777347</v>
      </c>
      <c r="T619" s="3">
        <v>22.155436899902767</v>
      </c>
      <c r="U619" s="3">
        <v>2.9268790881717055</v>
      </c>
      <c r="V619" s="318">
        <v>62.313711325971099</v>
      </c>
      <c r="W619" s="318">
        <v>120.91456898765969</v>
      </c>
      <c r="X619" s="3">
        <v>12.219519839829694</v>
      </c>
      <c r="Y619" s="318">
        <v>133.13408882748939</v>
      </c>
    </row>
    <row r="620" spans="1:25" x14ac:dyDescent="0.2">
      <c r="A620" s="314">
        <v>2019</v>
      </c>
      <c r="B620" s="5" t="s">
        <v>466</v>
      </c>
      <c r="C620" s="5" t="s">
        <v>314</v>
      </c>
      <c r="D620" s="5" t="s">
        <v>487</v>
      </c>
      <c r="E620" s="5" t="s">
        <v>357</v>
      </c>
      <c r="F620" s="5" t="s">
        <v>317</v>
      </c>
      <c r="G620" s="5" t="s">
        <v>358</v>
      </c>
      <c r="H620" s="3">
        <v>24.227037423305056</v>
      </c>
      <c r="I620" s="3">
        <v>0.76081272856331239</v>
      </c>
      <c r="J620" s="318">
        <v>24.987850151868368</v>
      </c>
      <c r="K620" s="3">
        <v>4.0910805515017632</v>
      </c>
      <c r="L620" s="3">
        <v>5.738049365329676</v>
      </c>
      <c r="M620" s="318">
        <v>9.8291299168314392</v>
      </c>
      <c r="N620" s="3">
        <v>5.2653381812525506</v>
      </c>
      <c r="O620" s="3">
        <v>19.390722275853197</v>
      </c>
      <c r="P620" s="3">
        <v>4.1262620106181789</v>
      </c>
      <c r="Q620" s="3">
        <v>2.086610384403091</v>
      </c>
      <c r="R620" s="3">
        <v>11.245298863633339</v>
      </c>
      <c r="S620" s="3">
        <v>13.06290007317336</v>
      </c>
      <c r="T620" s="3">
        <v>24.706569320269267</v>
      </c>
      <c r="U620" s="3">
        <v>4.966397254839543</v>
      </c>
      <c r="V620" s="318">
        <v>84.850098364042523</v>
      </c>
      <c r="W620" s="318">
        <v>119.66707843274233</v>
      </c>
      <c r="X620" s="3">
        <v>12.093449543144697</v>
      </c>
      <c r="Y620" s="318">
        <v>131.76052797588702</v>
      </c>
    </row>
    <row r="621" spans="1:25" x14ac:dyDescent="0.2">
      <c r="A621" s="314">
        <v>2019</v>
      </c>
      <c r="B621" s="5" t="s">
        <v>466</v>
      </c>
      <c r="C621" s="5" t="s">
        <v>314</v>
      </c>
      <c r="D621" s="5" t="s">
        <v>489</v>
      </c>
      <c r="E621" s="5" t="s">
        <v>359</v>
      </c>
      <c r="F621" s="5" t="s">
        <v>317</v>
      </c>
      <c r="G621" s="5" t="s">
        <v>360</v>
      </c>
      <c r="H621" s="3">
        <v>449.38383875735178</v>
      </c>
      <c r="I621" s="3">
        <v>0</v>
      </c>
      <c r="J621" s="318">
        <v>449.38383875735178</v>
      </c>
      <c r="K621" s="3">
        <v>33.897866087283134</v>
      </c>
      <c r="L621" s="3">
        <v>36.513491799044644</v>
      </c>
      <c r="M621" s="318">
        <v>70.411357886327778</v>
      </c>
      <c r="N621" s="3">
        <v>13.371125581317164</v>
      </c>
      <c r="O621" s="3">
        <v>57.088267178356297</v>
      </c>
      <c r="P621" s="3">
        <v>12.753639497170196</v>
      </c>
      <c r="Q621" s="3">
        <v>11.473437335411807</v>
      </c>
      <c r="R621" s="3">
        <v>27.094547018055767</v>
      </c>
      <c r="S621" s="3">
        <v>42.207764520884183</v>
      </c>
      <c r="T621" s="3">
        <v>74.347272501482422</v>
      </c>
      <c r="U621" s="3">
        <v>11.000736634926962</v>
      </c>
      <c r="V621" s="318">
        <v>249.33679026760481</v>
      </c>
      <c r="W621" s="318">
        <v>769.13198691128434</v>
      </c>
      <c r="X621" s="3">
        <v>77.727801142550945</v>
      </c>
      <c r="Y621" s="318">
        <v>846.85978805383525</v>
      </c>
    </row>
    <row r="622" spans="1:25" x14ac:dyDescent="0.2">
      <c r="A622" s="314">
        <v>2019</v>
      </c>
      <c r="B622" s="5" t="s">
        <v>466</v>
      </c>
      <c r="C622" s="5" t="s">
        <v>314</v>
      </c>
      <c r="D622" s="5" t="s">
        <v>490</v>
      </c>
      <c r="E622" s="5" t="s">
        <v>361</v>
      </c>
      <c r="F622" s="5" t="s">
        <v>317</v>
      </c>
      <c r="G622" s="5" t="s">
        <v>362</v>
      </c>
      <c r="H622" s="3">
        <v>119.78876305415297</v>
      </c>
      <c r="I622" s="3">
        <v>4.202188734366473</v>
      </c>
      <c r="J622" s="318">
        <v>123.99095178851944</v>
      </c>
      <c r="K622" s="3">
        <v>1.3617377197532516</v>
      </c>
      <c r="L622" s="3">
        <v>15.232970889359018</v>
      </c>
      <c r="M622" s="318">
        <v>16.594708609112271</v>
      </c>
      <c r="N622" s="3">
        <v>2.8614900927730869</v>
      </c>
      <c r="O622" s="3">
        <v>12.490659624067691</v>
      </c>
      <c r="P622" s="3">
        <v>3.1329280518475349</v>
      </c>
      <c r="Q622" s="3">
        <v>1.6946814353149917</v>
      </c>
      <c r="R622" s="3">
        <v>9.2951279905984965</v>
      </c>
      <c r="S622" s="3">
        <v>10.723156408227865</v>
      </c>
      <c r="T622" s="3">
        <v>17.637122753754593</v>
      </c>
      <c r="U622" s="3">
        <v>3.4765337057435448</v>
      </c>
      <c r="V622" s="318">
        <v>61.311700062327795</v>
      </c>
      <c r="W622" s="318">
        <v>201.89736045995949</v>
      </c>
      <c r="X622" s="3">
        <v>20.403569416035452</v>
      </c>
      <c r="Y622" s="318">
        <v>222.30092987599494</v>
      </c>
    </row>
    <row r="623" spans="1:25" x14ac:dyDescent="0.2">
      <c r="A623" s="314">
        <v>2019</v>
      </c>
      <c r="B623" s="5" t="s">
        <v>466</v>
      </c>
      <c r="C623" s="5" t="s">
        <v>314</v>
      </c>
      <c r="D623" s="5" t="s">
        <v>487</v>
      </c>
      <c r="E623" s="5" t="s">
        <v>363</v>
      </c>
      <c r="F623" s="5" t="s">
        <v>317</v>
      </c>
      <c r="G623" s="5" t="s">
        <v>364</v>
      </c>
      <c r="H623" s="3">
        <v>42.424453129002217</v>
      </c>
      <c r="I623" s="3">
        <v>0.68086329846793348</v>
      </c>
      <c r="J623" s="318">
        <v>43.10531642747015</v>
      </c>
      <c r="K623" s="3">
        <v>5.6601517276875724</v>
      </c>
      <c r="L623" s="3">
        <v>12.135690271841472</v>
      </c>
      <c r="M623" s="318">
        <v>17.795841999529046</v>
      </c>
      <c r="N623" s="3">
        <v>7.3963048001778713</v>
      </c>
      <c r="O623" s="3">
        <v>33.862306940719712</v>
      </c>
      <c r="P623" s="3">
        <v>5.8782861051156816</v>
      </c>
      <c r="Q623" s="3">
        <v>2.9720593688005739</v>
      </c>
      <c r="R623" s="3">
        <v>15.468233530343905</v>
      </c>
      <c r="S623" s="3">
        <v>19.672820831616704</v>
      </c>
      <c r="T623" s="3">
        <v>35.843467389367881</v>
      </c>
      <c r="U623" s="3">
        <v>6.1813618222584701</v>
      </c>
      <c r="V623" s="318">
        <v>127.27484078840079</v>
      </c>
      <c r="W623" s="318">
        <v>188.1759992154</v>
      </c>
      <c r="X623" s="3">
        <v>19.016900734493223</v>
      </c>
      <c r="Y623" s="318">
        <v>207.19289994989322</v>
      </c>
    </row>
    <row r="624" spans="1:25" x14ac:dyDescent="0.2">
      <c r="A624" s="314">
        <v>2019</v>
      </c>
      <c r="B624" s="5" t="s">
        <v>466</v>
      </c>
      <c r="C624" s="5" t="s">
        <v>365</v>
      </c>
      <c r="D624" s="5" t="s">
        <v>491</v>
      </c>
      <c r="E624" s="5" t="s">
        <v>367</v>
      </c>
      <c r="F624" s="5" t="s">
        <v>368</v>
      </c>
      <c r="G624" s="5" t="s">
        <v>370</v>
      </c>
      <c r="H624" s="3">
        <v>638.66044422905713</v>
      </c>
      <c r="I624" s="3">
        <v>8.1091989069515193</v>
      </c>
      <c r="J624" s="318">
        <v>646.76964313600865</v>
      </c>
      <c r="K624" s="3">
        <v>95.509104321099841</v>
      </c>
      <c r="L624" s="3">
        <v>185.13254473179072</v>
      </c>
      <c r="M624" s="318">
        <v>280.64164905289056</v>
      </c>
      <c r="N624" s="3">
        <v>91.129545525441699</v>
      </c>
      <c r="O624" s="3">
        <v>535.38770092280072</v>
      </c>
      <c r="P624" s="3">
        <v>71.952333867559602</v>
      </c>
      <c r="Q624" s="3">
        <v>85.890231556520732</v>
      </c>
      <c r="R624" s="3">
        <v>164.86736098077392</v>
      </c>
      <c r="S624" s="3">
        <v>208.34571600071152</v>
      </c>
      <c r="T624" s="3">
        <v>317.86844472896121</v>
      </c>
      <c r="U624" s="3">
        <v>59.793286813717089</v>
      </c>
      <c r="V624" s="318">
        <v>1535.2346203964864</v>
      </c>
      <c r="W624" s="318">
        <v>2462.6459125853858</v>
      </c>
      <c r="X624" s="3">
        <v>248.8728268169553</v>
      </c>
      <c r="Y624" s="318">
        <v>2711.518739402341</v>
      </c>
    </row>
    <row r="625" spans="1:25" x14ac:dyDescent="0.2">
      <c r="A625" s="314">
        <v>2019</v>
      </c>
      <c r="B625" s="5" t="s">
        <v>466</v>
      </c>
      <c r="C625" s="5" t="s">
        <v>365</v>
      </c>
      <c r="D625" s="5" t="s">
        <v>492</v>
      </c>
      <c r="E625" s="5" t="s">
        <v>371</v>
      </c>
      <c r="F625" s="5" t="s">
        <v>368</v>
      </c>
      <c r="G625" s="5" t="s">
        <v>372</v>
      </c>
      <c r="H625" s="3">
        <v>54.877295151339816</v>
      </c>
      <c r="I625" s="3">
        <v>0</v>
      </c>
      <c r="J625" s="318">
        <v>54.877295151339816</v>
      </c>
      <c r="K625" s="3">
        <v>3.2915723425051033</v>
      </c>
      <c r="L625" s="3">
        <v>20.612065383590174</v>
      </c>
      <c r="M625" s="318">
        <v>23.903637726095276</v>
      </c>
      <c r="N625" s="3">
        <v>8.9974594800573779</v>
      </c>
      <c r="O625" s="3">
        <v>71.133666475536572</v>
      </c>
      <c r="P625" s="3">
        <v>9.3428813586347719</v>
      </c>
      <c r="Q625" s="3">
        <v>5.6348487711532824</v>
      </c>
      <c r="R625" s="3">
        <v>15.712735245496642</v>
      </c>
      <c r="S625" s="3">
        <v>27.313475321496579</v>
      </c>
      <c r="T625" s="3">
        <v>61.589368942574133</v>
      </c>
      <c r="U625" s="3">
        <v>6.988620724705692</v>
      </c>
      <c r="V625" s="318">
        <v>206.71305631965507</v>
      </c>
      <c r="W625" s="318">
        <v>285.49398919709017</v>
      </c>
      <c r="X625" s="3">
        <v>28.851771083946119</v>
      </c>
      <c r="Y625" s="318">
        <v>314.34576028103629</v>
      </c>
    </row>
    <row r="626" spans="1:25" x14ac:dyDescent="0.2">
      <c r="A626" s="314">
        <v>2019</v>
      </c>
      <c r="B626" s="5" t="s">
        <v>466</v>
      </c>
      <c r="C626" s="5" t="s">
        <v>365</v>
      </c>
      <c r="D626" s="5" t="s">
        <v>491</v>
      </c>
      <c r="E626" s="5" t="s">
        <v>373</v>
      </c>
      <c r="F626" s="5" t="s">
        <v>368</v>
      </c>
      <c r="G626" s="5" t="s">
        <v>374</v>
      </c>
      <c r="H626" s="3">
        <v>623.16368337237031</v>
      </c>
      <c r="I626" s="3">
        <v>7.3397760190398458</v>
      </c>
      <c r="J626" s="318">
        <v>630.50345939141016</v>
      </c>
      <c r="K626" s="3">
        <v>49.17943212259992</v>
      </c>
      <c r="L626" s="3">
        <v>46.749308757770933</v>
      </c>
      <c r="M626" s="318">
        <v>95.928740880370853</v>
      </c>
      <c r="N626" s="3">
        <v>28.098301660496439</v>
      </c>
      <c r="O626" s="3">
        <v>144.63246104231555</v>
      </c>
      <c r="P626" s="3">
        <v>23.952304705183323</v>
      </c>
      <c r="Q626" s="3">
        <v>17.748395879133646</v>
      </c>
      <c r="R626" s="3">
        <v>43.873186383202587</v>
      </c>
      <c r="S626" s="3">
        <v>62.515606883003656</v>
      </c>
      <c r="T626" s="3">
        <v>83.318729584662535</v>
      </c>
      <c r="U626" s="3">
        <v>18.132742136108217</v>
      </c>
      <c r="V626" s="318">
        <v>422.27172827410601</v>
      </c>
      <c r="W626" s="318">
        <v>1148.703928545887</v>
      </c>
      <c r="X626" s="3">
        <v>116.08700723557412</v>
      </c>
      <c r="Y626" s="318">
        <v>1264.7909357814613</v>
      </c>
    </row>
    <row r="627" spans="1:25" x14ac:dyDescent="0.2">
      <c r="A627" s="314">
        <v>2019</v>
      </c>
      <c r="B627" s="5" t="s">
        <v>466</v>
      </c>
      <c r="C627" s="5" t="s">
        <v>365</v>
      </c>
      <c r="D627" s="5" t="s">
        <v>491</v>
      </c>
      <c r="E627" s="5" t="s">
        <v>375</v>
      </c>
      <c r="F627" s="5" t="s">
        <v>368</v>
      </c>
      <c r="G627" s="5" t="s">
        <v>376</v>
      </c>
      <c r="H627" s="3">
        <v>291.66222149386704</v>
      </c>
      <c r="I627" s="3">
        <v>3.89256077545366</v>
      </c>
      <c r="J627" s="318">
        <v>295.5547822693207</v>
      </c>
      <c r="K627" s="3">
        <v>21.122580736708695</v>
      </c>
      <c r="L627" s="3">
        <v>53.262902347546856</v>
      </c>
      <c r="M627" s="318">
        <v>74.385483084255554</v>
      </c>
      <c r="N627" s="3">
        <v>34.58717289721865</v>
      </c>
      <c r="O627" s="3">
        <v>137.21152601045026</v>
      </c>
      <c r="P627" s="3">
        <v>30.996233688072827</v>
      </c>
      <c r="Q627" s="3">
        <v>29.04270265392422</v>
      </c>
      <c r="R627" s="3">
        <v>53.917531384647887</v>
      </c>
      <c r="S627" s="3">
        <v>73.614901981763211</v>
      </c>
      <c r="T627" s="3">
        <v>130.84653695550099</v>
      </c>
      <c r="U627" s="3">
        <v>27.554434370570782</v>
      </c>
      <c r="V627" s="318">
        <v>517.77103994214872</v>
      </c>
      <c r="W627" s="318">
        <v>887.71130529572497</v>
      </c>
      <c r="X627" s="3">
        <v>89.711322613317932</v>
      </c>
      <c r="Y627" s="318">
        <v>977.42262790904294</v>
      </c>
    </row>
    <row r="628" spans="1:25" x14ac:dyDescent="0.2">
      <c r="A628" s="314">
        <v>2019</v>
      </c>
      <c r="B628" s="5" t="s">
        <v>466</v>
      </c>
      <c r="C628" s="5" t="s">
        <v>365</v>
      </c>
      <c r="D628" s="5" t="s">
        <v>493</v>
      </c>
      <c r="E628" s="5" t="s">
        <v>377</v>
      </c>
      <c r="F628" s="5" t="s">
        <v>368</v>
      </c>
      <c r="G628" s="5" t="s">
        <v>378</v>
      </c>
      <c r="H628" s="3">
        <v>1.4920403936984292</v>
      </c>
      <c r="I628" s="3">
        <v>0</v>
      </c>
      <c r="J628" s="318">
        <v>1.4920403936984292</v>
      </c>
      <c r="K628" s="3">
        <v>0.38217631692900467</v>
      </c>
      <c r="L628" s="3">
        <v>3.5857899632735841</v>
      </c>
      <c r="M628" s="318">
        <v>3.9679662802025888</v>
      </c>
      <c r="N628" s="3">
        <v>1.057164709919165</v>
      </c>
      <c r="O628" s="3">
        <v>10.140881044747145</v>
      </c>
      <c r="P628" s="3">
        <v>1.8413843417377953</v>
      </c>
      <c r="Q628" s="3">
        <v>0.80387540037107386</v>
      </c>
      <c r="R628" s="3">
        <v>2.53056022755234</v>
      </c>
      <c r="S628" s="3">
        <v>6.8445506607514117</v>
      </c>
      <c r="T628" s="3">
        <v>18.825885655046324</v>
      </c>
      <c r="U628" s="3">
        <v>1.4416935376959767</v>
      </c>
      <c r="V628" s="318">
        <v>43.485995577821235</v>
      </c>
      <c r="W628" s="318">
        <v>48.946002251722255</v>
      </c>
      <c r="X628" s="3">
        <v>4.9464398757134855</v>
      </c>
      <c r="Y628" s="318">
        <v>53.892442127435743</v>
      </c>
    </row>
    <row r="629" spans="1:25" x14ac:dyDescent="0.2">
      <c r="A629" s="314">
        <v>2019</v>
      </c>
      <c r="B629" s="5" t="s">
        <v>466</v>
      </c>
      <c r="C629" s="5" t="s">
        <v>365</v>
      </c>
      <c r="D629" s="5" t="s">
        <v>491</v>
      </c>
      <c r="E629" s="5" t="s">
        <v>379</v>
      </c>
      <c r="F629" s="5" t="s">
        <v>368</v>
      </c>
      <c r="G629" s="5" t="s">
        <v>380</v>
      </c>
      <c r="H629" s="3">
        <v>59.531530859740784</v>
      </c>
      <c r="I629" s="3">
        <v>31.716280473814336</v>
      </c>
      <c r="J629" s="318">
        <v>91.24781133355512</v>
      </c>
      <c r="K629" s="3">
        <v>1.5473343858413833</v>
      </c>
      <c r="L629" s="3">
        <v>15.1694468418239</v>
      </c>
      <c r="M629" s="318">
        <v>16.716781227665283</v>
      </c>
      <c r="N629" s="3">
        <v>8.9157071844637752</v>
      </c>
      <c r="O629" s="3">
        <v>37.817995681330011</v>
      </c>
      <c r="P629" s="3">
        <v>4.9778064055819655</v>
      </c>
      <c r="Q629" s="3">
        <v>3.6215284624938207</v>
      </c>
      <c r="R629" s="3">
        <v>9.6486384380591712</v>
      </c>
      <c r="S629" s="3">
        <v>21.416914990830087</v>
      </c>
      <c r="T629" s="3">
        <v>44.877433375045804</v>
      </c>
      <c r="U629" s="3">
        <v>3.7800725146677094</v>
      </c>
      <c r="V629" s="318">
        <v>135.05609705247235</v>
      </c>
      <c r="W629" s="318">
        <v>243.02068961369275</v>
      </c>
      <c r="X629" s="3">
        <v>24.559456838709682</v>
      </c>
      <c r="Y629" s="318">
        <v>267.58014645240246</v>
      </c>
    </row>
    <row r="630" spans="1:25" x14ac:dyDescent="0.2">
      <c r="A630" s="314">
        <v>2019</v>
      </c>
      <c r="B630" s="5" t="s">
        <v>466</v>
      </c>
      <c r="C630" s="5" t="s">
        <v>365</v>
      </c>
      <c r="D630" s="5" t="s">
        <v>492</v>
      </c>
      <c r="E630" s="5" t="s">
        <v>381</v>
      </c>
      <c r="F630" s="5" t="s">
        <v>368</v>
      </c>
      <c r="G630" s="5" t="s">
        <v>382</v>
      </c>
      <c r="H630" s="3">
        <v>105.44099196553296</v>
      </c>
      <c r="I630" s="3">
        <v>0</v>
      </c>
      <c r="J630" s="318">
        <v>105.44099196553296</v>
      </c>
      <c r="K630" s="3">
        <v>7.301050631532747</v>
      </c>
      <c r="L630" s="3">
        <v>35.070537863611342</v>
      </c>
      <c r="M630" s="318">
        <v>42.371588495144088</v>
      </c>
      <c r="N630" s="3">
        <v>27.813090098529162</v>
      </c>
      <c r="O630" s="3">
        <v>107.81958108676929</v>
      </c>
      <c r="P630" s="3">
        <v>14.826685685870395</v>
      </c>
      <c r="Q630" s="3">
        <v>10.527287062489561</v>
      </c>
      <c r="R630" s="3">
        <v>28.869111020690667</v>
      </c>
      <c r="S630" s="3">
        <v>46.953318850441676</v>
      </c>
      <c r="T630" s="3">
        <v>110.61171601194572</v>
      </c>
      <c r="U630" s="3">
        <v>11.579326215892745</v>
      </c>
      <c r="V630" s="318">
        <v>359.00011603262919</v>
      </c>
      <c r="W630" s="318">
        <v>506.81269649330625</v>
      </c>
      <c r="X630" s="3">
        <v>51.218044704849319</v>
      </c>
      <c r="Y630" s="318">
        <v>558.03074119815551</v>
      </c>
    </row>
    <row r="631" spans="1:25" x14ac:dyDescent="0.2">
      <c r="A631" s="314">
        <v>2019</v>
      </c>
      <c r="B631" s="5" t="s">
        <v>466</v>
      </c>
      <c r="C631" s="5" t="s">
        <v>365</v>
      </c>
      <c r="D631" s="5" t="s">
        <v>492</v>
      </c>
      <c r="E631" s="5" t="s">
        <v>383</v>
      </c>
      <c r="F631" s="5" t="s">
        <v>368</v>
      </c>
      <c r="G631" s="5" t="s">
        <v>384</v>
      </c>
      <c r="H631" s="3">
        <v>64.429145912743394</v>
      </c>
      <c r="I631" s="3">
        <v>0</v>
      </c>
      <c r="J631" s="318">
        <v>64.429145912743394</v>
      </c>
      <c r="K631" s="3">
        <v>2.6555744405804189</v>
      </c>
      <c r="L631" s="3">
        <v>15.799620690547819</v>
      </c>
      <c r="M631" s="318">
        <v>18.455195131128239</v>
      </c>
      <c r="N631" s="3">
        <v>11.530923538210274</v>
      </c>
      <c r="O631" s="3">
        <v>35.516428358311735</v>
      </c>
      <c r="P631" s="3">
        <v>6.8042652850244965</v>
      </c>
      <c r="Q631" s="3">
        <v>3.8687605835039474</v>
      </c>
      <c r="R631" s="3">
        <v>6.9697014472535921</v>
      </c>
      <c r="S631" s="3">
        <v>19.297776754591403</v>
      </c>
      <c r="T631" s="3">
        <v>52.714258840637378</v>
      </c>
      <c r="U631" s="3">
        <v>4.8183527501269197</v>
      </c>
      <c r="V631" s="318">
        <v>141.52046755765974</v>
      </c>
      <c r="W631" s="318">
        <v>224.40480860153139</v>
      </c>
      <c r="X631" s="3">
        <v>22.678152300567302</v>
      </c>
      <c r="Y631" s="318">
        <v>247.08296090209868</v>
      </c>
    </row>
    <row r="632" spans="1:25" x14ac:dyDescent="0.2">
      <c r="A632" s="314">
        <v>2019</v>
      </c>
      <c r="B632" s="5" t="s">
        <v>466</v>
      </c>
      <c r="C632" s="5" t="s">
        <v>365</v>
      </c>
      <c r="D632" s="5" t="s">
        <v>492</v>
      </c>
      <c r="E632" s="5" t="s">
        <v>385</v>
      </c>
      <c r="F632" s="5" t="s">
        <v>368</v>
      </c>
      <c r="G632" s="5" t="s">
        <v>386</v>
      </c>
      <c r="H632" s="3">
        <v>43.729453258265977</v>
      </c>
      <c r="I632" s="3">
        <v>0</v>
      </c>
      <c r="J632" s="318">
        <v>43.729453258265977</v>
      </c>
      <c r="K632" s="3">
        <v>2.8663313358797682</v>
      </c>
      <c r="L632" s="3">
        <v>20.375582486038205</v>
      </c>
      <c r="M632" s="318">
        <v>23.241913821917972</v>
      </c>
      <c r="N632" s="3">
        <v>11.099758821251097</v>
      </c>
      <c r="O632" s="3">
        <v>73.207058581280108</v>
      </c>
      <c r="P632" s="3">
        <v>9.0187251918001579</v>
      </c>
      <c r="Q632" s="3">
        <v>5.1013956131954936</v>
      </c>
      <c r="R632" s="3">
        <v>12.15322861852507</v>
      </c>
      <c r="S632" s="3">
        <v>29.913188101733375</v>
      </c>
      <c r="T632" s="3">
        <v>69.471209508854244</v>
      </c>
      <c r="U632" s="3">
        <v>5.6496017232933093</v>
      </c>
      <c r="V632" s="318">
        <v>215.61416615993284</v>
      </c>
      <c r="W632" s="318">
        <v>282.58553324011677</v>
      </c>
      <c r="X632" s="3">
        <v>28.557845086714682</v>
      </c>
      <c r="Y632" s="318">
        <v>311.14337832683145</v>
      </c>
    </row>
    <row r="633" spans="1:25" x14ac:dyDescent="0.2">
      <c r="A633" s="314">
        <v>2019</v>
      </c>
      <c r="B633" s="5" t="s">
        <v>466</v>
      </c>
      <c r="C633" s="5" t="s">
        <v>365</v>
      </c>
      <c r="D633" s="5" t="s">
        <v>491</v>
      </c>
      <c r="E633" s="5" t="s">
        <v>387</v>
      </c>
      <c r="F633" s="5" t="s">
        <v>368</v>
      </c>
      <c r="G633" s="5" t="s">
        <v>494</v>
      </c>
      <c r="H633" s="3">
        <v>773.24098080622991</v>
      </c>
      <c r="I633" s="3">
        <v>0</v>
      </c>
      <c r="J633" s="318">
        <v>773.24098080622991</v>
      </c>
      <c r="K633" s="3">
        <v>26.659920472741241</v>
      </c>
      <c r="L633" s="3">
        <v>164.78289457538688</v>
      </c>
      <c r="M633" s="318">
        <v>191.44281504812812</v>
      </c>
      <c r="N633" s="3">
        <v>62.493760127028686</v>
      </c>
      <c r="O633" s="3">
        <v>405.91048701721354</v>
      </c>
      <c r="P633" s="3">
        <v>55.562312912093567</v>
      </c>
      <c r="Q633" s="3">
        <v>40.567619963986459</v>
      </c>
      <c r="R633" s="3">
        <v>90.273445747811706</v>
      </c>
      <c r="S633" s="3">
        <v>187.70847638000805</v>
      </c>
      <c r="T633" s="3">
        <v>447.04237374170464</v>
      </c>
      <c r="U633" s="3">
        <v>38.59522882511525</v>
      </c>
      <c r="V633" s="318">
        <v>1328.153704714962</v>
      </c>
      <c r="W633" s="318">
        <v>2292.8375005693201</v>
      </c>
      <c r="X633" s="3">
        <v>231.71213826657836</v>
      </c>
      <c r="Y633" s="318">
        <v>2524.5496388358983</v>
      </c>
    </row>
    <row r="634" spans="1:25" x14ac:dyDescent="0.2">
      <c r="A634" s="312">
        <v>2019</v>
      </c>
      <c r="B634" s="309" t="s">
        <v>466</v>
      </c>
      <c r="C634" s="315" t="s">
        <v>365</v>
      </c>
      <c r="D634" s="315" t="s">
        <v>493</v>
      </c>
      <c r="E634" s="309" t="s">
        <v>389</v>
      </c>
      <c r="F634" s="315" t="s">
        <v>368</v>
      </c>
      <c r="G634" s="309" t="s">
        <v>390</v>
      </c>
      <c r="H634" s="313">
        <v>11.350702279084786</v>
      </c>
      <c r="I634" s="313">
        <v>0.24263145378533402</v>
      </c>
      <c r="J634" s="318">
        <v>11.59333373287012</v>
      </c>
      <c r="K634" s="313">
        <v>0.77398036704525475</v>
      </c>
      <c r="L634" s="313">
        <v>5.7548978015148613</v>
      </c>
      <c r="M634" s="318">
        <v>6.5288781685601158</v>
      </c>
      <c r="N634" s="313">
        <v>2.1636282090273387</v>
      </c>
      <c r="O634" s="313">
        <v>14.312850302919701</v>
      </c>
      <c r="P634" s="313">
        <v>9.8268450776100487</v>
      </c>
      <c r="Q634" s="313">
        <v>0.71348901757125205</v>
      </c>
      <c r="R634" s="313">
        <v>2.9139134680351568</v>
      </c>
      <c r="S634" s="313">
        <v>11.143224887348643</v>
      </c>
      <c r="T634" s="313">
        <v>19.745408586860538</v>
      </c>
      <c r="U634" s="313">
        <v>1.7807821066303007</v>
      </c>
      <c r="V634" s="318">
        <v>62.600141656002975</v>
      </c>
      <c r="W634" s="318">
        <v>80.722353557433209</v>
      </c>
      <c r="X634" s="313">
        <v>8.1577299499241587</v>
      </c>
      <c r="Y634" s="318">
        <v>88.880083507357369</v>
      </c>
    </row>
    <row r="635" spans="1:25" x14ac:dyDescent="0.2">
      <c r="A635" s="314">
        <v>2020</v>
      </c>
      <c r="B635" s="5" t="s">
        <v>466</v>
      </c>
      <c r="C635" s="5"/>
      <c r="D635" s="5"/>
      <c r="E635" s="5"/>
      <c r="F635" s="5"/>
      <c r="G635" s="5" t="s">
        <v>467</v>
      </c>
      <c r="H635" s="3">
        <v>9851.9795355846072</v>
      </c>
      <c r="I635" s="3">
        <v>4783.3157851955712</v>
      </c>
      <c r="J635" s="318">
        <v>14635.295320780178</v>
      </c>
      <c r="K635" s="3">
        <v>20425.144233147788</v>
      </c>
      <c r="L635" s="3">
        <v>7762.3175398600479</v>
      </c>
      <c r="M635" s="318">
        <v>28187.461773007835</v>
      </c>
      <c r="N635" s="3">
        <v>7637.6446802291666</v>
      </c>
      <c r="O635" s="3">
        <v>23920.817756158547</v>
      </c>
      <c r="P635" s="3">
        <v>4332.8861416799273</v>
      </c>
      <c r="Q635" s="3">
        <v>7835.3492101114198</v>
      </c>
      <c r="R635" s="3">
        <v>13779.328338970861</v>
      </c>
      <c r="S635" s="3">
        <v>13315.4473199517</v>
      </c>
      <c r="T635" s="3">
        <v>18442.79321295183</v>
      </c>
      <c r="U635" s="3">
        <v>3510.0113624124215</v>
      </c>
      <c r="V635" s="318">
        <v>92774.278022465864</v>
      </c>
      <c r="W635" s="318">
        <v>135597.03511625389</v>
      </c>
      <c r="X635" s="3">
        <v>12639.074088182995</v>
      </c>
      <c r="Y635" s="318">
        <v>148236.10920443689</v>
      </c>
    </row>
    <row r="636" spans="1:25" x14ac:dyDescent="0.2">
      <c r="A636" s="314">
        <v>2020</v>
      </c>
      <c r="B636" s="5" t="s">
        <v>466</v>
      </c>
      <c r="C636" s="5" t="s">
        <v>90</v>
      </c>
      <c r="D636" s="5" t="s">
        <v>468</v>
      </c>
      <c r="E636" s="5" t="s">
        <v>93</v>
      </c>
      <c r="F636" s="5" t="s">
        <v>94</v>
      </c>
      <c r="G636" s="5" t="s">
        <v>469</v>
      </c>
      <c r="H636" s="3">
        <v>159.75122994531634</v>
      </c>
      <c r="I636" s="3">
        <v>6.6226029731947449</v>
      </c>
      <c r="J636" s="318">
        <v>166.37383291851108</v>
      </c>
      <c r="K636" s="3">
        <v>7242.8865163792898</v>
      </c>
      <c r="L636" s="3">
        <v>3561.4364740340943</v>
      </c>
      <c r="M636" s="318">
        <v>10804.322990413384</v>
      </c>
      <c r="N636" s="3">
        <v>3757.646928652538</v>
      </c>
      <c r="O636" s="3">
        <v>12007.204257555755</v>
      </c>
      <c r="P636" s="3">
        <v>1972.1033379035971</v>
      </c>
      <c r="Q636" s="3">
        <v>3743.3682873744142</v>
      </c>
      <c r="R636" s="3">
        <v>7330.1678032357086</v>
      </c>
      <c r="S636" s="3">
        <v>6272.3922932376208</v>
      </c>
      <c r="T636" s="3">
        <v>9227.9401713867446</v>
      </c>
      <c r="U636" s="3">
        <v>1705.1012653388759</v>
      </c>
      <c r="V636" s="318">
        <v>46015.924344685249</v>
      </c>
      <c r="W636" s="318">
        <v>56986.621168017147</v>
      </c>
      <c r="X636" s="3">
        <v>5311.7542456608589</v>
      </c>
      <c r="Y636" s="318">
        <v>62298.375413678004</v>
      </c>
    </row>
    <row r="637" spans="1:25" x14ac:dyDescent="0.2">
      <c r="A637" s="314">
        <v>2020</v>
      </c>
      <c r="B637" s="5" t="s">
        <v>466</v>
      </c>
      <c r="C637" s="5" t="s">
        <v>90</v>
      </c>
      <c r="D637" s="5" t="s">
        <v>470</v>
      </c>
      <c r="E637" s="5" t="s">
        <v>98</v>
      </c>
      <c r="F637" s="5" t="s">
        <v>94</v>
      </c>
      <c r="G637" s="5" t="s">
        <v>99</v>
      </c>
      <c r="H637" s="3">
        <v>97.387611787694667</v>
      </c>
      <c r="I637" s="3">
        <v>7.5464250295406146</v>
      </c>
      <c r="J637" s="318">
        <v>104.93403681723528</v>
      </c>
      <c r="K637" s="3">
        <v>339.58814663327229</v>
      </c>
      <c r="L637" s="3">
        <v>95.845605389228865</v>
      </c>
      <c r="M637" s="318">
        <v>435.43375202250115</v>
      </c>
      <c r="N637" s="3">
        <v>60.567319269395234</v>
      </c>
      <c r="O637" s="3">
        <v>163.86208792677149</v>
      </c>
      <c r="P637" s="3">
        <v>20.052526729744951</v>
      </c>
      <c r="Q637" s="3">
        <v>28.926422970509595</v>
      </c>
      <c r="R637" s="3">
        <v>59.55627724204372</v>
      </c>
      <c r="S637" s="3">
        <v>79.258650826784276</v>
      </c>
      <c r="T637" s="3">
        <v>64.690671727810965</v>
      </c>
      <c r="U637" s="3">
        <v>19.270031311115485</v>
      </c>
      <c r="V637" s="318">
        <v>496.18398800417572</v>
      </c>
      <c r="W637" s="318">
        <v>1036.5517768439122</v>
      </c>
      <c r="X637" s="3">
        <v>96.617560203552856</v>
      </c>
      <c r="Y637" s="318">
        <v>1133.169337047465</v>
      </c>
    </row>
    <row r="638" spans="1:25" x14ac:dyDescent="0.2">
      <c r="A638" s="314">
        <v>2020</v>
      </c>
      <c r="B638" s="5" t="s">
        <v>466</v>
      </c>
      <c r="C638" s="5" t="s">
        <v>90</v>
      </c>
      <c r="D638" s="5" t="s">
        <v>470</v>
      </c>
      <c r="E638" s="5" t="s">
        <v>101</v>
      </c>
      <c r="F638" s="5" t="s">
        <v>94</v>
      </c>
      <c r="G638" s="5" t="s">
        <v>102</v>
      </c>
      <c r="H638" s="3">
        <v>38.321736591265484</v>
      </c>
      <c r="I638" s="3">
        <v>1.6553092456864107</v>
      </c>
      <c r="J638" s="318">
        <v>39.977045836951895</v>
      </c>
      <c r="K638" s="3">
        <v>602.78806677694581</v>
      </c>
      <c r="L638" s="3">
        <v>371.00544827866406</v>
      </c>
      <c r="M638" s="318">
        <v>973.79351505560987</v>
      </c>
      <c r="N638" s="3">
        <v>264.54582724462392</v>
      </c>
      <c r="O638" s="3">
        <v>1351.0622065261298</v>
      </c>
      <c r="P638" s="3">
        <v>262.83822174054228</v>
      </c>
      <c r="Q638" s="3">
        <v>460.25685668272928</v>
      </c>
      <c r="R638" s="3">
        <v>702.10418255591128</v>
      </c>
      <c r="S638" s="3">
        <v>681.28182667902638</v>
      </c>
      <c r="T638" s="3">
        <v>810.11616681306305</v>
      </c>
      <c r="U638" s="3">
        <v>241.64756274211919</v>
      </c>
      <c r="V638" s="318">
        <v>4773.8528509841462</v>
      </c>
      <c r="W638" s="318">
        <v>5787.6234118767079</v>
      </c>
      <c r="X638" s="3">
        <v>539.46755572123629</v>
      </c>
      <c r="Y638" s="318">
        <v>6327.0909675979437</v>
      </c>
    </row>
    <row r="639" spans="1:25" x14ac:dyDescent="0.2">
      <c r="A639" s="314">
        <v>2020</v>
      </c>
      <c r="B639" s="5" t="s">
        <v>466</v>
      </c>
      <c r="C639" s="5" t="s">
        <v>90</v>
      </c>
      <c r="D639" s="5" t="s">
        <v>471</v>
      </c>
      <c r="E639" s="5" t="s">
        <v>104</v>
      </c>
      <c r="F639" s="5" t="s">
        <v>94</v>
      </c>
      <c r="G639" s="5" t="s">
        <v>105</v>
      </c>
      <c r="H639" s="3">
        <v>61.881565049798823</v>
      </c>
      <c r="I639" s="3">
        <v>2.5190274811864839</v>
      </c>
      <c r="J639" s="318">
        <v>64.400592530985307</v>
      </c>
      <c r="K639" s="3">
        <v>251.30905497000015</v>
      </c>
      <c r="L639" s="3">
        <v>54.695527196327816</v>
      </c>
      <c r="M639" s="318">
        <v>306.00458216632796</v>
      </c>
      <c r="N639" s="3">
        <v>53.647800280406408</v>
      </c>
      <c r="O639" s="3">
        <v>200.26838916600136</v>
      </c>
      <c r="P639" s="3">
        <v>49.197179198625456</v>
      </c>
      <c r="Q639" s="3">
        <v>71.642088692015022</v>
      </c>
      <c r="R639" s="3">
        <v>118.75021405080786</v>
      </c>
      <c r="S639" s="3">
        <v>116.63925720758944</v>
      </c>
      <c r="T639" s="3">
        <v>124.71698450472452</v>
      </c>
      <c r="U639" s="3">
        <v>28.927737309461406</v>
      </c>
      <c r="V639" s="318">
        <v>763.78965040963158</v>
      </c>
      <c r="W639" s="318">
        <v>1134.1948251069448</v>
      </c>
      <c r="X639" s="3">
        <v>105.71892233978561</v>
      </c>
      <c r="Y639" s="318">
        <v>1239.9137474467304</v>
      </c>
    </row>
    <row r="640" spans="1:25" x14ac:dyDescent="0.2">
      <c r="A640" s="314">
        <v>2020</v>
      </c>
      <c r="B640" s="5" t="s">
        <v>466</v>
      </c>
      <c r="C640" s="5" t="s">
        <v>90</v>
      </c>
      <c r="D640" s="5" t="s">
        <v>470</v>
      </c>
      <c r="E640" s="5" t="s">
        <v>106</v>
      </c>
      <c r="F640" s="5" t="s">
        <v>94</v>
      </c>
      <c r="G640" s="5" t="s">
        <v>107</v>
      </c>
      <c r="H640" s="3">
        <v>9.2020215040649678</v>
      </c>
      <c r="I640" s="3">
        <v>0.41685411913946879</v>
      </c>
      <c r="J640" s="318">
        <v>9.6188756232044366</v>
      </c>
      <c r="K640" s="3">
        <v>453.5208444058253</v>
      </c>
      <c r="L640" s="3">
        <v>136.54279794691854</v>
      </c>
      <c r="M640" s="318">
        <v>590.06364235274384</v>
      </c>
      <c r="N640" s="3">
        <v>59.055153701626473</v>
      </c>
      <c r="O640" s="3">
        <v>213.8244602323833</v>
      </c>
      <c r="P640" s="3">
        <v>52.45530503219738</v>
      </c>
      <c r="Q640" s="3">
        <v>72.44130713831558</v>
      </c>
      <c r="R640" s="3">
        <v>136.01521147894911</v>
      </c>
      <c r="S640" s="3">
        <v>112.21961293489275</v>
      </c>
      <c r="T640" s="3">
        <v>88.128895847685527</v>
      </c>
      <c r="U640" s="3">
        <v>32.724461193927183</v>
      </c>
      <c r="V640" s="318">
        <v>766.86440755997728</v>
      </c>
      <c r="W640" s="318">
        <v>1366.5469255359258</v>
      </c>
      <c r="X640" s="3">
        <v>127.37658918588617</v>
      </c>
      <c r="Y640" s="318">
        <v>1493.9235147218119</v>
      </c>
    </row>
    <row r="641" spans="1:25" x14ac:dyDescent="0.2">
      <c r="A641" s="314">
        <v>2020</v>
      </c>
      <c r="B641" s="5" t="s">
        <v>466</v>
      </c>
      <c r="C641" s="5" t="s">
        <v>90</v>
      </c>
      <c r="D641" s="5" t="s">
        <v>471</v>
      </c>
      <c r="E641" s="5" t="s">
        <v>109</v>
      </c>
      <c r="F641" s="5" t="s">
        <v>94</v>
      </c>
      <c r="G641" s="5" t="s">
        <v>110</v>
      </c>
      <c r="H641" s="3">
        <v>14.445405846761814</v>
      </c>
      <c r="I641" s="3">
        <v>0</v>
      </c>
      <c r="J641" s="318">
        <v>14.445405846761814</v>
      </c>
      <c r="K641" s="3">
        <v>1666.662718259661</v>
      </c>
      <c r="L641" s="3">
        <v>387.56216598124797</v>
      </c>
      <c r="M641" s="318">
        <v>2054.224884240909</v>
      </c>
      <c r="N641" s="3">
        <v>389.37724206886486</v>
      </c>
      <c r="O641" s="3">
        <v>1579.8011729621278</v>
      </c>
      <c r="P641" s="3">
        <v>355.80617697364369</v>
      </c>
      <c r="Q641" s="3">
        <v>545.4487403990978</v>
      </c>
      <c r="R641" s="3">
        <v>1341.851769308925</v>
      </c>
      <c r="S641" s="3">
        <v>865.78833145520071</v>
      </c>
      <c r="T641" s="3">
        <v>1043.5103163707795</v>
      </c>
      <c r="U641" s="3">
        <v>275.94600929406209</v>
      </c>
      <c r="V641" s="318">
        <v>6397.5297588327021</v>
      </c>
      <c r="W641" s="318">
        <v>8466.2000489203729</v>
      </c>
      <c r="X641" s="3">
        <v>789.13915464259651</v>
      </c>
      <c r="Y641" s="318">
        <v>9255.3392035629695</v>
      </c>
    </row>
    <row r="642" spans="1:25" x14ac:dyDescent="0.2">
      <c r="A642" s="314">
        <v>2020</v>
      </c>
      <c r="B642" s="5" t="s">
        <v>466</v>
      </c>
      <c r="C642" s="5" t="s">
        <v>90</v>
      </c>
      <c r="D642" s="5" t="s">
        <v>470</v>
      </c>
      <c r="E642" s="5" t="s">
        <v>112</v>
      </c>
      <c r="F642" s="5" t="s">
        <v>94</v>
      </c>
      <c r="G642" s="5" t="s">
        <v>113</v>
      </c>
      <c r="H642" s="3">
        <v>79.076503504697797</v>
      </c>
      <c r="I642" s="3">
        <v>192.62956927115229</v>
      </c>
      <c r="J642" s="318">
        <v>271.70607277585009</v>
      </c>
      <c r="K642" s="3">
        <v>1263.2090762559631</v>
      </c>
      <c r="L642" s="3">
        <v>160.84578235417916</v>
      </c>
      <c r="M642" s="318">
        <v>1424.0548586101422</v>
      </c>
      <c r="N642" s="3">
        <v>112.57435038779803</v>
      </c>
      <c r="O642" s="3">
        <v>239.37516272080865</v>
      </c>
      <c r="P642" s="3">
        <v>27.222430829511165</v>
      </c>
      <c r="Q642" s="3">
        <v>47.610756008466659</v>
      </c>
      <c r="R642" s="3">
        <v>85.217138401162416</v>
      </c>
      <c r="S642" s="3">
        <v>150.43382884505274</v>
      </c>
      <c r="T642" s="3">
        <v>100.05007190002371</v>
      </c>
      <c r="U642" s="3">
        <v>22.207323514597864</v>
      </c>
      <c r="V642" s="318">
        <v>784.69106260742115</v>
      </c>
      <c r="W642" s="318">
        <v>2480.4519939934135</v>
      </c>
      <c r="X642" s="3">
        <v>231.20429216896659</v>
      </c>
      <c r="Y642" s="318">
        <v>2711.6562861623802</v>
      </c>
    </row>
    <row r="643" spans="1:25" x14ac:dyDescent="0.2">
      <c r="A643" s="314">
        <v>2020</v>
      </c>
      <c r="B643" s="5" t="s">
        <v>466</v>
      </c>
      <c r="C643" s="5" t="s">
        <v>90</v>
      </c>
      <c r="D643" s="5" t="s">
        <v>471</v>
      </c>
      <c r="E643" s="5" t="s">
        <v>115</v>
      </c>
      <c r="F643" s="5" t="s">
        <v>94</v>
      </c>
      <c r="G643" s="5" t="s">
        <v>116</v>
      </c>
      <c r="H643" s="3">
        <v>0.70960137157342962</v>
      </c>
      <c r="I643" s="3">
        <v>0</v>
      </c>
      <c r="J643" s="318">
        <v>0.70960137157342962</v>
      </c>
      <c r="K643" s="3">
        <v>2313.3180705658597</v>
      </c>
      <c r="L643" s="3">
        <v>452.14393511283606</v>
      </c>
      <c r="M643" s="318">
        <v>2765.4620056786957</v>
      </c>
      <c r="N643" s="3">
        <v>401.0472643447136</v>
      </c>
      <c r="O643" s="3">
        <v>1395.4257920198636</v>
      </c>
      <c r="P643" s="3">
        <v>275.40338114756474</v>
      </c>
      <c r="Q643" s="3">
        <v>445.24229229195953</v>
      </c>
      <c r="R643" s="3">
        <v>709.37256917976833</v>
      </c>
      <c r="S643" s="3">
        <v>721.87650060786768</v>
      </c>
      <c r="T643" s="3">
        <v>661.71453784436335</v>
      </c>
      <c r="U643" s="3">
        <v>193.16082438972117</v>
      </c>
      <c r="V643" s="318">
        <v>4803.2431618258215</v>
      </c>
      <c r="W643" s="318">
        <v>7569.4147688760904</v>
      </c>
      <c r="X643" s="3">
        <v>705.54930633983724</v>
      </c>
      <c r="Y643" s="318">
        <v>8274.9640752159285</v>
      </c>
    </row>
    <row r="644" spans="1:25" x14ac:dyDescent="0.2">
      <c r="A644" s="314">
        <v>2020</v>
      </c>
      <c r="B644" s="5" t="s">
        <v>466</v>
      </c>
      <c r="C644" s="5" t="s">
        <v>90</v>
      </c>
      <c r="D644" s="5" t="s">
        <v>471</v>
      </c>
      <c r="E644" s="5" t="s">
        <v>118</v>
      </c>
      <c r="F644" s="5" t="s">
        <v>94</v>
      </c>
      <c r="G644" s="5" t="s">
        <v>119</v>
      </c>
      <c r="H644" s="3">
        <v>6.7708335368043659</v>
      </c>
      <c r="I644" s="3">
        <v>0</v>
      </c>
      <c r="J644" s="318">
        <v>6.7708335368043659</v>
      </c>
      <c r="K644" s="3">
        <v>817.24825281071662</v>
      </c>
      <c r="L644" s="3">
        <v>127.05720736305625</v>
      </c>
      <c r="M644" s="318">
        <v>944.30546017377287</v>
      </c>
      <c r="N644" s="3">
        <v>108.57475104902466</v>
      </c>
      <c r="O644" s="3">
        <v>209.98172377155851</v>
      </c>
      <c r="P644" s="3">
        <v>61.981781204355457</v>
      </c>
      <c r="Q644" s="3">
        <v>79.285948586987956</v>
      </c>
      <c r="R644" s="3">
        <v>150.79385320703045</v>
      </c>
      <c r="S644" s="3">
        <v>152.12029136616169</v>
      </c>
      <c r="T644" s="3">
        <v>98.619556299415464</v>
      </c>
      <c r="U644" s="3">
        <v>32.766330410252309</v>
      </c>
      <c r="V644" s="318">
        <v>894.12423589478647</v>
      </c>
      <c r="W644" s="318">
        <v>1845.2005296053635</v>
      </c>
      <c r="X644" s="3">
        <v>171.99215440988021</v>
      </c>
      <c r="Y644" s="318">
        <v>2017.1926840152437</v>
      </c>
    </row>
    <row r="645" spans="1:25" x14ac:dyDescent="0.2">
      <c r="A645" s="314">
        <v>2020</v>
      </c>
      <c r="B645" s="5" t="s">
        <v>466</v>
      </c>
      <c r="C645" s="5" t="s">
        <v>90</v>
      </c>
      <c r="D645" s="5" t="s">
        <v>471</v>
      </c>
      <c r="E645" s="5" t="s">
        <v>120</v>
      </c>
      <c r="F645" s="5" t="s">
        <v>94</v>
      </c>
      <c r="G645" s="5" t="s">
        <v>121</v>
      </c>
      <c r="H645" s="3">
        <v>7.8905736320212467</v>
      </c>
      <c r="I645" s="3">
        <v>0</v>
      </c>
      <c r="J645" s="318">
        <v>7.8905736320212467</v>
      </c>
      <c r="K645" s="3">
        <v>962.6192653910847</v>
      </c>
      <c r="L645" s="3">
        <v>148.20205965158823</v>
      </c>
      <c r="M645" s="318">
        <v>1110.8213250426729</v>
      </c>
      <c r="N645" s="3">
        <v>144.75794104638211</v>
      </c>
      <c r="O645" s="3">
        <v>547.03437608242928</v>
      </c>
      <c r="P645" s="3">
        <v>88.881121152178565</v>
      </c>
      <c r="Q645" s="3">
        <v>137.55849286717816</v>
      </c>
      <c r="R645" s="3">
        <v>365.34644299531629</v>
      </c>
      <c r="S645" s="3">
        <v>277.11532250379742</v>
      </c>
      <c r="T645" s="3">
        <v>370.77141065069094</v>
      </c>
      <c r="U645" s="3">
        <v>64.408295066147602</v>
      </c>
      <c r="V645" s="318">
        <v>1995.8734023641205</v>
      </c>
      <c r="W645" s="318">
        <v>3114.5853010388146</v>
      </c>
      <c r="X645" s="3">
        <v>290.31220586825799</v>
      </c>
      <c r="Y645" s="318">
        <v>3404.8975069070725</v>
      </c>
    </row>
    <row r="646" spans="1:25" x14ac:dyDescent="0.2">
      <c r="A646" s="314">
        <v>2020</v>
      </c>
      <c r="B646" s="5" t="s">
        <v>466</v>
      </c>
      <c r="C646" s="5" t="s">
        <v>122</v>
      </c>
      <c r="D646" s="5" t="s">
        <v>472</v>
      </c>
      <c r="E646" s="5" t="s">
        <v>125</v>
      </c>
      <c r="F646" s="5" t="s">
        <v>126</v>
      </c>
      <c r="G646" s="5" t="s">
        <v>128</v>
      </c>
      <c r="H646" s="3">
        <v>42.871938426580527</v>
      </c>
      <c r="I646" s="3">
        <v>50.920586921896685</v>
      </c>
      <c r="J646" s="318">
        <v>93.792525348477213</v>
      </c>
      <c r="K646" s="3">
        <v>2.7507275894518424</v>
      </c>
      <c r="L646" s="3">
        <v>18.295264443249057</v>
      </c>
      <c r="M646" s="318">
        <v>21.045992032700898</v>
      </c>
      <c r="N646" s="3">
        <v>13.976386678338718</v>
      </c>
      <c r="O646" s="3">
        <v>85.48089773318047</v>
      </c>
      <c r="P646" s="3">
        <v>14.026929189801287</v>
      </c>
      <c r="Q646" s="3">
        <v>26.71651103404243</v>
      </c>
      <c r="R646" s="3">
        <v>16.425613107573938</v>
      </c>
      <c r="S646" s="3">
        <v>42.077711213346248</v>
      </c>
      <c r="T646" s="3">
        <v>72.837046578462036</v>
      </c>
      <c r="U646" s="3">
        <v>8.5593161856481661</v>
      </c>
      <c r="V646" s="318">
        <v>280.10041172039337</v>
      </c>
      <c r="W646" s="318">
        <v>394.93892910157149</v>
      </c>
      <c r="X646" s="3">
        <v>36.812474409509164</v>
      </c>
      <c r="Y646" s="318">
        <v>431.75140351108064</v>
      </c>
    </row>
    <row r="647" spans="1:25" x14ac:dyDescent="0.2">
      <c r="A647" s="314">
        <v>2020</v>
      </c>
      <c r="B647" s="5" t="s">
        <v>466</v>
      </c>
      <c r="C647" s="5" t="s">
        <v>122</v>
      </c>
      <c r="D647" s="5" t="s">
        <v>472</v>
      </c>
      <c r="E647" s="5" t="s">
        <v>130</v>
      </c>
      <c r="F647" s="5" t="s">
        <v>126</v>
      </c>
      <c r="G647" s="5" t="s">
        <v>131</v>
      </c>
      <c r="H647" s="3">
        <v>36.741617141538349</v>
      </c>
      <c r="I647" s="3">
        <v>735.80189332067073</v>
      </c>
      <c r="J647" s="318">
        <v>772.54351046220904</v>
      </c>
      <c r="K647" s="3">
        <v>19.110824422147317</v>
      </c>
      <c r="L647" s="3">
        <v>42.263429834531493</v>
      </c>
      <c r="M647" s="318">
        <v>61.37425425667881</v>
      </c>
      <c r="N647" s="3">
        <v>57.100731776474753</v>
      </c>
      <c r="O647" s="3">
        <v>248.34389242147213</v>
      </c>
      <c r="P647" s="3">
        <v>39.022501061132076</v>
      </c>
      <c r="Q647" s="3">
        <v>68.153837593486656</v>
      </c>
      <c r="R647" s="3">
        <v>67.443508441488419</v>
      </c>
      <c r="S647" s="3">
        <v>152.81890028354803</v>
      </c>
      <c r="T647" s="3">
        <v>211.83905945085345</v>
      </c>
      <c r="U647" s="3">
        <v>20.933439094455984</v>
      </c>
      <c r="V647" s="318">
        <v>865.65587012291144</v>
      </c>
      <c r="W647" s="318">
        <v>1699.5736348417993</v>
      </c>
      <c r="X647" s="3">
        <v>158.41819159741391</v>
      </c>
      <c r="Y647" s="318">
        <v>1857.9918264392131</v>
      </c>
    </row>
    <row r="648" spans="1:25" x14ac:dyDescent="0.2">
      <c r="A648" s="314">
        <v>2020</v>
      </c>
      <c r="B648" s="5" t="s">
        <v>466</v>
      </c>
      <c r="C648" s="5" t="s">
        <v>122</v>
      </c>
      <c r="D648" s="5" t="s">
        <v>472</v>
      </c>
      <c r="E648" s="5" t="s">
        <v>133</v>
      </c>
      <c r="F648" s="5" t="s">
        <v>126</v>
      </c>
      <c r="G648" s="5" t="s">
        <v>134</v>
      </c>
      <c r="H648" s="3">
        <v>26.21326793551307</v>
      </c>
      <c r="I648" s="3">
        <v>503.27759569605257</v>
      </c>
      <c r="J648" s="318">
        <v>529.49086363156562</v>
      </c>
      <c r="K648" s="3">
        <v>2.5450811951148813</v>
      </c>
      <c r="L648" s="3">
        <v>24.593192082497474</v>
      </c>
      <c r="M648" s="318">
        <v>27.138273277612356</v>
      </c>
      <c r="N648" s="3">
        <v>20.083446968540223</v>
      </c>
      <c r="O648" s="3">
        <v>109.27775835888575</v>
      </c>
      <c r="P648" s="3">
        <v>19.508966715177575</v>
      </c>
      <c r="Q648" s="3">
        <v>36.723603240420125</v>
      </c>
      <c r="R648" s="3">
        <v>24.946206267515471</v>
      </c>
      <c r="S648" s="3">
        <v>77.948018376682938</v>
      </c>
      <c r="T648" s="3">
        <v>88.724755182049392</v>
      </c>
      <c r="U648" s="3">
        <v>10.490507571759135</v>
      </c>
      <c r="V648" s="318">
        <v>387.70326268103059</v>
      </c>
      <c r="W648" s="318">
        <v>944.33239959020852</v>
      </c>
      <c r="X648" s="3">
        <v>88.021741419784021</v>
      </c>
      <c r="Y648" s="318">
        <v>1032.3541410099926</v>
      </c>
    </row>
    <row r="649" spans="1:25" x14ac:dyDescent="0.2">
      <c r="A649" s="314">
        <v>2020</v>
      </c>
      <c r="B649" s="5" t="s">
        <v>466</v>
      </c>
      <c r="C649" s="5" t="s">
        <v>122</v>
      </c>
      <c r="D649" s="5" t="s">
        <v>472</v>
      </c>
      <c r="E649" s="5" t="s">
        <v>135</v>
      </c>
      <c r="F649" s="5" t="s">
        <v>126</v>
      </c>
      <c r="G649" s="5" t="s">
        <v>136</v>
      </c>
      <c r="H649" s="3">
        <v>51.576235363028509</v>
      </c>
      <c r="I649" s="3">
        <v>48.086085588801815</v>
      </c>
      <c r="J649" s="318">
        <v>99.662320951830324</v>
      </c>
      <c r="K649" s="3">
        <v>8.9389587378882815</v>
      </c>
      <c r="L649" s="3">
        <v>7.0736199083162461</v>
      </c>
      <c r="M649" s="318">
        <v>16.012578646204528</v>
      </c>
      <c r="N649" s="3">
        <v>10.244090901814182</v>
      </c>
      <c r="O649" s="3">
        <v>49.383435710625704</v>
      </c>
      <c r="P649" s="3">
        <v>9.31971897707251</v>
      </c>
      <c r="Q649" s="3">
        <v>18.775253238856585</v>
      </c>
      <c r="R649" s="3">
        <v>13.683260435452217</v>
      </c>
      <c r="S649" s="3">
        <v>26.910033288979211</v>
      </c>
      <c r="T649" s="3">
        <v>47.375710493733592</v>
      </c>
      <c r="U649" s="3">
        <v>5.76974737582331</v>
      </c>
      <c r="V649" s="318">
        <v>181.46125042235727</v>
      </c>
      <c r="W649" s="318">
        <v>297.13615002039211</v>
      </c>
      <c r="X649" s="3">
        <v>27.696223676022115</v>
      </c>
      <c r="Y649" s="318">
        <v>324.83237369641421</v>
      </c>
    </row>
    <row r="650" spans="1:25" x14ac:dyDescent="0.2">
      <c r="A650" s="314">
        <v>2020</v>
      </c>
      <c r="B650" s="5" t="s">
        <v>466</v>
      </c>
      <c r="C650" s="5" t="s">
        <v>122</v>
      </c>
      <c r="D650" s="5" t="s">
        <v>472</v>
      </c>
      <c r="E650" s="5" t="s">
        <v>137</v>
      </c>
      <c r="F650" s="5" t="s">
        <v>126</v>
      </c>
      <c r="G650" s="5" t="s">
        <v>138</v>
      </c>
      <c r="H650" s="3">
        <v>23.187940983290481</v>
      </c>
      <c r="I650" s="3">
        <v>38.77001645160535</v>
      </c>
      <c r="J650" s="318">
        <v>61.957957434895832</v>
      </c>
      <c r="K650" s="3">
        <v>3.6248550620224917</v>
      </c>
      <c r="L650" s="3">
        <v>12.834913531736754</v>
      </c>
      <c r="M650" s="318">
        <v>16.459768593759247</v>
      </c>
      <c r="N650" s="3">
        <v>12.299074314724342</v>
      </c>
      <c r="O650" s="3">
        <v>44.91006466430408</v>
      </c>
      <c r="P650" s="3">
        <v>12.922292440823403</v>
      </c>
      <c r="Q650" s="3">
        <v>21.53584871137987</v>
      </c>
      <c r="R650" s="3">
        <v>16.874142330719131</v>
      </c>
      <c r="S650" s="3">
        <v>32.953649990980438</v>
      </c>
      <c r="T650" s="3">
        <v>76.474355627426959</v>
      </c>
      <c r="U650" s="3">
        <v>7.416016122516873</v>
      </c>
      <c r="V650" s="318">
        <v>225.38544420287511</v>
      </c>
      <c r="W650" s="318">
        <v>303.8031702315302</v>
      </c>
      <c r="X650" s="3">
        <v>28.317660290205772</v>
      </c>
      <c r="Y650" s="318">
        <v>332.12083052173597</v>
      </c>
    </row>
    <row r="651" spans="1:25" x14ac:dyDescent="0.2">
      <c r="A651" s="314">
        <v>2020</v>
      </c>
      <c r="B651" s="5" t="s">
        <v>466</v>
      </c>
      <c r="C651" s="5" t="s">
        <v>122</v>
      </c>
      <c r="D651" s="5" t="s">
        <v>472</v>
      </c>
      <c r="E651" s="5" t="s">
        <v>139</v>
      </c>
      <c r="F651" s="5" t="s">
        <v>126</v>
      </c>
      <c r="G651" s="5" t="s">
        <v>140</v>
      </c>
      <c r="H651" s="3">
        <v>39.933106330998513</v>
      </c>
      <c r="I651" s="3">
        <v>176.35915612155515</v>
      </c>
      <c r="J651" s="318">
        <v>216.29226245255364</v>
      </c>
      <c r="K651" s="3">
        <v>4.7557385787677227</v>
      </c>
      <c r="L651" s="3">
        <v>9.7688998633867197</v>
      </c>
      <c r="M651" s="318">
        <v>14.524638442154442</v>
      </c>
      <c r="N651" s="3">
        <v>15.913839476865466</v>
      </c>
      <c r="O651" s="3">
        <v>47.352940528843703</v>
      </c>
      <c r="P651" s="3">
        <v>8.2089738863926485</v>
      </c>
      <c r="Q651" s="3">
        <v>15.300300166388947</v>
      </c>
      <c r="R651" s="3">
        <v>13.345263918893597</v>
      </c>
      <c r="S651" s="3">
        <v>33.682541644022024</v>
      </c>
      <c r="T651" s="3">
        <v>49.086376247166825</v>
      </c>
      <c r="U651" s="3">
        <v>4.8678526879825652</v>
      </c>
      <c r="V651" s="318">
        <v>187.75808855655578</v>
      </c>
      <c r="W651" s="318">
        <v>418.57498945126383</v>
      </c>
      <c r="X651" s="3">
        <v>39.015604571288911</v>
      </c>
      <c r="Y651" s="318">
        <v>457.59059402255275</v>
      </c>
    </row>
    <row r="652" spans="1:25" x14ac:dyDescent="0.2">
      <c r="A652" s="314">
        <v>2020</v>
      </c>
      <c r="B652" s="5" t="s">
        <v>466</v>
      </c>
      <c r="C652" s="5" t="s">
        <v>141</v>
      </c>
      <c r="D652" s="5" t="s">
        <v>473</v>
      </c>
      <c r="E652" s="5" t="s">
        <v>143</v>
      </c>
      <c r="F652" s="5" t="s">
        <v>144</v>
      </c>
      <c r="G652" s="5" t="s">
        <v>146</v>
      </c>
      <c r="H652" s="3">
        <v>7.9131084981491453</v>
      </c>
      <c r="I652" s="3">
        <v>1.5982781079121962</v>
      </c>
      <c r="J652" s="318">
        <v>9.5113866060613415</v>
      </c>
      <c r="K652" s="3">
        <v>0.84272942546058938</v>
      </c>
      <c r="L652" s="3">
        <v>2.8109183775822952</v>
      </c>
      <c r="M652" s="318">
        <v>3.6536478030428845</v>
      </c>
      <c r="N652" s="3">
        <v>1.8624466362108834</v>
      </c>
      <c r="O652" s="3">
        <v>7.3721605098553242</v>
      </c>
      <c r="P652" s="3">
        <v>2.0001604531097459</v>
      </c>
      <c r="Q652" s="3">
        <v>3.5808588544949163</v>
      </c>
      <c r="R652" s="3">
        <v>4.1879794328269808</v>
      </c>
      <c r="S652" s="3">
        <v>6.8010445494681528</v>
      </c>
      <c r="T652" s="3">
        <v>16.751857023894036</v>
      </c>
      <c r="U652" s="3">
        <v>1.658830325082685</v>
      </c>
      <c r="V652" s="318">
        <v>44.215337784942726</v>
      </c>
      <c r="W652" s="318">
        <v>57.380372194046956</v>
      </c>
      <c r="X652" s="3">
        <v>5.3484559949728681</v>
      </c>
      <c r="Y652" s="318">
        <v>62.728828189019822</v>
      </c>
    </row>
    <row r="653" spans="1:25" x14ac:dyDescent="0.2">
      <c r="A653" s="314">
        <v>2020</v>
      </c>
      <c r="B653" s="5" t="s">
        <v>466</v>
      </c>
      <c r="C653" s="5" t="s">
        <v>141</v>
      </c>
      <c r="D653" s="5" t="s">
        <v>473</v>
      </c>
      <c r="E653" s="5" t="s">
        <v>147</v>
      </c>
      <c r="F653" s="5" t="s">
        <v>144</v>
      </c>
      <c r="G653" s="5" t="s">
        <v>148</v>
      </c>
      <c r="H653" s="3">
        <v>30.270901032563302</v>
      </c>
      <c r="I653" s="3">
        <v>4.1864592784627916</v>
      </c>
      <c r="J653" s="318">
        <v>34.457360311026093</v>
      </c>
      <c r="K653" s="3">
        <v>1.3536616247503523</v>
      </c>
      <c r="L653" s="3">
        <v>5.5158836485320339</v>
      </c>
      <c r="M653" s="318">
        <v>6.8695452732823865</v>
      </c>
      <c r="N653" s="3">
        <v>3.3794666242857692</v>
      </c>
      <c r="O653" s="3">
        <v>18.485868935708954</v>
      </c>
      <c r="P653" s="3">
        <v>2.297490804753739</v>
      </c>
      <c r="Q653" s="3">
        <v>5.0404585820367238</v>
      </c>
      <c r="R653" s="3">
        <v>6.5566144694812172</v>
      </c>
      <c r="S653" s="3">
        <v>9.7825494437357374</v>
      </c>
      <c r="T653" s="3">
        <v>20.115134773756218</v>
      </c>
      <c r="U653" s="3">
        <v>2.8416643178395451</v>
      </c>
      <c r="V653" s="318">
        <v>68.499247951597894</v>
      </c>
      <c r="W653" s="318">
        <v>109.82615353590637</v>
      </c>
      <c r="X653" s="3">
        <v>10.236956067442001</v>
      </c>
      <c r="Y653" s="318">
        <v>120.06310960334838</v>
      </c>
    </row>
    <row r="654" spans="1:25" x14ac:dyDescent="0.2">
      <c r="A654" s="314">
        <v>2020</v>
      </c>
      <c r="B654" s="5" t="s">
        <v>466</v>
      </c>
      <c r="C654" s="5" t="s">
        <v>141</v>
      </c>
      <c r="D654" s="5" t="s">
        <v>474</v>
      </c>
      <c r="E654" s="5" t="s">
        <v>149</v>
      </c>
      <c r="F654" s="5" t="s">
        <v>144</v>
      </c>
      <c r="G654" s="5" t="s">
        <v>150</v>
      </c>
      <c r="H654" s="3">
        <v>27.71579563511624</v>
      </c>
      <c r="I654" s="3">
        <v>128.07824982563784</v>
      </c>
      <c r="J654" s="318">
        <v>155.79404546075409</v>
      </c>
      <c r="K654" s="3">
        <v>38.098413333483037</v>
      </c>
      <c r="L654" s="3">
        <v>10.179042530626084</v>
      </c>
      <c r="M654" s="318">
        <v>48.277455864109122</v>
      </c>
      <c r="N654" s="3">
        <v>54.831955062535819</v>
      </c>
      <c r="O654" s="3">
        <v>117.55802728499205</v>
      </c>
      <c r="P654" s="3">
        <v>23.468742245198612</v>
      </c>
      <c r="Q654" s="3">
        <v>31.145184060031738</v>
      </c>
      <c r="R654" s="3">
        <v>42.440557055244177</v>
      </c>
      <c r="S654" s="3">
        <v>77.428290494235426</v>
      </c>
      <c r="T654" s="3">
        <v>83.355833421554706</v>
      </c>
      <c r="U654" s="3">
        <v>14.897465955996553</v>
      </c>
      <c r="V654" s="318">
        <v>445.12605557978912</v>
      </c>
      <c r="W654" s="318">
        <v>649.1975569046524</v>
      </c>
      <c r="X654" s="3">
        <v>60.512060699192531</v>
      </c>
      <c r="Y654" s="318">
        <v>709.70961760384489</v>
      </c>
    </row>
    <row r="655" spans="1:25" x14ac:dyDescent="0.2">
      <c r="A655" s="314">
        <v>2020</v>
      </c>
      <c r="B655" s="5" t="s">
        <v>466</v>
      </c>
      <c r="C655" s="5" t="s">
        <v>141</v>
      </c>
      <c r="D655" s="5" t="s">
        <v>474</v>
      </c>
      <c r="E655" s="5" t="s">
        <v>151</v>
      </c>
      <c r="F655" s="5" t="s">
        <v>144</v>
      </c>
      <c r="G655" s="5" t="s">
        <v>152</v>
      </c>
      <c r="H655" s="3">
        <v>10.726924888078178</v>
      </c>
      <c r="I655" s="3">
        <v>79.470579816464635</v>
      </c>
      <c r="J655" s="318">
        <v>90.197504704542808</v>
      </c>
      <c r="K655" s="3">
        <v>41.106007299434651</v>
      </c>
      <c r="L655" s="3">
        <v>4.2497356481059114</v>
      </c>
      <c r="M655" s="318">
        <v>45.355742947540563</v>
      </c>
      <c r="N655" s="3">
        <v>90.377456352029157</v>
      </c>
      <c r="O655" s="3">
        <v>34.675027507129165</v>
      </c>
      <c r="P655" s="3">
        <v>7.3326448396756181</v>
      </c>
      <c r="Q655" s="3">
        <v>14.421524951811504</v>
      </c>
      <c r="R655" s="3">
        <v>16.917449895168762</v>
      </c>
      <c r="S655" s="3">
        <v>70.801804906712604</v>
      </c>
      <c r="T655" s="3">
        <v>50.452738782107971</v>
      </c>
      <c r="U655" s="3">
        <v>12.678741285573388</v>
      </c>
      <c r="V655" s="318">
        <v>297.6573885202082</v>
      </c>
      <c r="W655" s="318">
        <v>433.21063617229152</v>
      </c>
      <c r="X655" s="3">
        <v>40.379801237366074</v>
      </c>
      <c r="Y655" s="318">
        <v>473.59043740965757</v>
      </c>
    </row>
    <row r="656" spans="1:25" x14ac:dyDescent="0.2">
      <c r="A656" s="314">
        <v>2020</v>
      </c>
      <c r="B656" s="5" t="s">
        <v>466</v>
      </c>
      <c r="C656" s="5" t="s">
        <v>141</v>
      </c>
      <c r="D656" s="5" t="s">
        <v>474</v>
      </c>
      <c r="E656" s="5" t="s">
        <v>153</v>
      </c>
      <c r="F656" s="5" t="s">
        <v>144</v>
      </c>
      <c r="G656" s="5" t="s">
        <v>154</v>
      </c>
      <c r="H656" s="3">
        <v>10.746804915895378</v>
      </c>
      <c r="I656" s="3">
        <v>4.3159235482367553</v>
      </c>
      <c r="J656" s="318">
        <v>15.062728464132134</v>
      </c>
      <c r="K656" s="3">
        <v>17.272654918748376</v>
      </c>
      <c r="L656" s="3">
        <v>6.4320399663525443</v>
      </c>
      <c r="M656" s="318">
        <v>23.70469488510092</v>
      </c>
      <c r="N656" s="3">
        <v>20.313019003992132</v>
      </c>
      <c r="O656" s="3">
        <v>61.621577497551456</v>
      </c>
      <c r="P656" s="3">
        <v>5.6211015307892351</v>
      </c>
      <c r="Q656" s="3">
        <v>10.109482097879477</v>
      </c>
      <c r="R656" s="3">
        <v>16.146777206786918</v>
      </c>
      <c r="S656" s="3">
        <v>25.212609492608387</v>
      </c>
      <c r="T656" s="3">
        <v>29.293037800699977</v>
      </c>
      <c r="U656" s="3">
        <v>5.0167339513387166</v>
      </c>
      <c r="V656" s="318">
        <v>173.33433858164631</v>
      </c>
      <c r="W656" s="318">
        <v>212.10176193087938</v>
      </c>
      <c r="X656" s="3">
        <v>19.77012167692444</v>
      </c>
      <c r="Y656" s="318">
        <v>231.87188360780382</v>
      </c>
    </row>
    <row r="657" spans="1:25" x14ac:dyDescent="0.2">
      <c r="A657" s="314">
        <v>2020</v>
      </c>
      <c r="B657" s="5" t="s">
        <v>466</v>
      </c>
      <c r="C657" s="5" t="s">
        <v>141</v>
      </c>
      <c r="D657" s="5" t="s">
        <v>474</v>
      </c>
      <c r="E657" s="5" t="s">
        <v>155</v>
      </c>
      <c r="F657" s="5" t="s">
        <v>144</v>
      </c>
      <c r="G657" s="5" t="s">
        <v>156</v>
      </c>
      <c r="H657" s="3">
        <v>42.409717231483938</v>
      </c>
      <c r="I657" s="3">
        <v>482.29708793416125</v>
      </c>
      <c r="J657" s="318">
        <v>524.70680516564516</v>
      </c>
      <c r="K657" s="3">
        <v>2.960554119624883</v>
      </c>
      <c r="L657" s="3">
        <v>10.321489718519304</v>
      </c>
      <c r="M657" s="318">
        <v>13.282043838144187</v>
      </c>
      <c r="N657" s="3">
        <v>12.23364216405249</v>
      </c>
      <c r="O657" s="3">
        <v>24.587120632524222</v>
      </c>
      <c r="P657" s="3">
        <v>5.1853059932082752</v>
      </c>
      <c r="Q657" s="3">
        <v>8.7057639901134056</v>
      </c>
      <c r="R657" s="3">
        <v>12.070844857730668</v>
      </c>
      <c r="S657" s="3">
        <v>49.076029241837901</v>
      </c>
      <c r="T657" s="3">
        <v>29.850828839385731</v>
      </c>
      <c r="U657" s="3">
        <v>6.8807821726762102</v>
      </c>
      <c r="V657" s="318">
        <v>148.59031789152891</v>
      </c>
      <c r="W657" s="318">
        <v>686.57916689531828</v>
      </c>
      <c r="X657" s="3">
        <v>63.99642108953968</v>
      </c>
      <c r="Y657" s="318">
        <v>750.57558798485798</v>
      </c>
    </row>
    <row r="658" spans="1:25" x14ac:dyDescent="0.2">
      <c r="A658" s="314">
        <v>2020</v>
      </c>
      <c r="B658" s="5" t="s">
        <v>466</v>
      </c>
      <c r="C658" s="5" t="s">
        <v>157</v>
      </c>
      <c r="D658" s="5" t="s">
        <v>475</v>
      </c>
      <c r="E658" s="5" t="s">
        <v>159</v>
      </c>
      <c r="F658" s="5" t="s">
        <v>160</v>
      </c>
      <c r="G658" s="5" t="s">
        <v>161</v>
      </c>
      <c r="H658" s="3">
        <v>51.474642893617457</v>
      </c>
      <c r="I658" s="3">
        <v>26.532565812719369</v>
      </c>
      <c r="J658" s="318">
        <v>78.007208706336826</v>
      </c>
      <c r="K658" s="3">
        <v>13.021506799857287</v>
      </c>
      <c r="L658" s="3">
        <v>37.548868857225592</v>
      </c>
      <c r="M658" s="318">
        <v>50.570375657082877</v>
      </c>
      <c r="N658" s="3">
        <v>30.784003952400763</v>
      </c>
      <c r="O658" s="3">
        <v>159.28272430966624</v>
      </c>
      <c r="P658" s="3">
        <v>24.625069272565128</v>
      </c>
      <c r="Q658" s="3">
        <v>65.28335136458729</v>
      </c>
      <c r="R658" s="3">
        <v>77.752029148445203</v>
      </c>
      <c r="S658" s="3">
        <v>118.59567663638794</v>
      </c>
      <c r="T658" s="3">
        <v>228.61003173119801</v>
      </c>
      <c r="U658" s="3">
        <v>36.047594332941131</v>
      </c>
      <c r="V658" s="318">
        <v>740.98048074819167</v>
      </c>
      <c r="W658" s="318">
        <v>869.55806511161131</v>
      </c>
      <c r="X658" s="3">
        <v>81.051984650697548</v>
      </c>
      <c r="Y658" s="318">
        <v>950.6100497623089</v>
      </c>
    </row>
    <row r="659" spans="1:25" x14ac:dyDescent="0.2">
      <c r="A659" s="314">
        <v>2020</v>
      </c>
      <c r="B659" s="5" t="s">
        <v>466</v>
      </c>
      <c r="C659" s="5" t="s">
        <v>157</v>
      </c>
      <c r="D659" s="5" t="s">
        <v>476</v>
      </c>
      <c r="E659" s="5" t="s">
        <v>162</v>
      </c>
      <c r="F659" s="5" t="s">
        <v>160</v>
      </c>
      <c r="G659" s="5" t="s">
        <v>163</v>
      </c>
      <c r="H659" s="3">
        <v>26.405365873608595</v>
      </c>
      <c r="I659" s="3">
        <v>10.47671911889811</v>
      </c>
      <c r="J659" s="318">
        <v>36.882084992506705</v>
      </c>
      <c r="K659" s="3">
        <v>2.5778052266458911</v>
      </c>
      <c r="L659" s="3">
        <v>6.4819849892204733</v>
      </c>
      <c r="M659" s="318">
        <v>9.0597902158663643</v>
      </c>
      <c r="N659" s="3">
        <v>4.5285520879097056</v>
      </c>
      <c r="O659" s="3">
        <v>27.695635436960853</v>
      </c>
      <c r="P659" s="3">
        <v>6.1049846001783878</v>
      </c>
      <c r="Q659" s="3">
        <v>10.445732021414909</v>
      </c>
      <c r="R659" s="3">
        <v>10.760678724255017</v>
      </c>
      <c r="S659" s="3">
        <v>19.919268094557456</v>
      </c>
      <c r="T659" s="3">
        <v>40.594706608244671</v>
      </c>
      <c r="U659" s="3">
        <v>5.8429452093211749</v>
      </c>
      <c r="V659" s="318">
        <v>125.89250278284216</v>
      </c>
      <c r="W659" s="318">
        <v>171.83437799121521</v>
      </c>
      <c r="X659" s="3">
        <v>16.016776712453911</v>
      </c>
      <c r="Y659" s="318">
        <v>187.85115470366912</v>
      </c>
    </row>
    <row r="660" spans="1:25" x14ac:dyDescent="0.2">
      <c r="A660" s="314">
        <v>2020</v>
      </c>
      <c r="B660" s="5" t="s">
        <v>466</v>
      </c>
      <c r="C660" s="5" t="s">
        <v>157</v>
      </c>
      <c r="D660" s="5" t="s">
        <v>473</v>
      </c>
      <c r="E660" s="5" t="s">
        <v>164</v>
      </c>
      <c r="F660" s="5" t="s">
        <v>160</v>
      </c>
      <c r="G660" s="5" t="s">
        <v>165</v>
      </c>
      <c r="H660" s="3">
        <v>4.2619030316473125</v>
      </c>
      <c r="I660" s="3">
        <v>0</v>
      </c>
      <c r="J660" s="318">
        <v>4.2619030316473125</v>
      </c>
      <c r="K660" s="3">
        <v>6.6396455927857163</v>
      </c>
      <c r="L660" s="3">
        <v>1.7016579323425516</v>
      </c>
      <c r="M660" s="318">
        <v>8.3413035251282679</v>
      </c>
      <c r="N660" s="3">
        <v>16.679775389320454</v>
      </c>
      <c r="O660" s="3">
        <v>20.404301147063027</v>
      </c>
      <c r="P660" s="3">
        <v>4.7443706024332428</v>
      </c>
      <c r="Q660" s="3">
        <v>6.6770073945952442</v>
      </c>
      <c r="R660" s="3">
        <v>9.7997249469030798</v>
      </c>
      <c r="S660" s="3">
        <v>16.877766962423358</v>
      </c>
      <c r="T660" s="3">
        <v>17.348727470369141</v>
      </c>
      <c r="U660" s="3">
        <v>3.7884870895920217</v>
      </c>
      <c r="V660" s="318">
        <v>96.320161002699564</v>
      </c>
      <c r="W660" s="318">
        <v>108.92336755947514</v>
      </c>
      <c r="X660" s="3">
        <v>10.152806890934535</v>
      </c>
      <c r="Y660" s="318">
        <v>119.07617445040967</v>
      </c>
    </row>
    <row r="661" spans="1:25" x14ac:dyDescent="0.2">
      <c r="A661" s="314">
        <v>2020</v>
      </c>
      <c r="B661" s="5" t="s">
        <v>466</v>
      </c>
      <c r="C661" s="5" t="s">
        <v>157</v>
      </c>
      <c r="D661" s="5" t="s">
        <v>477</v>
      </c>
      <c r="E661" s="5" t="s">
        <v>166</v>
      </c>
      <c r="F661" s="5" t="s">
        <v>160</v>
      </c>
      <c r="G661" s="5" t="s">
        <v>168</v>
      </c>
      <c r="H661" s="3">
        <v>78.87426990072403</v>
      </c>
      <c r="I661" s="3">
        <v>819.45882715223308</v>
      </c>
      <c r="J661" s="318">
        <v>898.3330970529571</v>
      </c>
      <c r="K661" s="3">
        <v>13.975175261401498</v>
      </c>
      <c r="L661" s="3">
        <v>3.2839441076491216</v>
      </c>
      <c r="M661" s="318">
        <v>17.259119369050619</v>
      </c>
      <c r="N661" s="3">
        <v>16.877779329179056</v>
      </c>
      <c r="O661" s="3">
        <v>45.533162459321716</v>
      </c>
      <c r="P661" s="3">
        <v>8.6181697161537958</v>
      </c>
      <c r="Q661" s="3">
        <v>13.06842195736014</v>
      </c>
      <c r="R661" s="3">
        <v>17.051133724659699</v>
      </c>
      <c r="S661" s="3">
        <v>66.90813930495078</v>
      </c>
      <c r="T661" s="3">
        <v>37.63611129804957</v>
      </c>
      <c r="U661" s="3">
        <v>9.2806561318174694</v>
      </c>
      <c r="V661" s="318">
        <v>214.97357392149223</v>
      </c>
      <c r="W661" s="318">
        <v>1130.5657903434999</v>
      </c>
      <c r="X661" s="3">
        <v>105.38065801708528</v>
      </c>
      <c r="Y661" s="318">
        <v>1235.9464483605852</v>
      </c>
    </row>
    <row r="662" spans="1:25" x14ac:dyDescent="0.2">
      <c r="A662" s="314">
        <v>2020</v>
      </c>
      <c r="B662" s="5" t="s">
        <v>466</v>
      </c>
      <c r="C662" s="5" t="s">
        <v>157</v>
      </c>
      <c r="D662" s="5" t="s">
        <v>473</v>
      </c>
      <c r="E662" s="5" t="s">
        <v>169</v>
      </c>
      <c r="F662" s="5" t="s">
        <v>160</v>
      </c>
      <c r="G662" s="5" t="s">
        <v>170</v>
      </c>
      <c r="H662" s="3">
        <v>38.546539210141269</v>
      </c>
      <c r="I662" s="3">
        <v>3.5620481194162892</v>
      </c>
      <c r="J662" s="318">
        <v>42.108587329557558</v>
      </c>
      <c r="K662" s="3">
        <v>4.728416468918855</v>
      </c>
      <c r="L662" s="3">
        <v>11.583706326120861</v>
      </c>
      <c r="M662" s="318">
        <v>16.312122795039716</v>
      </c>
      <c r="N662" s="3">
        <v>11.302555468353477</v>
      </c>
      <c r="O662" s="3">
        <v>31.895290919508277</v>
      </c>
      <c r="P662" s="3">
        <v>7.9343544179092396</v>
      </c>
      <c r="Q662" s="3">
        <v>13.182342543924225</v>
      </c>
      <c r="R662" s="3">
        <v>12.568747766604002</v>
      </c>
      <c r="S662" s="3">
        <v>25.318208987502686</v>
      </c>
      <c r="T662" s="3">
        <v>41.520096652067892</v>
      </c>
      <c r="U662" s="3">
        <v>6.156645392902746</v>
      </c>
      <c r="V662" s="318">
        <v>149.87824214877253</v>
      </c>
      <c r="W662" s="318">
        <v>208.29895227336982</v>
      </c>
      <c r="X662" s="3">
        <v>19.415659700943081</v>
      </c>
      <c r="Y662" s="318">
        <v>227.7146119743129</v>
      </c>
    </row>
    <row r="663" spans="1:25" x14ac:dyDescent="0.2">
      <c r="A663" s="314">
        <v>2020</v>
      </c>
      <c r="B663" s="5" t="s">
        <v>466</v>
      </c>
      <c r="C663" s="5" t="s">
        <v>157</v>
      </c>
      <c r="D663" s="5" t="s">
        <v>473</v>
      </c>
      <c r="E663" s="5" t="s">
        <v>171</v>
      </c>
      <c r="F663" s="5" t="s">
        <v>160</v>
      </c>
      <c r="G663" s="5" t="s">
        <v>172</v>
      </c>
      <c r="H663" s="3">
        <v>90.312998823272679</v>
      </c>
      <c r="I663" s="3">
        <v>46.30266338701675</v>
      </c>
      <c r="J663" s="318">
        <v>136.61566221028943</v>
      </c>
      <c r="K663" s="3">
        <v>8.460734177514297</v>
      </c>
      <c r="L663" s="3">
        <v>3.1084496750023938</v>
      </c>
      <c r="M663" s="318">
        <v>11.569183852516691</v>
      </c>
      <c r="N663" s="3">
        <v>10.471989374364902</v>
      </c>
      <c r="O663" s="3">
        <v>17.341003698379367</v>
      </c>
      <c r="P663" s="3">
        <v>2.4656402228214476</v>
      </c>
      <c r="Q663" s="3">
        <v>5.1037612656323352</v>
      </c>
      <c r="R663" s="3">
        <v>6.3872429373009245</v>
      </c>
      <c r="S663" s="3">
        <v>18.214565754378523</v>
      </c>
      <c r="T663" s="3">
        <v>19.530196568805898</v>
      </c>
      <c r="U663" s="3">
        <v>2.9457962789814021</v>
      </c>
      <c r="V663" s="318">
        <v>82.460196100664817</v>
      </c>
      <c r="W663" s="318">
        <v>230.64504216347092</v>
      </c>
      <c r="X663" s="3">
        <v>21.498551007969379</v>
      </c>
      <c r="Y663" s="318">
        <v>252.1435931714403</v>
      </c>
    </row>
    <row r="664" spans="1:25" x14ac:dyDescent="0.2">
      <c r="A664" s="314">
        <v>2020</v>
      </c>
      <c r="B664" s="5" t="s">
        <v>466</v>
      </c>
      <c r="C664" s="5" t="s">
        <v>157</v>
      </c>
      <c r="D664" s="5" t="s">
        <v>477</v>
      </c>
      <c r="E664" s="5" t="s">
        <v>173</v>
      </c>
      <c r="F664" s="5" t="s">
        <v>160</v>
      </c>
      <c r="G664" s="5" t="s">
        <v>174</v>
      </c>
      <c r="H664" s="3">
        <v>28.628451072963205</v>
      </c>
      <c r="I664" s="3">
        <v>794.85422675968857</v>
      </c>
      <c r="J664" s="318">
        <v>823.4826778326518</v>
      </c>
      <c r="K664" s="3">
        <v>21.90699931968124</v>
      </c>
      <c r="L664" s="3">
        <v>3.1693952339308353</v>
      </c>
      <c r="M664" s="318">
        <v>25.076394553612076</v>
      </c>
      <c r="N664" s="3">
        <v>39.360743314342884</v>
      </c>
      <c r="O664" s="3">
        <v>71.660337090819226</v>
      </c>
      <c r="P664" s="3">
        <v>18.686831988431276</v>
      </c>
      <c r="Q664" s="3">
        <v>21.316348164189364</v>
      </c>
      <c r="R664" s="3">
        <v>38.355622180866156</v>
      </c>
      <c r="S664" s="3">
        <v>91.846024310145665</v>
      </c>
      <c r="T664" s="3">
        <v>48.247406005118187</v>
      </c>
      <c r="U664" s="3">
        <v>14.309762968683232</v>
      </c>
      <c r="V664" s="318">
        <v>343.78307602259599</v>
      </c>
      <c r="W664" s="318">
        <v>1192.3421484088599</v>
      </c>
      <c r="X664" s="3">
        <v>111.1388662685916</v>
      </c>
      <c r="Y664" s="318">
        <v>1303.4810146774514</v>
      </c>
    </row>
    <row r="665" spans="1:25" x14ac:dyDescent="0.2">
      <c r="A665" s="314">
        <v>2020</v>
      </c>
      <c r="B665" s="5" t="s">
        <v>466</v>
      </c>
      <c r="C665" s="5" t="s">
        <v>157</v>
      </c>
      <c r="D665" s="5" t="s">
        <v>475</v>
      </c>
      <c r="E665" s="5" t="s">
        <v>175</v>
      </c>
      <c r="F665" s="5" t="s">
        <v>160</v>
      </c>
      <c r="G665" s="5" t="s">
        <v>176</v>
      </c>
      <c r="H665" s="3">
        <v>20.469110657781972</v>
      </c>
      <c r="I665" s="3">
        <v>2.2616555611542459</v>
      </c>
      <c r="J665" s="318">
        <v>22.730766218936218</v>
      </c>
      <c r="K665" s="3">
        <v>1.6623183163376309</v>
      </c>
      <c r="L665" s="3">
        <v>7.6090275837397492</v>
      </c>
      <c r="M665" s="318">
        <v>9.2713459000773799</v>
      </c>
      <c r="N665" s="3">
        <v>6.4812526435352353</v>
      </c>
      <c r="O665" s="3">
        <v>18.24258206695632</v>
      </c>
      <c r="P665" s="3">
        <v>4.5027855519405362</v>
      </c>
      <c r="Q665" s="3">
        <v>10.266445219643657</v>
      </c>
      <c r="R665" s="3">
        <v>7.9600587907486933</v>
      </c>
      <c r="S665" s="3">
        <v>13.680926846780876</v>
      </c>
      <c r="T665" s="3">
        <v>24.977350034087507</v>
      </c>
      <c r="U665" s="3">
        <v>5.5208399685488558</v>
      </c>
      <c r="V665" s="318">
        <v>91.63224112224168</v>
      </c>
      <c r="W665" s="318">
        <v>123.63435324125527</v>
      </c>
      <c r="X665" s="3">
        <v>11.524025942905757</v>
      </c>
      <c r="Y665" s="318">
        <v>135.15837918416102</v>
      </c>
    </row>
    <row r="666" spans="1:25" x14ac:dyDescent="0.2">
      <c r="A666" s="314">
        <v>2020</v>
      </c>
      <c r="B666" s="5" t="s">
        <v>466</v>
      </c>
      <c r="C666" s="5" t="s">
        <v>157</v>
      </c>
      <c r="D666" s="5" t="s">
        <v>475</v>
      </c>
      <c r="E666" s="5" t="s">
        <v>177</v>
      </c>
      <c r="F666" s="5" t="s">
        <v>160</v>
      </c>
      <c r="G666" s="5" t="s">
        <v>178</v>
      </c>
      <c r="H666" s="3">
        <v>13.835930287814765</v>
      </c>
      <c r="I666" s="3">
        <v>1.0582902195648298</v>
      </c>
      <c r="J666" s="318">
        <v>14.894220507379595</v>
      </c>
      <c r="K666" s="3">
        <v>1.7494740951304626</v>
      </c>
      <c r="L666" s="3">
        <v>2.4211672715896277</v>
      </c>
      <c r="M666" s="318">
        <v>4.1706413667200906</v>
      </c>
      <c r="N666" s="3">
        <v>2.8707759984007457</v>
      </c>
      <c r="O666" s="3">
        <v>8.9973222307055529</v>
      </c>
      <c r="P666" s="3">
        <v>2.2473424365780414</v>
      </c>
      <c r="Q666" s="3">
        <v>4.9405789600478753</v>
      </c>
      <c r="R666" s="3">
        <v>4.2468915462692181</v>
      </c>
      <c r="S666" s="3">
        <v>8.4072761197554051</v>
      </c>
      <c r="T666" s="3">
        <v>17.152401381829264</v>
      </c>
      <c r="U666" s="3">
        <v>3.033979016612645</v>
      </c>
      <c r="V666" s="318">
        <v>51.896567690198751</v>
      </c>
      <c r="W666" s="318">
        <v>70.961429564298442</v>
      </c>
      <c r="X666" s="3">
        <v>6.6143538086773255</v>
      </c>
      <c r="Y666" s="318">
        <v>77.575783372975764</v>
      </c>
    </row>
    <row r="667" spans="1:25" x14ac:dyDescent="0.2">
      <c r="A667" s="314">
        <v>2020</v>
      </c>
      <c r="B667" s="5" t="s">
        <v>466</v>
      </c>
      <c r="C667" s="5" t="s">
        <v>157</v>
      </c>
      <c r="D667" s="5" t="s">
        <v>475</v>
      </c>
      <c r="E667" s="5" t="s">
        <v>179</v>
      </c>
      <c r="F667" s="5" t="s">
        <v>160</v>
      </c>
      <c r="G667" s="5" t="s">
        <v>180</v>
      </c>
      <c r="H667" s="3">
        <v>61.392794488966118</v>
      </c>
      <c r="I667" s="3">
        <v>3.2345082203419224</v>
      </c>
      <c r="J667" s="318">
        <v>64.62730270930804</v>
      </c>
      <c r="K667" s="3">
        <v>5.6516227824092446</v>
      </c>
      <c r="L667" s="3">
        <v>13.950640885644773</v>
      </c>
      <c r="M667" s="318">
        <v>19.602263668054018</v>
      </c>
      <c r="N667" s="3">
        <v>7.9818640897299966</v>
      </c>
      <c r="O667" s="3">
        <v>25.964931348962086</v>
      </c>
      <c r="P667" s="3">
        <v>5.9089720773646093</v>
      </c>
      <c r="Q667" s="3">
        <v>12.96635839992968</v>
      </c>
      <c r="R667" s="3">
        <v>11.602943213915031</v>
      </c>
      <c r="S667" s="3">
        <v>22.868955586592662</v>
      </c>
      <c r="T667" s="3">
        <v>53.565200149012014</v>
      </c>
      <c r="U667" s="3">
        <v>10.554483773611064</v>
      </c>
      <c r="V667" s="318">
        <v>151.41370863911712</v>
      </c>
      <c r="W667" s="318">
        <v>235.64327501647915</v>
      </c>
      <c r="X667" s="3">
        <v>21.964439036310118</v>
      </c>
      <c r="Y667" s="318">
        <v>257.60771405278928</v>
      </c>
    </row>
    <row r="668" spans="1:25" x14ac:dyDescent="0.2">
      <c r="A668" s="314">
        <v>2020</v>
      </c>
      <c r="B668" s="5" t="s">
        <v>466</v>
      </c>
      <c r="C668" s="5" t="s">
        <v>181</v>
      </c>
      <c r="D668" s="5" t="s">
        <v>478</v>
      </c>
      <c r="E668" s="5" t="s">
        <v>183</v>
      </c>
      <c r="F668" s="5" t="s">
        <v>184</v>
      </c>
      <c r="G668" s="5" t="s">
        <v>185</v>
      </c>
      <c r="H668" s="3">
        <v>31.263584194726498</v>
      </c>
      <c r="I668" s="3">
        <v>0</v>
      </c>
      <c r="J668" s="318">
        <v>31.263584194726498</v>
      </c>
      <c r="K668" s="3">
        <v>2.5510694809815138</v>
      </c>
      <c r="L668" s="3">
        <v>15.326737880851223</v>
      </c>
      <c r="M668" s="318">
        <v>17.877807361832737</v>
      </c>
      <c r="N668" s="3">
        <v>6.2229291773497284</v>
      </c>
      <c r="O668" s="3">
        <v>16.861715939389121</v>
      </c>
      <c r="P668" s="3">
        <v>3.9011377912634986</v>
      </c>
      <c r="Q668" s="3">
        <v>9.3087526365636908</v>
      </c>
      <c r="R668" s="3">
        <v>7.4918259228856092</v>
      </c>
      <c r="S668" s="3">
        <v>13.580459134573738</v>
      </c>
      <c r="T668" s="3">
        <v>23.022241246279076</v>
      </c>
      <c r="U668" s="3">
        <v>2.7721003195353071</v>
      </c>
      <c r="V668" s="318">
        <v>83.161162167839777</v>
      </c>
      <c r="W668" s="318">
        <v>132.30255372439902</v>
      </c>
      <c r="X668" s="3">
        <v>12.331993668923865</v>
      </c>
      <c r="Y668" s="318">
        <v>144.63454739332289</v>
      </c>
    </row>
    <row r="669" spans="1:25" x14ac:dyDescent="0.2">
      <c r="A669" s="314">
        <v>2020</v>
      </c>
      <c r="B669" s="5" t="s">
        <v>466</v>
      </c>
      <c r="C669" s="5" t="s">
        <v>181</v>
      </c>
      <c r="D669" s="5" t="s">
        <v>479</v>
      </c>
      <c r="E669" s="5" t="s">
        <v>186</v>
      </c>
      <c r="F669" s="5" t="s">
        <v>184</v>
      </c>
      <c r="G669" s="5" t="s">
        <v>187</v>
      </c>
      <c r="H669" s="3">
        <v>25.759169594088963</v>
      </c>
      <c r="I669" s="3">
        <v>0.97961656175908018</v>
      </c>
      <c r="J669" s="318">
        <v>26.738786155848043</v>
      </c>
      <c r="K669" s="3">
        <v>2.928525423344376</v>
      </c>
      <c r="L669" s="3">
        <v>2.0207195634256836</v>
      </c>
      <c r="M669" s="318">
        <v>4.9492449867700596</v>
      </c>
      <c r="N669" s="3">
        <v>4.2066311485471806</v>
      </c>
      <c r="O669" s="3">
        <v>9.3609042347311622</v>
      </c>
      <c r="P669" s="3">
        <v>2.1601787132035453</v>
      </c>
      <c r="Q669" s="3">
        <v>4.0917625783310241</v>
      </c>
      <c r="R669" s="3">
        <v>6.440837238055737</v>
      </c>
      <c r="S669" s="3">
        <v>7.6358745292460428</v>
      </c>
      <c r="T669" s="3">
        <v>12.787101136751675</v>
      </c>
      <c r="U669" s="3">
        <v>2.0641429537319094</v>
      </c>
      <c r="V669" s="318">
        <v>48.747432532598282</v>
      </c>
      <c r="W669" s="318">
        <v>80.435463675216383</v>
      </c>
      <c r="X669" s="3">
        <v>7.4974337295561515</v>
      </c>
      <c r="Y669" s="318">
        <v>87.932897404772532</v>
      </c>
    </row>
    <row r="670" spans="1:25" x14ac:dyDescent="0.2">
      <c r="A670" s="314">
        <v>2020</v>
      </c>
      <c r="B670" s="5" t="s">
        <v>466</v>
      </c>
      <c r="C670" s="5" t="s">
        <v>181</v>
      </c>
      <c r="D670" s="5" t="s">
        <v>478</v>
      </c>
      <c r="E670" s="5" t="s">
        <v>188</v>
      </c>
      <c r="F670" s="5" t="s">
        <v>184</v>
      </c>
      <c r="G670" s="5" t="s">
        <v>189</v>
      </c>
      <c r="H670" s="3">
        <v>15.816294303663643</v>
      </c>
      <c r="I670" s="3">
        <v>14.170505632137051</v>
      </c>
      <c r="J670" s="318">
        <v>29.986799935800693</v>
      </c>
      <c r="K670" s="3">
        <v>0.71096967983187453</v>
      </c>
      <c r="L670" s="3">
        <v>3.8936593841804283</v>
      </c>
      <c r="M670" s="318">
        <v>4.6046290640123031</v>
      </c>
      <c r="N670" s="3">
        <v>2.3480527264986701</v>
      </c>
      <c r="O670" s="3">
        <v>11.18397538580534</v>
      </c>
      <c r="P670" s="3">
        <v>2.3846953274473139</v>
      </c>
      <c r="Q670" s="3">
        <v>4.4954268735300111</v>
      </c>
      <c r="R670" s="3">
        <v>3.8697247784647795</v>
      </c>
      <c r="S670" s="3">
        <v>9.3393672035766144</v>
      </c>
      <c r="T670" s="3">
        <v>21.156851090182951</v>
      </c>
      <c r="U670" s="3">
        <v>1.9424423961069432</v>
      </c>
      <c r="V670" s="318">
        <v>56.720535781612625</v>
      </c>
      <c r="W670" s="318">
        <v>91.311964781425615</v>
      </c>
      <c r="X670" s="3">
        <v>8.5112383690434683</v>
      </c>
      <c r="Y670" s="318">
        <v>99.823203150469084</v>
      </c>
    </row>
    <row r="671" spans="1:25" x14ac:dyDescent="0.2">
      <c r="A671" s="314">
        <v>2020</v>
      </c>
      <c r="B671" s="5" t="s">
        <v>466</v>
      </c>
      <c r="C671" s="5" t="s">
        <v>181</v>
      </c>
      <c r="D671" s="5" t="s">
        <v>478</v>
      </c>
      <c r="E671" s="5" t="s">
        <v>190</v>
      </c>
      <c r="F671" s="5" t="s">
        <v>184</v>
      </c>
      <c r="G671" s="5" t="s">
        <v>191</v>
      </c>
      <c r="H671" s="3">
        <v>6.2475136571980601</v>
      </c>
      <c r="I671" s="3">
        <v>0</v>
      </c>
      <c r="J671" s="318">
        <v>6.2475136571980601</v>
      </c>
      <c r="K671" s="3">
        <v>0.98043106363796384</v>
      </c>
      <c r="L671" s="3">
        <v>3.929204437982583</v>
      </c>
      <c r="M671" s="318">
        <v>4.9096355016205466</v>
      </c>
      <c r="N671" s="3">
        <v>3.0497895974259968</v>
      </c>
      <c r="O671" s="3">
        <v>9.4001410625809392</v>
      </c>
      <c r="P671" s="3">
        <v>2.8208154713380869</v>
      </c>
      <c r="Q671" s="3">
        <v>5.9278099523164265</v>
      </c>
      <c r="R671" s="3">
        <v>4.8809184602568481</v>
      </c>
      <c r="S671" s="3">
        <v>10.699924380990439</v>
      </c>
      <c r="T671" s="3">
        <v>18.236428823721436</v>
      </c>
      <c r="U671" s="3">
        <v>2.3466522290476153</v>
      </c>
      <c r="V671" s="318">
        <v>57.362479977677786</v>
      </c>
      <c r="W671" s="318">
        <v>68.519629136496391</v>
      </c>
      <c r="X671" s="3">
        <v>6.3867522502133998</v>
      </c>
      <c r="Y671" s="318">
        <v>74.906381386709796</v>
      </c>
    </row>
    <row r="672" spans="1:25" x14ac:dyDescent="0.2">
      <c r="A672" s="314">
        <v>2020</v>
      </c>
      <c r="B672" s="5" t="s">
        <v>466</v>
      </c>
      <c r="C672" s="5" t="s">
        <v>181</v>
      </c>
      <c r="D672" s="5" t="s">
        <v>476</v>
      </c>
      <c r="E672" s="5" t="s">
        <v>192</v>
      </c>
      <c r="F672" s="5" t="s">
        <v>184</v>
      </c>
      <c r="G672" s="5" t="s">
        <v>193</v>
      </c>
      <c r="H672" s="3">
        <v>10.65290667389767</v>
      </c>
      <c r="I672" s="3">
        <v>0</v>
      </c>
      <c r="J672" s="318">
        <v>10.65290667389767</v>
      </c>
      <c r="K672" s="3">
        <v>0.67685307441267606</v>
      </c>
      <c r="L672" s="3">
        <v>2.4243747929227357</v>
      </c>
      <c r="M672" s="318">
        <v>3.1012278673354117</v>
      </c>
      <c r="N672" s="3">
        <v>2.312365165203309</v>
      </c>
      <c r="O672" s="3">
        <v>5.9742193761558609</v>
      </c>
      <c r="P672" s="3">
        <v>1.8873081441465791</v>
      </c>
      <c r="Q672" s="3">
        <v>2.7292282056809705</v>
      </c>
      <c r="R672" s="3">
        <v>4.0910227464827784</v>
      </c>
      <c r="S672" s="3">
        <v>5.5620232577953344</v>
      </c>
      <c r="T672" s="3">
        <v>12.406814143726413</v>
      </c>
      <c r="U672" s="3">
        <v>1.4422747300036274</v>
      </c>
      <c r="V672" s="318">
        <v>36.405255769194866</v>
      </c>
      <c r="W672" s="318">
        <v>50.159390310427945</v>
      </c>
      <c r="X672" s="3">
        <v>4.6753843091632161</v>
      </c>
      <c r="Y672" s="318">
        <v>54.834774619591158</v>
      </c>
    </row>
    <row r="673" spans="1:25" x14ac:dyDescent="0.2">
      <c r="A673" s="314">
        <v>2020</v>
      </c>
      <c r="B673" s="5" t="s">
        <v>466</v>
      </c>
      <c r="C673" s="5" t="s">
        <v>181</v>
      </c>
      <c r="D673" s="5" t="s">
        <v>479</v>
      </c>
      <c r="E673" s="5" t="s">
        <v>194</v>
      </c>
      <c r="F673" s="5" t="s">
        <v>184</v>
      </c>
      <c r="G673" s="5" t="s">
        <v>195</v>
      </c>
      <c r="H673" s="3">
        <v>212.05570412884128</v>
      </c>
      <c r="I673" s="3">
        <v>8.057375931336594</v>
      </c>
      <c r="J673" s="318">
        <v>220.11308006017788</v>
      </c>
      <c r="K673" s="3">
        <v>26.288679661335223</v>
      </c>
      <c r="L673" s="3">
        <v>12.93130736857637</v>
      </c>
      <c r="M673" s="318">
        <v>39.219987029911593</v>
      </c>
      <c r="N673" s="3">
        <v>20.664802393999235</v>
      </c>
      <c r="O673" s="3">
        <v>70.001890867293724</v>
      </c>
      <c r="P673" s="3">
        <v>9.0865943574465113</v>
      </c>
      <c r="Q673" s="3">
        <v>18.486128919729683</v>
      </c>
      <c r="R673" s="3">
        <v>22.565849274920826</v>
      </c>
      <c r="S673" s="3">
        <v>33.061077919670375</v>
      </c>
      <c r="T673" s="3">
        <v>32.053956154260206</v>
      </c>
      <c r="U673" s="3">
        <v>8.4102830793090995</v>
      </c>
      <c r="V673" s="318">
        <v>214.33058296662963</v>
      </c>
      <c r="W673" s="318">
        <v>473.66365005671912</v>
      </c>
      <c r="X673" s="3">
        <v>44.150448870901897</v>
      </c>
      <c r="Y673" s="318">
        <v>517.81409892762099</v>
      </c>
    </row>
    <row r="674" spans="1:25" x14ac:dyDescent="0.2">
      <c r="A674" s="314">
        <v>2020</v>
      </c>
      <c r="B674" s="5" t="s">
        <v>466</v>
      </c>
      <c r="C674" s="5" t="s">
        <v>181</v>
      </c>
      <c r="D674" s="5" t="s">
        <v>479</v>
      </c>
      <c r="E674" s="5" t="s">
        <v>196</v>
      </c>
      <c r="F674" s="5" t="s">
        <v>184</v>
      </c>
      <c r="G674" s="5" t="s">
        <v>197</v>
      </c>
      <c r="H674" s="3">
        <v>85.895666852568198</v>
      </c>
      <c r="I674" s="3">
        <v>0</v>
      </c>
      <c r="J674" s="318">
        <v>85.895666852568198</v>
      </c>
      <c r="K674" s="3">
        <v>160.61381967947261</v>
      </c>
      <c r="L674" s="3">
        <v>36.974689732525064</v>
      </c>
      <c r="M674" s="318">
        <v>197.58850941199768</v>
      </c>
      <c r="N674" s="3">
        <v>17.336409108938664</v>
      </c>
      <c r="O674" s="3">
        <v>34.138991463442558</v>
      </c>
      <c r="P674" s="3">
        <v>3.5283013448057408</v>
      </c>
      <c r="Q674" s="3">
        <v>11.820190807297889</v>
      </c>
      <c r="R674" s="3">
        <v>12.191200159287394</v>
      </c>
      <c r="S674" s="3">
        <v>19.573076190519309</v>
      </c>
      <c r="T674" s="3">
        <v>15.423424640288298</v>
      </c>
      <c r="U674" s="3">
        <v>4.8059076948176553</v>
      </c>
      <c r="V674" s="318">
        <v>118.81750140939752</v>
      </c>
      <c r="W674" s="318">
        <v>402.30167767396335</v>
      </c>
      <c r="X674" s="3">
        <v>37.498760246211582</v>
      </c>
      <c r="Y674" s="318">
        <v>439.80043792017494</v>
      </c>
    </row>
    <row r="675" spans="1:25" x14ac:dyDescent="0.2">
      <c r="A675" s="314">
        <v>2020</v>
      </c>
      <c r="B675" s="5" t="s">
        <v>466</v>
      </c>
      <c r="C675" s="5" t="s">
        <v>181</v>
      </c>
      <c r="D675" s="5" t="s">
        <v>476</v>
      </c>
      <c r="E675" s="5" t="s">
        <v>198</v>
      </c>
      <c r="F675" s="5" t="s">
        <v>184</v>
      </c>
      <c r="G675" s="5" t="s">
        <v>199</v>
      </c>
      <c r="H675" s="3">
        <v>29.973910786963611</v>
      </c>
      <c r="I675" s="3">
        <v>3.4381844557559411</v>
      </c>
      <c r="J675" s="318">
        <v>33.412095242719552</v>
      </c>
      <c r="K675" s="3">
        <v>7.3322222594628927</v>
      </c>
      <c r="L675" s="3">
        <v>15.647921073435271</v>
      </c>
      <c r="M675" s="318">
        <v>22.980143332898162</v>
      </c>
      <c r="N675" s="3">
        <v>19.197121617230305</v>
      </c>
      <c r="O675" s="3">
        <v>54.713342571549219</v>
      </c>
      <c r="P675" s="3">
        <v>14.901821252877355</v>
      </c>
      <c r="Q675" s="3">
        <v>25.380705506413197</v>
      </c>
      <c r="R675" s="3">
        <v>38.731875685449623</v>
      </c>
      <c r="S675" s="3">
        <v>49.468520020655873</v>
      </c>
      <c r="T675" s="3">
        <v>94.500302114485038</v>
      </c>
      <c r="U675" s="3">
        <v>16.623199950795716</v>
      </c>
      <c r="V675" s="318">
        <v>313.51688871945629</v>
      </c>
      <c r="W675" s="318">
        <v>369.90912729507397</v>
      </c>
      <c r="X675" s="3">
        <v>34.479432841353692</v>
      </c>
      <c r="Y675" s="318">
        <v>404.38856013642766</v>
      </c>
    </row>
    <row r="676" spans="1:25" x14ac:dyDescent="0.2">
      <c r="A676" s="314">
        <v>2020</v>
      </c>
      <c r="B676" s="5" t="s">
        <v>466</v>
      </c>
      <c r="C676" s="5" t="s">
        <v>181</v>
      </c>
      <c r="D676" s="5" t="s">
        <v>476</v>
      </c>
      <c r="E676" s="5" t="s">
        <v>200</v>
      </c>
      <c r="F676" s="5" t="s">
        <v>184</v>
      </c>
      <c r="G676" s="5" t="s">
        <v>201</v>
      </c>
      <c r="H676" s="3">
        <v>5.462009244740349</v>
      </c>
      <c r="I676" s="3">
        <v>0</v>
      </c>
      <c r="J676" s="318">
        <v>5.462009244740349</v>
      </c>
      <c r="K676" s="3">
        <v>0.19825335825737564</v>
      </c>
      <c r="L676" s="3">
        <v>4.1422241890939633</v>
      </c>
      <c r="M676" s="318">
        <v>4.3404775473513393</v>
      </c>
      <c r="N676" s="3">
        <v>3.2140320209231374</v>
      </c>
      <c r="O676" s="3">
        <v>7.6497753328616653</v>
      </c>
      <c r="P676" s="3">
        <v>2.4815124331814542</v>
      </c>
      <c r="Q676" s="3">
        <v>4.6985453318010979</v>
      </c>
      <c r="R676" s="3">
        <v>3.8758801114516572</v>
      </c>
      <c r="S676" s="3">
        <v>7.1363068474249189</v>
      </c>
      <c r="T676" s="3">
        <v>17.676875486146862</v>
      </c>
      <c r="U676" s="3">
        <v>2.5599369911835996</v>
      </c>
      <c r="V676" s="318">
        <v>49.292864554974393</v>
      </c>
      <c r="W676" s="318">
        <v>59.095351347066085</v>
      </c>
      <c r="X676" s="3">
        <v>5.5083101433774742</v>
      </c>
      <c r="Y676" s="318">
        <v>64.603661490443557</v>
      </c>
    </row>
    <row r="677" spans="1:25" x14ac:dyDescent="0.2">
      <c r="A677" s="314">
        <v>2020</v>
      </c>
      <c r="B677" s="5" t="s">
        <v>466</v>
      </c>
      <c r="C677" s="5" t="s">
        <v>181</v>
      </c>
      <c r="D677" s="5" t="s">
        <v>480</v>
      </c>
      <c r="E677" s="5" t="s">
        <v>202</v>
      </c>
      <c r="F677" s="5" t="s">
        <v>184</v>
      </c>
      <c r="G677" s="5" t="s">
        <v>203</v>
      </c>
      <c r="H677" s="3">
        <v>48.691584789052548</v>
      </c>
      <c r="I677" s="3">
        <v>0</v>
      </c>
      <c r="J677" s="318">
        <v>48.691584789052548</v>
      </c>
      <c r="K677" s="3">
        <v>5.4961927542409388</v>
      </c>
      <c r="L677" s="3">
        <v>9.0847954685951784</v>
      </c>
      <c r="M677" s="318">
        <v>14.580988222836117</v>
      </c>
      <c r="N677" s="3">
        <v>16.149432138898831</v>
      </c>
      <c r="O677" s="3">
        <v>25.521314921895893</v>
      </c>
      <c r="P677" s="3">
        <v>8.5775939622911839</v>
      </c>
      <c r="Q677" s="3">
        <v>14.399128804601547</v>
      </c>
      <c r="R677" s="3">
        <v>14.67505735620103</v>
      </c>
      <c r="S677" s="3">
        <v>25.793099465163802</v>
      </c>
      <c r="T677" s="3">
        <v>60.482807612247768</v>
      </c>
      <c r="U677" s="3">
        <v>5.7663250266434867</v>
      </c>
      <c r="V677" s="318">
        <v>171.36475928794357</v>
      </c>
      <c r="W677" s="318">
        <v>234.63733229983222</v>
      </c>
      <c r="X677" s="3">
        <v>21.870674563412397</v>
      </c>
      <c r="Y677" s="318">
        <v>256.50800686324465</v>
      </c>
    </row>
    <row r="678" spans="1:25" x14ac:dyDescent="0.2">
      <c r="A678" s="314">
        <v>2020</v>
      </c>
      <c r="B678" s="5" t="s">
        <v>466</v>
      </c>
      <c r="C678" s="5" t="s">
        <v>181</v>
      </c>
      <c r="D678" s="5" t="s">
        <v>480</v>
      </c>
      <c r="E678" s="5" t="s">
        <v>204</v>
      </c>
      <c r="F678" s="5" t="s">
        <v>184</v>
      </c>
      <c r="G678" s="5" t="s">
        <v>205</v>
      </c>
      <c r="H678" s="3">
        <v>20.159846810112139</v>
      </c>
      <c r="I678" s="3">
        <v>0</v>
      </c>
      <c r="J678" s="318">
        <v>20.159846810112139</v>
      </c>
      <c r="K678" s="3">
        <v>1.5481333659086554</v>
      </c>
      <c r="L678" s="3">
        <v>3.0229898150591321</v>
      </c>
      <c r="M678" s="318">
        <v>4.5711231809677875</v>
      </c>
      <c r="N678" s="3">
        <v>2.5946332868256174</v>
      </c>
      <c r="O678" s="3">
        <v>5.8926024100289833</v>
      </c>
      <c r="P678" s="3">
        <v>2.3285149097153308</v>
      </c>
      <c r="Q678" s="3">
        <v>4.3470519700484935</v>
      </c>
      <c r="R678" s="3">
        <v>6.6880064221817452</v>
      </c>
      <c r="S678" s="3">
        <v>7.3260600064425949</v>
      </c>
      <c r="T678" s="3">
        <v>17.818624763918731</v>
      </c>
      <c r="U678" s="3">
        <v>2.1487619765713522</v>
      </c>
      <c r="V678" s="318">
        <v>49.144255745732849</v>
      </c>
      <c r="W678" s="318">
        <v>73.87522573681278</v>
      </c>
      <c r="X678" s="3">
        <v>6.885950349639292</v>
      </c>
      <c r="Y678" s="318">
        <v>80.761176086452068</v>
      </c>
    </row>
    <row r="679" spans="1:25" x14ac:dyDescent="0.2">
      <c r="A679" s="314">
        <v>2020</v>
      </c>
      <c r="B679" s="5" t="s">
        <v>466</v>
      </c>
      <c r="C679" s="5" t="s">
        <v>181</v>
      </c>
      <c r="D679" s="5" t="s">
        <v>479</v>
      </c>
      <c r="E679" s="5" t="s">
        <v>206</v>
      </c>
      <c r="F679" s="5" t="s">
        <v>184</v>
      </c>
      <c r="G679" s="5" t="s">
        <v>207</v>
      </c>
      <c r="H679" s="3">
        <v>5.0093550572038108</v>
      </c>
      <c r="I679" s="3">
        <v>0</v>
      </c>
      <c r="J679" s="318">
        <v>5.0093550572038108</v>
      </c>
      <c r="K679" s="3">
        <v>1.6147390679056268</v>
      </c>
      <c r="L679" s="3">
        <v>0.85570714973751305</v>
      </c>
      <c r="M679" s="318">
        <v>2.4704462176431399</v>
      </c>
      <c r="N679" s="3">
        <v>2.9083362888447053</v>
      </c>
      <c r="O679" s="3">
        <v>5.3821041830670664</v>
      </c>
      <c r="P679" s="3">
        <v>1.3814544886528939</v>
      </c>
      <c r="Q679" s="3">
        <v>2.1735424075178198</v>
      </c>
      <c r="R679" s="3">
        <v>2.8676637412471271</v>
      </c>
      <c r="S679" s="3">
        <v>4.6941276822312572</v>
      </c>
      <c r="T679" s="3">
        <v>8.1978078632347628</v>
      </c>
      <c r="U679" s="3">
        <v>1.5996859014263713</v>
      </c>
      <c r="V679" s="318">
        <v>29.204722556222006</v>
      </c>
      <c r="W679" s="318">
        <v>36.684523831068958</v>
      </c>
      <c r="X679" s="3">
        <v>3.4193846066993898</v>
      </c>
      <c r="Y679" s="318">
        <v>40.103908437768347</v>
      </c>
    </row>
    <row r="680" spans="1:25" x14ac:dyDescent="0.2">
      <c r="A680" s="314">
        <v>2020</v>
      </c>
      <c r="B680" s="5" t="s">
        <v>466</v>
      </c>
      <c r="C680" s="5" t="s">
        <v>181</v>
      </c>
      <c r="D680" s="5" t="s">
        <v>479</v>
      </c>
      <c r="E680" s="5" t="s">
        <v>208</v>
      </c>
      <c r="F680" s="5" t="s">
        <v>184</v>
      </c>
      <c r="G680" s="5" t="s">
        <v>209</v>
      </c>
      <c r="H680" s="3">
        <v>98.618047629989334</v>
      </c>
      <c r="I680" s="3">
        <v>3.7407139371148048</v>
      </c>
      <c r="J680" s="318">
        <v>102.35876156710414</v>
      </c>
      <c r="K680" s="3">
        <v>457.49851215862378</v>
      </c>
      <c r="L680" s="3">
        <v>54.463549282508836</v>
      </c>
      <c r="M680" s="318">
        <v>511.96206144113262</v>
      </c>
      <c r="N680" s="3">
        <v>33.997154757767078</v>
      </c>
      <c r="O680" s="3">
        <v>66.611138316635802</v>
      </c>
      <c r="P680" s="3">
        <v>9.0649603134720866</v>
      </c>
      <c r="Q680" s="3">
        <v>20.088197978052378</v>
      </c>
      <c r="R680" s="3">
        <v>29.599048766006099</v>
      </c>
      <c r="S680" s="3">
        <v>41.267900729113755</v>
      </c>
      <c r="T680" s="3">
        <v>35.347272931825486</v>
      </c>
      <c r="U680" s="3">
        <v>8.8423738856558209</v>
      </c>
      <c r="V680" s="318">
        <v>244.8180476785285</v>
      </c>
      <c r="W680" s="318">
        <v>859.13887068676524</v>
      </c>
      <c r="X680" s="3">
        <v>80.080805818048958</v>
      </c>
      <c r="Y680" s="318">
        <v>939.21967650481417</v>
      </c>
    </row>
    <row r="681" spans="1:25" x14ac:dyDescent="0.2">
      <c r="A681" s="314">
        <v>2020</v>
      </c>
      <c r="B681" s="5" t="s">
        <v>466</v>
      </c>
      <c r="C681" s="5" t="s">
        <v>181</v>
      </c>
      <c r="D681" s="5" t="s">
        <v>479</v>
      </c>
      <c r="E681" s="5" t="s">
        <v>210</v>
      </c>
      <c r="F681" s="5" t="s">
        <v>184</v>
      </c>
      <c r="G681" s="5" t="s">
        <v>211</v>
      </c>
      <c r="H681" s="3">
        <v>331.01143922544844</v>
      </c>
      <c r="I681" s="3">
        <v>15.927355413417558</v>
      </c>
      <c r="J681" s="318">
        <v>346.938794638866</v>
      </c>
      <c r="K681" s="3">
        <v>172.86246432513965</v>
      </c>
      <c r="L681" s="3">
        <v>78.675226031220973</v>
      </c>
      <c r="M681" s="318">
        <v>251.53769035636063</v>
      </c>
      <c r="N681" s="3">
        <v>38.402629581359847</v>
      </c>
      <c r="O681" s="3">
        <v>102.47012094615876</v>
      </c>
      <c r="P681" s="3">
        <v>15.643789863374922</v>
      </c>
      <c r="Q681" s="3">
        <v>29.54493965790952</v>
      </c>
      <c r="R681" s="3">
        <v>35.890659021856536</v>
      </c>
      <c r="S681" s="3">
        <v>66.172205378100386</v>
      </c>
      <c r="T681" s="3">
        <v>124.29298654460109</v>
      </c>
      <c r="U681" s="3">
        <v>12.401738801252982</v>
      </c>
      <c r="V681" s="318">
        <v>424.81906979461405</v>
      </c>
      <c r="W681" s="318">
        <v>1023.2955547898407</v>
      </c>
      <c r="X681" s="3">
        <v>95.381940468009461</v>
      </c>
      <c r="Y681" s="318">
        <v>1118.6774952578501</v>
      </c>
    </row>
    <row r="682" spans="1:25" x14ac:dyDescent="0.2">
      <c r="A682" s="314">
        <v>2020</v>
      </c>
      <c r="B682" s="5" t="s">
        <v>466</v>
      </c>
      <c r="C682" s="5" t="s">
        <v>181</v>
      </c>
      <c r="D682" s="5" t="s">
        <v>480</v>
      </c>
      <c r="E682" s="5" t="s">
        <v>212</v>
      </c>
      <c r="F682" s="5" t="s">
        <v>184</v>
      </c>
      <c r="G682" s="5" t="s">
        <v>213</v>
      </c>
      <c r="H682" s="3">
        <v>12.672727351701688</v>
      </c>
      <c r="I682" s="3">
        <v>0.83394811886889109</v>
      </c>
      <c r="J682" s="318">
        <v>13.506675470570579</v>
      </c>
      <c r="K682" s="3">
        <v>4.6294587142431753</v>
      </c>
      <c r="L682" s="3">
        <v>0.38409810559146695</v>
      </c>
      <c r="M682" s="318">
        <v>5.0135568198346423</v>
      </c>
      <c r="N682" s="3">
        <v>19.223635589216187</v>
      </c>
      <c r="O682" s="3">
        <v>6.9967358205212413</v>
      </c>
      <c r="P682" s="3">
        <v>1.3822844035355923</v>
      </c>
      <c r="Q682" s="3">
        <v>3.5616726322959531</v>
      </c>
      <c r="R682" s="3">
        <v>3.5047414499607852</v>
      </c>
      <c r="S682" s="3">
        <v>15.142279225357601</v>
      </c>
      <c r="T682" s="3">
        <v>10.26157104492304</v>
      </c>
      <c r="U682" s="3">
        <v>1.329949008172487</v>
      </c>
      <c r="V682" s="318">
        <v>61.402869173982879</v>
      </c>
      <c r="W682" s="318">
        <v>79.923101464388111</v>
      </c>
      <c r="X682" s="3">
        <v>7.4496761665895885</v>
      </c>
      <c r="Y682" s="318">
        <v>87.372777630977694</v>
      </c>
    </row>
    <row r="683" spans="1:25" x14ac:dyDescent="0.2">
      <c r="A683" s="314">
        <v>2020</v>
      </c>
      <c r="B683" s="5" t="s">
        <v>466</v>
      </c>
      <c r="C683" s="5" t="s">
        <v>181</v>
      </c>
      <c r="D683" s="5" t="s">
        <v>478</v>
      </c>
      <c r="E683" s="5" t="s">
        <v>214</v>
      </c>
      <c r="F683" s="5" t="s">
        <v>184</v>
      </c>
      <c r="G683" s="5" t="s">
        <v>215</v>
      </c>
      <c r="H683" s="3">
        <v>15.562124196959378</v>
      </c>
      <c r="I683" s="3">
        <v>0</v>
      </c>
      <c r="J683" s="318">
        <v>15.562124196959378</v>
      </c>
      <c r="K683" s="3">
        <v>2.3095987163484515</v>
      </c>
      <c r="L683" s="3">
        <v>5.3396351971592466</v>
      </c>
      <c r="M683" s="318">
        <v>7.6492339135076985</v>
      </c>
      <c r="N683" s="3">
        <v>4.3501623172685351</v>
      </c>
      <c r="O683" s="3">
        <v>23.561673973396697</v>
      </c>
      <c r="P683" s="3">
        <v>4.6462267160142048</v>
      </c>
      <c r="Q683" s="3">
        <v>9.05688917268537</v>
      </c>
      <c r="R683" s="3">
        <v>8.2271865670520263</v>
      </c>
      <c r="S683" s="3">
        <v>13.672131680594102</v>
      </c>
      <c r="T683" s="3">
        <v>33.890437770950321</v>
      </c>
      <c r="U683" s="3">
        <v>3.7185439234305395</v>
      </c>
      <c r="V683" s="318">
        <v>101.12325212139181</v>
      </c>
      <c r="W683" s="318">
        <v>124.33461023185889</v>
      </c>
      <c r="X683" s="3">
        <v>11.589297281452493</v>
      </c>
      <c r="Y683" s="318">
        <v>135.92390751331138</v>
      </c>
    </row>
    <row r="684" spans="1:25" x14ac:dyDescent="0.2">
      <c r="A684" s="314">
        <v>2020</v>
      </c>
      <c r="B684" s="5" t="s">
        <v>466</v>
      </c>
      <c r="C684" s="5" t="s">
        <v>181</v>
      </c>
      <c r="D684" s="5" t="s">
        <v>478</v>
      </c>
      <c r="E684" s="5" t="s">
        <v>216</v>
      </c>
      <c r="F684" s="5" t="s">
        <v>184</v>
      </c>
      <c r="G684" s="5" t="s">
        <v>217</v>
      </c>
      <c r="H684" s="3">
        <v>43.478197289163269</v>
      </c>
      <c r="I684" s="3">
        <v>1.6637479213126838</v>
      </c>
      <c r="J684" s="318">
        <v>45.141945210475953</v>
      </c>
      <c r="K684" s="3">
        <v>88.503872144431369</v>
      </c>
      <c r="L684" s="3">
        <v>47.991171530905689</v>
      </c>
      <c r="M684" s="318">
        <v>136.49504367533706</v>
      </c>
      <c r="N684" s="3">
        <v>32.806887285503564</v>
      </c>
      <c r="O684" s="3">
        <v>96.403875128905028</v>
      </c>
      <c r="P684" s="3">
        <v>16.197987396217965</v>
      </c>
      <c r="Q684" s="3">
        <v>39.502306160833704</v>
      </c>
      <c r="R684" s="3">
        <v>39.554315653092488</v>
      </c>
      <c r="S684" s="3">
        <v>55.715200243310868</v>
      </c>
      <c r="T684" s="3">
        <v>86.452180499918086</v>
      </c>
      <c r="U684" s="3">
        <v>13.730752649717877</v>
      </c>
      <c r="V684" s="318">
        <v>380.36350501749956</v>
      </c>
      <c r="W684" s="318">
        <v>562.00049390331253</v>
      </c>
      <c r="X684" s="3">
        <v>52.384374584219444</v>
      </c>
      <c r="Y684" s="318">
        <v>614.384868487532</v>
      </c>
    </row>
    <row r="685" spans="1:25" x14ac:dyDescent="0.2">
      <c r="A685" s="314">
        <v>2020</v>
      </c>
      <c r="B685" s="5" t="s">
        <v>466</v>
      </c>
      <c r="C685" s="5" t="s">
        <v>218</v>
      </c>
      <c r="D685" s="5" t="s">
        <v>481</v>
      </c>
      <c r="E685" s="5" t="s">
        <v>220</v>
      </c>
      <c r="F685" s="5" t="s">
        <v>221</v>
      </c>
      <c r="G685" s="5" t="s">
        <v>223</v>
      </c>
      <c r="H685" s="3">
        <v>11.001079635951719</v>
      </c>
      <c r="I685" s="3">
        <v>1.7184333350072922</v>
      </c>
      <c r="J685" s="318">
        <v>12.719512970959011</v>
      </c>
      <c r="K685" s="3">
        <v>0.4039984540689891</v>
      </c>
      <c r="L685" s="3">
        <v>1.5571512223593833</v>
      </c>
      <c r="M685" s="318">
        <v>1.9611496764283725</v>
      </c>
      <c r="N685" s="3">
        <v>4.7462374509667775</v>
      </c>
      <c r="O685" s="3">
        <v>1.3621288484527705</v>
      </c>
      <c r="P685" s="3">
        <v>0.5360181326190876</v>
      </c>
      <c r="Q685" s="3">
        <v>0.98241683924718015</v>
      </c>
      <c r="R685" s="3">
        <v>0.95239616797469262</v>
      </c>
      <c r="S685" s="3">
        <v>3.1051190441333625</v>
      </c>
      <c r="T685" s="3">
        <v>5.9928637538991705</v>
      </c>
      <c r="U685" s="3">
        <v>0.52349203075751871</v>
      </c>
      <c r="V685" s="318">
        <v>18.20067226805056</v>
      </c>
      <c r="W685" s="318">
        <v>32.881334915437947</v>
      </c>
      <c r="X685" s="3">
        <v>3.0648872798603111</v>
      </c>
      <c r="Y685" s="318">
        <v>35.946222195298255</v>
      </c>
    </row>
    <row r="686" spans="1:25" x14ac:dyDescent="0.2">
      <c r="A686" s="314">
        <v>2020</v>
      </c>
      <c r="B686" s="5" t="s">
        <v>466</v>
      </c>
      <c r="C686" s="5" t="s">
        <v>218</v>
      </c>
      <c r="D686" s="5" t="s">
        <v>482</v>
      </c>
      <c r="E686" s="5" t="s">
        <v>224</v>
      </c>
      <c r="F686" s="5" t="s">
        <v>221</v>
      </c>
      <c r="G686" s="5" t="s">
        <v>226</v>
      </c>
      <c r="H686" s="3">
        <v>46.87662564679556</v>
      </c>
      <c r="I686" s="3">
        <v>1.9569754356314775</v>
      </c>
      <c r="J686" s="318">
        <v>48.833601082427037</v>
      </c>
      <c r="K686" s="3">
        <v>0.78195104178333075</v>
      </c>
      <c r="L686" s="3">
        <v>6.2355722952621422</v>
      </c>
      <c r="M686" s="318">
        <v>7.017523337045473</v>
      </c>
      <c r="N686" s="3">
        <v>9.9977277864627343</v>
      </c>
      <c r="O686" s="3">
        <v>7.8475456017153231</v>
      </c>
      <c r="P686" s="3">
        <v>2.41042546128834</v>
      </c>
      <c r="Q686" s="3">
        <v>4.7034700810648449</v>
      </c>
      <c r="R686" s="3">
        <v>4.1090025321277226</v>
      </c>
      <c r="S686" s="3">
        <v>6.652785876606317</v>
      </c>
      <c r="T686" s="3">
        <v>12.151942648328619</v>
      </c>
      <c r="U686" s="3">
        <v>1.9737534172115994</v>
      </c>
      <c r="V686" s="318">
        <v>49.846653404805501</v>
      </c>
      <c r="W686" s="318">
        <v>105.69777782427801</v>
      </c>
      <c r="X686" s="3">
        <v>9.8521479008151243</v>
      </c>
      <c r="Y686" s="318">
        <v>115.54992572509313</v>
      </c>
    </row>
    <row r="687" spans="1:25" x14ac:dyDescent="0.2">
      <c r="A687" s="314">
        <v>2020</v>
      </c>
      <c r="B687" s="5" t="s">
        <v>466</v>
      </c>
      <c r="C687" s="5" t="s">
        <v>218</v>
      </c>
      <c r="D687" s="5" t="s">
        <v>482</v>
      </c>
      <c r="E687" s="5" t="s">
        <v>227</v>
      </c>
      <c r="F687" s="5" t="s">
        <v>221</v>
      </c>
      <c r="G687" s="5" t="s">
        <v>228</v>
      </c>
      <c r="H687" s="3">
        <v>12.813708909877352</v>
      </c>
      <c r="I687" s="3">
        <v>0</v>
      </c>
      <c r="J687" s="318">
        <v>12.813708909877352</v>
      </c>
      <c r="K687" s="3">
        <v>1.2784631466692691</v>
      </c>
      <c r="L687" s="3">
        <v>1.8752034248602407</v>
      </c>
      <c r="M687" s="318">
        <v>3.1536665715295098</v>
      </c>
      <c r="N687" s="3">
        <v>1.6197826973974101</v>
      </c>
      <c r="O687" s="3">
        <v>5.4555306152213587</v>
      </c>
      <c r="P687" s="3">
        <v>1.4572481473798342</v>
      </c>
      <c r="Q687" s="3">
        <v>3.3146000495750725</v>
      </c>
      <c r="R687" s="3">
        <v>3.8377221848365863</v>
      </c>
      <c r="S687" s="3">
        <v>6.7409904442631401</v>
      </c>
      <c r="T687" s="3">
        <v>11.456149978882223</v>
      </c>
      <c r="U687" s="3">
        <v>1.8963665086144348</v>
      </c>
      <c r="V687" s="318">
        <v>35.778390626170058</v>
      </c>
      <c r="W687" s="318">
        <v>51.745766107576927</v>
      </c>
      <c r="X687" s="3">
        <v>4.8232512681618109</v>
      </c>
      <c r="Y687" s="318">
        <v>56.569017375738738</v>
      </c>
    </row>
    <row r="688" spans="1:25" x14ac:dyDescent="0.2">
      <c r="A688" s="314">
        <v>2020</v>
      </c>
      <c r="B688" s="5" t="s">
        <v>466</v>
      </c>
      <c r="C688" s="5" t="s">
        <v>218</v>
      </c>
      <c r="D688" s="5" t="s">
        <v>482</v>
      </c>
      <c r="E688" s="5" t="s">
        <v>229</v>
      </c>
      <c r="F688" s="5" t="s">
        <v>221</v>
      </c>
      <c r="G688" s="5" t="s">
        <v>230</v>
      </c>
      <c r="H688" s="3">
        <v>8.5365189489224136</v>
      </c>
      <c r="I688" s="3">
        <v>331.77041397999528</v>
      </c>
      <c r="J688" s="318">
        <v>340.30693292891772</v>
      </c>
      <c r="K688" s="3">
        <v>4.1597996694084589</v>
      </c>
      <c r="L688" s="3">
        <v>0.37209919127038127</v>
      </c>
      <c r="M688" s="318">
        <v>4.5318988606788402</v>
      </c>
      <c r="N688" s="3">
        <v>13.636525616987257</v>
      </c>
      <c r="O688" s="3">
        <v>4.8040775674611176</v>
      </c>
      <c r="P688" s="3">
        <v>1.428201800889275</v>
      </c>
      <c r="Q688" s="3">
        <v>2.5876879780280126</v>
      </c>
      <c r="R688" s="3">
        <v>3.9591923789762746</v>
      </c>
      <c r="S688" s="3">
        <v>21.132153274334982</v>
      </c>
      <c r="T688" s="3">
        <v>8.9655572668980454</v>
      </c>
      <c r="U688" s="3">
        <v>1.5017414489066288</v>
      </c>
      <c r="V688" s="318">
        <v>58.015137332481594</v>
      </c>
      <c r="W688" s="318">
        <v>402.85396912207818</v>
      </c>
      <c r="X688" s="3">
        <v>37.550239635307427</v>
      </c>
      <c r="Y688" s="318">
        <v>440.40420875738562</v>
      </c>
    </row>
    <row r="689" spans="1:25" x14ac:dyDescent="0.2">
      <c r="A689" s="314">
        <v>2020</v>
      </c>
      <c r="B689" s="5" t="s">
        <v>466</v>
      </c>
      <c r="C689" s="5" t="s">
        <v>218</v>
      </c>
      <c r="D689" s="5" t="s">
        <v>482</v>
      </c>
      <c r="E689" s="5" t="s">
        <v>231</v>
      </c>
      <c r="F689" s="5" t="s">
        <v>221</v>
      </c>
      <c r="G689" s="5" t="s">
        <v>232</v>
      </c>
      <c r="H689" s="3">
        <v>34.085160927479755</v>
      </c>
      <c r="I689" s="3">
        <v>0</v>
      </c>
      <c r="J689" s="318">
        <v>34.085160927479755</v>
      </c>
      <c r="K689" s="3">
        <v>2.1557032080652263</v>
      </c>
      <c r="L689" s="3">
        <v>3.9008777952102935</v>
      </c>
      <c r="M689" s="318">
        <v>6.0565810032755198</v>
      </c>
      <c r="N689" s="3">
        <v>2.7451567080765371</v>
      </c>
      <c r="O689" s="3">
        <v>8.08090612142853</v>
      </c>
      <c r="P689" s="3">
        <v>2.762210629253246</v>
      </c>
      <c r="Q689" s="3">
        <v>5.9316394257143594</v>
      </c>
      <c r="R689" s="3">
        <v>5.8172660236540867</v>
      </c>
      <c r="S689" s="3">
        <v>9.8686566044073292</v>
      </c>
      <c r="T689" s="3">
        <v>21.42861824346636</v>
      </c>
      <c r="U689" s="3">
        <v>2.651422146850428</v>
      </c>
      <c r="V689" s="318">
        <v>59.285875902850876</v>
      </c>
      <c r="W689" s="318">
        <v>99.427617833606149</v>
      </c>
      <c r="X689" s="3">
        <v>9.2677028456638908</v>
      </c>
      <c r="Y689" s="318">
        <v>108.69532067927004</v>
      </c>
    </row>
    <row r="690" spans="1:25" x14ac:dyDescent="0.2">
      <c r="A690" s="314">
        <v>2020</v>
      </c>
      <c r="B690" s="5" t="s">
        <v>466</v>
      </c>
      <c r="C690" s="5" t="s">
        <v>218</v>
      </c>
      <c r="D690" s="5" t="s">
        <v>481</v>
      </c>
      <c r="E690" s="5" t="s">
        <v>233</v>
      </c>
      <c r="F690" s="5" t="s">
        <v>221</v>
      </c>
      <c r="G690" s="5" t="s">
        <v>234</v>
      </c>
      <c r="H690" s="3">
        <v>35.249623697700535</v>
      </c>
      <c r="I690" s="3">
        <v>0</v>
      </c>
      <c r="J690" s="318">
        <v>35.249623697700535</v>
      </c>
      <c r="K690" s="3">
        <v>4.1562738264129733</v>
      </c>
      <c r="L690" s="3">
        <v>7.5899857985701713</v>
      </c>
      <c r="M690" s="318">
        <v>11.746259624983145</v>
      </c>
      <c r="N690" s="3">
        <v>5.6072568203187529</v>
      </c>
      <c r="O690" s="3">
        <v>22.549797277914507</v>
      </c>
      <c r="P690" s="3">
        <v>4.8257498542592483</v>
      </c>
      <c r="Q690" s="3">
        <v>9.7776170663088333</v>
      </c>
      <c r="R690" s="3">
        <v>11.128580219014857</v>
      </c>
      <c r="S690" s="3">
        <v>17.582686476614107</v>
      </c>
      <c r="T690" s="3">
        <v>40.254400321335197</v>
      </c>
      <c r="U690" s="3">
        <v>4.619551610917946</v>
      </c>
      <c r="V690" s="318">
        <v>116.34563964668347</v>
      </c>
      <c r="W690" s="318">
        <v>163.34152296936716</v>
      </c>
      <c r="X690" s="3">
        <v>15.225153033150706</v>
      </c>
      <c r="Y690" s="318">
        <v>178.56667600251788</v>
      </c>
    </row>
    <row r="691" spans="1:25" x14ac:dyDescent="0.2">
      <c r="A691" s="314">
        <v>2020</v>
      </c>
      <c r="B691" s="5" t="s">
        <v>466</v>
      </c>
      <c r="C691" s="5" t="s">
        <v>218</v>
      </c>
      <c r="D691" s="5" t="s">
        <v>481</v>
      </c>
      <c r="E691" s="5" t="s">
        <v>235</v>
      </c>
      <c r="F691" s="5" t="s">
        <v>221</v>
      </c>
      <c r="G691" s="5" t="s">
        <v>236</v>
      </c>
      <c r="H691" s="3">
        <v>65.068948942207157</v>
      </c>
      <c r="I691" s="3">
        <v>28.644894204219185</v>
      </c>
      <c r="J691" s="318">
        <v>93.713843146426342</v>
      </c>
      <c r="K691" s="3">
        <v>2.2434350611129816</v>
      </c>
      <c r="L691" s="3">
        <v>13.173370272460605</v>
      </c>
      <c r="M691" s="318">
        <v>15.416805333573587</v>
      </c>
      <c r="N691" s="3">
        <v>5.8401988836390286</v>
      </c>
      <c r="O691" s="3">
        <v>36.630307794244708</v>
      </c>
      <c r="P691" s="3">
        <v>7.3647293521966732</v>
      </c>
      <c r="Q691" s="3">
        <v>15.90964223619863</v>
      </c>
      <c r="R691" s="3">
        <v>12.725486857382062</v>
      </c>
      <c r="S691" s="3">
        <v>23.328627958533708</v>
      </c>
      <c r="T691" s="3">
        <v>50.458702771326195</v>
      </c>
      <c r="U691" s="3">
        <v>4.5534018267040208</v>
      </c>
      <c r="V691" s="318">
        <v>156.81109768022503</v>
      </c>
      <c r="W691" s="318">
        <v>265.94174616022497</v>
      </c>
      <c r="X691" s="3">
        <v>24.788576165976416</v>
      </c>
      <c r="Y691" s="318">
        <v>290.73032232620136</v>
      </c>
    </row>
    <row r="692" spans="1:25" x14ac:dyDescent="0.2">
      <c r="A692" s="314">
        <v>2020</v>
      </c>
      <c r="B692" s="5" t="s">
        <v>466</v>
      </c>
      <c r="C692" s="5" t="s">
        <v>218</v>
      </c>
      <c r="D692" s="5" t="s">
        <v>482</v>
      </c>
      <c r="E692" s="5" t="s">
        <v>237</v>
      </c>
      <c r="F692" s="5" t="s">
        <v>221</v>
      </c>
      <c r="G692" s="5" t="s">
        <v>238</v>
      </c>
      <c r="H692" s="3">
        <v>104.99593995937195</v>
      </c>
      <c r="I692" s="3">
        <v>0</v>
      </c>
      <c r="J692" s="318">
        <v>104.99593995937195</v>
      </c>
      <c r="K692" s="3">
        <v>6.9247147998378455</v>
      </c>
      <c r="L692" s="3">
        <v>6.8991278000228391</v>
      </c>
      <c r="M692" s="318">
        <v>13.823842599860685</v>
      </c>
      <c r="N692" s="3">
        <v>6.8570209537967068</v>
      </c>
      <c r="O692" s="3">
        <v>14.207370389540429</v>
      </c>
      <c r="P692" s="3">
        <v>5.9574420737632465</v>
      </c>
      <c r="Q692" s="3">
        <v>9.3587024484124246</v>
      </c>
      <c r="R692" s="3">
        <v>10.635718313619959</v>
      </c>
      <c r="S692" s="3">
        <v>13.433463129236202</v>
      </c>
      <c r="T692" s="3">
        <v>21.713052650517493</v>
      </c>
      <c r="U692" s="3">
        <v>4.3135381725729047</v>
      </c>
      <c r="V692" s="318">
        <v>86.476308131459362</v>
      </c>
      <c r="W692" s="318">
        <v>205.29609069069198</v>
      </c>
      <c r="X692" s="3">
        <v>19.135761324201408</v>
      </c>
      <c r="Y692" s="318">
        <v>224.43185201489339</v>
      </c>
    </row>
    <row r="693" spans="1:25" x14ac:dyDescent="0.2">
      <c r="A693" s="314">
        <v>2020</v>
      </c>
      <c r="B693" s="5" t="s">
        <v>466</v>
      </c>
      <c r="C693" s="5" t="s">
        <v>218</v>
      </c>
      <c r="D693" s="5" t="s">
        <v>481</v>
      </c>
      <c r="E693" s="5" t="s">
        <v>239</v>
      </c>
      <c r="F693" s="5" t="s">
        <v>221</v>
      </c>
      <c r="G693" s="5" t="s">
        <v>240</v>
      </c>
      <c r="H693" s="3">
        <v>69.396432323570778</v>
      </c>
      <c r="I693" s="3">
        <v>18.026359968879291</v>
      </c>
      <c r="J693" s="318">
        <v>87.422792292450069</v>
      </c>
      <c r="K693" s="3">
        <v>3.510972145393001</v>
      </c>
      <c r="L693" s="3">
        <v>14.599444027623907</v>
      </c>
      <c r="M693" s="318">
        <v>18.110416173016908</v>
      </c>
      <c r="N693" s="3">
        <v>12.472188031298513</v>
      </c>
      <c r="O693" s="3">
        <v>41.017432356892073</v>
      </c>
      <c r="P693" s="3">
        <v>8.9811399732300039</v>
      </c>
      <c r="Q693" s="3">
        <v>18.241311106108018</v>
      </c>
      <c r="R693" s="3">
        <v>12.116213698846924</v>
      </c>
      <c r="S693" s="3">
        <v>30.067468991805377</v>
      </c>
      <c r="T693" s="3">
        <v>48.334785459388321</v>
      </c>
      <c r="U693" s="3">
        <v>5.2091019625012853</v>
      </c>
      <c r="V693" s="318">
        <v>176.43964158007049</v>
      </c>
      <c r="W693" s="318">
        <v>281.97285004553748</v>
      </c>
      <c r="X693" s="3">
        <v>26.282844160465444</v>
      </c>
      <c r="Y693" s="318">
        <v>308.25569420600294</v>
      </c>
    </row>
    <row r="694" spans="1:25" x14ac:dyDescent="0.2">
      <c r="A694" s="314">
        <v>2020</v>
      </c>
      <c r="B694" s="5" t="s">
        <v>466</v>
      </c>
      <c r="C694" s="5" t="s">
        <v>218</v>
      </c>
      <c r="D694" s="5" t="s">
        <v>482</v>
      </c>
      <c r="E694" s="5" t="s">
        <v>241</v>
      </c>
      <c r="F694" s="5" t="s">
        <v>221</v>
      </c>
      <c r="G694" s="5" t="s">
        <v>242</v>
      </c>
      <c r="H694" s="3">
        <v>12.851654201546815</v>
      </c>
      <c r="I694" s="3">
        <v>0</v>
      </c>
      <c r="J694" s="318">
        <v>12.851654201546815</v>
      </c>
      <c r="K694" s="3">
        <v>2.2565571709701939</v>
      </c>
      <c r="L694" s="3">
        <v>1.2590702028373797</v>
      </c>
      <c r="M694" s="318">
        <v>3.5156273738075736</v>
      </c>
      <c r="N694" s="3">
        <v>4.7882930545879985</v>
      </c>
      <c r="O694" s="3">
        <v>8.6960007100298213</v>
      </c>
      <c r="P694" s="3">
        <v>1.4628671395500561</v>
      </c>
      <c r="Q694" s="3">
        <v>3.3671703391049532</v>
      </c>
      <c r="R694" s="3">
        <v>4.2310516103248412</v>
      </c>
      <c r="S694" s="3">
        <v>7.4137875027221449</v>
      </c>
      <c r="T694" s="3">
        <v>10.434498526558173</v>
      </c>
      <c r="U694" s="3">
        <v>2.4858260602841837</v>
      </c>
      <c r="V694" s="318">
        <v>42.879494943162172</v>
      </c>
      <c r="W694" s="318">
        <v>59.246776518516562</v>
      </c>
      <c r="X694" s="3">
        <v>5.5224245667432763</v>
      </c>
      <c r="Y694" s="318">
        <v>64.769201085259837</v>
      </c>
    </row>
    <row r="695" spans="1:25" x14ac:dyDescent="0.2">
      <c r="A695" s="314">
        <v>2020</v>
      </c>
      <c r="B695" s="5" t="s">
        <v>466</v>
      </c>
      <c r="C695" s="5" t="s">
        <v>218</v>
      </c>
      <c r="D695" s="5" t="s">
        <v>482</v>
      </c>
      <c r="E695" s="5" t="s">
        <v>243</v>
      </c>
      <c r="F695" s="5" t="s">
        <v>221</v>
      </c>
      <c r="G695" s="5" t="s">
        <v>244</v>
      </c>
      <c r="H695" s="3">
        <v>35.129169535920461</v>
      </c>
      <c r="I695" s="3">
        <v>0</v>
      </c>
      <c r="J695" s="318">
        <v>35.129169535920461</v>
      </c>
      <c r="K695" s="3">
        <v>3.0757400199260738</v>
      </c>
      <c r="L695" s="3">
        <v>5.3512962492686773</v>
      </c>
      <c r="M695" s="318">
        <v>8.4270362691947511</v>
      </c>
      <c r="N695" s="3">
        <v>7.4251526265154126</v>
      </c>
      <c r="O695" s="3">
        <v>15.970139080902825</v>
      </c>
      <c r="P695" s="3">
        <v>5.6572663610913798</v>
      </c>
      <c r="Q695" s="3">
        <v>8.211092766036046</v>
      </c>
      <c r="R695" s="3">
        <v>9.9427881649480998</v>
      </c>
      <c r="S695" s="3">
        <v>15.690064030962715</v>
      </c>
      <c r="T695" s="3">
        <v>29.343669615740755</v>
      </c>
      <c r="U695" s="3">
        <v>3.7709437915155006</v>
      </c>
      <c r="V695" s="318">
        <v>96.011116437712744</v>
      </c>
      <c r="W695" s="318">
        <v>139.56732224282794</v>
      </c>
      <c r="X695" s="3">
        <v>13.009146731003733</v>
      </c>
      <c r="Y695" s="318">
        <v>152.57646897383168</v>
      </c>
    </row>
    <row r="696" spans="1:25" x14ac:dyDescent="0.2">
      <c r="A696" s="314">
        <v>2020</v>
      </c>
      <c r="B696" s="5" t="s">
        <v>466</v>
      </c>
      <c r="C696" s="5" t="s">
        <v>218</v>
      </c>
      <c r="D696" s="5" t="s">
        <v>482</v>
      </c>
      <c r="E696" s="5" t="s">
        <v>245</v>
      </c>
      <c r="F696" s="5" t="s">
        <v>221</v>
      </c>
      <c r="G696" s="5" t="s">
        <v>246</v>
      </c>
      <c r="H696" s="3">
        <v>23.653752981853508</v>
      </c>
      <c r="I696" s="3">
        <v>0</v>
      </c>
      <c r="J696" s="318">
        <v>23.653752981853508</v>
      </c>
      <c r="K696" s="3">
        <v>0.37984568663137069</v>
      </c>
      <c r="L696" s="3">
        <v>6.4154731013454276</v>
      </c>
      <c r="M696" s="318">
        <v>6.7953187879767984</v>
      </c>
      <c r="N696" s="3">
        <v>4.9366461337626601</v>
      </c>
      <c r="O696" s="3">
        <v>12.107084884504198</v>
      </c>
      <c r="P696" s="3">
        <v>3.6147373810064467</v>
      </c>
      <c r="Q696" s="3">
        <v>8.3031210616801214</v>
      </c>
      <c r="R696" s="3">
        <v>6.0163600014493097</v>
      </c>
      <c r="S696" s="3">
        <v>10.838575040618331</v>
      </c>
      <c r="T696" s="3">
        <v>25.603269764700428</v>
      </c>
      <c r="U696" s="3">
        <v>6.3340035362901581</v>
      </c>
      <c r="V696" s="318">
        <v>77.753797804011654</v>
      </c>
      <c r="W696" s="318">
        <v>108.20286957384195</v>
      </c>
      <c r="X696" s="3">
        <v>10.085648878128451</v>
      </c>
      <c r="Y696" s="318">
        <v>118.2885184519704</v>
      </c>
    </row>
    <row r="697" spans="1:25" x14ac:dyDescent="0.2">
      <c r="A697" s="314">
        <v>2020</v>
      </c>
      <c r="B697" s="5" t="s">
        <v>466</v>
      </c>
      <c r="C697" s="5" t="s">
        <v>218</v>
      </c>
      <c r="D697" s="5" t="s">
        <v>482</v>
      </c>
      <c r="E697" s="5" t="s">
        <v>247</v>
      </c>
      <c r="F697" s="5" t="s">
        <v>221</v>
      </c>
      <c r="G697" s="5" t="s">
        <v>248</v>
      </c>
      <c r="H697" s="3">
        <v>7.7302106745903636</v>
      </c>
      <c r="I697" s="3">
        <v>0.29684005714327455</v>
      </c>
      <c r="J697" s="318">
        <v>8.0270507317336381</v>
      </c>
      <c r="K697" s="3">
        <v>0.32494172117983677</v>
      </c>
      <c r="L697" s="3">
        <v>2.0796427999425542</v>
      </c>
      <c r="M697" s="318">
        <v>2.4045845211223908</v>
      </c>
      <c r="N697" s="3">
        <v>3.2963318924441238</v>
      </c>
      <c r="O697" s="3">
        <v>6.1155233538423062</v>
      </c>
      <c r="P697" s="3">
        <v>1.4722400743516912</v>
      </c>
      <c r="Q697" s="3">
        <v>2.2267746738202598</v>
      </c>
      <c r="R697" s="3">
        <v>3.1234885342676861</v>
      </c>
      <c r="S697" s="3">
        <v>4.1353711692928652</v>
      </c>
      <c r="T697" s="3">
        <v>7.5290472033881146</v>
      </c>
      <c r="U697" s="3">
        <v>1.3187889119064011</v>
      </c>
      <c r="V697" s="318">
        <v>29.217565813313445</v>
      </c>
      <c r="W697" s="318">
        <v>39.649201066169475</v>
      </c>
      <c r="X697" s="3">
        <v>3.6957237994395524</v>
      </c>
      <c r="Y697" s="318">
        <v>43.34492486560903</v>
      </c>
    </row>
    <row r="698" spans="1:25" x14ac:dyDescent="0.2">
      <c r="A698" s="314">
        <v>2020</v>
      </c>
      <c r="B698" s="5" t="s">
        <v>466</v>
      </c>
      <c r="C698" s="5" t="s">
        <v>218</v>
      </c>
      <c r="D698" s="5" t="s">
        <v>481</v>
      </c>
      <c r="E698" s="5" t="s">
        <v>249</v>
      </c>
      <c r="F698" s="5" t="s">
        <v>221</v>
      </c>
      <c r="G698" s="5" t="s">
        <v>250</v>
      </c>
      <c r="H698" s="3">
        <v>16.668969379584507</v>
      </c>
      <c r="I698" s="3">
        <v>0</v>
      </c>
      <c r="J698" s="318">
        <v>16.668969379584507</v>
      </c>
      <c r="K698" s="3">
        <v>0.70988447830091983</v>
      </c>
      <c r="L698" s="3">
        <v>3.7838804319192962</v>
      </c>
      <c r="M698" s="318">
        <v>4.4937649102202162</v>
      </c>
      <c r="N698" s="3">
        <v>2.2854411837130262</v>
      </c>
      <c r="O698" s="3">
        <v>3.7233716528942651</v>
      </c>
      <c r="P698" s="3">
        <v>2.5179746778422523</v>
      </c>
      <c r="Q698" s="3">
        <v>5.447321962249724</v>
      </c>
      <c r="R698" s="3">
        <v>4.9916319443566755</v>
      </c>
      <c r="S698" s="3">
        <v>8.3376864256800953</v>
      </c>
      <c r="T698" s="3">
        <v>23.642391402360822</v>
      </c>
      <c r="U698" s="3">
        <v>1.8608607388191933</v>
      </c>
      <c r="V698" s="318">
        <v>52.806679987916048</v>
      </c>
      <c r="W698" s="318">
        <v>73.969414277720773</v>
      </c>
      <c r="X698" s="3">
        <v>6.8947297152483795</v>
      </c>
      <c r="Y698" s="318">
        <v>80.864143992969147</v>
      </c>
    </row>
    <row r="699" spans="1:25" x14ac:dyDescent="0.2">
      <c r="A699" s="314">
        <v>2020</v>
      </c>
      <c r="B699" s="5" t="s">
        <v>466</v>
      </c>
      <c r="C699" s="5" t="s">
        <v>218</v>
      </c>
      <c r="D699" s="5" t="s">
        <v>482</v>
      </c>
      <c r="E699" s="5" t="s">
        <v>251</v>
      </c>
      <c r="F699" s="5" t="s">
        <v>221</v>
      </c>
      <c r="G699" s="5" t="s">
        <v>252</v>
      </c>
      <c r="H699" s="3">
        <v>17.065555179570392</v>
      </c>
      <c r="I699" s="3">
        <v>0.66527871622781376</v>
      </c>
      <c r="J699" s="318">
        <v>17.730833895798206</v>
      </c>
      <c r="K699" s="3">
        <v>1.0143726387150136</v>
      </c>
      <c r="L699" s="3">
        <v>4.2339879148941382</v>
      </c>
      <c r="M699" s="318">
        <v>5.2483605536091513</v>
      </c>
      <c r="N699" s="3">
        <v>5.8048312724331197</v>
      </c>
      <c r="O699" s="3">
        <v>8.9776933582954719</v>
      </c>
      <c r="P699" s="3">
        <v>2.8935660046755238</v>
      </c>
      <c r="Q699" s="3">
        <v>6.159361524155754</v>
      </c>
      <c r="R699" s="3">
        <v>6.1503500406148151</v>
      </c>
      <c r="S699" s="3">
        <v>7.7814607370707698</v>
      </c>
      <c r="T699" s="3">
        <v>19.950704184583056</v>
      </c>
      <c r="U699" s="3">
        <v>1.9514726776339293</v>
      </c>
      <c r="V699" s="318">
        <v>59.669439799462438</v>
      </c>
      <c r="W699" s="318">
        <v>82.648634248869797</v>
      </c>
      <c r="X699" s="3">
        <v>7.7037245737933402</v>
      </c>
      <c r="Y699" s="318">
        <v>90.352358822663135</v>
      </c>
    </row>
    <row r="700" spans="1:25" x14ac:dyDescent="0.2">
      <c r="A700" s="314">
        <v>2020</v>
      </c>
      <c r="B700" s="5" t="s">
        <v>466</v>
      </c>
      <c r="C700" s="5" t="s">
        <v>218</v>
      </c>
      <c r="D700" s="5" t="s">
        <v>482</v>
      </c>
      <c r="E700" s="5" t="s">
        <v>253</v>
      </c>
      <c r="F700" s="5" t="s">
        <v>221</v>
      </c>
      <c r="G700" s="5" t="s">
        <v>254</v>
      </c>
      <c r="H700" s="3">
        <v>18.223320913290483</v>
      </c>
      <c r="I700" s="3">
        <v>0</v>
      </c>
      <c r="J700" s="318">
        <v>18.223320913290483</v>
      </c>
      <c r="K700" s="3">
        <v>1.8512862638391121</v>
      </c>
      <c r="L700" s="3">
        <v>9.8652502973479894</v>
      </c>
      <c r="M700" s="318">
        <v>11.716536561187102</v>
      </c>
      <c r="N700" s="3">
        <v>12.684955949541854</v>
      </c>
      <c r="O700" s="3">
        <v>53.838487820434914</v>
      </c>
      <c r="P700" s="3">
        <v>5.3163352784349804</v>
      </c>
      <c r="Q700" s="3">
        <v>10.573415878246889</v>
      </c>
      <c r="R700" s="3">
        <v>26.803734164532038</v>
      </c>
      <c r="S700" s="3">
        <v>20.635620626351642</v>
      </c>
      <c r="T700" s="3">
        <v>26.607565010736451</v>
      </c>
      <c r="U700" s="3">
        <v>5.0481381111226487</v>
      </c>
      <c r="V700" s="318">
        <v>161.50825283940142</v>
      </c>
      <c r="W700" s="318">
        <v>191.448110313879</v>
      </c>
      <c r="X700" s="3">
        <v>17.84498347051024</v>
      </c>
      <c r="Y700" s="318">
        <v>209.29309378438924</v>
      </c>
    </row>
    <row r="701" spans="1:25" x14ac:dyDescent="0.2">
      <c r="A701" s="314">
        <v>2020</v>
      </c>
      <c r="B701" s="5" t="s">
        <v>466</v>
      </c>
      <c r="C701" s="5" t="s">
        <v>218</v>
      </c>
      <c r="D701" s="5" t="s">
        <v>482</v>
      </c>
      <c r="E701" s="5" t="s">
        <v>255</v>
      </c>
      <c r="F701" s="5" t="s">
        <v>221</v>
      </c>
      <c r="G701" s="5" t="s">
        <v>256</v>
      </c>
      <c r="H701" s="3">
        <v>26.482844029686252</v>
      </c>
      <c r="I701" s="3">
        <v>2.6245675870422254</v>
      </c>
      <c r="J701" s="318">
        <v>29.107411616728477</v>
      </c>
      <c r="K701" s="3">
        <v>4.4867114547479972</v>
      </c>
      <c r="L701" s="3">
        <v>13.861875336970858</v>
      </c>
      <c r="M701" s="318">
        <v>18.348586791718855</v>
      </c>
      <c r="N701" s="3">
        <v>18.638876773962362</v>
      </c>
      <c r="O701" s="3">
        <v>72.128633655511393</v>
      </c>
      <c r="P701" s="3">
        <v>10.997318446685481</v>
      </c>
      <c r="Q701" s="3">
        <v>18.254004779112268</v>
      </c>
      <c r="R701" s="3">
        <v>29.303158080118887</v>
      </c>
      <c r="S701" s="3">
        <v>33.652185271189254</v>
      </c>
      <c r="T701" s="3">
        <v>71.222636023339064</v>
      </c>
      <c r="U701" s="3">
        <v>8.6768275067321561</v>
      </c>
      <c r="V701" s="318">
        <v>262.87364053665084</v>
      </c>
      <c r="W701" s="318">
        <v>310.32963894509817</v>
      </c>
      <c r="X701" s="3">
        <v>28.925996022135838</v>
      </c>
      <c r="Y701" s="318">
        <v>339.25563496723402</v>
      </c>
    </row>
    <row r="702" spans="1:25" x14ac:dyDescent="0.2">
      <c r="A702" s="314">
        <v>2020</v>
      </c>
      <c r="B702" s="5" t="s">
        <v>466</v>
      </c>
      <c r="C702" s="5" t="s">
        <v>218</v>
      </c>
      <c r="D702" s="5" t="s">
        <v>482</v>
      </c>
      <c r="E702" s="5" t="s">
        <v>257</v>
      </c>
      <c r="F702" s="5" t="s">
        <v>221</v>
      </c>
      <c r="G702" s="5" t="s">
        <v>258</v>
      </c>
      <c r="H702" s="3">
        <v>22.998686163871479</v>
      </c>
      <c r="I702" s="3">
        <v>0</v>
      </c>
      <c r="J702" s="318">
        <v>22.998686163871479</v>
      </c>
      <c r="K702" s="3">
        <v>2.229730623474286</v>
      </c>
      <c r="L702" s="3">
        <v>8.5703058145514781</v>
      </c>
      <c r="M702" s="318">
        <v>10.800036438025764</v>
      </c>
      <c r="N702" s="3">
        <v>16.037424234653983</v>
      </c>
      <c r="O702" s="3">
        <v>29.591269292474458</v>
      </c>
      <c r="P702" s="3">
        <v>9.905530016936396</v>
      </c>
      <c r="Q702" s="3">
        <v>9.7607246237963619</v>
      </c>
      <c r="R702" s="3">
        <v>16.483104808681823</v>
      </c>
      <c r="S702" s="3">
        <v>20.852520293586611</v>
      </c>
      <c r="T702" s="3">
        <v>30.644985117724005</v>
      </c>
      <c r="U702" s="3">
        <v>5.4181484744759771</v>
      </c>
      <c r="V702" s="318">
        <v>138.69370686232961</v>
      </c>
      <c r="W702" s="318">
        <v>172.49242946422683</v>
      </c>
      <c r="X702" s="3">
        <v>16.078114051534378</v>
      </c>
      <c r="Y702" s="318">
        <v>188.57054351576122</v>
      </c>
    </row>
    <row r="703" spans="1:25" x14ac:dyDescent="0.2">
      <c r="A703" s="314">
        <v>2020</v>
      </c>
      <c r="B703" s="5" t="s">
        <v>466</v>
      </c>
      <c r="C703" s="5" t="s">
        <v>218</v>
      </c>
      <c r="D703" s="5" t="s">
        <v>481</v>
      </c>
      <c r="E703" s="5" t="s">
        <v>259</v>
      </c>
      <c r="F703" s="5" t="s">
        <v>221</v>
      </c>
      <c r="G703" s="5" t="s">
        <v>260</v>
      </c>
      <c r="H703" s="3">
        <v>43.998159006323213</v>
      </c>
      <c r="I703" s="3">
        <v>0</v>
      </c>
      <c r="J703" s="318">
        <v>43.998159006323213</v>
      </c>
      <c r="K703" s="3">
        <v>0.969026496799269</v>
      </c>
      <c r="L703" s="3">
        <v>5.2107170956806117</v>
      </c>
      <c r="M703" s="318">
        <v>6.1797435924798805</v>
      </c>
      <c r="N703" s="3">
        <v>4.8798935187760693</v>
      </c>
      <c r="O703" s="3">
        <v>7.9347478043278672</v>
      </c>
      <c r="P703" s="3">
        <v>1.6733133521996153</v>
      </c>
      <c r="Q703" s="3">
        <v>4.583177342068069</v>
      </c>
      <c r="R703" s="3">
        <v>3.7952428533872764</v>
      </c>
      <c r="S703" s="3">
        <v>6.8160448148373227</v>
      </c>
      <c r="T703" s="3">
        <v>12.335142572793757</v>
      </c>
      <c r="U703" s="3">
        <v>2.127726730054663</v>
      </c>
      <c r="V703" s="318">
        <v>44.145288988444634</v>
      </c>
      <c r="W703" s="318">
        <v>94.32319158724772</v>
      </c>
      <c r="X703" s="3">
        <v>8.7919164728270669</v>
      </c>
      <c r="Y703" s="318">
        <v>103.11510806007479</v>
      </c>
    </row>
    <row r="704" spans="1:25" x14ac:dyDescent="0.2">
      <c r="A704" s="314">
        <v>2020</v>
      </c>
      <c r="B704" s="5" t="s">
        <v>466</v>
      </c>
      <c r="C704" s="5" t="s">
        <v>261</v>
      </c>
      <c r="D704" s="5" t="s">
        <v>483</v>
      </c>
      <c r="E704" s="5" t="s">
        <v>263</v>
      </c>
      <c r="F704" s="5" t="s">
        <v>264</v>
      </c>
      <c r="G704" s="5" t="s">
        <v>265</v>
      </c>
      <c r="H704" s="3">
        <v>96.109175030583046</v>
      </c>
      <c r="I704" s="3">
        <v>3.7336994566436346</v>
      </c>
      <c r="J704" s="318">
        <v>99.84287448722668</v>
      </c>
      <c r="K704" s="3">
        <v>4.5596920196984838</v>
      </c>
      <c r="L704" s="3">
        <v>10.610403500978173</v>
      </c>
      <c r="M704" s="318">
        <v>15.170095520676657</v>
      </c>
      <c r="N704" s="3">
        <v>5.874593813847012</v>
      </c>
      <c r="O704" s="3">
        <v>21.719313931130444</v>
      </c>
      <c r="P704" s="3">
        <v>7.8649114817957511</v>
      </c>
      <c r="Q704" s="3">
        <v>12.582224491571976</v>
      </c>
      <c r="R704" s="3">
        <v>19.666671029274447</v>
      </c>
      <c r="S704" s="3">
        <v>18.428911447836033</v>
      </c>
      <c r="T704" s="3">
        <v>35.214340783480779</v>
      </c>
      <c r="U704" s="3">
        <v>6.3232480774705868</v>
      </c>
      <c r="V704" s="318">
        <v>127.67421505640702</v>
      </c>
      <c r="W704" s="318">
        <v>242.68718506431037</v>
      </c>
      <c r="X704" s="3">
        <v>22.621005759090647</v>
      </c>
      <c r="Y704" s="318">
        <v>265.30819082340099</v>
      </c>
    </row>
    <row r="705" spans="1:25" x14ac:dyDescent="0.2">
      <c r="A705" s="314">
        <v>2020</v>
      </c>
      <c r="B705" s="5" t="s">
        <v>466</v>
      </c>
      <c r="C705" s="5" t="s">
        <v>261</v>
      </c>
      <c r="D705" s="5" t="s">
        <v>484</v>
      </c>
      <c r="E705" s="5" t="s">
        <v>266</v>
      </c>
      <c r="F705" s="5" t="s">
        <v>264</v>
      </c>
      <c r="G705" s="5" t="s">
        <v>268</v>
      </c>
      <c r="H705" s="3">
        <v>8.2283133445270344</v>
      </c>
      <c r="I705" s="3">
        <v>0</v>
      </c>
      <c r="J705" s="318">
        <v>8.2283133445270344</v>
      </c>
      <c r="K705" s="3">
        <v>0.7207737933624575</v>
      </c>
      <c r="L705" s="3">
        <v>2.9796731921497943</v>
      </c>
      <c r="M705" s="318">
        <v>3.7004469855122517</v>
      </c>
      <c r="N705" s="3">
        <v>2.6070424472753366</v>
      </c>
      <c r="O705" s="3">
        <v>9.4093945543787108</v>
      </c>
      <c r="P705" s="3">
        <v>1.6182667830264044</v>
      </c>
      <c r="Q705" s="3">
        <v>3.0193981760481847</v>
      </c>
      <c r="R705" s="3">
        <v>6.1413129341708927</v>
      </c>
      <c r="S705" s="3">
        <v>6.2272337268179312</v>
      </c>
      <c r="T705" s="3">
        <v>12.30633498190346</v>
      </c>
      <c r="U705" s="3">
        <v>1.5407814299447853</v>
      </c>
      <c r="V705" s="318">
        <v>42.869765033565706</v>
      </c>
      <c r="W705" s="318">
        <v>54.798525363604995</v>
      </c>
      <c r="X705" s="3">
        <v>5.1078006344311042</v>
      </c>
      <c r="Y705" s="318">
        <v>59.906325998036095</v>
      </c>
    </row>
    <row r="706" spans="1:25" x14ac:dyDescent="0.2">
      <c r="A706" s="314">
        <v>2020</v>
      </c>
      <c r="B706" s="5" t="s">
        <v>466</v>
      </c>
      <c r="C706" s="5" t="s">
        <v>261</v>
      </c>
      <c r="D706" s="5" t="s">
        <v>483</v>
      </c>
      <c r="E706" s="5" t="s">
        <v>269</v>
      </c>
      <c r="F706" s="5" t="s">
        <v>264</v>
      </c>
      <c r="G706" s="5" t="s">
        <v>271</v>
      </c>
      <c r="H706" s="3">
        <v>17.788049081405454</v>
      </c>
      <c r="I706" s="3">
        <v>0</v>
      </c>
      <c r="J706" s="318">
        <v>17.788049081405454</v>
      </c>
      <c r="K706" s="3">
        <v>1.8027243413192584</v>
      </c>
      <c r="L706" s="3">
        <v>2.5276514508094126</v>
      </c>
      <c r="M706" s="318">
        <v>4.3303757921286712</v>
      </c>
      <c r="N706" s="3">
        <v>3.6400284497184354</v>
      </c>
      <c r="O706" s="3">
        <v>6.087089838844701</v>
      </c>
      <c r="P706" s="3">
        <v>1.8234619845616895</v>
      </c>
      <c r="Q706" s="3">
        <v>4.8062465604175459</v>
      </c>
      <c r="R706" s="3">
        <v>7.7623838832147563</v>
      </c>
      <c r="S706" s="3">
        <v>6.2896454958252326</v>
      </c>
      <c r="T706" s="3">
        <v>14.471065413192227</v>
      </c>
      <c r="U706" s="3">
        <v>1.428749425219046</v>
      </c>
      <c r="V706" s="318">
        <v>46.308671050993631</v>
      </c>
      <c r="W706" s="318">
        <v>68.427095924527748</v>
      </c>
      <c r="X706" s="3">
        <v>6.3781271787235525</v>
      </c>
      <c r="Y706" s="318">
        <v>74.805223103251308</v>
      </c>
    </row>
    <row r="707" spans="1:25" x14ac:dyDescent="0.2">
      <c r="A707" s="314">
        <v>2020</v>
      </c>
      <c r="B707" s="5" t="s">
        <v>466</v>
      </c>
      <c r="C707" s="5" t="s">
        <v>261</v>
      </c>
      <c r="D707" s="5" t="s">
        <v>485</v>
      </c>
      <c r="E707" s="5" t="s">
        <v>272</v>
      </c>
      <c r="F707" s="5" t="s">
        <v>264</v>
      </c>
      <c r="G707" s="5" t="s">
        <v>273</v>
      </c>
      <c r="H707" s="3">
        <v>16.022415055649187</v>
      </c>
      <c r="I707" s="3">
        <v>0</v>
      </c>
      <c r="J707" s="318">
        <v>16.022415055649187</v>
      </c>
      <c r="K707" s="3">
        <v>9.8737769376016153</v>
      </c>
      <c r="L707" s="3">
        <v>4.9513087869422812</v>
      </c>
      <c r="M707" s="318">
        <v>14.825085724543897</v>
      </c>
      <c r="N707" s="3">
        <v>18.093931992546949</v>
      </c>
      <c r="O707" s="3">
        <v>19.868731751001214</v>
      </c>
      <c r="P707" s="3">
        <v>4.2088197921405817</v>
      </c>
      <c r="Q707" s="3">
        <v>11.291762897762352</v>
      </c>
      <c r="R707" s="3">
        <v>20.581079384480091</v>
      </c>
      <c r="S707" s="3">
        <v>16.349167193688707</v>
      </c>
      <c r="T707" s="3">
        <v>24.652864513781722</v>
      </c>
      <c r="U707" s="3">
        <v>3.5582548666874572</v>
      </c>
      <c r="V707" s="318">
        <v>118.60461239208909</v>
      </c>
      <c r="W707" s="318">
        <v>149.4521131722822</v>
      </c>
      <c r="X707" s="3">
        <v>13.930513520450553</v>
      </c>
      <c r="Y707" s="318">
        <v>163.38262669273274</v>
      </c>
    </row>
    <row r="708" spans="1:25" x14ac:dyDescent="0.2">
      <c r="A708" s="314">
        <v>2020</v>
      </c>
      <c r="B708" s="5" t="s">
        <v>466</v>
      </c>
      <c r="C708" s="5" t="s">
        <v>261</v>
      </c>
      <c r="D708" s="5" t="s">
        <v>484</v>
      </c>
      <c r="E708" s="5" t="s">
        <v>274</v>
      </c>
      <c r="F708" s="5" t="s">
        <v>264</v>
      </c>
      <c r="G708" s="5" t="s">
        <v>275</v>
      </c>
      <c r="H708" s="3">
        <v>16.821252187412828</v>
      </c>
      <c r="I708" s="3">
        <v>0.66026465622704933</v>
      </c>
      <c r="J708" s="318">
        <v>17.481516843639877</v>
      </c>
      <c r="K708" s="3">
        <v>1.9255566180714199</v>
      </c>
      <c r="L708" s="3">
        <v>2.4536656884988464</v>
      </c>
      <c r="M708" s="318">
        <v>4.3792223065702665</v>
      </c>
      <c r="N708" s="3">
        <v>2.2610315810002262</v>
      </c>
      <c r="O708" s="3">
        <v>4.6116393110923362</v>
      </c>
      <c r="P708" s="3">
        <v>1.1299896793274253</v>
      </c>
      <c r="Q708" s="3">
        <v>2.4773338263114426</v>
      </c>
      <c r="R708" s="3">
        <v>6.0594577433905901</v>
      </c>
      <c r="S708" s="3">
        <v>5.8474703266013917</v>
      </c>
      <c r="T708" s="3">
        <v>8.2838872258071081</v>
      </c>
      <c r="U708" s="3">
        <v>1.3133678243724096</v>
      </c>
      <c r="V708" s="318">
        <v>31.984177517902932</v>
      </c>
      <c r="W708" s="318">
        <v>53.844916668113072</v>
      </c>
      <c r="X708" s="3">
        <v>5.018914244377485</v>
      </c>
      <c r="Y708" s="318">
        <v>58.863830912490556</v>
      </c>
    </row>
    <row r="709" spans="1:25" x14ac:dyDescent="0.2">
      <c r="A709" s="314">
        <v>2020</v>
      </c>
      <c r="B709" s="5" t="s">
        <v>466</v>
      </c>
      <c r="C709" s="5" t="s">
        <v>261</v>
      </c>
      <c r="D709" s="5" t="s">
        <v>486</v>
      </c>
      <c r="E709" s="5" t="s">
        <v>276</v>
      </c>
      <c r="F709" s="5" t="s">
        <v>264</v>
      </c>
      <c r="G709" s="5" t="s">
        <v>277</v>
      </c>
      <c r="H709" s="3">
        <v>149.62792023272814</v>
      </c>
      <c r="I709" s="3">
        <v>0</v>
      </c>
      <c r="J709" s="318">
        <v>149.62792023272814</v>
      </c>
      <c r="K709" s="3">
        <v>27.582724982852049</v>
      </c>
      <c r="L709" s="3">
        <v>21.458520888238738</v>
      </c>
      <c r="M709" s="318">
        <v>49.041245871090787</v>
      </c>
      <c r="N709" s="3">
        <v>29.982118552183881</v>
      </c>
      <c r="O709" s="3">
        <v>138.92445348765222</v>
      </c>
      <c r="P709" s="3">
        <v>34.0897982077854</v>
      </c>
      <c r="Q709" s="3">
        <v>62.982271423219487</v>
      </c>
      <c r="R709" s="3">
        <v>87.159294478712852</v>
      </c>
      <c r="S709" s="3">
        <v>76.456996203386339</v>
      </c>
      <c r="T709" s="3">
        <v>69.892049977246103</v>
      </c>
      <c r="U709" s="3">
        <v>24.409771894144164</v>
      </c>
      <c r="V709" s="318">
        <v>523.89675422433038</v>
      </c>
      <c r="W709" s="318">
        <v>722.56592032814933</v>
      </c>
      <c r="X709" s="3">
        <v>67.350766134331934</v>
      </c>
      <c r="Y709" s="318">
        <v>789.91668646248127</v>
      </c>
    </row>
    <row r="710" spans="1:25" x14ac:dyDescent="0.2">
      <c r="A710" s="314">
        <v>2020</v>
      </c>
      <c r="B710" s="5" t="s">
        <v>466</v>
      </c>
      <c r="C710" s="5" t="s">
        <v>261</v>
      </c>
      <c r="D710" s="5" t="s">
        <v>484</v>
      </c>
      <c r="E710" s="5" t="s">
        <v>278</v>
      </c>
      <c r="F710" s="5" t="s">
        <v>264</v>
      </c>
      <c r="G710" s="5" t="s">
        <v>279</v>
      </c>
      <c r="H710" s="3">
        <v>316.61189210571325</v>
      </c>
      <c r="I710" s="3">
        <v>0</v>
      </c>
      <c r="J710" s="318">
        <v>316.61189210571325</v>
      </c>
      <c r="K710" s="3">
        <v>5.6486007165929788</v>
      </c>
      <c r="L710" s="3">
        <v>26.501734222388492</v>
      </c>
      <c r="M710" s="318">
        <v>32.150334938981473</v>
      </c>
      <c r="N710" s="3">
        <v>6.910975304176401</v>
      </c>
      <c r="O710" s="3">
        <v>38.417288784829175</v>
      </c>
      <c r="P710" s="3">
        <v>12.709993391027336</v>
      </c>
      <c r="Q710" s="3">
        <v>12.303772500332393</v>
      </c>
      <c r="R710" s="3">
        <v>27.239694894249084</v>
      </c>
      <c r="S710" s="3">
        <v>20.980239883115065</v>
      </c>
      <c r="T710" s="3">
        <v>27.5366177219504</v>
      </c>
      <c r="U710" s="3">
        <v>6.5988989469140096</v>
      </c>
      <c r="V710" s="318">
        <v>152.69748142659387</v>
      </c>
      <c r="W710" s="318">
        <v>501.45970847128859</v>
      </c>
      <c r="X710" s="3">
        <v>46.741334736216025</v>
      </c>
      <c r="Y710" s="318">
        <v>548.20104320750465</v>
      </c>
    </row>
    <row r="711" spans="1:25" x14ac:dyDescent="0.2">
      <c r="A711" s="314">
        <v>2020</v>
      </c>
      <c r="B711" s="5" t="s">
        <v>466</v>
      </c>
      <c r="C711" s="5" t="s">
        <v>261</v>
      </c>
      <c r="D711" s="5" t="s">
        <v>486</v>
      </c>
      <c r="E711" s="5" t="s">
        <v>280</v>
      </c>
      <c r="F711" s="5" t="s">
        <v>264</v>
      </c>
      <c r="G711" s="5" t="s">
        <v>281</v>
      </c>
      <c r="H711" s="3">
        <v>75.50355733996777</v>
      </c>
      <c r="I711" s="3">
        <v>0</v>
      </c>
      <c r="J711" s="318">
        <v>75.50355733996777</v>
      </c>
      <c r="K711" s="3">
        <v>19.178658748436526</v>
      </c>
      <c r="L711" s="3">
        <v>24.558999736705303</v>
      </c>
      <c r="M711" s="318">
        <v>43.737658485141829</v>
      </c>
      <c r="N711" s="3">
        <v>46.296647760160724</v>
      </c>
      <c r="O711" s="3">
        <v>102.8931942037904</v>
      </c>
      <c r="P711" s="3">
        <v>22.819234075256002</v>
      </c>
      <c r="Q711" s="3">
        <v>40.074542518986199</v>
      </c>
      <c r="R711" s="3">
        <v>77.59213622010418</v>
      </c>
      <c r="S711" s="3">
        <v>59.353054384425924</v>
      </c>
      <c r="T711" s="3">
        <v>66.132736832248327</v>
      </c>
      <c r="U711" s="3">
        <v>14.06658394480727</v>
      </c>
      <c r="V711" s="318">
        <v>429.22812993977902</v>
      </c>
      <c r="W711" s="318">
        <v>548.46934576488866</v>
      </c>
      <c r="X711" s="3">
        <v>51.123128837414612</v>
      </c>
      <c r="Y711" s="318">
        <v>599.59247460230324</v>
      </c>
    </row>
    <row r="712" spans="1:25" x14ac:dyDescent="0.2">
      <c r="A712" s="314">
        <v>2020</v>
      </c>
      <c r="B712" s="5" t="s">
        <v>466</v>
      </c>
      <c r="C712" s="5" t="s">
        <v>261</v>
      </c>
      <c r="D712" s="5" t="s">
        <v>486</v>
      </c>
      <c r="E712" s="5" t="s">
        <v>282</v>
      </c>
      <c r="F712" s="5" t="s">
        <v>264</v>
      </c>
      <c r="G712" s="5" t="s">
        <v>284</v>
      </c>
      <c r="H712" s="3">
        <v>135.08791876993646</v>
      </c>
      <c r="I712" s="3">
        <v>0</v>
      </c>
      <c r="J712" s="318">
        <v>135.08791876993646</v>
      </c>
      <c r="K712" s="3">
        <v>27.439451066236057</v>
      </c>
      <c r="L712" s="3">
        <v>14.830384751288687</v>
      </c>
      <c r="M712" s="318">
        <v>42.269835817524744</v>
      </c>
      <c r="N712" s="3">
        <v>13.9467209924708</v>
      </c>
      <c r="O712" s="3">
        <v>79.006598815774794</v>
      </c>
      <c r="P712" s="3">
        <v>16.187084240184703</v>
      </c>
      <c r="Q712" s="3">
        <v>25.448183109466431</v>
      </c>
      <c r="R712" s="3">
        <v>53.857131377198634</v>
      </c>
      <c r="S712" s="3">
        <v>43.979638487581035</v>
      </c>
      <c r="T712" s="3">
        <v>59.738208437432455</v>
      </c>
      <c r="U712" s="3">
        <v>10.498022272344786</v>
      </c>
      <c r="V712" s="318">
        <v>302.66158773245365</v>
      </c>
      <c r="W712" s="318">
        <v>480.01934231991481</v>
      </c>
      <c r="X712" s="3">
        <v>44.742866436133689</v>
      </c>
      <c r="Y712" s="318">
        <v>524.76220875604849</v>
      </c>
    </row>
    <row r="713" spans="1:25" x14ac:dyDescent="0.2">
      <c r="A713" s="314">
        <v>2020</v>
      </c>
      <c r="B713" s="5" t="s">
        <v>466</v>
      </c>
      <c r="C713" s="5" t="s">
        <v>261</v>
      </c>
      <c r="D713" s="5" t="s">
        <v>484</v>
      </c>
      <c r="E713" s="5" t="s">
        <v>285</v>
      </c>
      <c r="F713" s="5" t="s">
        <v>264</v>
      </c>
      <c r="G713" s="5" t="s">
        <v>286</v>
      </c>
      <c r="H713" s="3">
        <v>16.533509274806676</v>
      </c>
      <c r="I713" s="3">
        <v>0</v>
      </c>
      <c r="J713" s="318">
        <v>16.533509274806676</v>
      </c>
      <c r="K713" s="3">
        <v>1.2351864762683129</v>
      </c>
      <c r="L713" s="3">
        <v>4.254149117713526</v>
      </c>
      <c r="M713" s="318">
        <v>5.4893355939818385</v>
      </c>
      <c r="N713" s="3">
        <v>2.7924762290597878</v>
      </c>
      <c r="O713" s="3">
        <v>8.4960212032897076</v>
      </c>
      <c r="P713" s="3">
        <v>2.8716371094206581</v>
      </c>
      <c r="Q713" s="3">
        <v>7.8785883716666394</v>
      </c>
      <c r="R713" s="3">
        <v>16.753235106539186</v>
      </c>
      <c r="S713" s="3">
        <v>10.924179101715938</v>
      </c>
      <c r="T713" s="3">
        <v>15.065179317551378</v>
      </c>
      <c r="U713" s="3">
        <v>2.5670764725382478</v>
      </c>
      <c r="V713" s="318">
        <v>67.348392911781545</v>
      </c>
      <c r="W713" s="318">
        <v>89.371237780570056</v>
      </c>
      <c r="X713" s="3">
        <v>8.3303421398027577</v>
      </c>
      <c r="Y713" s="318">
        <v>97.701579920372808</v>
      </c>
    </row>
    <row r="714" spans="1:25" x14ac:dyDescent="0.2">
      <c r="A714" s="314">
        <v>2020</v>
      </c>
      <c r="B714" s="5" t="s">
        <v>466</v>
      </c>
      <c r="C714" s="5" t="s">
        <v>261</v>
      </c>
      <c r="D714" s="5" t="s">
        <v>486</v>
      </c>
      <c r="E714" s="5" t="s">
        <v>287</v>
      </c>
      <c r="F714" s="5" t="s">
        <v>264</v>
      </c>
      <c r="G714" s="5" t="s">
        <v>288</v>
      </c>
      <c r="H714" s="3">
        <v>96.627121338819578</v>
      </c>
      <c r="I714" s="3">
        <v>0</v>
      </c>
      <c r="J714" s="318">
        <v>96.627121338819578</v>
      </c>
      <c r="K714" s="3">
        <v>511.90681720276086</v>
      </c>
      <c r="L714" s="3">
        <v>121.45763832917123</v>
      </c>
      <c r="M714" s="318">
        <v>633.36445553193209</v>
      </c>
      <c r="N714" s="3">
        <v>60.05919908915601</v>
      </c>
      <c r="O714" s="3">
        <v>134.81275396261793</v>
      </c>
      <c r="P714" s="3">
        <v>33.997734471765931</v>
      </c>
      <c r="Q714" s="3">
        <v>41.114412002675465</v>
      </c>
      <c r="R714" s="3">
        <v>89.309194412749108</v>
      </c>
      <c r="S714" s="3">
        <v>81.673045003815645</v>
      </c>
      <c r="T714" s="3">
        <v>60.45583312989848</v>
      </c>
      <c r="U714" s="3">
        <v>17.582048840476602</v>
      </c>
      <c r="V714" s="318">
        <v>519.00422091315522</v>
      </c>
      <c r="W714" s="318">
        <v>1248.9957977839067</v>
      </c>
      <c r="X714" s="3">
        <v>116.41958403062273</v>
      </c>
      <c r="Y714" s="318">
        <v>1365.4153818145294</v>
      </c>
    </row>
    <row r="715" spans="1:25" x14ac:dyDescent="0.2">
      <c r="A715" s="314">
        <v>2020</v>
      </c>
      <c r="B715" s="5" t="s">
        <v>466</v>
      </c>
      <c r="C715" s="5" t="s">
        <v>261</v>
      </c>
      <c r="D715" s="5" t="s">
        <v>484</v>
      </c>
      <c r="E715" s="5" t="s">
        <v>289</v>
      </c>
      <c r="F715" s="5" t="s">
        <v>264</v>
      </c>
      <c r="G715" s="5" t="s">
        <v>290</v>
      </c>
      <c r="H715" s="3">
        <v>4.6137418684637019</v>
      </c>
      <c r="I715" s="3">
        <v>0</v>
      </c>
      <c r="J715" s="318">
        <v>4.6137418684637019</v>
      </c>
      <c r="K715" s="3">
        <v>7.1318294354875684</v>
      </c>
      <c r="L715" s="3">
        <v>16.262252710936096</v>
      </c>
      <c r="M715" s="318">
        <v>23.394082146423663</v>
      </c>
      <c r="N715" s="3">
        <v>43.928267110014254</v>
      </c>
      <c r="O715" s="3">
        <v>121.78019265410225</v>
      </c>
      <c r="P715" s="3">
        <v>10.370901176166569</v>
      </c>
      <c r="Q715" s="3">
        <v>17.890204725809252</v>
      </c>
      <c r="R715" s="3">
        <v>53.110904708861952</v>
      </c>
      <c r="S715" s="3">
        <v>47.261695306131372</v>
      </c>
      <c r="T715" s="3">
        <v>52.604544625341696</v>
      </c>
      <c r="U715" s="3">
        <v>10.993528417651401</v>
      </c>
      <c r="V715" s="318">
        <v>357.94023872407871</v>
      </c>
      <c r="W715" s="318">
        <v>385.94806273896609</v>
      </c>
      <c r="X715" s="3">
        <v>35.974430819717583</v>
      </c>
      <c r="Y715" s="318">
        <v>421.92249355868364</v>
      </c>
    </row>
    <row r="716" spans="1:25" x14ac:dyDescent="0.2">
      <c r="A716" s="314">
        <v>2020</v>
      </c>
      <c r="B716" s="5" t="s">
        <v>466</v>
      </c>
      <c r="C716" s="5" t="s">
        <v>261</v>
      </c>
      <c r="D716" s="5" t="s">
        <v>486</v>
      </c>
      <c r="E716" s="5" t="s">
        <v>291</v>
      </c>
      <c r="F716" s="5" t="s">
        <v>264</v>
      </c>
      <c r="G716" s="5" t="s">
        <v>292</v>
      </c>
      <c r="H716" s="3">
        <v>60.590139590573379</v>
      </c>
      <c r="I716" s="3">
        <v>0</v>
      </c>
      <c r="J716" s="318">
        <v>60.590139590573379</v>
      </c>
      <c r="K716" s="3">
        <v>48.520175578705732</v>
      </c>
      <c r="L716" s="3">
        <v>36.664268738422265</v>
      </c>
      <c r="M716" s="318">
        <v>85.184444317127998</v>
      </c>
      <c r="N716" s="3">
        <v>75.385755332455162</v>
      </c>
      <c r="O716" s="3">
        <v>149.78062085738372</v>
      </c>
      <c r="P716" s="3">
        <v>37.979469723696859</v>
      </c>
      <c r="Q716" s="3">
        <v>96.171749964700822</v>
      </c>
      <c r="R716" s="3">
        <v>130.40211798901714</v>
      </c>
      <c r="S716" s="3">
        <v>98.66905322943893</v>
      </c>
      <c r="T716" s="3">
        <v>92.045682639216835</v>
      </c>
      <c r="U716" s="3">
        <v>27.369731881861686</v>
      </c>
      <c r="V716" s="318">
        <v>707.80418161777106</v>
      </c>
      <c r="W716" s="318">
        <v>853.57876552547248</v>
      </c>
      <c r="X716" s="3">
        <v>79.562545363375904</v>
      </c>
      <c r="Y716" s="318">
        <v>933.14131088884835</v>
      </c>
    </row>
    <row r="717" spans="1:25" x14ac:dyDescent="0.2">
      <c r="A717" s="314">
        <v>2020</v>
      </c>
      <c r="B717" s="5" t="s">
        <v>466</v>
      </c>
      <c r="C717" s="5" t="s">
        <v>261</v>
      </c>
      <c r="D717" s="5" t="s">
        <v>486</v>
      </c>
      <c r="E717" s="5" t="s">
        <v>293</v>
      </c>
      <c r="F717" s="5" t="s">
        <v>264</v>
      </c>
      <c r="G717" s="5" t="s">
        <v>295</v>
      </c>
      <c r="H717" s="3">
        <v>51.178915364899126</v>
      </c>
      <c r="I717" s="3">
        <v>0</v>
      </c>
      <c r="J717" s="318">
        <v>51.178915364899126</v>
      </c>
      <c r="K717" s="3">
        <v>25.48507381968173</v>
      </c>
      <c r="L717" s="3">
        <v>8.2125438371365718</v>
      </c>
      <c r="M717" s="318">
        <v>33.697617656818302</v>
      </c>
      <c r="N717" s="3">
        <v>31.292973099117614</v>
      </c>
      <c r="O717" s="3">
        <v>46.132219470539745</v>
      </c>
      <c r="P717" s="3">
        <v>8.4174851631787675</v>
      </c>
      <c r="Q717" s="3">
        <v>19.13328645798461</v>
      </c>
      <c r="R717" s="3">
        <v>25.527082927334593</v>
      </c>
      <c r="S717" s="3">
        <v>24.803308060515381</v>
      </c>
      <c r="T717" s="3">
        <v>27.956473627525536</v>
      </c>
      <c r="U717" s="3">
        <v>7.7468254221042043</v>
      </c>
      <c r="V717" s="318">
        <v>191.00965422830043</v>
      </c>
      <c r="W717" s="318">
        <v>275.88618725001788</v>
      </c>
      <c r="X717" s="3">
        <v>25.715502979617327</v>
      </c>
      <c r="Y717" s="318">
        <v>301.60169022963521</v>
      </c>
    </row>
    <row r="718" spans="1:25" x14ac:dyDescent="0.2">
      <c r="A718" s="314">
        <v>2020</v>
      </c>
      <c r="B718" s="5" t="s">
        <v>466</v>
      </c>
      <c r="C718" s="5" t="s">
        <v>261</v>
      </c>
      <c r="D718" s="5" t="s">
        <v>486</v>
      </c>
      <c r="E718" s="5" t="s">
        <v>296</v>
      </c>
      <c r="F718" s="5" t="s">
        <v>264</v>
      </c>
      <c r="G718" s="5" t="s">
        <v>297</v>
      </c>
      <c r="H718" s="3">
        <v>202.00536494868157</v>
      </c>
      <c r="I718" s="3">
        <v>0</v>
      </c>
      <c r="J718" s="318">
        <v>202.00536494868157</v>
      </c>
      <c r="K718" s="3">
        <v>350.634779543273</v>
      </c>
      <c r="L718" s="3">
        <v>128.96494766749112</v>
      </c>
      <c r="M718" s="318">
        <v>479.59972721076412</v>
      </c>
      <c r="N718" s="3">
        <v>46.810643869294644</v>
      </c>
      <c r="O718" s="3">
        <v>123.94861542693971</v>
      </c>
      <c r="P718" s="3">
        <v>51.589433200157963</v>
      </c>
      <c r="Q718" s="3">
        <v>63.283734800555735</v>
      </c>
      <c r="R718" s="3">
        <v>86.393864853024397</v>
      </c>
      <c r="S718" s="3">
        <v>95.806855738030762</v>
      </c>
      <c r="T718" s="3">
        <v>108.08208467721488</v>
      </c>
      <c r="U718" s="3">
        <v>21.984276118238604</v>
      </c>
      <c r="V718" s="318">
        <v>597.8995086834567</v>
      </c>
      <c r="W718" s="318">
        <v>1279.5046008429024</v>
      </c>
      <c r="X718" s="3">
        <v>119.26332631358514</v>
      </c>
      <c r="Y718" s="318">
        <v>1398.7679271564875</v>
      </c>
    </row>
    <row r="719" spans="1:25" x14ac:dyDescent="0.2">
      <c r="A719" s="314">
        <v>2020</v>
      </c>
      <c r="B719" s="5" t="s">
        <v>466</v>
      </c>
      <c r="C719" s="5" t="s">
        <v>261</v>
      </c>
      <c r="D719" s="5" t="s">
        <v>483</v>
      </c>
      <c r="E719" s="5" t="s">
        <v>298</v>
      </c>
      <c r="F719" s="5" t="s">
        <v>264</v>
      </c>
      <c r="G719" s="5" t="s">
        <v>299</v>
      </c>
      <c r="H719" s="3">
        <v>21.921640097725085</v>
      </c>
      <c r="I719" s="3">
        <v>0</v>
      </c>
      <c r="J719" s="318">
        <v>21.921640097725085</v>
      </c>
      <c r="K719" s="3">
        <v>6.5931631313079535</v>
      </c>
      <c r="L719" s="3">
        <v>4.2517379374950774</v>
      </c>
      <c r="M719" s="318">
        <v>10.844901068803031</v>
      </c>
      <c r="N719" s="3">
        <v>12.214189299144493</v>
      </c>
      <c r="O719" s="3">
        <v>4.2175938305350043</v>
      </c>
      <c r="P719" s="3">
        <v>1.943642577644711</v>
      </c>
      <c r="Q719" s="3">
        <v>4.2201739599036694</v>
      </c>
      <c r="R719" s="3">
        <v>6.3988498559370148</v>
      </c>
      <c r="S719" s="3">
        <v>23.271870299580151</v>
      </c>
      <c r="T719" s="3">
        <v>12.831344457202393</v>
      </c>
      <c r="U719" s="3">
        <v>1.50898347810834</v>
      </c>
      <c r="V719" s="318">
        <v>66.606647758055772</v>
      </c>
      <c r="W719" s="318">
        <v>99.373188924583886</v>
      </c>
      <c r="X719" s="3">
        <v>9.262629497171563</v>
      </c>
      <c r="Y719" s="318">
        <v>108.63581842175545</v>
      </c>
    </row>
    <row r="720" spans="1:25" x14ac:dyDescent="0.2">
      <c r="A720" s="314">
        <v>2020</v>
      </c>
      <c r="B720" s="5" t="s">
        <v>466</v>
      </c>
      <c r="C720" s="5" t="s">
        <v>261</v>
      </c>
      <c r="D720" s="5" t="s">
        <v>486</v>
      </c>
      <c r="E720" s="5" t="s">
        <v>300</v>
      </c>
      <c r="F720" s="5" t="s">
        <v>264</v>
      </c>
      <c r="G720" s="5" t="s">
        <v>301</v>
      </c>
      <c r="H720" s="3">
        <v>50.778165563838421</v>
      </c>
      <c r="I720" s="3">
        <v>0</v>
      </c>
      <c r="J720" s="318">
        <v>50.778165563838421</v>
      </c>
      <c r="K720" s="3">
        <v>1348.705115035636</v>
      </c>
      <c r="L720" s="3">
        <v>397.14972718029753</v>
      </c>
      <c r="M720" s="318">
        <v>1745.8548422159336</v>
      </c>
      <c r="N720" s="3">
        <v>193.78143504884321</v>
      </c>
      <c r="O720" s="3">
        <v>536.37936842993008</v>
      </c>
      <c r="P720" s="3">
        <v>74.113347405594638</v>
      </c>
      <c r="Q720" s="3">
        <v>125.82249819732313</v>
      </c>
      <c r="R720" s="3">
        <v>234.20733344483926</v>
      </c>
      <c r="S720" s="3">
        <v>248.26984247996864</v>
      </c>
      <c r="T720" s="3">
        <v>358.29697409576676</v>
      </c>
      <c r="U720" s="3">
        <v>45.521287683726484</v>
      </c>
      <c r="V720" s="318">
        <v>1816.3920867859922</v>
      </c>
      <c r="W720" s="318">
        <v>3613.025094565764</v>
      </c>
      <c r="X720" s="3">
        <v>336.77205267452933</v>
      </c>
      <c r="Y720" s="318">
        <v>3949.7971472402933</v>
      </c>
    </row>
    <row r="721" spans="1:25" x14ac:dyDescent="0.2">
      <c r="A721" s="314">
        <v>2020</v>
      </c>
      <c r="B721" s="5" t="s">
        <v>466</v>
      </c>
      <c r="C721" s="5" t="s">
        <v>261</v>
      </c>
      <c r="D721" s="5" t="s">
        <v>484</v>
      </c>
      <c r="E721" s="5" t="s">
        <v>302</v>
      </c>
      <c r="F721" s="5" t="s">
        <v>264</v>
      </c>
      <c r="G721" s="5" t="s">
        <v>303</v>
      </c>
      <c r="H721" s="3">
        <v>17.413697341177667</v>
      </c>
      <c r="I721" s="3">
        <v>0.66146632839646813</v>
      </c>
      <c r="J721" s="318">
        <v>18.075163669574135</v>
      </c>
      <c r="K721" s="3">
        <v>5.3189627357455969</v>
      </c>
      <c r="L721" s="3">
        <v>47.956197767527129</v>
      </c>
      <c r="M721" s="318">
        <v>53.27516050327273</v>
      </c>
      <c r="N721" s="3">
        <v>123.78222646719158</v>
      </c>
      <c r="O721" s="3">
        <v>137.47126561654656</v>
      </c>
      <c r="P721" s="3">
        <v>36.116165890805433</v>
      </c>
      <c r="Q721" s="3">
        <v>72.871969116383568</v>
      </c>
      <c r="R721" s="3">
        <v>122.43616123049877</v>
      </c>
      <c r="S721" s="3">
        <v>96.328468757963478</v>
      </c>
      <c r="T721" s="3">
        <v>192.11541117358703</v>
      </c>
      <c r="U721" s="3">
        <v>31.558577588991465</v>
      </c>
      <c r="V721" s="318">
        <v>812.68024584196792</v>
      </c>
      <c r="W721" s="318">
        <v>884.03057001481477</v>
      </c>
      <c r="X721" s="3">
        <v>82.400974778367782</v>
      </c>
      <c r="Y721" s="318">
        <v>966.43154479318252</v>
      </c>
    </row>
    <row r="722" spans="1:25" x14ac:dyDescent="0.2">
      <c r="A722" s="314">
        <v>2020</v>
      </c>
      <c r="B722" s="5" t="s">
        <v>466</v>
      </c>
      <c r="C722" s="5" t="s">
        <v>261</v>
      </c>
      <c r="D722" s="5" t="s">
        <v>485</v>
      </c>
      <c r="E722" s="5" t="s">
        <v>304</v>
      </c>
      <c r="F722" s="5" t="s">
        <v>264</v>
      </c>
      <c r="G722" s="5" t="s">
        <v>305</v>
      </c>
      <c r="H722" s="3">
        <v>5.9144430577372304</v>
      </c>
      <c r="I722" s="3">
        <v>0</v>
      </c>
      <c r="J722" s="318">
        <v>5.9144430577372304</v>
      </c>
      <c r="K722" s="3">
        <v>1.1974122516300263</v>
      </c>
      <c r="L722" s="3">
        <v>3.2605130283384396</v>
      </c>
      <c r="M722" s="318">
        <v>4.4579252799684657</v>
      </c>
      <c r="N722" s="3">
        <v>4.4469920934396399</v>
      </c>
      <c r="O722" s="3">
        <v>12.257418049819346</v>
      </c>
      <c r="P722" s="3">
        <v>3.2165535533088554</v>
      </c>
      <c r="Q722" s="3">
        <v>5.0914970886210762</v>
      </c>
      <c r="R722" s="3">
        <v>8.4213022706986589</v>
      </c>
      <c r="S722" s="3">
        <v>8.8158389707768645</v>
      </c>
      <c r="T722" s="3">
        <v>16.414689779713463</v>
      </c>
      <c r="U722" s="3">
        <v>2.024153236471177</v>
      </c>
      <c r="V722" s="318">
        <v>60.688445042849082</v>
      </c>
      <c r="W722" s="318">
        <v>71.060813380554777</v>
      </c>
      <c r="X722" s="3">
        <v>6.6236174287539251</v>
      </c>
      <c r="Y722" s="318">
        <v>77.684430809308708</v>
      </c>
    </row>
    <row r="723" spans="1:25" x14ac:dyDescent="0.2">
      <c r="A723" s="314">
        <v>2020</v>
      </c>
      <c r="B723" s="5" t="s">
        <v>466</v>
      </c>
      <c r="C723" s="5" t="s">
        <v>261</v>
      </c>
      <c r="D723" s="5" t="s">
        <v>485</v>
      </c>
      <c r="E723" s="5" t="s">
        <v>306</v>
      </c>
      <c r="F723" s="5" t="s">
        <v>264</v>
      </c>
      <c r="G723" s="5" t="s">
        <v>307</v>
      </c>
      <c r="H723" s="3">
        <v>6.5931132761163838</v>
      </c>
      <c r="I723" s="3">
        <v>0.31262020039143579</v>
      </c>
      <c r="J723" s="318">
        <v>6.9057334765078195</v>
      </c>
      <c r="K723" s="3">
        <v>2.432829566621308</v>
      </c>
      <c r="L723" s="3">
        <v>6.5000156485892973</v>
      </c>
      <c r="M723" s="318">
        <v>8.9328452152106053</v>
      </c>
      <c r="N723" s="3">
        <v>7.7727597489943978</v>
      </c>
      <c r="O723" s="3">
        <v>21.298393900412691</v>
      </c>
      <c r="P723" s="3">
        <v>6.2904783260392936</v>
      </c>
      <c r="Q723" s="3">
        <v>8.5238317608654146</v>
      </c>
      <c r="R723" s="3">
        <v>11.20773825377559</v>
      </c>
      <c r="S723" s="3">
        <v>13.295405894304643</v>
      </c>
      <c r="T723" s="3">
        <v>27.587860461660256</v>
      </c>
      <c r="U723" s="3">
        <v>3.294119308428221</v>
      </c>
      <c r="V723" s="318">
        <v>99.270587654480508</v>
      </c>
      <c r="W723" s="318">
        <v>115.10916634619893</v>
      </c>
      <c r="X723" s="3">
        <v>10.729388591950078</v>
      </c>
      <c r="Y723" s="318">
        <v>125.83855493814902</v>
      </c>
    </row>
    <row r="724" spans="1:25" x14ac:dyDescent="0.2">
      <c r="A724" s="314">
        <v>2020</v>
      </c>
      <c r="B724" s="5" t="s">
        <v>466</v>
      </c>
      <c r="C724" s="5" t="s">
        <v>261</v>
      </c>
      <c r="D724" s="5" t="s">
        <v>484</v>
      </c>
      <c r="E724" s="5" t="s">
        <v>308</v>
      </c>
      <c r="F724" s="5" t="s">
        <v>264</v>
      </c>
      <c r="G724" s="5" t="s">
        <v>309</v>
      </c>
      <c r="H724" s="3">
        <v>14.277993105225628</v>
      </c>
      <c r="I724" s="3">
        <v>0</v>
      </c>
      <c r="J724" s="318">
        <v>14.277993105225628</v>
      </c>
      <c r="K724" s="3">
        <v>3.6914718162648015</v>
      </c>
      <c r="L724" s="3">
        <v>11.450153765212226</v>
      </c>
      <c r="M724" s="318">
        <v>15.141625581477028</v>
      </c>
      <c r="N724" s="3">
        <v>12.266185762335702</v>
      </c>
      <c r="O724" s="3">
        <v>42.38413986520375</v>
      </c>
      <c r="P724" s="3">
        <v>8.1355742209931154</v>
      </c>
      <c r="Q724" s="3">
        <v>15.511585101393376</v>
      </c>
      <c r="R724" s="3">
        <v>33.059943055616664</v>
      </c>
      <c r="S724" s="3">
        <v>25.654958106410017</v>
      </c>
      <c r="T724" s="3">
        <v>45.411161243140867</v>
      </c>
      <c r="U724" s="3">
        <v>8.2720013839595126</v>
      </c>
      <c r="V724" s="318">
        <v>190.69554873905301</v>
      </c>
      <c r="W724" s="318">
        <v>220.11516742575566</v>
      </c>
      <c r="X724" s="3">
        <v>20.517055602592947</v>
      </c>
      <c r="Y724" s="318">
        <v>240.63222302834862</v>
      </c>
    </row>
    <row r="725" spans="1:25" x14ac:dyDescent="0.2">
      <c r="A725" s="314">
        <v>2020</v>
      </c>
      <c r="B725" s="5" t="s">
        <v>466</v>
      </c>
      <c r="C725" s="5" t="s">
        <v>261</v>
      </c>
      <c r="D725" s="5" t="s">
        <v>486</v>
      </c>
      <c r="E725" s="5" t="s">
        <v>310</v>
      </c>
      <c r="F725" s="5" t="s">
        <v>264</v>
      </c>
      <c r="G725" s="5" t="s">
        <v>311</v>
      </c>
      <c r="H725" s="3">
        <v>107.92430675006638</v>
      </c>
      <c r="I725" s="3">
        <v>4.223550463285406</v>
      </c>
      <c r="J725" s="318">
        <v>112.14785721335178</v>
      </c>
      <c r="K725" s="3">
        <v>4.8381238987507516</v>
      </c>
      <c r="L725" s="3">
        <v>11.998680085845066</v>
      </c>
      <c r="M725" s="318">
        <v>16.836803984595818</v>
      </c>
      <c r="N725" s="3">
        <v>7.2255548721977787</v>
      </c>
      <c r="O725" s="3">
        <v>30.698564606546203</v>
      </c>
      <c r="P725" s="3">
        <v>5.9724434614822357</v>
      </c>
      <c r="Q725" s="3">
        <v>14.813889496112166</v>
      </c>
      <c r="R725" s="3">
        <v>28.124957592683515</v>
      </c>
      <c r="S725" s="3">
        <v>19.107913006799571</v>
      </c>
      <c r="T725" s="3">
        <v>36.363370419364799</v>
      </c>
      <c r="U725" s="3">
        <v>6.5489834784822083</v>
      </c>
      <c r="V725" s="318">
        <v>148.85567693366846</v>
      </c>
      <c r="W725" s="318">
        <v>277.84033813161602</v>
      </c>
      <c r="X725" s="3">
        <v>25.897650456151997</v>
      </c>
      <c r="Y725" s="318">
        <v>303.73798858776803</v>
      </c>
    </row>
    <row r="726" spans="1:25" x14ac:dyDescent="0.2">
      <c r="A726" s="314">
        <v>2020</v>
      </c>
      <c r="B726" s="5" t="s">
        <v>466</v>
      </c>
      <c r="C726" s="5" t="s">
        <v>261</v>
      </c>
      <c r="D726" s="5" t="s">
        <v>483</v>
      </c>
      <c r="E726" s="5" t="s">
        <v>312</v>
      </c>
      <c r="F726" s="5" t="s">
        <v>264</v>
      </c>
      <c r="G726" s="5" t="s">
        <v>313</v>
      </c>
      <c r="H726" s="3">
        <v>303.53938483144657</v>
      </c>
      <c r="I726" s="3">
        <v>26.784185979021402</v>
      </c>
      <c r="J726" s="318">
        <v>330.32357081046797</v>
      </c>
      <c r="K726" s="3">
        <v>268.33884378278276</v>
      </c>
      <c r="L726" s="3">
        <v>20.914141417429562</v>
      </c>
      <c r="M726" s="318">
        <v>289.25298520021232</v>
      </c>
      <c r="N726" s="3">
        <v>74.560637077575137</v>
      </c>
      <c r="O726" s="3">
        <v>42.464578114793881</v>
      </c>
      <c r="P726" s="3">
        <v>12.379923013668572</v>
      </c>
      <c r="Q726" s="3">
        <v>21.683441940525974</v>
      </c>
      <c r="R726" s="3">
        <v>29.771357038488404</v>
      </c>
      <c r="S726" s="3">
        <v>70.34543487793978</v>
      </c>
      <c r="T726" s="3">
        <v>56.167474700226627</v>
      </c>
      <c r="U726" s="3">
        <v>7.455130465046742</v>
      </c>
      <c r="V726" s="318">
        <v>314.82797722826513</v>
      </c>
      <c r="W726" s="318">
        <v>934.40453323894553</v>
      </c>
      <c r="X726" s="3">
        <v>87.096359546621272</v>
      </c>
      <c r="Y726" s="318">
        <v>1021.5008927855667</v>
      </c>
    </row>
    <row r="727" spans="1:25" x14ac:dyDescent="0.2">
      <c r="A727" s="314">
        <v>2020</v>
      </c>
      <c r="B727" s="5" t="s">
        <v>466</v>
      </c>
      <c r="C727" s="5" t="s">
        <v>314</v>
      </c>
      <c r="D727" s="5" t="s">
        <v>487</v>
      </c>
      <c r="E727" s="5" t="s">
        <v>316</v>
      </c>
      <c r="F727" s="5" t="s">
        <v>317</v>
      </c>
      <c r="G727" s="5" t="s">
        <v>318</v>
      </c>
      <c r="H727" s="3">
        <v>44.361605261295907</v>
      </c>
      <c r="I727" s="3">
        <v>2.1151158749937693</v>
      </c>
      <c r="J727" s="318">
        <v>46.476721136289676</v>
      </c>
      <c r="K727" s="3">
        <v>187.91333541887107</v>
      </c>
      <c r="L727" s="3">
        <v>47.192347732954175</v>
      </c>
      <c r="M727" s="318">
        <v>235.10568315182525</v>
      </c>
      <c r="N727" s="3">
        <v>32.586873716596692</v>
      </c>
      <c r="O727" s="3">
        <v>56.259008774321735</v>
      </c>
      <c r="P727" s="3">
        <v>9.6857235912079371</v>
      </c>
      <c r="Q727" s="3">
        <v>19.263255465037538</v>
      </c>
      <c r="R727" s="3">
        <v>28.076824504286325</v>
      </c>
      <c r="S727" s="3">
        <v>43.414344543710918</v>
      </c>
      <c r="T727" s="3">
        <v>48.172094507741797</v>
      </c>
      <c r="U727" s="3">
        <v>11.312434885828655</v>
      </c>
      <c r="V727" s="318">
        <v>248.77055998873158</v>
      </c>
      <c r="W727" s="318">
        <v>530.35296427684648</v>
      </c>
      <c r="X727" s="3">
        <v>49.434490972723559</v>
      </c>
      <c r="Y727" s="318">
        <v>579.78745524957003</v>
      </c>
    </row>
    <row r="728" spans="1:25" x14ac:dyDescent="0.2">
      <c r="A728" s="314">
        <v>2020</v>
      </c>
      <c r="B728" s="5" t="s">
        <v>466</v>
      </c>
      <c r="C728" s="5" t="s">
        <v>314</v>
      </c>
      <c r="D728" s="5" t="s">
        <v>488</v>
      </c>
      <c r="E728" s="5" t="s">
        <v>319</v>
      </c>
      <c r="F728" s="5" t="s">
        <v>317</v>
      </c>
      <c r="G728" s="5" t="s">
        <v>321</v>
      </c>
      <c r="H728" s="3">
        <v>140.5664372089733</v>
      </c>
      <c r="I728" s="3">
        <v>40.03674429139744</v>
      </c>
      <c r="J728" s="318">
        <v>180.60318150037074</v>
      </c>
      <c r="K728" s="3">
        <v>68.257929111219326</v>
      </c>
      <c r="L728" s="3">
        <v>53.009055218668351</v>
      </c>
      <c r="M728" s="318">
        <v>121.26698432988768</v>
      </c>
      <c r="N728" s="3">
        <v>24.671058366705768</v>
      </c>
      <c r="O728" s="3">
        <v>84.865905880552745</v>
      </c>
      <c r="P728" s="3">
        <v>18.979581653228816</v>
      </c>
      <c r="Q728" s="3">
        <v>34.536735465764067</v>
      </c>
      <c r="R728" s="3">
        <v>37.1688815700345</v>
      </c>
      <c r="S728" s="3">
        <v>51.140848947913057</v>
      </c>
      <c r="T728" s="3">
        <v>87.717920752887366</v>
      </c>
      <c r="U728" s="3">
        <v>13.901041201816488</v>
      </c>
      <c r="V728" s="318">
        <v>352.98197383890283</v>
      </c>
      <c r="W728" s="318">
        <v>654.85213966916126</v>
      </c>
      <c r="X728" s="3">
        <v>61.039127463131102</v>
      </c>
      <c r="Y728" s="318">
        <v>715.89126713229234</v>
      </c>
    </row>
    <row r="729" spans="1:25" x14ac:dyDescent="0.2">
      <c r="A729" s="314">
        <v>2020</v>
      </c>
      <c r="B729" s="5" t="s">
        <v>466</v>
      </c>
      <c r="C729" s="5" t="s">
        <v>314</v>
      </c>
      <c r="D729" s="5" t="s">
        <v>487</v>
      </c>
      <c r="E729" s="5" t="s">
        <v>322</v>
      </c>
      <c r="F729" s="5" t="s">
        <v>317</v>
      </c>
      <c r="G729" s="5" t="s">
        <v>323</v>
      </c>
      <c r="H729" s="3">
        <v>20.921679457689301</v>
      </c>
      <c r="I729" s="3">
        <v>1.421367640824009</v>
      </c>
      <c r="J729" s="318">
        <v>22.34304709851331</v>
      </c>
      <c r="K729" s="3">
        <v>3.5497725799086455</v>
      </c>
      <c r="L729" s="3">
        <v>1.0139236189164675</v>
      </c>
      <c r="M729" s="318">
        <v>4.563696198825113</v>
      </c>
      <c r="N729" s="3">
        <v>10.454240083923208</v>
      </c>
      <c r="O729" s="3">
        <v>7.5305155349171633</v>
      </c>
      <c r="P729" s="3">
        <v>1.7558933431774766</v>
      </c>
      <c r="Q729" s="3">
        <v>3.5616028156268658</v>
      </c>
      <c r="R729" s="3">
        <v>4.1460774745215758</v>
      </c>
      <c r="S729" s="3">
        <v>7.4509387016816646</v>
      </c>
      <c r="T729" s="3">
        <v>7.8198816782953626</v>
      </c>
      <c r="U729" s="3">
        <v>1.8826545614034458</v>
      </c>
      <c r="V729" s="318">
        <v>44.601804193546762</v>
      </c>
      <c r="W729" s="318">
        <v>71.508547490885178</v>
      </c>
      <c r="X729" s="3">
        <v>6.6653509709911951</v>
      </c>
      <c r="Y729" s="318">
        <v>78.173898461876377</v>
      </c>
    </row>
    <row r="730" spans="1:25" x14ac:dyDescent="0.2">
      <c r="A730" s="314">
        <v>2020</v>
      </c>
      <c r="B730" s="5" t="s">
        <v>466</v>
      </c>
      <c r="C730" s="5" t="s">
        <v>314</v>
      </c>
      <c r="D730" s="5" t="s">
        <v>488</v>
      </c>
      <c r="E730" s="5" t="s">
        <v>324</v>
      </c>
      <c r="F730" s="5" t="s">
        <v>317</v>
      </c>
      <c r="G730" s="5" t="s">
        <v>325</v>
      </c>
      <c r="H730" s="3">
        <v>80.718992036284902</v>
      </c>
      <c r="I730" s="3">
        <v>0</v>
      </c>
      <c r="J730" s="318">
        <v>80.718992036284902</v>
      </c>
      <c r="K730" s="3">
        <v>8.4548149177920227</v>
      </c>
      <c r="L730" s="3">
        <v>2.1796669441899308</v>
      </c>
      <c r="M730" s="318">
        <v>10.634481861981953</v>
      </c>
      <c r="N730" s="3">
        <v>4.1972419432906749</v>
      </c>
      <c r="O730" s="3">
        <v>14.913488048652205</v>
      </c>
      <c r="P730" s="3">
        <v>4.0769627165804474</v>
      </c>
      <c r="Q730" s="3">
        <v>7.8566107980103155</v>
      </c>
      <c r="R730" s="3">
        <v>8.0811140538553516</v>
      </c>
      <c r="S730" s="3">
        <v>11.641143069183579</v>
      </c>
      <c r="T730" s="3">
        <v>22.951928452633759</v>
      </c>
      <c r="U730" s="3">
        <v>3.2892136226505864</v>
      </c>
      <c r="V730" s="318">
        <v>77.007702704856925</v>
      </c>
      <c r="W730" s="318">
        <v>168.36117660312379</v>
      </c>
      <c r="X730" s="3">
        <v>15.693037704225361</v>
      </c>
      <c r="Y730" s="318">
        <v>184.05421430734916</v>
      </c>
    </row>
    <row r="731" spans="1:25" x14ac:dyDescent="0.2">
      <c r="A731" s="314">
        <v>2020</v>
      </c>
      <c r="B731" s="5" t="s">
        <v>466</v>
      </c>
      <c r="C731" s="5" t="s">
        <v>314</v>
      </c>
      <c r="D731" s="5" t="s">
        <v>489</v>
      </c>
      <c r="E731" s="5" t="s">
        <v>326</v>
      </c>
      <c r="F731" s="5" t="s">
        <v>317</v>
      </c>
      <c r="G731" s="5" t="s">
        <v>327</v>
      </c>
      <c r="H731" s="3">
        <v>117.39271077741112</v>
      </c>
      <c r="I731" s="3">
        <v>0</v>
      </c>
      <c r="J731" s="318">
        <v>117.39271077741112</v>
      </c>
      <c r="K731" s="3">
        <v>7.8017272697701436</v>
      </c>
      <c r="L731" s="3">
        <v>6.9247653956517432</v>
      </c>
      <c r="M731" s="318">
        <v>14.726492665421887</v>
      </c>
      <c r="N731" s="3">
        <v>5.5388370280418693</v>
      </c>
      <c r="O731" s="3">
        <v>23.601001502054142</v>
      </c>
      <c r="P731" s="3">
        <v>5.5496782711799879</v>
      </c>
      <c r="Q731" s="3">
        <v>11.561408703251939</v>
      </c>
      <c r="R731" s="3">
        <v>11.184211736199668</v>
      </c>
      <c r="S731" s="3">
        <v>15.312144778281084</v>
      </c>
      <c r="T731" s="3">
        <v>32.202907267608275</v>
      </c>
      <c r="U731" s="3">
        <v>4.248250033380522</v>
      </c>
      <c r="V731" s="318">
        <v>109.19843931999748</v>
      </c>
      <c r="W731" s="318">
        <v>241.31764276283047</v>
      </c>
      <c r="X731" s="3">
        <v>22.493349969268511</v>
      </c>
      <c r="Y731" s="318">
        <v>263.81099273209901</v>
      </c>
    </row>
    <row r="732" spans="1:25" x14ac:dyDescent="0.2">
      <c r="A732" s="314">
        <v>2020</v>
      </c>
      <c r="B732" s="5" t="s">
        <v>466</v>
      </c>
      <c r="C732" s="5" t="s">
        <v>314</v>
      </c>
      <c r="D732" s="5" t="s">
        <v>490</v>
      </c>
      <c r="E732" s="5" t="s">
        <v>328</v>
      </c>
      <c r="F732" s="5" t="s">
        <v>317</v>
      </c>
      <c r="G732" s="5" t="s">
        <v>330</v>
      </c>
      <c r="H732" s="3">
        <v>16.437857192705415</v>
      </c>
      <c r="I732" s="3">
        <v>0</v>
      </c>
      <c r="J732" s="318">
        <v>16.437857192705415</v>
      </c>
      <c r="K732" s="3">
        <v>1.9507730291811365</v>
      </c>
      <c r="L732" s="3">
        <v>1.9408939626977371</v>
      </c>
      <c r="M732" s="318">
        <v>3.8916669918788735</v>
      </c>
      <c r="N732" s="3">
        <v>2.1533331966701872</v>
      </c>
      <c r="O732" s="3">
        <v>6.9317075330618083</v>
      </c>
      <c r="P732" s="3">
        <v>1.6164825299392729</v>
      </c>
      <c r="Q732" s="3">
        <v>3.5383067414812293</v>
      </c>
      <c r="R732" s="3">
        <v>2.9075053709376797</v>
      </c>
      <c r="S732" s="3">
        <v>6.551847875067609</v>
      </c>
      <c r="T732" s="3">
        <v>11.958093979026236</v>
      </c>
      <c r="U732" s="3">
        <v>1.1865734368457637</v>
      </c>
      <c r="V732" s="318">
        <v>36.843850663029784</v>
      </c>
      <c r="W732" s="318">
        <v>57.17337484761407</v>
      </c>
      <c r="X732" s="3">
        <v>5.329161658666921</v>
      </c>
      <c r="Y732" s="318">
        <v>62.50253650628099</v>
      </c>
    </row>
    <row r="733" spans="1:25" x14ac:dyDescent="0.2">
      <c r="A733" s="314">
        <v>2020</v>
      </c>
      <c r="B733" s="5" t="s">
        <v>466</v>
      </c>
      <c r="C733" s="5" t="s">
        <v>314</v>
      </c>
      <c r="D733" s="5" t="s">
        <v>488</v>
      </c>
      <c r="E733" s="5" t="s">
        <v>331</v>
      </c>
      <c r="F733" s="5" t="s">
        <v>317</v>
      </c>
      <c r="G733" s="5" t="s">
        <v>332</v>
      </c>
      <c r="H733" s="3">
        <v>109.2631240586453</v>
      </c>
      <c r="I733" s="3">
        <v>0</v>
      </c>
      <c r="J733" s="318">
        <v>109.2631240586453</v>
      </c>
      <c r="K733" s="3">
        <v>8.7482372027982986</v>
      </c>
      <c r="L733" s="3">
        <v>12.48550661864048</v>
      </c>
      <c r="M733" s="318">
        <v>21.233743821438779</v>
      </c>
      <c r="N733" s="3">
        <v>15.633472364160042</v>
      </c>
      <c r="O733" s="3">
        <v>51.040584797482083</v>
      </c>
      <c r="P733" s="3">
        <v>10.442100655009993</v>
      </c>
      <c r="Q733" s="3">
        <v>22.125971559888942</v>
      </c>
      <c r="R733" s="3">
        <v>24.390944109577127</v>
      </c>
      <c r="S733" s="3">
        <v>29.439008489409172</v>
      </c>
      <c r="T733" s="3">
        <v>61.316243125744265</v>
      </c>
      <c r="U733" s="3">
        <v>8.3236332800510944</v>
      </c>
      <c r="V733" s="318">
        <v>222.71195838132272</v>
      </c>
      <c r="W733" s="318">
        <v>353.20882626140678</v>
      </c>
      <c r="X733" s="3">
        <v>32.922788613266306</v>
      </c>
      <c r="Y733" s="318">
        <v>386.13161487467312</v>
      </c>
    </row>
    <row r="734" spans="1:25" x14ac:dyDescent="0.2">
      <c r="A734" s="314">
        <v>2020</v>
      </c>
      <c r="B734" s="5" t="s">
        <v>466</v>
      </c>
      <c r="C734" s="5" t="s">
        <v>314</v>
      </c>
      <c r="D734" s="5" t="s">
        <v>489</v>
      </c>
      <c r="E734" s="5" t="s">
        <v>333</v>
      </c>
      <c r="F734" s="5" t="s">
        <v>317</v>
      </c>
      <c r="G734" s="5" t="s">
        <v>334</v>
      </c>
      <c r="H734" s="3">
        <v>137.05010795460262</v>
      </c>
      <c r="I734" s="3">
        <v>0</v>
      </c>
      <c r="J734" s="318">
        <v>137.05010795460262</v>
      </c>
      <c r="K734" s="3">
        <v>9.8901244668543775</v>
      </c>
      <c r="L734" s="3">
        <v>10.088467302529843</v>
      </c>
      <c r="M734" s="318">
        <v>19.97859176938422</v>
      </c>
      <c r="N734" s="3">
        <v>7.9223535568286669</v>
      </c>
      <c r="O734" s="3">
        <v>37.073187360381503</v>
      </c>
      <c r="P734" s="3">
        <v>7.01161401031308</v>
      </c>
      <c r="Q734" s="3">
        <v>17.554903316830586</v>
      </c>
      <c r="R734" s="3">
        <v>16.294947010959515</v>
      </c>
      <c r="S734" s="3">
        <v>21.727274040295605</v>
      </c>
      <c r="T734" s="3">
        <v>38.917609129997828</v>
      </c>
      <c r="U734" s="3">
        <v>6.6141245599403797</v>
      </c>
      <c r="V734" s="318">
        <v>153.11601298554717</v>
      </c>
      <c r="W734" s="318">
        <v>310.14471270953402</v>
      </c>
      <c r="X734" s="3">
        <v>28.908758946191369</v>
      </c>
      <c r="Y734" s="318">
        <v>339.05347165572539</v>
      </c>
    </row>
    <row r="735" spans="1:25" x14ac:dyDescent="0.2">
      <c r="A735" s="314">
        <v>2020</v>
      </c>
      <c r="B735" s="5" t="s">
        <v>466</v>
      </c>
      <c r="C735" s="5" t="s">
        <v>314</v>
      </c>
      <c r="D735" s="5" t="s">
        <v>487</v>
      </c>
      <c r="E735" s="5" t="s">
        <v>335</v>
      </c>
      <c r="F735" s="5" t="s">
        <v>317</v>
      </c>
      <c r="G735" s="5" t="s">
        <v>336</v>
      </c>
      <c r="H735" s="3">
        <v>163.54093223048079</v>
      </c>
      <c r="I735" s="3">
        <v>0</v>
      </c>
      <c r="J735" s="318">
        <v>163.54093223048079</v>
      </c>
      <c r="K735" s="3">
        <v>10.458772705268027</v>
      </c>
      <c r="L735" s="3">
        <v>14.240859224977823</v>
      </c>
      <c r="M735" s="318">
        <v>24.69963193024585</v>
      </c>
      <c r="N735" s="3">
        <v>14.284920248994798</v>
      </c>
      <c r="O735" s="3">
        <v>39.907050919341636</v>
      </c>
      <c r="P735" s="3">
        <v>9.1270561672830066</v>
      </c>
      <c r="Q735" s="3">
        <v>17.108604467622229</v>
      </c>
      <c r="R735" s="3">
        <v>20.445731961515211</v>
      </c>
      <c r="S735" s="3">
        <v>28.223597867876137</v>
      </c>
      <c r="T735" s="3">
        <v>46.292164752503865</v>
      </c>
      <c r="U735" s="3">
        <v>8.8010930948427131</v>
      </c>
      <c r="V735" s="318">
        <v>184.19021947997959</v>
      </c>
      <c r="W735" s="318">
        <v>372.43078364070624</v>
      </c>
      <c r="X735" s="3">
        <v>34.71447781376078</v>
      </c>
      <c r="Y735" s="318">
        <v>407.145261454467</v>
      </c>
    </row>
    <row r="736" spans="1:25" x14ac:dyDescent="0.2">
      <c r="A736" s="314">
        <v>2020</v>
      </c>
      <c r="B736" s="5" t="s">
        <v>466</v>
      </c>
      <c r="C736" s="5" t="s">
        <v>314</v>
      </c>
      <c r="D736" s="5" t="s">
        <v>488</v>
      </c>
      <c r="E736" s="5" t="s">
        <v>337</v>
      </c>
      <c r="F736" s="5" t="s">
        <v>317</v>
      </c>
      <c r="G736" s="5" t="s">
        <v>338</v>
      </c>
      <c r="H736" s="3">
        <v>19.888498078829318</v>
      </c>
      <c r="I736" s="3">
        <v>0</v>
      </c>
      <c r="J736" s="318">
        <v>19.888498078829318</v>
      </c>
      <c r="K736" s="3">
        <v>2.4009490983541051</v>
      </c>
      <c r="L736" s="3">
        <v>2.4635115556356268</v>
      </c>
      <c r="M736" s="318">
        <v>4.8644606539897319</v>
      </c>
      <c r="N736" s="3">
        <v>4.9983873514615036</v>
      </c>
      <c r="O736" s="3">
        <v>10.727566629727589</v>
      </c>
      <c r="P736" s="3">
        <v>2.1896868243404697</v>
      </c>
      <c r="Q736" s="3">
        <v>4.2883221893975625</v>
      </c>
      <c r="R736" s="3">
        <v>5.9638389522679915</v>
      </c>
      <c r="S736" s="3">
        <v>6.9506491250151212</v>
      </c>
      <c r="T736" s="3">
        <v>11.282207087697778</v>
      </c>
      <c r="U736" s="3">
        <v>1.6804569045918656</v>
      </c>
      <c r="V736" s="318">
        <v>48.081115064499876</v>
      </c>
      <c r="W736" s="318">
        <v>72.834073797318922</v>
      </c>
      <c r="X736" s="3">
        <v>6.7889040057495738</v>
      </c>
      <c r="Y736" s="318">
        <v>79.622977803068494</v>
      </c>
    </row>
    <row r="737" spans="1:25" x14ac:dyDescent="0.2">
      <c r="A737" s="314">
        <v>2020</v>
      </c>
      <c r="B737" s="5" t="s">
        <v>466</v>
      </c>
      <c r="C737" s="5" t="s">
        <v>314</v>
      </c>
      <c r="D737" s="5" t="s">
        <v>488</v>
      </c>
      <c r="E737" s="5" t="s">
        <v>339</v>
      </c>
      <c r="F737" s="5" t="s">
        <v>317</v>
      </c>
      <c r="G737" s="5" t="s">
        <v>340</v>
      </c>
      <c r="H737" s="3">
        <v>75.668395706721441</v>
      </c>
      <c r="I737" s="3">
        <v>0</v>
      </c>
      <c r="J737" s="318">
        <v>75.668395706721441</v>
      </c>
      <c r="K737" s="3">
        <v>10.101541614591943</v>
      </c>
      <c r="L737" s="3">
        <v>4.4227153397628953</v>
      </c>
      <c r="M737" s="318">
        <v>14.524256954354838</v>
      </c>
      <c r="N737" s="3">
        <v>7.6606593275287107</v>
      </c>
      <c r="O737" s="3">
        <v>33.16100250257179</v>
      </c>
      <c r="P737" s="3">
        <v>6.8488065026641927</v>
      </c>
      <c r="Q737" s="3">
        <v>12.684751391896548</v>
      </c>
      <c r="R737" s="3">
        <v>17.698384282009968</v>
      </c>
      <c r="S737" s="3">
        <v>17.572251656705724</v>
      </c>
      <c r="T737" s="3">
        <v>26.078457914416493</v>
      </c>
      <c r="U737" s="3">
        <v>4.6906510285552789</v>
      </c>
      <c r="V737" s="318">
        <v>126.39496460634871</v>
      </c>
      <c r="W737" s="318">
        <v>216.58761726742497</v>
      </c>
      <c r="X737" s="3">
        <v>20.188250715652032</v>
      </c>
      <c r="Y737" s="318">
        <v>236.77586798307701</v>
      </c>
    </row>
    <row r="738" spans="1:25" x14ac:dyDescent="0.2">
      <c r="A738" s="314">
        <v>2020</v>
      </c>
      <c r="B738" s="5" t="s">
        <v>466</v>
      </c>
      <c r="C738" s="5" t="s">
        <v>314</v>
      </c>
      <c r="D738" s="5" t="s">
        <v>490</v>
      </c>
      <c r="E738" s="5" t="s">
        <v>341</v>
      </c>
      <c r="F738" s="5" t="s">
        <v>317</v>
      </c>
      <c r="G738" s="5" t="s">
        <v>342</v>
      </c>
      <c r="H738" s="3">
        <v>73.771567284113644</v>
      </c>
      <c r="I738" s="3">
        <v>0</v>
      </c>
      <c r="J738" s="318">
        <v>73.771567284113644</v>
      </c>
      <c r="K738" s="3">
        <v>4.4060819436839802</v>
      </c>
      <c r="L738" s="3">
        <v>10.222610468022058</v>
      </c>
      <c r="M738" s="318">
        <v>14.628692411706037</v>
      </c>
      <c r="N738" s="3">
        <v>9.3663611300490182</v>
      </c>
      <c r="O738" s="3">
        <v>29.890195251706615</v>
      </c>
      <c r="P738" s="3">
        <v>7.8552584215298067</v>
      </c>
      <c r="Q738" s="3">
        <v>11.800997958525512</v>
      </c>
      <c r="R738" s="3">
        <v>15.370509506764103</v>
      </c>
      <c r="S738" s="3">
        <v>21.098443280791621</v>
      </c>
      <c r="T738" s="3">
        <v>37.107571362703318</v>
      </c>
      <c r="U738" s="3">
        <v>6.1495733040205351</v>
      </c>
      <c r="V738" s="318">
        <v>138.63891021609049</v>
      </c>
      <c r="W738" s="318">
        <v>227.03916991191016</v>
      </c>
      <c r="X738" s="3">
        <v>21.162445675718377</v>
      </c>
      <c r="Y738" s="318">
        <v>248.20161558762854</v>
      </c>
    </row>
    <row r="739" spans="1:25" x14ac:dyDescent="0.2">
      <c r="A739" s="314">
        <v>2020</v>
      </c>
      <c r="B739" s="5" t="s">
        <v>466</v>
      </c>
      <c r="C739" s="5" t="s">
        <v>314</v>
      </c>
      <c r="D739" s="5" t="s">
        <v>490</v>
      </c>
      <c r="E739" s="5" t="s">
        <v>343</v>
      </c>
      <c r="F739" s="5" t="s">
        <v>317</v>
      </c>
      <c r="G739" s="5" t="s">
        <v>344</v>
      </c>
      <c r="H739" s="3">
        <v>9.930076090997261</v>
      </c>
      <c r="I739" s="3">
        <v>2.1055572840295032</v>
      </c>
      <c r="J739" s="318">
        <v>12.035633375026764</v>
      </c>
      <c r="K739" s="3">
        <v>19.907505631275477</v>
      </c>
      <c r="L739" s="3">
        <v>31.230582389676599</v>
      </c>
      <c r="M739" s="318">
        <v>51.138088020952075</v>
      </c>
      <c r="N739" s="3">
        <v>13.12140957398571</v>
      </c>
      <c r="O739" s="3">
        <v>39.015595837246444</v>
      </c>
      <c r="P739" s="3">
        <v>3.3251233373672906</v>
      </c>
      <c r="Q739" s="3">
        <v>6.5021603860762802</v>
      </c>
      <c r="R739" s="3">
        <v>7.7772155950581228</v>
      </c>
      <c r="S739" s="3">
        <v>13.24407404072066</v>
      </c>
      <c r="T739" s="3">
        <v>15.218755275037278</v>
      </c>
      <c r="U739" s="3">
        <v>2.8607219488843532</v>
      </c>
      <c r="V739" s="318">
        <v>101.06505599437614</v>
      </c>
      <c r="W739" s="318">
        <v>164.23877739035498</v>
      </c>
      <c r="X739" s="3">
        <v>15.308786610338379</v>
      </c>
      <c r="Y739" s="318">
        <v>179.54756400069337</v>
      </c>
    </row>
    <row r="740" spans="1:25" x14ac:dyDescent="0.2">
      <c r="A740" s="314">
        <v>2020</v>
      </c>
      <c r="B740" s="5" t="s">
        <v>466</v>
      </c>
      <c r="C740" s="5" t="s">
        <v>314</v>
      </c>
      <c r="D740" s="5" t="s">
        <v>490</v>
      </c>
      <c r="E740" s="5" t="s">
        <v>345</v>
      </c>
      <c r="F740" s="5" t="s">
        <v>317</v>
      </c>
      <c r="G740" s="5" t="s">
        <v>346</v>
      </c>
      <c r="H740" s="3">
        <v>20.211327361086358</v>
      </c>
      <c r="I740" s="3">
        <v>0.79507085150836332</v>
      </c>
      <c r="J740" s="318">
        <v>21.006398212594721</v>
      </c>
      <c r="K740" s="3">
        <v>4.9439018299038553</v>
      </c>
      <c r="L740" s="3">
        <v>10.961095675205065</v>
      </c>
      <c r="M740" s="318">
        <v>15.90499750510892</v>
      </c>
      <c r="N740" s="3">
        <v>3.6805363624999368</v>
      </c>
      <c r="O740" s="3">
        <v>8.7876035770630399</v>
      </c>
      <c r="P740" s="3">
        <v>2.3403163224206711</v>
      </c>
      <c r="Q740" s="3">
        <v>4.8490840406595002</v>
      </c>
      <c r="R740" s="3">
        <v>5.8233884231052251</v>
      </c>
      <c r="S740" s="3">
        <v>7.1971575845373046</v>
      </c>
      <c r="T740" s="3">
        <v>15.003752080441894</v>
      </c>
      <c r="U740" s="3">
        <v>1.8553816005250108</v>
      </c>
      <c r="V740" s="318">
        <v>49.537219991252584</v>
      </c>
      <c r="W740" s="318">
        <v>86.448615708956225</v>
      </c>
      <c r="X740" s="3">
        <v>8.0579229319401637</v>
      </c>
      <c r="Y740" s="318">
        <v>94.506538640896395</v>
      </c>
    </row>
    <row r="741" spans="1:25" x14ac:dyDescent="0.2">
      <c r="A741" s="314">
        <v>2020</v>
      </c>
      <c r="B741" s="5" t="s">
        <v>466</v>
      </c>
      <c r="C741" s="5" t="s">
        <v>314</v>
      </c>
      <c r="D741" s="5" t="s">
        <v>490</v>
      </c>
      <c r="E741" s="5" t="s">
        <v>347</v>
      </c>
      <c r="F741" s="5" t="s">
        <v>317</v>
      </c>
      <c r="G741" s="5" t="s">
        <v>348</v>
      </c>
      <c r="H741" s="3">
        <v>26.40295995875864</v>
      </c>
      <c r="I741" s="3">
        <v>0</v>
      </c>
      <c r="J741" s="318">
        <v>26.40295995875864</v>
      </c>
      <c r="K741" s="3">
        <v>1.736888921362441</v>
      </c>
      <c r="L741" s="3">
        <v>5.9129853521103355</v>
      </c>
      <c r="M741" s="318">
        <v>7.6498742734727765</v>
      </c>
      <c r="N741" s="3">
        <v>4.3630219961017493</v>
      </c>
      <c r="O741" s="3">
        <v>7.5297185604065708</v>
      </c>
      <c r="P741" s="3">
        <v>2.8330178064198921</v>
      </c>
      <c r="Q741" s="3">
        <v>6.4368249971962559</v>
      </c>
      <c r="R741" s="3">
        <v>5.9365375952002966</v>
      </c>
      <c r="S741" s="3">
        <v>9.1450415349233296</v>
      </c>
      <c r="T741" s="3">
        <v>22.091471979263943</v>
      </c>
      <c r="U741" s="3">
        <v>2.629753101914369</v>
      </c>
      <c r="V741" s="318">
        <v>60.965387571426405</v>
      </c>
      <c r="W741" s="318">
        <v>95.018221803657823</v>
      </c>
      <c r="X741" s="3">
        <v>8.8567006208816448</v>
      </c>
      <c r="Y741" s="318">
        <v>103.87492242453946</v>
      </c>
    </row>
    <row r="742" spans="1:25" x14ac:dyDescent="0.2">
      <c r="A742" s="314">
        <v>2020</v>
      </c>
      <c r="B742" s="5" t="s">
        <v>466</v>
      </c>
      <c r="C742" s="5" t="s">
        <v>314</v>
      </c>
      <c r="D742" s="5" t="s">
        <v>489</v>
      </c>
      <c r="E742" s="5" t="s">
        <v>349</v>
      </c>
      <c r="F742" s="5" t="s">
        <v>317</v>
      </c>
      <c r="G742" s="5" t="s">
        <v>350</v>
      </c>
      <c r="H742" s="3">
        <v>116.54041726400881</v>
      </c>
      <c r="I742" s="3">
        <v>0</v>
      </c>
      <c r="J742" s="318">
        <v>116.54041726400881</v>
      </c>
      <c r="K742" s="3">
        <v>7.6024146802635926</v>
      </c>
      <c r="L742" s="3">
        <v>8.545612425902668</v>
      </c>
      <c r="M742" s="318">
        <v>16.148027106166261</v>
      </c>
      <c r="N742" s="3">
        <v>6.8293234890619328</v>
      </c>
      <c r="O742" s="3">
        <v>31.830432438719644</v>
      </c>
      <c r="P742" s="3">
        <v>5.407353517640149</v>
      </c>
      <c r="Q742" s="3">
        <v>13.263322447272721</v>
      </c>
      <c r="R742" s="3">
        <v>11.745394885788631</v>
      </c>
      <c r="S742" s="3">
        <v>18.880982351316931</v>
      </c>
      <c r="T742" s="3">
        <v>36.132099659474179</v>
      </c>
      <c r="U742" s="3">
        <v>5.8847955585337415</v>
      </c>
      <c r="V742" s="318">
        <v>129.97370434780794</v>
      </c>
      <c r="W742" s="318">
        <v>262.66214871798303</v>
      </c>
      <c r="X742" s="3">
        <v>24.482883087832242</v>
      </c>
      <c r="Y742" s="318">
        <v>287.14503180581528</v>
      </c>
    </row>
    <row r="743" spans="1:25" x14ac:dyDescent="0.2">
      <c r="A743" s="314">
        <v>2020</v>
      </c>
      <c r="B743" s="5" t="s">
        <v>466</v>
      </c>
      <c r="C743" s="5" t="s">
        <v>314</v>
      </c>
      <c r="D743" s="5" t="s">
        <v>490</v>
      </c>
      <c r="E743" s="5" t="s">
        <v>351</v>
      </c>
      <c r="F743" s="5" t="s">
        <v>317</v>
      </c>
      <c r="G743" s="5" t="s">
        <v>352</v>
      </c>
      <c r="H743" s="3">
        <v>65.521635521451771</v>
      </c>
      <c r="I743" s="3">
        <v>0</v>
      </c>
      <c r="J743" s="318">
        <v>65.521635521451771</v>
      </c>
      <c r="K743" s="3">
        <v>8.4311358972459534</v>
      </c>
      <c r="L743" s="3">
        <v>9.3795397462320746</v>
      </c>
      <c r="M743" s="318">
        <v>17.810675643478028</v>
      </c>
      <c r="N743" s="3">
        <v>14.000922804915644</v>
      </c>
      <c r="O743" s="3">
        <v>54.980071126472403</v>
      </c>
      <c r="P743" s="3">
        <v>9.9012707885163511</v>
      </c>
      <c r="Q743" s="3">
        <v>19.387904517955089</v>
      </c>
      <c r="R743" s="3">
        <v>26.653927419080414</v>
      </c>
      <c r="S743" s="3">
        <v>26.211652270587692</v>
      </c>
      <c r="T743" s="3">
        <v>32.729900872849193</v>
      </c>
      <c r="U743" s="3">
        <v>7.8173485522223576</v>
      </c>
      <c r="V743" s="318">
        <v>191.68299835259916</v>
      </c>
      <c r="W743" s="318">
        <v>275.01530951752898</v>
      </c>
      <c r="X743" s="3">
        <v>25.634327988045868</v>
      </c>
      <c r="Y743" s="318">
        <v>300.64963750557484</v>
      </c>
    </row>
    <row r="744" spans="1:25" x14ac:dyDescent="0.2">
      <c r="A744" s="314">
        <v>2020</v>
      </c>
      <c r="B744" s="5" t="s">
        <v>466</v>
      </c>
      <c r="C744" s="5" t="s">
        <v>314</v>
      </c>
      <c r="D744" s="5" t="s">
        <v>490</v>
      </c>
      <c r="E744" s="5" t="s">
        <v>353</v>
      </c>
      <c r="F744" s="5" t="s">
        <v>317</v>
      </c>
      <c r="G744" s="5" t="s">
        <v>354</v>
      </c>
      <c r="H744" s="3">
        <v>139.61910424305941</v>
      </c>
      <c r="I744" s="3">
        <v>0</v>
      </c>
      <c r="J744" s="318">
        <v>139.61910424305941</v>
      </c>
      <c r="K744" s="3">
        <v>8.4664535529522666</v>
      </c>
      <c r="L744" s="3">
        <v>20.463900463138966</v>
      </c>
      <c r="M744" s="318">
        <v>28.930354016091233</v>
      </c>
      <c r="N744" s="3">
        <v>10.807402419756359</v>
      </c>
      <c r="O744" s="3">
        <v>28.099695819830323</v>
      </c>
      <c r="P744" s="3">
        <v>6.4561241412769439</v>
      </c>
      <c r="Q744" s="3">
        <v>15.173827349474616</v>
      </c>
      <c r="R744" s="3">
        <v>14.317041856511047</v>
      </c>
      <c r="S744" s="3">
        <v>18.33150195335239</v>
      </c>
      <c r="T744" s="3">
        <v>30.403208624600779</v>
      </c>
      <c r="U744" s="3">
        <v>5.5252487611355763</v>
      </c>
      <c r="V744" s="318">
        <v>129.11405092593802</v>
      </c>
      <c r="W744" s="318">
        <v>297.66350918508863</v>
      </c>
      <c r="X744" s="3">
        <v>27.745379113292309</v>
      </c>
      <c r="Y744" s="318">
        <v>325.40888829838093</v>
      </c>
    </row>
    <row r="745" spans="1:25" x14ac:dyDescent="0.2">
      <c r="A745" s="314">
        <v>2020</v>
      </c>
      <c r="B745" s="5" t="s">
        <v>466</v>
      </c>
      <c r="C745" s="5" t="s">
        <v>314</v>
      </c>
      <c r="D745" s="5" t="s">
        <v>490</v>
      </c>
      <c r="E745" s="5" t="s">
        <v>355</v>
      </c>
      <c r="F745" s="5" t="s">
        <v>317</v>
      </c>
      <c r="G745" s="5" t="s">
        <v>356</v>
      </c>
      <c r="H745" s="3">
        <v>53.196559045807163</v>
      </c>
      <c r="I745" s="3">
        <v>2.2344408234711892</v>
      </c>
      <c r="J745" s="318">
        <v>55.430999869278352</v>
      </c>
      <c r="K745" s="3">
        <v>2.7121170399183074</v>
      </c>
      <c r="L745" s="3">
        <v>4.6185240237300427</v>
      </c>
      <c r="M745" s="318">
        <v>7.3306410636483506</v>
      </c>
      <c r="N745" s="3">
        <v>5.1745508194292693</v>
      </c>
      <c r="O745" s="3">
        <v>6.8184593851532194</v>
      </c>
      <c r="P745" s="3">
        <v>2.5337550227717784</v>
      </c>
      <c r="Q745" s="3">
        <v>5.8329464699405893</v>
      </c>
      <c r="R745" s="3">
        <v>6.9136960634413169</v>
      </c>
      <c r="S745" s="3">
        <v>8.7601043432601511</v>
      </c>
      <c r="T745" s="3">
        <v>18.537308102982109</v>
      </c>
      <c r="U745" s="3">
        <v>2.3415847587679388</v>
      </c>
      <c r="V745" s="318">
        <v>56.912404965746369</v>
      </c>
      <c r="W745" s="318">
        <v>119.67404589867307</v>
      </c>
      <c r="X745" s="3">
        <v>11.154883521229964</v>
      </c>
      <c r="Y745" s="318">
        <v>130.82892941990303</v>
      </c>
    </row>
    <row r="746" spans="1:25" x14ac:dyDescent="0.2">
      <c r="A746" s="314">
        <v>2020</v>
      </c>
      <c r="B746" s="5" t="s">
        <v>466</v>
      </c>
      <c r="C746" s="5" t="s">
        <v>314</v>
      </c>
      <c r="D746" s="5" t="s">
        <v>487</v>
      </c>
      <c r="E746" s="5" t="s">
        <v>357</v>
      </c>
      <c r="F746" s="5" t="s">
        <v>317</v>
      </c>
      <c r="G746" s="5" t="s">
        <v>358</v>
      </c>
      <c r="H746" s="3">
        <v>23.335610172589558</v>
      </c>
      <c r="I746" s="3">
        <v>1.0174616581036666</v>
      </c>
      <c r="J746" s="318">
        <v>24.353071830693224</v>
      </c>
      <c r="K746" s="3">
        <v>3.3397222712005674</v>
      </c>
      <c r="L746" s="3">
        <v>3.4026600887773033</v>
      </c>
      <c r="M746" s="318">
        <v>6.7423823599778707</v>
      </c>
      <c r="N746" s="3">
        <v>6.8591315946281126</v>
      </c>
      <c r="O746" s="3">
        <v>14.662106933808541</v>
      </c>
      <c r="P746" s="3">
        <v>3.26563645010078</v>
      </c>
      <c r="Q746" s="3">
        <v>6.6489744227121008</v>
      </c>
      <c r="R746" s="3">
        <v>9.0509615361724407</v>
      </c>
      <c r="S746" s="3">
        <v>11.878690355074726</v>
      </c>
      <c r="T746" s="3">
        <v>20.334323139556421</v>
      </c>
      <c r="U746" s="3">
        <v>3.634652410357456</v>
      </c>
      <c r="V746" s="318">
        <v>76.334476842410581</v>
      </c>
      <c r="W746" s="318">
        <v>107.42993103308167</v>
      </c>
      <c r="X746" s="3">
        <v>10.013602852388242</v>
      </c>
      <c r="Y746" s="318">
        <v>117.44353388546992</v>
      </c>
    </row>
    <row r="747" spans="1:25" x14ac:dyDescent="0.2">
      <c r="A747" s="314">
        <v>2020</v>
      </c>
      <c r="B747" s="5" t="s">
        <v>466</v>
      </c>
      <c r="C747" s="5" t="s">
        <v>314</v>
      </c>
      <c r="D747" s="5" t="s">
        <v>489</v>
      </c>
      <c r="E747" s="5" t="s">
        <v>359</v>
      </c>
      <c r="F747" s="5" t="s">
        <v>317</v>
      </c>
      <c r="G747" s="5" t="s">
        <v>360</v>
      </c>
      <c r="H747" s="3">
        <v>508.30406064764492</v>
      </c>
      <c r="I747" s="3">
        <v>35.801034191813812</v>
      </c>
      <c r="J747" s="318">
        <v>544.10509483945873</v>
      </c>
      <c r="K747" s="3">
        <v>30.624860652137706</v>
      </c>
      <c r="L747" s="3">
        <v>22.750331919600562</v>
      </c>
      <c r="M747" s="318">
        <v>53.375192571738268</v>
      </c>
      <c r="N747" s="3">
        <v>17.376628065258036</v>
      </c>
      <c r="O747" s="3">
        <v>45.069117613325886</v>
      </c>
      <c r="P747" s="3">
        <v>11.246556816759925</v>
      </c>
      <c r="Q747" s="3">
        <v>25.813851079118589</v>
      </c>
      <c r="R747" s="3">
        <v>23.375990188210839</v>
      </c>
      <c r="S747" s="3">
        <v>33.260587820467521</v>
      </c>
      <c r="T747" s="3">
        <v>62.020900600800999</v>
      </c>
      <c r="U747" s="3">
        <v>8.5138133343456612</v>
      </c>
      <c r="V747" s="318">
        <v>226.67744551828744</v>
      </c>
      <c r="W747" s="318">
        <v>824.15773292948438</v>
      </c>
      <c r="X747" s="3">
        <v>76.820194762474273</v>
      </c>
      <c r="Y747" s="318">
        <v>900.97792769195871</v>
      </c>
    </row>
    <row r="748" spans="1:25" x14ac:dyDescent="0.2">
      <c r="A748" s="314">
        <v>2020</v>
      </c>
      <c r="B748" s="5" t="s">
        <v>466</v>
      </c>
      <c r="C748" s="5" t="s">
        <v>314</v>
      </c>
      <c r="D748" s="5" t="s">
        <v>490</v>
      </c>
      <c r="E748" s="5" t="s">
        <v>361</v>
      </c>
      <c r="F748" s="5" t="s">
        <v>317</v>
      </c>
      <c r="G748" s="5" t="s">
        <v>362</v>
      </c>
      <c r="H748" s="3">
        <v>158.35293082921032</v>
      </c>
      <c r="I748" s="3">
        <v>0</v>
      </c>
      <c r="J748" s="318">
        <v>158.35293082921032</v>
      </c>
      <c r="K748" s="3">
        <v>1.3987759775137227</v>
      </c>
      <c r="L748" s="3">
        <v>12.36862585118558</v>
      </c>
      <c r="M748" s="318">
        <v>13.767401828699303</v>
      </c>
      <c r="N748" s="3">
        <v>6.8054168001322708</v>
      </c>
      <c r="O748" s="3">
        <v>8.8643779042516222</v>
      </c>
      <c r="P748" s="3">
        <v>2.7428676572783628</v>
      </c>
      <c r="Q748" s="3">
        <v>5.159657558442527</v>
      </c>
      <c r="R748" s="3">
        <v>7.483962006760474</v>
      </c>
      <c r="S748" s="3">
        <v>8.3659092467034064</v>
      </c>
      <c r="T748" s="3">
        <v>13.942725003252963</v>
      </c>
      <c r="U748" s="3">
        <v>2.4964478042882727</v>
      </c>
      <c r="V748" s="318">
        <v>55.861363981109896</v>
      </c>
      <c r="W748" s="318">
        <v>227.9816966390195</v>
      </c>
      <c r="X748" s="3">
        <v>21.250299109414872</v>
      </c>
      <c r="Y748" s="318">
        <v>249.23199574843437</v>
      </c>
    </row>
    <row r="749" spans="1:25" x14ac:dyDescent="0.2">
      <c r="A749" s="314">
        <v>2020</v>
      </c>
      <c r="B749" s="5" t="s">
        <v>466</v>
      </c>
      <c r="C749" s="5" t="s">
        <v>314</v>
      </c>
      <c r="D749" s="5" t="s">
        <v>487</v>
      </c>
      <c r="E749" s="5" t="s">
        <v>363</v>
      </c>
      <c r="F749" s="5" t="s">
        <v>317</v>
      </c>
      <c r="G749" s="5" t="s">
        <v>364</v>
      </c>
      <c r="H749" s="3">
        <v>57.039451049774563</v>
      </c>
      <c r="I749" s="3">
        <v>0</v>
      </c>
      <c r="J749" s="318">
        <v>57.039451049774563</v>
      </c>
      <c r="K749" s="3">
        <v>5.3948598856943679</v>
      </c>
      <c r="L749" s="3">
        <v>7.7393951161660279</v>
      </c>
      <c r="M749" s="318">
        <v>13.134255001860396</v>
      </c>
      <c r="N749" s="3">
        <v>9.0122806450623347</v>
      </c>
      <c r="O749" s="3">
        <v>30.030683099183683</v>
      </c>
      <c r="P749" s="3">
        <v>6.5426490078106037</v>
      </c>
      <c r="Q749" s="3">
        <v>11.280434572624092</v>
      </c>
      <c r="R749" s="3">
        <v>14.555914779651921</v>
      </c>
      <c r="S749" s="3">
        <v>18.712832171088479</v>
      </c>
      <c r="T749" s="3">
        <v>30.899515638629758</v>
      </c>
      <c r="U749" s="3">
        <v>5.2053865983891026</v>
      </c>
      <c r="V749" s="318">
        <v>126.23969651243998</v>
      </c>
      <c r="W749" s="318">
        <v>196.41340256407491</v>
      </c>
      <c r="X749" s="3">
        <v>18.307801087177914</v>
      </c>
      <c r="Y749" s="318">
        <v>214.72120365125284</v>
      </c>
    </row>
    <row r="750" spans="1:25" x14ac:dyDescent="0.2">
      <c r="A750" s="314">
        <v>2020</v>
      </c>
      <c r="B750" s="5" t="s">
        <v>466</v>
      </c>
      <c r="C750" s="5" t="s">
        <v>365</v>
      </c>
      <c r="D750" s="5" t="s">
        <v>491</v>
      </c>
      <c r="E750" s="5" t="s">
        <v>367</v>
      </c>
      <c r="F750" s="5" t="s">
        <v>368</v>
      </c>
      <c r="G750" s="5" t="s">
        <v>370</v>
      </c>
      <c r="H750" s="3">
        <v>768.4908678088791</v>
      </c>
      <c r="I750" s="3">
        <v>0</v>
      </c>
      <c r="J750" s="318">
        <v>768.4908678088791</v>
      </c>
      <c r="K750" s="3">
        <v>85.04483045298511</v>
      </c>
      <c r="L750" s="3">
        <v>122.98604051041298</v>
      </c>
      <c r="M750" s="318">
        <v>208.03087096339809</v>
      </c>
      <c r="N750" s="3">
        <v>125.14764847645375</v>
      </c>
      <c r="O750" s="3">
        <v>444.96267431261577</v>
      </c>
      <c r="P750" s="3">
        <v>50.870643292148465</v>
      </c>
      <c r="Q750" s="3">
        <v>137.68206149090807</v>
      </c>
      <c r="R750" s="3">
        <v>163.88213399862519</v>
      </c>
      <c r="S750" s="3">
        <v>204.01651648372385</v>
      </c>
      <c r="T750" s="3">
        <v>336.11936057004317</v>
      </c>
      <c r="U750" s="3">
        <v>52.715153306894862</v>
      </c>
      <c r="V750" s="318">
        <v>1515.3961919314129</v>
      </c>
      <c r="W750" s="318">
        <v>2491.9179307036902</v>
      </c>
      <c r="X750" s="3">
        <v>232.27303842471889</v>
      </c>
      <c r="Y750" s="318">
        <v>2724.1909691284091</v>
      </c>
    </row>
    <row r="751" spans="1:25" x14ac:dyDescent="0.2">
      <c r="A751" s="314">
        <v>2020</v>
      </c>
      <c r="B751" s="5" t="s">
        <v>466</v>
      </c>
      <c r="C751" s="5" t="s">
        <v>365</v>
      </c>
      <c r="D751" s="5" t="s">
        <v>492</v>
      </c>
      <c r="E751" s="5" t="s">
        <v>371</v>
      </c>
      <c r="F751" s="5" t="s">
        <v>368</v>
      </c>
      <c r="G751" s="5" t="s">
        <v>372</v>
      </c>
      <c r="H751" s="3">
        <v>52.33576855595188</v>
      </c>
      <c r="I751" s="3">
        <v>0</v>
      </c>
      <c r="J751" s="318">
        <v>52.33576855595188</v>
      </c>
      <c r="K751" s="3">
        <v>2.8769560766103734</v>
      </c>
      <c r="L751" s="3">
        <v>14.234733169830925</v>
      </c>
      <c r="M751" s="318">
        <v>17.111689246441298</v>
      </c>
      <c r="N751" s="3">
        <v>10.762799486466848</v>
      </c>
      <c r="O751" s="3">
        <v>58.403581100028227</v>
      </c>
      <c r="P751" s="3">
        <v>8.9312098235287394</v>
      </c>
      <c r="Q751" s="3">
        <v>20.569356065436196</v>
      </c>
      <c r="R751" s="3">
        <v>14.379704394805708</v>
      </c>
      <c r="S751" s="3">
        <v>27.611433564121164</v>
      </c>
      <c r="T751" s="3">
        <v>59.227140050113313</v>
      </c>
      <c r="U751" s="3">
        <v>5.7981698276569169</v>
      </c>
      <c r="V751" s="318">
        <v>205.68339431215713</v>
      </c>
      <c r="W751" s="318">
        <v>275.13085211455029</v>
      </c>
      <c r="X751" s="3">
        <v>25.645097776949012</v>
      </c>
      <c r="Y751" s="318">
        <v>300.77594989149929</v>
      </c>
    </row>
    <row r="752" spans="1:25" x14ac:dyDescent="0.2">
      <c r="A752" s="314">
        <v>2020</v>
      </c>
      <c r="B752" s="5" t="s">
        <v>466</v>
      </c>
      <c r="C752" s="5" t="s">
        <v>365</v>
      </c>
      <c r="D752" s="5" t="s">
        <v>491</v>
      </c>
      <c r="E752" s="5" t="s">
        <v>373</v>
      </c>
      <c r="F752" s="5" t="s">
        <v>368</v>
      </c>
      <c r="G752" s="5" t="s">
        <v>374</v>
      </c>
      <c r="H752" s="3">
        <v>688.56171401853771</v>
      </c>
      <c r="I752" s="3">
        <v>26.095275352984345</v>
      </c>
      <c r="J752" s="318">
        <v>714.65698937152206</v>
      </c>
      <c r="K752" s="3">
        <v>44.789529581451625</v>
      </c>
      <c r="L752" s="3">
        <v>29.558827505580403</v>
      </c>
      <c r="M752" s="318">
        <v>74.348357087032028</v>
      </c>
      <c r="N752" s="3">
        <v>42.52498066286288</v>
      </c>
      <c r="O752" s="3">
        <v>121.6507090080587</v>
      </c>
      <c r="P752" s="3">
        <v>23.986998715451875</v>
      </c>
      <c r="Q752" s="3">
        <v>43.698735740444583</v>
      </c>
      <c r="R752" s="3">
        <v>39.446846222130816</v>
      </c>
      <c r="S752" s="3">
        <v>60.352213290925768</v>
      </c>
      <c r="T752" s="3">
        <v>79.059233114271507</v>
      </c>
      <c r="U752" s="3">
        <v>14.54370785849799</v>
      </c>
      <c r="V752" s="318">
        <v>425.26342461264414</v>
      </c>
      <c r="W752" s="318">
        <v>1214.2687710711982</v>
      </c>
      <c r="X752" s="3">
        <v>113.18265880502375</v>
      </c>
      <c r="Y752" s="318">
        <v>1327.4514298762219</v>
      </c>
    </row>
    <row r="753" spans="1:25" x14ac:dyDescent="0.2">
      <c r="A753" s="314">
        <v>2020</v>
      </c>
      <c r="B753" s="5" t="s">
        <v>466</v>
      </c>
      <c r="C753" s="5" t="s">
        <v>365</v>
      </c>
      <c r="D753" s="5" t="s">
        <v>491</v>
      </c>
      <c r="E753" s="5" t="s">
        <v>375</v>
      </c>
      <c r="F753" s="5" t="s">
        <v>368</v>
      </c>
      <c r="G753" s="5" t="s">
        <v>376</v>
      </c>
      <c r="H753" s="3">
        <v>356.73742794457348</v>
      </c>
      <c r="I753" s="3">
        <v>0</v>
      </c>
      <c r="J753" s="318">
        <v>356.73742794457348</v>
      </c>
      <c r="K753" s="3">
        <v>24.91324881585307</v>
      </c>
      <c r="L753" s="3">
        <v>33.055918200276565</v>
      </c>
      <c r="M753" s="318">
        <v>57.969167016129632</v>
      </c>
      <c r="N753" s="3">
        <v>38.596265685186452</v>
      </c>
      <c r="O753" s="3">
        <v>115.96341484569098</v>
      </c>
      <c r="P753" s="3">
        <v>34.865184482278849</v>
      </c>
      <c r="Q753" s="3">
        <v>59.382145548668547</v>
      </c>
      <c r="R753" s="3">
        <v>50.537541668844128</v>
      </c>
      <c r="S753" s="3">
        <v>71.420457832968808</v>
      </c>
      <c r="T753" s="3">
        <v>126.25219109899072</v>
      </c>
      <c r="U753" s="3">
        <v>22.945131106255314</v>
      </c>
      <c r="V753" s="318">
        <v>519.96233226888376</v>
      </c>
      <c r="W753" s="318">
        <v>934.66892722958687</v>
      </c>
      <c r="X753" s="3">
        <v>87.121003855645597</v>
      </c>
      <c r="Y753" s="318">
        <v>1021.7899310852324</v>
      </c>
    </row>
    <row r="754" spans="1:25" x14ac:dyDescent="0.2">
      <c r="A754" s="314">
        <v>2020</v>
      </c>
      <c r="B754" s="5" t="s">
        <v>466</v>
      </c>
      <c r="C754" s="5" t="s">
        <v>365</v>
      </c>
      <c r="D754" s="5" t="s">
        <v>493</v>
      </c>
      <c r="E754" s="5" t="s">
        <v>377</v>
      </c>
      <c r="F754" s="5" t="s">
        <v>368</v>
      </c>
      <c r="G754" s="5" t="s">
        <v>378</v>
      </c>
      <c r="H754" s="3">
        <v>1.5865171534774312</v>
      </c>
      <c r="I754" s="3">
        <v>0</v>
      </c>
      <c r="J754" s="318">
        <v>1.5865171534774312</v>
      </c>
      <c r="K754" s="3">
        <v>0.33688312696751921</v>
      </c>
      <c r="L754" s="3">
        <v>2.3873499611105284</v>
      </c>
      <c r="M754" s="318">
        <v>2.7242330880780479</v>
      </c>
      <c r="N754" s="3">
        <v>0.36831273287943489</v>
      </c>
      <c r="O754" s="3">
        <v>9.504864504426612</v>
      </c>
      <c r="P754" s="3">
        <v>1.6475554883210486</v>
      </c>
      <c r="Q754" s="3">
        <v>2.0048729726114627</v>
      </c>
      <c r="R754" s="3">
        <v>2.5138159906399768</v>
      </c>
      <c r="S754" s="3">
        <v>6.0821641433564047</v>
      </c>
      <c r="T754" s="3">
        <v>18.184783735601243</v>
      </c>
      <c r="U754" s="3">
        <v>1.2927596494495743</v>
      </c>
      <c r="V754" s="318">
        <v>41.599129217285757</v>
      </c>
      <c r="W754" s="318">
        <v>45.909879458841232</v>
      </c>
      <c r="X754" s="3">
        <v>4.2792850696356401</v>
      </c>
      <c r="Y754" s="318">
        <v>50.189164528476873</v>
      </c>
    </row>
    <row r="755" spans="1:25" x14ac:dyDescent="0.2">
      <c r="A755" s="314">
        <v>2020</v>
      </c>
      <c r="B755" s="5" t="s">
        <v>466</v>
      </c>
      <c r="C755" s="5" t="s">
        <v>365</v>
      </c>
      <c r="D755" s="5" t="s">
        <v>491</v>
      </c>
      <c r="E755" s="5" t="s">
        <v>379</v>
      </c>
      <c r="F755" s="5" t="s">
        <v>368</v>
      </c>
      <c r="G755" s="5" t="s">
        <v>380</v>
      </c>
      <c r="H755" s="3">
        <v>51.580071855788738</v>
      </c>
      <c r="I755" s="3">
        <v>28.509513804232704</v>
      </c>
      <c r="J755" s="318">
        <v>80.089585660021442</v>
      </c>
      <c r="K755" s="3">
        <v>2.1347555996642131</v>
      </c>
      <c r="L755" s="3">
        <v>8.9745531738884878</v>
      </c>
      <c r="M755" s="318">
        <v>11.109308773552701</v>
      </c>
      <c r="N755" s="3">
        <v>7.9684148180327687</v>
      </c>
      <c r="O755" s="3">
        <v>30.39878808129809</v>
      </c>
      <c r="P755" s="3">
        <v>4.2020656019511202</v>
      </c>
      <c r="Q755" s="3">
        <v>9.2146746435990021</v>
      </c>
      <c r="R755" s="3">
        <v>7.8965966776642649</v>
      </c>
      <c r="S755" s="3">
        <v>17.553692153536318</v>
      </c>
      <c r="T755" s="3">
        <v>38.302376469251826</v>
      </c>
      <c r="U755" s="3">
        <v>2.7981649108571869</v>
      </c>
      <c r="V755" s="318">
        <v>118.33477335619057</v>
      </c>
      <c r="W755" s="318">
        <v>209.53366778976471</v>
      </c>
      <c r="X755" s="3">
        <v>19.530748212105326</v>
      </c>
      <c r="Y755" s="318">
        <v>229.06441600187003</v>
      </c>
    </row>
    <row r="756" spans="1:25" x14ac:dyDescent="0.2">
      <c r="A756" s="314">
        <v>2020</v>
      </c>
      <c r="B756" s="5" t="s">
        <v>466</v>
      </c>
      <c r="C756" s="5" t="s">
        <v>365</v>
      </c>
      <c r="D756" s="5" t="s">
        <v>492</v>
      </c>
      <c r="E756" s="5" t="s">
        <v>381</v>
      </c>
      <c r="F756" s="5" t="s">
        <v>368</v>
      </c>
      <c r="G756" s="5" t="s">
        <v>382</v>
      </c>
      <c r="H756" s="3">
        <v>135.15103995969142</v>
      </c>
      <c r="I756" s="3">
        <v>0</v>
      </c>
      <c r="J756" s="318">
        <v>135.15103995969142</v>
      </c>
      <c r="K756" s="3">
        <v>6.665816951460652</v>
      </c>
      <c r="L756" s="3">
        <v>24.928737208285387</v>
      </c>
      <c r="M756" s="318">
        <v>31.594554159746039</v>
      </c>
      <c r="N756" s="3">
        <v>24.35030340211847</v>
      </c>
      <c r="O756" s="3">
        <v>91.068193120289749</v>
      </c>
      <c r="P756" s="3">
        <v>12.624272115077426</v>
      </c>
      <c r="Q756" s="3">
        <v>32.438595519603339</v>
      </c>
      <c r="R756" s="3">
        <v>25.89665089559039</v>
      </c>
      <c r="S756" s="3">
        <v>45.108790658945999</v>
      </c>
      <c r="T756" s="3">
        <v>102.35574806142566</v>
      </c>
      <c r="U756" s="3">
        <v>9.4110156792697151</v>
      </c>
      <c r="V756" s="318">
        <v>343.25356945232073</v>
      </c>
      <c r="W756" s="318">
        <v>509.99916357175823</v>
      </c>
      <c r="X756" s="3">
        <v>47.537302034431747</v>
      </c>
      <c r="Y756" s="318">
        <v>557.53646560618995</v>
      </c>
    </row>
    <row r="757" spans="1:25" x14ac:dyDescent="0.2">
      <c r="A757" s="314">
        <v>2020</v>
      </c>
      <c r="B757" s="5" t="s">
        <v>466</v>
      </c>
      <c r="C757" s="5" t="s">
        <v>365</v>
      </c>
      <c r="D757" s="5" t="s">
        <v>492</v>
      </c>
      <c r="E757" s="5" t="s">
        <v>383</v>
      </c>
      <c r="F757" s="5" t="s">
        <v>368</v>
      </c>
      <c r="G757" s="5" t="s">
        <v>384</v>
      </c>
      <c r="H757" s="3">
        <v>70.523518589421357</v>
      </c>
      <c r="I757" s="3">
        <v>0</v>
      </c>
      <c r="J757" s="318">
        <v>70.523518589421357</v>
      </c>
      <c r="K757" s="3">
        <v>2.9138202283365611</v>
      </c>
      <c r="L757" s="3">
        <v>10.581496722703445</v>
      </c>
      <c r="M757" s="318">
        <v>13.495316951040007</v>
      </c>
      <c r="N757" s="3">
        <v>19.998900808444798</v>
      </c>
      <c r="O757" s="3">
        <v>27.389456393878358</v>
      </c>
      <c r="P757" s="3">
        <v>5.8080070122848779</v>
      </c>
      <c r="Q757" s="3">
        <v>14.773419025051778</v>
      </c>
      <c r="R757" s="3">
        <v>5.664663783198991</v>
      </c>
      <c r="S757" s="3">
        <v>19.665463749413988</v>
      </c>
      <c r="T757" s="3">
        <v>41.926043613503857</v>
      </c>
      <c r="U757" s="3">
        <v>3.5909163732107694</v>
      </c>
      <c r="V757" s="318">
        <v>138.81687075898742</v>
      </c>
      <c r="W757" s="318">
        <v>222.83570629944876</v>
      </c>
      <c r="X757" s="3">
        <v>20.77063852463036</v>
      </c>
      <c r="Y757" s="318">
        <v>243.60634482407912</v>
      </c>
    </row>
    <row r="758" spans="1:25" x14ac:dyDescent="0.2">
      <c r="A758" s="314">
        <v>2020</v>
      </c>
      <c r="B758" s="5" t="s">
        <v>466</v>
      </c>
      <c r="C758" s="5" t="s">
        <v>365</v>
      </c>
      <c r="D758" s="5" t="s">
        <v>492</v>
      </c>
      <c r="E758" s="5" t="s">
        <v>385</v>
      </c>
      <c r="F758" s="5" t="s">
        <v>368</v>
      </c>
      <c r="G758" s="5" t="s">
        <v>386</v>
      </c>
      <c r="H758" s="3">
        <v>48.149303622408212</v>
      </c>
      <c r="I758" s="3">
        <v>0</v>
      </c>
      <c r="J758" s="318">
        <v>48.149303622408212</v>
      </c>
      <c r="K758" s="3">
        <v>2.6651478179434696</v>
      </c>
      <c r="L758" s="3">
        <v>13.547570417581994</v>
      </c>
      <c r="M758" s="318">
        <v>16.212718235525465</v>
      </c>
      <c r="N758" s="3">
        <v>22.0660476610826</v>
      </c>
      <c r="O758" s="3">
        <v>53.980950305137355</v>
      </c>
      <c r="P758" s="3">
        <v>7.9470805465360961</v>
      </c>
      <c r="Q758" s="3">
        <v>18.314996727025715</v>
      </c>
      <c r="R758" s="3">
        <v>9.8081408549055684</v>
      </c>
      <c r="S758" s="3">
        <v>29.141173787858051</v>
      </c>
      <c r="T758" s="3">
        <v>57.631728014010086</v>
      </c>
      <c r="U758" s="3">
        <v>4.1463918538017595</v>
      </c>
      <c r="V758" s="318">
        <v>203.03650975035723</v>
      </c>
      <c r="W758" s="318">
        <v>267.39853160829091</v>
      </c>
      <c r="X758" s="3">
        <v>24.924363937389757</v>
      </c>
      <c r="Y758" s="318">
        <v>292.32289554568069</v>
      </c>
    </row>
    <row r="759" spans="1:25" x14ac:dyDescent="0.2">
      <c r="A759" s="314">
        <v>2020</v>
      </c>
      <c r="B759" s="5" t="s">
        <v>466</v>
      </c>
      <c r="C759" s="5" t="s">
        <v>365</v>
      </c>
      <c r="D759" s="5" t="s">
        <v>491</v>
      </c>
      <c r="E759" s="5" t="s">
        <v>387</v>
      </c>
      <c r="F759" s="5" t="s">
        <v>368</v>
      </c>
      <c r="G759" s="5" t="s">
        <v>494</v>
      </c>
      <c r="H759" s="3">
        <v>846.16688777451543</v>
      </c>
      <c r="I759" s="3">
        <v>0</v>
      </c>
      <c r="J759" s="318">
        <v>846.16688777451543</v>
      </c>
      <c r="K759" s="3">
        <v>32.271649485812489</v>
      </c>
      <c r="L759" s="3">
        <v>109.73926716372834</v>
      </c>
      <c r="M759" s="318">
        <v>142.01091664954083</v>
      </c>
      <c r="N759" s="3">
        <v>89.638818256083425</v>
      </c>
      <c r="O759" s="3">
        <v>350.01937442747379</v>
      </c>
      <c r="P759" s="3">
        <v>58.493616201847601</v>
      </c>
      <c r="Q759" s="3">
        <v>105.72525572704561</v>
      </c>
      <c r="R759" s="3">
        <v>81.681495948804596</v>
      </c>
      <c r="S759" s="3">
        <v>180.52361417597533</v>
      </c>
      <c r="T759" s="3">
        <v>416.08106247160413</v>
      </c>
      <c r="U759" s="3">
        <v>31.643117207591523</v>
      </c>
      <c r="V759" s="318">
        <v>1313.8063544164261</v>
      </c>
      <c r="W759" s="318">
        <v>2301.9841588404825</v>
      </c>
      <c r="X759" s="3">
        <v>214.56920727259234</v>
      </c>
      <c r="Y759" s="318">
        <v>2516.5533661130748</v>
      </c>
    </row>
    <row r="760" spans="1:25" x14ac:dyDescent="0.2">
      <c r="A760" s="312">
        <v>2020</v>
      </c>
      <c r="B760" s="309" t="s">
        <v>466</v>
      </c>
      <c r="C760" s="315" t="s">
        <v>365</v>
      </c>
      <c r="D760" s="315" t="s">
        <v>493</v>
      </c>
      <c r="E760" s="309" t="s">
        <v>389</v>
      </c>
      <c r="F760" s="315" t="s">
        <v>368</v>
      </c>
      <c r="G760" s="309" t="s">
        <v>390</v>
      </c>
      <c r="H760" s="313">
        <v>11.845459074523154</v>
      </c>
      <c r="I760" s="313">
        <v>0</v>
      </c>
      <c r="J760" s="318">
        <v>11.845459074523154</v>
      </c>
      <c r="K760" s="313">
        <v>0.73603618274671245</v>
      </c>
      <c r="L760" s="313">
        <v>4.1195421424582737</v>
      </c>
      <c r="M760" s="318">
        <v>4.855578325204986</v>
      </c>
      <c r="N760" s="313">
        <v>7.7570679183662072</v>
      </c>
      <c r="O760" s="313">
        <v>15.758960784502056</v>
      </c>
      <c r="P760" s="313">
        <v>1.6253419345432993</v>
      </c>
      <c r="Q760" s="313">
        <v>3.7723408471045179</v>
      </c>
      <c r="R760" s="313">
        <v>3.1074889804458601</v>
      </c>
      <c r="S760" s="313">
        <v>10.159739279586312</v>
      </c>
      <c r="T760" s="313">
        <v>21.220902681830456</v>
      </c>
      <c r="U760" s="313">
        <v>1.7252928763960005</v>
      </c>
      <c r="V760" s="318">
        <v>65.127135302774704</v>
      </c>
      <c r="W760" s="318">
        <v>81.82817270250284</v>
      </c>
      <c r="X760" s="313">
        <v>7.6272489026096268</v>
      </c>
      <c r="Y760" s="318">
        <v>89.455421605112463</v>
      </c>
    </row>
    <row r="761" spans="1:25" x14ac:dyDescent="0.2">
      <c r="A761" s="316">
        <v>2021</v>
      </c>
      <c r="B761" s="316" t="s">
        <v>466</v>
      </c>
      <c r="C761" s="316"/>
      <c r="D761" s="316"/>
      <c r="E761" s="316"/>
      <c r="F761" s="316"/>
      <c r="G761" s="316" t="s">
        <v>467</v>
      </c>
      <c r="H761" s="3">
        <v>12090.803450436861</v>
      </c>
      <c r="I761" s="3">
        <v>6142.529374014528</v>
      </c>
      <c r="J761" s="318">
        <v>18233.33282445139</v>
      </c>
      <c r="K761" s="3">
        <v>25580.822866131239</v>
      </c>
      <c r="L761" s="3">
        <v>9436.8259527712617</v>
      </c>
      <c r="M761" s="318">
        <v>35017.648818902497</v>
      </c>
      <c r="N761" s="3">
        <v>8875.0908865081929</v>
      </c>
      <c r="O761" s="3">
        <v>31313.867848915936</v>
      </c>
      <c r="P761" s="3">
        <v>4636.4748780590498</v>
      </c>
      <c r="Q761" s="3">
        <v>8531.8995680943826</v>
      </c>
      <c r="R761" s="3">
        <v>14682.965468480799</v>
      </c>
      <c r="S761" s="3">
        <v>15249.145087504554</v>
      </c>
      <c r="T761" s="3">
        <v>20552.038659266589</v>
      </c>
      <c r="U761" s="3">
        <v>4617.008261970037</v>
      </c>
      <c r="V761" s="318">
        <v>108458.49065879955</v>
      </c>
      <c r="W761" s="318">
        <v>161709.47230215342</v>
      </c>
      <c r="X761" s="3">
        <v>16127.052443450317</v>
      </c>
      <c r="Y761" s="318">
        <v>177836.52474560376</v>
      </c>
    </row>
    <row r="762" spans="1:25" x14ac:dyDescent="0.2">
      <c r="A762" s="316">
        <v>2021</v>
      </c>
      <c r="B762" s="316" t="s">
        <v>466</v>
      </c>
      <c r="C762" s="316" t="s">
        <v>90</v>
      </c>
      <c r="D762" s="316" t="s">
        <v>468</v>
      </c>
      <c r="E762" s="316" t="s">
        <v>93</v>
      </c>
      <c r="F762" s="316" t="s">
        <v>94</v>
      </c>
      <c r="G762" s="316" t="s">
        <v>469</v>
      </c>
      <c r="H762" s="3">
        <v>51.605201223890418</v>
      </c>
      <c r="I762" s="3">
        <v>67.045171935887396</v>
      </c>
      <c r="J762" s="318">
        <v>118.65037315977781</v>
      </c>
      <c r="K762" s="3">
        <v>9434.5080410303672</v>
      </c>
      <c r="L762" s="3">
        <v>3891.7945815922449</v>
      </c>
      <c r="M762" s="318">
        <v>13326.302622622612</v>
      </c>
      <c r="N762" s="3">
        <v>5932.3565746040858</v>
      </c>
      <c r="O762" s="3">
        <v>14092.637726683779</v>
      </c>
      <c r="P762" s="3">
        <v>2013.5533590753482</v>
      </c>
      <c r="Q762" s="3">
        <v>6316.9878857983331</v>
      </c>
      <c r="R762" s="3">
        <v>6401.1779694342786</v>
      </c>
      <c r="S762" s="3">
        <v>7074.7970594639928</v>
      </c>
      <c r="T762" s="3">
        <v>9204.3477983507473</v>
      </c>
      <c r="U762" s="3">
        <v>1951.4663799039261</v>
      </c>
      <c r="V762" s="318">
        <v>52987.324753314489</v>
      </c>
      <c r="W762" s="318">
        <v>66432.277749096873</v>
      </c>
      <c r="X762" s="3">
        <v>6625.195246421421</v>
      </c>
      <c r="Y762" s="318">
        <v>73057.472995518299</v>
      </c>
    </row>
    <row r="763" spans="1:25" x14ac:dyDescent="0.2">
      <c r="A763" s="316">
        <v>2021</v>
      </c>
      <c r="B763" s="316" t="s">
        <v>466</v>
      </c>
      <c r="C763" s="316" t="s">
        <v>90</v>
      </c>
      <c r="D763" s="316" t="s">
        <v>470</v>
      </c>
      <c r="E763" s="316" t="s">
        <v>98</v>
      </c>
      <c r="F763" s="316" t="s">
        <v>94</v>
      </c>
      <c r="G763" s="316" t="s">
        <v>99</v>
      </c>
      <c r="H763" s="3">
        <v>107.08577720047934</v>
      </c>
      <c r="I763" s="3">
        <v>71.884471975758785</v>
      </c>
      <c r="J763" s="318">
        <v>178.97024917623813</v>
      </c>
      <c r="K763" s="3">
        <v>316.37220389225934</v>
      </c>
      <c r="L763" s="3">
        <v>230.86123918586281</v>
      </c>
      <c r="M763" s="318">
        <v>547.23344307812215</v>
      </c>
      <c r="N763" s="3">
        <v>25.807791553033372</v>
      </c>
      <c r="O763" s="3">
        <v>278.58097276576109</v>
      </c>
      <c r="P763" s="3">
        <v>20.802863889740411</v>
      </c>
      <c r="Q763" s="3">
        <v>11.271860172098819</v>
      </c>
      <c r="R763" s="3">
        <v>66.823878534233117</v>
      </c>
      <c r="S763" s="3">
        <v>78.870074068718068</v>
      </c>
      <c r="T763" s="3">
        <v>64.472820894261886</v>
      </c>
      <c r="U763" s="3">
        <v>25.321864830190982</v>
      </c>
      <c r="V763" s="318">
        <v>571.95212670803778</v>
      </c>
      <c r="W763" s="318">
        <v>1298.1558189623981</v>
      </c>
      <c r="X763" s="3">
        <v>129.46320752972989</v>
      </c>
      <c r="Y763" s="318">
        <v>1427.6190264921281</v>
      </c>
    </row>
    <row r="764" spans="1:25" x14ac:dyDescent="0.2">
      <c r="A764" s="316">
        <v>2021</v>
      </c>
      <c r="B764" s="316" t="s">
        <v>466</v>
      </c>
      <c r="C764" s="316" t="s">
        <v>90</v>
      </c>
      <c r="D764" s="316" t="s">
        <v>470</v>
      </c>
      <c r="E764" s="316" t="s">
        <v>101</v>
      </c>
      <c r="F764" s="316" t="s">
        <v>94</v>
      </c>
      <c r="G764" s="316" t="s">
        <v>102</v>
      </c>
      <c r="H764" s="3">
        <v>16.128737853854567</v>
      </c>
      <c r="I764" s="3">
        <v>23.734657789062226</v>
      </c>
      <c r="J764" s="318">
        <v>39.863395642916792</v>
      </c>
      <c r="K764" s="3">
        <v>787.98576049673841</v>
      </c>
      <c r="L764" s="3">
        <v>417.19642580085167</v>
      </c>
      <c r="M764" s="318">
        <v>1205.1821862975901</v>
      </c>
      <c r="N764" s="3">
        <v>90.120899896547982</v>
      </c>
      <c r="O764" s="3">
        <v>1868.6596740332648</v>
      </c>
      <c r="P764" s="3">
        <v>317.02284107588849</v>
      </c>
      <c r="Q764" s="3">
        <v>194.07707065367259</v>
      </c>
      <c r="R764" s="3">
        <v>952.99414977127856</v>
      </c>
      <c r="S764" s="3">
        <v>770.21489071076803</v>
      </c>
      <c r="T764" s="3">
        <v>1102.1920536002028</v>
      </c>
      <c r="U764" s="3">
        <v>312.46483190301529</v>
      </c>
      <c r="V764" s="318">
        <v>5607.746411644639</v>
      </c>
      <c r="W764" s="318">
        <v>6852.791993585146</v>
      </c>
      <c r="X764" s="3">
        <v>683.41906192178237</v>
      </c>
      <c r="Y764" s="318">
        <v>7536.2110555069285</v>
      </c>
    </row>
    <row r="765" spans="1:25" x14ac:dyDescent="0.2">
      <c r="A765" s="316">
        <v>2021</v>
      </c>
      <c r="B765" s="316" t="s">
        <v>466</v>
      </c>
      <c r="C765" s="316" t="s">
        <v>90</v>
      </c>
      <c r="D765" s="316" t="s">
        <v>471</v>
      </c>
      <c r="E765" s="316" t="s">
        <v>104</v>
      </c>
      <c r="F765" s="316" t="s">
        <v>94</v>
      </c>
      <c r="G765" s="316" t="s">
        <v>105</v>
      </c>
      <c r="H765" s="3">
        <v>62.918357111395601</v>
      </c>
      <c r="I765" s="3">
        <v>42.33494163478732</v>
      </c>
      <c r="J765" s="318">
        <v>105.25329874618292</v>
      </c>
      <c r="K765" s="3">
        <v>286.34476826389317</v>
      </c>
      <c r="L765" s="3">
        <v>97.333551823583491</v>
      </c>
      <c r="M765" s="318">
        <v>383.67832008747666</v>
      </c>
      <c r="N765" s="3">
        <v>121.49341366446193</v>
      </c>
      <c r="O765" s="3">
        <v>226.47044282110403</v>
      </c>
      <c r="P765" s="3">
        <v>47.479244455267668</v>
      </c>
      <c r="Q765" s="3">
        <v>31.669241297194038</v>
      </c>
      <c r="R765" s="3">
        <v>125.86327188585317</v>
      </c>
      <c r="S765" s="3">
        <v>129.84517887312478</v>
      </c>
      <c r="T765" s="3">
        <v>179.83697678556109</v>
      </c>
      <c r="U765" s="3">
        <v>45.067646305299085</v>
      </c>
      <c r="V765" s="318">
        <v>907.72541608786571</v>
      </c>
      <c r="W765" s="318">
        <v>1396.6570349215253</v>
      </c>
      <c r="X765" s="3">
        <v>139.28659173166645</v>
      </c>
      <c r="Y765" s="318">
        <v>1535.9436266531918</v>
      </c>
    </row>
    <row r="766" spans="1:25" x14ac:dyDescent="0.2">
      <c r="A766" s="316">
        <v>2021</v>
      </c>
      <c r="B766" s="316" t="s">
        <v>466</v>
      </c>
      <c r="C766" s="316" t="s">
        <v>90</v>
      </c>
      <c r="D766" s="316" t="s">
        <v>470</v>
      </c>
      <c r="E766" s="316" t="s">
        <v>106</v>
      </c>
      <c r="F766" s="316" t="s">
        <v>94</v>
      </c>
      <c r="G766" s="316" t="s">
        <v>107</v>
      </c>
      <c r="H766" s="3">
        <v>6.5342403968350329</v>
      </c>
      <c r="I766" s="3">
        <v>4.5265176251844004</v>
      </c>
      <c r="J766" s="318">
        <v>11.060758022019433</v>
      </c>
      <c r="K766" s="3">
        <v>501.97771965575271</v>
      </c>
      <c r="L766" s="3">
        <v>235.54357126755895</v>
      </c>
      <c r="M766" s="318">
        <v>737.52129092331165</v>
      </c>
      <c r="N766" s="3">
        <v>152.16992779817116</v>
      </c>
      <c r="O766" s="3">
        <v>252.85686606237127</v>
      </c>
      <c r="P766" s="3">
        <v>48.444491362544447</v>
      </c>
      <c r="Q766" s="3">
        <v>27.030228798145082</v>
      </c>
      <c r="R766" s="3">
        <v>129.70954126173206</v>
      </c>
      <c r="S766" s="3">
        <v>125.73944874656557</v>
      </c>
      <c r="T766" s="3">
        <v>124.10580127648943</v>
      </c>
      <c r="U766" s="3">
        <v>41.059286427652253</v>
      </c>
      <c r="V766" s="318">
        <v>901.11559173367129</v>
      </c>
      <c r="W766" s="318">
        <v>1649.6976406790022</v>
      </c>
      <c r="X766" s="3">
        <v>164.52196639016705</v>
      </c>
      <c r="Y766" s="318">
        <v>1814.2196070691693</v>
      </c>
    </row>
    <row r="767" spans="1:25" x14ac:dyDescent="0.2">
      <c r="A767" s="316">
        <v>2021</v>
      </c>
      <c r="B767" s="316" t="s">
        <v>466</v>
      </c>
      <c r="C767" s="316" t="s">
        <v>90</v>
      </c>
      <c r="D767" s="316" t="s">
        <v>471</v>
      </c>
      <c r="E767" s="316" t="s">
        <v>109</v>
      </c>
      <c r="F767" s="316" t="s">
        <v>94</v>
      </c>
      <c r="G767" s="316" t="s">
        <v>110</v>
      </c>
      <c r="H767" s="3">
        <v>29.02048174276586</v>
      </c>
      <c r="I767" s="3">
        <v>0</v>
      </c>
      <c r="J767" s="318">
        <v>29.02048174276586</v>
      </c>
      <c r="K767" s="3">
        <v>2152.3324054852478</v>
      </c>
      <c r="L767" s="3">
        <v>412.83456351756422</v>
      </c>
      <c r="M767" s="318">
        <v>2565.166969002812</v>
      </c>
      <c r="N767" s="3">
        <v>413.93588049507019</v>
      </c>
      <c r="O767" s="3">
        <v>2106.5232850420384</v>
      </c>
      <c r="P767" s="3">
        <v>374.00414091092398</v>
      </c>
      <c r="Q767" s="3">
        <v>571.69586826310297</v>
      </c>
      <c r="R767" s="3">
        <v>1482.4225458591484</v>
      </c>
      <c r="S767" s="3">
        <v>1058.7425594105209</v>
      </c>
      <c r="T767" s="3">
        <v>1228.3860519285975</v>
      </c>
      <c r="U767" s="3">
        <v>417.23353497879009</v>
      </c>
      <c r="V767" s="318">
        <v>7652.9438668881921</v>
      </c>
      <c r="W767" s="318">
        <v>10247.13131763377</v>
      </c>
      <c r="X767" s="3">
        <v>1021.9316271444005</v>
      </c>
      <c r="Y767" s="318">
        <v>11269.06294477817</v>
      </c>
    </row>
    <row r="768" spans="1:25" x14ac:dyDescent="0.2">
      <c r="A768" s="316">
        <v>2021</v>
      </c>
      <c r="B768" s="316" t="s">
        <v>466</v>
      </c>
      <c r="C768" s="316" t="s">
        <v>90</v>
      </c>
      <c r="D768" s="316" t="s">
        <v>470</v>
      </c>
      <c r="E768" s="316" t="s">
        <v>112</v>
      </c>
      <c r="F768" s="316" t="s">
        <v>94</v>
      </c>
      <c r="G768" s="316" t="s">
        <v>113</v>
      </c>
      <c r="H768" s="3">
        <v>121.41752916129728</v>
      </c>
      <c r="I768" s="3">
        <v>154.20934579496424</v>
      </c>
      <c r="J768" s="318">
        <v>275.62687495626153</v>
      </c>
      <c r="K768" s="3">
        <v>1248.5728432852666</v>
      </c>
      <c r="L768" s="3">
        <v>541.93211430894735</v>
      </c>
      <c r="M768" s="318">
        <v>1790.5049575942139</v>
      </c>
      <c r="N768" s="3">
        <v>69.712834010306679</v>
      </c>
      <c r="O768" s="3">
        <v>397.18287402087145</v>
      </c>
      <c r="P768" s="3">
        <v>38.588411121894858</v>
      </c>
      <c r="Q768" s="3">
        <v>27.554863150554951</v>
      </c>
      <c r="R768" s="3">
        <v>118.67557359770696</v>
      </c>
      <c r="S768" s="3">
        <v>127.00351913845165</v>
      </c>
      <c r="T768" s="3">
        <v>121.29568544070919</v>
      </c>
      <c r="U768" s="3">
        <v>37.553003934881858</v>
      </c>
      <c r="V768" s="318">
        <v>937.56676441537763</v>
      </c>
      <c r="W768" s="318">
        <v>3003.6985969658531</v>
      </c>
      <c r="X768" s="3">
        <v>299.5545289213178</v>
      </c>
      <c r="Y768" s="318">
        <v>3303.2531258871709</v>
      </c>
    </row>
    <row r="769" spans="1:25" x14ac:dyDescent="0.2">
      <c r="A769" s="316">
        <v>2021</v>
      </c>
      <c r="B769" s="316" t="s">
        <v>466</v>
      </c>
      <c r="C769" s="316" t="s">
        <v>90</v>
      </c>
      <c r="D769" s="316" t="s">
        <v>471</v>
      </c>
      <c r="E769" s="316" t="s">
        <v>115</v>
      </c>
      <c r="F769" s="316" t="s">
        <v>94</v>
      </c>
      <c r="G769" s="316" t="s">
        <v>116</v>
      </c>
      <c r="H769" s="3">
        <v>1.0228163049889094</v>
      </c>
      <c r="I769" s="3">
        <v>0</v>
      </c>
      <c r="J769" s="318">
        <v>1.0228163049889094</v>
      </c>
      <c r="K769" s="3">
        <v>2857.4182836886039</v>
      </c>
      <c r="L769" s="3">
        <v>597.08596934740171</v>
      </c>
      <c r="M769" s="318">
        <v>3454.5042530360056</v>
      </c>
      <c r="N769" s="3">
        <v>153.80163919160427</v>
      </c>
      <c r="O769" s="3">
        <v>2066.7154284210205</v>
      </c>
      <c r="P769" s="3">
        <v>291.7299704956738</v>
      </c>
      <c r="Q769" s="3">
        <v>273.98566992371377</v>
      </c>
      <c r="R769" s="3">
        <v>916.16564235959299</v>
      </c>
      <c r="S769" s="3">
        <v>830.35901233012976</v>
      </c>
      <c r="T769" s="3">
        <v>872.16448577265533</v>
      </c>
      <c r="U769" s="3">
        <v>264.45423570160392</v>
      </c>
      <c r="V769" s="318">
        <v>5669.3760841959938</v>
      </c>
      <c r="W769" s="318">
        <v>9124.9031535369886</v>
      </c>
      <c r="X769" s="3">
        <v>910.01343089867089</v>
      </c>
      <c r="Y769" s="318">
        <v>10034.916584435659</v>
      </c>
    </row>
    <row r="770" spans="1:25" x14ac:dyDescent="0.2">
      <c r="A770" s="316">
        <v>2021</v>
      </c>
      <c r="B770" s="316" t="s">
        <v>466</v>
      </c>
      <c r="C770" s="316" t="s">
        <v>90</v>
      </c>
      <c r="D770" s="316" t="s">
        <v>471</v>
      </c>
      <c r="E770" s="316" t="s">
        <v>118</v>
      </c>
      <c r="F770" s="316" t="s">
        <v>94</v>
      </c>
      <c r="G770" s="316" t="s">
        <v>119</v>
      </c>
      <c r="H770" s="3">
        <v>8.0041427377132344</v>
      </c>
      <c r="I770" s="3">
        <v>0</v>
      </c>
      <c r="J770" s="318">
        <v>8.0041427377132344</v>
      </c>
      <c r="K770" s="3">
        <v>1014.4654114826897</v>
      </c>
      <c r="L770" s="3">
        <v>170.88040326041573</v>
      </c>
      <c r="M770" s="318">
        <v>1185.3458147431054</v>
      </c>
      <c r="N770" s="3">
        <v>105.97234474293013</v>
      </c>
      <c r="O770" s="3">
        <v>334.77763831673008</v>
      </c>
      <c r="P770" s="3">
        <v>67.652719821086166</v>
      </c>
      <c r="Q770" s="3">
        <v>30.976149387260623</v>
      </c>
      <c r="R770" s="3">
        <v>216.48889847062517</v>
      </c>
      <c r="S770" s="3">
        <v>164.87696418312026</v>
      </c>
      <c r="T770" s="3">
        <v>136.58862128782462</v>
      </c>
      <c r="U770" s="3">
        <v>54.097407125789786</v>
      </c>
      <c r="V770" s="318">
        <v>1111.4307433353667</v>
      </c>
      <c r="W770" s="318">
        <v>2304.7807008161853</v>
      </c>
      <c r="X770" s="3">
        <v>229.85245516888526</v>
      </c>
      <c r="Y770" s="318">
        <v>2534.6331559850705</v>
      </c>
    </row>
    <row r="771" spans="1:25" x14ac:dyDescent="0.2">
      <c r="A771" s="316">
        <v>2021</v>
      </c>
      <c r="B771" s="316" t="s">
        <v>466</v>
      </c>
      <c r="C771" s="316" t="s">
        <v>90</v>
      </c>
      <c r="D771" s="316" t="s">
        <v>471</v>
      </c>
      <c r="E771" s="316" t="s">
        <v>120</v>
      </c>
      <c r="F771" s="316" t="s">
        <v>94</v>
      </c>
      <c r="G771" s="316" t="s">
        <v>121</v>
      </c>
      <c r="H771" s="3">
        <v>7.0529887494779411</v>
      </c>
      <c r="I771" s="3">
        <v>0</v>
      </c>
      <c r="J771" s="318">
        <v>7.0529887494779411</v>
      </c>
      <c r="K771" s="3">
        <v>1228.0959193142605</v>
      </c>
      <c r="L771" s="3">
        <v>159.87369082000009</v>
      </c>
      <c r="M771" s="318">
        <v>1387.9696101342606</v>
      </c>
      <c r="N771" s="3">
        <v>68.480581589080728</v>
      </c>
      <c r="O771" s="3">
        <v>767.90856316283976</v>
      </c>
      <c r="P771" s="3">
        <v>116.47348487655144</v>
      </c>
      <c r="Q771" s="3">
        <v>100.15051433640511</v>
      </c>
      <c r="R771" s="3">
        <v>384.67838570993575</v>
      </c>
      <c r="S771" s="3">
        <v>344.21294824098504</v>
      </c>
      <c r="T771" s="3">
        <v>486.06399153832456</v>
      </c>
      <c r="U771" s="3">
        <v>99.286257270425438</v>
      </c>
      <c r="V771" s="318">
        <v>2367.2547267245477</v>
      </c>
      <c r="W771" s="318">
        <v>3762.2773256082864</v>
      </c>
      <c r="X771" s="3">
        <v>375.20649145103221</v>
      </c>
      <c r="Y771" s="318">
        <v>4137.4838170593184</v>
      </c>
    </row>
    <row r="772" spans="1:25" x14ac:dyDescent="0.2">
      <c r="A772" s="316">
        <v>2021</v>
      </c>
      <c r="B772" s="316" t="s">
        <v>466</v>
      </c>
      <c r="C772" s="316" t="s">
        <v>122</v>
      </c>
      <c r="D772" s="316" t="s">
        <v>472</v>
      </c>
      <c r="E772" s="316" t="s">
        <v>125</v>
      </c>
      <c r="F772" s="316" t="s">
        <v>126</v>
      </c>
      <c r="G772" s="316" t="s">
        <v>128</v>
      </c>
      <c r="H772" s="3">
        <v>48.110044489168516</v>
      </c>
      <c r="I772" s="3">
        <v>32.29533381218873</v>
      </c>
      <c r="J772" s="318">
        <v>80.405378301357246</v>
      </c>
      <c r="K772" s="3">
        <v>10.535270341613094</v>
      </c>
      <c r="L772" s="3">
        <v>14.131168518478793</v>
      </c>
      <c r="M772" s="318">
        <v>24.666438860091887</v>
      </c>
      <c r="N772" s="3">
        <v>24.276705267349865</v>
      </c>
      <c r="O772" s="3">
        <v>99.058528641137627</v>
      </c>
      <c r="P772" s="3">
        <v>14.133826811456961</v>
      </c>
      <c r="Q772" s="3">
        <v>5.9145508741424813</v>
      </c>
      <c r="R772" s="3">
        <v>29.509106909633722</v>
      </c>
      <c r="S772" s="3">
        <v>42.099903089043693</v>
      </c>
      <c r="T772" s="3">
        <v>86.092981787348307</v>
      </c>
      <c r="U772" s="3">
        <v>16.681070200722665</v>
      </c>
      <c r="V772" s="318">
        <v>317.76667358083535</v>
      </c>
      <c r="W772" s="318">
        <v>422.83849074228448</v>
      </c>
      <c r="X772" s="3">
        <v>42.169072833090915</v>
      </c>
      <c r="Y772" s="318">
        <v>465.0075635753754</v>
      </c>
    </row>
    <row r="773" spans="1:25" x14ac:dyDescent="0.2">
      <c r="A773" s="316">
        <v>2021</v>
      </c>
      <c r="B773" s="316" t="s">
        <v>466</v>
      </c>
      <c r="C773" s="316" t="s">
        <v>122</v>
      </c>
      <c r="D773" s="316" t="s">
        <v>472</v>
      </c>
      <c r="E773" s="316" t="s">
        <v>130</v>
      </c>
      <c r="F773" s="316" t="s">
        <v>126</v>
      </c>
      <c r="G773" s="316" t="s">
        <v>131</v>
      </c>
      <c r="H773" s="3">
        <v>702.97370464994992</v>
      </c>
      <c r="I773" s="3">
        <v>471.92201190744231</v>
      </c>
      <c r="J773" s="318">
        <v>1174.8957165573922</v>
      </c>
      <c r="K773" s="3">
        <v>22.629110414772175</v>
      </c>
      <c r="L773" s="3">
        <v>51.995324523578716</v>
      </c>
      <c r="M773" s="318">
        <v>74.624434938350888</v>
      </c>
      <c r="N773" s="3">
        <v>58.054403632838543</v>
      </c>
      <c r="O773" s="3">
        <v>400.71285775530231</v>
      </c>
      <c r="P773" s="3">
        <v>37.00226772978489</v>
      </c>
      <c r="Q773" s="3">
        <v>27.777548269176346</v>
      </c>
      <c r="R773" s="3">
        <v>81.599649002878934</v>
      </c>
      <c r="S773" s="3">
        <v>134.31135144417985</v>
      </c>
      <c r="T773" s="3">
        <v>250.96236336809199</v>
      </c>
      <c r="U773" s="3">
        <v>37.204080109250192</v>
      </c>
      <c r="V773" s="318">
        <v>1027.624521311503</v>
      </c>
      <c r="W773" s="318">
        <v>2277.144672807246</v>
      </c>
      <c r="X773" s="3">
        <v>227.09635395425721</v>
      </c>
      <c r="Y773" s="318">
        <v>2504.2410267615032</v>
      </c>
    </row>
    <row r="774" spans="1:25" x14ac:dyDescent="0.2">
      <c r="A774" s="316">
        <v>2021</v>
      </c>
      <c r="B774" s="316" t="s">
        <v>466</v>
      </c>
      <c r="C774" s="316" t="s">
        <v>122</v>
      </c>
      <c r="D774" s="316" t="s">
        <v>472</v>
      </c>
      <c r="E774" s="316" t="s">
        <v>133</v>
      </c>
      <c r="F774" s="316" t="s">
        <v>126</v>
      </c>
      <c r="G774" s="316" t="s">
        <v>134</v>
      </c>
      <c r="H774" s="3">
        <v>413.83914281071509</v>
      </c>
      <c r="I774" s="3">
        <v>277.8213119668568</v>
      </c>
      <c r="J774" s="318">
        <v>691.66045477757189</v>
      </c>
      <c r="K774" s="3">
        <v>16.166216124885068</v>
      </c>
      <c r="L774" s="3">
        <v>16.503206797614169</v>
      </c>
      <c r="M774" s="318">
        <v>32.669422922499237</v>
      </c>
      <c r="N774" s="3">
        <v>28.309369507176083</v>
      </c>
      <c r="O774" s="3">
        <v>166.07058027563488</v>
      </c>
      <c r="P774" s="3">
        <v>18.427080999474942</v>
      </c>
      <c r="Q774" s="3">
        <v>9.9565557504097466</v>
      </c>
      <c r="R774" s="3">
        <v>47.923320243411808</v>
      </c>
      <c r="S774" s="3">
        <v>62.042272323898871</v>
      </c>
      <c r="T774" s="3">
        <v>105.00601628819332</v>
      </c>
      <c r="U774" s="3">
        <v>24.884743722538776</v>
      </c>
      <c r="V774" s="318">
        <v>462.61993911073841</v>
      </c>
      <c r="W774" s="318">
        <v>1186.9498168108096</v>
      </c>
      <c r="X774" s="3">
        <v>118.37279332459221</v>
      </c>
      <c r="Y774" s="318">
        <v>1305.3226101354019</v>
      </c>
    </row>
    <row r="775" spans="1:25" x14ac:dyDescent="0.2">
      <c r="A775" s="316">
        <v>2021</v>
      </c>
      <c r="B775" s="316" t="s">
        <v>466</v>
      </c>
      <c r="C775" s="316" t="s">
        <v>122</v>
      </c>
      <c r="D775" s="316" t="s">
        <v>472</v>
      </c>
      <c r="E775" s="316" t="s">
        <v>135</v>
      </c>
      <c r="F775" s="316" t="s">
        <v>126</v>
      </c>
      <c r="G775" s="316" t="s">
        <v>136</v>
      </c>
      <c r="H775" s="3">
        <v>52.183911483458203</v>
      </c>
      <c r="I775" s="3">
        <v>35.030183360064015</v>
      </c>
      <c r="J775" s="318">
        <v>87.214094843522219</v>
      </c>
      <c r="K775" s="3">
        <v>5.8196925774948465</v>
      </c>
      <c r="L775" s="3">
        <v>11.55306298054276</v>
      </c>
      <c r="M775" s="318">
        <v>17.372755558037607</v>
      </c>
      <c r="N775" s="3">
        <v>16.909675076632141</v>
      </c>
      <c r="O775" s="3">
        <v>79.64601415624368</v>
      </c>
      <c r="P775" s="3">
        <v>7.1583256558746804</v>
      </c>
      <c r="Q775" s="3">
        <v>4.1336210595062246</v>
      </c>
      <c r="R775" s="3">
        <v>18.343204538538032</v>
      </c>
      <c r="S775" s="3">
        <v>27.162126254697391</v>
      </c>
      <c r="T775" s="3">
        <v>54.758040696942331</v>
      </c>
      <c r="U775" s="3">
        <v>9.729929629378228</v>
      </c>
      <c r="V775" s="318">
        <v>217.84093706781269</v>
      </c>
      <c r="W775" s="318">
        <v>322.4277874693725</v>
      </c>
      <c r="X775" s="3">
        <v>32.155258215353051</v>
      </c>
      <c r="Y775" s="318">
        <v>354.58304568472556</v>
      </c>
    </row>
    <row r="776" spans="1:25" x14ac:dyDescent="0.2">
      <c r="A776" s="316">
        <v>2021</v>
      </c>
      <c r="B776" s="316" t="s">
        <v>466</v>
      </c>
      <c r="C776" s="316" t="s">
        <v>122</v>
      </c>
      <c r="D776" s="316" t="s">
        <v>472</v>
      </c>
      <c r="E776" s="316" t="s">
        <v>137</v>
      </c>
      <c r="F776" s="316" t="s">
        <v>126</v>
      </c>
      <c r="G776" s="316" t="s">
        <v>138</v>
      </c>
      <c r="H776" s="3">
        <v>40.491348880028454</v>
      </c>
      <c r="I776" s="3">
        <v>27.181162178718637</v>
      </c>
      <c r="J776" s="318">
        <v>67.672511058747091</v>
      </c>
      <c r="K776" s="3">
        <v>8.8147700988054041</v>
      </c>
      <c r="L776" s="3">
        <v>11.273888284319039</v>
      </c>
      <c r="M776" s="318">
        <v>20.088658383124443</v>
      </c>
      <c r="N776" s="3">
        <v>11.809150917509136</v>
      </c>
      <c r="O776" s="3">
        <v>88.934717695798057</v>
      </c>
      <c r="P776" s="3">
        <v>15.283532631962325</v>
      </c>
      <c r="Q776" s="3">
        <v>7.5875086264405631</v>
      </c>
      <c r="R776" s="3">
        <v>29.477682452188169</v>
      </c>
      <c r="S776" s="3">
        <v>36.378965925926245</v>
      </c>
      <c r="T776" s="3">
        <v>66.816564896665</v>
      </c>
      <c r="U776" s="3">
        <v>13.4430991818365</v>
      </c>
      <c r="V776" s="318">
        <v>269.731222328326</v>
      </c>
      <c r="W776" s="318">
        <v>357.49239177019751</v>
      </c>
      <c r="X776" s="3">
        <v>35.652200629534107</v>
      </c>
      <c r="Y776" s="318">
        <v>393.14459239973161</v>
      </c>
    </row>
    <row r="777" spans="1:25" x14ac:dyDescent="0.2">
      <c r="A777" s="316">
        <v>2021</v>
      </c>
      <c r="B777" s="316" t="s">
        <v>466</v>
      </c>
      <c r="C777" s="316" t="s">
        <v>122</v>
      </c>
      <c r="D777" s="316" t="s">
        <v>472</v>
      </c>
      <c r="E777" s="316" t="s">
        <v>139</v>
      </c>
      <c r="F777" s="316" t="s">
        <v>126</v>
      </c>
      <c r="G777" s="316" t="s">
        <v>140</v>
      </c>
      <c r="H777" s="3">
        <v>77.814576190968808</v>
      </c>
      <c r="I777" s="3">
        <v>56.712933053975746</v>
      </c>
      <c r="J777" s="318">
        <v>134.52750924494455</v>
      </c>
      <c r="K777" s="3">
        <v>7.755473200120818</v>
      </c>
      <c r="L777" s="3">
        <v>9.9826943169773443</v>
      </c>
      <c r="M777" s="318">
        <v>17.738167517098162</v>
      </c>
      <c r="N777" s="3">
        <v>28.646617922659523</v>
      </c>
      <c r="O777" s="3">
        <v>62.179662816078903</v>
      </c>
      <c r="P777" s="3">
        <v>6.4056487224665473</v>
      </c>
      <c r="Q777" s="3">
        <v>3.2406563117273919</v>
      </c>
      <c r="R777" s="3">
        <v>14.813494654899538</v>
      </c>
      <c r="S777" s="3">
        <v>29.050720281615838</v>
      </c>
      <c r="T777" s="3">
        <v>74.71083267774894</v>
      </c>
      <c r="U777" s="3">
        <v>6.3221582109265775</v>
      </c>
      <c r="V777" s="318">
        <v>225.36979159812327</v>
      </c>
      <c r="W777" s="318">
        <v>377.63546836016599</v>
      </c>
      <c r="X777" s="3">
        <v>37.66104060603147</v>
      </c>
      <c r="Y777" s="318">
        <v>415.29650896619745</v>
      </c>
    </row>
    <row r="778" spans="1:25" x14ac:dyDescent="0.2">
      <c r="A778" s="316">
        <v>2021</v>
      </c>
      <c r="B778" s="316" t="s">
        <v>466</v>
      </c>
      <c r="C778" s="316" t="s">
        <v>141</v>
      </c>
      <c r="D778" s="316" t="s">
        <v>473</v>
      </c>
      <c r="E778" s="316" t="s">
        <v>143</v>
      </c>
      <c r="F778" s="316" t="s">
        <v>144</v>
      </c>
      <c r="G778" s="316" t="s">
        <v>146</v>
      </c>
      <c r="H778" s="3">
        <v>6.4617551080939775</v>
      </c>
      <c r="I778" s="3">
        <v>4.3376436947673147</v>
      </c>
      <c r="J778" s="318">
        <v>10.799398802861292</v>
      </c>
      <c r="K778" s="3">
        <v>2.4388560503958652</v>
      </c>
      <c r="L778" s="3">
        <v>1.6841213003027877</v>
      </c>
      <c r="M778" s="318">
        <v>4.1229773506986529</v>
      </c>
      <c r="N778" s="3">
        <v>11.53087206998717</v>
      </c>
      <c r="O778" s="3">
        <v>8.3149771240671395</v>
      </c>
      <c r="P778" s="3">
        <v>1.4978619688018537</v>
      </c>
      <c r="Q778" s="3">
        <v>0.9740670488530736</v>
      </c>
      <c r="R778" s="3">
        <v>5.7206670252390346</v>
      </c>
      <c r="S778" s="3">
        <v>7.3817850675915233</v>
      </c>
      <c r="T778" s="3">
        <v>9.8756045863599411</v>
      </c>
      <c r="U778" s="3">
        <v>2.0225247476607677</v>
      </c>
      <c r="V778" s="318">
        <v>47.318359638560501</v>
      </c>
      <c r="W778" s="318">
        <v>62.240735792120446</v>
      </c>
      <c r="X778" s="3">
        <v>6.2071788124009322</v>
      </c>
      <c r="Y778" s="318">
        <v>68.447914604521372</v>
      </c>
    </row>
    <row r="779" spans="1:25" x14ac:dyDescent="0.2">
      <c r="A779" s="316">
        <v>2021</v>
      </c>
      <c r="B779" s="316" t="s">
        <v>466</v>
      </c>
      <c r="C779" s="316" t="s">
        <v>141</v>
      </c>
      <c r="D779" s="316" t="s">
        <v>473</v>
      </c>
      <c r="E779" s="316" t="s">
        <v>147</v>
      </c>
      <c r="F779" s="316" t="s">
        <v>144</v>
      </c>
      <c r="G779" s="316" t="s">
        <v>148</v>
      </c>
      <c r="H779" s="3">
        <v>23.940694942703328</v>
      </c>
      <c r="I779" s="3">
        <v>19.554262202272422</v>
      </c>
      <c r="J779" s="318">
        <v>43.49495714497575</v>
      </c>
      <c r="K779" s="3">
        <v>4.3691492785089787</v>
      </c>
      <c r="L779" s="3">
        <v>3.7091682382743665</v>
      </c>
      <c r="M779" s="318">
        <v>8.0783175167833452</v>
      </c>
      <c r="N779" s="3">
        <v>2.1384749975679882</v>
      </c>
      <c r="O779" s="3">
        <v>20.564622379747235</v>
      </c>
      <c r="P779" s="3">
        <v>2.398017758446382</v>
      </c>
      <c r="Q779" s="3">
        <v>1.8447112374210284</v>
      </c>
      <c r="R779" s="3">
        <v>10.17304718609801</v>
      </c>
      <c r="S779" s="3">
        <v>12.129567815231814</v>
      </c>
      <c r="T779" s="3">
        <v>27.646578170841256</v>
      </c>
      <c r="U779" s="3">
        <v>4.6623529957010366</v>
      </c>
      <c r="V779" s="318">
        <v>81.557372541054761</v>
      </c>
      <c r="W779" s="318">
        <v>133.13064720281386</v>
      </c>
      <c r="X779" s="3">
        <v>13.276927434767661</v>
      </c>
      <c r="Y779" s="318">
        <v>146.40757463758152</v>
      </c>
    </row>
    <row r="780" spans="1:25" x14ac:dyDescent="0.2">
      <c r="A780" s="316">
        <v>2021</v>
      </c>
      <c r="B780" s="316" t="s">
        <v>466</v>
      </c>
      <c r="C780" s="316" t="s">
        <v>141</v>
      </c>
      <c r="D780" s="316" t="s">
        <v>474</v>
      </c>
      <c r="E780" s="316" t="s">
        <v>149</v>
      </c>
      <c r="F780" s="316" t="s">
        <v>144</v>
      </c>
      <c r="G780" s="316" t="s">
        <v>150</v>
      </c>
      <c r="H780" s="3">
        <v>30.713406334831436</v>
      </c>
      <c r="I780" s="3">
        <v>58.242231290852402</v>
      </c>
      <c r="J780" s="318">
        <v>88.955637625683835</v>
      </c>
      <c r="K780" s="3">
        <v>35.567910493313619</v>
      </c>
      <c r="L780" s="3">
        <v>26.794380818337046</v>
      </c>
      <c r="M780" s="318">
        <v>62.362291311650665</v>
      </c>
      <c r="N780" s="3">
        <v>73.917318998073711</v>
      </c>
      <c r="O780" s="3">
        <v>191.6915590580536</v>
      </c>
      <c r="P780" s="3">
        <v>29.246380300120084</v>
      </c>
      <c r="Q780" s="3">
        <v>24.49706667519591</v>
      </c>
      <c r="R780" s="3">
        <v>64.100220002674689</v>
      </c>
      <c r="S780" s="3">
        <v>80.511704793286938</v>
      </c>
      <c r="T780" s="3">
        <v>89.542614748274971</v>
      </c>
      <c r="U780" s="3">
        <v>25.767856122946647</v>
      </c>
      <c r="V780" s="318">
        <v>579.27472069862665</v>
      </c>
      <c r="W780" s="318">
        <v>730.59264963596115</v>
      </c>
      <c r="X780" s="3">
        <v>72.86095123397152</v>
      </c>
      <c r="Y780" s="318">
        <v>803.45360086993264</v>
      </c>
    </row>
    <row r="781" spans="1:25" x14ac:dyDescent="0.2">
      <c r="A781" s="316">
        <v>2021</v>
      </c>
      <c r="B781" s="316" t="s">
        <v>466</v>
      </c>
      <c r="C781" s="316" t="s">
        <v>141</v>
      </c>
      <c r="D781" s="316" t="s">
        <v>474</v>
      </c>
      <c r="E781" s="316" t="s">
        <v>151</v>
      </c>
      <c r="F781" s="316" t="s">
        <v>144</v>
      </c>
      <c r="G781" s="316" t="s">
        <v>152</v>
      </c>
      <c r="H781" s="3">
        <v>2.0215208738527339</v>
      </c>
      <c r="I781" s="3">
        <v>134.71300676219832</v>
      </c>
      <c r="J781" s="318">
        <v>136.73452763605104</v>
      </c>
      <c r="K781" s="3">
        <v>33.464313817240615</v>
      </c>
      <c r="L781" s="3">
        <v>22.734889930679358</v>
      </c>
      <c r="M781" s="318">
        <v>56.199203747919974</v>
      </c>
      <c r="N781" s="3">
        <v>67.163574859567063</v>
      </c>
      <c r="O781" s="3">
        <v>57.918041026939754</v>
      </c>
      <c r="P781" s="3">
        <v>10.019385690482643</v>
      </c>
      <c r="Q781" s="3">
        <v>5.4964887616785294</v>
      </c>
      <c r="R781" s="3">
        <v>30.199166584037183</v>
      </c>
      <c r="S781" s="3">
        <v>108.27431830026879</v>
      </c>
      <c r="T781" s="3">
        <v>61.67759963737555</v>
      </c>
      <c r="U781" s="3">
        <v>15.860910761329631</v>
      </c>
      <c r="V781" s="318">
        <v>356.6094856216792</v>
      </c>
      <c r="W781" s="318">
        <v>549.54321700565015</v>
      </c>
      <c r="X781" s="3">
        <v>54.805152440501168</v>
      </c>
      <c r="Y781" s="318">
        <v>604.34836944615131</v>
      </c>
    </row>
    <row r="782" spans="1:25" x14ac:dyDescent="0.2">
      <c r="A782" s="316">
        <v>2021</v>
      </c>
      <c r="B782" s="316" t="s">
        <v>466</v>
      </c>
      <c r="C782" s="316" t="s">
        <v>141</v>
      </c>
      <c r="D782" s="316" t="s">
        <v>474</v>
      </c>
      <c r="E782" s="316" t="s">
        <v>153</v>
      </c>
      <c r="F782" s="316" t="s">
        <v>144</v>
      </c>
      <c r="G782" s="316" t="s">
        <v>154</v>
      </c>
      <c r="H782" s="3">
        <v>4.0219904550320278</v>
      </c>
      <c r="I782" s="3">
        <v>14.250104284390126</v>
      </c>
      <c r="J782" s="318">
        <v>18.272094739422155</v>
      </c>
      <c r="K782" s="3">
        <v>12.557589213114165</v>
      </c>
      <c r="L782" s="3">
        <v>15.45831053101511</v>
      </c>
      <c r="M782" s="318">
        <v>28.015899744129275</v>
      </c>
      <c r="N782" s="3">
        <v>10.26699774066339</v>
      </c>
      <c r="O782" s="3">
        <v>87.072488465455251</v>
      </c>
      <c r="P782" s="3">
        <v>5.356832225838521</v>
      </c>
      <c r="Q782" s="3">
        <v>2.5107191131459978</v>
      </c>
      <c r="R782" s="3">
        <v>17.199900719889794</v>
      </c>
      <c r="S782" s="3">
        <v>25.635078242424417</v>
      </c>
      <c r="T782" s="3">
        <v>32.422569618479088</v>
      </c>
      <c r="U782" s="3">
        <v>6.8589372018326733</v>
      </c>
      <c r="V782" s="318">
        <v>187.32352332772913</v>
      </c>
      <c r="W782" s="318">
        <v>233.61151781128058</v>
      </c>
      <c r="X782" s="3">
        <v>23.297739739679926</v>
      </c>
      <c r="Y782" s="318">
        <v>256.90925755096049</v>
      </c>
    </row>
    <row r="783" spans="1:25" x14ac:dyDescent="0.2">
      <c r="A783" s="316">
        <v>2021</v>
      </c>
      <c r="B783" s="316" t="s">
        <v>466</v>
      </c>
      <c r="C783" s="316" t="s">
        <v>141</v>
      </c>
      <c r="D783" s="316" t="s">
        <v>474</v>
      </c>
      <c r="E783" s="316" t="s">
        <v>155</v>
      </c>
      <c r="F783" s="316" t="s">
        <v>144</v>
      </c>
      <c r="G783" s="316" t="s">
        <v>156</v>
      </c>
      <c r="H783" s="3">
        <v>11.805596394947528</v>
      </c>
      <c r="I783" s="3">
        <v>784.57811119424991</v>
      </c>
      <c r="J783" s="318">
        <v>796.38370758919746</v>
      </c>
      <c r="K783" s="3">
        <v>8.2887228935939525</v>
      </c>
      <c r="L783" s="3">
        <v>10.914513311581743</v>
      </c>
      <c r="M783" s="318">
        <v>19.203236205175696</v>
      </c>
      <c r="N783" s="3">
        <v>10.394238938453148</v>
      </c>
      <c r="O783" s="3">
        <v>22.513858050483087</v>
      </c>
      <c r="P783" s="3">
        <v>3.9946772792176213</v>
      </c>
      <c r="Q783" s="3">
        <v>1.7475076397367497</v>
      </c>
      <c r="R783" s="3">
        <v>13.118512712840666</v>
      </c>
      <c r="S783" s="3">
        <v>141.85660240613021</v>
      </c>
      <c r="T783" s="3">
        <v>24.373203078582883</v>
      </c>
      <c r="U783" s="3">
        <v>5.5969018532278483</v>
      </c>
      <c r="V783" s="318">
        <v>223.59550195867223</v>
      </c>
      <c r="W783" s="318">
        <v>1039.1824457530454</v>
      </c>
      <c r="X783" s="3">
        <v>103.63616652992539</v>
      </c>
      <c r="Y783" s="318">
        <v>1142.8186122829707</v>
      </c>
    </row>
    <row r="784" spans="1:25" x14ac:dyDescent="0.2">
      <c r="A784" s="316">
        <v>2021</v>
      </c>
      <c r="B784" s="316" t="s">
        <v>466</v>
      </c>
      <c r="C784" s="316" t="s">
        <v>157</v>
      </c>
      <c r="D784" s="316" t="s">
        <v>475</v>
      </c>
      <c r="E784" s="316" t="s">
        <v>159</v>
      </c>
      <c r="F784" s="316" t="s">
        <v>160</v>
      </c>
      <c r="G784" s="316" t="s">
        <v>161</v>
      </c>
      <c r="H784" s="3">
        <v>47.093650249154891</v>
      </c>
      <c r="I784" s="3">
        <v>31.838290672332249</v>
      </c>
      <c r="J784" s="318">
        <v>78.93194092148714</v>
      </c>
      <c r="K784" s="3">
        <v>30.949789819742207</v>
      </c>
      <c r="L784" s="3">
        <v>27.717206783142252</v>
      </c>
      <c r="M784" s="318">
        <v>58.66699660288446</v>
      </c>
      <c r="N784" s="3">
        <v>17.790129515955385</v>
      </c>
      <c r="O784" s="3">
        <v>277.00785940370918</v>
      </c>
      <c r="P784" s="3">
        <v>33.429028224052438</v>
      </c>
      <c r="Q784" s="3">
        <v>20.135715555441166</v>
      </c>
      <c r="R784" s="3">
        <v>119.1057591311403</v>
      </c>
      <c r="S784" s="3">
        <v>119.1564667316012</v>
      </c>
      <c r="T784" s="3">
        <v>196.84938354596068</v>
      </c>
      <c r="U784" s="3">
        <v>52.783787646527927</v>
      </c>
      <c r="V784" s="318">
        <v>836.25812975438828</v>
      </c>
      <c r="W784" s="318">
        <v>973.85706727875981</v>
      </c>
      <c r="X784" s="3">
        <v>97.121360751729725</v>
      </c>
      <c r="Y784" s="318">
        <v>1070.9784280304896</v>
      </c>
    </row>
    <row r="785" spans="1:25" x14ac:dyDescent="0.2">
      <c r="A785" s="316">
        <v>2021</v>
      </c>
      <c r="B785" s="316" t="s">
        <v>466</v>
      </c>
      <c r="C785" s="316" t="s">
        <v>157</v>
      </c>
      <c r="D785" s="316" t="s">
        <v>476</v>
      </c>
      <c r="E785" s="316" t="s">
        <v>162</v>
      </c>
      <c r="F785" s="316" t="s">
        <v>160</v>
      </c>
      <c r="G785" s="316" t="s">
        <v>163</v>
      </c>
      <c r="H785" s="3">
        <v>38.312431294930647</v>
      </c>
      <c r="I785" s="3">
        <v>25.718367075681314</v>
      </c>
      <c r="J785" s="318">
        <v>64.030798370611961</v>
      </c>
      <c r="K785" s="3">
        <v>5.1399334636885285</v>
      </c>
      <c r="L785" s="3">
        <v>5.9629973372789244</v>
      </c>
      <c r="M785" s="318">
        <v>11.102930800967453</v>
      </c>
      <c r="N785" s="3">
        <v>7.5660377436342925</v>
      </c>
      <c r="O785" s="3">
        <v>44.373215144949192</v>
      </c>
      <c r="P785" s="3">
        <v>5.6844297050408006</v>
      </c>
      <c r="Q785" s="3">
        <v>3.0011174225669315</v>
      </c>
      <c r="R785" s="3">
        <v>18.061880981934419</v>
      </c>
      <c r="S785" s="3">
        <v>21.401871098300809</v>
      </c>
      <c r="T785" s="3">
        <v>42.861907884240345</v>
      </c>
      <c r="U785" s="3">
        <v>8.1491997869368333</v>
      </c>
      <c r="V785" s="318">
        <v>151.09965976760361</v>
      </c>
      <c r="W785" s="318">
        <v>226.23338893918302</v>
      </c>
      <c r="X785" s="3">
        <v>22.561929588543425</v>
      </c>
      <c r="Y785" s="318">
        <v>248.79531852772644</v>
      </c>
    </row>
    <row r="786" spans="1:25" x14ac:dyDescent="0.2">
      <c r="A786" s="316">
        <v>2021</v>
      </c>
      <c r="B786" s="316" t="s">
        <v>466</v>
      </c>
      <c r="C786" s="316" t="s">
        <v>157</v>
      </c>
      <c r="D786" s="316" t="s">
        <v>473</v>
      </c>
      <c r="E786" s="316" t="s">
        <v>164</v>
      </c>
      <c r="F786" s="316" t="s">
        <v>160</v>
      </c>
      <c r="G786" s="316" t="s">
        <v>165</v>
      </c>
      <c r="H786" s="3">
        <v>3.9184652826778863</v>
      </c>
      <c r="I786" s="3">
        <v>2.6303850448859278</v>
      </c>
      <c r="J786" s="318">
        <v>6.5488503275638141</v>
      </c>
      <c r="K786" s="3">
        <v>6.9921984480279127</v>
      </c>
      <c r="L786" s="3">
        <v>3.5395496904061856</v>
      </c>
      <c r="M786" s="318">
        <v>10.531748138434098</v>
      </c>
      <c r="N786" s="3">
        <v>8.1925903309752286</v>
      </c>
      <c r="O786" s="3">
        <v>33.102512182774461</v>
      </c>
      <c r="P786" s="3">
        <v>6.5508291315531855</v>
      </c>
      <c r="Q786" s="3">
        <v>3.5062466616334591</v>
      </c>
      <c r="R786" s="3">
        <v>17.381014931072187</v>
      </c>
      <c r="S786" s="3">
        <v>16.987358391037471</v>
      </c>
      <c r="T786" s="3">
        <v>25.923098318039077</v>
      </c>
      <c r="U786" s="3">
        <v>6.702916722587358</v>
      </c>
      <c r="V786" s="318">
        <v>118.34656666967244</v>
      </c>
      <c r="W786" s="318">
        <v>135.42716513567038</v>
      </c>
      <c r="X786" s="3">
        <v>13.505955856005096</v>
      </c>
      <c r="Y786" s="318">
        <v>148.93312099167548</v>
      </c>
    </row>
    <row r="787" spans="1:25" x14ac:dyDescent="0.2">
      <c r="A787" s="316">
        <v>2021</v>
      </c>
      <c r="B787" s="316" t="s">
        <v>466</v>
      </c>
      <c r="C787" s="316" t="s">
        <v>157</v>
      </c>
      <c r="D787" s="316" t="s">
        <v>477</v>
      </c>
      <c r="E787" s="316" t="s">
        <v>166</v>
      </c>
      <c r="F787" s="316" t="s">
        <v>160</v>
      </c>
      <c r="G787" s="316" t="s">
        <v>168</v>
      </c>
      <c r="H787" s="3">
        <v>735.07948539154768</v>
      </c>
      <c r="I787" s="3">
        <v>501.1463571332215</v>
      </c>
      <c r="J787" s="318">
        <v>1236.2258425247692</v>
      </c>
      <c r="K787" s="3">
        <v>16.921042705384199</v>
      </c>
      <c r="L787" s="3">
        <v>3.8741846023945747</v>
      </c>
      <c r="M787" s="318">
        <v>20.795227307778774</v>
      </c>
      <c r="N787" s="3">
        <v>22.542713765101269</v>
      </c>
      <c r="O787" s="3">
        <v>76.395280498728908</v>
      </c>
      <c r="P787" s="3">
        <v>10.218521388577535</v>
      </c>
      <c r="Q787" s="3">
        <v>4.6802289244340338</v>
      </c>
      <c r="R787" s="3">
        <v>33.433081103017557</v>
      </c>
      <c r="S787" s="3">
        <v>34.990949537043562</v>
      </c>
      <c r="T787" s="3">
        <v>59.545062780088877</v>
      </c>
      <c r="U787" s="3">
        <v>14.24863390233385</v>
      </c>
      <c r="V787" s="318">
        <v>256.05447189932556</v>
      </c>
      <c r="W787" s="318">
        <v>1513.0755417318735</v>
      </c>
      <c r="X787" s="3">
        <v>150.89684150856624</v>
      </c>
      <c r="Y787" s="318">
        <v>1663.9723832404397</v>
      </c>
    </row>
    <row r="788" spans="1:25" x14ac:dyDescent="0.2">
      <c r="A788" s="316">
        <v>2021</v>
      </c>
      <c r="B788" s="316" t="s">
        <v>466</v>
      </c>
      <c r="C788" s="316" t="s">
        <v>157</v>
      </c>
      <c r="D788" s="316" t="s">
        <v>473</v>
      </c>
      <c r="E788" s="316" t="s">
        <v>169</v>
      </c>
      <c r="F788" s="316" t="s">
        <v>160</v>
      </c>
      <c r="G788" s="316" t="s">
        <v>170</v>
      </c>
      <c r="H788" s="3">
        <v>32.533447117447039</v>
      </c>
      <c r="I788" s="3">
        <v>21.83903429585034</v>
      </c>
      <c r="J788" s="318">
        <v>54.372481413297379</v>
      </c>
      <c r="K788" s="3">
        <v>11.850966477361141</v>
      </c>
      <c r="L788" s="3">
        <v>8.4893499725378803</v>
      </c>
      <c r="M788" s="318">
        <v>20.340316449899021</v>
      </c>
      <c r="N788" s="3">
        <v>4.0962335633502827</v>
      </c>
      <c r="O788" s="3">
        <v>41.762341813277445</v>
      </c>
      <c r="P788" s="3">
        <v>7.0759352074170598</v>
      </c>
      <c r="Q788" s="3">
        <v>3.4105689151866212</v>
      </c>
      <c r="R788" s="3">
        <v>24.957654254460362</v>
      </c>
      <c r="S788" s="3">
        <v>30.909680847693007</v>
      </c>
      <c r="T788" s="3">
        <v>52.058692644130339</v>
      </c>
      <c r="U788" s="3">
        <v>9.0081882760538861</v>
      </c>
      <c r="V788" s="318">
        <v>173.279295521569</v>
      </c>
      <c r="W788" s="318">
        <v>247.99209338476541</v>
      </c>
      <c r="X788" s="3">
        <v>24.731893800904345</v>
      </c>
      <c r="Y788" s="318">
        <v>272.72398718566978</v>
      </c>
    </row>
    <row r="789" spans="1:25" x14ac:dyDescent="0.2">
      <c r="A789" s="316">
        <v>2021</v>
      </c>
      <c r="B789" s="316" t="s">
        <v>466</v>
      </c>
      <c r="C789" s="316" t="s">
        <v>157</v>
      </c>
      <c r="D789" s="316" t="s">
        <v>473</v>
      </c>
      <c r="E789" s="316" t="s">
        <v>171</v>
      </c>
      <c r="F789" s="316" t="s">
        <v>160</v>
      </c>
      <c r="G789" s="316" t="s">
        <v>172</v>
      </c>
      <c r="H789" s="3">
        <v>203.13160748045897</v>
      </c>
      <c r="I789" s="3">
        <v>136.35872599641465</v>
      </c>
      <c r="J789" s="318">
        <v>339.49033347687362</v>
      </c>
      <c r="K789" s="3">
        <v>14.989507687374399</v>
      </c>
      <c r="L789" s="3">
        <v>7.1357917058775229</v>
      </c>
      <c r="M789" s="318">
        <v>22.125299393251922</v>
      </c>
      <c r="N789" s="3">
        <v>7.3533432581908587</v>
      </c>
      <c r="O789" s="3">
        <v>25.177959853767511</v>
      </c>
      <c r="P789" s="3">
        <v>3.5949875056774707</v>
      </c>
      <c r="Q789" s="3">
        <v>2.0470666849011319</v>
      </c>
      <c r="R789" s="3">
        <v>14.357595680476063</v>
      </c>
      <c r="S789" s="3">
        <v>17.181412371379665</v>
      </c>
      <c r="T789" s="3">
        <v>26.067354744581166</v>
      </c>
      <c r="U789" s="3">
        <v>5.1061620613304894</v>
      </c>
      <c r="V789" s="318">
        <v>100.88588216030436</v>
      </c>
      <c r="W789" s="318">
        <v>462.50151503042991</v>
      </c>
      <c r="X789" s="3">
        <v>46.124609040429377</v>
      </c>
      <c r="Y789" s="318">
        <v>508.6261240708593</v>
      </c>
    </row>
    <row r="790" spans="1:25" x14ac:dyDescent="0.2">
      <c r="A790" s="316">
        <v>2021</v>
      </c>
      <c r="B790" s="316" t="s">
        <v>466</v>
      </c>
      <c r="C790" s="316" t="s">
        <v>157</v>
      </c>
      <c r="D790" s="316" t="s">
        <v>477</v>
      </c>
      <c r="E790" s="316" t="s">
        <v>173</v>
      </c>
      <c r="F790" s="316" t="s">
        <v>160</v>
      </c>
      <c r="G790" s="316" t="s">
        <v>174</v>
      </c>
      <c r="H790" s="3">
        <v>369.26922637847179</v>
      </c>
      <c r="I790" s="3">
        <v>247.88966058292874</v>
      </c>
      <c r="J790" s="318">
        <v>617.15888696140053</v>
      </c>
      <c r="K790" s="3">
        <v>25.117864526230299</v>
      </c>
      <c r="L790" s="3">
        <v>6.039472402710679</v>
      </c>
      <c r="M790" s="318">
        <v>31.157336928940978</v>
      </c>
      <c r="N790" s="3">
        <v>34.464491950188375</v>
      </c>
      <c r="O790" s="3">
        <v>120.01666309917549</v>
      </c>
      <c r="P790" s="3">
        <v>27.018944904127309</v>
      </c>
      <c r="Q790" s="3">
        <v>8.7248753061084621</v>
      </c>
      <c r="R790" s="3">
        <v>59.392467594203779</v>
      </c>
      <c r="S790" s="3">
        <v>59.340568356577492</v>
      </c>
      <c r="T790" s="3">
        <v>83.337268559607821</v>
      </c>
      <c r="U790" s="3">
        <v>24.536244493613282</v>
      </c>
      <c r="V790" s="318">
        <v>416.83152426360198</v>
      </c>
      <c r="W790" s="318">
        <v>1065.1477481539434</v>
      </c>
      <c r="X790" s="3">
        <v>106.22564868930634</v>
      </c>
      <c r="Y790" s="318">
        <v>1171.3733968432498</v>
      </c>
    </row>
    <row r="791" spans="1:25" x14ac:dyDescent="0.2">
      <c r="A791" s="316">
        <v>2021</v>
      </c>
      <c r="B791" s="316" t="s">
        <v>466</v>
      </c>
      <c r="C791" s="316" t="s">
        <v>157</v>
      </c>
      <c r="D791" s="316" t="s">
        <v>475</v>
      </c>
      <c r="E791" s="316" t="s">
        <v>175</v>
      </c>
      <c r="F791" s="316" t="s">
        <v>160</v>
      </c>
      <c r="G791" s="316" t="s">
        <v>176</v>
      </c>
      <c r="H791" s="3">
        <v>18.901761000848701</v>
      </c>
      <c r="I791" s="3">
        <v>12.688364956020617</v>
      </c>
      <c r="J791" s="318">
        <v>31.590125956869318</v>
      </c>
      <c r="K791" s="3">
        <v>6.033172783773292</v>
      </c>
      <c r="L791" s="3">
        <v>5.4630270525742723</v>
      </c>
      <c r="M791" s="318">
        <v>11.496199836347564</v>
      </c>
      <c r="N791" s="3">
        <v>18.006644000583346</v>
      </c>
      <c r="O791" s="3">
        <v>25.876671243006594</v>
      </c>
      <c r="P791" s="3">
        <v>3.4483789403048011</v>
      </c>
      <c r="Q791" s="3">
        <v>2.3904392567914652</v>
      </c>
      <c r="R791" s="3">
        <v>13.365580802047932</v>
      </c>
      <c r="S791" s="3">
        <v>17.343214278149095</v>
      </c>
      <c r="T791" s="3">
        <v>26.74376148898504</v>
      </c>
      <c r="U791" s="3">
        <v>5.3302895514730562</v>
      </c>
      <c r="V791" s="318">
        <v>112.50497956134133</v>
      </c>
      <c r="W791" s="318">
        <v>155.59130535455822</v>
      </c>
      <c r="X791" s="3">
        <v>15.516896477835077</v>
      </c>
      <c r="Y791" s="318">
        <v>171.10820183239329</v>
      </c>
    </row>
    <row r="792" spans="1:25" x14ac:dyDescent="0.2">
      <c r="A792" s="316">
        <v>2021</v>
      </c>
      <c r="B792" s="316" t="s">
        <v>466</v>
      </c>
      <c r="C792" s="316" t="s">
        <v>157</v>
      </c>
      <c r="D792" s="316" t="s">
        <v>475</v>
      </c>
      <c r="E792" s="316" t="s">
        <v>177</v>
      </c>
      <c r="F792" s="316" t="s">
        <v>160</v>
      </c>
      <c r="G792" s="316" t="s">
        <v>178</v>
      </c>
      <c r="H792" s="3">
        <v>7.5455492026347439</v>
      </c>
      <c r="I792" s="3">
        <v>6.5378148316070153</v>
      </c>
      <c r="J792" s="318">
        <v>14.083364034241759</v>
      </c>
      <c r="K792" s="3">
        <v>3.9779963829548932</v>
      </c>
      <c r="L792" s="3">
        <v>1.1050901193346552</v>
      </c>
      <c r="M792" s="318">
        <v>5.0830865022895484</v>
      </c>
      <c r="N792" s="3">
        <v>1.8851913296914273</v>
      </c>
      <c r="O792" s="3">
        <v>15.938352447751946</v>
      </c>
      <c r="P792" s="3">
        <v>2.2095651880682654</v>
      </c>
      <c r="Q792" s="3">
        <v>1.068186546333515</v>
      </c>
      <c r="R792" s="3">
        <v>7.7296102347251887</v>
      </c>
      <c r="S792" s="3">
        <v>11.315296373748629</v>
      </c>
      <c r="T792" s="3">
        <v>20.451813610717043</v>
      </c>
      <c r="U792" s="3">
        <v>4.0551084781158897</v>
      </c>
      <c r="V792" s="318">
        <v>64.653124209151898</v>
      </c>
      <c r="W792" s="318">
        <v>83.819574745683198</v>
      </c>
      <c r="X792" s="3">
        <v>8.3592052986579226</v>
      </c>
      <c r="Y792" s="318">
        <v>92.178780044341124</v>
      </c>
    </row>
    <row r="793" spans="1:25" x14ac:dyDescent="0.2">
      <c r="A793" s="316">
        <v>2021</v>
      </c>
      <c r="B793" s="316" t="s">
        <v>466</v>
      </c>
      <c r="C793" s="316" t="s">
        <v>157</v>
      </c>
      <c r="D793" s="316" t="s">
        <v>475</v>
      </c>
      <c r="E793" s="316" t="s">
        <v>179</v>
      </c>
      <c r="F793" s="316" t="s">
        <v>160</v>
      </c>
      <c r="G793" s="316" t="s">
        <v>180</v>
      </c>
      <c r="H793" s="3">
        <v>45.863484289477817</v>
      </c>
      <c r="I793" s="3">
        <v>30.787208853150965</v>
      </c>
      <c r="J793" s="318">
        <v>76.650693142628782</v>
      </c>
      <c r="K793" s="3">
        <v>17.843675943552494</v>
      </c>
      <c r="L793" s="3">
        <v>6.502251888639389</v>
      </c>
      <c r="M793" s="318">
        <v>24.345927832191883</v>
      </c>
      <c r="N793" s="3">
        <v>5.4525645229333284</v>
      </c>
      <c r="O793" s="3">
        <v>36.510420839899851</v>
      </c>
      <c r="P793" s="3">
        <v>6.2366080942090898</v>
      </c>
      <c r="Q793" s="3">
        <v>4.207872304262577</v>
      </c>
      <c r="R793" s="3">
        <v>25.679169790237335</v>
      </c>
      <c r="S793" s="3">
        <v>29.174264379944361</v>
      </c>
      <c r="T793" s="3">
        <v>64.990759462632198</v>
      </c>
      <c r="U793" s="3">
        <v>9.3017595136143072</v>
      </c>
      <c r="V793" s="318">
        <v>181.55341890773306</v>
      </c>
      <c r="W793" s="318">
        <v>282.55003988255373</v>
      </c>
      <c r="X793" s="3">
        <v>28.178307963127551</v>
      </c>
      <c r="Y793" s="318">
        <v>310.7283478456813</v>
      </c>
    </row>
    <row r="794" spans="1:25" x14ac:dyDescent="0.2">
      <c r="A794" s="316">
        <v>2021</v>
      </c>
      <c r="B794" s="316" t="s">
        <v>466</v>
      </c>
      <c r="C794" s="316" t="s">
        <v>181</v>
      </c>
      <c r="D794" s="316" t="s">
        <v>478</v>
      </c>
      <c r="E794" s="316" t="s">
        <v>183</v>
      </c>
      <c r="F794" s="316" t="s">
        <v>184</v>
      </c>
      <c r="G794" s="316" t="s">
        <v>185</v>
      </c>
      <c r="H794" s="3">
        <v>26.278518309619834</v>
      </c>
      <c r="I794" s="3">
        <v>0</v>
      </c>
      <c r="J794" s="318">
        <v>26.278518309619834</v>
      </c>
      <c r="K794" s="3">
        <v>16.334148501820401</v>
      </c>
      <c r="L794" s="3">
        <v>5.0073450519011971</v>
      </c>
      <c r="M794" s="318">
        <v>21.341493553721598</v>
      </c>
      <c r="N794" s="3">
        <v>4.9253582926035513</v>
      </c>
      <c r="O794" s="3">
        <v>27.889483637237856</v>
      </c>
      <c r="P794" s="3">
        <v>3.618726480292711</v>
      </c>
      <c r="Q794" s="3">
        <v>2.4421410428291055</v>
      </c>
      <c r="R794" s="3">
        <v>12.457356236209256</v>
      </c>
      <c r="S794" s="3">
        <v>16.717105989676917</v>
      </c>
      <c r="T794" s="3">
        <v>23.319516935174537</v>
      </c>
      <c r="U794" s="3">
        <v>5.8040590929071207</v>
      </c>
      <c r="V794" s="318">
        <v>97.173747706931053</v>
      </c>
      <c r="W794" s="318">
        <v>144.7937595702725</v>
      </c>
      <c r="X794" s="3">
        <v>14.440072809779528</v>
      </c>
      <c r="Y794" s="318">
        <v>159.23383238005204</v>
      </c>
    </row>
    <row r="795" spans="1:25" x14ac:dyDescent="0.2">
      <c r="A795" s="316">
        <v>2021</v>
      </c>
      <c r="B795" s="316" t="s">
        <v>466</v>
      </c>
      <c r="C795" s="316" t="s">
        <v>181</v>
      </c>
      <c r="D795" s="316" t="s">
        <v>479</v>
      </c>
      <c r="E795" s="316" t="s">
        <v>186</v>
      </c>
      <c r="F795" s="316" t="s">
        <v>184</v>
      </c>
      <c r="G795" s="316" t="s">
        <v>187</v>
      </c>
      <c r="H795" s="3">
        <v>10.895199457428539</v>
      </c>
      <c r="I795" s="3">
        <v>7.4368012102255499</v>
      </c>
      <c r="J795" s="318">
        <v>18.332000667654089</v>
      </c>
      <c r="K795" s="3">
        <v>4.9250347859014889</v>
      </c>
      <c r="L795" s="3">
        <v>0.32324862011800004</v>
      </c>
      <c r="M795" s="318">
        <v>5.248283406019489</v>
      </c>
      <c r="N795" s="3">
        <v>2.6158972411100017</v>
      </c>
      <c r="O795" s="3">
        <v>14.871826527632473</v>
      </c>
      <c r="P795" s="3">
        <v>2.2850109578301137</v>
      </c>
      <c r="Q795" s="3">
        <v>0.98976799802904158</v>
      </c>
      <c r="R795" s="3">
        <v>8.1059613779349888</v>
      </c>
      <c r="S795" s="3">
        <v>13.959885154203006</v>
      </c>
      <c r="T795" s="3">
        <v>13.746138245856351</v>
      </c>
      <c r="U795" s="3">
        <v>2.7022987496660602</v>
      </c>
      <c r="V795" s="318">
        <v>59.276786252262042</v>
      </c>
      <c r="W795" s="318">
        <v>82.857070325935609</v>
      </c>
      <c r="X795" s="3">
        <v>8.2632161210708546</v>
      </c>
      <c r="Y795" s="318">
        <v>91.120286447006464</v>
      </c>
    </row>
    <row r="796" spans="1:25" x14ac:dyDescent="0.2">
      <c r="A796" s="316">
        <v>2021</v>
      </c>
      <c r="B796" s="316" t="s">
        <v>466</v>
      </c>
      <c r="C796" s="316" t="s">
        <v>181</v>
      </c>
      <c r="D796" s="316" t="s">
        <v>478</v>
      </c>
      <c r="E796" s="316" t="s">
        <v>188</v>
      </c>
      <c r="F796" s="316" t="s">
        <v>184</v>
      </c>
      <c r="G796" s="316" t="s">
        <v>189</v>
      </c>
      <c r="H796" s="3">
        <v>23.127319852564121</v>
      </c>
      <c r="I796" s="3">
        <v>15.524933759647084</v>
      </c>
      <c r="J796" s="318">
        <v>38.652253612211204</v>
      </c>
      <c r="K796" s="3">
        <v>4.7340905666538795</v>
      </c>
      <c r="L796" s="3">
        <v>1.2287796566269433</v>
      </c>
      <c r="M796" s="318">
        <v>5.9628702232808228</v>
      </c>
      <c r="N796" s="3">
        <v>1.3552442988458242</v>
      </c>
      <c r="O796" s="3">
        <v>17.56203451297586</v>
      </c>
      <c r="P796" s="3">
        <v>2.5037889770973822</v>
      </c>
      <c r="Q796" s="3">
        <v>1.1369893590882303</v>
      </c>
      <c r="R796" s="3">
        <v>7.2982492298878165</v>
      </c>
      <c r="S796" s="3">
        <v>11.535201635427502</v>
      </c>
      <c r="T796" s="3">
        <v>26.615155358840077</v>
      </c>
      <c r="U796" s="3">
        <v>3.6362384156395624</v>
      </c>
      <c r="V796" s="318">
        <v>71.642901787802259</v>
      </c>
      <c r="W796" s="318">
        <v>116.25802562329429</v>
      </c>
      <c r="X796" s="3">
        <v>11.594245219572651</v>
      </c>
      <c r="Y796" s="318">
        <v>127.85227084286694</v>
      </c>
    </row>
    <row r="797" spans="1:25" x14ac:dyDescent="0.2">
      <c r="A797" s="316">
        <v>2021</v>
      </c>
      <c r="B797" s="316" t="s">
        <v>466</v>
      </c>
      <c r="C797" s="316" t="s">
        <v>181</v>
      </c>
      <c r="D797" s="316" t="s">
        <v>478</v>
      </c>
      <c r="E797" s="316" t="s">
        <v>190</v>
      </c>
      <c r="F797" s="316" t="s">
        <v>184</v>
      </c>
      <c r="G797" s="316" t="s">
        <v>191</v>
      </c>
      <c r="H797" s="3">
        <v>8.6586034818050113</v>
      </c>
      <c r="I797" s="3">
        <v>0</v>
      </c>
      <c r="J797" s="318">
        <v>8.6586034818050113</v>
      </c>
      <c r="K797" s="3">
        <v>5.2484733216996187</v>
      </c>
      <c r="L797" s="3">
        <v>0.88053736095464785</v>
      </c>
      <c r="M797" s="318">
        <v>6.1290106826542665</v>
      </c>
      <c r="N797" s="3">
        <v>5.5087769491678387</v>
      </c>
      <c r="O797" s="3">
        <v>10.86384109293458</v>
      </c>
      <c r="P797" s="3">
        <v>2.8754188751365399</v>
      </c>
      <c r="Q797" s="3">
        <v>1.7680297341354296</v>
      </c>
      <c r="R797" s="3">
        <v>7.5984378391716803</v>
      </c>
      <c r="S797" s="3">
        <v>15.087566418933777</v>
      </c>
      <c r="T797" s="3">
        <v>21.150174477198789</v>
      </c>
      <c r="U797" s="3">
        <v>3.9767962440614646</v>
      </c>
      <c r="V797" s="318">
        <v>68.829041630740093</v>
      </c>
      <c r="W797" s="318">
        <v>83.616655795199378</v>
      </c>
      <c r="X797" s="3">
        <v>8.3389684843907403</v>
      </c>
      <c r="Y797" s="318">
        <v>91.955624279590126</v>
      </c>
    </row>
    <row r="798" spans="1:25" x14ac:dyDescent="0.2">
      <c r="A798" s="316">
        <v>2021</v>
      </c>
      <c r="B798" s="316" t="s">
        <v>466</v>
      </c>
      <c r="C798" s="316" t="s">
        <v>181</v>
      </c>
      <c r="D798" s="316" t="s">
        <v>476</v>
      </c>
      <c r="E798" s="316" t="s">
        <v>192</v>
      </c>
      <c r="F798" s="316" t="s">
        <v>184</v>
      </c>
      <c r="G798" s="316" t="s">
        <v>193</v>
      </c>
      <c r="H798" s="3">
        <v>16.265163918888813</v>
      </c>
      <c r="I798" s="3">
        <v>0</v>
      </c>
      <c r="J798" s="318">
        <v>16.265163918888813</v>
      </c>
      <c r="K798" s="3">
        <v>1.9523517108959001</v>
      </c>
      <c r="L798" s="3">
        <v>2.1326296806010157</v>
      </c>
      <c r="M798" s="318">
        <v>4.0849813914969157</v>
      </c>
      <c r="N798" s="3">
        <v>1.4218413314186429</v>
      </c>
      <c r="O798" s="3">
        <v>9.0333304447003044</v>
      </c>
      <c r="P798" s="3">
        <v>1.7757219977609195</v>
      </c>
      <c r="Q798" s="3">
        <v>0.81390060793522556</v>
      </c>
      <c r="R798" s="3">
        <v>7.5168276341960487</v>
      </c>
      <c r="S798" s="3">
        <v>7.0146722669588293</v>
      </c>
      <c r="T798" s="3">
        <v>14.65653801528844</v>
      </c>
      <c r="U798" s="3">
        <v>2.180958756824761</v>
      </c>
      <c r="V798" s="318">
        <v>44.413791055083173</v>
      </c>
      <c r="W798" s="318">
        <v>64.763936365468908</v>
      </c>
      <c r="X798" s="3">
        <v>6.458813966436324</v>
      </c>
      <c r="Y798" s="318">
        <v>71.222750331905232</v>
      </c>
    </row>
    <row r="799" spans="1:25" x14ac:dyDescent="0.2">
      <c r="A799" s="316">
        <v>2021</v>
      </c>
      <c r="B799" s="316" t="s">
        <v>466</v>
      </c>
      <c r="C799" s="316" t="s">
        <v>181</v>
      </c>
      <c r="D799" s="316" t="s">
        <v>479</v>
      </c>
      <c r="E799" s="316" t="s">
        <v>194</v>
      </c>
      <c r="F799" s="316" t="s">
        <v>184</v>
      </c>
      <c r="G799" s="316" t="s">
        <v>195</v>
      </c>
      <c r="H799" s="3">
        <v>146.14396609132905</v>
      </c>
      <c r="I799" s="3">
        <v>98.848879290482245</v>
      </c>
      <c r="J799" s="318">
        <v>244.99284538181129</v>
      </c>
      <c r="K799" s="3">
        <v>40.514170269671695</v>
      </c>
      <c r="L799" s="3">
        <v>5.8012424405450247</v>
      </c>
      <c r="M799" s="318">
        <v>46.315412710216719</v>
      </c>
      <c r="N799" s="3">
        <v>12.366436609365396</v>
      </c>
      <c r="O799" s="3">
        <v>75.854733071070584</v>
      </c>
      <c r="P799" s="3">
        <v>11.622523492551405</v>
      </c>
      <c r="Q799" s="3">
        <v>11.078478336703157</v>
      </c>
      <c r="R799" s="3">
        <v>33.664337113022974</v>
      </c>
      <c r="S799" s="3">
        <v>51.49082449555398</v>
      </c>
      <c r="T799" s="3">
        <v>40.516238077078356</v>
      </c>
      <c r="U799" s="3">
        <v>12.141100180884063</v>
      </c>
      <c r="V799" s="318">
        <v>248.73467137622993</v>
      </c>
      <c r="W799" s="318">
        <v>540.04292946825797</v>
      </c>
      <c r="X799" s="3">
        <v>53.857702466407467</v>
      </c>
      <c r="Y799" s="318">
        <v>593.9006319346654</v>
      </c>
    </row>
    <row r="800" spans="1:25" x14ac:dyDescent="0.2">
      <c r="A800" s="316">
        <v>2021</v>
      </c>
      <c r="B800" s="316" t="s">
        <v>466</v>
      </c>
      <c r="C800" s="316" t="s">
        <v>181</v>
      </c>
      <c r="D800" s="316" t="s">
        <v>479</v>
      </c>
      <c r="E800" s="316" t="s">
        <v>196</v>
      </c>
      <c r="F800" s="316" t="s">
        <v>184</v>
      </c>
      <c r="G800" s="316" t="s">
        <v>197</v>
      </c>
      <c r="H800" s="3">
        <v>92.412402585935382</v>
      </c>
      <c r="I800" s="3">
        <v>0</v>
      </c>
      <c r="J800" s="318">
        <v>92.412402585935382</v>
      </c>
      <c r="K800" s="3">
        <v>222.48466099432727</v>
      </c>
      <c r="L800" s="3">
        <v>24.300747827261176</v>
      </c>
      <c r="M800" s="318">
        <v>246.78540882158845</v>
      </c>
      <c r="N800" s="3">
        <v>9.5422843174146124</v>
      </c>
      <c r="O800" s="3">
        <v>46.407465362030536</v>
      </c>
      <c r="P800" s="3">
        <v>5.598518335807694</v>
      </c>
      <c r="Q800" s="3">
        <v>5.9814903778400916</v>
      </c>
      <c r="R800" s="3">
        <v>17.888565792275159</v>
      </c>
      <c r="S800" s="3">
        <v>30.787406822743417</v>
      </c>
      <c r="T800" s="3">
        <v>19.61906207191495</v>
      </c>
      <c r="U800" s="3">
        <v>6.6679180831082698</v>
      </c>
      <c r="V800" s="318">
        <v>142.49271116313474</v>
      </c>
      <c r="W800" s="318">
        <v>481.69052257065857</v>
      </c>
      <c r="X800" s="3">
        <v>48.038301086624436</v>
      </c>
      <c r="Y800" s="318">
        <v>529.72882365728299</v>
      </c>
    </row>
    <row r="801" spans="1:25" x14ac:dyDescent="0.2">
      <c r="A801" s="316">
        <v>2021</v>
      </c>
      <c r="B801" s="316" t="s">
        <v>466</v>
      </c>
      <c r="C801" s="316" t="s">
        <v>181</v>
      </c>
      <c r="D801" s="316" t="s">
        <v>476</v>
      </c>
      <c r="E801" s="316" t="s">
        <v>198</v>
      </c>
      <c r="F801" s="316" t="s">
        <v>184</v>
      </c>
      <c r="G801" s="316" t="s">
        <v>199</v>
      </c>
      <c r="H801" s="3">
        <v>26.252841282797615</v>
      </c>
      <c r="I801" s="3">
        <v>17.622992914008389</v>
      </c>
      <c r="J801" s="318">
        <v>43.875834196806004</v>
      </c>
      <c r="K801" s="3">
        <v>16.36281083208662</v>
      </c>
      <c r="L801" s="3">
        <v>11.648375320316855</v>
      </c>
      <c r="M801" s="318">
        <v>28.011186152403475</v>
      </c>
      <c r="N801" s="3">
        <v>20.417434859656783</v>
      </c>
      <c r="O801" s="3">
        <v>114.99676333376728</v>
      </c>
      <c r="P801" s="3">
        <v>15.013980155418116</v>
      </c>
      <c r="Q801" s="3">
        <v>7.3800114880217453</v>
      </c>
      <c r="R801" s="3">
        <v>66.01271201556014</v>
      </c>
      <c r="S801" s="3">
        <v>52.76458803727472</v>
      </c>
      <c r="T801" s="3">
        <v>66.656071102537084</v>
      </c>
      <c r="U801" s="3">
        <v>22.433430677890492</v>
      </c>
      <c r="V801" s="318">
        <v>365.67499167012642</v>
      </c>
      <c r="W801" s="318">
        <v>437.5620120193359</v>
      </c>
      <c r="X801" s="3">
        <v>43.637428374710602</v>
      </c>
      <c r="Y801" s="318">
        <v>481.19944039404652</v>
      </c>
    </row>
    <row r="802" spans="1:25" x14ac:dyDescent="0.2">
      <c r="A802" s="316">
        <v>2021</v>
      </c>
      <c r="B802" s="316" t="s">
        <v>466</v>
      </c>
      <c r="C802" s="316" t="s">
        <v>181</v>
      </c>
      <c r="D802" s="316" t="s">
        <v>476</v>
      </c>
      <c r="E802" s="316" t="s">
        <v>200</v>
      </c>
      <c r="F802" s="316" t="s">
        <v>184</v>
      </c>
      <c r="G802" s="316" t="s">
        <v>201</v>
      </c>
      <c r="H802" s="3">
        <v>11.999247562405715</v>
      </c>
      <c r="I802" s="3">
        <v>0</v>
      </c>
      <c r="J802" s="318">
        <v>11.999247562405715</v>
      </c>
      <c r="K802" s="3">
        <v>4.0086631909660584</v>
      </c>
      <c r="L802" s="3">
        <v>1.6621307735995616</v>
      </c>
      <c r="M802" s="318">
        <v>5.67079396456562</v>
      </c>
      <c r="N802" s="3">
        <v>1.5543185708041443</v>
      </c>
      <c r="O802" s="3">
        <v>13.630745727823216</v>
      </c>
      <c r="P802" s="3">
        <v>2.3936599153625164</v>
      </c>
      <c r="Q802" s="3">
        <v>1.4826539370664504</v>
      </c>
      <c r="R802" s="3">
        <v>8.4515232284678454</v>
      </c>
      <c r="S802" s="3">
        <v>8.9516381740068471</v>
      </c>
      <c r="T802" s="3">
        <v>18.40885393368098</v>
      </c>
      <c r="U802" s="3">
        <v>3.7245644570550667</v>
      </c>
      <c r="V802" s="318">
        <v>58.597957944267065</v>
      </c>
      <c r="W802" s="318">
        <v>76.267999471238397</v>
      </c>
      <c r="X802" s="3">
        <v>7.6060975879724273</v>
      </c>
      <c r="Y802" s="318">
        <v>83.874097059210825</v>
      </c>
    </row>
    <row r="803" spans="1:25" x14ac:dyDescent="0.2">
      <c r="A803" s="316">
        <v>2021</v>
      </c>
      <c r="B803" s="316" t="s">
        <v>466</v>
      </c>
      <c r="C803" s="316" t="s">
        <v>181</v>
      </c>
      <c r="D803" s="316" t="s">
        <v>480</v>
      </c>
      <c r="E803" s="316" t="s">
        <v>202</v>
      </c>
      <c r="F803" s="316" t="s">
        <v>184</v>
      </c>
      <c r="G803" s="316" t="s">
        <v>203</v>
      </c>
      <c r="H803" s="3">
        <v>60.318934018382897</v>
      </c>
      <c r="I803" s="3">
        <v>0</v>
      </c>
      <c r="J803" s="318">
        <v>60.318934018382897</v>
      </c>
      <c r="K803" s="3">
        <v>6.045876488055316</v>
      </c>
      <c r="L803" s="3">
        <v>11.804318038291729</v>
      </c>
      <c r="M803" s="318">
        <v>17.850194526347046</v>
      </c>
      <c r="N803" s="3">
        <v>5.7429433803798355</v>
      </c>
      <c r="O803" s="3">
        <v>45.512890906538132</v>
      </c>
      <c r="P803" s="3">
        <v>7.1742599353069902</v>
      </c>
      <c r="Q803" s="3">
        <v>3.7366246981657638</v>
      </c>
      <c r="R803" s="3">
        <v>16.288886195849585</v>
      </c>
      <c r="S803" s="3">
        <v>34.088923219895086</v>
      </c>
      <c r="T803" s="3">
        <v>80.432647260679005</v>
      </c>
      <c r="U803" s="3">
        <v>9.5324055943328734</v>
      </c>
      <c r="V803" s="318">
        <v>202.50958119114728</v>
      </c>
      <c r="W803" s="318">
        <v>280.67870973587725</v>
      </c>
      <c r="X803" s="3">
        <v>27.99168290656889</v>
      </c>
      <c r="Y803" s="318">
        <v>308.67039264244613</v>
      </c>
    </row>
    <row r="804" spans="1:25" x14ac:dyDescent="0.2">
      <c r="A804" s="316">
        <v>2021</v>
      </c>
      <c r="B804" s="316" t="s">
        <v>466</v>
      </c>
      <c r="C804" s="316" t="s">
        <v>181</v>
      </c>
      <c r="D804" s="316" t="s">
        <v>480</v>
      </c>
      <c r="E804" s="316" t="s">
        <v>204</v>
      </c>
      <c r="F804" s="316" t="s">
        <v>184</v>
      </c>
      <c r="G804" s="316" t="s">
        <v>205</v>
      </c>
      <c r="H804" s="3">
        <v>25.197966970391036</v>
      </c>
      <c r="I804" s="3">
        <v>0</v>
      </c>
      <c r="J804" s="318">
        <v>25.197966970391036</v>
      </c>
      <c r="K804" s="3">
        <v>2.7217541266091292</v>
      </c>
      <c r="L804" s="3">
        <v>3.0692112000755616</v>
      </c>
      <c r="M804" s="318">
        <v>5.7909653266846908</v>
      </c>
      <c r="N804" s="3">
        <v>1.3624969703773375</v>
      </c>
      <c r="O804" s="3">
        <v>9.8473445776672754</v>
      </c>
      <c r="P804" s="3">
        <v>3.082949396047221</v>
      </c>
      <c r="Q804" s="3">
        <v>1.9037170442057123</v>
      </c>
      <c r="R804" s="3">
        <v>9.6410156033708247</v>
      </c>
      <c r="S804" s="3">
        <v>10.858590407247073</v>
      </c>
      <c r="T804" s="3">
        <v>20.236921565181557</v>
      </c>
      <c r="U804" s="3">
        <v>3.6722342506966692</v>
      </c>
      <c r="V804" s="318">
        <v>60.605269814793665</v>
      </c>
      <c r="W804" s="318">
        <v>91.594202111869393</v>
      </c>
      <c r="X804" s="3">
        <v>9.1345576727507236</v>
      </c>
      <c r="Y804" s="318">
        <v>100.72875978462011</v>
      </c>
    </row>
    <row r="805" spans="1:25" x14ac:dyDescent="0.2">
      <c r="A805" s="316">
        <v>2021</v>
      </c>
      <c r="B805" s="316" t="s">
        <v>466</v>
      </c>
      <c r="C805" s="316" t="s">
        <v>181</v>
      </c>
      <c r="D805" s="316" t="s">
        <v>479</v>
      </c>
      <c r="E805" s="316" t="s">
        <v>206</v>
      </c>
      <c r="F805" s="316" t="s">
        <v>184</v>
      </c>
      <c r="G805" s="316" t="s">
        <v>207</v>
      </c>
      <c r="H805" s="3">
        <v>6.007971180424005</v>
      </c>
      <c r="I805" s="3">
        <v>0</v>
      </c>
      <c r="J805" s="318">
        <v>6.007971180424005</v>
      </c>
      <c r="K805" s="3">
        <v>2.8321364800747828</v>
      </c>
      <c r="L805" s="3">
        <v>0.23510678297576693</v>
      </c>
      <c r="M805" s="318">
        <v>3.0672432630505497</v>
      </c>
      <c r="N805" s="3">
        <v>1.4932086550021675</v>
      </c>
      <c r="O805" s="3">
        <v>6.6635978849075093</v>
      </c>
      <c r="P805" s="3">
        <v>1.3292220844152691</v>
      </c>
      <c r="Q805" s="3">
        <v>0.82257369062743579</v>
      </c>
      <c r="R805" s="3">
        <v>3.8501963451763279</v>
      </c>
      <c r="S805" s="3">
        <v>10.975796143581487</v>
      </c>
      <c r="T805" s="3">
        <v>8.4582255381506517</v>
      </c>
      <c r="U805" s="3">
        <v>1.8333204884339143</v>
      </c>
      <c r="V805" s="318">
        <v>35.426140830294763</v>
      </c>
      <c r="W805" s="318">
        <v>44.50135527376932</v>
      </c>
      <c r="X805" s="3">
        <v>4.4380559783394666</v>
      </c>
      <c r="Y805" s="318">
        <v>48.939411252108783</v>
      </c>
    </row>
    <row r="806" spans="1:25" x14ac:dyDescent="0.2">
      <c r="A806" s="316">
        <v>2021</v>
      </c>
      <c r="B806" s="316" t="s">
        <v>466</v>
      </c>
      <c r="C806" s="316" t="s">
        <v>181</v>
      </c>
      <c r="D806" s="316" t="s">
        <v>479</v>
      </c>
      <c r="E806" s="316" t="s">
        <v>208</v>
      </c>
      <c r="F806" s="316" t="s">
        <v>184</v>
      </c>
      <c r="G806" s="316" t="s">
        <v>209</v>
      </c>
      <c r="H806" s="3">
        <v>120.37463144918165</v>
      </c>
      <c r="I806" s="3">
        <v>0</v>
      </c>
      <c r="J806" s="318">
        <v>120.37463144918165</v>
      </c>
      <c r="K806" s="3">
        <v>550.14365778858075</v>
      </c>
      <c r="L806" s="3">
        <v>91.111287660981247</v>
      </c>
      <c r="M806" s="318">
        <v>641.254945449562</v>
      </c>
      <c r="N806" s="3">
        <v>19.369246022399743</v>
      </c>
      <c r="O806" s="3">
        <v>96.01898696386138</v>
      </c>
      <c r="P806" s="3">
        <v>10.9389796812087</v>
      </c>
      <c r="Q806" s="3">
        <v>13.427987707989059</v>
      </c>
      <c r="R806" s="3">
        <v>38.129357377482542</v>
      </c>
      <c r="S806" s="3">
        <v>52.297564910643601</v>
      </c>
      <c r="T806" s="3">
        <v>50.518660381002277</v>
      </c>
      <c r="U806" s="3">
        <v>11.278896028072175</v>
      </c>
      <c r="V806" s="318">
        <v>291.97967907265945</v>
      </c>
      <c r="W806" s="318">
        <v>1053.6092559714032</v>
      </c>
      <c r="X806" s="3">
        <v>105.07493150560001</v>
      </c>
      <c r="Y806" s="318">
        <v>1158.6841874770032</v>
      </c>
    </row>
    <row r="807" spans="1:25" x14ac:dyDescent="0.2">
      <c r="A807" s="316">
        <v>2021</v>
      </c>
      <c r="B807" s="316" t="s">
        <v>466</v>
      </c>
      <c r="C807" s="316" t="s">
        <v>181</v>
      </c>
      <c r="D807" s="316" t="s">
        <v>479</v>
      </c>
      <c r="E807" s="316" t="s">
        <v>210</v>
      </c>
      <c r="F807" s="316" t="s">
        <v>184</v>
      </c>
      <c r="G807" s="316" t="s">
        <v>211</v>
      </c>
      <c r="H807" s="3">
        <v>281.38505281738753</v>
      </c>
      <c r="I807" s="3">
        <v>188.8879680818186</v>
      </c>
      <c r="J807" s="318">
        <v>470.27302089920613</v>
      </c>
      <c r="K807" s="3">
        <v>281.48159990042376</v>
      </c>
      <c r="L807" s="3">
        <v>37.38414777836573</v>
      </c>
      <c r="M807" s="318">
        <v>318.86574767878949</v>
      </c>
      <c r="N807" s="3">
        <v>25.583304999771602</v>
      </c>
      <c r="O807" s="3">
        <v>128.05679167031931</v>
      </c>
      <c r="P807" s="3">
        <v>16.560962362721977</v>
      </c>
      <c r="Q807" s="3">
        <v>16.801315511047687</v>
      </c>
      <c r="R807" s="3">
        <v>54.785818615595055</v>
      </c>
      <c r="S807" s="3">
        <v>102.23350236380585</v>
      </c>
      <c r="T807" s="3">
        <v>160.0467196274291</v>
      </c>
      <c r="U807" s="3">
        <v>19.525168232068072</v>
      </c>
      <c r="V807" s="318">
        <v>523.59358338275854</v>
      </c>
      <c r="W807" s="318">
        <v>1312.7323519607542</v>
      </c>
      <c r="X807" s="3">
        <v>130.91690414231257</v>
      </c>
      <c r="Y807" s="318">
        <v>1443.6492561030668</v>
      </c>
    </row>
    <row r="808" spans="1:25" x14ac:dyDescent="0.2">
      <c r="A808" s="316">
        <v>2021</v>
      </c>
      <c r="B808" s="316" t="s">
        <v>466</v>
      </c>
      <c r="C808" s="316" t="s">
        <v>181</v>
      </c>
      <c r="D808" s="316" t="s">
        <v>480</v>
      </c>
      <c r="E808" s="316" t="s">
        <v>212</v>
      </c>
      <c r="F808" s="316" t="s">
        <v>184</v>
      </c>
      <c r="G808" s="316" t="s">
        <v>213</v>
      </c>
      <c r="H808" s="3">
        <v>22.763924771104911</v>
      </c>
      <c r="I808" s="3">
        <v>0</v>
      </c>
      <c r="J808" s="318">
        <v>22.763924771104911</v>
      </c>
      <c r="K808" s="3">
        <v>3.5146078318876799</v>
      </c>
      <c r="L808" s="3">
        <v>3.2913488744446879</v>
      </c>
      <c r="M808" s="318">
        <v>6.8059567063323678</v>
      </c>
      <c r="N808" s="3">
        <v>31.532668417278739</v>
      </c>
      <c r="O808" s="3">
        <v>9.0749338390366674</v>
      </c>
      <c r="P808" s="3">
        <v>1.6926911607426232</v>
      </c>
      <c r="Q808" s="3">
        <v>1.3005388892928169</v>
      </c>
      <c r="R808" s="3">
        <v>7.1457770363158337</v>
      </c>
      <c r="S808" s="3">
        <v>10.710440839933357</v>
      </c>
      <c r="T808" s="3">
        <v>12.882398920399853</v>
      </c>
      <c r="U808" s="3">
        <v>2.6918887068339825</v>
      </c>
      <c r="V808" s="318">
        <v>77.031337809833872</v>
      </c>
      <c r="W808" s="318">
        <v>106.60121928727115</v>
      </c>
      <c r="X808" s="3">
        <v>10.631185851434358</v>
      </c>
      <c r="Y808" s="318">
        <v>117.2324051387055</v>
      </c>
    </row>
    <row r="809" spans="1:25" x14ac:dyDescent="0.2">
      <c r="A809" s="316">
        <v>2021</v>
      </c>
      <c r="B809" s="316" t="s">
        <v>466</v>
      </c>
      <c r="C809" s="316" t="s">
        <v>181</v>
      </c>
      <c r="D809" s="316" t="s">
        <v>478</v>
      </c>
      <c r="E809" s="316" t="s">
        <v>214</v>
      </c>
      <c r="F809" s="316" t="s">
        <v>184</v>
      </c>
      <c r="G809" s="316" t="s">
        <v>215</v>
      </c>
      <c r="H809" s="3">
        <v>10.919427242136454</v>
      </c>
      <c r="I809" s="3">
        <v>7.6738351608985909</v>
      </c>
      <c r="J809" s="318">
        <v>18.593262403035045</v>
      </c>
      <c r="K809" s="3">
        <v>6.3942315512404218</v>
      </c>
      <c r="L809" s="3">
        <v>2.9288562826791065</v>
      </c>
      <c r="M809" s="318">
        <v>9.3230878339195282</v>
      </c>
      <c r="N809" s="3">
        <v>2.5181112751147925</v>
      </c>
      <c r="O809" s="3">
        <v>38.296905997059227</v>
      </c>
      <c r="P809" s="3">
        <v>4.9793592929130917</v>
      </c>
      <c r="Q809" s="3">
        <v>2.5303010359625859</v>
      </c>
      <c r="R809" s="3">
        <v>13.295156950127847</v>
      </c>
      <c r="S809" s="3">
        <v>16.443798503133646</v>
      </c>
      <c r="T809" s="3">
        <v>37.169704604216406</v>
      </c>
      <c r="U809" s="3">
        <v>7.385458866832284</v>
      </c>
      <c r="V809" s="318">
        <v>122.61879652535987</v>
      </c>
      <c r="W809" s="318">
        <v>150.53514676231444</v>
      </c>
      <c r="X809" s="3">
        <v>15.012653073792805</v>
      </c>
      <c r="Y809" s="318">
        <v>165.54779983610723</v>
      </c>
    </row>
    <row r="810" spans="1:25" x14ac:dyDescent="0.2">
      <c r="A810" s="316">
        <v>2021</v>
      </c>
      <c r="B810" s="316" t="s">
        <v>466</v>
      </c>
      <c r="C810" s="316" t="s">
        <v>181</v>
      </c>
      <c r="D810" s="316" t="s">
        <v>478</v>
      </c>
      <c r="E810" s="316" t="s">
        <v>216</v>
      </c>
      <c r="F810" s="316" t="s">
        <v>184</v>
      </c>
      <c r="G810" s="316" t="s">
        <v>217</v>
      </c>
      <c r="H810" s="3">
        <v>30.330592435162007</v>
      </c>
      <c r="I810" s="3">
        <v>20.515485059284575</v>
      </c>
      <c r="J810" s="318">
        <v>50.846077494446583</v>
      </c>
      <c r="K810" s="3">
        <v>145.36053521141278</v>
      </c>
      <c r="L810" s="3">
        <v>24.150532077701257</v>
      </c>
      <c r="M810" s="318">
        <v>169.51106728911404</v>
      </c>
      <c r="N810" s="3">
        <v>20.296887620095237</v>
      </c>
      <c r="O810" s="3">
        <v>128.05078219857674</v>
      </c>
      <c r="P810" s="3">
        <v>17.677445393307107</v>
      </c>
      <c r="Q810" s="3">
        <v>21.181787184630295</v>
      </c>
      <c r="R810" s="3">
        <v>49.661530824356689</v>
      </c>
      <c r="S810" s="3">
        <v>74.051578341001061</v>
      </c>
      <c r="T810" s="3">
        <v>111.4163656124739</v>
      </c>
      <c r="U810" s="3">
        <v>22.122412939360849</v>
      </c>
      <c r="V810" s="318">
        <v>444.45879011380191</v>
      </c>
      <c r="W810" s="318">
        <v>664.81593489736258</v>
      </c>
      <c r="X810" s="3">
        <v>66.301134341086126</v>
      </c>
      <c r="Y810" s="318">
        <v>731.11706923844872</v>
      </c>
    </row>
    <row r="811" spans="1:25" x14ac:dyDescent="0.2">
      <c r="A811" s="316">
        <v>2021</v>
      </c>
      <c r="B811" s="316" t="s">
        <v>466</v>
      </c>
      <c r="C811" s="316" t="s">
        <v>218</v>
      </c>
      <c r="D811" s="316" t="s">
        <v>481</v>
      </c>
      <c r="E811" s="316" t="s">
        <v>220</v>
      </c>
      <c r="F811" s="316" t="s">
        <v>221</v>
      </c>
      <c r="G811" s="316" t="s">
        <v>223</v>
      </c>
      <c r="H811" s="3">
        <v>8.5276777129884316</v>
      </c>
      <c r="I811" s="3">
        <v>5.7244550879586455</v>
      </c>
      <c r="J811" s="318">
        <v>14.252132800947077</v>
      </c>
      <c r="K811" s="3">
        <v>1.7897938248949214</v>
      </c>
      <c r="L811" s="3">
        <v>0.69247685423362371</v>
      </c>
      <c r="M811" s="318">
        <v>2.4822706791285452</v>
      </c>
      <c r="N811" s="3">
        <v>2.484101170144017</v>
      </c>
      <c r="O811" s="3">
        <v>3.0202098447210348</v>
      </c>
      <c r="P811" s="3">
        <v>0.65181489885407295</v>
      </c>
      <c r="Q811" s="3">
        <v>0.26861188552218052</v>
      </c>
      <c r="R811" s="3">
        <v>2.291691842481117</v>
      </c>
      <c r="S811" s="3">
        <v>3.0863745272469707</v>
      </c>
      <c r="T811" s="3">
        <v>9.042640672890915</v>
      </c>
      <c r="U811" s="3">
        <v>0.89564591167740337</v>
      </c>
      <c r="V811" s="318">
        <v>21.741090753537708</v>
      </c>
      <c r="W811" s="318">
        <v>38.475494233613333</v>
      </c>
      <c r="X811" s="3">
        <v>3.8371055477427944</v>
      </c>
      <c r="Y811" s="318">
        <v>42.312599781356127</v>
      </c>
    </row>
    <row r="812" spans="1:25" x14ac:dyDescent="0.2">
      <c r="A812" s="316">
        <v>2021</v>
      </c>
      <c r="B812" s="316" t="s">
        <v>466</v>
      </c>
      <c r="C812" s="316" t="s">
        <v>218</v>
      </c>
      <c r="D812" s="316" t="s">
        <v>482</v>
      </c>
      <c r="E812" s="316" t="s">
        <v>224</v>
      </c>
      <c r="F812" s="316" t="s">
        <v>221</v>
      </c>
      <c r="G812" s="316" t="s">
        <v>226</v>
      </c>
      <c r="H812" s="3">
        <v>39.564630528248557</v>
      </c>
      <c r="I812" s="3">
        <v>26.558925814442617</v>
      </c>
      <c r="J812" s="318">
        <v>66.123556342691174</v>
      </c>
      <c r="K812" s="3">
        <v>4.5021317668925551</v>
      </c>
      <c r="L812" s="3">
        <v>4.2894274001266854</v>
      </c>
      <c r="M812" s="318">
        <v>8.7915591670192406</v>
      </c>
      <c r="N812" s="3">
        <v>4.5088791503163632</v>
      </c>
      <c r="O812" s="3">
        <v>12.180676490939822</v>
      </c>
      <c r="P812" s="3">
        <v>2.9735228735992285</v>
      </c>
      <c r="Q812" s="3">
        <v>1.7693894475621987</v>
      </c>
      <c r="R812" s="3">
        <v>8.3636386966972864</v>
      </c>
      <c r="S812" s="3">
        <v>7.5195974076336718</v>
      </c>
      <c r="T812" s="3">
        <v>16.537417727539925</v>
      </c>
      <c r="U812" s="3">
        <v>3.4790611373216662</v>
      </c>
      <c r="V812" s="318">
        <v>57.332182931610156</v>
      </c>
      <c r="W812" s="318">
        <v>132.24729844132057</v>
      </c>
      <c r="X812" s="3">
        <v>13.188832336814212</v>
      </c>
      <c r="Y812" s="318">
        <v>145.43613077813478</v>
      </c>
    </row>
    <row r="813" spans="1:25" x14ac:dyDescent="0.2">
      <c r="A813" s="316">
        <v>2021</v>
      </c>
      <c r="B813" s="316" t="s">
        <v>466</v>
      </c>
      <c r="C813" s="316" t="s">
        <v>218</v>
      </c>
      <c r="D813" s="316" t="s">
        <v>482</v>
      </c>
      <c r="E813" s="316" t="s">
        <v>227</v>
      </c>
      <c r="F813" s="316" t="s">
        <v>221</v>
      </c>
      <c r="G813" s="316" t="s">
        <v>228</v>
      </c>
      <c r="H813" s="3">
        <v>14.660807813281085</v>
      </c>
      <c r="I813" s="3">
        <v>0</v>
      </c>
      <c r="J813" s="318">
        <v>14.660807813281085</v>
      </c>
      <c r="K813" s="3">
        <v>2.3790943745384272</v>
      </c>
      <c r="L813" s="3">
        <v>1.4836113882752278</v>
      </c>
      <c r="M813" s="318">
        <v>3.862705762813655</v>
      </c>
      <c r="N813" s="3">
        <v>6.2166503984035151</v>
      </c>
      <c r="O813" s="3">
        <v>5.8758138099242814</v>
      </c>
      <c r="P813" s="3">
        <v>2.0682047451303722</v>
      </c>
      <c r="Q813" s="3">
        <v>0.83178535546924937</v>
      </c>
      <c r="R813" s="3">
        <v>6.4581052886774293</v>
      </c>
      <c r="S813" s="3">
        <v>5.8757483145971596</v>
      </c>
      <c r="T813" s="3">
        <v>13.762413842784033</v>
      </c>
      <c r="U813" s="3">
        <v>2.3483071045551456</v>
      </c>
      <c r="V813" s="318">
        <v>43.437028859541186</v>
      </c>
      <c r="W813" s="318">
        <v>61.960542435635929</v>
      </c>
      <c r="X813" s="3">
        <v>6.1792355330741078</v>
      </c>
      <c r="Y813" s="318">
        <v>68.139777968710035</v>
      </c>
    </row>
    <row r="814" spans="1:25" x14ac:dyDescent="0.2">
      <c r="A814" s="316">
        <v>2021</v>
      </c>
      <c r="B814" s="316" t="s">
        <v>466</v>
      </c>
      <c r="C814" s="316" t="s">
        <v>218</v>
      </c>
      <c r="D814" s="316" t="s">
        <v>482</v>
      </c>
      <c r="E814" s="316" t="s">
        <v>229</v>
      </c>
      <c r="F814" s="316" t="s">
        <v>221</v>
      </c>
      <c r="G814" s="316" t="s">
        <v>230</v>
      </c>
      <c r="H814" s="3">
        <v>468.29819171310675</v>
      </c>
      <c r="I814" s="3">
        <v>386.2569157401519</v>
      </c>
      <c r="J814" s="318">
        <v>854.55510745325864</v>
      </c>
      <c r="K814" s="3">
        <v>3.5744799134299012</v>
      </c>
      <c r="L814" s="3">
        <v>2.2266552995484958</v>
      </c>
      <c r="M814" s="318">
        <v>5.8011352129783971</v>
      </c>
      <c r="N814" s="3">
        <v>26.524510046905903</v>
      </c>
      <c r="O814" s="3">
        <v>10.545770035711412</v>
      </c>
      <c r="P814" s="3">
        <v>1.8155713591047413</v>
      </c>
      <c r="Q814" s="3">
        <v>0.77454927427850295</v>
      </c>
      <c r="R814" s="3">
        <v>7.1985076316277121</v>
      </c>
      <c r="S814" s="3">
        <v>9.0704269087871836</v>
      </c>
      <c r="T814" s="3">
        <v>11.500535170733448</v>
      </c>
      <c r="U814" s="3">
        <v>2.8597754869419765</v>
      </c>
      <c r="V814" s="318">
        <v>70.289645914090883</v>
      </c>
      <c r="W814" s="318">
        <v>930.64588858032789</v>
      </c>
      <c r="X814" s="3">
        <v>92.811972222461506</v>
      </c>
      <c r="Y814" s="318">
        <v>1023.4578608027894</v>
      </c>
    </row>
    <row r="815" spans="1:25" x14ac:dyDescent="0.2">
      <c r="A815" s="316">
        <v>2021</v>
      </c>
      <c r="B815" s="316" t="s">
        <v>466</v>
      </c>
      <c r="C815" s="316" t="s">
        <v>218</v>
      </c>
      <c r="D815" s="316" t="s">
        <v>482</v>
      </c>
      <c r="E815" s="316" t="s">
        <v>231</v>
      </c>
      <c r="F815" s="316" t="s">
        <v>221</v>
      </c>
      <c r="G815" s="316" t="s">
        <v>232</v>
      </c>
      <c r="H815" s="3">
        <v>45.921813386470802</v>
      </c>
      <c r="I815" s="3">
        <v>0</v>
      </c>
      <c r="J815" s="318">
        <v>45.921813386470802</v>
      </c>
      <c r="K815" s="3">
        <v>3.5622473387277052</v>
      </c>
      <c r="L815" s="3">
        <v>4.0446013041997286</v>
      </c>
      <c r="M815" s="318">
        <v>7.6068486429274333</v>
      </c>
      <c r="N815" s="3">
        <v>4.8855345485673523</v>
      </c>
      <c r="O815" s="3">
        <v>13.526166489182753</v>
      </c>
      <c r="P815" s="3">
        <v>2.7805680996821067</v>
      </c>
      <c r="Q815" s="3">
        <v>2.0739628122262368</v>
      </c>
      <c r="R815" s="3">
        <v>9.6441627680222481</v>
      </c>
      <c r="S815" s="3">
        <v>9.4182165410214758</v>
      </c>
      <c r="T815" s="3">
        <v>22.895487904817617</v>
      </c>
      <c r="U815" s="3">
        <v>3.4121044436201653</v>
      </c>
      <c r="V815" s="318">
        <v>68.636203607139961</v>
      </c>
      <c r="W815" s="318">
        <v>122.1648656365382</v>
      </c>
      <c r="X815" s="3">
        <v>12.183325854816223</v>
      </c>
      <c r="Y815" s="318">
        <v>134.34819149135441</v>
      </c>
    </row>
    <row r="816" spans="1:25" x14ac:dyDescent="0.2">
      <c r="A816" s="316">
        <v>2021</v>
      </c>
      <c r="B816" s="316" t="s">
        <v>466</v>
      </c>
      <c r="C816" s="316" t="s">
        <v>218</v>
      </c>
      <c r="D816" s="316" t="s">
        <v>481</v>
      </c>
      <c r="E816" s="316" t="s">
        <v>233</v>
      </c>
      <c r="F816" s="316" t="s">
        <v>221</v>
      </c>
      <c r="G816" s="316" t="s">
        <v>234</v>
      </c>
      <c r="H816" s="3">
        <v>35.519754150632451</v>
      </c>
      <c r="I816" s="3">
        <v>23.84368603581472</v>
      </c>
      <c r="J816" s="318">
        <v>59.363440186447171</v>
      </c>
      <c r="K816" s="3">
        <v>2.9351485776487434</v>
      </c>
      <c r="L816" s="3">
        <v>12.338440542842264</v>
      </c>
      <c r="M816" s="318">
        <v>15.273589120491007</v>
      </c>
      <c r="N816" s="3">
        <v>16.951730496662194</v>
      </c>
      <c r="O816" s="3">
        <v>27.61628056902595</v>
      </c>
      <c r="P816" s="3">
        <v>3.4115297565536213</v>
      </c>
      <c r="Q816" s="3">
        <v>2.194055979456738</v>
      </c>
      <c r="R816" s="3">
        <v>11.935422190779862</v>
      </c>
      <c r="S816" s="3">
        <v>22.48315725527366</v>
      </c>
      <c r="T816" s="3">
        <v>48.762176561148856</v>
      </c>
      <c r="U816" s="3">
        <v>4.9268360313132016</v>
      </c>
      <c r="V816" s="318">
        <v>138.28118884021407</v>
      </c>
      <c r="W816" s="318">
        <v>212.91821814715226</v>
      </c>
      <c r="X816" s="3">
        <v>21.234026809568626</v>
      </c>
      <c r="Y816" s="318">
        <v>234.15224495672089</v>
      </c>
    </row>
    <row r="817" spans="1:25" x14ac:dyDescent="0.2">
      <c r="A817" s="316">
        <v>2021</v>
      </c>
      <c r="B817" s="316" t="s">
        <v>466</v>
      </c>
      <c r="C817" s="316" t="s">
        <v>218</v>
      </c>
      <c r="D817" s="316" t="s">
        <v>481</v>
      </c>
      <c r="E817" s="316" t="s">
        <v>235</v>
      </c>
      <c r="F817" s="316" t="s">
        <v>221</v>
      </c>
      <c r="G817" s="316" t="s">
        <v>236</v>
      </c>
      <c r="H817" s="3">
        <v>75.972841867968128</v>
      </c>
      <c r="I817" s="3">
        <v>50.999097101048321</v>
      </c>
      <c r="J817" s="318">
        <v>126.97193896901645</v>
      </c>
      <c r="K817" s="3">
        <v>3.5633592044268183</v>
      </c>
      <c r="L817" s="3">
        <v>15.378232001236446</v>
      </c>
      <c r="M817" s="318">
        <v>18.941591205663265</v>
      </c>
      <c r="N817" s="3">
        <v>4.4286293184873626</v>
      </c>
      <c r="O817" s="3">
        <v>54.414845155192324</v>
      </c>
      <c r="P817" s="3">
        <v>7.6141921287670709</v>
      </c>
      <c r="Q817" s="3">
        <v>5.652256271692174</v>
      </c>
      <c r="R817" s="3">
        <v>18.740342290360203</v>
      </c>
      <c r="S817" s="3">
        <v>28.495659898904982</v>
      </c>
      <c r="T817" s="3">
        <v>58.313174678051126</v>
      </c>
      <c r="U817" s="3">
        <v>9.3477380911009007</v>
      </c>
      <c r="V817" s="318">
        <v>187.00683783255613</v>
      </c>
      <c r="W817" s="318">
        <v>332.92036800723582</v>
      </c>
      <c r="X817" s="3">
        <v>33.201668139226101</v>
      </c>
      <c r="Y817" s="318">
        <v>366.12203614646194</v>
      </c>
    </row>
    <row r="818" spans="1:25" x14ac:dyDescent="0.2">
      <c r="A818" s="316">
        <v>2021</v>
      </c>
      <c r="B818" s="316" t="s">
        <v>466</v>
      </c>
      <c r="C818" s="316" t="s">
        <v>218</v>
      </c>
      <c r="D818" s="316" t="s">
        <v>482</v>
      </c>
      <c r="E818" s="316" t="s">
        <v>237</v>
      </c>
      <c r="F818" s="316" t="s">
        <v>221</v>
      </c>
      <c r="G818" s="316" t="s">
        <v>238</v>
      </c>
      <c r="H818" s="3">
        <v>81.240662480631556</v>
      </c>
      <c r="I818" s="3">
        <v>0</v>
      </c>
      <c r="J818" s="318">
        <v>81.240662480631556</v>
      </c>
      <c r="K818" s="3">
        <v>6.8422856212922296</v>
      </c>
      <c r="L818" s="3">
        <v>7.1592593249022736</v>
      </c>
      <c r="M818" s="318">
        <v>14.001544946194503</v>
      </c>
      <c r="N818" s="3">
        <v>6.9519855089442517</v>
      </c>
      <c r="O818" s="3">
        <v>23.348580728162943</v>
      </c>
      <c r="P818" s="3">
        <v>5.3097772454709222</v>
      </c>
      <c r="Q818" s="3">
        <v>2.2110483614298135</v>
      </c>
      <c r="R818" s="3">
        <v>19.630717560501928</v>
      </c>
      <c r="S818" s="3">
        <v>14.724117251092494</v>
      </c>
      <c r="T818" s="3">
        <v>22.256237368580241</v>
      </c>
      <c r="U818" s="3">
        <v>7.2443375118427298</v>
      </c>
      <c r="V818" s="318">
        <v>101.67680153602532</v>
      </c>
      <c r="W818" s="318">
        <v>196.91900896285136</v>
      </c>
      <c r="X818" s="3">
        <v>19.638448752849449</v>
      </c>
      <c r="Y818" s="318">
        <v>216.55745771570082</v>
      </c>
    </row>
    <row r="819" spans="1:25" x14ac:dyDescent="0.2">
      <c r="A819" s="316">
        <v>2021</v>
      </c>
      <c r="B819" s="316" t="s">
        <v>466</v>
      </c>
      <c r="C819" s="316" t="s">
        <v>218</v>
      </c>
      <c r="D819" s="316" t="s">
        <v>481</v>
      </c>
      <c r="E819" s="316" t="s">
        <v>239</v>
      </c>
      <c r="F819" s="316" t="s">
        <v>221</v>
      </c>
      <c r="G819" s="316" t="s">
        <v>240</v>
      </c>
      <c r="H819" s="3">
        <v>43.021355889489172</v>
      </c>
      <c r="I819" s="3">
        <v>28.879364341665664</v>
      </c>
      <c r="J819" s="318">
        <v>71.900720231154835</v>
      </c>
      <c r="K819" s="3">
        <v>10.379406893386905</v>
      </c>
      <c r="L819" s="3">
        <v>9.8224303235275574</v>
      </c>
      <c r="M819" s="318">
        <v>20.201837216914463</v>
      </c>
      <c r="N819" s="3">
        <v>4.6110136208648989</v>
      </c>
      <c r="O819" s="3">
        <v>50.122296443596142</v>
      </c>
      <c r="P819" s="3">
        <v>7.4149663301502118</v>
      </c>
      <c r="Q819" s="3">
        <v>5.1811809022123025</v>
      </c>
      <c r="R819" s="3">
        <v>20.363971495447487</v>
      </c>
      <c r="S819" s="3">
        <v>28.163042271598091</v>
      </c>
      <c r="T819" s="3">
        <v>54.564419109627309</v>
      </c>
      <c r="U819" s="3">
        <v>7.9204427551316616</v>
      </c>
      <c r="V819" s="318">
        <v>178.34133292862811</v>
      </c>
      <c r="W819" s="318">
        <v>270.44389037669742</v>
      </c>
      <c r="X819" s="3">
        <v>26.970979133283887</v>
      </c>
      <c r="Y819" s="318">
        <v>297.41486950998132</v>
      </c>
    </row>
    <row r="820" spans="1:25" x14ac:dyDescent="0.2">
      <c r="A820" s="316">
        <v>2021</v>
      </c>
      <c r="B820" s="316" t="s">
        <v>466</v>
      </c>
      <c r="C820" s="316" t="s">
        <v>218</v>
      </c>
      <c r="D820" s="316" t="s">
        <v>482</v>
      </c>
      <c r="E820" s="316" t="s">
        <v>241</v>
      </c>
      <c r="F820" s="316" t="s">
        <v>221</v>
      </c>
      <c r="G820" s="316" t="s">
        <v>242</v>
      </c>
      <c r="H820" s="3">
        <v>15.594695427947954</v>
      </c>
      <c r="I820" s="3">
        <v>0</v>
      </c>
      <c r="J820" s="318">
        <v>15.594695427947954</v>
      </c>
      <c r="K820" s="3">
        <v>1.4820303979959255</v>
      </c>
      <c r="L820" s="3">
        <v>2.6061985177294713</v>
      </c>
      <c r="M820" s="318">
        <v>4.0882289157253968</v>
      </c>
      <c r="N820" s="3">
        <v>7.3081358107969479</v>
      </c>
      <c r="O820" s="3">
        <v>10.697896010104325</v>
      </c>
      <c r="P820" s="3">
        <v>1.5908490185836357</v>
      </c>
      <c r="Q820" s="3">
        <v>0.80729819234250422</v>
      </c>
      <c r="R820" s="3">
        <v>6.881116315274812</v>
      </c>
      <c r="S820" s="3">
        <v>6.2787370024587172</v>
      </c>
      <c r="T820" s="3">
        <v>11.797142287920664</v>
      </c>
      <c r="U820" s="3">
        <v>2.3507303388720255</v>
      </c>
      <c r="V820" s="318">
        <v>47.71190497635363</v>
      </c>
      <c r="W820" s="318">
        <v>67.394829320026986</v>
      </c>
      <c r="X820" s="3">
        <v>6.7211891263279142</v>
      </c>
      <c r="Y820" s="318">
        <v>74.1160184463549</v>
      </c>
    </row>
    <row r="821" spans="1:25" x14ac:dyDescent="0.2">
      <c r="A821" s="316">
        <v>2021</v>
      </c>
      <c r="B821" s="316" t="s">
        <v>466</v>
      </c>
      <c r="C821" s="316" t="s">
        <v>218</v>
      </c>
      <c r="D821" s="316" t="s">
        <v>482</v>
      </c>
      <c r="E821" s="316" t="s">
        <v>243</v>
      </c>
      <c r="F821" s="316" t="s">
        <v>221</v>
      </c>
      <c r="G821" s="316" t="s">
        <v>244</v>
      </c>
      <c r="H821" s="3">
        <v>24.882709641908235</v>
      </c>
      <c r="I821" s="3">
        <v>0</v>
      </c>
      <c r="J821" s="318">
        <v>24.882709641908235</v>
      </c>
      <c r="K821" s="3">
        <v>5.2588724736678474</v>
      </c>
      <c r="L821" s="3">
        <v>3.7630381883926267</v>
      </c>
      <c r="M821" s="318">
        <v>9.0219106620604741</v>
      </c>
      <c r="N821" s="3">
        <v>15.545723697851235</v>
      </c>
      <c r="O821" s="3">
        <v>16.162629779925378</v>
      </c>
      <c r="P821" s="3">
        <v>5.4825482482384258</v>
      </c>
      <c r="Q821" s="3">
        <v>2.5714972865542123</v>
      </c>
      <c r="R821" s="3">
        <v>17.561414626789546</v>
      </c>
      <c r="S821" s="3">
        <v>16.904713775077649</v>
      </c>
      <c r="T821" s="3">
        <v>32.561018340497775</v>
      </c>
      <c r="U821" s="3">
        <v>5.0331444629020456</v>
      </c>
      <c r="V821" s="318">
        <v>111.82269021783625</v>
      </c>
      <c r="W821" s="318">
        <v>145.72731052180495</v>
      </c>
      <c r="X821" s="3">
        <v>14.533174499740316</v>
      </c>
      <c r="Y821" s="318">
        <v>160.26048502154526</v>
      </c>
    </row>
    <row r="822" spans="1:25" x14ac:dyDescent="0.2">
      <c r="A822" s="316">
        <v>2021</v>
      </c>
      <c r="B822" s="316" t="s">
        <v>466</v>
      </c>
      <c r="C822" s="316" t="s">
        <v>218</v>
      </c>
      <c r="D822" s="316" t="s">
        <v>482</v>
      </c>
      <c r="E822" s="316" t="s">
        <v>245</v>
      </c>
      <c r="F822" s="316" t="s">
        <v>221</v>
      </c>
      <c r="G822" s="316" t="s">
        <v>246</v>
      </c>
      <c r="H822" s="3">
        <v>37.243562643957787</v>
      </c>
      <c r="I822" s="3">
        <v>0</v>
      </c>
      <c r="J822" s="318">
        <v>37.243562643957787</v>
      </c>
      <c r="K822" s="3">
        <v>3.3673648548550097</v>
      </c>
      <c r="L822" s="3">
        <v>5.5596092431725435</v>
      </c>
      <c r="M822" s="318">
        <v>8.9269740980275536</v>
      </c>
      <c r="N822" s="3">
        <v>2.086515903232141</v>
      </c>
      <c r="O822" s="3">
        <v>22.041468963980371</v>
      </c>
      <c r="P822" s="3">
        <v>3.4727388577640714</v>
      </c>
      <c r="Q822" s="3">
        <v>2.212301242527865</v>
      </c>
      <c r="R822" s="3">
        <v>12.094231700399245</v>
      </c>
      <c r="S822" s="3">
        <v>14.055150303439307</v>
      </c>
      <c r="T822" s="3">
        <v>32.210660843445446</v>
      </c>
      <c r="U822" s="3">
        <v>5.0822428135852649</v>
      </c>
      <c r="V822" s="318">
        <v>93.255310628373721</v>
      </c>
      <c r="W822" s="318">
        <v>139.42584737035907</v>
      </c>
      <c r="X822" s="3">
        <v>13.904738668078243</v>
      </c>
      <c r="Y822" s="318">
        <v>153.3305860384373</v>
      </c>
    </row>
    <row r="823" spans="1:25" x14ac:dyDescent="0.2">
      <c r="A823" s="316">
        <v>2021</v>
      </c>
      <c r="B823" s="316" t="s">
        <v>466</v>
      </c>
      <c r="C823" s="316" t="s">
        <v>218</v>
      </c>
      <c r="D823" s="316" t="s">
        <v>482</v>
      </c>
      <c r="E823" s="316" t="s">
        <v>247</v>
      </c>
      <c r="F823" s="316" t="s">
        <v>221</v>
      </c>
      <c r="G823" s="316" t="s">
        <v>248</v>
      </c>
      <c r="H823" s="3">
        <v>11.845400969287327</v>
      </c>
      <c r="I823" s="3">
        <v>0</v>
      </c>
      <c r="J823" s="318">
        <v>11.845400969287327</v>
      </c>
      <c r="K823" s="3">
        <v>1.2913252186126301</v>
      </c>
      <c r="L823" s="3">
        <v>1.6646455527496744</v>
      </c>
      <c r="M823" s="318">
        <v>2.9559707713623045</v>
      </c>
      <c r="N823" s="3">
        <v>6.6298449213113892</v>
      </c>
      <c r="O823" s="3">
        <v>5.44331692047282</v>
      </c>
      <c r="P823" s="3">
        <v>1.2407755865020762</v>
      </c>
      <c r="Q823" s="3">
        <v>0.44629966598029008</v>
      </c>
      <c r="R823" s="3">
        <v>4.9557256685092206</v>
      </c>
      <c r="S823" s="3">
        <v>4.3885615654751478</v>
      </c>
      <c r="T823" s="3">
        <v>8.155589882039747</v>
      </c>
      <c r="U823" s="3">
        <v>1.5940151307214052</v>
      </c>
      <c r="V823" s="318">
        <v>32.85412934101209</v>
      </c>
      <c r="W823" s="318">
        <v>47.655501081661718</v>
      </c>
      <c r="X823" s="3">
        <v>4.7526143906205043</v>
      </c>
      <c r="Y823" s="318">
        <v>52.408115472282219</v>
      </c>
    </row>
    <row r="824" spans="1:25" x14ac:dyDescent="0.2">
      <c r="A824" s="316">
        <v>2021</v>
      </c>
      <c r="B824" s="316" t="s">
        <v>466</v>
      </c>
      <c r="C824" s="316" t="s">
        <v>218</v>
      </c>
      <c r="D824" s="316" t="s">
        <v>481</v>
      </c>
      <c r="E824" s="316" t="s">
        <v>249</v>
      </c>
      <c r="F824" s="316" t="s">
        <v>221</v>
      </c>
      <c r="G824" s="316" t="s">
        <v>250</v>
      </c>
      <c r="H824" s="3">
        <v>22.044636748210539</v>
      </c>
      <c r="I824" s="3">
        <v>0</v>
      </c>
      <c r="J824" s="318">
        <v>22.044636748210539</v>
      </c>
      <c r="K824" s="3">
        <v>1.0498335284216431</v>
      </c>
      <c r="L824" s="3">
        <v>4.5275348238161479</v>
      </c>
      <c r="M824" s="318">
        <v>5.5773683522377908</v>
      </c>
      <c r="N824" s="3">
        <v>5.9947804784566916</v>
      </c>
      <c r="O824" s="3">
        <v>13.163325892754042</v>
      </c>
      <c r="P824" s="3">
        <v>2.1601819026520057</v>
      </c>
      <c r="Q824" s="3">
        <v>1.3549860758024421</v>
      </c>
      <c r="R824" s="3">
        <v>7.0065435930954374</v>
      </c>
      <c r="S824" s="3">
        <v>8.5878652660999588</v>
      </c>
      <c r="T824" s="3">
        <v>21.405185273739836</v>
      </c>
      <c r="U824" s="3">
        <v>2.4907117173281397</v>
      </c>
      <c r="V824" s="318">
        <v>62.16358019992856</v>
      </c>
      <c r="W824" s="318">
        <v>89.78558530037688</v>
      </c>
      <c r="X824" s="3">
        <v>8.9541869266601903</v>
      </c>
      <c r="Y824" s="318">
        <v>98.739772227037065</v>
      </c>
    </row>
    <row r="825" spans="1:25" x14ac:dyDescent="0.2">
      <c r="A825" s="316">
        <v>2021</v>
      </c>
      <c r="B825" s="316" t="s">
        <v>466</v>
      </c>
      <c r="C825" s="316" t="s">
        <v>218</v>
      </c>
      <c r="D825" s="316" t="s">
        <v>482</v>
      </c>
      <c r="E825" s="316" t="s">
        <v>251</v>
      </c>
      <c r="F825" s="316" t="s">
        <v>221</v>
      </c>
      <c r="G825" s="316" t="s">
        <v>252</v>
      </c>
      <c r="H825" s="3">
        <v>25.859267243308214</v>
      </c>
      <c r="I825" s="3">
        <v>0</v>
      </c>
      <c r="J825" s="318">
        <v>25.859267243308214</v>
      </c>
      <c r="K825" s="3">
        <v>3.4795234608464107</v>
      </c>
      <c r="L825" s="3">
        <v>3.0919576687057213</v>
      </c>
      <c r="M825" s="318">
        <v>6.571481129552132</v>
      </c>
      <c r="N825" s="3">
        <v>1.9021107261972414</v>
      </c>
      <c r="O825" s="3">
        <v>15.911933158362737</v>
      </c>
      <c r="P825" s="3">
        <v>2.9369777582308965</v>
      </c>
      <c r="Q825" s="3">
        <v>1.6823473972788572</v>
      </c>
      <c r="R825" s="3">
        <v>11.377294418404194</v>
      </c>
      <c r="S825" s="3">
        <v>9.672732495109269</v>
      </c>
      <c r="T825" s="3">
        <v>22.110206520664281</v>
      </c>
      <c r="U825" s="3">
        <v>3.1885933628972238</v>
      </c>
      <c r="V825" s="318">
        <v>68.782195837144698</v>
      </c>
      <c r="W825" s="318">
        <v>101.21294421000503</v>
      </c>
      <c r="X825" s="3">
        <v>10.093820949343526</v>
      </c>
      <c r="Y825" s="318">
        <v>111.30676515934856</v>
      </c>
    </row>
    <row r="826" spans="1:25" x14ac:dyDescent="0.2">
      <c r="A826" s="316">
        <v>2021</v>
      </c>
      <c r="B826" s="316" t="s">
        <v>466</v>
      </c>
      <c r="C826" s="316" t="s">
        <v>218</v>
      </c>
      <c r="D826" s="316" t="s">
        <v>482</v>
      </c>
      <c r="E826" s="316" t="s">
        <v>253</v>
      </c>
      <c r="F826" s="316" t="s">
        <v>221</v>
      </c>
      <c r="G826" s="316" t="s">
        <v>254</v>
      </c>
      <c r="H826" s="3">
        <v>24.854896399976219</v>
      </c>
      <c r="I826" s="3">
        <v>0</v>
      </c>
      <c r="J826" s="318">
        <v>24.854896399976219</v>
      </c>
      <c r="K826" s="3">
        <v>8.5720174373336864</v>
      </c>
      <c r="L826" s="3">
        <v>5.4270676590576041</v>
      </c>
      <c r="M826" s="318">
        <v>13.999085096391291</v>
      </c>
      <c r="N826" s="3">
        <v>9.6645560757406219</v>
      </c>
      <c r="O826" s="3">
        <v>67.839041280919574</v>
      </c>
      <c r="P826" s="3">
        <v>9.2280094689744825</v>
      </c>
      <c r="Q826" s="3">
        <v>3.2888347317139157</v>
      </c>
      <c r="R826" s="3">
        <v>36.023807763224866</v>
      </c>
      <c r="S826" s="3">
        <v>26.627980808015518</v>
      </c>
      <c r="T826" s="3">
        <v>25.295001381815513</v>
      </c>
      <c r="U826" s="3">
        <v>6.5997224324412889</v>
      </c>
      <c r="V826" s="318">
        <v>184.5669539428458</v>
      </c>
      <c r="W826" s="318">
        <v>223.42093543921331</v>
      </c>
      <c r="X826" s="3">
        <v>22.281447657317845</v>
      </c>
      <c r="Y826" s="318">
        <v>245.70238309653115</v>
      </c>
    </row>
    <row r="827" spans="1:25" x14ac:dyDescent="0.2">
      <c r="A827" s="316">
        <v>2021</v>
      </c>
      <c r="B827" s="316" t="s">
        <v>466</v>
      </c>
      <c r="C827" s="316" t="s">
        <v>218</v>
      </c>
      <c r="D827" s="316" t="s">
        <v>482</v>
      </c>
      <c r="E827" s="316" t="s">
        <v>255</v>
      </c>
      <c r="F827" s="316" t="s">
        <v>221</v>
      </c>
      <c r="G827" s="316" t="s">
        <v>256</v>
      </c>
      <c r="H827" s="3">
        <v>18.411206163486785</v>
      </c>
      <c r="I827" s="3">
        <v>29.872933642689116</v>
      </c>
      <c r="J827" s="318">
        <v>48.284139806175901</v>
      </c>
      <c r="K827" s="3">
        <v>14.673764149534922</v>
      </c>
      <c r="L827" s="3">
        <v>7.9139757039481928</v>
      </c>
      <c r="M827" s="318">
        <v>22.587739853483114</v>
      </c>
      <c r="N827" s="3">
        <v>14.271466017550464</v>
      </c>
      <c r="O827" s="3">
        <v>113.01350048616654</v>
      </c>
      <c r="P827" s="3">
        <v>10.439360523522321</v>
      </c>
      <c r="Q827" s="3">
        <v>8.7242197981725216</v>
      </c>
      <c r="R827" s="3">
        <v>39.74761712913449</v>
      </c>
      <c r="S827" s="3">
        <v>41.325917521643319</v>
      </c>
      <c r="T827" s="3">
        <v>71.251790027705169</v>
      </c>
      <c r="U827" s="3">
        <v>10.682407134549633</v>
      </c>
      <c r="V827" s="318">
        <v>309.45627863844447</v>
      </c>
      <c r="W827" s="318">
        <v>380.32815829810352</v>
      </c>
      <c r="X827" s="3">
        <v>37.929578689947363</v>
      </c>
      <c r="Y827" s="318">
        <v>418.25773698805085</v>
      </c>
    </row>
    <row r="828" spans="1:25" x14ac:dyDescent="0.2">
      <c r="A828" s="316">
        <v>2021</v>
      </c>
      <c r="B828" s="316" t="s">
        <v>466</v>
      </c>
      <c r="C828" s="316" t="s">
        <v>218</v>
      </c>
      <c r="D828" s="316" t="s">
        <v>482</v>
      </c>
      <c r="E828" s="316" t="s">
        <v>257</v>
      </c>
      <c r="F828" s="316" t="s">
        <v>221</v>
      </c>
      <c r="G828" s="316" t="s">
        <v>258</v>
      </c>
      <c r="H828" s="3">
        <v>8.0835077384475547</v>
      </c>
      <c r="I828" s="3">
        <v>21.45937495399102</v>
      </c>
      <c r="J828" s="318">
        <v>29.542882692438575</v>
      </c>
      <c r="K828" s="3">
        <v>8.7140151144966644</v>
      </c>
      <c r="L828" s="3">
        <v>3.9538864772441507</v>
      </c>
      <c r="M828" s="318">
        <v>12.667901591740815</v>
      </c>
      <c r="N828" s="3">
        <v>8.8294341559759246</v>
      </c>
      <c r="O828" s="3">
        <v>36.981883653936151</v>
      </c>
      <c r="P828" s="3">
        <v>11.661265760321172</v>
      </c>
      <c r="Q828" s="3">
        <v>4.0970713742885314</v>
      </c>
      <c r="R828" s="3">
        <v>25.783089670109888</v>
      </c>
      <c r="S828" s="3">
        <v>28.190461625849824</v>
      </c>
      <c r="T828" s="3">
        <v>31.891992173025685</v>
      </c>
      <c r="U828" s="3">
        <v>7.5295461121538905</v>
      </c>
      <c r="V828" s="318">
        <v>154.96474452566108</v>
      </c>
      <c r="W828" s="318">
        <v>197.17552880984047</v>
      </c>
      <c r="X828" s="3">
        <v>19.664031107217966</v>
      </c>
      <c r="Y828" s="318">
        <v>216.83955991705844</v>
      </c>
    </row>
    <row r="829" spans="1:25" x14ac:dyDescent="0.2">
      <c r="A829" s="316">
        <v>2021</v>
      </c>
      <c r="B829" s="316" t="s">
        <v>466</v>
      </c>
      <c r="C829" s="316" t="s">
        <v>218</v>
      </c>
      <c r="D829" s="316" t="s">
        <v>481</v>
      </c>
      <c r="E829" s="316" t="s">
        <v>259</v>
      </c>
      <c r="F829" s="316" t="s">
        <v>221</v>
      </c>
      <c r="G829" s="316" t="s">
        <v>260</v>
      </c>
      <c r="H829" s="3">
        <v>31.419437669036995</v>
      </c>
      <c r="I829" s="3">
        <v>25.752694824699738</v>
      </c>
      <c r="J829" s="318">
        <v>57.172132493736733</v>
      </c>
      <c r="K829" s="3">
        <v>2.3780309984196752</v>
      </c>
      <c r="L829" s="3">
        <v>5.5705271011430373</v>
      </c>
      <c r="M829" s="318">
        <v>7.9485580995627121</v>
      </c>
      <c r="N829" s="3">
        <v>4.1610579712238183</v>
      </c>
      <c r="O829" s="3">
        <v>11.95834448500087</v>
      </c>
      <c r="P829" s="3">
        <v>1.7608603347932767</v>
      </c>
      <c r="Q829" s="3">
        <v>1.880382593519756</v>
      </c>
      <c r="R829" s="3">
        <v>6.1254161965079996</v>
      </c>
      <c r="S829" s="3">
        <v>8.5736414512421533</v>
      </c>
      <c r="T829" s="3">
        <v>17.124655561532695</v>
      </c>
      <c r="U829" s="3">
        <v>2.296547135648209</v>
      </c>
      <c r="V829" s="318">
        <v>53.880905729468779</v>
      </c>
      <c r="W829" s="318">
        <v>119.00159632276822</v>
      </c>
      <c r="X829" s="3">
        <v>11.867857568452603</v>
      </c>
      <c r="Y829" s="318">
        <v>130.86945389122081</v>
      </c>
    </row>
    <row r="830" spans="1:25" x14ac:dyDescent="0.2">
      <c r="A830" s="316">
        <v>2021</v>
      </c>
      <c r="B830" s="316" t="s">
        <v>466</v>
      </c>
      <c r="C830" s="316" t="s">
        <v>261</v>
      </c>
      <c r="D830" s="316" t="s">
        <v>483</v>
      </c>
      <c r="E830" s="316" t="s">
        <v>263</v>
      </c>
      <c r="F830" s="316" t="s">
        <v>264</v>
      </c>
      <c r="G830" s="316" t="s">
        <v>265</v>
      </c>
      <c r="H830" s="3">
        <v>85.416203194205337</v>
      </c>
      <c r="I830" s="3">
        <v>57.338255010978912</v>
      </c>
      <c r="J830" s="318">
        <v>142.75445820518425</v>
      </c>
      <c r="K830" s="3">
        <v>14.779877637742024</v>
      </c>
      <c r="L830" s="3">
        <v>5.2428576102888922</v>
      </c>
      <c r="M830" s="318">
        <v>20.022735248030916</v>
      </c>
      <c r="N830" s="3">
        <v>3.4388119677371867</v>
      </c>
      <c r="O830" s="3">
        <v>28.145423610066253</v>
      </c>
      <c r="P830" s="3">
        <v>7.738455219301529</v>
      </c>
      <c r="Q830" s="3">
        <v>5.2424157864972711</v>
      </c>
      <c r="R830" s="3">
        <v>24.932539322060489</v>
      </c>
      <c r="S830" s="3">
        <v>24.544635431486377</v>
      </c>
      <c r="T830" s="3">
        <v>47.818969731580118</v>
      </c>
      <c r="U830" s="3">
        <v>9.559184475938558</v>
      </c>
      <c r="V830" s="318">
        <v>151.42043554466778</v>
      </c>
      <c r="W830" s="318">
        <v>314.19762899788293</v>
      </c>
      <c r="X830" s="3">
        <v>31.334476381128663</v>
      </c>
      <c r="Y830" s="318">
        <v>345.53210537901157</v>
      </c>
    </row>
    <row r="831" spans="1:25" x14ac:dyDescent="0.2">
      <c r="A831" s="316">
        <v>2021</v>
      </c>
      <c r="B831" s="316" t="s">
        <v>466</v>
      </c>
      <c r="C831" s="316" t="s">
        <v>261</v>
      </c>
      <c r="D831" s="316" t="s">
        <v>484</v>
      </c>
      <c r="E831" s="316" t="s">
        <v>266</v>
      </c>
      <c r="F831" s="316" t="s">
        <v>264</v>
      </c>
      <c r="G831" s="316" t="s">
        <v>268</v>
      </c>
      <c r="H831" s="3">
        <v>12.248067621398105</v>
      </c>
      <c r="I831" s="3">
        <v>0</v>
      </c>
      <c r="J831" s="318">
        <v>12.248067621398105</v>
      </c>
      <c r="K831" s="3">
        <v>2.1282311329189612</v>
      </c>
      <c r="L831" s="3">
        <v>2.5559893553242872</v>
      </c>
      <c r="M831" s="318">
        <v>4.6842204882432483</v>
      </c>
      <c r="N831" s="3">
        <v>3.9719357794757051</v>
      </c>
      <c r="O831" s="3">
        <v>12.187752862779011</v>
      </c>
      <c r="P831" s="3">
        <v>2.0432563263477737</v>
      </c>
      <c r="Q831" s="3">
        <v>1.3296021855145985</v>
      </c>
      <c r="R831" s="3">
        <v>9.4332661590607678</v>
      </c>
      <c r="S831" s="3">
        <v>6.9460918973265446</v>
      </c>
      <c r="T831" s="3">
        <v>12.07045400106685</v>
      </c>
      <c r="U831" s="3">
        <v>3.0396853502459922</v>
      </c>
      <c r="V831" s="318">
        <v>51.022044561817239</v>
      </c>
      <c r="W831" s="318">
        <v>67.954332671458587</v>
      </c>
      <c r="X831" s="3">
        <v>6.7769875886094813</v>
      </c>
      <c r="Y831" s="318">
        <v>74.731320260068074</v>
      </c>
    </row>
    <row r="832" spans="1:25" x14ac:dyDescent="0.2">
      <c r="A832" s="316">
        <v>2021</v>
      </c>
      <c r="B832" s="316" t="s">
        <v>466</v>
      </c>
      <c r="C832" s="316" t="s">
        <v>261</v>
      </c>
      <c r="D832" s="316" t="s">
        <v>483</v>
      </c>
      <c r="E832" s="316" t="s">
        <v>269</v>
      </c>
      <c r="F832" s="316" t="s">
        <v>264</v>
      </c>
      <c r="G832" s="316" t="s">
        <v>271</v>
      </c>
      <c r="H832" s="3">
        <v>29.089253115428225</v>
      </c>
      <c r="I832" s="3">
        <v>0</v>
      </c>
      <c r="J832" s="318">
        <v>29.089253115428225</v>
      </c>
      <c r="K832" s="3">
        <v>3.4098791661244889</v>
      </c>
      <c r="L832" s="3">
        <v>2.2637895174545331</v>
      </c>
      <c r="M832" s="318">
        <v>5.673668683579022</v>
      </c>
      <c r="N832" s="3">
        <v>3.6991481170260259</v>
      </c>
      <c r="O832" s="3">
        <v>9.202652716845348</v>
      </c>
      <c r="P832" s="3">
        <v>2.391271239050043</v>
      </c>
      <c r="Q832" s="3">
        <v>1.7732229203409426</v>
      </c>
      <c r="R832" s="3">
        <v>8.3163064432277913</v>
      </c>
      <c r="S832" s="3">
        <v>7.052614270342259</v>
      </c>
      <c r="T832" s="3">
        <v>18.273325664196101</v>
      </c>
      <c r="U832" s="3">
        <v>2.4850024852008623</v>
      </c>
      <c r="V832" s="318">
        <v>53.193543856229368</v>
      </c>
      <c r="W832" s="318">
        <v>87.956465655236613</v>
      </c>
      <c r="X832" s="3">
        <v>8.7717714625406558</v>
      </c>
      <c r="Y832" s="318">
        <v>96.728237117777269</v>
      </c>
    </row>
    <row r="833" spans="1:25" x14ac:dyDescent="0.2">
      <c r="A833" s="316">
        <v>2021</v>
      </c>
      <c r="B833" s="316" t="s">
        <v>466</v>
      </c>
      <c r="C833" s="316" t="s">
        <v>261</v>
      </c>
      <c r="D833" s="316" t="s">
        <v>485</v>
      </c>
      <c r="E833" s="316" t="s">
        <v>272</v>
      </c>
      <c r="F833" s="316" t="s">
        <v>264</v>
      </c>
      <c r="G833" s="316" t="s">
        <v>273</v>
      </c>
      <c r="H833" s="3">
        <v>13.16079709289512</v>
      </c>
      <c r="I833" s="3">
        <v>10.160358302570312</v>
      </c>
      <c r="J833" s="318">
        <v>23.321155395465432</v>
      </c>
      <c r="K833" s="3">
        <v>9.9564357291106216</v>
      </c>
      <c r="L833" s="3">
        <v>8.3080275748854664</v>
      </c>
      <c r="M833" s="318">
        <v>18.264463303996088</v>
      </c>
      <c r="N833" s="3">
        <v>20.792711579851037</v>
      </c>
      <c r="O833" s="3">
        <v>28.270665882875747</v>
      </c>
      <c r="P833" s="3">
        <v>8.0571972223939827</v>
      </c>
      <c r="Q833" s="3">
        <v>3.1175955153964288</v>
      </c>
      <c r="R833" s="3">
        <v>24.297404452669184</v>
      </c>
      <c r="S833" s="3">
        <v>19.022034520154872</v>
      </c>
      <c r="T833" s="3">
        <v>26.562071798566066</v>
      </c>
      <c r="U833" s="3">
        <v>6.4419857001618182</v>
      </c>
      <c r="V833" s="318">
        <v>136.56166667206912</v>
      </c>
      <c r="W833" s="318">
        <v>178.14728537153064</v>
      </c>
      <c r="X833" s="3">
        <v>17.766371833041507</v>
      </c>
      <c r="Y833" s="318">
        <v>195.91365720457216</v>
      </c>
    </row>
    <row r="834" spans="1:25" x14ac:dyDescent="0.2">
      <c r="A834" s="316">
        <v>2021</v>
      </c>
      <c r="B834" s="316" t="s">
        <v>466</v>
      </c>
      <c r="C834" s="316" t="s">
        <v>261</v>
      </c>
      <c r="D834" s="316" t="s">
        <v>484</v>
      </c>
      <c r="E834" s="316" t="s">
        <v>274</v>
      </c>
      <c r="F834" s="316" t="s">
        <v>264</v>
      </c>
      <c r="G834" s="316" t="s">
        <v>275</v>
      </c>
      <c r="H834" s="3">
        <v>12.614788420593909</v>
      </c>
      <c r="I834" s="3">
        <v>8.6626440373575004</v>
      </c>
      <c r="J834" s="318">
        <v>21.277432457951409</v>
      </c>
      <c r="K834" s="3">
        <v>3.1403951113370638</v>
      </c>
      <c r="L834" s="3">
        <v>2.3468457419994166</v>
      </c>
      <c r="M834" s="318">
        <v>5.4872408533364805</v>
      </c>
      <c r="N834" s="3">
        <v>12.268721446148179</v>
      </c>
      <c r="O834" s="3">
        <v>5.0511770751759064</v>
      </c>
      <c r="P834" s="3">
        <v>1.0164773631448618</v>
      </c>
      <c r="Q834" s="3">
        <v>0.59946258601819147</v>
      </c>
      <c r="R834" s="3">
        <v>6.5090547720989624</v>
      </c>
      <c r="S834" s="3">
        <v>5.7272234861884268</v>
      </c>
      <c r="T834" s="3">
        <v>6.692710641844128</v>
      </c>
      <c r="U834" s="3">
        <v>1.3802597263080818</v>
      </c>
      <c r="V834" s="318">
        <v>39.245087096926738</v>
      </c>
      <c r="W834" s="318">
        <v>66.009760408214632</v>
      </c>
      <c r="X834" s="3">
        <v>6.5830582014006849</v>
      </c>
      <c r="Y834" s="318">
        <v>72.592818609615321</v>
      </c>
    </row>
    <row r="835" spans="1:25" x14ac:dyDescent="0.2">
      <c r="A835" s="316">
        <v>2021</v>
      </c>
      <c r="B835" s="316" t="s">
        <v>466</v>
      </c>
      <c r="C835" s="316" t="s">
        <v>261</v>
      </c>
      <c r="D835" s="316" t="s">
        <v>486</v>
      </c>
      <c r="E835" s="316" t="s">
        <v>276</v>
      </c>
      <c r="F835" s="316" t="s">
        <v>264</v>
      </c>
      <c r="G835" s="316" t="s">
        <v>277</v>
      </c>
      <c r="H835" s="3">
        <v>122.15589094427047</v>
      </c>
      <c r="I835" s="3">
        <v>0</v>
      </c>
      <c r="J835" s="318">
        <v>122.15589094427047</v>
      </c>
      <c r="K835" s="3">
        <v>37.597416482536573</v>
      </c>
      <c r="L835" s="3">
        <v>17.943018653030705</v>
      </c>
      <c r="M835" s="318">
        <v>55.540435135567279</v>
      </c>
      <c r="N835" s="3">
        <v>24.551297322730793</v>
      </c>
      <c r="O835" s="3">
        <v>183.2782698097968</v>
      </c>
      <c r="P835" s="3">
        <v>30.862327451491133</v>
      </c>
      <c r="Q835" s="3">
        <v>23.061031870196928</v>
      </c>
      <c r="R835" s="3">
        <v>127.1865440441164</v>
      </c>
      <c r="S835" s="3">
        <v>94.018246901441628</v>
      </c>
      <c r="T835" s="3">
        <v>93.848513005029162</v>
      </c>
      <c r="U835" s="3">
        <v>33.800235671601023</v>
      </c>
      <c r="V835" s="318">
        <v>610.60646607640388</v>
      </c>
      <c r="W835" s="318">
        <v>788.30279215624159</v>
      </c>
      <c r="X835" s="3">
        <v>78.616300513725278</v>
      </c>
      <c r="Y835" s="318">
        <v>866.91909266996686</v>
      </c>
    </row>
    <row r="836" spans="1:25" x14ac:dyDescent="0.2">
      <c r="A836" s="316">
        <v>2021</v>
      </c>
      <c r="B836" s="316" t="s">
        <v>466</v>
      </c>
      <c r="C836" s="316" t="s">
        <v>261</v>
      </c>
      <c r="D836" s="316" t="s">
        <v>484</v>
      </c>
      <c r="E836" s="316" t="s">
        <v>278</v>
      </c>
      <c r="F836" s="316" t="s">
        <v>264</v>
      </c>
      <c r="G836" s="316" t="s">
        <v>279</v>
      </c>
      <c r="H836" s="3">
        <v>353.31195418310381</v>
      </c>
      <c r="I836" s="3">
        <v>0</v>
      </c>
      <c r="J836" s="318">
        <v>353.31195418310381</v>
      </c>
      <c r="K836" s="3">
        <v>25.631302536351381</v>
      </c>
      <c r="L836" s="3">
        <v>11.395088573252249</v>
      </c>
      <c r="M836" s="318">
        <v>37.02639110960363</v>
      </c>
      <c r="N836" s="3">
        <v>5.0602545889603832</v>
      </c>
      <c r="O836" s="3">
        <v>44.012642117051918</v>
      </c>
      <c r="P836" s="3">
        <v>13.125802048686092</v>
      </c>
      <c r="Q836" s="3">
        <v>4.3683758697747459</v>
      </c>
      <c r="R836" s="3">
        <v>42.312608619228456</v>
      </c>
      <c r="S836" s="3">
        <v>23.765690521207098</v>
      </c>
      <c r="T836" s="3">
        <v>28.815366509008147</v>
      </c>
      <c r="U836" s="3">
        <v>9.1498263672883056</v>
      </c>
      <c r="V836" s="318">
        <v>170.61056664120517</v>
      </c>
      <c r="W836" s="318">
        <v>560.94891193391254</v>
      </c>
      <c r="X836" s="3">
        <v>55.942625945568281</v>
      </c>
      <c r="Y836" s="318">
        <v>616.89153787948078</v>
      </c>
    </row>
    <row r="837" spans="1:25" x14ac:dyDescent="0.2">
      <c r="A837" s="316">
        <v>2021</v>
      </c>
      <c r="B837" s="316" t="s">
        <v>466</v>
      </c>
      <c r="C837" s="316" t="s">
        <v>261</v>
      </c>
      <c r="D837" s="316" t="s">
        <v>486</v>
      </c>
      <c r="E837" s="316" t="s">
        <v>280</v>
      </c>
      <c r="F837" s="316" t="s">
        <v>264</v>
      </c>
      <c r="G837" s="316" t="s">
        <v>281</v>
      </c>
      <c r="H837" s="3">
        <v>44.376150692085474</v>
      </c>
      <c r="I837" s="3">
        <v>36.433073713250948</v>
      </c>
      <c r="J837" s="318">
        <v>80.809224405336423</v>
      </c>
      <c r="K837" s="3">
        <v>41.247458268092572</v>
      </c>
      <c r="L837" s="3">
        <v>8.5996257526338056</v>
      </c>
      <c r="M837" s="318">
        <v>49.847084020726378</v>
      </c>
      <c r="N837" s="3">
        <v>24.10739524160903</v>
      </c>
      <c r="O837" s="3">
        <v>135.69007921114067</v>
      </c>
      <c r="P837" s="3">
        <v>24.025990944224173</v>
      </c>
      <c r="Q837" s="3">
        <v>11.312645640635139</v>
      </c>
      <c r="R837" s="3">
        <v>89.67799745342613</v>
      </c>
      <c r="S837" s="3">
        <v>75.372109561743684</v>
      </c>
      <c r="T837" s="3">
        <v>80.208568043066379</v>
      </c>
      <c r="U837" s="3">
        <v>19.60605442640917</v>
      </c>
      <c r="V837" s="318">
        <v>460.00084052225441</v>
      </c>
      <c r="W837" s="318">
        <v>590.65714894831717</v>
      </c>
      <c r="X837" s="3">
        <v>58.90538557561981</v>
      </c>
      <c r="Y837" s="318">
        <v>649.56253452393696</v>
      </c>
    </row>
    <row r="838" spans="1:25" x14ac:dyDescent="0.2">
      <c r="A838" s="316">
        <v>2021</v>
      </c>
      <c r="B838" s="316" t="s">
        <v>466</v>
      </c>
      <c r="C838" s="316" t="s">
        <v>261</v>
      </c>
      <c r="D838" s="316" t="s">
        <v>486</v>
      </c>
      <c r="E838" s="316" t="s">
        <v>282</v>
      </c>
      <c r="F838" s="316" t="s">
        <v>264</v>
      </c>
      <c r="G838" s="316" t="s">
        <v>284</v>
      </c>
      <c r="H838" s="3">
        <v>158.12785312848925</v>
      </c>
      <c r="I838" s="3">
        <v>0</v>
      </c>
      <c r="J838" s="318">
        <v>158.12785312848925</v>
      </c>
      <c r="K838" s="3">
        <v>38.234935997786664</v>
      </c>
      <c r="L838" s="3">
        <v>13.435610959176962</v>
      </c>
      <c r="M838" s="318">
        <v>51.670546956963626</v>
      </c>
      <c r="N838" s="3">
        <v>11.652999182517766</v>
      </c>
      <c r="O838" s="3">
        <v>111.36077409950173</v>
      </c>
      <c r="P838" s="3">
        <v>16.302665191587657</v>
      </c>
      <c r="Q838" s="3">
        <v>14.746453720799318</v>
      </c>
      <c r="R838" s="3">
        <v>64.090459290647544</v>
      </c>
      <c r="S838" s="3">
        <v>53.534273715730926</v>
      </c>
      <c r="T838" s="3">
        <v>69.926822937579573</v>
      </c>
      <c r="U838" s="3">
        <v>15.749745447573675</v>
      </c>
      <c r="V838" s="318">
        <v>357.36419358593815</v>
      </c>
      <c r="W838" s="318">
        <v>567.16259367139105</v>
      </c>
      <c r="X838" s="3">
        <v>56.562307463420169</v>
      </c>
      <c r="Y838" s="318">
        <v>623.72490113481126</v>
      </c>
    </row>
    <row r="839" spans="1:25" x14ac:dyDescent="0.2">
      <c r="A839" s="316">
        <v>2021</v>
      </c>
      <c r="B839" s="316" t="s">
        <v>466</v>
      </c>
      <c r="C839" s="316" t="s">
        <v>261</v>
      </c>
      <c r="D839" s="316" t="s">
        <v>484</v>
      </c>
      <c r="E839" s="316" t="s">
        <v>285</v>
      </c>
      <c r="F839" s="316" t="s">
        <v>264</v>
      </c>
      <c r="G839" s="316" t="s">
        <v>286</v>
      </c>
      <c r="H839" s="3">
        <v>21.986230788126214</v>
      </c>
      <c r="I839" s="3">
        <v>0</v>
      </c>
      <c r="J839" s="318">
        <v>21.986230788126214</v>
      </c>
      <c r="K839" s="3">
        <v>4.3973459069336025</v>
      </c>
      <c r="L839" s="3">
        <v>2.3193266165314208</v>
      </c>
      <c r="M839" s="318">
        <v>6.7166725234650233</v>
      </c>
      <c r="N839" s="3">
        <v>3.7794741474209372</v>
      </c>
      <c r="O839" s="3">
        <v>15.887191645950402</v>
      </c>
      <c r="P839" s="3">
        <v>4.632703463047962</v>
      </c>
      <c r="Q839" s="3">
        <v>2.2330029198669017</v>
      </c>
      <c r="R839" s="3">
        <v>21.421183665841149</v>
      </c>
      <c r="S839" s="3">
        <v>9.6426100487606092</v>
      </c>
      <c r="T839" s="3">
        <v>16.584541200881588</v>
      </c>
      <c r="U839" s="3">
        <v>3.9978201061422265</v>
      </c>
      <c r="V839" s="318">
        <v>78.178527197911791</v>
      </c>
      <c r="W839" s="318">
        <v>106.88143050950302</v>
      </c>
      <c r="X839" s="3">
        <v>10.659130912486397</v>
      </c>
      <c r="Y839" s="318">
        <v>117.54056142198942</v>
      </c>
    </row>
    <row r="840" spans="1:25" x14ac:dyDescent="0.2">
      <c r="A840" s="316">
        <v>2021</v>
      </c>
      <c r="B840" s="316" t="s">
        <v>466</v>
      </c>
      <c r="C840" s="316" t="s">
        <v>261</v>
      </c>
      <c r="D840" s="316" t="s">
        <v>486</v>
      </c>
      <c r="E840" s="316" t="s">
        <v>287</v>
      </c>
      <c r="F840" s="316" t="s">
        <v>264</v>
      </c>
      <c r="G840" s="316" t="s">
        <v>288</v>
      </c>
      <c r="H840" s="3">
        <v>77.999601057546158</v>
      </c>
      <c r="I840" s="3">
        <v>0</v>
      </c>
      <c r="J840" s="318">
        <v>77.999601057546158</v>
      </c>
      <c r="K840" s="3">
        <v>546.71524869651421</v>
      </c>
      <c r="L840" s="3">
        <v>243.84930476823058</v>
      </c>
      <c r="M840" s="318">
        <v>790.56455346474479</v>
      </c>
      <c r="N840" s="3">
        <v>40.453497500454901</v>
      </c>
      <c r="O840" s="3">
        <v>230.61519593001682</v>
      </c>
      <c r="P840" s="3">
        <v>30.312951413248051</v>
      </c>
      <c r="Q840" s="3">
        <v>17.383852484136032</v>
      </c>
      <c r="R840" s="3">
        <v>122.52824260207211</v>
      </c>
      <c r="S840" s="3">
        <v>80.885983880835809</v>
      </c>
      <c r="T840" s="3">
        <v>64.928333315494555</v>
      </c>
      <c r="U840" s="3">
        <v>30.439734832442536</v>
      </c>
      <c r="V840" s="318">
        <v>617.54779195870094</v>
      </c>
      <c r="W840" s="318">
        <v>1486.1119464809919</v>
      </c>
      <c r="X840" s="3">
        <v>148.20780104306752</v>
      </c>
      <c r="Y840" s="318">
        <v>1634.3197475240595</v>
      </c>
    </row>
    <row r="841" spans="1:25" x14ac:dyDescent="0.2">
      <c r="A841" s="316">
        <v>2021</v>
      </c>
      <c r="B841" s="316" t="s">
        <v>466</v>
      </c>
      <c r="C841" s="316" t="s">
        <v>261</v>
      </c>
      <c r="D841" s="316" t="s">
        <v>484</v>
      </c>
      <c r="E841" s="316" t="s">
        <v>289</v>
      </c>
      <c r="F841" s="316" t="s">
        <v>264</v>
      </c>
      <c r="G841" s="316" t="s">
        <v>290</v>
      </c>
      <c r="H841" s="3">
        <v>4.2682506718423685</v>
      </c>
      <c r="I841" s="3">
        <v>0</v>
      </c>
      <c r="J841" s="318">
        <v>4.2682506718423685</v>
      </c>
      <c r="K841" s="3">
        <v>15.291506456867747</v>
      </c>
      <c r="L841" s="3">
        <v>12.316188733551861</v>
      </c>
      <c r="M841" s="318">
        <v>27.607695190419609</v>
      </c>
      <c r="N841" s="3">
        <v>10.655104095005747</v>
      </c>
      <c r="O841" s="3">
        <v>155.03209524807568</v>
      </c>
      <c r="P841" s="3">
        <v>13.926374601397685</v>
      </c>
      <c r="Q841" s="3">
        <v>6.6500555054210873</v>
      </c>
      <c r="R841" s="3">
        <v>74.462326734399909</v>
      </c>
      <c r="S841" s="3">
        <v>53.849557094083877</v>
      </c>
      <c r="T841" s="3">
        <v>83.739378825581497</v>
      </c>
      <c r="U841" s="3">
        <v>14.757908060999053</v>
      </c>
      <c r="V841" s="318">
        <v>413.07280016496452</v>
      </c>
      <c r="W841" s="318">
        <v>444.94874602722655</v>
      </c>
      <c r="X841" s="3">
        <v>44.374096703628815</v>
      </c>
      <c r="Y841" s="318">
        <v>489.32284273085537</v>
      </c>
    </row>
    <row r="842" spans="1:25" x14ac:dyDescent="0.2">
      <c r="A842" s="316">
        <v>2021</v>
      </c>
      <c r="B842" s="316" t="s">
        <v>466</v>
      </c>
      <c r="C842" s="316" t="s">
        <v>261</v>
      </c>
      <c r="D842" s="316" t="s">
        <v>486</v>
      </c>
      <c r="E842" s="316" t="s">
        <v>291</v>
      </c>
      <c r="F842" s="316" t="s">
        <v>264</v>
      </c>
      <c r="G842" s="316" t="s">
        <v>292</v>
      </c>
      <c r="H842" s="3">
        <v>64.260310627763062</v>
      </c>
      <c r="I842" s="3">
        <v>0</v>
      </c>
      <c r="J842" s="318">
        <v>64.260310627763062</v>
      </c>
      <c r="K842" s="3">
        <v>70.339214207174123</v>
      </c>
      <c r="L842" s="3">
        <v>34.34930452935383</v>
      </c>
      <c r="M842" s="318">
        <v>104.68851873652795</v>
      </c>
      <c r="N842" s="3">
        <v>37.31786489477048</v>
      </c>
      <c r="O842" s="3">
        <v>295.39529135819197</v>
      </c>
      <c r="P842" s="3">
        <v>47.781656184643523</v>
      </c>
      <c r="Q842" s="3">
        <v>46.001547025931067</v>
      </c>
      <c r="R842" s="3">
        <v>173.37154711411688</v>
      </c>
      <c r="S842" s="3">
        <v>112.83389877982978</v>
      </c>
      <c r="T842" s="3">
        <v>91.69147019908462</v>
      </c>
      <c r="U842" s="3">
        <v>39.457133923458208</v>
      </c>
      <c r="V842" s="318">
        <v>843.85040948002643</v>
      </c>
      <c r="W842" s="318">
        <v>1012.7992388443174</v>
      </c>
      <c r="X842" s="3">
        <v>101.00500735671112</v>
      </c>
      <c r="Y842" s="318">
        <v>1113.8042462010285</v>
      </c>
    </row>
    <row r="843" spans="1:25" x14ac:dyDescent="0.2">
      <c r="A843" s="316">
        <v>2021</v>
      </c>
      <c r="B843" s="316" t="s">
        <v>466</v>
      </c>
      <c r="C843" s="316" t="s">
        <v>261</v>
      </c>
      <c r="D843" s="316" t="s">
        <v>486</v>
      </c>
      <c r="E843" s="316" t="s">
        <v>293</v>
      </c>
      <c r="F843" s="316" t="s">
        <v>264</v>
      </c>
      <c r="G843" s="316" t="s">
        <v>295</v>
      </c>
      <c r="H843" s="3">
        <v>35.397130630271</v>
      </c>
      <c r="I843" s="3">
        <v>24.273235285671518</v>
      </c>
      <c r="J843" s="318">
        <v>59.670365915942519</v>
      </c>
      <c r="K843" s="3">
        <v>31.667498115213146</v>
      </c>
      <c r="L843" s="3">
        <v>10.702251729289902</v>
      </c>
      <c r="M843" s="318">
        <v>42.369749844503048</v>
      </c>
      <c r="N843" s="3">
        <v>10.609987298188461</v>
      </c>
      <c r="O843" s="3">
        <v>76.413040377562311</v>
      </c>
      <c r="P843" s="3">
        <v>9.8811771436917475</v>
      </c>
      <c r="Q843" s="3">
        <v>11.19846322764997</v>
      </c>
      <c r="R843" s="3">
        <v>38.161623532232248</v>
      </c>
      <c r="S843" s="3">
        <v>36.10680317246711</v>
      </c>
      <c r="T843" s="3">
        <v>44.341588088716442</v>
      </c>
      <c r="U843" s="3">
        <v>11.98153909717476</v>
      </c>
      <c r="V843" s="318">
        <v>238.69422193768301</v>
      </c>
      <c r="W843" s="318">
        <v>340.73433769812857</v>
      </c>
      <c r="X843" s="3">
        <v>33.980944066619507</v>
      </c>
      <c r="Y843" s="318">
        <v>374.71528176474806</v>
      </c>
    </row>
    <row r="844" spans="1:25" x14ac:dyDescent="0.2">
      <c r="A844" s="316">
        <v>2021</v>
      </c>
      <c r="B844" s="316" t="s">
        <v>466</v>
      </c>
      <c r="C844" s="316" t="s">
        <v>261</v>
      </c>
      <c r="D844" s="316" t="s">
        <v>486</v>
      </c>
      <c r="E844" s="316" t="s">
        <v>296</v>
      </c>
      <c r="F844" s="316" t="s">
        <v>264</v>
      </c>
      <c r="G844" s="316" t="s">
        <v>297</v>
      </c>
      <c r="H844" s="3">
        <v>231.92855223411365</v>
      </c>
      <c r="I844" s="3">
        <v>0</v>
      </c>
      <c r="J844" s="318">
        <v>231.92855223411365</v>
      </c>
      <c r="K844" s="3">
        <v>388.44340782049909</v>
      </c>
      <c r="L844" s="3">
        <v>210.83274033091681</v>
      </c>
      <c r="M844" s="318">
        <v>599.2761481514159</v>
      </c>
      <c r="N844" s="3">
        <v>31.134374662404756</v>
      </c>
      <c r="O844" s="3">
        <v>232.04403639350801</v>
      </c>
      <c r="P844" s="3">
        <v>45.941161741474929</v>
      </c>
      <c r="Q844" s="3">
        <v>27.38206056715439</v>
      </c>
      <c r="R844" s="3">
        <v>125.8021875173914</v>
      </c>
      <c r="S844" s="3">
        <v>101.71449430702762</v>
      </c>
      <c r="T844" s="3">
        <v>114.70662783673876</v>
      </c>
      <c r="U844" s="3">
        <v>34.814199880996163</v>
      </c>
      <c r="V844" s="318">
        <v>713.53914290669616</v>
      </c>
      <c r="W844" s="318">
        <v>1544.7438432922256</v>
      </c>
      <c r="X844" s="3">
        <v>154.05507554883647</v>
      </c>
      <c r="Y844" s="318">
        <v>1698.798918841062</v>
      </c>
    </row>
    <row r="845" spans="1:25" x14ac:dyDescent="0.2">
      <c r="A845" s="316">
        <v>2021</v>
      </c>
      <c r="B845" s="316" t="s">
        <v>466</v>
      </c>
      <c r="C845" s="316" t="s">
        <v>261</v>
      </c>
      <c r="D845" s="316" t="s">
        <v>483</v>
      </c>
      <c r="E845" s="316" t="s">
        <v>298</v>
      </c>
      <c r="F845" s="316" t="s">
        <v>264</v>
      </c>
      <c r="G845" s="316" t="s">
        <v>299</v>
      </c>
      <c r="H845" s="3">
        <v>38.500157198675346</v>
      </c>
      <c r="I845" s="3">
        <v>0</v>
      </c>
      <c r="J845" s="318">
        <v>38.500157198675346</v>
      </c>
      <c r="K845" s="3">
        <v>4.3633644895776653</v>
      </c>
      <c r="L845" s="3">
        <v>9.6757136052391175</v>
      </c>
      <c r="M845" s="318">
        <v>14.039078094816784</v>
      </c>
      <c r="N845" s="3">
        <v>1.4688329315612871</v>
      </c>
      <c r="O845" s="3">
        <v>18.787956227067866</v>
      </c>
      <c r="P845" s="3">
        <v>3.256373751425544</v>
      </c>
      <c r="Q845" s="3">
        <v>2.111979569963137</v>
      </c>
      <c r="R845" s="3">
        <v>10.93060226275397</v>
      </c>
      <c r="S845" s="3">
        <v>11.320076427341052</v>
      </c>
      <c r="T845" s="3">
        <v>24.674056084239247</v>
      </c>
      <c r="U845" s="3">
        <v>4.1842096473070418</v>
      </c>
      <c r="V845" s="318">
        <v>76.73408690165914</v>
      </c>
      <c r="W845" s="318">
        <v>129.27332219515128</v>
      </c>
      <c r="X845" s="3">
        <v>12.892241975070084</v>
      </c>
      <c r="Y845" s="318">
        <v>142.16556417022136</v>
      </c>
    </row>
    <row r="846" spans="1:25" x14ac:dyDescent="0.2">
      <c r="A846" s="316">
        <v>2021</v>
      </c>
      <c r="B846" s="316" t="s">
        <v>466</v>
      </c>
      <c r="C846" s="316" t="s">
        <v>261</v>
      </c>
      <c r="D846" s="316" t="s">
        <v>486</v>
      </c>
      <c r="E846" s="316" t="s">
        <v>300</v>
      </c>
      <c r="F846" s="316" t="s">
        <v>264</v>
      </c>
      <c r="G846" s="316" t="s">
        <v>301</v>
      </c>
      <c r="H846" s="3">
        <v>31.325217737634851</v>
      </c>
      <c r="I846" s="3">
        <v>23.591339065769546</v>
      </c>
      <c r="J846" s="318">
        <v>54.916556803404397</v>
      </c>
      <c r="K846" s="3">
        <v>1696.8787689460642</v>
      </c>
      <c r="L846" s="3">
        <v>489.5873447913018</v>
      </c>
      <c r="M846" s="318">
        <v>2186.466113737366</v>
      </c>
      <c r="N846" s="3">
        <v>97.838861969853525</v>
      </c>
      <c r="O846" s="3">
        <v>915.53655027799925</v>
      </c>
      <c r="P846" s="3">
        <v>77.023909552403694</v>
      </c>
      <c r="Q846" s="3">
        <v>90.424460674169381</v>
      </c>
      <c r="R846" s="3">
        <v>275.54968785406379</v>
      </c>
      <c r="S846" s="3">
        <v>290.55117840804729</v>
      </c>
      <c r="T846" s="3">
        <v>368.80182828980463</v>
      </c>
      <c r="U846" s="3">
        <v>68.057558835626949</v>
      </c>
      <c r="V846" s="318">
        <v>2183.7840358619687</v>
      </c>
      <c r="W846" s="318">
        <v>4425.1667064027388</v>
      </c>
      <c r="X846" s="3">
        <v>441.3154933300525</v>
      </c>
      <c r="Y846" s="318">
        <v>4866.4821997327908</v>
      </c>
    </row>
    <row r="847" spans="1:25" x14ac:dyDescent="0.2">
      <c r="A847" s="316">
        <v>2021</v>
      </c>
      <c r="B847" s="316" t="s">
        <v>466</v>
      </c>
      <c r="C847" s="316" t="s">
        <v>261</v>
      </c>
      <c r="D847" s="316" t="s">
        <v>484</v>
      </c>
      <c r="E847" s="316" t="s">
        <v>302</v>
      </c>
      <c r="F847" s="316" t="s">
        <v>264</v>
      </c>
      <c r="G847" s="316" t="s">
        <v>303</v>
      </c>
      <c r="H847" s="3">
        <v>6.1189549529980942</v>
      </c>
      <c r="I847" s="3">
        <v>17.50333177311396</v>
      </c>
      <c r="J847" s="318">
        <v>23.622286726112055</v>
      </c>
      <c r="K847" s="3">
        <v>27.376462237003338</v>
      </c>
      <c r="L847" s="3">
        <v>35.407761770481741</v>
      </c>
      <c r="M847" s="318">
        <v>62.784224007485079</v>
      </c>
      <c r="N847" s="3">
        <v>23.701644588177647</v>
      </c>
      <c r="O847" s="3">
        <v>225.84596626684748</v>
      </c>
      <c r="P847" s="3">
        <v>36.028417379438608</v>
      </c>
      <c r="Q847" s="3">
        <v>22.061809186167579</v>
      </c>
      <c r="R847" s="3">
        <v>158.55418361640022</v>
      </c>
      <c r="S847" s="3">
        <v>146.68297198344808</v>
      </c>
      <c r="T847" s="3">
        <v>269.62953306013804</v>
      </c>
      <c r="U847" s="3">
        <v>49.201174492694854</v>
      </c>
      <c r="V847" s="318">
        <v>931.70570057331258</v>
      </c>
      <c r="W847" s="318">
        <v>1018.1122113069097</v>
      </c>
      <c r="X847" s="3">
        <v>101.53486243764746</v>
      </c>
      <c r="Y847" s="318">
        <v>1119.647073744557</v>
      </c>
    </row>
    <row r="848" spans="1:25" x14ac:dyDescent="0.2">
      <c r="A848" s="316">
        <v>2021</v>
      </c>
      <c r="B848" s="316" t="s">
        <v>466</v>
      </c>
      <c r="C848" s="316" t="s">
        <v>261</v>
      </c>
      <c r="D848" s="316" t="s">
        <v>485</v>
      </c>
      <c r="E848" s="316" t="s">
        <v>304</v>
      </c>
      <c r="F848" s="316" t="s">
        <v>264</v>
      </c>
      <c r="G848" s="316" t="s">
        <v>305</v>
      </c>
      <c r="H848" s="3">
        <v>7.7346642532192833</v>
      </c>
      <c r="I848" s="3">
        <v>0</v>
      </c>
      <c r="J848" s="318">
        <v>7.7346642532192833</v>
      </c>
      <c r="K848" s="3">
        <v>2.4278460547501362</v>
      </c>
      <c r="L848" s="3">
        <v>2.9878347618282057</v>
      </c>
      <c r="M848" s="318">
        <v>5.4156808165783419</v>
      </c>
      <c r="N848" s="3">
        <v>1.6267097786629645</v>
      </c>
      <c r="O848" s="3">
        <v>17.579782250067673</v>
      </c>
      <c r="P848" s="3">
        <v>3.3326485171505746</v>
      </c>
      <c r="Q848" s="3">
        <v>1.4791579550044296</v>
      </c>
      <c r="R848" s="3">
        <v>12.280887646050273</v>
      </c>
      <c r="S848" s="3">
        <v>8.7510158563310938</v>
      </c>
      <c r="T848" s="3">
        <v>21.838021196056406</v>
      </c>
      <c r="U848" s="3">
        <v>4.2581493472312202</v>
      </c>
      <c r="V848" s="318">
        <v>71.14637254655463</v>
      </c>
      <c r="W848" s="318">
        <v>84.296717616352254</v>
      </c>
      <c r="X848" s="3">
        <v>8.4067900689793564</v>
      </c>
      <c r="Y848" s="318">
        <v>92.703507685331616</v>
      </c>
    </row>
    <row r="849" spans="1:25" x14ac:dyDescent="0.2">
      <c r="A849" s="316">
        <v>2021</v>
      </c>
      <c r="B849" s="316" t="s">
        <v>466</v>
      </c>
      <c r="C849" s="316" t="s">
        <v>261</v>
      </c>
      <c r="D849" s="316" t="s">
        <v>485</v>
      </c>
      <c r="E849" s="316" t="s">
        <v>306</v>
      </c>
      <c r="F849" s="316" t="s">
        <v>264</v>
      </c>
      <c r="G849" s="316" t="s">
        <v>307</v>
      </c>
      <c r="H849" s="3">
        <v>5.9777289110611287</v>
      </c>
      <c r="I849" s="3">
        <v>4.0127257757532915</v>
      </c>
      <c r="J849" s="318">
        <v>9.9904546868144202</v>
      </c>
      <c r="K849" s="3">
        <v>4.633092780880312</v>
      </c>
      <c r="L849" s="3">
        <v>6.4064505693658704</v>
      </c>
      <c r="M849" s="318">
        <v>11.039543350246182</v>
      </c>
      <c r="N849" s="3">
        <v>16.222465403491285</v>
      </c>
      <c r="O849" s="3">
        <v>26.903494145535412</v>
      </c>
      <c r="P849" s="3">
        <v>5.3806868706514486</v>
      </c>
      <c r="Q849" s="3">
        <v>2.4730477822934049</v>
      </c>
      <c r="R849" s="3">
        <v>15.239503439938405</v>
      </c>
      <c r="S849" s="3">
        <v>16.362613795579023</v>
      </c>
      <c r="T849" s="3">
        <v>28.735909215881783</v>
      </c>
      <c r="U849" s="3">
        <v>5.9777773018975537</v>
      </c>
      <c r="V849" s="318">
        <v>117.29549795526833</v>
      </c>
      <c r="W849" s="318">
        <v>138.32549599232894</v>
      </c>
      <c r="X849" s="3">
        <v>13.795002212154641</v>
      </c>
      <c r="Y849" s="318">
        <v>152.12049820448357</v>
      </c>
    </row>
    <row r="850" spans="1:25" x14ac:dyDescent="0.2">
      <c r="A850" s="316">
        <v>2021</v>
      </c>
      <c r="B850" s="316" t="s">
        <v>466</v>
      </c>
      <c r="C850" s="316" t="s">
        <v>261</v>
      </c>
      <c r="D850" s="316" t="s">
        <v>484</v>
      </c>
      <c r="E850" s="316" t="s">
        <v>308</v>
      </c>
      <c r="F850" s="316" t="s">
        <v>264</v>
      </c>
      <c r="G850" s="316" t="s">
        <v>309</v>
      </c>
      <c r="H850" s="3">
        <v>11.139940518630809</v>
      </c>
      <c r="I850" s="3">
        <v>7.4780119359381949</v>
      </c>
      <c r="J850" s="318">
        <v>18.617952454569004</v>
      </c>
      <c r="K850" s="3">
        <v>7.500134930498767</v>
      </c>
      <c r="L850" s="3">
        <v>10.997208248413454</v>
      </c>
      <c r="M850" s="318">
        <v>18.497343178912221</v>
      </c>
      <c r="N850" s="3">
        <v>41.861900676978685</v>
      </c>
      <c r="O850" s="3">
        <v>58.785853423821322</v>
      </c>
      <c r="P850" s="3">
        <v>7.5824011388098933</v>
      </c>
      <c r="Q850" s="3">
        <v>4.276797571464197</v>
      </c>
      <c r="R850" s="3">
        <v>30.515714742927141</v>
      </c>
      <c r="S850" s="3">
        <v>34.206057935060905</v>
      </c>
      <c r="T850" s="3">
        <v>38.974901915012829</v>
      </c>
      <c r="U850" s="3">
        <v>9.3308408687753062</v>
      </c>
      <c r="V850" s="318">
        <v>225.53446827285026</v>
      </c>
      <c r="W850" s="318">
        <v>262.64976390633149</v>
      </c>
      <c r="X850" s="3">
        <v>26.193682141654282</v>
      </c>
      <c r="Y850" s="318">
        <v>288.84344604798576</v>
      </c>
    </row>
    <row r="851" spans="1:25" x14ac:dyDescent="0.2">
      <c r="A851" s="316">
        <v>2021</v>
      </c>
      <c r="B851" s="316" t="s">
        <v>466</v>
      </c>
      <c r="C851" s="316" t="s">
        <v>261</v>
      </c>
      <c r="D851" s="316" t="s">
        <v>486</v>
      </c>
      <c r="E851" s="316" t="s">
        <v>310</v>
      </c>
      <c r="F851" s="316" t="s">
        <v>264</v>
      </c>
      <c r="G851" s="316" t="s">
        <v>311</v>
      </c>
      <c r="H851" s="3">
        <v>147.86943613065299</v>
      </c>
      <c r="I851" s="3">
        <v>0</v>
      </c>
      <c r="J851" s="318">
        <v>147.86943613065299</v>
      </c>
      <c r="K851" s="3">
        <v>14.88882384511269</v>
      </c>
      <c r="L851" s="3">
        <v>6.5348937088327546</v>
      </c>
      <c r="M851" s="318">
        <v>21.423717553945444</v>
      </c>
      <c r="N851" s="3">
        <v>4.1082335628318152</v>
      </c>
      <c r="O851" s="3">
        <v>40.759596039737659</v>
      </c>
      <c r="P851" s="3">
        <v>8.9026421623514533</v>
      </c>
      <c r="Q851" s="3">
        <v>4.3313750762988965</v>
      </c>
      <c r="R851" s="3">
        <v>41.495898189472307</v>
      </c>
      <c r="S851" s="3">
        <v>23.889036801225</v>
      </c>
      <c r="T851" s="3">
        <v>42.423868919340237</v>
      </c>
      <c r="U851" s="3">
        <v>10.648882961232317</v>
      </c>
      <c r="V851" s="318">
        <v>176.5595337124897</v>
      </c>
      <c r="W851" s="318">
        <v>345.85268739708812</v>
      </c>
      <c r="X851" s="3">
        <v>34.491389700037971</v>
      </c>
      <c r="Y851" s="318">
        <v>380.3440770971261</v>
      </c>
    </row>
    <row r="852" spans="1:25" x14ac:dyDescent="0.2">
      <c r="A852" s="316">
        <v>2021</v>
      </c>
      <c r="B852" s="316" t="s">
        <v>466</v>
      </c>
      <c r="C852" s="316" t="s">
        <v>261</v>
      </c>
      <c r="D852" s="316" t="s">
        <v>483</v>
      </c>
      <c r="E852" s="316" t="s">
        <v>312</v>
      </c>
      <c r="F852" s="316" t="s">
        <v>264</v>
      </c>
      <c r="G852" s="316" t="s">
        <v>313</v>
      </c>
      <c r="H852" s="3">
        <v>199.03423622817397</v>
      </c>
      <c r="I852" s="3">
        <v>208.94845725210595</v>
      </c>
      <c r="J852" s="318">
        <v>407.98269348027992</v>
      </c>
      <c r="K852" s="3">
        <v>176.03164163430779</v>
      </c>
      <c r="L852" s="3">
        <v>186.82656245174337</v>
      </c>
      <c r="M852" s="318">
        <v>362.85820408605116</v>
      </c>
      <c r="N852" s="3">
        <v>53.537804580707089</v>
      </c>
      <c r="O852" s="3">
        <v>75.202922936534804</v>
      </c>
      <c r="P852" s="3">
        <v>19.790707176796861</v>
      </c>
      <c r="Q852" s="3">
        <v>14.437935000655532</v>
      </c>
      <c r="R852" s="3">
        <v>53.905888083957151</v>
      </c>
      <c r="S852" s="3">
        <v>54.226848073476148</v>
      </c>
      <c r="T852" s="3">
        <v>88.60249143445391</v>
      </c>
      <c r="U852" s="3">
        <v>19.051930984164255</v>
      </c>
      <c r="V852" s="318">
        <v>378.75652827074578</v>
      </c>
      <c r="W852" s="318">
        <v>1149.5974258370768</v>
      </c>
      <c r="X852" s="3">
        <v>114.64769324513557</v>
      </c>
      <c r="Y852" s="318">
        <v>1264.2451190822123</v>
      </c>
    </row>
    <row r="853" spans="1:25" x14ac:dyDescent="0.2">
      <c r="A853" s="316">
        <v>2021</v>
      </c>
      <c r="B853" s="316" t="s">
        <v>466</v>
      </c>
      <c r="C853" s="316" t="s">
        <v>314</v>
      </c>
      <c r="D853" s="316" t="s">
        <v>487</v>
      </c>
      <c r="E853" s="316" t="s">
        <v>316</v>
      </c>
      <c r="F853" s="316" t="s">
        <v>317</v>
      </c>
      <c r="G853" s="316" t="s">
        <v>318</v>
      </c>
      <c r="H853" s="3">
        <v>12.817853878768709</v>
      </c>
      <c r="I853" s="3">
        <v>30.663481821221559</v>
      </c>
      <c r="J853" s="318">
        <v>43.481335699990268</v>
      </c>
      <c r="K853" s="3">
        <v>159.4516786399667</v>
      </c>
      <c r="L853" s="3">
        <v>134.33040572157842</v>
      </c>
      <c r="M853" s="318">
        <v>293.78208436154512</v>
      </c>
      <c r="N853" s="3">
        <v>18.021285597492987</v>
      </c>
      <c r="O853" s="3">
        <v>89.149740339466618</v>
      </c>
      <c r="P853" s="3">
        <v>12.642326384022578</v>
      </c>
      <c r="Q853" s="3">
        <v>9.1140843985905029</v>
      </c>
      <c r="R853" s="3">
        <v>41.335178465043093</v>
      </c>
      <c r="S853" s="3">
        <v>48.067722076066268</v>
      </c>
      <c r="T853" s="3">
        <v>64.788627308630765</v>
      </c>
      <c r="U853" s="3">
        <v>15.543472929061924</v>
      </c>
      <c r="V853" s="318">
        <v>298.66243749837474</v>
      </c>
      <c r="W853" s="318">
        <v>635.92585755991013</v>
      </c>
      <c r="X853" s="3">
        <v>63.419968595607244</v>
      </c>
      <c r="Y853" s="318">
        <v>699.34582615551733</v>
      </c>
    </row>
    <row r="854" spans="1:25" x14ac:dyDescent="0.2">
      <c r="A854" s="316">
        <v>2021</v>
      </c>
      <c r="B854" s="316" t="s">
        <v>466</v>
      </c>
      <c r="C854" s="316" t="s">
        <v>314</v>
      </c>
      <c r="D854" s="316" t="s">
        <v>488</v>
      </c>
      <c r="E854" s="316" t="s">
        <v>319</v>
      </c>
      <c r="F854" s="316" t="s">
        <v>317</v>
      </c>
      <c r="G854" s="316" t="s">
        <v>321</v>
      </c>
      <c r="H854" s="3">
        <v>104.02647879808885</v>
      </c>
      <c r="I854" s="3">
        <v>69.830896138518398</v>
      </c>
      <c r="J854" s="318">
        <v>173.85737493660724</v>
      </c>
      <c r="K854" s="3">
        <v>100.76939219712405</v>
      </c>
      <c r="L854" s="3">
        <v>45.351748465640625</v>
      </c>
      <c r="M854" s="318">
        <v>146.12114066276467</v>
      </c>
      <c r="N854" s="3">
        <v>12.760079533140599</v>
      </c>
      <c r="O854" s="3">
        <v>108.09846422349032</v>
      </c>
      <c r="P854" s="3">
        <v>18.178800976412379</v>
      </c>
      <c r="Q854" s="3">
        <v>22.823693928267097</v>
      </c>
      <c r="R854" s="3">
        <v>52.955748956033318</v>
      </c>
      <c r="S854" s="3">
        <v>58.491352991391189</v>
      </c>
      <c r="T854" s="3">
        <v>98.612121096245929</v>
      </c>
      <c r="U854" s="3">
        <v>18.925190365867007</v>
      </c>
      <c r="V854" s="318">
        <v>390.84545207084784</v>
      </c>
      <c r="W854" s="318">
        <v>710.82396767021976</v>
      </c>
      <c r="X854" s="3">
        <v>70.889449093368995</v>
      </c>
      <c r="Y854" s="318">
        <v>781.71341676358873</v>
      </c>
    </row>
    <row r="855" spans="1:25" x14ac:dyDescent="0.2">
      <c r="A855" s="316">
        <v>2021</v>
      </c>
      <c r="B855" s="316" t="s">
        <v>466</v>
      </c>
      <c r="C855" s="316" t="s">
        <v>314</v>
      </c>
      <c r="D855" s="316" t="s">
        <v>487</v>
      </c>
      <c r="E855" s="316" t="s">
        <v>322</v>
      </c>
      <c r="F855" s="316" t="s">
        <v>317</v>
      </c>
      <c r="G855" s="316" t="s">
        <v>323</v>
      </c>
      <c r="H855" s="3">
        <v>7.4821142052798351</v>
      </c>
      <c r="I855" s="3">
        <v>5.5750154023950937</v>
      </c>
      <c r="J855" s="318">
        <v>13.057129607674929</v>
      </c>
      <c r="K855" s="3">
        <v>4.2199948682046973</v>
      </c>
      <c r="L855" s="3">
        <v>0.5464246985067378</v>
      </c>
      <c r="M855" s="318">
        <v>4.7664195667114351</v>
      </c>
      <c r="N855" s="3">
        <v>4.2195808541939277</v>
      </c>
      <c r="O855" s="3">
        <v>11.877105519755874</v>
      </c>
      <c r="P855" s="3">
        <v>2.5287566747985903</v>
      </c>
      <c r="Q855" s="3">
        <v>1.3881888798872906</v>
      </c>
      <c r="R855" s="3">
        <v>8.6442893104596692</v>
      </c>
      <c r="S855" s="3">
        <v>9.5770602186970795</v>
      </c>
      <c r="T855" s="3">
        <v>12.920587863359721</v>
      </c>
      <c r="U855" s="3">
        <v>3.2519765004233192</v>
      </c>
      <c r="V855" s="318">
        <v>54.407545821575468</v>
      </c>
      <c r="W855" s="318">
        <v>72.231094995961826</v>
      </c>
      <c r="X855" s="3">
        <v>7.2035029269723641</v>
      </c>
      <c r="Y855" s="318">
        <v>79.434597922934188</v>
      </c>
    </row>
    <row r="856" spans="1:25" x14ac:dyDescent="0.2">
      <c r="A856" s="316">
        <v>2021</v>
      </c>
      <c r="B856" s="316" t="s">
        <v>466</v>
      </c>
      <c r="C856" s="316" t="s">
        <v>314</v>
      </c>
      <c r="D856" s="316" t="s">
        <v>488</v>
      </c>
      <c r="E856" s="316" t="s">
        <v>324</v>
      </c>
      <c r="F856" s="316" t="s">
        <v>317</v>
      </c>
      <c r="G856" s="316" t="s">
        <v>325</v>
      </c>
      <c r="H856" s="3">
        <v>125.59940768858957</v>
      </c>
      <c r="I856" s="3">
        <v>0</v>
      </c>
      <c r="J856" s="318">
        <v>125.59940768858957</v>
      </c>
      <c r="K856" s="3">
        <v>13.054944428517235</v>
      </c>
      <c r="L856" s="3">
        <v>1.8609048009364493</v>
      </c>
      <c r="M856" s="318">
        <v>14.915849229453684</v>
      </c>
      <c r="N856" s="3">
        <v>2.8478384036078395</v>
      </c>
      <c r="O856" s="3">
        <v>25.47977494026804</v>
      </c>
      <c r="P856" s="3">
        <v>4.4256410092615726</v>
      </c>
      <c r="Q856" s="3">
        <v>2.2738523457278204</v>
      </c>
      <c r="R856" s="3">
        <v>13.555248642182827</v>
      </c>
      <c r="S856" s="3">
        <v>16.881667854966139</v>
      </c>
      <c r="T856" s="3">
        <v>22.007669735633495</v>
      </c>
      <c r="U856" s="3">
        <v>4.6029968837226569</v>
      </c>
      <c r="V856" s="318">
        <v>92.074689815370391</v>
      </c>
      <c r="W856" s="318">
        <v>232.58994673341363</v>
      </c>
      <c r="X856" s="3">
        <v>23.195859929468881</v>
      </c>
      <c r="Y856" s="318">
        <v>255.78580666288252</v>
      </c>
    </row>
    <row r="857" spans="1:25" x14ac:dyDescent="0.2">
      <c r="A857" s="316">
        <v>2021</v>
      </c>
      <c r="B857" s="316" t="s">
        <v>466</v>
      </c>
      <c r="C857" s="316" t="s">
        <v>314</v>
      </c>
      <c r="D857" s="316" t="s">
        <v>489</v>
      </c>
      <c r="E857" s="316" t="s">
        <v>326</v>
      </c>
      <c r="F857" s="316" t="s">
        <v>317</v>
      </c>
      <c r="G857" s="316" t="s">
        <v>327</v>
      </c>
      <c r="H857" s="3">
        <v>142.87015324361582</v>
      </c>
      <c r="I857" s="3">
        <v>0</v>
      </c>
      <c r="J857" s="318">
        <v>142.87015324361582</v>
      </c>
      <c r="K857" s="3">
        <v>12.386307824757523</v>
      </c>
      <c r="L857" s="3">
        <v>5.8773288781463151</v>
      </c>
      <c r="M857" s="318">
        <v>18.263636702903838</v>
      </c>
      <c r="N857" s="3">
        <v>3.7316005649419841</v>
      </c>
      <c r="O857" s="3">
        <v>30.892262330895196</v>
      </c>
      <c r="P857" s="3">
        <v>7.1167362546673978</v>
      </c>
      <c r="Q857" s="3">
        <v>6.3065375808696702</v>
      </c>
      <c r="R857" s="3">
        <v>19.471474583659429</v>
      </c>
      <c r="S857" s="3">
        <v>20.318276205088356</v>
      </c>
      <c r="T857" s="3">
        <v>36.519686854211272</v>
      </c>
      <c r="U857" s="3">
        <v>7.1840458931438631</v>
      </c>
      <c r="V857" s="318">
        <v>131.54062026747718</v>
      </c>
      <c r="W857" s="318">
        <v>292.67441021399679</v>
      </c>
      <c r="X857" s="3">
        <v>29.187996814174035</v>
      </c>
      <c r="Y857" s="318">
        <v>321.86240702817082</v>
      </c>
    </row>
    <row r="858" spans="1:25" x14ac:dyDescent="0.2">
      <c r="A858" s="316">
        <v>2021</v>
      </c>
      <c r="B858" s="316" t="s">
        <v>466</v>
      </c>
      <c r="C858" s="316" t="s">
        <v>314</v>
      </c>
      <c r="D858" s="316" t="s">
        <v>490</v>
      </c>
      <c r="E858" s="316" t="s">
        <v>328</v>
      </c>
      <c r="F858" s="316" t="s">
        <v>317</v>
      </c>
      <c r="G858" s="316" t="s">
        <v>330</v>
      </c>
      <c r="H858" s="3">
        <v>26.254297919185284</v>
      </c>
      <c r="I858" s="3">
        <v>0</v>
      </c>
      <c r="J858" s="318">
        <v>26.254297919185284</v>
      </c>
      <c r="K858" s="3">
        <v>4.1555708328860801</v>
      </c>
      <c r="L858" s="3">
        <v>1.1904132678131258</v>
      </c>
      <c r="M858" s="318">
        <v>5.3459841006992059</v>
      </c>
      <c r="N858" s="3">
        <v>1.3035193239246896</v>
      </c>
      <c r="O858" s="3">
        <v>8.7247513364227451</v>
      </c>
      <c r="P858" s="3">
        <v>2.2933074403371423</v>
      </c>
      <c r="Q858" s="3">
        <v>1.7383961856579364</v>
      </c>
      <c r="R858" s="3">
        <v>8.2123504848867857</v>
      </c>
      <c r="S858" s="3">
        <v>6.2217323347364637</v>
      </c>
      <c r="T858" s="3">
        <v>15.087639071264876</v>
      </c>
      <c r="U858" s="3">
        <v>2.6430934479405157</v>
      </c>
      <c r="V858" s="318">
        <v>46.224789625171155</v>
      </c>
      <c r="W858" s="318">
        <v>77.825071645055644</v>
      </c>
      <c r="X858" s="3">
        <v>7.761382150143703</v>
      </c>
      <c r="Y858" s="318">
        <v>85.586453795199347</v>
      </c>
    </row>
    <row r="859" spans="1:25" x14ac:dyDescent="0.2">
      <c r="A859" s="316">
        <v>2021</v>
      </c>
      <c r="B859" s="316" t="s">
        <v>466</v>
      </c>
      <c r="C859" s="316" t="s">
        <v>314</v>
      </c>
      <c r="D859" s="316" t="s">
        <v>488</v>
      </c>
      <c r="E859" s="316" t="s">
        <v>331</v>
      </c>
      <c r="F859" s="316" t="s">
        <v>317</v>
      </c>
      <c r="G859" s="316" t="s">
        <v>332</v>
      </c>
      <c r="H859" s="3">
        <v>121.91201789106229</v>
      </c>
      <c r="I859" s="3">
        <v>0</v>
      </c>
      <c r="J859" s="318">
        <v>121.91201789106229</v>
      </c>
      <c r="K859" s="3">
        <v>19.962267865949769</v>
      </c>
      <c r="L859" s="3">
        <v>5.7348246422047424</v>
      </c>
      <c r="M859" s="318">
        <v>25.697092508154512</v>
      </c>
      <c r="N859" s="3">
        <v>8.040582330187533</v>
      </c>
      <c r="O859" s="3">
        <v>80.004554612254424</v>
      </c>
      <c r="P859" s="3">
        <v>10.032713536622607</v>
      </c>
      <c r="Q859" s="3">
        <v>12.663173822746062</v>
      </c>
      <c r="R859" s="3">
        <v>30.535776388535357</v>
      </c>
      <c r="S859" s="3">
        <v>41.590525598600685</v>
      </c>
      <c r="T859" s="3">
        <v>76.552998114749869</v>
      </c>
      <c r="U859" s="3">
        <v>10.916176503095199</v>
      </c>
      <c r="V859" s="318">
        <v>270.33650090679174</v>
      </c>
      <c r="W859" s="318">
        <v>417.94561130600857</v>
      </c>
      <c r="X859" s="3">
        <v>41.681113023780156</v>
      </c>
      <c r="Y859" s="318">
        <v>459.62672432978871</v>
      </c>
    </row>
    <row r="860" spans="1:25" x14ac:dyDescent="0.2">
      <c r="A860" s="316">
        <v>2021</v>
      </c>
      <c r="B860" s="316" t="s">
        <v>466</v>
      </c>
      <c r="C860" s="316" t="s">
        <v>314</v>
      </c>
      <c r="D860" s="316" t="s">
        <v>489</v>
      </c>
      <c r="E860" s="316" t="s">
        <v>333</v>
      </c>
      <c r="F860" s="316" t="s">
        <v>317</v>
      </c>
      <c r="G860" s="316" t="s">
        <v>334</v>
      </c>
      <c r="H860" s="3">
        <v>140.51435459855946</v>
      </c>
      <c r="I860" s="3">
        <v>0</v>
      </c>
      <c r="J860" s="318">
        <v>140.51435459855946</v>
      </c>
      <c r="K860" s="3">
        <v>17.603346319554742</v>
      </c>
      <c r="L860" s="3">
        <v>5.5296603973900886</v>
      </c>
      <c r="M860" s="318">
        <v>23.133006716944831</v>
      </c>
      <c r="N860" s="3">
        <v>6.07708384941846</v>
      </c>
      <c r="O860" s="3">
        <v>36.893938469497385</v>
      </c>
      <c r="P860" s="3">
        <v>10.084557776633158</v>
      </c>
      <c r="Q860" s="3">
        <v>7.8864062929422474</v>
      </c>
      <c r="R860" s="3">
        <v>28.191988059376584</v>
      </c>
      <c r="S860" s="3">
        <v>31.147353464980529</v>
      </c>
      <c r="T860" s="3">
        <v>52.192019875409535</v>
      </c>
      <c r="U860" s="3">
        <v>12.711134698914574</v>
      </c>
      <c r="V860" s="318">
        <v>185.18448248717249</v>
      </c>
      <c r="W860" s="318">
        <v>348.83184380267676</v>
      </c>
      <c r="X860" s="3">
        <v>34.788496671609792</v>
      </c>
      <c r="Y860" s="318">
        <v>383.62034047428654</v>
      </c>
    </row>
    <row r="861" spans="1:25" x14ac:dyDescent="0.2">
      <c r="A861" s="316">
        <v>2021</v>
      </c>
      <c r="B861" s="316" t="s">
        <v>466</v>
      </c>
      <c r="C861" s="316" t="s">
        <v>314</v>
      </c>
      <c r="D861" s="316" t="s">
        <v>487</v>
      </c>
      <c r="E861" s="316" t="s">
        <v>335</v>
      </c>
      <c r="F861" s="316" t="s">
        <v>317</v>
      </c>
      <c r="G861" s="316" t="s">
        <v>336</v>
      </c>
      <c r="H861" s="3">
        <v>67.988343548463291</v>
      </c>
      <c r="I861" s="3">
        <v>85.598979592983824</v>
      </c>
      <c r="J861" s="318">
        <v>153.58732314144711</v>
      </c>
      <c r="K861" s="3">
        <v>17.08096268540347</v>
      </c>
      <c r="L861" s="3">
        <v>10.9980379364026</v>
      </c>
      <c r="M861" s="318">
        <v>28.07900062180607</v>
      </c>
      <c r="N861" s="3">
        <v>8.7217819133627152</v>
      </c>
      <c r="O861" s="3">
        <v>56.364505374995922</v>
      </c>
      <c r="P861" s="3">
        <v>11.933093112778774</v>
      </c>
      <c r="Q861" s="3">
        <v>9.0577879076768024</v>
      </c>
      <c r="R861" s="3">
        <v>36.331424199405454</v>
      </c>
      <c r="S861" s="3">
        <v>37.227764523427574</v>
      </c>
      <c r="T861" s="3">
        <v>52.956014400428543</v>
      </c>
      <c r="U861" s="3">
        <v>14.944585902383201</v>
      </c>
      <c r="V861" s="318">
        <v>227.53695733445898</v>
      </c>
      <c r="W861" s="318">
        <v>409.20328109771219</v>
      </c>
      <c r="X861" s="3">
        <v>40.809253040935609</v>
      </c>
      <c r="Y861" s="318">
        <v>450.01253413864782</v>
      </c>
    </row>
    <row r="862" spans="1:25" x14ac:dyDescent="0.2">
      <c r="A862" s="316">
        <v>2021</v>
      </c>
      <c r="B862" s="316" t="s">
        <v>466</v>
      </c>
      <c r="C862" s="316" t="s">
        <v>314</v>
      </c>
      <c r="D862" s="316" t="s">
        <v>488</v>
      </c>
      <c r="E862" s="316" t="s">
        <v>337</v>
      </c>
      <c r="F862" s="316" t="s">
        <v>317</v>
      </c>
      <c r="G862" s="316" t="s">
        <v>338</v>
      </c>
      <c r="H862" s="3">
        <v>24.43795579614315</v>
      </c>
      <c r="I862" s="3">
        <v>0</v>
      </c>
      <c r="J862" s="318">
        <v>24.43795579614315</v>
      </c>
      <c r="K862" s="3">
        <v>4.1575295287903096</v>
      </c>
      <c r="L862" s="3">
        <v>1.5281551561975757</v>
      </c>
      <c r="M862" s="318">
        <v>5.6856846849878853</v>
      </c>
      <c r="N862" s="3">
        <v>2.4347812086105565</v>
      </c>
      <c r="O862" s="3">
        <v>13.094007803000771</v>
      </c>
      <c r="P862" s="3">
        <v>2.3743015484367875</v>
      </c>
      <c r="Q862" s="3">
        <v>1.2445196595907571</v>
      </c>
      <c r="R862" s="3">
        <v>8.0129781463066241</v>
      </c>
      <c r="S862" s="3">
        <v>8.1192708557792006</v>
      </c>
      <c r="T862" s="3">
        <v>14.290153971137537</v>
      </c>
      <c r="U862" s="3">
        <v>2.8331378515619896</v>
      </c>
      <c r="V862" s="318">
        <v>52.40315104442422</v>
      </c>
      <c r="W862" s="318">
        <v>82.526791525555254</v>
      </c>
      <c r="X862" s="3">
        <v>8.2302778926611957</v>
      </c>
      <c r="Y862" s="318">
        <v>90.757069418216446</v>
      </c>
    </row>
    <row r="863" spans="1:25" x14ac:dyDescent="0.2">
      <c r="A863" s="316">
        <v>2021</v>
      </c>
      <c r="B863" s="316" t="s">
        <v>466</v>
      </c>
      <c r="C863" s="316" t="s">
        <v>314</v>
      </c>
      <c r="D863" s="316" t="s">
        <v>488</v>
      </c>
      <c r="E863" s="316" t="s">
        <v>339</v>
      </c>
      <c r="F863" s="316" t="s">
        <v>317</v>
      </c>
      <c r="G863" s="316" t="s">
        <v>340</v>
      </c>
      <c r="H863" s="3">
        <v>99.146425451937702</v>
      </c>
      <c r="I863" s="3">
        <v>0</v>
      </c>
      <c r="J863" s="318">
        <v>99.146425451937702</v>
      </c>
      <c r="K863" s="3">
        <v>15.714806958803614</v>
      </c>
      <c r="L863" s="3">
        <v>3.1503363432652982</v>
      </c>
      <c r="M863" s="318">
        <v>18.865143302068912</v>
      </c>
      <c r="N863" s="3">
        <v>5.1879642370690107</v>
      </c>
      <c r="O863" s="3">
        <v>59.781767751467079</v>
      </c>
      <c r="P863" s="3">
        <v>5.6537205423362904</v>
      </c>
      <c r="Q863" s="3">
        <v>5.4251676881050477</v>
      </c>
      <c r="R863" s="3">
        <v>23.643708092478896</v>
      </c>
      <c r="S863" s="3">
        <v>23.67413120315468</v>
      </c>
      <c r="T863" s="3">
        <v>28.262252575918936</v>
      </c>
      <c r="U863" s="3">
        <v>6.8281608199292068</v>
      </c>
      <c r="V863" s="318">
        <v>158.45687291045911</v>
      </c>
      <c r="W863" s="318">
        <v>276.46844166446573</v>
      </c>
      <c r="X863" s="3">
        <v>27.571798944163962</v>
      </c>
      <c r="Y863" s="318">
        <v>304.04024060862969</v>
      </c>
    </row>
    <row r="864" spans="1:25" x14ac:dyDescent="0.2">
      <c r="A864" s="316">
        <v>2021</v>
      </c>
      <c r="B864" s="316" t="s">
        <v>466</v>
      </c>
      <c r="C864" s="316" t="s">
        <v>314</v>
      </c>
      <c r="D864" s="316" t="s">
        <v>490</v>
      </c>
      <c r="E864" s="316" t="s">
        <v>341</v>
      </c>
      <c r="F864" s="316" t="s">
        <v>317</v>
      </c>
      <c r="G864" s="316" t="s">
        <v>342</v>
      </c>
      <c r="H864" s="3">
        <v>353.29967909226389</v>
      </c>
      <c r="I864" s="3">
        <v>0</v>
      </c>
      <c r="J864" s="318">
        <v>353.29967909226389</v>
      </c>
      <c r="K864" s="3">
        <v>22.031612767813236</v>
      </c>
      <c r="L864" s="3">
        <v>13.104152532205141</v>
      </c>
      <c r="M864" s="318">
        <v>35.135765300018377</v>
      </c>
      <c r="N864" s="3">
        <v>5.2510428160844382</v>
      </c>
      <c r="O864" s="3">
        <v>48.154295512017995</v>
      </c>
      <c r="P864" s="3">
        <v>8.1956451474695893</v>
      </c>
      <c r="Q864" s="3">
        <v>5.5851877100204268</v>
      </c>
      <c r="R864" s="3">
        <v>27.827033653150337</v>
      </c>
      <c r="S864" s="3">
        <v>26.90435376702272</v>
      </c>
      <c r="T864" s="3">
        <v>35.738474986387956</v>
      </c>
      <c r="U864" s="3">
        <v>9.2478769231235383</v>
      </c>
      <c r="V864" s="318">
        <v>166.90391051527698</v>
      </c>
      <c r="W864" s="318">
        <v>555.33935490755925</v>
      </c>
      <c r="X864" s="3">
        <v>55.383192913844013</v>
      </c>
      <c r="Y864" s="318">
        <v>610.72254782140328</v>
      </c>
    </row>
    <row r="865" spans="1:25" x14ac:dyDescent="0.2">
      <c r="A865" s="316">
        <v>2021</v>
      </c>
      <c r="B865" s="316" t="s">
        <v>466</v>
      </c>
      <c r="C865" s="316" t="s">
        <v>314</v>
      </c>
      <c r="D865" s="316" t="s">
        <v>490</v>
      </c>
      <c r="E865" s="316" t="s">
        <v>343</v>
      </c>
      <c r="F865" s="316" t="s">
        <v>317</v>
      </c>
      <c r="G865" s="316" t="s">
        <v>344</v>
      </c>
      <c r="H865" s="3">
        <v>1.4232752214187263</v>
      </c>
      <c r="I865" s="3">
        <v>9.3237017769889903</v>
      </c>
      <c r="J865" s="318">
        <v>10.746976998407717</v>
      </c>
      <c r="K865" s="3">
        <v>31.640736047662866</v>
      </c>
      <c r="L865" s="3">
        <v>32.085668833801634</v>
      </c>
      <c r="M865" s="318">
        <v>63.726404881464504</v>
      </c>
      <c r="N865" s="3">
        <v>27.477218103747244</v>
      </c>
      <c r="O865" s="3">
        <v>44.738819346435285</v>
      </c>
      <c r="P865" s="3">
        <v>3.2113915968381677</v>
      </c>
      <c r="Q865" s="3">
        <v>1.6283108796945434</v>
      </c>
      <c r="R865" s="3">
        <v>10.091494243975211</v>
      </c>
      <c r="S865" s="3">
        <v>16.78972079925196</v>
      </c>
      <c r="T865" s="3">
        <v>14.788682843620242</v>
      </c>
      <c r="U865" s="3">
        <v>3.9845615193020261</v>
      </c>
      <c r="V865" s="318">
        <v>122.71019933286466</v>
      </c>
      <c r="W865" s="318">
        <v>197.1835812127369</v>
      </c>
      <c r="X865" s="3">
        <v>19.664834161745063</v>
      </c>
      <c r="Y865" s="318">
        <v>216.84841537448196</v>
      </c>
    </row>
    <row r="866" spans="1:25" x14ac:dyDescent="0.2">
      <c r="A866" s="316">
        <v>2021</v>
      </c>
      <c r="B866" s="316" t="s">
        <v>466</v>
      </c>
      <c r="C866" s="316" t="s">
        <v>314</v>
      </c>
      <c r="D866" s="316" t="s">
        <v>490</v>
      </c>
      <c r="E866" s="316" t="s">
        <v>345</v>
      </c>
      <c r="F866" s="316" t="s">
        <v>317</v>
      </c>
      <c r="G866" s="316" t="s">
        <v>346</v>
      </c>
      <c r="H866" s="3">
        <v>25.413681695702525</v>
      </c>
      <c r="I866" s="3">
        <v>0</v>
      </c>
      <c r="J866" s="318">
        <v>25.413681695702525</v>
      </c>
      <c r="K866" s="3">
        <v>11.181995703866564</v>
      </c>
      <c r="L866" s="3">
        <v>8.7630056698733529</v>
      </c>
      <c r="M866" s="318">
        <v>19.945001373739917</v>
      </c>
      <c r="N866" s="3">
        <v>1.529321075371834</v>
      </c>
      <c r="O866" s="3">
        <v>10.229406541292965</v>
      </c>
      <c r="P866" s="3">
        <v>2.6394851746061172</v>
      </c>
      <c r="Q866" s="3">
        <v>1.6836113742859777</v>
      </c>
      <c r="R866" s="3">
        <v>13.352867322992575</v>
      </c>
      <c r="S866" s="3">
        <v>8.6052084114585892</v>
      </c>
      <c r="T866" s="3">
        <v>19.318818585462633</v>
      </c>
      <c r="U866" s="3">
        <v>3.6095346434820996</v>
      </c>
      <c r="V866" s="318">
        <v>60.968253128952789</v>
      </c>
      <c r="W866" s="318">
        <v>106.32693619839523</v>
      </c>
      <c r="X866" s="3">
        <v>10.603831994571919</v>
      </c>
      <c r="Y866" s="318">
        <v>116.93076819296715</v>
      </c>
    </row>
    <row r="867" spans="1:25" x14ac:dyDescent="0.2">
      <c r="A867" s="316">
        <v>2021</v>
      </c>
      <c r="B867" s="316" t="s">
        <v>466</v>
      </c>
      <c r="C867" s="316" t="s">
        <v>314</v>
      </c>
      <c r="D867" s="316" t="s">
        <v>490</v>
      </c>
      <c r="E867" s="316" t="s">
        <v>347</v>
      </c>
      <c r="F867" s="316" t="s">
        <v>317</v>
      </c>
      <c r="G867" s="316" t="s">
        <v>348</v>
      </c>
      <c r="H867" s="3">
        <v>42.047552652819256</v>
      </c>
      <c r="I867" s="3">
        <v>0</v>
      </c>
      <c r="J867" s="318">
        <v>42.047552652819256</v>
      </c>
      <c r="K867" s="3">
        <v>6.5745798778182793</v>
      </c>
      <c r="L867" s="3">
        <v>3.6313486263135966</v>
      </c>
      <c r="M867" s="318">
        <v>10.205928504131876</v>
      </c>
      <c r="N867" s="3">
        <v>21.58600077665033</v>
      </c>
      <c r="O867" s="3">
        <v>7.8972429224144047</v>
      </c>
      <c r="P867" s="3">
        <v>2.2980491262675358</v>
      </c>
      <c r="Q867" s="3">
        <v>1.3764111013499458</v>
      </c>
      <c r="R867" s="3">
        <v>8.2356196159323183</v>
      </c>
      <c r="S867" s="3">
        <v>11.895897919702207</v>
      </c>
      <c r="T867" s="3">
        <v>18.297927013430904</v>
      </c>
      <c r="U867" s="3">
        <v>2.8727656637111725</v>
      </c>
      <c r="V867" s="318">
        <v>74.459914139458832</v>
      </c>
      <c r="W867" s="318">
        <v>126.71339529640997</v>
      </c>
      <c r="X867" s="3">
        <v>12.636944157572652</v>
      </c>
      <c r="Y867" s="318">
        <v>139.35033945398263</v>
      </c>
    </row>
    <row r="868" spans="1:25" x14ac:dyDescent="0.2">
      <c r="A868" s="316">
        <v>2021</v>
      </c>
      <c r="B868" s="316" t="s">
        <v>466</v>
      </c>
      <c r="C868" s="316" t="s">
        <v>314</v>
      </c>
      <c r="D868" s="316" t="s">
        <v>489</v>
      </c>
      <c r="E868" s="316" t="s">
        <v>349</v>
      </c>
      <c r="F868" s="316" t="s">
        <v>317</v>
      </c>
      <c r="G868" s="316" t="s">
        <v>350</v>
      </c>
      <c r="H868" s="3">
        <v>190.57426347097717</v>
      </c>
      <c r="I868" s="3">
        <v>0</v>
      </c>
      <c r="J868" s="318">
        <v>190.57426347097717</v>
      </c>
      <c r="K868" s="3">
        <v>18.52029673387403</v>
      </c>
      <c r="L868" s="3">
        <v>4.4999829698107021</v>
      </c>
      <c r="M868" s="318">
        <v>23.020279703684732</v>
      </c>
      <c r="N868" s="3">
        <v>4.9246807557358618</v>
      </c>
      <c r="O868" s="3">
        <v>38.574924026909912</v>
      </c>
      <c r="P868" s="3">
        <v>6.883678509922265</v>
      </c>
      <c r="Q868" s="3">
        <v>7.0148075904357832</v>
      </c>
      <c r="R868" s="3">
        <v>23.063809370039326</v>
      </c>
      <c r="S868" s="3">
        <v>24.85588073173351</v>
      </c>
      <c r="T868" s="3">
        <v>38.248927419987481</v>
      </c>
      <c r="U868" s="3">
        <v>10.727124352854002</v>
      </c>
      <c r="V868" s="318">
        <v>154.29383275761813</v>
      </c>
      <c r="W868" s="318">
        <v>367.88837593228004</v>
      </c>
      <c r="X868" s="3">
        <v>36.688977136168916</v>
      </c>
      <c r="Y868" s="318">
        <v>404.57735306844893</v>
      </c>
    </row>
    <row r="869" spans="1:25" x14ac:dyDescent="0.2">
      <c r="A869" s="316">
        <v>2021</v>
      </c>
      <c r="B869" s="316" t="s">
        <v>466</v>
      </c>
      <c r="C869" s="316" t="s">
        <v>314</v>
      </c>
      <c r="D869" s="316" t="s">
        <v>490</v>
      </c>
      <c r="E869" s="316" t="s">
        <v>351</v>
      </c>
      <c r="F869" s="316" t="s">
        <v>317</v>
      </c>
      <c r="G869" s="316" t="s">
        <v>352</v>
      </c>
      <c r="H869" s="3">
        <v>125.27138777284993</v>
      </c>
      <c r="I869" s="3">
        <v>0</v>
      </c>
      <c r="J869" s="318">
        <v>125.27138777284993</v>
      </c>
      <c r="K869" s="3">
        <v>17.707370131866892</v>
      </c>
      <c r="L869" s="3">
        <v>7.1903087635357359</v>
      </c>
      <c r="M869" s="318">
        <v>24.897678895402628</v>
      </c>
      <c r="N869" s="3">
        <v>7.2680059635982932</v>
      </c>
      <c r="O869" s="3">
        <v>65.014370273345378</v>
      </c>
      <c r="P869" s="3">
        <v>11.322813267375647</v>
      </c>
      <c r="Q869" s="3">
        <v>9.0893396185190198</v>
      </c>
      <c r="R869" s="3">
        <v>43.257291935349762</v>
      </c>
      <c r="S869" s="3">
        <v>31.377996351607703</v>
      </c>
      <c r="T869" s="3">
        <v>48.960207230746335</v>
      </c>
      <c r="U869" s="3">
        <v>13.185071960382132</v>
      </c>
      <c r="V869" s="318">
        <v>229.47509660092425</v>
      </c>
      <c r="W869" s="318">
        <v>379.64416326917683</v>
      </c>
      <c r="X869" s="3">
        <v>37.86136485222022</v>
      </c>
      <c r="Y869" s="318">
        <v>417.50552812139705</v>
      </c>
    </row>
    <row r="870" spans="1:25" x14ac:dyDescent="0.2">
      <c r="A870" s="316">
        <v>2021</v>
      </c>
      <c r="B870" s="316" t="s">
        <v>466</v>
      </c>
      <c r="C870" s="316" t="s">
        <v>314</v>
      </c>
      <c r="D870" s="316" t="s">
        <v>490</v>
      </c>
      <c r="E870" s="316" t="s">
        <v>353</v>
      </c>
      <c r="F870" s="316" t="s">
        <v>317</v>
      </c>
      <c r="G870" s="316" t="s">
        <v>354</v>
      </c>
      <c r="H870" s="3">
        <v>102.40684875781199</v>
      </c>
      <c r="I870" s="3">
        <v>0</v>
      </c>
      <c r="J870" s="318">
        <v>102.40684875781199</v>
      </c>
      <c r="K870" s="3">
        <v>22.235158272745501</v>
      </c>
      <c r="L870" s="3">
        <v>9.2403976151995977</v>
      </c>
      <c r="M870" s="318">
        <v>31.475555887945099</v>
      </c>
      <c r="N870" s="3">
        <v>4.9795900211539488</v>
      </c>
      <c r="O870" s="3">
        <v>40.88943958706362</v>
      </c>
      <c r="P870" s="3">
        <v>6.619823937378281</v>
      </c>
      <c r="Q870" s="3">
        <v>6.1234228869654643</v>
      </c>
      <c r="R870" s="3">
        <v>26.453547392661669</v>
      </c>
      <c r="S870" s="3">
        <v>21.368513451922492</v>
      </c>
      <c r="T870" s="3">
        <v>36.719125055296715</v>
      </c>
      <c r="U870" s="3">
        <v>9.2125484502890984</v>
      </c>
      <c r="V870" s="318">
        <v>152.36601078273128</v>
      </c>
      <c r="W870" s="318">
        <v>286.24841542848833</v>
      </c>
      <c r="X870" s="3">
        <v>28.547141622255555</v>
      </c>
      <c r="Y870" s="318">
        <v>314.79555705074387</v>
      </c>
    </row>
    <row r="871" spans="1:25" x14ac:dyDescent="0.2">
      <c r="A871" s="316">
        <v>2021</v>
      </c>
      <c r="B871" s="316" t="s">
        <v>466</v>
      </c>
      <c r="C871" s="316" t="s">
        <v>314</v>
      </c>
      <c r="D871" s="316" t="s">
        <v>490</v>
      </c>
      <c r="E871" s="316" t="s">
        <v>355</v>
      </c>
      <c r="F871" s="316" t="s">
        <v>317</v>
      </c>
      <c r="G871" s="316" t="s">
        <v>356</v>
      </c>
      <c r="H871" s="3">
        <v>22.837971408519845</v>
      </c>
      <c r="I871" s="3">
        <v>21.468088678144827</v>
      </c>
      <c r="J871" s="318">
        <v>44.306060086664672</v>
      </c>
      <c r="K871" s="3">
        <v>5.3238072168155348</v>
      </c>
      <c r="L871" s="3">
        <v>2.1014340330005457</v>
      </c>
      <c r="M871" s="318">
        <v>7.4252412498160805</v>
      </c>
      <c r="N871" s="3">
        <v>3.2283250731320354</v>
      </c>
      <c r="O871" s="3">
        <v>11.142877398343199</v>
      </c>
      <c r="P871" s="3">
        <v>3.0139691409925398</v>
      </c>
      <c r="Q871" s="3">
        <v>2.6184730140560282</v>
      </c>
      <c r="R871" s="3">
        <v>10.95959717156806</v>
      </c>
      <c r="S871" s="3">
        <v>10.807078264074754</v>
      </c>
      <c r="T871" s="3">
        <v>20.571240550403338</v>
      </c>
      <c r="U871" s="3">
        <v>3.5979699142249153</v>
      </c>
      <c r="V871" s="318">
        <v>65.939530526794869</v>
      </c>
      <c r="W871" s="318">
        <v>117.67083186327562</v>
      </c>
      <c r="X871" s="3">
        <v>11.735142348233367</v>
      </c>
      <c r="Y871" s="318">
        <v>129.40597421150898</v>
      </c>
    </row>
    <row r="872" spans="1:25" x14ac:dyDescent="0.2">
      <c r="A872" s="316">
        <v>2021</v>
      </c>
      <c r="B872" s="316" t="s">
        <v>466</v>
      </c>
      <c r="C872" s="316" t="s">
        <v>314</v>
      </c>
      <c r="D872" s="316" t="s">
        <v>487</v>
      </c>
      <c r="E872" s="316" t="s">
        <v>357</v>
      </c>
      <c r="F872" s="316" t="s">
        <v>317</v>
      </c>
      <c r="G872" s="316" t="s">
        <v>358</v>
      </c>
      <c r="H872" s="3">
        <v>7.1699912173371878</v>
      </c>
      <c r="I872" s="3">
        <v>24.348605654220169</v>
      </c>
      <c r="J872" s="318">
        <v>31.518596871557357</v>
      </c>
      <c r="K872" s="3">
        <v>5.5134012065590472</v>
      </c>
      <c r="L872" s="3">
        <v>2.7341182156338615</v>
      </c>
      <c r="M872" s="318">
        <v>8.2475194221929087</v>
      </c>
      <c r="N872" s="3">
        <v>5.9689372881413796</v>
      </c>
      <c r="O872" s="3">
        <v>19.327906756896223</v>
      </c>
      <c r="P872" s="3">
        <v>5.9025056737878634</v>
      </c>
      <c r="Q872" s="3">
        <v>2.2814399708938264</v>
      </c>
      <c r="R872" s="3">
        <v>16.638865141035939</v>
      </c>
      <c r="S872" s="3">
        <v>16.997408019845228</v>
      </c>
      <c r="T872" s="3">
        <v>20.560097195735359</v>
      </c>
      <c r="U872" s="3">
        <v>6.9531121558782729</v>
      </c>
      <c r="V872" s="318">
        <v>94.630272202214087</v>
      </c>
      <c r="W872" s="318">
        <v>134.39638849596435</v>
      </c>
      <c r="X872" s="3">
        <v>13.403157988388774</v>
      </c>
      <c r="Y872" s="318">
        <v>147.79954648435313</v>
      </c>
    </row>
    <row r="873" spans="1:25" x14ac:dyDescent="0.2">
      <c r="A873" s="316">
        <v>2021</v>
      </c>
      <c r="B873" s="316" t="s">
        <v>466</v>
      </c>
      <c r="C873" s="316" t="s">
        <v>314</v>
      </c>
      <c r="D873" s="316" t="s">
        <v>489</v>
      </c>
      <c r="E873" s="316" t="s">
        <v>359</v>
      </c>
      <c r="F873" s="316" t="s">
        <v>317</v>
      </c>
      <c r="G873" s="316" t="s">
        <v>360</v>
      </c>
      <c r="H873" s="3">
        <v>451.73024411329664</v>
      </c>
      <c r="I873" s="3">
        <v>303.23717995985987</v>
      </c>
      <c r="J873" s="318">
        <v>754.96742407315651</v>
      </c>
      <c r="K873" s="3">
        <v>34.570858222781972</v>
      </c>
      <c r="L873" s="3">
        <v>37.957814957140123</v>
      </c>
      <c r="M873" s="318">
        <v>72.528673179922095</v>
      </c>
      <c r="N873" s="3">
        <v>25.32878028144852</v>
      </c>
      <c r="O873" s="3">
        <v>52.173837587226984</v>
      </c>
      <c r="P873" s="3">
        <v>11.974628462849374</v>
      </c>
      <c r="Q873" s="3">
        <v>12.427859194204734</v>
      </c>
      <c r="R873" s="3">
        <v>38.013593341643862</v>
      </c>
      <c r="S873" s="3">
        <v>40.00825686050019</v>
      </c>
      <c r="T873" s="3">
        <v>76.234356565737642</v>
      </c>
      <c r="U873" s="3">
        <v>15.256789059460448</v>
      </c>
      <c r="V873" s="318">
        <v>271.41810135307173</v>
      </c>
      <c r="W873" s="318">
        <v>1098.9141986061504</v>
      </c>
      <c r="X873" s="3">
        <v>109.59312809245725</v>
      </c>
      <c r="Y873" s="318">
        <v>1208.5073266986076</v>
      </c>
    </row>
    <row r="874" spans="1:25" x14ac:dyDescent="0.2">
      <c r="A874" s="316">
        <v>2021</v>
      </c>
      <c r="B874" s="316" t="s">
        <v>466</v>
      </c>
      <c r="C874" s="316" t="s">
        <v>314</v>
      </c>
      <c r="D874" s="316" t="s">
        <v>490</v>
      </c>
      <c r="E874" s="316" t="s">
        <v>361</v>
      </c>
      <c r="F874" s="316" t="s">
        <v>317</v>
      </c>
      <c r="G874" s="316" t="s">
        <v>362</v>
      </c>
      <c r="H874" s="3">
        <v>128.54684432067569</v>
      </c>
      <c r="I874" s="3">
        <v>88.375098596352188</v>
      </c>
      <c r="J874" s="318">
        <v>216.92194291702788</v>
      </c>
      <c r="K874" s="3">
        <v>11.843772443305014</v>
      </c>
      <c r="L874" s="3">
        <v>6.9019599437211916</v>
      </c>
      <c r="M874" s="318">
        <v>18.745732387026205</v>
      </c>
      <c r="N874" s="3">
        <v>2.2655663361865255</v>
      </c>
      <c r="O874" s="3">
        <v>10.844358312768843</v>
      </c>
      <c r="P874" s="3">
        <v>3.4289561669671134</v>
      </c>
      <c r="Q874" s="3">
        <v>1.8462071928593042</v>
      </c>
      <c r="R874" s="3">
        <v>14.069220960338439</v>
      </c>
      <c r="S874" s="3">
        <v>10.420155207055373</v>
      </c>
      <c r="T874" s="3">
        <v>20.223897415400081</v>
      </c>
      <c r="U874" s="3">
        <v>5.3192314576502842</v>
      </c>
      <c r="V874" s="318">
        <v>68.417593049225971</v>
      </c>
      <c r="W874" s="318">
        <v>304.08526835328007</v>
      </c>
      <c r="X874" s="3">
        <v>30.325985238829492</v>
      </c>
      <c r="Y874" s="318">
        <v>334.41125359210957</v>
      </c>
    </row>
    <row r="875" spans="1:25" x14ac:dyDescent="0.2">
      <c r="A875" s="316">
        <v>2021</v>
      </c>
      <c r="B875" s="316" t="s">
        <v>466</v>
      </c>
      <c r="C875" s="316" t="s">
        <v>314</v>
      </c>
      <c r="D875" s="316" t="s">
        <v>487</v>
      </c>
      <c r="E875" s="316" t="s">
        <v>363</v>
      </c>
      <c r="F875" s="316" t="s">
        <v>317</v>
      </c>
      <c r="G875" s="316" t="s">
        <v>364</v>
      </c>
      <c r="H875" s="3">
        <v>22.340793868400723</v>
      </c>
      <c r="I875" s="3">
        <v>49.051375745916374</v>
      </c>
      <c r="J875" s="318">
        <v>71.392169614317098</v>
      </c>
      <c r="K875" s="3">
        <v>8.7209062268171298</v>
      </c>
      <c r="L875" s="3">
        <v>6.9465890148790468</v>
      </c>
      <c r="M875" s="318">
        <v>15.667495241696177</v>
      </c>
      <c r="N875" s="3">
        <v>5.0981663249976394</v>
      </c>
      <c r="O875" s="3">
        <v>41.318908846300438</v>
      </c>
      <c r="P875" s="3">
        <v>7.0772864006273988</v>
      </c>
      <c r="Q875" s="3">
        <v>3.5718448159305511</v>
      </c>
      <c r="R875" s="3">
        <v>21.191062132466946</v>
      </c>
      <c r="S875" s="3">
        <v>24.358589321655693</v>
      </c>
      <c r="T875" s="3">
        <v>35.872348118294468</v>
      </c>
      <c r="U875" s="3">
        <v>6.8345825251577264</v>
      </c>
      <c r="V875" s="318">
        <v>145.32278848543086</v>
      </c>
      <c r="W875" s="318">
        <v>232.38245334144415</v>
      </c>
      <c r="X875" s="3">
        <v>23.17516691274993</v>
      </c>
      <c r="Y875" s="318">
        <v>255.55762025419409</v>
      </c>
    </row>
    <row r="876" spans="1:25" x14ac:dyDescent="0.2">
      <c r="A876" s="316">
        <v>2021</v>
      </c>
      <c r="B876" s="316" t="s">
        <v>466</v>
      </c>
      <c r="C876" s="316" t="s">
        <v>365</v>
      </c>
      <c r="D876" s="316" t="s">
        <v>491</v>
      </c>
      <c r="E876" s="316" t="s">
        <v>367</v>
      </c>
      <c r="F876" s="316" t="s">
        <v>368</v>
      </c>
      <c r="G876" s="316" t="s">
        <v>370</v>
      </c>
      <c r="H876" s="3">
        <v>556.14208998370145</v>
      </c>
      <c r="I876" s="3">
        <v>373.3266887379101</v>
      </c>
      <c r="J876" s="318">
        <v>929.46877872161156</v>
      </c>
      <c r="K876" s="3">
        <v>126.1569270461449</v>
      </c>
      <c r="L876" s="3">
        <v>128.45259630045751</v>
      </c>
      <c r="M876" s="318">
        <v>254.60952334660243</v>
      </c>
      <c r="N876" s="3">
        <v>64.854602237702991</v>
      </c>
      <c r="O876" s="3">
        <v>604.61288604989011</v>
      </c>
      <c r="P876" s="3">
        <v>78.465592611384892</v>
      </c>
      <c r="Q876" s="3">
        <v>78.098987809371991</v>
      </c>
      <c r="R876" s="3">
        <v>142.65316405343398</v>
      </c>
      <c r="S876" s="3">
        <v>261.45288804189858</v>
      </c>
      <c r="T876" s="3">
        <v>469.62475088654742</v>
      </c>
      <c r="U876" s="3">
        <v>73.299984010392734</v>
      </c>
      <c r="V876" s="318">
        <v>1773.0628557006228</v>
      </c>
      <c r="W876" s="318">
        <v>2957.1411577688368</v>
      </c>
      <c r="X876" s="3">
        <v>294.91142265874777</v>
      </c>
      <c r="Y876" s="318">
        <v>3252.0525804275844</v>
      </c>
    </row>
    <row r="877" spans="1:25" x14ac:dyDescent="0.2">
      <c r="A877" s="316">
        <v>2021</v>
      </c>
      <c r="B877" s="316" t="s">
        <v>466</v>
      </c>
      <c r="C877" s="316" t="s">
        <v>365</v>
      </c>
      <c r="D877" s="316" t="s">
        <v>492</v>
      </c>
      <c r="E877" s="316" t="s">
        <v>371</v>
      </c>
      <c r="F877" s="316" t="s">
        <v>368</v>
      </c>
      <c r="G877" s="316" t="s">
        <v>372</v>
      </c>
      <c r="H877" s="3">
        <v>62.074364002589476</v>
      </c>
      <c r="I877" s="3">
        <v>0</v>
      </c>
      <c r="J877" s="318">
        <v>62.074364002589476</v>
      </c>
      <c r="K877" s="3">
        <v>4.1800149916800828</v>
      </c>
      <c r="L877" s="3">
        <v>16.179883201025916</v>
      </c>
      <c r="M877" s="318">
        <v>20.359898192705998</v>
      </c>
      <c r="N877" s="3">
        <v>6.2750505149512534</v>
      </c>
      <c r="O877" s="3">
        <v>71.337430419270532</v>
      </c>
      <c r="P877" s="3">
        <v>11.312411522475038</v>
      </c>
      <c r="Q877" s="3">
        <v>6.6116191633833719</v>
      </c>
      <c r="R877" s="3">
        <v>20.379229697978435</v>
      </c>
      <c r="S877" s="3">
        <v>31.387969276261337</v>
      </c>
      <c r="T877" s="3">
        <v>78.779420099040962</v>
      </c>
      <c r="U877" s="3">
        <v>10.894025738727146</v>
      </c>
      <c r="V877" s="318">
        <v>236.97715643208809</v>
      </c>
      <c r="W877" s="318">
        <v>319.41141862738357</v>
      </c>
      <c r="X877" s="3">
        <v>31.854440101169534</v>
      </c>
      <c r="Y877" s="318">
        <v>351.2658587285531</v>
      </c>
    </row>
    <row r="878" spans="1:25" x14ac:dyDescent="0.2">
      <c r="A878" s="316">
        <v>2021</v>
      </c>
      <c r="B878" s="316" t="s">
        <v>466</v>
      </c>
      <c r="C878" s="316" t="s">
        <v>365</v>
      </c>
      <c r="D878" s="316" t="s">
        <v>491</v>
      </c>
      <c r="E878" s="316" t="s">
        <v>373</v>
      </c>
      <c r="F878" s="316" t="s">
        <v>368</v>
      </c>
      <c r="G878" s="316" t="s">
        <v>374</v>
      </c>
      <c r="H878" s="3">
        <v>809.21150760173759</v>
      </c>
      <c r="I878" s="3">
        <v>0</v>
      </c>
      <c r="J878" s="318">
        <v>809.21150760173759</v>
      </c>
      <c r="K878" s="3">
        <v>58.825526538315962</v>
      </c>
      <c r="L878" s="3">
        <v>28.681816996426754</v>
      </c>
      <c r="M878" s="318">
        <v>87.507343534742716</v>
      </c>
      <c r="N878" s="3">
        <v>23.066527978245105</v>
      </c>
      <c r="O878" s="3">
        <v>162.22586259111773</v>
      </c>
      <c r="P878" s="3">
        <v>27.168295689003855</v>
      </c>
      <c r="Q878" s="3">
        <v>16.358121535484699</v>
      </c>
      <c r="R878" s="3">
        <v>54.856634422968668</v>
      </c>
      <c r="S878" s="3">
        <v>74.267878538326244</v>
      </c>
      <c r="T878" s="3">
        <v>117.11415727203436</v>
      </c>
      <c r="U878" s="3">
        <v>23.402777147798929</v>
      </c>
      <c r="V878" s="318">
        <v>498.46025517497969</v>
      </c>
      <c r="W878" s="318">
        <v>1395.1791063114601</v>
      </c>
      <c r="X878" s="3">
        <v>139.13920004296151</v>
      </c>
      <c r="Y878" s="318">
        <v>1534.3183063544216</v>
      </c>
    </row>
    <row r="879" spans="1:25" x14ac:dyDescent="0.2">
      <c r="A879" s="316">
        <v>2021</v>
      </c>
      <c r="B879" s="316" t="s">
        <v>466</v>
      </c>
      <c r="C879" s="316" t="s">
        <v>365</v>
      </c>
      <c r="D879" s="316" t="s">
        <v>491</v>
      </c>
      <c r="E879" s="316" t="s">
        <v>375</v>
      </c>
      <c r="F879" s="316" t="s">
        <v>368</v>
      </c>
      <c r="G879" s="316" t="s">
        <v>376</v>
      </c>
      <c r="H879" s="3">
        <v>421.14300765985121</v>
      </c>
      <c r="I879" s="3">
        <v>0</v>
      </c>
      <c r="J879" s="318">
        <v>421.14300765985121</v>
      </c>
      <c r="K879" s="3">
        <v>25.493884156812811</v>
      </c>
      <c r="L879" s="3">
        <v>45.477533225665553</v>
      </c>
      <c r="M879" s="318">
        <v>70.971417382478364</v>
      </c>
      <c r="N879" s="3">
        <v>27.279746003822904</v>
      </c>
      <c r="O879" s="3">
        <v>197.61622353648627</v>
      </c>
      <c r="P879" s="3">
        <v>39.540682705042585</v>
      </c>
      <c r="Q879" s="3">
        <v>29.564403432855002</v>
      </c>
      <c r="R879" s="3">
        <v>65.933094446694412</v>
      </c>
      <c r="S879" s="3">
        <v>84.423902589216752</v>
      </c>
      <c r="T879" s="3">
        <v>148.30013470625718</v>
      </c>
      <c r="U879" s="3">
        <v>33.43520551627536</v>
      </c>
      <c r="V879" s="318">
        <v>626.0933929366505</v>
      </c>
      <c r="W879" s="318">
        <v>1118.2078179789801</v>
      </c>
      <c r="X879" s="3">
        <v>111.51725292583876</v>
      </c>
      <c r="Y879" s="318">
        <v>1229.7250709048189</v>
      </c>
    </row>
    <row r="880" spans="1:25" x14ac:dyDescent="0.2">
      <c r="A880" s="316">
        <v>2021</v>
      </c>
      <c r="B880" s="316" t="s">
        <v>466</v>
      </c>
      <c r="C880" s="316" t="s">
        <v>365</v>
      </c>
      <c r="D880" s="316" t="s">
        <v>493</v>
      </c>
      <c r="E880" s="316" t="s">
        <v>377</v>
      </c>
      <c r="F880" s="316" t="s">
        <v>368</v>
      </c>
      <c r="G880" s="316" t="s">
        <v>378</v>
      </c>
      <c r="H880" s="3">
        <v>2.6719171762030896</v>
      </c>
      <c r="I880" s="3">
        <v>0</v>
      </c>
      <c r="J880" s="318">
        <v>2.6719171762030896</v>
      </c>
      <c r="K880" s="3">
        <v>1.7181011566925825E-2</v>
      </c>
      <c r="L880" s="3">
        <v>3.1828126137258508</v>
      </c>
      <c r="M880" s="318">
        <v>3.1999936252927768</v>
      </c>
      <c r="N880" s="3">
        <v>30.882961460869872</v>
      </c>
      <c r="O880" s="3">
        <v>2.0617593810435344</v>
      </c>
      <c r="P880" s="3">
        <v>0.48136187828508126</v>
      </c>
      <c r="Q880" s="3">
        <v>0.11244576637011873</v>
      </c>
      <c r="R880" s="3">
        <v>0.8893549303709013</v>
      </c>
      <c r="S880" s="3">
        <v>5.2646654826270005</v>
      </c>
      <c r="T880" s="3">
        <v>6.5599768541526675</v>
      </c>
      <c r="U880" s="3">
        <v>0.62775238709978676</v>
      </c>
      <c r="V880" s="318">
        <v>46.880278140818966</v>
      </c>
      <c r="W880" s="318">
        <v>52.752188942314831</v>
      </c>
      <c r="X880" s="3">
        <v>5.2608997201469583</v>
      </c>
      <c r="Y880" s="318">
        <v>58.01308866246179</v>
      </c>
    </row>
    <row r="881" spans="1:25" x14ac:dyDescent="0.2">
      <c r="A881" s="316">
        <v>2021</v>
      </c>
      <c r="B881" s="316" t="s">
        <v>466</v>
      </c>
      <c r="C881" s="316" t="s">
        <v>365</v>
      </c>
      <c r="D881" s="316" t="s">
        <v>491</v>
      </c>
      <c r="E881" s="316" t="s">
        <v>379</v>
      </c>
      <c r="F881" s="316" t="s">
        <v>368</v>
      </c>
      <c r="G881" s="316" t="s">
        <v>380</v>
      </c>
      <c r="H881" s="3">
        <v>31.993726610533528</v>
      </c>
      <c r="I881" s="3">
        <v>43.9400037587139</v>
      </c>
      <c r="J881" s="318">
        <v>75.933730369247428</v>
      </c>
      <c r="K881" s="3">
        <v>6.1866601499004714</v>
      </c>
      <c r="L881" s="3">
        <v>7.3808048479562673</v>
      </c>
      <c r="M881" s="318">
        <v>13.567464997856739</v>
      </c>
      <c r="N881" s="3">
        <v>4.3577291471589659</v>
      </c>
      <c r="O881" s="3">
        <v>43.867856259770335</v>
      </c>
      <c r="P881" s="3">
        <v>5.7604167500956498</v>
      </c>
      <c r="Q881" s="3">
        <v>3.3502783142054473</v>
      </c>
      <c r="R881" s="3">
        <v>11.460041213208854</v>
      </c>
      <c r="S881" s="3">
        <v>19.516342796584237</v>
      </c>
      <c r="T881" s="3">
        <v>48.172521636053652</v>
      </c>
      <c r="U881" s="3">
        <v>5.1109913620697744</v>
      </c>
      <c r="V881" s="318">
        <v>141.59617747914692</v>
      </c>
      <c r="W881" s="318">
        <v>231.09737284625109</v>
      </c>
      <c r="X881" s="3">
        <v>23.047007688401528</v>
      </c>
      <c r="Y881" s="318">
        <v>254.14438053465261</v>
      </c>
    </row>
    <row r="882" spans="1:25" x14ac:dyDescent="0.2">
      <c r="A882" s="316">
        <v>2021</v>
      </c>
      <c r="B882" s="316" t="s">
        <v>466</v>
      </c>
      <c r="C882" s="316" t="s">
        <v>365</v>
      </c>
      <c r="D882" s="316" t="s">
        <v>492</v>
      </c>
      <c r="E882" s="316" t="s">
        <v>381</v>
      </c>
      <c r="F882" s="316" t="s">
        <v>368</v>
      </c>
      <c r="G882" s="316" t="s">
        <v>382</v>
      </c>
      <c r="H882" s="3">
        <v>186.64839850702799</v>
      </c>
      <c r="I882" s="3">
        <v>0</v>
      </c>
      <c r="J882" s="318">
        <v>186.64839850702799</v>
      </c>
      <c r="K882" s="3">
        <v>5.8745774298695359</v>
      </c>
      <c r="L882" s="3">
        <v>35.096655638357916</v>
      </c>
      <c r="M882" s="318">
        <v>40.971233068227448</v>
      </c>
      <c r="N882" s="3">
        <v>44.324038537777682</v>
      </c>
      <c r="O882" s="3">
        <v>129.7215470359742</v>
      </c>
      <c r="P882" s="3">
        <v>14.677950115574273</v>
      </c>
      <c r="Q882" s="3">
        <v>9.643328685115593</v>
      </c>
      <c r="R882" s="3">
        <v>30.399445952265307</v>
      </c>
      <c r="S882" s="3">
        <v>56.86559824705364</v>
      </c>
      <c r="T882" s="3">
        <v>119.53404813890502</v>
      </c>
      <c r="U882" s="3">
        <v>15.131046141417061</v>
      </c>
      <c r="V882" s="318">
        <v>420.29700285408279</v>
      </c>
      <c r="W882" s="318">
        <v>647.91663442933827</v>
      </c>
      <c r="X882" s="3">
        <v>64.615791478818792</v>
      </c>
      <c r="Y882" s="318">
        <v>712.53242590815705</v>
      </c>
    </row>
    <row r="883" spans="1:25" x14ac:dyDescent="0.2">
      <c r="A883" s="316">
        <v>2021</v>
      </c>
      <c r="B883" s="316" t="s">
        <v>466</v>
      </c>
      <c r="C883" s="316" t="s">
        <v>365</v>
      </c>
      <c r="D883" s="316" t="s">
        <v>492</v>
      </c>
      <c r="E883" s="316" t="s">
        <v>383</v>
      </c>
      <c r="F883" s="316" t="s">
        <v>368</v>
      </c>
      <c r="G883" s="316" t="s">
        <v>384</v>
      </c>
      <c r="H883" s="3">
        <v>52.274174554567274</v>
      </c>
      <c r="I883" s="3">
        <v>0</v>
      </c>
      <c r="J883" s="318">
        <v>52.274174554567274</v>
      </c>
      <c r="K883" s="3">
        <v>6.9978682696290671</v>
      </c>
      <c r="L883" s="3">
        <v>6.8292949180943578</v>
      </c>
      <c r="M883" s="318">
        <v>13.827163187723425</v>
      </c>
      <c r="N883" s="3">
        <v>4.3252078054536875</v>
      </c>
      <c r="O883" s="3">
        <v>37.589079355383795</v>
      </c>
      <c r="P883" s="3">
        <v>8.4003692863934045</v>
      </c>
      <c r="Q883" s="3">
        <v>4.7327778871379733</v>
      </c>
      <c r="R883" s="3">
        <v>12.235417953506953</v>
      </c>
      <c r="S883" s="3">
        <v>23.538283456781588</v>
      </c>
      <c r="T883" s="3">
        <v>57.597214971019874</v>
      </c>
      <c r="U883" s="3">
        <v>7.7955824825083964</v>
      </c>
      <c r="V883" s="318">
        <v>156.21393319818566</v>
      </c>
      <c r="W883" s="318">
        <v>222.31527094047635</v>
      </c>
      <c r="X883" s="3">
        <v>22.171181331529127</v>
      </c>
      <c r="Y883" s="318">
        <v>244.48645227200547</v>
      </c>
    </row>
    <row r="884" spans="1:25" x14ac:dyDescent="0.2">
      <c r="A884" s="316">
        <v>2021</v>
      </c>
      <c r="B884" s="316" t="s">
        <v>466</v>
      </c>
      <c r="C884" s="316" t="s">
        <v>365</v>
      </c>
      <c r="D884" s="316" t="s">
        <v>492</v>
      </c>
      <c r="E884" s="316" t="s">
        <v>385</v>
      </c>
      <c r="F884" s="316" t="s">
        <v>368</v>
      </c>
      <c r="G884" s="316" t="s">
        <v>386</v>
      </c>
      <c r="H884" s="3">
        <v>59.266651462258736</v>
      </c>
      <c r="I884" s="3">
        <v>0</v>
      </c>
      <c r="J884" s="318">
        <v>59.266651462258736</v>
      </c>
      <c r="K884" s="3">
        <v>3.5948008943247469</v>
      </c>
      <c r="L884" s="3">
        <v>16.644652443333612</v>
      </c>
      <c r="M884" s="318">
        <v>20.239453337658361</v>
      </c>
      <c r="N884" s="3">
        <v>8.3587636583129239</v>
      </c>
      <c r="O884" s="3">
        <v>69.238321725058213</v>
      </c>
      <c r="P884" s="3">
        <v>13.822994516367508</v>
      </c>
      <c r="Q884" s="3">
        <v>6.5454370074045185</v>
      </c>
      <c r="R884" s="3">
        <v>18.563005377643538</v>
      </c>
      <c r="S884" s="3">
        <v>34.347157497812695</v>
      </c>
      <c r="T884" s="3">
        <v>87.922974198593053</v>
      </c>
      <c r="U884" s="3">
        <v>8.2084515937955338</v>
      </c>
      <c r="V884" s="318">
        <v>247.00710557498797</v>
      </c>
      <c r="W884" s="318">
        <v>326.51321037490504</v>
      </c>
      <c r="X884" s="3">
        <v>32.562691549425708</v>
      </c>
      <c r="Y884" s="318">
        <v>359.07590192433076</v>
      </c>
    </row>
    <row r="885" spans="1:25" x14ac:dyDescent="0.2">
      <c r="A885" s="316">
        <v>2021</v>
      </c>
      <c r="B885" s="316" t="s">
        <v>466</v>
      </c>
      <c r="C885" s="316" t="s">
        <v>365</v>
      </c>
      <c r="D885" s="316" t="s">
        <v>491</v>
      </c>
      <c r="E885" s="316" t="s">
        <v>387</v>
      </c>
      <c r="F885" s="316" t="s">
        <v>368</v>
      </c>
      <c r="G885" s="316" t="s">
        <v>494</v>
      </c>
      <c r="H885" s="3">
        <v>560.28809056872694</v>
      </c>
      <c r="I885" s="3">
        <v>379.13069124761262</v>
      </c>
      <c r="J885" s="318">
        <v>939.41878181633956</v>
      </c>
      <c r="K885" s="3">
        <v>69.906383922546823</v>
      </c>
      <c r="L885" s="3">
        <v>101.43269882858989</v>
      </c>
      <c r="M885" s="318">
        <v>171.33908275113671</v>
      </c>
      <c r="N885" s="3">
        <v>47.018086216029559</v>
      </c>
      <c r="O885" s="3">
        <v>449.13559166966729</v>
      </c>
      <c r="P885" s="3">
        <v>68.227285215931602</v>
      </c>
      <c r="Q885" s="3">
        <v>45.648301494467702</v>
      </c>
      <c r="R885" s="3">
        <v>121.50209033308897</v>
      </c>
      <c r="S885" s="3">
        <v>228.48352836422185</v>
      </c>
      <c r="T885" s="3">
        <v>590.66393420730867</v>
      </c>
      <c r="U885" s="3">
        <v>51.322201999816713</v>
      </c>
      <c r="V885" s="318">
        <v>1602.0010195005323</v>
      </c>
      <c r="W885" s="318">
        <v>2712.7588840680082</v>
      </c>
      <c r="X885" s="3">
        <v>270.53953096857617</v>
      </c>
      <c r="Y885" s="318">
        <v>2983.2984150365846</v>
      </c>
    </row>
    <row r="886" spans="1:25" x14ac:dyDescent="0.2">
      <c r="A886" s="316">
        <v>2021</v>
      </c>
      <c r="B886" s="316" t="s">
        <v>466</v>
      </c>
      <c r="C886" s="316" t="s">
        <v>365</v>
      </c>
      <c r="D886" s="316" t="s">
        <v>493</v>
      </c>
      <c r="E886" s="316" t="s">
        <v>389</v>
      </c>
      <c r="F886" s="316" t="s">
        <v>368</v>
      </c>
      <c r="G886" s="316" t="s">
        <v>390</v>
      </c>
      <c r="H886" s="3">
        <v>9.8203229652881632</v>
      </c>
      <c r="I886" s="3">
        <v>6.5921798266381337</v>
      </c>
      <c r="J886" s="318">
        <v>16.412502791926297</v>
      </c>
      <c r="K886" s="3">
        <v>0.93734849642544948</v>
      </c>
      <c r="L886" s="3">
        <v>4.9552590879642127</v>
      </c>
      <c r="M886" s="318">
        <v>5.8926075843896619</v>
      </c>
      <c r="N886" s="3">
        <v>16.054061716291681</v>
      </c>
      <c r="O886" s="3">
        <v>14.156527925602182</v>
      </c>
      <c r="P886" s="3">
        <v>2.1685492656567775</v>
      </c>
      <c r="Q886" s="3">
        <v>1.0157343007857464</v>
      </c>
      <c r="R886" s="3">
        <v>4.457995250890936</v>
      </c>
      <c r="S886" s="3">
        <v>10.176570521187175</v>
      </c>
      <c r="T886" s="3">
        <v>24.700804010900196</v>
      </c>
      <c r="U886" s="3">
        <v>2.3719007469186906</v>
      </c>
      <c r="V886" s="318">
        <v>75.102143738233394</v>
      </c>
      <c r="W886" s="318">
        <v>97.40725411454936</v>
      </c>
      <c r="X886" s="3">
        <v>9.7142849649686873</v>
      </c>
      <c r="Y886" s="318">
        <v>107.12153907951804</v>
      </c>
    </row>
    <row r="887" spans="1:25" x14ac:dyDescent="0.2">
      <c r="A887" s="317">
        <v>2022</v>
      </c>
      <c r="B887" s="317" t="s">
        <v>466</v>
      </c>
      <c r="C887" s="317"/>
      <c r="D887" s="317"/>
      <c r="E887" s="317"/>
      <c r="F887" s="317"/>
      <c r="G887" s="317" t="s">
        <v>467</v>
      </c>
      <c r="H887" s="318">
        <v>16076.675538902529</v>
      </c>
      <c r="I887" s="318">
        <v>7989.4220992803657</v>
      </c>
      <c r="J887" s="318">
        <v>24066.097638182895</v>
      </c>
      <c r="K887" s="318">
        <v>32094.147048433359</v>
      </c>
      <c r="L887" s="318">
        <v>8144.6823050237545</v>
      </c>
      <c r="M887" s="318">
        <v>40238.829353457113</v>
      </c>
      <c r="N887" s="318">
        <v>10950.872844388934</v>
      </c>
      <c r="O887" s="318">
        <v>38402.258889805504</v>
      </c>
      <c r="P887" s="318">
        <v>5166.5319170270814</v>
      </c>
      <c r="Q887" s="318">
        <v>9165.435101750465</v>
      </c>
      <c r="R887" s="318">
        <v>15733.599242279663</v>
      </c>
      <c r="S887" s="318">
        <v>17788.544660905194</v>
      </c>
      <c r="T887" s="318">
        <v>22357.050281046417</v>
      </c>
      <c r="U887" s="318">
        <v>7238.5928581401076</v>
      </c>
      <c r="V887" s="318">
        <v>126802.88579534339</v>
      </c>
      <c r="W887" s="318">
        <v>191107.81278698341</v>
      </c>
      <c r="X887" s="318">
        <v>21407.144568549986</v>
      </c>
      <c r="Y887" s="318">
        <v>212514.95735553346</v>
      </c>
    </row>
    <row r="888" spans="1:25" x14ac:dyDescent="0.2">
      <c r="A888" s="316">
        <v>2022</v>
      </c>
      <c r="B888" s="316" t="s">
        <v>466</v>
      </c>
      <c r="C888" s="316" t="s">
        <v>90</v>
      </c>
      <c r="D888" s="316" t="s">
        <v>468</v>
      </c>
      <c r="E888" s="316" t="s">
        <v>93</v>
      </c>
      <c r="F888" s="316" t="s">
        <v>94</v>
      </c>
      <c r="G888" s="316" t="s">
        <v>469</v>
      </c>
      <c r="H888" s="3">
        <v>73.842524977521919</v>
      </c>
      <c r="I888" s="3">
        <v>82.763592662189552</v>
      </c>
      <c r="J888" s="318">
        <v>156.60611763971147</v>
      </c>
      <c r="K888" s="3">
        <v>11632.587697874445</v>
      </c>
      <c r="L888" s="3">
        <v>3680.6853296047793</v>
      </c>
      <c r="M888" s="318">
        <v>15313.273027479225</v>
      </c>
      <c r="N888" s="3">
        <v>4524.7693646122516</v>
      </c>
      <c r="O888" s="3">
        <v>18235.24306986223</v>
      </c>
      <c r="P888" s="3">
        <v>2378.2199416394501</v>
      </c>
      <c r="Q888" s="3">
        <v>7096.4168264223408</v>
      </c>
      <c r="R888" s="3">
        <v>7338.1164426285686</v>
      </c>
      <c r="S888" s="3">
        <v>8417.9637127174028</v>
      </c>
      <c r="T888" s="3">
        <v>10684.199697863083</v>
      </c>
      <c r="U888" s="3">
        <v>3274.5379567774175</v>
      </c>
      <c r="V888" s="318">
        <v>61949.467012522742</v>
      </c>
      <c r="W888" s="318">
        <v>77419.346157641674</v>
      </c>
      <c r="X888" s="3">
        <v>8672.2102640909616</v>
      </c>
      <c r="Y888" s="318">
        <v>86091.556421732632</v>
      </c>
    </row>
    <row r="889" spans="1:25" x14ac:dyDescent="0.2">
      <c r="A889" s="316">
        <v>2022</v>
      </c>
      <c r="B889" s="316" t="s">
        <v>466</v>
      </c>
      <c r="C889" s="316" t="s">
        <v>90</v>
      </c>
      <c r="D889" s="316" t="s">
        <v>470</v>
      </c>
      <c r="E889" s="316" t="s">
        <v>98</v>
      </c>
      <c r="F889" s="316" t="s">
        <v>94</v>
      </c>
      <c r="G889" s="316" t="s">
        <v>99</v>
      </c>
      <c r="H889" s="3">
        <v>151.05016779455482</v>
      </c>
      <c r="I889" s="3">
        <v>85.171894977716249</v>
      </c>
      <c r="J889" s="318">
        <v>236.22206277227107</v>
      </c>
      <c r="K889" s="3">
        <v>548.62263901059123</v>
      </c>
      <c r="L889" s="3">
        <v>80.204077666027956</v>
      </c>
      <c r="M889" s="318">
        <v>628.82671667661918</v>
      </c>
      <c r="N889" s="3">
        <v>74.722792648478787</v>
      </c>
      <c r="O889" s="3">
        <v>328.66564028240015</v>
      </c>
      <c r="P889" s="3">
        <v>17.654954468403854</v>
      </c>
      <c r="Q889" s="3">
        <v>7.1831219185930086</v>
      </c>
      <c r="R889" s="3">
        <v>55.317744061138292</v>
      </c>
      <c r="S889" s="3">
        <v>99.858279279009636</v>
      </c>
      <c r="T889" s="3">
        <v>54.59374269902775</v>
      </c>
      <c r="U889" s="3">
        <v>30.694389272614369</v>
      </c>
      <c r="V889" s="318">
        <v>668.69066462966578</v>
      </c>
      <c r="W889" s="318">
        <v>1533.7394440785561</v>
      </c>
      <c r="X889" s="3">
        <v>171.8034523605487</v>
      </c>
      <c r="Y889" s="318">
        <v>1705.5428964391049</v>
      </c>
    </row>
    <row r="890" spans="1:25" x14ac:dyDescent="0.2">
      <c r="A890" s="316">
        <v>2022</v>
      </c>
      <c r="B890" s="316" t="s">
        <v>466</v>
      </c>
      <c r="C890" s="316" t="s">
        <v>90</v>
      </c>
      <c r="D890" s="316" t="s">
        <v>470</v>
      </c>
      <c r="E890" s="316" t="s">
        <v>101</v>
      </c>
      <c r="F890" s="316" t="s">
        <v>94</v>
      </c>
      <c r="G890" s="316" t="s">
        <v>102</v>
      </c>
      <c r="H890" s="3">
        <v>24.191462757072848</v>
      </c>
      <c r="I890" s="3">
        <v>28.424061841119475</v>
      </c>
      <c r="J890" s="318">
        <v>52.615524598192323</v>
      </c>
      <c r="K890" s="3">
        <v>1085.2318568145004</v>
      </c>
      <c r="L890" s="3">
        <v>299.64468315689464</v>
      </c>
      <c r="M890" s="318">
        <v>1384.876539971395</v>
      </c>
      <c r="N890" s="3">
        <v>217.33963669386191</v>
      </c>
      <c r="O890" s="3">
        <v>2275.9457471740484</v>
      </c>
      <c r="P890" s="3">
        <v>346.17278794212388</v>
      </c>
      <c r="Q890" s="3">
        <v>182.48587293961464</v>
      </c>
      <c r="R890" s="3">
        <v>990.61393666305105</v>
      </c>
      <c r="S890" s="3">
        <v>906.21163778782386</v>
      </c>
      <c r="T890" s="3">
        <v>1161.4368126093261</v>
      </c>
      <c r="U890" s="3">
        <v>476.02004235351825</v>
      </c>
      <c r="V890" s="318">
        <v>6556.2264741633671</v>
      </c>
      <c r="W890" s="318">
        <v>7993.7185387329546</v>
      </c>
      <c r="X890" s="3">
        <v>895.42486988585335</v>
      </c>
      <c r="Y890" s="318">
        <v>8889.1434086188074</v>
      </c>
    </row>
    <row r="891" spans="1:25" x14ac:dyDescent="0.2">
      <c r="A891" s="316">
        <v>2022</v>
      </c>
      <c r="B891" s="316" t="s">
        <v>466</v>
      </c>
      <c r="C891" s="316" t="s">
        <v>90</v>
      </c>
      <c r="D891" s="316" t="s">
        <v>471</v>
      </c>
      <c r="E891" s="316" t="s">
        <v>104</v>
      </c>
      <c r="F891" s="316" t="s">
        <v>94</v>
      </c>
      <c r="G891" s="316" t="s">
        <v>105</v>
      </c>
      <c r="H891" s="3">
        <v>88.396628617689657</v>
      </c>
      <c r="I891" s="3">
        <v>50.52674807675649</v>
      </c>
      <c r="J891" s="318">
        <v>138.92337669444615</v>
      </c>
      <c r="K891" s="3">
        <v>396.83917068132871</v>
      </c>
      <c r="L891" s="3">
        <v>44.046124858194787</v>
      </c>
      <c r="M891" s="318">
        <v>440.8852955395235</v>
      </c>
      <c r="N891" s="3">
        <v>254.73735221791623</v>
      </c>
      <c r="O891" s="3">
        <v>233.03026862080787</v>
      </c>
      <c r="P891" s="3">
        <v>44.579239783554542</v>
      </c>
      <c r="Q891" s="3">
        <v>25.645480657127315</v>
      </c>
      <c r="R891" s="3">
        <v>115.32677445151842</v>
      </c>
      <c r="S891" s="3">
        <v>158.50350287586858</v>
      </c>
      <c r="T891" s="3">
        <v>168.81064035890938</v>
      </c>
      <c r="U891" s="3">
        <v>60.622541023449074</v>
      </c>
      <c r="V891" s="318">
        <v>1061.2557999891515</v>
      </c>
      <c r="W891" s="318">
        <v>1641.0644722231211</v>
      </c>
      <c r="X891" s="3">
        <v>183.82557934640516</v>
      </c>
      <c r="Y891" s="318">
        <v>1824.8900515695263</v>
      </c>
    </row>
    <row r="892" spans="1:25" x14ac:dyDescent="0.2">
      <c r="A892" s="316">
        <v>2022</v>
      </c>
      <c r="B892" s="316" t="s">
        <v>466</v>
      </c>
      <c r="C892" s="316" t="s">
        <v>90</v>
      </c>
      <c r="D892" s="316" t="s">
        <v>470</v>
      </c>
      <c r="E892" s="316" t="s">
        <v>106</v>
      </c>
      <c r="F892" s="316" t="s">
        <v>94</v>
      </c>
      <c r="G892" s="316" t="s">
        <v>107</v>
      </c>
      <c r="H892" s="3">
        <v>9.1314540882603179</v>
      </c>
      <c r="I892" s="3">
        <v>5.4675928919641255</v>
      </c>
      <c r="J892" s="318">
        <v>14.599046980224443</v>
      </c>
      <c r="K892" s="3">
        <v>737.30600610219699</v>
      </c>
      <c r="L892" s="3">
        <v>110.18074332185131</v>
      </c>
      <c r="M892" s="318">
        <v>847.4867494240483</v>
      </c>
      <c r="N892" s="3">
        <v>301.14772184026117</v>
      </c>
      <c r="O892" s="3">
        <v>251.98004481994209</v>
      </c>
      <c r="P892" s="3">
        <v>44.681212270474248</v>
      </c>
      <c r="Q892" s="3">
        <v>20.979177924608077</v>
      </c>
      <c r="R892" s="3">
        <v>115.69289599893867</v>
      </c>
      <c r="S892" s="3">
        <v>153.16217452741381</v>
      </c>
      <c r="T892" s="3">
        <v>112.07587222149083</v>
      </c>
      <c r="U892" s="3">
        <v>53.808907037422749</v>
      </c>
      <c r="V892" s="318">
        <v>1053.5280066405517</v>
      </c>
      <c r="W892" s="318">
        <v>1915.6138030448246</v>
      </c>
      <c r="X892" s="3">
        <v>214.57951415622881</v>
      </c>
      <c r="Y892" s="318">
        <v>2130.1933172010536</v>
      </c>
    </row>
    <row r="893" spans="1:25" x14ac:dyDescent="0.2">
      <c r="A893" s="316">
        <v>2022</v>
      </c>
      <c r="B893" s="316" t="s">
        <v>466</v>
      </c>
      <c r="C893" s="316" t="s">
        <v>90</v>
      </c>
      <c r="D893" s="316" t="s">
        <v>471</v>
      </c>
      <c r="E893" s="316" t="s">
        <v>109</v>
      </c>
      <c r="F893" s="316" t="s">
        <v>94</v>
      </c>
      <c r="G893" s="316" t="s">
        <v>110</v>
      </c>
      <c r="H893" s="3">
        <v>38.304009138248205</v>
      </c>
      <c r="I893" s="3">
        <v>0</v>
      </c>
      <c r="J893" s="318">
        <v>38.304009138248205</v>
      </c>
      <c r="K893" s="3">
        <v>2733.8837837965434</v>
      </c>
      <c r="L893" s="3">
        <v>213.75317671553103</v>
      </c>
      <c r="M893" s="318">
        <v>2947.6369605120744</v>
      </c>
      <c r="N893" s="3">
        <v>924.98594919970651</v>
      </c>
      <c r="O893" s="3">
        <v>2458.7904061378081</v>
      </c>
      <c r="P893" s="3">
        <v>379.78476021503479</v>
      </c>
      <c r="Q893" s="3">
        <v>562.44188242413668</v>
      </c>
      <c r="R893" s="3">
        <v>1469.6680143657952</v>
      </c>
      <c r="S893" s="3">
        <v>1281.3370344992636</v>
      </c>
      <c r="T893" s="3">
        <v>1263.947985157718</v>
      </c>
      <c r="U893" s="3">
        <v>606.38742868020881</v>
      </c>
      <c r="V893" s="318">
        <v>8947.3434606796727</v>
      </c>
      <c r="W893" s="318">
        <v>11933.284430329995</v>
      </c>
      <c r="X893" s="3">
        <v>1336.719526283546</v>
      </c>
      <c r="Y893" s="318">
        <v>13270.003956613542</v>
      </c>
    </row>
    <row r="894" spans="1:25" x14ac:dyDescent="0.2">
      <c r="A894" s="316">
        <v>2022</v>
      </c>
      <c r="B894" s="316" t="s">
        <v>466</v>
      </c>
      <c r="C894" s="316" t="s">
        <v>90</v>
      </c>
      <c r="D894" s="316" t="s">
        <v>470</v>
      </c>
      <c r="E894" s="316" t="s">
        <v>112</v>
      </c>
      <c r="F894" s="316" t="s">
        <v>94</v>
      </c>
      <c r="G894" s="316" t="s">
        <v>113</v>
      </c>
      <c r="H894" s="3">
        <v>177.14949754943157</v>
      </c>
      <c r="I894" s="3">
        <v>186.64923021301186</v>
      </c>
      <c r="J894" s="318">
        <v>363.79872776244343</v>
      </c>
      <c r="K894" s="3">
        <v>1704.734516279693</v>
      </c>
      <c r="L894" s="3">
        <v>352.73724082643253</v>
      </c>
      <c r="M894" s="318">
        <v>2057.4717571061256</v>
      </c>
      <c r="N894" s="3">
        <v>153.92567702370735</v>
      </c>
      <c r="O894" s="3">
        <v>435.1199208505351</v>
      </c>
      <c r="P894" s="3">
        <v>39.922860580373275</v>
      </c>
      <c r="Q894" s="3">
        <v>23.714177767263639</v>
      </c>
      <c r="R894" s="3">
        <v>117.87207903449612</v>
      </c>
      <c r="S894" s="3">
        <v>150.93358887734195</v>
      </c>
      <c r="T894" s="3">
        <v>120.13778048578699</v>
      </c>
      <c r="U894" s="3">
        <v>54.518353972009031</v>
      </c>
      <c r="V894" s="318">
        <v>1096.1444385915136</v>
      </c>
      <c r="W894" s="318">
        <v>3517.4149234600827</v>
      </c>
      <c r="X894" s="3">
        <v>394.00696745985601</v>
      </c>
      <c r="Y894" s="318">
        <v>3911.421890919939</v>
      </c>
    </row>
    <row r="895" spans="1:25" x14ac:dyDescent="0.2">
      <c r="A895" s="316">
        <v>2022</v>
      </c>
      <c r="B895" s="316" t="s">
        <v>466</v>
      </c>
      <c r="C895" s="316" t="s">
        <v>90</v>
      </c>
      <c r="D895" s="316" t="s">
        <v>471</v>
      </c>
      <c r="E895" s="316" t="s">
        <v>115</v>
      </c>
      <c r="F895" s="316" t="s">
        <v>94</v>
      </c>
      <c r="G895" s="316" t="s">
        <v>116</v>
      </c>
      <c r="H895" s="3">
        <v>0.30011625435856204</v>
      </c>
      <c r="I895" s="3">
        <v>1.049894591095808</v>
      </c>
      <c r="J895" s="318">
        <v>1.35001084545437</v>
      </c>
      <c r="K895" s="3">
        <v>3386.0677728382479</v>
      </c>
      <c r="L895" s="3">
        <v>583.50790763041914</v>
      </c>
      <c r="M895" s="318">
        <v>3969.5756804686671</v>
      </c>
      <c r="N895" s="3">
        <v>357.46618665926945</v>
      </c>
      <c r="O895" s="3">
        <v>2446.2332022984979</v>
      </c>
      <c r="P895" s="3">
        <v>313.09060338251999</v>
      </c>
      <c r="Q895" s="3">
        <v>272.28747703366986</v>
      </c>
      <c r="R895" s="3">
        <v>962.92029779767313</v>
      </c>
      <c r="S895" s="3">
        <v>916.44364183219523</v>
      </c>
      <c r="T895" s="3">
        <v>952.60692585306901</v>
      </c>
      <c r="U895" s="3">
        <v>407.23169899244277</v>
      </c>
      <c r="V895" s="318">
        <v>6628.280033849338</v>
      </c>
      <c r="W895" s="318">
        <v>10599.205725163458</v>
      </c>
      <c r="X895" s="3">
        <v>1187.2812835929822</v>
      </c>
      <c r="Y895" s="318">
        <v>11786.48700875644</v>
      </c>
    </row>
    <row r="896" spans="1:25" x14ac:dyDescent="0.2">
      <c r="A896" s="316">
        <v>2022</v>
      </c>
      <c r="B896" s="316" t="s">
        <v>466</v>
      </c>
      <c r="C896" s="316" t="s">
        <v>90</v>
      </c>
      <c r="D896" s="316" t="s">
        <v>471</v>
      </c>
      <c r="E896" s="316" t="s">
        <v>118</v>
      </c>
      <c r="F896" s="316" t="s">
        <v>94</v>
      </c>
      <c r="G896" s="316" t="s">
        <v>119</v>
      </c>
      <c r="H896" s="3">
        <v>10.564633602115746</v>
      </c>
      <c r="I896" s="3">
        <v>0</v>
      </c>
      <c r="J896" s="318">
        <v>10.564633602115746</v>
      </c>
      <c r="K896" s="3">
        <v>1254.8360755158653</v>
      </c>
      <c r="L896" s="3">
        <v>107.24646209116122</v>
      </c>
      <c r="M896" s="318">
        <v>1362.0825376070266</v>
      </c>
      <c r="N896" s="3">
        <v>236.23009321547966</v>
      </c>
      <c r="O896" s="3">
        <v>365.42699042936897</v>
      </c>
      <c r="P896" s="3">
        <v>66.625735083263166</v>
      </c>
      <c r="Q896" s="3">
        <v>25.809128316124671</v>
      </c>
      <c r="R896" s="3">
        <v>207.26553964208938</v>
      </c>
      <c r="S896" s="3">
        <v>191.70562545075742</v>
      </c>
      <c r="T896" s="3">
        <v>130.20647348835726</v>
      </c>
      <c r="U896" s="3">
        <v>76.14574608841545</v>
      </c>
      <c r="V896" s="318">
        <v>1299.4153317138559</v>
      </c>
      <c r="W896" s="318">
        <v>2672.0625029229982</v>
      </c>
      <c r="X896" s="3">
        <v>299.31391847403444</v>
      </c>
      <c r="Y896" s="318">
        <v>2971.3764213970326</v>
      </c>
    </row>
    <row r="897" spans="1:25" x14ac:dyDescent="0.2">
      <c r="A897" s="316">
        <v>2022</v>
      </c>
      <c r="B897" s="316" t="s">
        <v>466</v>
      </c>
      <c r="C897" s="316" t="s">
        <v>90</v>
      </c>
      <c r="D897" s="316" t="s">
        <v>471</v>
      </c>
      <c r="E897" s="316" t="s">
        <v>120</v>
      </c>
      <c r="F897" s="316" t="s">
        <v>94</v>
      </c>
      <c r="G897" s="316" t="s">
        <v>121</v>
      </c>
      <c r="H897" s="3">
        <v>9.3092095405793511</v>
      </c>
      <c r="I897" s="3">
        <v>0</v>
      </c>
      <c r="J897" s="318">
        <v>9.3092095405793511</v>
      </c>
      <c r="K897" s="3">
        <v>1454.2652984872714</v>
      </c>
      <c r="L897" s="3">
        <v>140.6525264875736</v>
      </c>
      <c r="M897" s="318">
        <v>1594.917824974845</v>
      </c>
      <c r="N897" s="3">
        <v>159.69886705710803</v>
      </c>
      <c r="O897" s="3">
        <v>911.04433657946663</v>
      </c>
      <c r="P897" s="3">
        <v>127.42105810749369</v>
      </c>
      <c r="Q897" s="3">
        <v>98.424311145085625</v>
      </c>
      <c r="R897" s="3">
        <v>406.4282352895421</v>
      </c>
      <c r="S897" s="3">
        <v>382.35693286205566</v>
      </c>
      <c r="T897" s="3">
        <v>528.5303644571585</v>
      </c>
      <c r="U897" s="3">
        <v>153.74210585922344</v>
      </c>
      <c r="V897" s="318">
        <v>2767.6462113571338</v>
      </c>
      <c r="W897" s="318">
        <v>4371.8732458725581</v>
      </c>
      <c r="X897" s="3">
        <v>489.72002371294093</v>
      </c>
      <c r="Y897" s="318">
        <v>4861.593269585499</v>
      </c>
    </row>
    <row r="898" spans="1:25" x14ac:dyDescent="0.2">
      <c r="A898" s="316">
        <v>2022</v>
      </c>
      <c r="B898" s="316" t="s">
        <v>466</v>
      </c>
      <c r="C898" s="316" t="s">
        <v>122</v>
      </c>
      <c r="D898" s="316" t="s">
        <v>472</v>
      </c>
      <c r="E898" s="316" t="s">
        <v>125</v>
      </c>
      <c r="F898" s="316" t="s">
        <v>126</v>
      </c>
      <c r="G898" s="316" t="s">
        <v>128</v>
      </c>
      <c r="H898" s="3">
        <v>67.648116409996277</v>
      </c>
      <c r="I898" s="3">
        <v>38.478596871985246</v>
      </c>
      <c r="J898" s="318">
        <v>106.12671328198152</v>
      </c>
      <c r="K898" s="3">
        <v>10.545049511006056</v>
      </c>
      <c r="L898" s="3">
        <v>17.799189966115662</v>
      </c>
      <c r="M898" s="318">
        <v>28.344239477121718</v>
      </c>
      <c r="N898" s="3">
        <v>26.530308390291999</v>
      </c>
      <c r="O898" s="3">
        <v>129.01987326007318</v>
      </c>
      <c r="P898" s="3">
        <v>15.188958153912585</v>
      </c>
      <c r="Q898" s="3">
        <v>4.923202788652703</v>
      </c>
      <c r="R898" s="3">
        <v>30.339651227157699</v>
      </c>
      <c r="S898" s="3">
        <v>45.058717898032967</v>
      </c>
      <c r="T898" s="3">
        <v>95.55853283496694</v>
      </c>
      <c r="U898" s="3">
        <v>24.893681497092864</v>
      </c>
      <c r="V898" s="318">
        <v>371.51292605018091</v>
      </c>
      <c r="W898" s="318">
        <v>505.98387880928419</v>
      </c>
      <c r="X898" s="3">
        <v>56.678321440994424</v>
      </c>
      <c r="Y898" s="318">
        <v>562.6622002502786</v>
      </c>
    </row>
    <row r="899" spans="1:25" x14ac:dyDescent="0.2">
      <c r="A899" s="316">
        <v>2022</v>
      </c>
      <c r="B899" s="316" t="s">
        <v>466</v>
      </c>
      <c r="C899" s="316" t="s">
        <v>122</v>
      </c>
      <c r="D899" s="316" t="s">
        <v>472</v>
      </c>
      <c r="E899" s="316" t="s">
        <v>130</v>
      </c>
      <c r="F899" s="316" t="s">
        <v>126</v>
      </c>
      <c r="G899" s="316" t="s">
        <v>131</v>
      </c>
      <c r="H899" s="3">
        <v>967.25152607315022</v>
      </c>
      <c r="I899" s="3">
        <v>583.4882811570069</v>
      </c>
      <c r="J899" s="318">
        <v>1550.7398072301571</v>
      </c>
      <c r="K899" s="3">
        <v>34.223029674009034</v>
      </c>
      <c r="L899" s="3">
        <v>51.528013139052597</v>
      </c>
      <c r="M899" s="318">
        <v>85.75104281306163</v>
      </c>
      <c r="N899" s="3">
        <v>96.472392173075761</v>
      </c>
      <c r="O899" s="3">
        <v>470.79719051129689</v>
      </c>
      <c r="P899" s="3">
        <v>41.031434060426953</v>
      </c>
      <c r="Q899" s="3">
        <v>25.296667764610412</v>
      </c>
      <c r="R899" s="3">
        <v>84.121093862648394</v>
      </c>
      <c r="S899" s="3">
        <v>154.39419149634924</v>
      </c>
      <c r="T899" s="3">
        <v>273.05701218812334</v>
      </c>
      <c r="U899" s="3">
        <v>56.264354940531717</v>
      </c>
      <c r="V899" s="318">
        <v>1201.4343369970627</v>
      </c>
      <c r="W899" s="318">
        <v>2837.9251870402813</v>
      </c>
      <c r="X899" s="3">
        <v>317.89320314924606</v>
      </c>
      <c r="Y899" s="318">
        <v>3155.8183901895272</v>
      </c>
    </row>
    <row r="900" spans="1:25" x14ac:dyDescent="0.2">
      <c r="A900" s="316">
        <v>2022</v>
      </c>
      <c r="B900" s="316" t="s">
        <v>466</v>
      </c>
      <c r="C900" s="316" t="s">
        <v>122</v>
      </c>
      <c r="D900" s="316" t="s">
        <v>472</v>
      </c>
      <c r="E900" s="316" t="s">
        <v>133</v>
      </c>
      <c r="F900" s="316" t="s">
        <v>126</v>
      </c>
      <c r="G900" s="316" t="s">
        <v>134</v>
      </c>
      <c r="H900" s="3">
        <v>584.12618716163774</v>
      </c>
      <c r="I900" s="3">
        <v>328.7934747240306</v>
      </c>
      <c r="J900" s="318">
        <v>912.91966188566835</v>
      </c>
      <c r="K900" s="3">
        <v>17.200813862721287</v>
      </c>
      <c r="L900" s="3">
        <v>20.339665820904944</v>
      </c>
      <c r="M900" s="318">
        <v>37.540479683626231</v>
      </c>
      <c r="N900" s="3">
        <v>52.035938702205364</v>
      </c>
      <c r="O900" s="3">
        <v>185.87088511693869</v>
      </c>
      <c r="P900" s="3">
        <v>21.358626598507595</v>
      </c>
      <c r="Q900" s="3">
        <v>7.825756945723473</v>
      </c>
      <c r="R900" s="3">
        <v>44.659976312713489</v>
      </c>
      <c r="S900" s="3">
        <v>70.029997410023256</v>
      </c>
      <c r="T900" s="3">
        <v>125.0735153505247</v>
      </c>
      <c r="U900" s="3">
        <v>34.011610566025915</v>
      </c>
      <c r="V900" s="318">
        <v>540.86630700266244</v>
      </c>
      <c r="W900" s="318">
        <v>1491.3264485719569</v>
      </c>
      <c r="X900" s="3">
        <v>167.05251563454968</v>
      </c>
      <c r="Y900" s="318">
        <v>1658.3789642065067</v>
      </c>
    </row>
    <row r="901" spans="1:25" x14ac:dyDescent="0.2">
      <c r="A901" s="316">
        <v>2022</v>
      </c>
      <c r="B901" s="316" t="s">
        <v>466</v>
      </c>
      <c r="C901" s="316" t="s">
        <v>122</v>
      </c>
      <c r="D901" s="316" t="s">
        <v>472</v>
      </c>
      <c r="E901" s="316" t="s">
        <v>135</v>
      </c>
      <c r="F901" s="316" t="s">
        <v>126</v>
      </c>
      <c r="G901" s="316" t="s">
        <v>136</v>
      </c>
      <c r="H901" s="3">
        <v>73.655808821327355</v>
      </c>
      <c r="I901" s="3">
        <v>41.457700164548385</v>
      </c>
      <c r="J901" s="318">
        <v>115.11350898587574</v>
      </c>
      <c r="K901" s="3">
        <v>13.918733342913017</v>
      </c>
      <c r="L901" s="3">
        <v>6.0443244258840512</v>
      </c>
      <c r="M901" s="318">
        <v>19.963057768797068</v>
      </c>
      <c r="N901" s="3">
        <v>21.073330376314981</v>
      </c>
      <c r="O901" s="3">
        <v>90.56459601943412</v>
      </c>
      <c r="P901" s="3">
        <v>7.7130634811441761</v>
      </c>
      <c r="Q901" s="3">
        <v>3.0013331277885031</v>
      </c>
      <c r="R901" s="3">
        <v>16.575253299198732</v>
      </c>
      <c r="S901" s="3">
        <v>30.843178227700513</v>
      </c>
      <c r="T901" s="3">
        <v>72.068652213100364</v>
      </c>
      <c r="U901" s="3">
        <v>12.846596137835423</v>
      </c>
      <c r="V901" s="318">
        <v>254.68600288251682</v>
      </c>
      <c r="W901" s="318">
        <v>389.76256963718964</v>
      </c>
      <c r="X901" s="3">
        <v>43.659668089724249</v>
      </c>
      <c r="Y901" s="318">
        <v>433.42223772691386</v>
      </c>
    </row>
    <row r="902" spans="1:25" x14ac:dyDescent="0.2">
      <c r="A902" s="316">
        <v>2022</v>
      </c>
      <c r="B902" s="316" t="s">
        <v>466</v>
      </c>
      <c r="C902" s="316" t="s">
        <v>122</v>
      </c>
      <c r="D902" s="316" t="s">
        <v>472</v>
      </c>
      <c r="E902" s="316" t="s">
        <v>137</v>
      </c>
      <c r="F902" s="316" t="s">
        <v>126</v>
      </c>
      <c r="G902" s="316" t="s">
        <v>138</v>
      </c>
      <c r="H902" s="3">
        <v>55.78821013844879</v>
      </c>
      <c r="I902" s="3">
        <v>33.532446388854012</v>
      </c>
      <c r="J902" s="318">
        <v>89.320656527302802</v>
      </c>
      <c r="K902" s="3">
        <v>5.3621005871681566</v>
      </c>
      <c r="L902" s="3">
        <v>17.721804925702735</v>
      </c>
      <c r="M902" s="318">
        <v>23.083905512870892</v>
      </c>
      <c r="N902" s="3">
        <v>23.264832385937943</v>
      </c>
      <c r="O902" s="3">
        <v>95.351944589037416</v>
      </c>
      <c r="P902" s="3">
        <v>15.362302000961726</v>
      </c>
      <c r="Q902" s="3">
        <v>5.99046584268907</v>
      </c>
      <c r="R902" s="3">
        <v>27.29871147895696</v>
      </c>
      <c r="S902" s="3">
        <v>38.298541876500856</v>
      </c>
      <c r="T902" s="3">
        <v>91.638538666490277</v>
      </c>
      <c r="U902" s="3">
        <v>18.147543073047675</v>
      </c>
      <c r="V902" s="318">
        <v>315.35287991362196</v>
      </c>
      <c r="W902" s="318">
        <v>427.75744195379565</v>
      </c>
      <c r="X902" s="3">
        <v>47.915704055411261</v>
      </c>
      <c r="Y902" s="318">
        <v>475.6731460092069</v>
      </c>
    </row>
    <row r="903" spans="1:25" x14ac:dyDescent="0.2">
      <c r="A903" s="316">
        <v>2022</v>
      </c>
      <c r="B903" s="316" t="s">
        <v>466</v>
      </c>
      <c r="C903" s="316" t="s">
        <v>122</v>
      </c>
      <c r="D903" s="316" t="s">
        <v>472</v>
      </c>
      <c r="E903" s="316" t="s">
        <v>139</v>
      </c>
      <c r="F903" s="316" t="s">
        <v>126</v>
      </c>
      <c r="G903" s="316" t="s">
        <v>140</v>
      </c>
      <c r="H903" s="3">
        <v>105.52041827926433</v>
      </c>
      <c r="I903" s="3">
        <v>72.041863048082575</v>
      </c>
      <c r="J903" s="318">
        <v>177.56228132734691</v>
      </c>
      <c r="K903" s="3">
        <v>5.7553224154436826</v>
      </c>
      <c r="L903" s="3">
        <v>14.627630747826959</v>
      </c>
      <c r="M903" s="318">
        <v>20.382953163270642</v>
      </c>
      <c r="N903" s="3">
        <v>17.714300805763145</v>
      </c>
      <c r="O903" s="3">
        <v>89.103176700401193</v>
      </c>
      <c r="P903" s="3">
        <v>9.3701467748874983</v>
      </c>
      <c r="Q903" s="3">
        <v>3.4659219750105228</v>
      </c>
      <c r="R903" s="3">
        <v>19.475813939410724</v>
      </c>
      <c r="S903" s="3">
        <v>31.922325657074243</v>
      </c>
      <c r="T903" s="3">
        <v>80.351396584815191</v>
      </c>
      <c r="U903" s="3">
        <v>12.085186412325665</v>
      </c>
      <c r="V903" s="318">
        <v>263.48826884968815</v>
      </c>
      <c r="W903" s="318">
        <v>461.43350334030572</v>
      </c>
      <c r="X903" s="3">
        <v>51.687963829028902</v>
      </c>
      <c r="Y903" s="318">
        <v>513.12146716933466</v>
      </c>
    </row>
    <row r="904" spans="1:25" x14ac:dyDescent="0.2">
      <c r="A904" s="316">
        <v>2022</v>
      </c>
      <c r="B904" s="316" t="s">
        <v>466</v>
      </c>
      <c r="C904" s="316" t="s">
        <v>141</v>
      </c>
      <c r="D904" s="316" t="s">
        <v>473</v>
      </c>
      <c r="E904" s="316" t="s">
        <v>143</v>
      </c>
      <c r="F904" s="316" t="s">
        <v>144</v>
      </c>
      <c r="G904" s="316" t="s">
        <v>146</v>
      </c>
      <c r="H904" s="3">
        <v>9.1205281613697124</v>
      </c>
      <c r="I904" s="3">
        <v>5.1335519086657104</v>
      </c>
      <c r="J904" s="318">
        <v>14.254080070035423</v>
      </c>
      <c r="K904" s="3">
        <v>2.0632017396261544</v>
      </c>
      <c r="L904" s="3">
        <v>2.6745173145833654</v>
      </c>
      <c r="M904" s="318">
        <v>4.7377190542095198</v>
      </c>
      <c r="N904" s="3">
        <v>8.0277045776291391</v>
      </c>
      <c r="O904" s="3">
        <v>12.089863735377165</v>
      </c>
      <c r="P904" s="3">
        <v>1.9675798216953706</v>
      </c>
      <c r="Q904" s="3">
        <v>1.0521619141584977</v>
      </c>
      <c r="R904" s="3">
        <v>7.3208176541418357</v>
      </c>
      <c r="S904" s="3">
        <v>7.9013256949667969</v>
      </c>
      <c r="T904" s="3">
        <v>13.149527371288197</v>
      </c>
      <c r="U904" s="3">
        <v>3.8126866891917173</v>
      </c>
      <c r="V904" s="318">
        <v>55.321667458448722</v>
      </c>
      <c r="W904" s="318">
        <v>74.313466582693664</v>
      </c>
      <c r="X904" s="3">
        <v>8.3243018656649426</v>
      </c>
      <c r="Y904" s="318">
        <v>82.637768448358599</v>
      </c>
    </row>
    <row r="905" spans="1:25" x14ac:dyDescent="0.2">
      <c r="A905" s="316">
        <v>2022</v>
      </c>
      <c r="B905" s="316" t="s">
        <v>466</v>
      </c>
      <c r="C905" s="316" t="s">
        <v>141</v>
      </c>
      <c r="D905" s="316" t="s">
        <v>473</v>
      </c>
      <c r="E905" s="316" t="s">
        <v>147</v>
      </c>
      <c r="F905" s="316" t="s">
        <v>144</v>
      </c>
      <c r="G905" s="316" t="s">
        <v>148</v>
      </c>
      <c r="H905" s="3">
        <v>34.67848514694596</v>
      </c>
      <c r="I905" s="3">
        <v>22.730321871365113</v>
      </c>
      <c r="J905" s="318">
        <v>57.408807018311073</v>
      </c>
      <c r="K905" s="3">
        <v>2.328393813754098</v>
      </c>
      <c r="L905" s="3">
        <v>6.9544121707933373</v>
      </c>
      <c r="M905" s="318">
        <v>9.2828059845474353</v>
      </c>
      <c r="N905" s="3">
        <v>10.477660335235953</v>
      </c>
      <c r="O905" s="3">
        <v>24.6693405301444</v>
      </c>
      <c r="P905" s="3">
        <v>2.3950742224594395</v>
      </c>
      <c r="Q905" s="3">
        <v>1.5031214968369411</v>
      </c>
      <c r="R905" s="3">
        <v>10.270627462402864</v>
      </c>
      <c r="S905" s="3">
        <v>13.45584360178591</v>
      </c>
      <c r="T905" s="3">
        <v>25.646599376225829</v>
      </c>
      <c r="U905" s="3">
        <v>6.9335134881163496</v>
      </c>
      <c r="V905" s="318">
        <v>95.351780513207672</v>
      </c>
      <c r="W905" s="318">
        <v>162.04339351606617</v>
      </c>
      <c r="X905" s="3">
        <v>18.151462783174804</v>
      </c>
      <c r="Y905" s="318">
        <v>180.19485629924097</v>
      </c>
    </row>
    <row r="906" spans="1:25" x14ac:dyDescent="0.2">
      <c r="A906" s="316">
        <v>2022</v>
      </c>
      <c r="B906" s="316" t="s">
        <v>466</v>
      </c>
      <c r="C906" s="316" t="s">
        <v>141</v>
      </c>
      <c r="D906" s="316" t="s">
        <v>474</v>
      </c>
      <c r="E906" s="316" t="s">
        <v>149</v>
      </c>
      <c r="F906" s="316" t="s">
        <v>144</v>
      </c>
      <c r="G906" s="316" t="s">
        <v>150</v>
      </c>
      <c r="H906" s="3">
        <v>69.198701442296397</v>
      </c>
      <c r="I906" s="3">
        <v>48.213462377563872</v>
      </c>
      <c r="J906" s="318">
        <v>117.41216381986027</v>
      </c>
      <c r="K906" s="3">
        <v>63.503858416047294</v>
      </c>
      <c r="L906" s="3">
        <v>8.1567379637281761</v>
      </c>
      <c r="M906" s="318">
        <v>71.66059637977547</v>
      </c>
      <c r="N906" s="3">
        <v>143.88241577666162</v>
      </c>
      <c r="O906" s="3">
        <v>199.49690803835225</v>
      </c>
      <c r="P906" s="3">
        <v>27.842685136651539</v>
      </c>
      <c r="Q906" s="3">
        <v>20.739042359403786</v>
      </c>
      <c r="R906" s="3">
        <v>60.383283444946258</v>
      </c>
      <c r="S906" s="3">
        <v>110.39095291712263</v>
      </c>
      <c r="T906" s="3">
        <v>78.875146060626676</v>
      </c>
      <c r="U906" s="3">
        <v>35.641349936690304</v>
      </c>
      <c r="V906" s="318">
        <v>677.2517836704551</v>
      </c>
      <c r="W906" s="318">
        <v>866.32454387009079</v>
      </c>
      <c r="X906" s="3">
        <v>97.042263649272059</v>
      </c>
      <c r="Y906" s="318">
        <v>963.36680751936285</v>
      </c>
    </row>
    <row r="907" spans="1:25" x14ac:dyDescent="0.2">
      <c r="A907" s="316">
        <v>2022</v>
      </c>
      <c r="B907" s="316" t="s">
        <v>466</v>
      </c>
      <c r="C907" s="316" t="s">
        <v>141</v>
      </c>
      <c r="D907" s="316" t="s">
        <v>474</v>
      </c>
      <c r="E907" s="316" t="s">
        <v>151</v>
      </c>
      <c r="F907" s="316" t="s">
        <v>144</v>
      </c>
      <c r="G907" s="316" t="s">
        <v>152</v>
      </c>
      <c r="H907" s="3">
        <v>2.7981105610537931</v>
      </c>
      <c r="I907" s="3">
        <v>177.67720485616647</v>
      </c>
      <c r="J907" s="318">
        <v>180.47531541722026</v>
      </c>
      <c r="K907" s="3">
        <v>61.12625058518001</v>
      </c>
      <c r="L907" s="3">
        <v>3.4523332343031328</v>
      </c>
      <c r="M907" s="318">
        <v>64.578583819483143</v>
      </c>
      <c r="N907" s="3">
        <v>121.12213458382882</v>
      </c>
      <c r="O907" s="3">
        <v>55.708823531066514</v>
      </c>
      <c r="P907" s="3">
        <v>8.3484199909567121</v>
      </c>
      <c r="Q907" s="3">
        <v>3.214115965482053</v>
      </c>
      <c r="R907" s="3">
        <v>24.271944836805556</v>
      </c>
      <c r="S907" s="3">
        <v>134.63087759430064</v>
      </c>
      <c r="T907" s="3">
        <v>50.781334199808697</v>
      </c>
      <c r="U907" s="3">
        <v>18.847862497792715</v>
      </c>
      <c r="V907" s="318">
        <v>416.92551320004173</v>
      </c>
      <c r="W907" s="318">
        <v>661.97941243674518</v>
      </c>
      <c r="X907" s="3">
        <v>74.152326777099717</v>
      </c>
      <c r="Y907" s="318">
        <v>736.13173921384487</v>
      </c>
    </row>
    <row r="908" spans="1:25" x14ac:dyDescent="0.2">
      <c r="A908" s="316">
        <v>2022</v>
      </c>
      <c r="B908" s="316" t="s">
        <v>466</v>
      </c>
      <c r="C908" s="316" t="s">
        <v>141</v>
      </c>
      <c r="D908" s="316" t="s">
        <v>474</v>
      </c>
      <c r="E908" s="316" t="s">
        <v>153</v>
      </c>
      <c r="F908" s="316" t="s">
        <v>144</v>
      </c>
      <c r="G908" s="316" t="s">
        <v>154</v>
      </c>
      <c r="H908" s="3">
        <v>4.0317148024594989</v>
      </c>
      <c r="I908" s="3">
        <v>20.085544520715963</v>
      </c>
      <c r="J908" s="318">
        <v>24.11725932317546</v>
      </c>
      <c r="K908" s="3">
        <v>24.418228101934258</v>
      </c>
      <c r="L908" s="3">
        <v>7.7748815730662777</v>
      </c>
      <c r="M908" s="318">
        <v>32.193109675000535</v>
      </c>
      <c r="N908" s="3">
        <v>24.314953545942554</v>
      </c>
      <c r="O908" s="3">
        <v>98.65073026759768</v>
      </c>
      <c r="P908" s="3">
        <v>4.9000677619096695</v>
      </c>
      <c r="Q908" s="3">
        <v>1.7868390473417302</v>
      </c>
      <c r="R908" s="3">
        <v>16.759124878722687</v>
      </c>
      <c r="S908" s="3">
        <v>31.957803858022128</v>
      </c>
      <c r="T908" s="3">
        <v>30.892829871724995</v>
      </c>
      <c r="U908" s="3">
        <v>9.7446016402258948</v>
      </c>
      <c r="V908" s="318">
        <v>219.00695087148733</v>
      </c>
      <c r="W908" s="318">
        <v>275.31731986966332</v>
      </c>
      <c r="X908" s="3">
        <v>30.839961918485407</v>
      </c>
      <c r="Y908" s="318">
        <v>306.15728178814874</v>
      </c>
    </row>
    <row r="909" spans="1:25" x14ac:dyDescent="0.2">
      <c r="A909" s="316">
        <v>2022</v>
      </c>
      <c r="B909" s="316" t="s">
        <v>466</v>
      </c>
      <c r="C909" s="316" t="s">
        <v>141</v>
      </c>
      <c r="D909" s="316" t="s">
        <v>474</v>
      </c>
      <c r="E909" s="316" t="s">
        <v>155</v>
      </c>
      <c r="F909" s="316" t="s">
        <v>144</v>
      </c>
      <c r="G909" s="316" t="s">
        <v>156</v>
      </c>
      <c r="H909" s="3">
        <v>9.7650225758751397</v>
      </c>
      <c r="I909" s="3">
        <v>1041.3784106530625</v>
      </c>
      <c r="J909" s="318">
        <v>1051.1434332289375</v>
      </c>
      <c r="K909" s="3">
        <v>8.3228749892610061</v>
      </c>
      <c r="L909" s="3">
        <v>13.743590657544015</v>
      </c>
      <c r="M909" s="318">
        <v>22.066465646805021</v>
      </c>
      <c r="N909" s="3">
        <v>20.737523895209414</v>
      </c>
      <c r="O909" s="3">
        <v>25.940037565551307</v>
      </c>
      <c r="P909" s="3">
        <v>4.0296404915614872</v>
      </c>
      <c r="Q909" s="3">
        <v>0.96053284285288287</v>
      </c>
      <c r="R909" s="3">
        <v>12.788837208562871</v>
      </c>
      <c r="S909" s="3">
        <v>167.04230609586796</v>
      </c>
      <c r="T909" s="3">
        <v>21.938066842644574</v>
      </c>
      <c r="U909" s="3">
        <v>7.9769354003456154</v>
      </c>
      <c r="V909" s="318">
        <v>261.41388034259609</v>
      </c>
      <c r="W909" s="318">
        <v>1334.6237792183385</v>
      </c>
      <c r="X909" s="3">
        <v>149.49929973923861</v>
      </c>
      <c r="Y909" s="318">
        <v>1484.123078957577</v>
      </c>
    </row>
    <row r="910" spans="1:25" x14ac:dyDescent="0.2">
      <c r="A910" s="316">
        <v>2022</v>
      </c>
      <c r="B910" s="316" t="s">
        <v>466</v>
      </c>
      <c r="C910" s="316" t="s">
        <v>157</v>
      </c>
      <c r="D910" s="316" t="s">
        <v>475</v>
      </c>
      <c r="E910" s="316" t="s">
        <v>159</v>
      </c>
      <c r="F910" s="316" t="s">
        <v>160</v>
      </c>
      <c r="G910" s="316" t="s">
        <v>161</v>
      </c>
      <c r="H910" s="3">
        <v>66.018857150259521</v>
      </c>
      <c r="I910" s="3">
        <v>38.163072466052839</v>
      </c>
      <c r="J910" s="318">
        <v>104.18192961631236</v>
      </c>
      <c r="K910" s="3">
        <v>26.097671819188616</v>
      </c>
      <c r="L910" s="3">
        <v>41.316656229844114</v>
      </c>
      <c r="M910" s="318">
        <v>67.414328049032733</v>
      </c>
      <c r="N910" s="3">
        <v>57.314838528609982</v>
      </c>
      <c r="O910" s="3">
        <v>329.5404500444069</v>
      </c>
      <c r="P910" s="3">
        <v>35.299058312593701</v>
      </c>
      <c r="Q910" s="3">
        <v>18.755231927536762</v>
      </c>
      <c r="R910" s="3">
        <v>124.84740256103538</v>
      </c>
      <c r="S910" s="3">
        <v>133.20537623077374</v>
      </c>
      <c r="T910" s="3">
        <v>198.04530934590264</v>
      </c>
      <c r="U910" s="3">
        <v>80.693050425571087</v>
      </c>
      <c r="V910" s="318">
        <v>977.70071737643013</v>
      </c>
      <c r="W910" s="318">
        <v>1149.2969750417751</v>
      </c>
      <c r="X910" s="3">
        <v>128.73972098848822</v>
      </c>
      <c r="Y910" s="318">
        <v>1278.0366960302633</v>
      </c>
    </row>
    <row r="911" spans="1:25" x14ac:dyDescent="0.2">
      <c r="A911" s="316">
        <v>2022</v>
      </c>
      <c r="B911" s="316" t="s">
        <v>466</v>
      </c>
      <c r="C911" s="316" t="s">
        <v>157</v>
      </c>
      <c r="D911" s="316" t="s">
        <v>476</v>
      </c>
      <c r="E911" s="316" t="s">
        <v>162</v>
      </c>
      <c r="F911" s="316" t="s">
        <v>160</v>
      </c>
      <c r="G911" s="316" t="s">
        <v>163</v>
      </c>
      <c r="H911" s="3">
        <v>54.076526364604128</v>
      </c>
      <c r="I911" s="3">
        <v>30.437449235702182</v>
      </c>
      <c r="J911" s="318">
        <v>84.51397560030631</v>
      </c>
      <c r="K911" s="3">
        <v>2.6165732151288101</v>
      </c>
      <c r="L911" s="3">
        <v>10.141820134861234</v>
      </c>
      <c r="M911" s="318">
        <v>12.758393349990044</v>
      </c>
      <c r="N911" s="3">
        <v>7.0808571632676758</v>
      </c>
      <c r="O911" s="3">
        <v>55.800026541775814</v>
      </c>
      <c r="P911" s="3">
        <v>6.9102214435379281</v>
      </c>
      <c r="Q911" s="3">
        <v>2.6605543049881617</v>
      </c>
      <c r="R911" s="3">
        <v>19.738823298910461</v>
      </c>
      <c r="S911" s="3">
        <v>23.545929180162116</v>
      </c>
      <c r="T911" s="3">
        <v>47.946912621752944</v>
      </c>
      <c r="U911" s="3">
        <v>12.972949978337303</v>
      </c>
      <c r="V911" s="318">
        <v>176.6562745327324</v>
      </c>
      <c r="W911" s="318">
        <v>273.92864348302874</v>
      </c>
      <c r="X911" s="3">
        <v>30.68440785853311</v>
      </c>
      <c r="Y911" s="318">
        <v>304.61305134156186</v>
      </c>
    </row>
    <row r="912" spans="1:25" x14ac:dyDescent="0.2">
      <c r="A912" s="316">
        <v>2022</v>
      </c>
      <c r="B912" s="316" t="s">
        <v>466</v>
      </c>
      <c r="C912" s="316" t="s">
        <v>157</v>
      </c>
      <c r="D912" s="316" t="s">
        <v>473</v>
      </c>
      <c r="E912" s="316" t="s">
        <v>164</v>
      </c>
      <c r="F912" s="316" t="s">
        <v>160</v>
      </c>
      <c r="G912" s="316" t="s">
        <v>165</v>
      </c>
      <c r="H912" s="3">
        <v>5.4047970359439192</v>
      </c>
      <c r="I912" s="3">
        <v>3.2390023680599276</v>
      </c>
      <c r="J912" s="318">
        <v>8.6437994040038468</v>
      </c>
      <c r="K912" s="3">
        <v>9.8827321283759613</v>
      </c>
      <c r="L912" s="3">
        <v>2.2193144232840272</v>
      </c>
      <c r="M912" s="318">
        <v>12.102046551659988</v>
      </c>
      <c r="N912" s="3">
        <v>21.284759409718205</v>
      </c>
      <c r="O912" s="3">
        <v>39.375954365867486</v>
      </c>
      <c r="P912" s="3">
        <v>6.2518050940390806</v>
      </c>
      <c r="Q912" s="3">
        <v>2.6695651665532099</v>
      </c>
      <c r="R912" s="3">
        <v>15.771613441731777</v>
      </c>
      <c r="S912" s="3">
        <v>20.509526474166933</v>
      </c>
      <c r="T912" s="3">
        <v>23.551325351533116</v>
      </c>
      <c r="U912" s="3">
        <v>8.9488567011365063</v>
      </c>
      <c r="V912" s="318">
        <v>138.36340600474631</v>
      </c>
      <c r="W912" s="318">
        <v>159.10925196041015</v>
      </c>
      <c r="X912" s="3">
        <v>17.822791801332048</v>
      </c>
      <c r="Y912" s="318">
        <v>176.93204376174219</v>
      </c>
    </row>
    <row r="913" spans="1:25" x14ac:dyDescent="0.2">
      <c r="A913" s="316">
        <v>2022</v>
      </c>
      <c r="B913" s="316" t="s">
        <v>466</v>
      </c>
      <c r="C913" s="316" t="s">
        <v>157</v>
      </c>
      <c r="D913" s="316" t="s">
        <v>477</v>
      </c>
      <c r="E913" s="316" t="s">
        <v>166</v>
      </c>
      <c r="F913" s="316" t="s">
        <v>160</v>
      </c>
      <c r="G913" s="316" t="s">
        <v>168</v>
      </c>
      <c r="H913" s="3">
        <v>1044.0381252402176</v>
      </c>
      <c r="I913" s="3">
        <v>587.65105169121671</v>
      </c>
      <c r="J913" s="318">
        <v>1631.6891769314343</v>
      </c>
      <c r="K913" s="3">
        <v>22.520671893889329</v>
      </c>
      <c r="L913" s="3">
        <v>1.3751529609299027</v>
      </c>
      <c r="M913" s="318">
        <v>23.895824854819232</v>
      </c>
      <c r="N913" s="3">
        <v>54.412576181266026</v>
      </c>
      <c r="O913" s="3">
        <v>83.117011372280487</v>
      </c>
      <c r="P913" s="3">
        <v>10.815508280206274</v>
      </c>
      <c r="Q913" s="3">
        <v>3.6867018748477052</v>
      </c>
      <c r="R913" s="3">
        <v>32.393142304562367</v>
      </c>
      <c r="S913" s="3">
        <v>48.065753281438646</v>
      </c>
      <c r="T913" s="3">
        <v>46.722920407329752</v>
      </c>
      <c r="U913" s="3">
        <v>20.149264763526084</v>
      </c>
      <c r="V913" s="318">
        <v>299.36287846545736</v>
      </c>
      <c r="W913" s="318">
        <v>1954.947880251711</v>
      </c>
      <c r="X913" s="3">
        <v>218.98556257967491</v>
      </c>
      <c r="Y913" s="318">
        <v>2173.9334428313859</v>
      </c>
    </row>
    <row r="914" spans="1:25" x14ac:dyDescent="0.2">
      <c r="A914" s="316">
        <v>2022</v>
      </c>
      <c r="B914" s="316" t="s">
        <v>466</v>
      </c>
      <c r="C914" s="316" t="s">
        <v>157</v>
      </c>
      <c r="D914" s="316" t="s">
        <v>473</v>
      </c>
      <c r="E914" s="316" t="s">
        <v>169</v>
      </c>
      <c r="F914" s="316" t="s">
        <v>160</v>
      </c>
      <c r="G914" s="316" t="s">
        <v>170</v>
      </c>
      <c r="H914" s="3">
        <v>45.91975421519669</v>
      </c>
      <c r="I914" s="3">
        <v>25.846250339270739</v>
      </c>
      <c r="J914" s="318">
        <v>71.766004554467429</v>
      </c>
      <c r="K914" s="3">
        <v>7.8688576114175053</v>
      </c>
      <c r="L914" s="3">
        <v>15.504228538815225</v>
      </c>
      <c r="M914" s="318">
        <v>23.37308615023273</v>
      </c>
      <c r="N914" s="3">
        <v>14.728857642523076</v>
      </c>
      <c r="O914" s="3">
        <v>51.265320924641692</v>
      </c>
      <c r="P914" s="3">
        <v>7.7898784046570286</v>
      </c>
      <c r="Q914" s="3">
        <v>2.9203201947394497</v>
      </c>
      <c r="R914" s="3">
        <v>26.07123395326132</v>
      </c>
      <c r="S914" s="3">
        <v>32.523930544531346</v>
      </c>
      <c r="T914" s="3">
        <v>53.410139610567576</v>
      </c>
      <c r="U914" s="3">
        <v>13.877636575941422</v>
      </c>
      <c r="V914" s="318">
        <v>202.58731785086289</v>
      </c>
      <c r="W914" s="318">
        <v>297.72640855556301</v>
      </c>
      <c r="X914" s="3">
        <v>33.350139781717111</v>
      </c>
      <c r="Y914" s="318">
        <v>331.07654833728014</v>
      </c>
    </row>
    <row r="915" spans="1:25" x14ac:dyDescent="0.2">
      <c r="A915" s="316">
        <v>2022</v>
      </c>
      <c r="B915" s="316" t="s">
        <v>466</v>
      </c>
      <c r="C915" s="316" t="s">
        <v>157</v>
      </c>
      <c r="D915" s="316" t="s">
        <v>473</v>
      </c>
      <c r="E915" s="316" t="s">
        <v>171</v>
      </c>
      <c r="F915" s="316" t="s">
        <v>160</v>
      </c>
      <c r="G915" s="316" t="s">
        <v>172</v>
      </c>
      <c r="H915" s="3">
        <v>285.41895204736915</v>
      </c>
      <c r="I915" s="3">
        <v>162.67288016650014</v>
      </c>
      <c r="J915" s="318">
        <v>448.09183221386928</v>
      </c>
      <c r="K915" s="3">
        <v>21.735582257151503</v>
      </c>
      <c r="L915" s="3">
        <v>3.6886302958806532</v>
      </c>
      <c r="M915" s="318">
        <v>25.424212553032156</v>
      </c>
      <c r="N915" s="3">
        <v>21.966780579125299</v>
      </c>
      <c r="O915" s="3">
        <v>25.834217683878379</v>
      </c>
      <c r="P915" s="3">
        <v>3.2281922879723419</v>
      </c>
      <c r="Q915" s="3">
        <v>1.4720833507416164</v>
      </c>
      <c r="R915" s="3">
        <v>12.603494558179898</v>
      </c>
      <c r="S915" s="3">
        <v>22.311838160803756</v>
      </c>
      <c r="T915" s="3">
        <v>23.91216177627016</v>
      </c>
      <c r="U915" s="3">
        <v>6.6206970273627208</v>
      </c>
      <c r="V915" s="318">
        <v>117.94946542433416</v>
      </c>
      <c r="W915" s="318">
        <v>591.46551019123558</v>
      </c>
      <c r="X915" s="3">
        <v>66.253637145060566</v>
      </c>
      <c r="Y915" s="318">
        <v>657.71914733629615</v>
      </c>
    </row>
    <row r="916" spans="1:25" x14ac:dyDescent="0.2">
      <c r="A916" s="316">
        <v>2022</v>
      </c>
      <c r="B916" s="316" t="s">
        <v>466</v>
      </c>
      <c r="C916" s="316" t="s">
        <v>157</v>
      </c>
      <c r="D916" s="316" t="s">
        <v>477</v>
      </c>
      <c r="E916" s="316" t="s">
        <v>173</v>
      </c>
      <c r="F916" s="316" t="s">
        <v>160</v>
      </c>
      <c r="G916" s="316" t="s">
        <v>174</v>
      </c>
      <c r="H916" s="3">
        <v>521.21132244220917</v>
      </c>
      <c r="I916" s="3">
        <v>293.37404024955254</v>
      </c>
      <c r="J916" s="318">
        <v>814.5853626917617</v>
      </c>
      <c r="K916" s="3">
        <v>32.313507489253503</v>
      </c>
      <c r="L916" s="3">
        <v>3.4894320591909604</v>
      </c>
      <c r="M916" s="318">
        <v>35.802939548444463</v>
      </c>
      <c r="N916" s="3">
        <v>64.714254392228042</v>
      </c>
      <c r="O916" s="3">
        <v>141.53950738045529</v>
      </c>
      <c r="P916" s="3">
        <v>24.86043341328579</v>
      </c>
      <c r="Q916" s="3">
        <v>7.4214148073085351</v>
      </c>
      <c r="R916" s="3">
        <v>60.882367763557113</v>
      </c>
      <c r="S916" s="3">
        <v>68.83795245432718</v>
      </c>
      <c r="T916" s="3">
        <v>82.174909824736488</v>
      </c>
      <c r="U916" s="3">
        <v>36.902515297016954</v>
      </c>
      <c r="V916" s="318">
        <v>487.3333553329154</v>
      </c>
      <c r="W916" s="318">
        <v>1337.7216575731215</v>
      </c>
      <c r="X916" s="3">
        <v>149.84631187249212</v>
      </c>
      <c r="Y916" s="318">
        <v>1487.5679694456137</v>
      </c>
    </row>
    <row r="917" spans="1:25" x14ac:dyDescent="0.2">
      <c r="A917" s="316">
        <v>2022</v>
      </c>
      <c r="B917" s="316" t="s">
        <v>466</v>
      </c>
      <c r="C917" s="316" t="s">
        <v>157</v>
      </c>
      <c r="D917" s="316" t="s">
        <v>475</v>
      </c>
      <c r="E917" s="316" t="s">
        <v>175</v>
      </c>
      <c r="F917" s="316" t="s">
        <v>160</v>
      </c>
      <c r="G917" s="316" t="s">
        <v>176</v>
      </c>
      <c r="H917" s="3">
        <v>26.415522604752418</v>
      </c>
      <c r="I917" s="3">
        <v>15.280148888777028</v>
      </c>
      <c r="J917" s="318">
        <v>41.695671493529446</v>
      </c>
      <c r="K917" s="3">
        <v>2.3261589357398229</v>
      </c>
      <c r="L917" s="3">
        <v>10.884140414178944</v>
      </c>
      <c r="M917" s="318">
        <v>13.210299349918767</v>
      </c>
      <c r="N917" s="3">
        <v>33.76899766863896</v>
      </c>
      <c r="O917" s="3">
        <v>27.848238516337531</v>
      </c>
      <c r="P917" s="3">
        <v>3.4265225959492507</v>
      </c>
      <c r="Q917" s="3">
        <v>1.923728345776192</v>
      </c>
      <c r="R917" s="3">
        <v>12.693545201413333</v>
      </c>
      <c r="S917" s="3">
        <v>18.80486450942615</v>
      </c>
      <c r="T917" s="3">
        <v>25.605351399606139</v>
      </c>
      <c r="U917" s="3">
        <v>7.4625393720088278</v>
      </c>
      <c r="V917" s="318">
        <v>131.53378760915638</v>
      </c>
      <c r="W917" s="318">
        <v>186.43975845260456</v>
      </c>
      <c r="X917" s="3">
        <v>20.884247505721493</v>
      </c>
      <c r="Y917" s="318">
        <v>207.32400595832607</v>
      </c>
    </row>
    <row r="918" spans="1:25" x14ac:dyDescent="0.2">
      <c r="A918" s="316">
        <v>2022</v>
      </c>
      <c r="B918" s="316" t="s">
        <v>466</v>
      </c>
      <c r="C918" s="316" t="s">
        <v>157</v>
      </c>
      <c r="D918" s="316" t="s">
        <v>475</v>
      </c>
      <c r="E918" s="316" t="s">
        <v>177</v>
      </c>
      <c r="F918" s="316" t="s">
        <v>160</v>
      </c>
      <c r="G918" s="316" t="s">
        <v>178</v>
      </c>
      <c r="H918" s="3">
        <v>10.930107007533023</v>
      </c>
      <c r="I918" s="3">
        <v>7.6584646587297112</v>
      </c>
      <c r="J918" s="318">
        <v>18.588571666262734</v>
      </c>
      <c r="K918" s="3">
        <v>3.2691545998965186</v>
      </c>
      <c r="L918" s="3">
        <v>2.5718272265041513</v>
      </c>
      <c r="M918" s="318">
        <v>5.8409818264006699</v>
      </c>
      <c r="N918" s="3">
        <v>4.368869442304895</v>
      </c>
      <c r="O918" s="3">
        <v>19.851792021436012</v>
      </c>
      <c r="P918" s="3">
        <v>2.3960865390993273</v>
      </c>
      <c r="Q918" s="3">
        <v>0.91394876454459351</v>
      </c>
      <c r="R918" s="3">
        <v>8.2177469640743155</v>
      </c>
      <c r="S918" s="3">
        <v>11.347165716350645</v>
      </c>
      <c r="T918" s="3">
        <v>22.165398813339696</v>
      </c>
      <c r="U918" s="3">
        <v>6.3273820585723168</v>
      </c>
      <c r="V918" s="318">
        <v>75.588390319721796</v>
      </c>
      <c r="W918" s="318">
        <v>100.0179438123852</v>
      </c>
      <c r="X918" s="3">
        <v>11.203616175689254</v>
      </c>
      <c r="Y918" s="318">
        <v>111.22155998807445</v>
      </c>
    </row>
    <row r="919" spans="1:25" x14ac:dyDescent="0.2">
      <c r="A919" s="316">
        <v>2022</v>
      </c>
      <c r="B919" s="316" t="s">
        <v>466</v>
      </c>
      <c r="C919" s="316" t="s">
        <v>157</v>
      </c>
      <c r="D919" s="316" t="s">
        <v>475</v>
      </c>
      <c r="E919" s="316" t="s">
        <v>179</v>
      </c>
      <c r="F919" s="316" t="s">
        <v>160</v>
      </c>
      <c r="G919" s="316" t="s">
        <v>180</v>
      </c>
      <c r="H919" s="3">
        <v>64.6919729355632</v>
      </c>
      <c r="I919" s="3">
        <v>36.478947540979092</v>
      </c>
      <c r="J919" s="318">
        <v>101.17092047654229</v>
      </c>
      <c r="K919" s="3">
        <v>14.934139053320036</v>
      </c>
      <c r="L919" s="3">
        <v>13.041800752276975</v>
      </c>
      <c r="M919" s="318">
        <v>27.975939805597012</v>
      </c>
      <c r="N919" s="3">
        <v>15.036910653700058</v>
      </c>
      <c r="O919" s="3">
        <v>44.246066688245207</v>
      </c>
      <c r="P919" s="3">
        <v>6.8328291889399484</v>
      </c>
      <c r="Q919" s="3">
        <v>3.7225164015999028</v>
      </c>
      <c r="R919" s="3">
        <v>27.336958548387553</v>
      </c>
      <c r="S919" s="3">
        <v>29.108588436565636</v>
      </c>
      <c r="T919" s="3">
        <v>71.521374301282378</v>
      </c>
      <c r="U919" s="3">
        <v>14.455661346846631</v>
      </c>
      <c r="V919" s="318">
        <v>212.26090556556733</v>
      </c>
      <c r="W919" s="318">
        <v>341.40776584770663</v>
      </c>
      <c r="X919" s="3">
        <v>38.243153399876697</v>
      </c>
      <c r="Y919" s="318">
        <v>379.65091924758332</v>
      </c>
    </row>
    <row r="920" spans="1:25" x14ac:dyDescent="0.2">
      <c r="A920" s="316">
        <v>2022</v>
      </c>
      <c r="B920" s="316" t="s">
        <v>466</v>
      </c>
      <c r="C920" s="316" t="s">
        <v>181</v>
      </c>
      <c r="D920" s="316" t="s">
        <v>478</v>
      </c>
      <c r="E920" s="316" t="s">
        <v>183</v>
      </c>
      <c r="F920" s="316" t="s">
        <v>184</v>
      </c>
      <c r="G920" s="316" t="s">
        <v>185</v>
      </c>
      <c r="H920" s="3">
        <v>34.684903386285669</v>
      </c>
      <c r="I920" s="3">
        <v>0</v>
      </c>
      <c r="J920" s="318">
        <v>34.684903386285669</v>
      </c>
      <c r="K920" s="3">
        <v>15.340434427371211</v>
      </c>
      <c r="L920" s="3">
        <v>9.1831057365404369</v>
      </c>
      <c r="M920" s="318">
        <v>24.523540163911647</v>
      </c>
      <c r="N920" s="3">
        <v>9.2539165960568059</v>
      </c>
      <c r="O920" s="3">
        <v>33.476853674773771</v>
      </c>
      <c r="P920" s="3">
        <v>4.166758097920793</v>
      </c>
      <c r="Q920" s="3">
        <v>2.2755265899586954</v>
      </c>
      <c r="R920" s="3">
        <v>14.020463316208424</v>
      </c>
      <c r="S920" s="3">
        <v>16.115269705416544</v>
      </c>
      <c r="T920" s="3">
        <v>24.785987293225137</v>
      </c>
      <c r="U920" s="3">
        <v>9.5146946530599017</v>
      </c>
      <c r="V920" s="318">
        <v>113.60946992662008</v>
      </c>
      <c r="W920" s="318">
        <v>172.81791347681741</v>
      </c>
      <c r="X920" s="3">
        <v>19.358382077016667</v>
      </c>
      <c r="Y920" s="318">
        <v>192.17629555383408</v>
      </c>
    </row>
    <row r="921" spans="1:25" x14ac:dyDescent="0.2">
      <c r="A921" s="316">
        <v>2022</v>
      </c>
      <c r="B921" s="316" t="s">
        <v>466</v>
      </c>
      <c r="C921" s="316" t="s">
        <v>181</v>
      </c>
      <c r="D921" s="316" t="s">
        <v>479</v>
      </c>
      <c r="E921" s="316" t="s">
        <v>186</v>
      </c>
      <c r="F921" s="316" t="s">
        <v>184</v>
      </c>
      <c r="G921" s="316" t="s">
        <v>187</v>
      </c>
      <c r="H921" s="3">
        <v>15.355725013456283</v>
      </c>
      <c r="I921" s="3">
        <v>8.8406038869498609</v>
      </c>
      <c r="J921" s="318">
        <v>24.196328900406144</v>
      </c>
      <c r="K921" s="3">
        <v>5.0642065351179255</v>
      </c>
      <c r="L921" s="3">
        <v>0.96660328496918346</v>
      </c>
      <c r="M921" s="318">
        <v>6.030809820087109</v>
      </c>
      <c r="N921" s="3">
        <v>9.9847197730513333</v>
      </c>
      <c r="O921" s="3">
        <v>17.130561459522237</v>
      </c>
      <c r="P921" s="3">
        <v>2.5625572107436665</v>
      </c>
      <c r="Q921" s="3">
        <v>0.85241733101655393</v>
      </c>
      <c r="R921" s="3">
        <v>8.6848322539474214</v>
      </c>
      <c r="S921" s="3">
        <v>11.245487861432506</v>
      </c>
      <c r="T921" s="3">
        <v>14.608449594623487</v>
      </c>
      <c r="U921" s="3">
        <v>4.2336866574598009</v>
      </c>
      <c r="V921" s="318">
        <v>69.302712141797002</v>
      </c>
      <c r="W921" s="318">
        <v>99.52985086229026</v>
      </c>
      <c r="X921" s="3">
        <v>11.148941925624875</v>
      </c>
      <c r="Y921" s="318">
        <v>110.67879278791514</v>
      </c>
    </row>
    <row r="922" spans="1:25" x14ac:dyDescent="0.2">
      <c r="A922" s="316">
        <v>2022</v>
      </c>
      <c r="B922" s="316" t="s">
        <v>466</v>
      </c>
      <c r="C922" s="316" t="s">
        <v>181</v>
      </c>
      <c r="D922" s="316" t="s">
        <v>478</v>
      </c>
      <c r="E922" s="316" t="s">
        <v>188</v>
      </c>
      <c r="F922" s="316" t="s">
        <v>184</v>
      </c>
      <c r="G922" s="316" t="s">
        <v>189</v>
      </c>
      <c r="H922" s="3">
        <v>32.643374987121845</v>
      </c>
      <c r="I922" s="3">
        <v>18.373568449562796</v>
      </c>
      <c r="J922" s="318">
        <v>51.016943436684642</v>
      </c>
      <c r="K922" s="3">
        <v>3.2426869449678204</v>
      </c>
      <c r="L922" s="3">
        <v>3.6092555887036291</v>
      </c>
      <c r="M922" s="318">
        <v>6.8519425336714495</v>
      </c>
      <c r="N922" s="3">
        <v>24.622363783603497</v>
      </c>
      <c r="O922" s="3">
        <v>13.076341503938748</v>
      </c>
      <c r="P922" s="3">
        <v>2.1013070009129455</v>
      </c>
      <c r="Q922" s="3">
        <v>0.62511897218147117</v>
      </c>
      <c r="R922" s="3">
        <v>5.453269084326803</v>
      </c>
      <c r="S922" s="3">
        <v>12.873997713895076</v>
      </c>
      <c r="T922" s="3">
        <v>20.988391279899759</v>
      </c>
      <c r="U922" s="3">
        <v>4.019611882615691</v>
      </c>
      <c r="V922" s="318">
        <v>83.760401221373996</v>
      </c>
      <c r="W922" s="318">
        <v>141.6292871917301</v>
      </c>
      <c r="X922" s="3">
        <v>15.864754987455742</v>
      </c>
      <c r="Y922" s="318">
        <v>157.49404217918584</v>
      </c>
    </row>
    <row r="923" spans="1:25" x14ac:dyDescent="0.2">
      <c r="A923" s="316">
        <v>2022</v>
      </c>
      <c r="B923" s="316" t="s">
        <v>466</v>
      </c>
      <c r="C923" s="316" t="s">
        <v>181</v>
      </c>
      <c r="D923" s="316" t="s">
        <v>478</v>
      </c>
      <c r="E923" s="316" t="s">
        <v>190</v>
      </c>
      <c r="F923" s="316" t="s">
        <v>184</v>
      </c>
      <c r="G923" s="316" t="s">
        <v>191</v>
      </c>
      <c r="H923" s="3">
        <v>11.428453525731078</v>
      </c>
      <c r="I923" s="3">
        <v>0</v>
      </c>
      <c r="J923" s="318">
        <v>11.428453525731078</v>
      </c>
      <c r="K923" s="3">
        <v>2.9321014737223825</v>
      </c>
      <c r="L923" s="3">
        <v>4.1107532947483438</v>
      </c>
      <c r="M923" s="318">
        <v>7.0428547684707263</v>
      </c>
      <c r="N923" s="3">
        <v>8.47088886063543</v>
      </c>
      <c r="O923" s="3">
        <v>13.826025728991889</v>
      </c>
      <c r="P923" s="3">
        <v>3.2430821399035872</v>
      </c>
      <c r="Q923" s="3">
        <v>1.6523606258457908</v>
      </c>
      <c r="R923" s="3">
        <v>8.2498978610347393</v>
      </c>
      <c r="S923" s="3">
        <v>14.958828167371333</v>
      </c>
      <c r="T923" s="3">
        <v>23.726635937816805</v>
      </c>
      <c r="U923" s="3">
        <v>6.3428925437479018</v>
      </c>
      <c r="V923" s="318">
        <v>80.470611865347493</v>
      </c>
      <c r="W923" s="318">
        <v>98.941920159549298</v>
      </c>
      <c r="X923" s="3">
        <v>11.08308424368963</v>
      </c>
      <c r="Y923" s="318">
        <v>110.02500440323892</v>
      </c>
    </row>
    <row r="924" spans="1:25" x14ac:dyDescent="0.2">
      <c r="A924" s="316">
        <v>2022</v>
      </c>
      <c r="B924" s="316" t="s">
        <v>466</v>
      </c>
      <c r="C924" s="316" t="s">
        <v>181</v>
      </c>
      <c r="D924" s="316" t="s">
        <v>476</v>
      </c>
      <c r="E924" s="316" t="s">
        <v>192</v>
      </c>
      <c r="F924" s="316" t="s">
        <v>184</v>
      </c>
      <c r="G924" s="316" t="s">
        <v>193</v>
      </c>
      <c r="H924" s="3">
        <v>13.736587981890473</v>
      </c>
      <c r="I924" s="3">
        <v>7.7317319759450633</v>
      </c>
      <c r="J924" s="318">
        <v>21.468319957835536</v>
      </c>
      <c r="K924" s="3">
        <v>1.0120153983761389</v>
      </c>
      <c r="L924" s="3">
        <v>3.6820424458433392</v>
      </c>
      <c r="M924" s="318">
        <v>4.6940578442194782</v>
      </c>
      <c r="N924" s="3">
        <v>3.3051990097555146</v>
      </c>
      <c r="O924" s="3">
        <v>10.833082191321918</v>
      </c>
      <c r="P924" s="3">
        <v>1.9461161266892779</v>
      </c>
      <c r="Q924" s="3">
        <v>0.65560312435127976</v>
      </c>
      <c r="R924" s="3">
        <v>7.9264428611012283</v>
      </c>
      <c r="S924" s="3">
        <v>7.381148409706503</v>
      </c>
      <c r="T924" s="3">
        <v>16.495636065426911</v>
      </c>
      <c r="U924" s="3">
        <v>3.3825996935461475</v>
      </c>
      <c r="V924" s="318">
        <v>51.925827481898786</v>
      </c>
      <c r="W924" s="318">
        <v>78.088205283953798</v>
      </c>
      <c r="X924" s="3">
        <v>8.747133229322726</v>
      </c>
      <c r="Y924" s="318">
        <v>86.835338513276525</v>
      </c>
    </row>
    <row r="925" spans="1:25" x14ac:dyDescent="0.2">
      <c r="A925" s="316">
        <v>2022</v>
      </c>
      <c r="B925" s="316" t="s">
        <v>466</v>
      </c>
      <c r="C925" s="316" t="s">
        <v>181</v>
      </c>
      <c r="D925" s="316" t="s">
        <v>479</v>
      </c>
      <c r="E925" s="316" t="s">
        <v>194</v>
      </c>
      <c r="F925" s="316" t="s">
        <v>184</v>
      </c>
      <c r="G925" s="316" t="s">
        <v>195</v>
      </c>
      <c r="H925" s="3">
        <v>206.76029512621813</v>
      </c>
      <c r="I925" s="3">
        <v>116.60470864907575</v>
      </c>
      <c r="J925" s="318">
        <v>323.36500377529387</v>
      </c>
      <c r="K925" s="3">
        <v>43.81682900084283</v>
      </c>
      <c r="L925" s="3">
        <v>9.4042766798828765</v>
      </c>
      <c r="M925" s="318">
        <v>53.221105680725707</v>
      </c>
      <c r="N925" s="3">
        <v>31.600964649741083</v>
      </c>
      <c r="O925" s="3">
        <v>94.66671123570535</v>
      </c>
      <c r="P925" s="3">
        <v>12.269758038230275</v>
      </c>
      <c r="Q925" s="3">
        <v>10.293189730880266</v>
      </c>
      <c r="R925" s="3">
        <v>37.852062133576254</v>
      </c>
      <c r="S925" s="3">
        <v>48.768948686620426</v>
      </c>
      <c r="T925" s="3">
        <v>35.309696138140048</v>
      </c>
      <c r="U925" s="3">
        <v>20.043694759302944</v>
      </c>
      <c r="V925" s="318">
        <v>290.80502537219661</v>
      </c>
      <c r="W925" s="318">
        <v>667.3911348282162</v>
      </c>
      <c r="X925" s="3">
        <v>74.758526606973817</v>
      </c>
      <c r="Y925" s="318">
        <v>742.14966143518996</v>
      </c>
    </row>
    <row r="926" spans="1:25" x14ac:dyDescent="0.2">
      <c r="A926" s="316">
        <v>2022</v>
      </c>
      <c r="B926" s="316" t="s">
        <v>466</v>
      </c>
      <c r="C926" s="316" t="s">
        <v>181</v>
      </c>
      <c r="D926" s="316" t="s">
        <v>479</v>
      </c>
      <c r="E926" s="316" t="s">
        <v>196</v>
      </c>
      <c r="F926" s="316" t="s">
        <v>184</v>
      </c>
      <c r="G926" s="316" t="s">
        <v>197</v>
      </c>
      <c r="H926" s="3">
        <v>121.97473303562657</v>
      </c>
      <c r="I926" s="3">
        <v>0</v>
      </c>
      <c r="J926" s="318">
        <v>121.97473303562657</v>
      </c>
      <c r="K926" s="3">
        <v>242.71986083949338</v>
      </c>
      <c r="L926" s="3">
        <v>40.861598436968734</v>
      </c>
      <c r="M926" s="318">
        <v>283.58145927646211</v>
      </c>
      <c r="N926" s="3">
        <v>27.421379235471147</v>
      </c>
      <c r="O926" s="3">
        <v>51.519328614685527</v>
      </c>
      <c r="P926" s="3">
        <v>5.5405725437860092</v>
      </c>
      <c r="Q926" s="3">
        <v>5.5675238869318555</v>
      </c>
      <c r="R926" s="3">
        <v>18.619750474500798</v>
      </c>
      <c r="S926" s="3">
        <v>26.64405668030555</v>
      </c>
      <c r="T926" s="3">
        <v>21.140597152819431</v>
      </c>
      <c r="U926" s="3">
        <v>10.140359794537824</v>
      </c>
      <c r="V926" s="318">
        <v>166.59356838303813</v>
      </c>
      <c r="W926" s="318">
        <v>572.14976069512682</v>
      </c>
      <c r="X926" s="3">
        <v>64.08996295569608</v>
      </c>
      <c r="Y926" s="318">
        <v>636.23972365082295</v>
      </c>
    </row>
    <row r="927" spans="1:25" x14ac:dyDescent="0.2">
      <c r="A927" s="316">
        <v>2022</v>
      </c>
      <c r="B927" s="316" t="s">
        <v>466</v>
      </c>
      <c r="C927" s="316" t="s">
        <v>181</v>
      </c>
      <c r="D927" s="316" t="s">
        <v>476</v>
      </c>
      <c r="E927" s="316" t="s">
        <v>198</v>
      </c>
      <c r="F927" s="316" t="s">
        <v>184</v>
      </c>
      <c r="G927" s="316" t="s">
        <v>199</v>
      </c>
      <c r="H927" s="3">
        <v>37.047271087449786</v>
      </c>
      <c r="I927" s="3">
        <v>20.864253914772497</v>
      </c>
      <c r="J927" s="318">
        <v>57.911525002222284</v>
      </c>
      <c r="K927" s="3">
        <v>17.098710495352606</v>
      </c>
      <c r="L927" s="3">
        <v>15.088982784787227</v>
      </c>
      <c r="M927" s="318">
        <v>32.187693280139833</v>
      </c>
      <c r="N927" s="3">
        <v>53.511545678337015</v>
      </c>
      <c r="O927" s="3">
        <v>126.19789976717063</v>
      </c>
      <c r="P927" s="3">
        <v>15.377938565543797</v>
      </c>
      <c r="Q927" s="3">
        <v>5.8917359393051427</v>
      </c>
      <c r="R927" s="3">
        <v>64.230573687637772</v>
      </c>
      <c r="S927" s="3">
        <v>58.360057751766441</v>
      </c>
      <c r="T927" s="3">
        <v>71.831329725027885</v>
      </c>
      <c r="U927" s="3">
        <v>32.123254926653026</v>
      </c>
      <c r="V927" s="318">
        <v>427.5243360414417</v>
      </c>
      <c r="W927" s="318">
        <v>517.62355432380389</v>
      </c>
      <c r="X927" s="3">
        <v>57.982152052818073</v>
      </c>
      <c r="Y927" s="318">
        <v>575.60570637662192</v>
      </c>
    </row>
    <row r="928" spans="1:25" x14ac:dyDescent="0.2">
      <c r="A928" s="316">
        <v>2022</v>
      </c>
      <c r="B928" s="316" t="s">
        <v>466</v>
      </c>
      <c r="C928" s="316" t="s">
        <v>181</v>
      </c>
      <c r="D928" s="316" t="s">
        <v>476</v>
      </c>
      <c r="E928" s="316" t="s">
        <v>200</v>
      </c>
      <c r="F928" s="316" t="s">
        <v>184</v>
      </c>
      <c r="G928" s="316" t="s">
        <v>201</v>
      </c>
      <c r="H928" s="3">
        <v>15.837755291469739</v>
      </c>
      <c r="I928" s="3">
        <v>0</v>
      </c>
      <c r="J928" s="318">
        <v>15.837755291469739</v>
      </c>
      <c r="K928" s="3">
        <v>0.885178754862324</v>
      </c>
      <c r="L928" s="3">
        <v>5.6311385404209595</v>
      </c>
      <c r="M928" s="318">
        <v>6.5163172952832831</v>
      </c>
      <c r="N928" s="3">
        <v>7.9323350834610258</v>
      </c>
      <c r="O928" s="3">
        <v>15.257747986608081</v>
      </c>
      <c r="P928" s="3">
        <v>2.497289897259841</v>
      </c>
      <c r="Q928" s="3">
        <v>1.2648664660231144</v>
      </c>
      <c r="R928" s="3">
        <v>8.7386952043455537</v>
      </c>
      <c r="S928" s="3">
        <v>9.0922682421103467</v>
      </c>
      <c r="T928" s="3">
        <v>18.075182264452579</v>
      </c>
      <c r="U928" s="3">
        <v>5.6506833842934396</v>
      </c>
      <c r="V928" s="318">
        <v>68.509068528553982</v>
      </c>
      <c r="W928" s="318">
        <v>90.863141115307002</v>
      </c>
      <c r="X928" s="3">
        <v>10.178131230961489</v>
      </c>
      <c r="Y928" s="318">
        <v>101.04127234626849</v>
      </c>
    </row>
    <row r="929" spans="1:25" x14ac:dyDescent="0.2">
      <c r="A929" s="316">
        <v>2022</v>
      </c>
      <c r="B929" s="316" t="s">
        <v>466</v>
      </c>
      <c r="C929" s="316" t="s">
        <v>181</v>
      </c>
      <c r="D929" s="316" t="s">
        <v>480</v>
      </c>
      <c r="E929" s="316" t="s">
        <v>202</v>
      </c>
      <c r="F929" s="316" t="s">
        <v>184</v>
      </c>
      <c r="G929" s="316" t="s">
        <v>203</v>
      </c>
      <c r="H929" s="3">
        <v>79.614701793345418</v>
      </c>
      <c r="I929" s="3">
        <v>0</v>
      </c>
      <c r="J929" s="318">
        <v>79.614701793345418</v>
      </c>
      <c r="K929" s="3">
        <v>8.1723019401798336</v>
      </c>
      <c r="L929" s="3">
        <v>12.339381616483488</v>
      </c>
      <c r="M929" s="318">
        <v>20.511683556663321</v>
      </c>
      <c r="N929" s="3">
        <v>15.135772344529538</v>
      </c>
      <c r="O929" s="3">
        <v>55.322510975611436</v>
      </c>
      <c r="P929" s="3">
        <v>7.8492708272119085</v>
      </c>
      <c r="Q929" s="3">
        <v>3.2235067506426516</v>
      </c>
      <c r="R929" s="3">
        <v>17.170200115708706</v>
      </c>
      <c r="S929" s="3">
        <v>38.133872709064029</v>
      </c>
      <c r="T929" s="3">
        <v>85.150258165948401</v>
      </c>
      <c r="U929" s="3">
        <v>14.776148312197776</v>
      </c>
      <c r="V929" s="318">
        <v>236.76154020091445</v>
      </c>
      <c r="W929" s="318">
        <v>336.88792555092323</v>
      </c>
      <c r="X929" s="3">
        <v>37.736858689843835</v>
      </c>
      <c r="Y929" s="318">
        <v>374.62478424076704</v>
      </c>
    </row>
    <row r="930" spans="1:25" x14ac:dyDescent="0.2">
      <c r="A930" s="316">
        <v>2022</v>
      </c>
      <c r="B930" s="316" t="s">
        <v>466</v>
      </c>
      <c r="C930" s="316" t="s">
        <v>181</v>
      </c>
      <c r="D930" s="316" t="s">
        <v>480</v>
      </c>
      <c r="E930" s="316" t="s">
        <v>204</v>
      </c>
      <c r="F930" s="316" t="s">
        <v>184</v>
      </c>
      <c r="G930" s="316" t="s">
        <v>205</v>
      </c>
      <c r="H930" s="3">
        <v>33.258688317251412</v>
      </c>
      <c r="I930" s="3">
        <v>0</v>
      </c>
      <c r="J930" s="318">
        <v>33.258688317251412</v>
      </c>
      <c r="K930" s="3">
        <v>0.54232058022937635</v>
      </c>
      <c r="L930" s="3">
        <v>6.1120857957483112</v>
      </c>
      <c r="M930" s="318">
        <v>6.6544063759776879</v>
      </c>
      <c r="N930" s="3">
        <v>8.1159624737945144</v>
      </c>
      <c r="O930" s="3">
        <v>10.723342182809194</v>
      </c>
      <c r="P930" s="3">
        <v>3.1910575022368604</v>
      </c>
      <c r="Q930" s="3">
        <v>1.5493755962894513</v>
      </c>
      <c r="R930" s="3">
        <v>9.1531590665539984</v>
      </c>
      <c r="S930" s="3">
        <v>10.954700232670593</v>
      </c>
      <c r="T930" s="3">
        <v>22.022829711587203</v>
      </c>
      <c r="U930" s="3">
        <v>5.1454652923140838</v>
      </c>
      <c r="V930" s="318">
        <v>70.855892058255904</v>
      </c>
      <c r="W930" s="318">
        <v>110.768986751485</v>
      </c>
      <c r="X930" s="3">
        <v>12.407905666022815</v>
      </c>
      <c r="Y930" s="318">
        <v>123.17689241750782</v>
      </c>
    </row>
    <row r="931" spans="1:25" x14ac:dyDescent="0.2">
      <c r="A931" s="316">
        <v>2022</v>
      </c>
      <c r="B931" s="316" t="s">
        <v>466</v>
      </c>
      <c r="C931" s="316" t="s">
        <v>181</v>
      </c>
      <c r="D931" s="316" t="s">
        <v>479</v>
      </c>
      <c r="E931" s="316" t="s">
        <v>206</v>
      </c>
      <c r="F931" s="316" t="s">
        <v>184</v>
      </c>
      <c r="G931" s="316" t="s">
        <v>207</v>
      </c>
      <c r="H931" s="3">
        <v>7.9298953420943441</v>
      </c>
      <c r="I931" s="3">
        <v>0</v>
      </c>
      <c r="J931" s="318">
        <v>7.9298953420943441</v>
      </c>
      <c r="K931" s="3">
        <v>2.2057071982069045</v>
      </c>
      <c r="L931" s="3">
        <v>1.3188663357194743</v>
      </c>
      <c r="M931" s="318">
        <v>3.5245735339263788</v>
      </c>
      <c r="N931" s="3">
        <v>8.0556893506544363</v>
      </c>
      <c r="O931" s="3">
        <v>7.8426843181504911</v>
      </c>
      <c r="P931" s="3">
        <v>1.431299831846754</v>
      </c>
      <c r="Q931" s="3">
        <v>0.7235261120311568</v>
      </c>
      <c r="R931" s="3">
        <v>4.1780363052412328</v>
      </c>
      <c r="S931" s="3">
        <v>6.5719420395884516</v>
      </c>
      <c r="T931" s="3">
        <v>9.7124262666749868</v>
      </c>
      <c r="U931" s="3">
        <v>2.9024245773146977</v>
      </c>
      <c r="V931" s="318">
        <v>41.418028801502203</v>
      </c>
      <c r="W931" s="318">
        <v>52.872497677522929</v>
      </c>
      <c r="X931" s="3">
        <v>5.9225689676259492</v>
      </c>
      <c r="Y931" s="318">
        <v>58.795066645148879</v>
      </c>
    </row>
    <row r="932" spans="1:25" x14ac:dyDescent="0.2">
      <c r="A932" s="316">
        <v>2022</v>
      </c>
      <c r="B932" s="316" t="s">
        <v>466</v>
      </c>
      <c r="C932" s="316" t="s">
        <v>181</v>
      </c>
      <c r="D932" s="316" t="s">
        <v>479</v>
      </c>
      <c r="E932" s="316" t="s">
        <v>208</v>
      </c>
      <c r="F932" s="316" t="s">
        <v>184</v>
      </c>
      <c r="G932" s="316" t="s">
        <v>209</v>
      </c>
      <c r="H932" s="3">
        <v>158.88195874598421</v>
      </c>
      <c r="I932" s="3">
        <v>0</v>
      </c>
      <c r="J932" s="318">
        <v>158.88195874598421</v>
      </c>
      <c r="K932" s="3">
        <v>651.08934283182384</v>
      </c>
      <c r="L932" s="3">
        <v>85.777614040413482</v>
      </c>
      <c r="M932" s="318">
        <v>736.86695687223732</v>
      </c>
      <c r="N932" s="3">
        <v>44.483969272205783</v>
      </c>
      <c r="O932" s="3">
        <v>108.63340374081305</v>
      </c>
      <c r="P932" s="3">
        <v>12.046525422556249</v>
      </c>
      <c r="Q932" s="3">
        <v>11.991788123499166</v>
      </c>
      <c r="R932" s="3">
        <v>38.782302693076169</v>
      </c>
      <c r="S932" s="3">
        <v>56.658812149150307</v>
      </c>
      <c r="T932" s="3">
        <v>51.8226670788127</v>
      </c>
      <c r="U932" s="3">
        <v>16.944915950471522</v>
      </c>
      <c r="V932" s="318">
        <v>341.36438443058489</v>
      </c>
      <c r="W932" s="318">
        <v>1237.1133000488067</v>
      </c>
      <c r="X932" s="3">
        <v>138.57655987795687</v>
      </c>
      <c r="Y932" s="318">
        <v>1375.6898599267636</v>
      </c>
    </row>
    <row r="933" spans="1:25" x14ac:dyDescent="0.2">
      <c r="A933" s="316">
        <v>2022</v>
      </c>
      <c r="B933" s="316" t="s">
        <v>466</v>
      </c>
      <c r="C933" s="316" t="s">
        <v>181</v>
      </c>
      <c r="D933" s="316" t="s">
        <v>479</v>
      </c>
      <c r="E933" s="316" t="s">
        <v>210</v>
      </c>
      <c r="F933" s="316" t="s">
        <v>184</v>
      </c>
      <c r="G933" s="316" t="s">
        <v>211</v>
      </c>
      <c r="H933" s="3">
        <v>397.16456170066573</v>
      </c>
      <c r="I933" s="3">
        <v>223.54677761006411</v>
      </c>
      <c r="J933" s="318">
        <v>620.71133931072984</v>
      </c>
      <c r="K933" s="3">
        <v>301.2527473288161</v>
      </c>
      <c r="L933" s="3">
        <v>65.15633038696933</v>
      </c>
      <c r="M933" s="318">
        <v>366.40907771578543</v>
      </c>
      <c r="N933" s="3">
        <v>60.106384650213649</v>
      </c>
      <c r="O933" s="3">
        <v>151.67173349521019</v>
      </c>
      <c r="P933" s="3">
        <v>18.260883479514014</v>
      </c>
      <c r="Q933" s="3">
        <v>15.879568809241295</v>
      </c>
      <c r="R933" s="3">
        <v>59.527006728603915</v>
      </c>
      <c r="S933" s="3">
        <v>97.128653357474789</v>
      </c>
      <c r="T933" s="3">
        <v>178.30462150109702</v>
      </c>
      <c r="U933" s="3">
        <v>31.274027421946606</v>
      </c>
      <c r="V933" s="318">
        <v>612.15287944330146</v>
      </c>
      <c r="W933" s="318">
        <v>1599.2732964698166</v>
      </c>
      <c r="X933" s="3">
        <v>179.14429642032269</v>
      </c>
      <c r="Y933" s="318">
        <v>1778.4175928901393</v>
      </c>
    </row>
    <row r="934" spans="1:25" x14ac:dyDescent="0.2">
      <c r="A934" s="316">
        <v>2022</v>
      </c>
      <c r="B934" s="316" t="s">
        <v>466</v>
      </c>
      <c r="C934" s="316" t="s">
        <v>181</v>
      </c>
      <c r="D934" s="316" t="s">
        <v>480</v>
      </c>
      <c r="E934" s="316" t="s">
        <v>212</v>
      </c>
      <c r="F934" s="316" t="s">
        <v>184</v>
      </c>
      <c r="G934" s="316" t="s">
        <v>213</v>
      </c>
      <c r="H934" s="3">
        <v>16.482584709736997</v>
      </c>
      <c r="I934" s="3">
        <v>13.563421768847881</v>
      </c>
      <c r="J934" s="318">
        <v>30.046006478584879</v>
      </c>
      <c r="K934" s="3">
        <v>7.4997261256012777</v>
      </c>
      <c r="L934" s="3">
        <v>0.321008267773923</v>
      </c>
      <c r="M934" s="318">
        <v>7.8207343933752007</v>
      </c>
      <c r="N934" s="3">
        <v>31.841918473628311</v>
      </c>
      <c r="O934" s="3">
        <v>11.417450419455967</v>
      </c>
      <c r="P934" s="3">
        <v>1.6839271557672495</v>
      </c>
      <c r="Q934" s="3">
        <v>0.99224361295480201</v>
      </c>
      <c r="R934" s="3">
        <v>7.0048351196254419</v>
      </c>
      <c r="S934" s="3">
        <v>20.504299404328759</v>
      </c>
      <c r="T934" s="3">
        <v>12.734712062342162</v>
      </c>
      <c r="U934" s="3">
        <v>3.880837452515375</v>
      </c>
      <c r="V934" s="318">
        <v>90.060223700618081</v>
      </c>
      <c r="W934" s="318">
        <v>127.92696457257816</v>
      </c>
      <c r="X934" s="3">
        <v>14.329874770077852</v>
      </c>
      <c r="Y934" s="318">
        <v>142.25683934265601</v>
      </c>
    </row>
    <row r="935" spans="1:25" x14ac:dyDescent="0.2">
      <c r="A935" s="316">
        <v>2022</v>
      </c>
      <c r="B935" s="316" t="s">
        <v>466</v>
      </c>
      <c r="C935" s="316" t="s">
        <v>181</v>
      </c>
      <c r="D935" s="316" t="s">
        <v>478</v>
      </c>
      <c r="E935" s="316" t="s">
        <v>214</v>
      </c>
      <c r="F935" s="316" t="s">
        <v>184</v>
      </c>
      <c r="G935" s="316" t="s">
        <v>215</v>
      </c>
      <c r="H935" s="3">
        <v>15.3734987281077</v>
      </c>
      <c r="I935" s="3">
        <v>9.1676684140688867</v>
      </c>
      <c r="J935" s="318">
        <v>24.541167142176587</v>
      </c>
      <c r="K935" s="3">
        <v>1.4029979826233834</v>
      </c>
      <c r="L935" s="3">
        <v>9.3101753185456673</v>
      </c>
      <c r="M935" s="318">
        <v>10.71317330116905</v>
      </c>
      <c r="N935" s="3">
        <v>6.8136763542513012</v>
      </c>
      <c r="O935" s="3">
        <v>44.914857228695951</v>
      </c>
      <c r="P935" s="3">
        <v>5.6404329414322927</v>
      </c>
      <c r="Q935" s="3">
        <v>2.2581706273756934</v>
      </c>
      <c r="R935" s="3">
        <v>14.539630463252236</v>
      </c>
      <c r="S935" s="3">
        <v>17.755594167791735</v>
      </c>
      <c r="T935" s="3">
        <v>39.70469485041189</v>
      </c>
      <c r="U935" s="3">
        <v>11.731173393071966</v>
      </c>
      <c r="V935" s="318">
        <v>143.35823002628308</v>
      </c>
      <c r="W935" s="318">
        <v>178.61257046962871</v>
      </c>
      <c r="X935" s="3">
        <v>20.007476732861733</v>
      </c>
      <c r="Y935" s="318">
        <v>198.62004720249044</v>
      </c>
    </row>
    <row r="936" spans="1:25" x14ac:dyDescent="0.2">
      <c r="A936" s="316">
        <v>2022</v>
      </c>
      <c r="B936" s="316" t="s">
        <v>466</v>
      </c>
      <c r="C936" s="316" t="s">
        <v>181</v>
      </c>
      <c r="D936" s="316" t="s">
        <v>478</v>
      </c>
      <c r="E936" s="316" t="s">
        <v>216</v>
      </c>
      <c r="F936" s="316" t="s">
        <v>184</v>
      </c>
      <c r="G936" s="316" t="s">
        <v>217</v>
      </c>
      <c r="H936" s="3">
        <v>42.849589603290404</v>
      </c>
      <c r="I936" s="3">
        <v>24.261929573225409</v>
      </c>
      <c r="J936" s="318">
        <v>67.111519176515813</v>
      </c>
      <c r="K936" s="3">
        <v>163.04863233284834</v>
      </c>
      <c r="L936" s="3">
        <v>31.736772748006672</v>
      </c>
      <c r="M936" s="318">
        <v>194.78540508085501</v>
      </c>
      <c r="N936" s="3">
        <v>54.11075159095563</v>
      </c>
      <c r="O936" s="3">
        <v>151.51681779665677</v>
      </c>
      <c r="P936" s="3">
        <v>19.314047713076111</v>
      </c>
      <c r="Q936" s="3">
        <v>20.012743198759129</v>
      </c>
      <c r="R936" s="3">
        <v>51.051821802893834</v>
      </c>
      <c r="S936" s="3">
        <v>73.907885262844559</v>
      </c>
      <c r="T936" s="3">
        <v>116.32848732376243</v>
      </c>
      <c r="U936" s="3">
        <v>33.3908724517268</v>
      </c>
      <c r="V936" s="318">
        <v>519.63342714067528</v>
      </c>
      <c r="W936" s="318">
        <v>781.53035139804604</v>
      </c>
      <c r="X936" s="3">
        <v>87.543952144625123</v>
      </c>
      <c r="Y936" s="318">
        <v>869.07430354267115</v>
      </c>
    </row>
    <row r="937" spans="1:25" x14ac:dyDescent="0.2">
      <c r="A937" s="316">
        <v>2022</v>
      </c>
      <c r="B937" s="316" t="s">
        <v>466</v>
      </c>
      <c r="C937" s="316" t="s">
        <v>218</v>
      </c>
      <c r="D937" s="316" t="s">
        <v>481</v>
      </c>
      <c r="E937" s="316" t="s">
        <v>220</v>
      </c>
      <c r="F937" s="316" t="s">
        <v>221</v>
      </c>
      <c r="G937" s="316" t="s">
        <v>223</v>
      </c>
      <c r="H937" s="3">
        <v>12.036501435719687</v>
      </c>
      <c r="I937" s="3">
        <v>6.7748274004422964</v>
      </c>
      <c r="J937" s="318">
        <v>18.811328836161984</v>
      </c>
      <c r="K937" s="3">
        <v>1.3993843380874118</v>
      </c>
      <c r="L937" s="3">
        <v>1.4529963795073835</v>
      </c>
      <c r="M937" s="318">
        <v>2.8523807175947953</v>
      </c>
      <c r="N937" s="3">
        <v>4.1059491459671262</v>
      </c>
      <c r="O937" s="3">
        <v>3.4715885228959036</v>
      </c>
      <c r="P937" s="3">
        <v>0.70555914314057655</v>
      </c>
      <c r="Q937" s="3">
        <v>0.20414285472820409</v>
      </c>
      <c r="R937" s="3">
        <v>2.3798758589387945</v>
      </c>
      <c r="S937" s="3">
        <v>3.7886319657237051</v>
      </c>
      <c r="T937" s="3">
        <v>9.4089431593591595</v>
      </c>
      <c r="U937" s="3">
        <v>1.3536332733714043</v>
      </c>
      <c r="V937" s="318">
        <v>25.418323924124874</v>
      </c>
      <c r="W937" s="318">
        <v>47.082033477881652</v>
      </c>
      <c r="X937" s="3">
        <v>5.2739439719597501</v>
      </c>
      <c r="Y937" s="318">
        <v>52.355977449841404</v>
      </c>
    </row>
    <row r="938" spans="1:25" x14ac:dyDescent="0.2">
      <c r="A938" s="316">
        <v>2022</v>
      </c>
      <c r="B938" s="316" t="s">
        <v>466</v>
      </c>
      <c r="C938" s="316" t="s">
        <v>218</v>
      </c>
      <c r="D938" s="316" t="s">
        <v>482</v>
      </c>
      <c r="E938" s="316" t="s">
        <v>224</v>
      </c>
      <c r="F938" s="316" t="s">
        <v>221</v>
      </c>
      <c r="G938" s="316" t="s">
        <v>226</v>
      </c>
      <c r="H938" s="3">
        <v>55.844013366930582</v>
      </c>
      <c r="I938" s="3">
        <v>31.432184487203287</v>
      </c>
      <c r="J938" s="318">
        <v>87.276197854133869</v>
      </c>
      <c r="K938" s="3">
        <v>4.0025695397178955</v>
      </c>
      <c r="L938" s="3">
        <v>6.0998234250989887</v>
      </c>
      <c r="M938" s="318">
        <v>10.102392964816884</v>
      </c>
      <c r="N938" s="3">
        <v>23.815320432141949</v>
      </c>
      <c r="O938" s="3">
        <v>9.4654369288431521</v>
      </c>
      <c r="P938" s="3">
        <v>2.3241545921626794</v>
      </c>
      <c r="Q938" s="3">
        <v>0.98606530890279798</v>
      </c>
      <c r="R938" s="3">
        <v>5.6971536080193852</v>
      </c>
      <c r="S938" s="3">
        <v>9.6129949546519846</v>
      </c>
      <c r="T938" s="3">
        <v>11.652691007100991</v>
      </c>
      <c r="U938" s="3">
        <v>3.4753866958666859</v>
      </c>
      <c r="V938" s="318">
        <v>67.029203527689617</v>
      </c>
      <c r="W938" s="318">
        <v>164.40779434664037</v>
      </c>
      <c r="X938" s="3">
        <v>18.416313652744009</v>
      </c>
      <c r="Y938" s="318">
        <v>182.82410799938438</v>
      </c>
    </row>
    <row r="939" spans="1:25" x14ac:dyDescent="0.2">
      <c r="A939" s="316">
        <v>2022</v>
      </c>
      <c r="B939" s="316" t="s">
        <v>466</v>
      </c>
      <c r="C939" s="316" t="s">
        <v>218</v>
      </c>
      <c r="D939" s="316" t="s">
        <v>482</v>
      </c>
      <c r="E939" s="316" t="s">
        <v>227</v>
      </c>
      <c r="F939" s="316" t="s">
        <v>221</v>
      </c>
      <c r="G939" s="316" t="s">
        <v>228</v>
      </c>
      <c r="H939" s="3">
        <v>19.350737228681787</v>
      </c>
      <c r="I939" s="3">
        <v>0</v>
      </c>
      <c r="J939" s="318">
        <v>19.350737228681787</v>
      </c>
      <c r="K939" s="3">
        <v>1.9518871040365533</v>
      </c>
      <c r="L939" s="3">
        <v>2.4867535036267658</v>
      </c>
      <c r="M939" s="318">
        <v>4.4386406076633191</v>
      </c>
      <c r="N939" s="3">
        <v>2.2973709043418906</v>
      </c>
      <c r="O939" s="3">
        <v>9.1199338912605779</v>
      </c>
      <c r="P939" s="3">
        <v>3.1159655583884365</v>
      </c>
      <c r="Q939" s="3">
        <v>1.0140299319890258</v>
      </c>
      <c r="R939" s="3">
        <v>8.7893166642684708</v>
      </c>
      <c r="S939" s="3">
        <v>7.0597158697823641</v>
      </c>
      <c r="T939" s="3">
        <v>14.669832390166151</v>
      </c>
      <c r="U939" s="3">
        <v>4.7176929857732919</v>
      </c>
      <c r="V939" s="318">
        <v>50.783858195970204</v>
      </c>
      <c r="W939" s="318">
        <v>74.573236032315307</v>
      </c>
      <c r="X939" s="3">
        <v>8.3534002163887937</v>
      </c>
      <c r="Y939" s="318">
        <v>82.926636248704099</v>
      </c>
    </row>
    <row r="940" spans="1:25" x14ac:dyDescent="0.2">
      <c r="A940" s="316">
        <v>2022</v>
      </c>
      <c r="B940" s="316" t="s">
        <v>466</v>
      </c>
      <c r="C940" s="316" t="s">
        <v>218</v>
      </c>
      <c r="D940" s="316" t="s">
        <v>482</v>
      </c>
      <c r="E940" s="316" t="s">
        <v>229</v>
      </c>
      <c r="F940" s="316" t="s">
        <v>221</v>
      </c>
      <c r="G940" s="316" t="s">
        <v>230</v>
      </c>
      <c r="H940" s="3">
        <v>279.34523000381284</v>
      </c>
      <c r="I940" s="3">
        <v>848.57838391709845</v>
      </c>
      <c r="J940" s="318">
        <v>1127.9236139209113</v>
      </c>
      <c r="K940" s="3">
        <v>6.4718576621387038</v>
      </c>
      <c r="L940" s="3">
        <v>0.19423494443752887</v>
      </c>
      <c r="M940" s="318">
        <v>6.6660926065762327</v>
      </c>
      <c r="N940" s="3">
        <v>35.874066028882659</v>
      </c>
      <c r="O940" s="3">
        <v>8.0606522471140352</v>
      </c>
      <c r="P940" s="3">
        <v>1.2919359552232785</v>
      </c>
      <c r="Q940" s="3">
        <v>0.27735104333027927</v>
      </c>
      <c r="R940" s="3">
        <v>4.6683732427582854</v>
      </c>
      <c r="S940" s="3">
        <v>21.624389538186271</v>
      </c>
      <c r="T940" s="3">
        <v>7.662045062522945</v>
      </c>
      <c r="U940" s="3">
        <v>2.719445949581178</v>
      </c>
      <c r="V940" s="318">
        <v>82.17825906759893</v>
      </c>
      <c r="W940" s="318">
        <v>1216.7679655950865</v>
      </c>
      <c r="X940" s="3">
        <v>136.29755563634717</v>
      </c>
      <c r="Y940" s="318">
        <v>1353.0655212314336</v>
      </c>
    </row>
    <row r="941" spans="1:25" x14ac:dyDescent="0.2">
      <c r="A941" s="316">
        <v>2022</v>
      </c>
      <c r="B941" s="316" t="s">
        <v>466</v>
      </c>
      <c r="C941" s="316" t="s">
        <v>218</v>
      </c>
      <c r="D941" s="316" t="s">
        <v>482</v>
      </c>
      <c r="E941" s="316" t="s">
        <v>231</v>
      </c>
      <c r="F941" s="316" t="s">
        <v>221</v>
      </c>
      <c r="G941" s="316" t="s">
        <v>232</v>
      </c>
      <c r="H941" s="3">
        <v>60.612004142170449</v>
      </c>
      <c r="I941" s="3">
        <v>0</v>
      </c>
      <c r="J941" s="318">
        <v>60.612004142170449</v>
      </c>
      <c r="K941" s="3">
        <v>1.5247466588525795</v>
      </c>
      <c r="L941" s="3">
        <v>7.2162937817353789</v>
      </c>
      <c r="M941" s="318">
        <v>8.7410404405879589</v>
      </c>
      <c r="N941" s="3">
        <v>7.0916419099022949</v>
      </c>
      <c r="O941" s="3">
        <v>16.845145980959234</v>
      </c>
      <c r="P941" s="3">
        <v>3.1265309680390221</v>
      </c>
      <c r="Q941" s="3">
        <v>1.9098384320271693</v>
      </c>
      <c r="R941" s="3">
        <v>10.396492075521094</v>
      </c>
      <c r="S941" s="3">
        <v>11.084985950721887</v>
      </c>
      <c r="T941" s="3">
        <v>24.437515467205909</v>
      </c>
      <c r="U941" s="3">
        <v>5.3530069211809046</v>
      </c>
      <c r="V941" s="318">
        <v>80.245157705557517</v>
      </c>
      <c r="W941" s="318">
        <v>149.59820228831592</v>
      </c>
      <c r="X941" s="3">
        <v>16.757401473433067</v>
      </c>
      <c r="Y941" s="318">
        <v>166.35560376174899</v>
      </c>
    </row>
    <row r="942" spans="1:25" x14ac:dyDescent="0.2">
      <c r="A942" s="316">
        <v>2022</v>
      </c>
      <c r="B942" s="316" t="s">
        <v>466</v>
      </c>
      <c r="C942" s="316" t="s">
        <v>218</v>
      </c>
      <c r="D942" s="316" t="s">
        <v>481</v>
      </c>
      <c r="E942" s="316" t="s">
        <v>233</v>
      </c>
      <c r="F942" s="316" t="s">
        <v>221</v>
      </c>
      <c r="G942" s="316" t="s">
        <v>234</v>
      </c>
      <c r="H942" s="3">
        <v>50.134806496298054</v>
      </c>
      <c r="I942" s="3">
        <v>28.218743094461018</v>
      </c>
      <c r="J942" s="318">
        <v>78.353549590759073</v>
      </c>
      <c r="K942" s="3">
        <v>6.5749908599714093</v>
      </c>
      <c r="L942" s="3">
        <v>10.975911812354807</v>
      </c>
      <c r="M942" s="318">
        <v>17.550902672326217</v>
      </c>
      <c r="N942" s="3">
        <v>11.433928997953288</v>
      </c>
      <c r="O942" s="3">
        <v>36.131767586889268</v>
      </c>
      <c r="P942" s="3">
        <v>4.4028214843832991</v>
      </c>
      <c r="Q942" s="3">
        <v>2.1289999800029831</v>
      </c>
      <c r="R942" s="3">
        <v>14.124159689973933</v>
      </c>
      <c r="S942" s="3">
        <v>26.56470175286681</v>
      </c>
      <c r="T942" s="3">
        <v>58.324162572086422</v>
      </c>
      <c r="U942" s="3">
        <v>8.5591777488530258</v>
      </c>
      <c r="V942" s="318">
        <v>161.66971981300901</v>
      </c>
      <c r="W942" s="318">
        <v>257.57417207609433</v>
      </c>
      <c r="X942" s="3">
        <v>28.852444378627133</v>
      </c>
      <c r="Y942" s="318">
        <v>286.42661645472145</v>
      </c>
    </row>
    <row r="943" spans="1:25" x14ac:dyDescent="0.2">
      <c r="A943" s="316">
        <v>2022</v>
      </c>
      <c r="B943" s="316" t="s">
        <v>466</v>
      </c>
      <c r="C943" s="316" t="s">
        <v>218</v>
      </c>
      <c r="D943" s="316" t="s">
        <v>481</v>
      </c>
      <c r="E943" s="316" t="s">
        <v>235</v>
      </c>
      <c r="F943" s="316" t="s">
        <v>221</v>
      </c>
      <c r="G943" s="316" t="s">
        <v>236</v>
      </c>
      <c r="H943" s="3">
        <v>107.17053628640353</v>
      </c>
      <c r="I943" s="3">
        <v>60.419180303420703</v>
      </c>
      <c r="J943" s="318">
        <v>167.58971658982423</v>
      </c>
      <c r="K943" s="3">
        <v>4.0414622448403623</v>
      </c>
      <c r="L943" s="3">
        <v>17.724346766191815</v>
      </c>
      <c r="M943" s="318">
        <v>21.765809011032175</v>
      </c>
      <c r="N943" s="3">
        <v>15.891175011573228</v>
      </c>
      <c r="O943" s="3">
        <v>65.053077057519516</v>
      </c>
      <c r="P943" s="3">
        <v>8.5677594143780595</v>
      </c>
      <c r="Q943" s="3">
        <v>5.2347162855731799</v>
      </c>
      <c r="R943" s="3">
        <v>20.119043710352415</v>
      </c>
      <c r="S943" s="3">
        <v>28.78390272144782</v>
      </c>
      <c r="T943" s="3">
        <v>60.357143226767732</v>
      </c>
      <c r="U943" s="3">
        <v>14.629884564017855</v>
      </c>
      <c r="V943" s="318">
        <v>218.63670199162982</v>
      </c>
      <c r="W943" s="318">
        <v>407.99222759248619</v>
      </c>
      <c r="X943" s="3">
        <v>45.701682581927329</v>
      </c>
      <c r="Y943" s="318">
        <v>453.69391017441353</v>
      </c>
    </row>
    <row r="944" spans="1:25" x14ac:dyDescent="0.2">
      <c r="A944" s="316">
        <v>2022</v>
      </c>
      <c r="B944" s="316" t="s">
        <v>466</v>
      </c>
      <c r="C944" s="316" t="s">
        <v>218</v>
      </c>
      <c r="D944" s="316" t="s">
        <v>482</v>
      </c>
      <c r="E944" s="316" t="s">
        <v>237</v>
      </c>
      <c r="F944" s="316" t="s">
        <v>221</v>
      </c>
      <c r="G944" s="316" t="s">
        <v>238</v>
      </c>
      <c r="H944" s="3">
        <v>107.22920128061484</v>
      </c>
      <c r="I944" s="3">
        <v>0</v>
      </c>
      <c r="J944" s="318">
        <v>107.22920128061484</v>
      </c>
      <c r="K944" s="3">
        <v>6.1834860609951905</v>
      </c>
      <c r="L944" s="3">
        <v>9.9057088672078315</v>
      </c>
      <c r="M944" s="318">
        <v>16.089194928203021</v>
      </c>
      <c r="N944" s="3">
        <v>11.303187018214249</v>
      </c>
      <c r="O944" s="3">
        <v>29.115511596131395</v>
      </c>
      <c r="P944" s="3">
        <v>6.217269860186871</v>
      </c>
      <c r="Q944" s="3">
        <v>1.9863579332958801</v>
      </c>
      <c r="R944" s="3">
        <v>21.118469790123036</v>
      </c>
      <c r="S944" s="3">
        <v>17.576165639108243</v>
      </c>
      <c r="T944" s="3">
        <v>20.088143153268263</v>
      </c>
      <c r="U944" s="3">
        <v>11.469053915020774</v>
      </c>
      <c r="V944" s="318">
        <v>118.87415890534871</v>
      </c>
      <c r="W944" s="318">
        <v>242.19255511416657</v>
      </c>
      <c r="X944" s="3">
        <v>27.129456222360211</v>
      </c>
      <c r="Y944" s="318">
        <v>269.32201133652677</v>
      </c>
    </row>
    <row r="945" spans="1:25" x14ac:dyDescent="0.2">
      <c r="A945" s="316">
        <v>2022</v>
      </c>
      <c r="B945" s="316" t="s">
        <v>466</v>
      </c>
      <c r="C945" s="316" t="s">
        <v>218</v>
      </c>
      <c r="D945" s="316" t="s">
        <v>481</v>
      </c>
      <c r="E945" s="316" t="s">
        <v>239</v>
      </c>
      <c r="F945" s="316" t="s">
        <v>221</v>
      </c>
      <c r="G945" s="316" t="s">
        <v>240</v>
      </c>
      <c r="H945" s="3">
        <v>60.723060593815568</v>
      </c>
      <c r="I945" s="3">
        <v>34.178391049636666</v>
      </c>
      <c r="J945" s="318">
        <v>94.901451643452233</v>
      </c>
      <c r="K945" s="3">
        <v>4.5222905140882137</v>
      </c>
      <c r="L945" s="3">
        <v>18.691668955370467</v>
      </c>
      <c r="M945" s="318">
        <v>23.213959469458679</v>
      </c>
      <c r="N945" s="3">
        <v>13.946901293775138</v>
      </c>
      <c r="O945" s="3">
        <v>60.277493028539162</v>
      </c>
      <c r="P945" s="3">
        <v>8.020157593545882</v>
      </c>
      <c r="Q945" s="3">
        <v>4.8137772917323964</v>
      </c>
      <c r="R945" s="3">
        <v>21.229209041062376</v>
      </c>
      <c r="S945" s="3">
        <v>31.595464882807338</v>
      </c>
      <c r="T945" s="3">
        <v>56.476728374811607</v>
      </c>
      <c r="U945" s="3">
        <v>12.145803971629123</v>
      </c>
      <c r="V945" s="318">
        <v>208.50553547790304</v>
      </c>
      <c r="W945" s="318">
        <v>326.62094659081396</v>
      </c>
      <c r="X945" s="3">
        <v>36.58679214009841</v>
      </c>
      <c r="Y945" s="318">
        <v>363.20773873091235</v>
      </c>
    </row>
    <row r="946" spans="1:25" x14ac:dyDescent="0.2">
      <c r="A946" s="316">
        <v>2022</v>
      </c>
      <c r="B946" s="316" t="s">
        <v>466</v>
      </c>
      <c r="C946" s="316" t="s">
        <v>218</v>
      </c>
      <c r="D946" s="316" t="s">
        <v>482</v>
      </c>
      <c r="E946" s="316" t="s">
        <v>241</v>
      </c>
      <c r="F946" s="316" t="s">
        <v>221</v>
      </c>
      <c r="G946" s="316" t="s">
        <v>242</v>
      </c>
      <c r="H946" s="3">
        <v>20.583371477946567</v>
      </c>
      <c r="I946" s="3">
        <v>0</v>
      </c>
      <c r="J946" s="318">
        <v>20.583371477946567</v>
      </c>
      <c r="K946" s="3">
        <v>3.4930696237077847</v>
      </c>
      <c r="L946" s="3">
        <v>1.2047199551557548</v>
      </c>
      <c r="M946" s="318">
        <v>4.6977895788635395</v>
      </c>
      <c r="N946" s="3">
        <v>9.7232209982953215</v>
      </c>
      <c r="O946" s="3">
        <v>12.545090361997325</v>
      </c>
      <c r="P946" s="3">
        <v>1.7361069097257826</v>
      </c>
      <c r="Q946" s="3">
        <v>0.63857810614089106</v>
      </c>
      <c r="R946" s="3">
        <v>6.8653928953070684</v>
      </c>
      <c r="S946" s="3">
        <v>8.6091735156409506</v>
      </c>
      <c r="T946" s="3">
        <v>12.235094271806892</v>
      </c>
      <c r="U946" s="3">
        <v>3.4291190016397848</v>
      </c>
      <c r="V946" s="318">
        <v>55.781776060554016</v>
      </c>
      <c r="W946" s="318">
        <v>81.062937117364129</v>
      </c>
      <c r="X946" s="3">
        <v>9.0803509742270823</v>
      </c>
      <c r="Y946" s="318">
        <v>90.143288091591216</v>
      </c>
    </row>
    <row r="947" spans="1:25" x14ac:dyDescent="0.2">
      <c r="A947" s="316">
        <v>2022</v>
      </c>
      <c r="B947" s="316" t="s">
        <v>466</v>
      </c>
      <c r="C947" s="316" t="s">
        <v>218</v>
      </c>
      <c r="D947" s="316" t="s">
        <v>482</v>
      </c>
      <c r="E947" s="316" t="s">
        <v>243</v>
      </c>
      <c r="F947" s="316" t="s">
        <v>221</v>
      </c>
      <c r="G947" s="316" t="s">
        <v>244</v>
      </c>
      <c r="H947" s="3">
        <v>32.842581524189121</v>
      </c>
      <c r="I947" s="3">
        <v>0</v>
      </c>
      <c r="J947" s="318">
        <v>32.842581524189121</v>
      </c>
      <c r="K947" s="3">
        <v>3.6175627849628644</v>
      </c>
      <c r="L947" s="3">
        <v>6.7495274057647023</v>
      </c>
      <c r="M947" s="318">
        <v>10.367090190727566</v>
      </c>
      <c r="N947" s="3">
        <v>18.254877597076099</v>
      </c>
      <c r="O947" s="3">
        <v>19.825150898339327</v>
      </c>
      <c r="P947" s="3">
        <v>6.6094442542064042</v>
      </c>
      <c r="Q947" s="3">
        <v>2.2644522811157755</v>
      </c>
      <c r="R947" s="3">
        <v>18.898399734379346</v>
      </c>
      <c r="S947" s="3">
        <v>18.832851676860805</v>
      </c>
      <c r="T947" s="3">
        <v>38.045944907279633</v>
      </c>
      <c r="U947" s="3">
        <v>8.0049762203425132</v>
      </c>
      <c r="V947" s="318">
        <v>130.73609756959991</v>
      </c>
      <c r="W947" s="318">
        <v>173.94576928451659</v>
      </c>
      <c r="X947" s="3">
        <v>19.484720042878937</v>
      </c>
      <c r="Y947" s="318">
        <v>193.43048932739552</v>
      </c>
    </row>
    <row r="948" spans="1:25" x14ac:dyDescent="0.2">
      <c r="A948" s="316">
        <v>2022</v>
      </c>
      <c r="B948" s="316" t="s">
        <v>466</v>
      </c>
      <c r="C948" s="316" t="s">
        <v>218</v>
      </c>
      <c r="D948" s="316" t="s">
        <v>482</v>
      </c>
      <c r="E948" s="316" t="s">
        <v>245</v>
      </c>
      <c r="F948" s="316" t="s">
        <v>221</v>
      </c>
      <c r="G948" s="316" t="s">
        <v>246</v>
      </c>
      <c r="H948" s="3">
        <v>49.157618281463968</v>
      </c>
      <c r="I948" s="3">
        <v>0</v>
      </c>
      <c r="J948" s="318">
        <v>49.157618281463968</v>
      </c>
      <c r="K948" s="3">
        <v>3.8592500104520222</v>
      </c>
      <c r="L948" s="3">
        <v>6.3987484414417768</v>
      </c>
      <c r="M948" s="318">
        <v>10.257998451893799</v>
      </c>
      <c r="N948" s="3">
        <v>10.359002926456675</v>
      </c>
      <c r="O948" s="3">
        <v>21.804704400583027</v>
      </c>
      <c r="P948" s="3">
        <v>3.788129988578397</v>
      </c>
      <c r="Q948" s="3">
        <v>1.9055873675749146</v>
      </c>
      <c r="R948" s="3">
        <v>12.794779669816734</v>
      </c>
      <c r="S948" s="3">
        <v>16.409285629650206</v>
      </c>
      <c r="T948" s="3">
        <v>34.136923157583041</v>
      </c>
      <c r="U948" s="3">
        <v>7.8298651585897172</v>
      </c>
      <c r="V948" s="318">
        <v>109.02827829883272</v>
      </c>
      <c r="W948" s="318">
        <v>168.44389503219048</v>
      </c>
      <c r="X948" s="3">
        <v>18.868421756587473</v>
      </c>
      <c r="Y948" s="318">
        <v>187.31231678877796</v>
      </c>
    </row>
    <row r="949" spans="1:25" x14ac:dyDescent="0.2">
      <c r="A949" s="316">
        <v>2022</v>
      </c>
      <c r="B949" s="316" t="s">
        <v>466</v>
      </c>
      <c r="C949" s="316" t="s">
        <v>218</v>
      </c>
      <c r="D949" s="316" t="s">
        <v>482</v>
      </c>
      <c r="E949" s="316" t="s">
        <v>247</v>
      </c>
      <c r="F949" s="316" t="s">
        <v>221</v>
      </c>
      <c r="G949" s="316" t="s">
        <v>248</v>
      </c>
      <c r="H949" s="3">
        <v>15.634693834360606</v>
      </c>
      <c r="I949" s="3">
        <v>0</v>
      </c>
      <c r="J949" s="318">
        <v>15.634693834360606</v>
      </c>
      <c r="K949" s="3">
        <v>0.83012100108153075</v>
      </c>
      <c r="L949" s="3">
        <v>2.566589156638952</v>
      </c>
      <c r="M949" s="318">
        <v>3.3967101577204826</v>
      </c>
      <c r="N949" s="3">
        <v>8.6459942908068044</v>
      </c>
      <c r="O949" s="3">
        <v>6.6852113715351038</v>
      </c>
      <c r="P949" s="3">
        <v>1.3896407720574409</v>
      </c>
      <c r="Q949" s="3">
        <v>0.34891531187389246</v>
      </c>
      <c r="R949" s="3">
        <v>5.1290576610013545</v>
      </c>
      <c r="S949" s="3">
        <v>5.3392850530795979</v>
      </c>
      <c r="T949" s="3">
        <v>8.4616438254902384</v>
      </c>
      <c r="U949" s="3">
        <v>2.4112455001528827</v>
      </c>
      <c r="V949" s="318">
        <v>38.410993785997313</v>
      </c>
      <c r="W949" s="318">
        <v>57.442397778078401</v>
      </c>
      <c r="X949" s="3">
        <v>6.4344711797320855</v>
      </c>
      <c r="Y949" s="318">
        <v>63.876868957810487</v>
      </c>
    </row>
    <row r="950" spans="1:25" x14ac:dyDescent="0.2">
      <c r="A950" s="316">
        <v>2022</v>
      </c>
      <c r="B950" s="316" t="s">
        <v>466</v>
      </c>
      <c r="C950" s="316" t="s">
        <v>218</v>
      </c>
      <c r="D950" s="316" t="s">
        <v>481</v>
      </c>
      <c r="E950" s="316" t="s">
        <v>249</v>
      </c>
      <c r="F950" s="316" t="s">
        <v>221</v>
      </c>
      <c r="G950" s="316" t="s">
        <v>250</v>
      </c>
      <c r="H950" s="3">
        <v>29.096621308269899</v>
      </c>
      <c r="I950" s="3">
        <v>0</v>
      </c>
      <c r="J950" s="318">
        <v>29.096621308269899</v>
      </c>
      <c r="K950" s="3">
        <v>0.82302793506955774</v>
      </c>
      <c r="L950" s="3">
        <v>5.5859338581026732</v>
      </c>
      <c r="M950" s="318">
        <v>6.4089617931722307</v>
      </c>
      <c r="N950" s="3">
        <v>7.4121905802727479</v>
      </c>
      <c r="O950" s="3">
        <v>16.174493764919109</v>
      </c>
      <c r="P950" s="3">
        <v>2.4259766100470905</v>
      </c>
      <c r="Q950" s="3">
        <v>1.1970491035493978</v>
      </c>
      <c r="R950" s="3">
        <v>7.4817972721272161</v>
      </c>
      <c r="S950" s="3">
        <v>10.504727378884823</v>
      </c>
      <c r="T950" s="3">
        <v>23.591568094988993</v>
      </c>
      <c r="U950" s="3">
        <v>3.8899683207456395</v>
      </c>
      <c r="V950" s="318">
        <v>72.677771125535017</v>
      </c>
      <c r="W950" s="318">
        <v>108.18335422697714</v>
      </c>
      <c r="X950" s="3">
        <v>12.118273293352731</v>
      </c>
      <c r="Y950" s="318">
        <v>120.30162752032987</v>
      </c>
    </row>
    <row r="951" spans="1:25" x14ac:dyDescent="0.2">
      <c r="A951" s="316">
        <v>2022</v>
      </c>
      <c r="B951" s="316" t="s">
        <v>466</v>
      </c>
      <c r="C951" s="316" t="s">
        <v>218</v>
      </c>
      <c r="D951" s="316" t="s">
        <v>482</v>
      </c>
      <c r="E951" s="316" t="s">
        <v>251</v>
      </c>
      <c r="F951" s="316" t="s">
        <v>221</v>
      </c>
      <c r="G951" s="316" t="s">
        <v>252</v>
      </c>
      <c r="H951" s="3">
        <v>34.131535705570862</v>
      </c>
      <c r="I951" s="3">
        <v>0</v>
      </c>
      <c r="J951" s="318">
        <v>34.131535705570862</v>
      </c>
      <c r="K951" s="3">
        <v>3.7874157756260529</v>
      </c>
      <c r="L951" s="3">
        <v>3.7638824037301091</v>
      </c>
      <c r="M951" s="318">
        <v>7.551298179356162</v>
      </c>
      <c r="N951" s="3">
        <v>7.7492862813543448</v>
      </c>
      <c r="O951" s="3">
        <v>16.394272221228594</v>
      </c>
      <c r="P951" s="3">
        <v>3.1254946858414843</v>
      </c>
      <c r="Q951" s="3">
        <v>1.5162246180210017</v>
      </c>
      <c r="R951" s="3">
        <v>11.745278193576501</v>
      </c>
      <c r="S951" s="3">
        <v>11.189258416747141</v>
      </c>
      <c r="T951" s="3">
        <v>23.877348008947003</v>
      </c>
      <c r="U951" s="3">
        <v>4.8186802668429136</v>
      </c>
      <c r="V951" s="318">
        <v>80.415842692558996</v>
      </c>
      <c r="W951" s="318">
        <v>122.09867657748603</v>
      </c>
      <c r="X951" s="3">
        <v>13.677012901802732</v>
      </c>
      <c r="Y951" s="318">
        <v>135.77568947928876</v>
      </c>
    </row>
    <row r="952" spans="1:25" x14ac:dyDescent="0.2">
      <c r="A952" s="316">
        <v>2022</v>
      </c>
      <c r="B952" s="316" t="s">
        <v>466</v>
      </c>
      <c r="C952" s="316" t="s">
        <v>218</v>
      </c>
      <c r="D952" s="316" t="s">
        <v>482</v>
      </c>
      <c r="E952" s="316" t="s">
        <v>253</v>
      </c>
      <c r="F952" s="316" t="s">
        <v>221</v>
      </c>
      <c r="G952" s="316" t="s">
        <v>254</v>
      </c>
      <c r="H952" s="3">
        <v>32.80587094568903</v>
      </c>
      <c r="I952" s="3">
        <v>0</v>
      </c>
      <c r="J952" s="318">
        <v>32.80587094568903</v>
      </c>
      <c r="K952" s="3">
        <v>6.2465075560200303</v>
      </c>
      <c r="L952" s="3">
        <v>9.839860755325347</v>
      </c>
      <c r="M952" s="318">
        <v>16.086368311345378</v>
      </c>
      <c r="N952" s="3">
        <v>26.365662279520915</v>
      </c>
      <c r="O952" s="3">
        <v>76.467248678758892</v>
      </c>
      <c r="P952" s="3">
        <v>9.9684681822312342</v>
      </c>
      <c r="Q952" s="3">
        <v>2.6454552540423033</v>
      </c>
      <c r="R952" s="3">
        <v>37.060441769881955</v>
      </c>
      <c r="S952" s="3">
        <v>27.088089649331895</v>
      </c>
      <c r="T952" s="3">
        <v>26.298959638909555</v>
      </c>
      <c r="U952" s="3">
        <v>9.8898168514488614</v>
      </c>
      <c r="V952" s="318">
        <v>215.78414230412562</v>
      </c>
      <c r="W952" s="318">
        <v>264.67638156116004</v>
      </c>
      <c r="X952" s="3">
        <v>29.648005915257745</v>
      </c>
      <c r="Y952" s="318">
        <v>294.32438747641777</v>
      </c>
    </row>
    <row r="953" spans="1:25" x14ac:dyDescent="0.2">
      <c r="A953" s="316">
        <v>2022</v>
      </c>
      <c r="B953" s="316" t="s">
        <v>466</v>
      </c>
      <c r="C953" s="316" t="s">
        <v>218</v>
      </c>
      <c r="D953" s="316" t="s">
        <v>482</v>
      </c>
      <c r="E953" s="316" t="s">
        <v>255</v>
      </c>
      <c r="F953" s="316" t="s">
        <v>221</v>
      </c>
      <c r="G953" s="316" t="s">
        <v>256</v>
      </c>
      <c r="H953" s="3">
        <v>30.031975799565565</v>
      </c>
      <c r="I953" s="3">
        <v>33.698052831997302</v>
      </c>
      <c r="J953" s="318">
        <v>63.730028631562867</v>
      </c>
      <c r="K953" s="3">
        <v>12.586287654708826</v>
      </c>
      <c r="L953" s="3">
        <v>13.369315879528568</v>
      </c>
      <c r="M953" s="318">
        <v>25.955603534237394</v>
      </c>
      <c r="N953" s="3">
        <v>32.733960114738494</v>
      </c>
      <c r="O953" s="3">
        <v>130.65062045027443</v>
      </c>
      <c r="P953" s="3">
        <v>10.458063834495844</v>
      </c>
      <c r="Q953" s="3">
        <v>7.2522083036212992</v>
      </c>
      <c r="R953" s="3">
        <v>38.374773982874807</v>
      </c>
      <c r="S953" s="3">
        <v>42.930966478580984</v>
      </c>
      <c r="T953" s="3">
        <v>84.233137890317053</v>
      </c>
      <c r="U953" s="3">
        <v>15.163200844951026</v>
      </c>
      <c r="V953" s="318">
        <v>361.79693189985392</v>
      </c>
      <c r="W953" s="318">
        <v>451.48256406565417</v>
      </c>
      <c r="X953" s="3">
        <v>50.57329880022251</v>
      </c>
      <c r="Y953" s="318">
        <v>502.05586286587669</v>
      </c>
    </row>
    <row r="954" spans="1:25" x14ac:dyDescent="0.2">
      <c r="A954" s="316">
        <v>2022</v>
      </c>
      <c r="B954" s="316" t="s">
        <v>466</v>
      </c>
      <c r="C954" s="316" t="s">
        <v>218</v>
      </c>
      <c r="D954" s="316" t="s">
        <v>482</v>
      </c>
      <c r="E954" s="316" t="s">
        <v>257</v>
      </c>
      <c r="F954" s="316" t="s">
        <v>221</v>
      </c>
      <c r="G954" s="316" t="s">
        <v>258</v>
      </c>
      <c r="H954" s="3">
        <v>11.545939064780697</v>
      </c>
      <c r="I954" s="3">
        <v>27.4475848419493</v>
      </c>
      <c r="J954" s="318">
        <v>38.993523906729997</v>
      </c>
      <c r="K954" s="3">
        <v>4.2750144324047685</v>
      </c>
      <c r="L954" s="3">
        <v>10.28168904739278</v>
      </c>
      <c r="M954" s="318">
        <v>14.556703479797548</v>
      </c>
      <c r="N954" s="3">
        <v>23.341625134650752</v>
      </c>
      <c r="O954" s="3">
        <v>46.877585456234364</v>
      </c>
      <c r="P954" s="3">
        <v>10.746723845525494</v>
      </c>
      <c r="Q954" s="3">
        <v>3.7097620391476509</v>
      </c>
      <c r="R954" s="3">
        <v>28.138353157110906</v>
      </c>
      <c r="S954" s="3">
        <v>24.977759561065287</v>
      </c>
      <c r="T954" s="3">
        <v>31.372463316774127</v>
      </c>
      <c r="U954" s="3">
        <v>12.010817452793491</v>
      </c>
      <c r="V954" s="318">
        <v>181.17508996330207</v>
      </c>
      <c r="W954" s="318">
        <v>234.7253173498296</v>
      </c>
      <c r="X954" s="3">
        <v>26.293005655438204</v>
      </c>
      <c r="Y954" s="318">
        <v>261.0183230052678</v>
      </c>
    </row>
    <row r="955" spans="1:25" x14ac:dyDescent="0.2">
      <c r="A955" s="316">
        <v>2022</v>
      </c>
      <c r="B955" s="316" t="s">
        <v>466</v>
      </c>
      <c r="C955" s="316" t="s">
        <v>218</v>
      </c>
      <c r="D955" s="316" t="s">
        <v>481</v>
      </c>
      <c r="E955" s="316" t="s">
        <v>259</v>
      </c>
      <c r="F955" s="316" t="s">
        <v>221</v>
      </c>
      <c r="G955" s="316" t="s">
        <v>260</v>
      </c>
      <c r="H955" s="3">
        <v>46.28726970095893</v>
      </c>
      <c r="I955" s="3">
        <v>29.173982283223793</v>
      </c>
      <c r="J955" s="318">
        <v>75.461251984182724</v>
      </c>
      <c r="K955" s="3">
        <v>1.2917876802156809</v>
      </c>
      <c r="L955" s="3">
        <v>7.8419115760774414</v>
      </c>
      <c r="M955" s="318">
        <v>9.1336992562931218</v>
      </c>
      <c r="N955" s="3">
        <v>7.0318265227448133</v>
      </c>
      <c r="O955" s="3">
        <v>14.225278339888446</v>
      </c>
      <c r="P955" s="3">
        <v>1.9155583896720585</v>
      </c>
      <c r="Q955" s="3">
        <v>0.74865996873048835</v>
      </c>
      <c r="R955" s="3">
        <v>6.6509488956083658</v>
      </c>
      <c r="S955" s="3">
        <v>9.9895388636978701</v>
      </c>
      <c r="T955" s="3">
        <v>18.75552909131164</v>
      </c>
      <c r="U955" s="3">
        <v>3.6768459460840925</v>
      </c>
      <c r="V955" s="318">
        <v>62.994186017737782</v>
      </c>
      <c r="W955" s="318">
        <v>147.58913725821361</v>
      </c>
      <c r="X955" s="3">
        <v>16.532353920851023</v>
      </c>
      <c r="Y955" s="318">
        <v>164.12149117906463</v>
      </c>
    </row>
    <row r="956" spans="1:25" x14ac:dyDescent="0.2">
      <c r="A956" s="316">
        <v>2022</v>
      </c>
      <c r="B956" s="316" t="s">
        <v>466</v>
      </c>
      <c r="C956" s="316" t="s">
        <v>261</v>
      </c>
      <c r="D956" s="316" t="s">
        <v>483</v>
      </c>
      <c r="E956" s="316" t="s">
        <v>263</v>
      </c>
      <c r="F956" s="316" t="s">
        <v>264</v>
      </c>
      <c r="G956" s="316" t="s">
        <v>265</v>
      </c>
      <c r="H956" s="3">
        <v>119.52153845940158</v>
      </c>
      <c r="I956" s="3">
        <v>68.899457445675424</v>
      </c>
      <c r="J956" s="318">
        <v>188.42099590507701</v>
      </c>
      <c r="K956" s="3">
        <v>9.4810559390653211</v>
      </c>
      <c r="L956" s="3">
        <v>13.527097206843646</v>
      </c>
      <c r="M956" s="318">
        <v>23.008153145908967</v>
      </c>
      <c r="N956" s="3">
        <v>11.493976741627991</v>
      </c>
      <c r="O956" s="3">
        <v>33.810394549051026</v>
      </c>
      <c r="P956" s="3">
        <v>8.5289106308076814</v>
      </c>
      <c r="Q956" s="3">
        <v>5.0014340639767267</v>
      </c>
      <c r="R956" s="3">
        <v>26.361457492358984</v>
      </c>
      <c r="S956" s="3">
        <v>26.511988640560187</v>
      </c>
      <c r="T956" s="3">
        <v>50.425333957508499</v>
      </c>
      <c r="U956" s="3">
        <v>14.897809438536823</v>
      </c>
      <c r="V956" s="318">
        <v>177.03130551442791</v>
      </c>
      <c r="W956" s="318">
        <v>388.4604545654139</v>
      </c>
      <c r="X956" s="3">
        <v>43.5138102873671</v>
      </c>
      <c r="Y956" s="318">
        <v>431.974264852781</v>
      </c>
    </row>
    <row r="957" spans="1:25" x14ac:dyDescent="0.2">
      <c r="A957" s="316">
        <v>2022</v>
      </c>
      <c r="B957" s="316" t="s">
        <v>466</v>
      </c>
      <c r="C957" s="316" t="s">
        <v>261</v>
      </c>
      <c r="D957" s="316" t="s">
        <v>484</v>
      </c>
      <c r="E957" s="316" t="s">
        <v>266</v>
      </c>
      <c r="F957" s="316" t="s">
        <v>264</v>
      </c>
      <c r="G957" s="316" t="s">
        <v>268</v>
      </c>
      <c r="H957" s="3">
        <v>16.166171818042386</v>
      </c>
      <c r="I957" s="3">
        <v>0</v>
      </c>
      <c r="J957" s="318">
        <v>16.166171818042386</v>
      </c>
      <c r="K957" s="3">
        <v>1.0837065070017302</v>
      </c>
      <c r="L957" s="3">
        <v>4.2989378234377895</v>
      </c>
      <c r="M957" s="318">
        <v>5.3826443304395202</v>
      </c>
      <c r="N957" s="3">
        <v>7.3495199600406123</v>
      </c>
      <c r="O957" s="3">
        <v>14.996912456093387</v>
      </c>
      <c r="P957" s="3">
        <v>2.5819439737680154</v>
      </c>
      <c r="Q957" s="3">
        <v>0.72991881829368377</v>
      </c>
      <c r="R957" s="3">
        <v>9.9294048920163043</v>
      </c>
      <c r="S957" s="3">
        <v>7.7561146684164202</v>
      </c>
      <c r="T957" s="3">
        <v>11.592581446862924</v>
      </c>
      <c r="U957" s="3">
        <v>4.7153880783750308</v>
      </c>
      <c r="V957" s="318">
        <v>59.651784293866378</v>
      </c>
      <c r="W957" s="318">
        <v>81.200600442348289</v>
      </c>
      <c r="X957" s="3">
        <v>9.09577147774678</v>
      </c>
      <c r="Y957" s="318">
        <v>90.296371920095069</v>
      </c>
    </row>
    <row r="958" spans="1:25" x14ac:dyDescent="0.2">
      <c r="A958" s="316">
        <v>2022</v>
      </c>
      <c r="B958" s="316" t="s">
        <v>466</v>
      </c>
      <c r="C958" s="316" t="s">
        <v>261</v>
      </c>
      <c r="D958" s="316" t="s">
        <v>483</v>
      </c>
      <c r="E958" s="316" t="s">
        <v>269</v>
      </c>
      <c r="F958" s="316" t="s">
        <v>264</v>
      </c>
      <c r="G958" s="316" t="s">
        <v>271</v>
      </c>
      <c r="H958" s="3">
        <v>38.394780177483824</v>
      </c>
      <c r="I958" s="3">
        <v>0</v>
      </c>
      <c r="J958" s="318">
        <v>38.394780177483824</v>
      </c>
      <c r="K958" s="3">
        <v>1.6994785403863035</v>
      </c>
      <c r="L958" s="3">
        <v>4.82014209854571</v>
      </c>
      <c r="M958" s="318">
        <v>6.5196206389320137</v>
      </c>
      <c r="N958" s="3">
        <v>6.5612831652588923</v>
      </c>
      <c r="O958" s="3">
        <v>11.386091973178813</v>
      </c>
      <c r="P958" s="3">
        <v>2.6374955343825803</v>
      </c>
      <c r="Q958" s="3">
        <v>1.6434126733083172</v>
      </c>
      <c r="R958" s="3">
        <v>8.9791052388577004</v>
      </c>
      <c r="S958" s="3">
        <v>8.2937494832396137</v>
      </c>
      <c r="T958" s="3">
        <v>18.74813176202105</v>
      </c>
      <c r="U958" s="3">
        <v>3.9412956633342739</v>
      </c>
      <c r="V958" s="318">
        <v>62.190565493581246</v>
      </c>
      <c r="W958" s="318">
        <v>107.10496630999708</v>
      </c>
      <c r="X958" s="3">
        <v>11.997476525794612</v>
      </c>
      <c r="Y958" s="318">
        <v>119.10244283579169</v>
      </c>
    </row>
    <row r="959" spans="1:25" x14ac:dyDescent="0.2">
      <c r="A959" s="316">
        <v>2022</v>
      </c>
      <c r="B959" s="316" t="s">
        <v>466</v>
      </c>
      <c r="C959" s="316" t="s">
        <v>261</v>
      </c>
      <c r="D959" s="316" t="s">
        <v>485</v>
      </c>
      <c r="E959" s="316" t="s">
        <v>272</v>
      </c>
      <c r="F959" s="316" t="s">
        <v>264</v>
      </c>
      <c r="G959" s="316" t="s">
        <v>273</v>
      </c>
      <c r="H959" s="3">
        <v>17.822560692503817</v>
      </c>
      <c r="I959" s="3">
        <v>12.958932092504551</v>
      </c>
      <c r="J959" s="318">
        <v>30.781492785008368</v>
      </c>
      <c r="K959" s="3">
        <v>17.045666624843349</v>
      </c>
      <c r="L959" s="3">
        <v>3.9420537650321101</v>
      </c>
      <c r="M959" s="318">
        <v>20.987720389875459</v>
      </c>
      <c r="N959" s="3">
        <v>37.526928253552285</v>
      </c>
      <c r="O959" s="3">
        <v>30.511939650878301</v>
      </c>
      <c r="P959" s="3">
        <v>8.7787994321725211</v>
      </c>
      <c r="Q959" s="3">
        <v>2.432924085292862</v>
      </c>
      <c r="R959" s="3">
        <v>22.543484893389721</v>
      </c>
      <c r="S959" s="3">
        <v>24.348681764471444</v>
      </c>
      <c r="T959" s="3">
        <v>24.67765126060376</v>
      </c>
      <c r="U959" s="3">
        <v>8.8389526686124587</v>
      </c>
      <c r="V959" s="318">
        <v>159.65936200897335</v>
      </c>
      <c r="W959" s="318">
        <v>211.42857518385716</v>
      </c>
      <c r="X959" s="3">
        <v>23.683396345121331</v>
      </c>
      <c r="Y959" s="318">
        <v>235.1119715289785</v>
      </c>
    </row>
    <row r="960" spans="1:25" x14ac:dyDescent="0.2">
      <c r="A960" s="316">
        <v>2022</v>
      </c>
      <c r="B960" s="316" t="s">
        <v>466</v>
      </c>
      <c r="C960" s="316" t="s">
        <v>261</v>
      </c>
      <c r="D960" s="316" t="s">
        <v>484</v>
      </c>
      <c r="E960" s="316" t="s">
        <v>274</v>
      </c>
      <c r="F960" s="316" t="s">
        <v>264</v>
      </c>
      <c r="G960" s="316" t="s">
        <v>275</v>
      </c>
      <c r="H960" s="3">
        <v>17.357544405480738</v>
      </c>
      <c r="I960" s="3">
        <v>10.726447257097131</v>
      </c>
      <c r="J960" s="318">
        <v>28.083991662577869</v>
      </c>
      <c r="K960" s="3">
        <v>1.7631524816863389</v>
      </c>
      <c r="L960" s="3">
        <v>4.5422436761372946</v>
      </c>
      <c r="M960" s="318">
        <v>6.3053961578236333</v>
      </c>
      <c r="N960" s="3">
        <v>18.129030901223484</v>
      </c>
      <c r="O960" s="3">
        <v>5.345613443016112</v>
      </c>
      <c r="P960" s="3">
        <v>1.0497087333842903</v>
      </c>
      <c r="Q960" s="3">
        <v>0.42001261988676714</v>
      </c>
      <c r="R960" s="3">
        <v>6.0131406286809463</v>
      </c>
      <c r="S960" s="3">
        <v>6.6546327467285593</v>
      </c>
      <c r="T960" s="3">
        <v>6.3825227171376868</v>
      </c>
      <c r="U960" s="3">
        <v>1.8882402026978058</v>
      </c>
      <c r="V960" s="318">
        <v>45.882901992755656</v>
      </c>
      <c r="W960" s="318">
        <v>80.272289813157158</v>
      </c>
      <c r="X960" s="3">
        <v>8.991785776933142</v>
      </c>
      <c r="Y960" s="318">
        <v>89.2640755900903</v>
      </c>
    </row>
    <row r="961" spans="1:25" x14ac:dyDescent="0.2">
      <c r="A961" s="316">
        <v>2022</v>
      </c>
      <c r="B961" s="316" t="s">
        <v>466</v>
      </c>
      <c r="C961" s="316" t="s">
        <v>261</v>
      </c>
      <c r="D961" s="316" t="s">
        <v>486</v>
      </c>
      <c r="E961" s="316" t="s">
        <v>276</v>
      </c>
      <c r="F961" s="316" t="s">
        <v>264</v>
      </c>
      <c r="G961" s="316" t="s">
        <v>277</v>
      </c>
      <c r="H961" s="3">
        <v>161.23303549868086</v>
      </c>
      <c r="I961" s="3">
        <v>0</v>
      </c>
      <c r="J961" s="318">
        <v>161.23303549868086</v>
      </c>
      <c r="K961" s="3">
        <v>45.559748664624109</v>
      </c>
      <c r="L961" s="3">
        <v>18.261843218793793</v>
      </c>
      <c r="M961" s="318">
        <v>63.821591883417902</v>
      </c>
      <c r="N961" s="3">
        <v>56.991199811840708</v>
      </c>
      <c r="O961" s="3">
        <v>217.74871148408937</v>
      </c>
      <c r="P961" s="3">
        <v>35.990163492296134</v>
      </c>
      <c r="Q961" s="3">
        <v>21.211121528066222</v>
      </c>
      <c r="R961" s="3">
        <v>131.08755125457952</v>
      </c>
      <c r="S961" s="3">
        <v>105.68609554590752</v>
      </c>
      <c r="T961" s="3">
        <v>94.2386651379326</v>
      </c>
      <c r="U961" s="3">
        <v>50.929393060608838</v>
      </c>
      <c r="V961" s="318">
        <v>713.88290131532085</v>
      </c>
      <c r="W961" s="318">
        <v>938.93752869741957</v>
      </c>
      <c r="X961" s="3">
        <v>105.17608424552995</v>
      </c>
      <c r="Y961" s="318">
        <v>1044.1136129429494</v>
      </c>
    </row>
    <row r="962" spans="1:25" x14ac:dyDescent="0.2">
      <c r="A962" s="316">
        <v>2022</v>
      </c>
      <c r="B962" s="316" t="s">
        <v>466</v>
      </c>
      <c r="C962" s="316" t="s">
        <v>261</v>
      </c>
      <c r="D962" s="316" t="s">
        <v>484</v>
      </c>
      <c r="E962" s="316" t="s">
        <v>278</v>
      </c>
      <c r="F962" s="316" t="s">
        <v>264</v>
      </c>
      <c r="G962" s="316" t="s">
        <v>279</v>
      </c>
      <c r="H962" s="3">
        <v>466.33492998631806</v>
      </c>
      <c r="I962" s="3">
        <v>0</v>
      </c>
      <c r="J962" s="318">
        <v>466.33492998631806</v>
      </c>
      <c r="K962" s="3">
        <v>14.357176733614885</v>
      </c>
      <c r="L962" s="3">
        <v>28.189901202395951</v>
      </c>
      <c r="M962" s="318">
        <v>42.547077936010837</v>
      </c>
      <c r="N962" s="3">
        <v>13.451579715734374</v>
      </c>
      <c r="O962" s="3">
        <v>55.329048432065456</v>
      </c>
      <c r="P962" s="3">
        <v>14.518473969840786</v>
      </c>
      <c r="Q962" s="3">
        <v>3.9962563955007755</v>
      </c>
      <c r="R962" s="3">
        <v>43.504778489866766</v>
      </c>
      <c r="S962" s="3">
        <v>24.18568969921818</v>
      </c>
      <c r="T962" s="3">
        <v>30.589402784637294</v>
      </c>
      <c r="U962" s="3">
        <v>13.891977422200442</v>
      </c>
      <c r="V962" s="318">
        <v>199.46720690906409</v>
      </c>
      <c r="W962" s="318">
        <v>708.34921483139306</v>
      </c>
      <c r="X962" s="3">
        <v>79.346489428020561</v>
      </c>
      <c r="Y962" s="318">
        <v>787.69570425941356</v>
      </c>
    </row>
    <row r="963" spans="1:25" x14ac:dyDescent="0.2">
      <c r="A963" s="316">
        <v>2022</v>
      </c>
      <c r="B963" s="316" t="s">
        <v>466</v>
      </c>
      <c r="C963" s="316" t="s">
        <v>261</v>
      </c>
      <c r="D963" s="316" t="s">
        <v>486</v>
      </c>
      <c r="E963" s="316" t="s">
        <v>280</v>
      </c>
      <c r="F963" s="316" t="s">
        <v>264</v>
      </c>
      <c r="G963" s="316" t="s">
        <v>281</v>
      </c>
      <c r="H963" s="3">
        <v>63.902371668582084</v>
      </c>
      <c r="I963" s="3">
        <v>42.757376350533683</v>
      </c>
      <c r="J963" s="318">
        <v>106.65974801911577</v>
      </c>
      <c r="K963" s="3">
        <v>31.115299772300784</v>
      </c>
      <c r="L963" s="3">
        <v>26.164054362826793</v>
      </c>
      <c r="M963" s="318">
        <v>57.279354135127576</v>
      </c>
      <c r="N963" s="3">
        <v>65.681784057936582</v>
      </c>
      <c r="O963" s="3">
        <v>162.92735032579313</v>
      </c>
      <c r="P963" s="3">
        <v>25.918675730812605</v>
      </c>
      <c r="Q963" s="3">
        <v>10.305712146104828</v>
      </c>
      <c r="R963" s="3">
        <v>95.00274999916013</v>
      </c>
      <c r="S963" s="3">
        <v>69.053287538502545</v>
      </c>
      <c r="T963" s="3">
        <v>78.537511144590084</v>
      </c>
      <c r="U963" s="3">
        <v>30.377149752042698</v>
      </c>
      <c r="V963" s="318">
        <v>537.80422069494261</v>
      </c>
      <c r="W963" s="318">
        <v>701.74332284918603</v>
      </c>
      <c r="X963" s="3">
        <v>78.606523423465035</v>
      </c>
      <c r="Y963" s="318">
        <v>780.34984627265112</v>
      </c>
    </row>
    <row r="964" spans="1:25" x14ac:dyDescent="0.2">
      <c r="A964" s="316">
        <v>2022</v>
      </c>
      <c r="B964" s="316" t="s">
        <v>466</v>
      </c>
      <c r="C964" s="316" t="s">
        <v>261</v>
      </c>
      <c r="D964" s="316" t="s">
        <v>486</v>
      </c>
      <c r="E964" s="316" t="s">
        <v>282</v>
      </c>
      <c r="F964" s="316" t="s">
        <v>264</v>
      </c>
      <c r="G964" s="316" t="s">
        <v>284</v>
      </c>
      <c r="H964" s="3">
        <v>208.7122737979729</v>
      </c>
      <c r="I964" s="3">
        <v>0</v>
      </c>
      <c r="J964" s="318">
        <v>208.7122737979729</v>
      </c>
      <c r="K964" s="3">
        <v>44.566874271756085</v>
      </c>
      <c r="L964" s="3">
        <v>14.807823679944271</v>
      </c>
      <c r="M964" s="318">
        <v>59.374697951700355</v>
      </c>
      <c r="N964" s="3">
        <v>21.518696751985917</v>
      </c>
      <c r="O964" s="3">
        <v>138.37583375726811</v>
      </c>
      <c r="P964" s="3">
        <v>20.548314592962114</v>
      </c>
      <c r="Q964" s="3">
        <v>14.035404988994046</v>
      </c>
      <c r="R964" s="3">
        <v>67.915295138921266</v>
      </c>
      <c r="S964" s="3">
        <v>58.243228701905799</v>
      </c>
      <c r="T964" s="3">
        <v>72.613306351573428</v>
      </c>
      <c r="U964" s="3">
        <v>24.557790279321537</v>
      </c>
      <c r="V964" s="318">
        <v>417.80787056293229</v>
      </c>
      <c r="W964" s="318">
        <v>685.89484231260553</v>
      </c>
      <c r="X964" s="3">
        <v>76.831239048165358</v>
      </c>
      <c r="Y964" s="318">
        <v>762.72608136077088</v>
      </c>
    </row>
    <row r="965" spans="1:25" x14ac:dyDescent="0.2">
      <c r="A965" s="316">
        <v>2022</v>
      </c>
      <c r="B965" s="316" t="s">
        <v>466</v>
      </c>
      <c r="C965" s="316" t="s">
        <v>261</v>
      </c>
      <c r="D965" s="316" t="s">
        <v>484</v>
      </c>
      <c r="E965" s="316" t="s">
        <v>285</v>
      </c>
      <c r="F965" s="316" t="s">
        <v>264</v>
      </c>
      <c r="G965" s="316" t="s">
        <v>286</v>
      </c>
      <c r="H965" s="3">
        <v>29.019531532551209</v>
      </c>
      <c r="I965" s="3">
        <v>0</v>
      </c>
      <c r="J965" s="318">
        <v>29.019531532551209</v>
      </c>
      <c r="K965" s="3">
        <v>4.5665916159865843</v>
      </c>
      <c r="L965" s="3">
        <v>3.1515461976769998</v>
      </c>
      <c r="M965" s="318">
        <v>7.7181378136635841</v>
      </c>
      <c r="N965" s="3">
        <v>10.933870949831913</v>
      </c>
      <c r="O965" s="3">
        <v>18.455445616697087</v>
      </c>
      <c r="P965" s="3">
        <v>5.9564393241729432</v>
      </c>
      <c r="Q965" s="3">
        <v>1.8552486844143152</v>
      </c>
      <c r="R965" s="3">
        <v>20.657158078413257</v>
      </c>
      <c r="S965" s="3">
        <v>11.142161223348197</v>
      </c>
      <c r="T965" s="3">
        <v>16.688620049893178</v>
      </c>
      <c r="U965" s="3">
        <v>5.7125018771465479</v>
      </c>
      <c r="V965" s="318">
        <v>91.40144580391744</v>
      </c>
      <c r="W965" s="318">
        <v>128.13911515013223</v>
      </c>
      <c r="X965" s="3">
        <v>14.353639042285097</v>
      </c>
      <c r="Y965" s="318">
        <v>142.49275419241732</v>
      </c>
    </row>
    <row r="966" spans="1:25" x14ac:dyDescent="0.2">
      <c r="A966" s="316">
        <v>2022</v>
      </c>
      <c r="B966" s="316" t="s">
        <v>466</v>
      </c>
      <c r="C966" s="316" t="s">
        <v>261</v>
      </c>
      <c r="D966" s="316" t="s">
        <v>486</v>
      </c>
      <c r="E966" s="316" t="s">
        <v>287</v>
      </c>
      <c r="F966" s="316" t="s">
        <v>264</v>
      </c>
      <c r="G966" s="316" t="s">
        <v>288</v>
      </c>
      <c r="H966" s="3">
        <v>102.9513382365793</v>
      </c>
      <c r="I966" s="3">
        <v>0</v>
      </c>
      <c r="J966" s="318">
        <v>102.9513382365793</v>
      </c>
      <c r="K966" s="3">
        <v>805.27088961023048</v>
      </c>
      <c r="L966" s="3">
        <v>103.16794716821516</v>
      </c>
      <c r="M966" s="318">
        <v>908.43883677844565</v>
      </c>
      <c r="N966" s="3">
        <v>112.42456932330454</v>
      </c>
      <c r="O966" s="3">
        <v>238.06705297312362</v>
      </c>
      <c r="P966" s="3">
        <v>34.161188283349482</v>
      </c>
      <c r="Q966" s="3">
        <v>13.698675233693896</v>
      </c>
      <c r="R966" s="3">
        <v>110.69107250439116</v>
      </c>
      <c r="S966" s="3">
        <v>109.75890316911814</v>
      </c>
      <c r="T966" s="3">
        <v>62.954175701655466</v>
      </c>
      <c r="U966" s="3">
        <v>40.242628334454658</v>
      </c>
      <c r="V966" s="318">
        <v>721.99826552309105</v>
      </c>
      <c r="W966" s="318">
        <v>1733.3884405381159</v>
      </c>
      <c r="X966" s="3">
        <v>194.16734668725314</v>
      </c>
      <c r="Y966" s="318">
        <v>1927.5557872253689</v>
      </c>
    </row>
    <row r="967" spans="1:25" x14ac:dyDescent="0.2">
      <c r="A967" s="316">
        <v>2022</v>
      </c>
      <c r="B967" s="316" t="s">
        <v>466</v>
      </c>
      <c r="C967" s="316" t="s">
        <v>261</v>
      </c>
      <c r="D967" s="316" t="s">
        <v>484</v>
      </c>
      <c r="E967" s="316" t="s">
        <v>289</v>
      </c>
      <c r="F967" s="316" t="s">
        <v>264</v>
      </c>
      <c r="G967" s="316" t="s">
        <v>290</v>
      </c>
      <c r="H967" s="3">
        <v>5.6336457191768954</v>
      </c>
      <c r="I967" s="3">
        <v>0</v>
      </c>
      <c r="J967" s="318">
        <v>5.6336457191768954</v>
      </c>
      <c r="K967" s="3">
        <v>11.772724083135046</v>
      </c>
      <c r="L967" s="3">
        <v>19.951317166884287</v>
      </c>
      <c r="M967" s="318">
        <v>31.724041250019333</v>
      </c>
      <c r="N967" s="3">
        <v>31.799989037676337</v>
      </c>
      <c r="O967" s="3">
        <v>186.95628142257729</v>
      </c>
      <c r="P967" s="3">
        <v>15.32453893490921</v>
      </c>
      <c r="Q967" s="3">
        <v>4.9195285423600641</v>
      </c>
      <c r="R967" s="3">
        <v>77.347505523811876</v>
      </c>
      <c r="S967" s="3">
        <v>60.636373943517881</v>
      </c>
      <c r="T967" s="3">
        <v>83.42953049145936</v>
      </c>
      <c r="U967" s="3">
        <v>22.525142238713684</v>
      </c>
      <c r="V967" s="318">
        <v>482.93889013502564</v>
      </c>
      <c r="W967" s="318">
        <v>520.29657710422191</v>
      </c>
      <c r="X967" s="3">
        <v>58.281573537795367</v>
      </c>
      <c r="Y967" s="318">
        <v>578.57815064201725</v>
      </c>
    </row>
    <row r="968" spans="1:25" x14ac:dyDescent="0.2">
      <c r="A968" s="316">
        <v>2022</v>
      </c>
      <c r="B968" s="316" t="s">
        <v>466</v>
      </c>
      <c r="C968" s="316" t="s">
        <v>261</v>
      </c>
      <c r="D968" s="316" t="s">
        <v>486</v>
      </c>
      <c r="E968" s="316" t="s">
        <v>291</v>
      </c>
      <c r="F968" s="316" t="s">
        <v>264</v>
      </c>
      <c r="G968" s="316" t="s">
        <v>292</v>
      </c>
      <c r="H968" s="3">
        <v>52.767739727326926</v>
      </c>
      <c r="I968" s="3">
        <v>32.049168114875997</v>
      </c>
      <c r="J968" s="318">
        <v>84.816907842202923</v>
      </c>
      <c r="K968" s="3">
        <v>83.634231236585705</v>
      </c>
      <c r="L968" s="3">
        <v>36.663492419590199</v>
      </c>
      <c r="M968" s="318">
        <v>120.2977236561759</v>
      </c>
      <c r="N968" s="3">
        <v>93.720530876406798</v>
      </c>
      <c r="O968" s="3">
        <v>342.71350869048149</v>
      </c>
      <c r="P968" s="3">
        <v>52.045849678605656</v>
      </c>
      <c r="Q968" s="3">
        <v>42.108958723027044</v>
      </c>
      <c r="R968" s="3">
        <v>175.25410625695864</v>
      </c>
      <c r="S968" s="3">
        <v>125.17094350490756</v>
      </c>
      <c r="T968" s="3">
        <v>97.000931933883138</v>
      </c>
      <c r="U968" s="3">
        <v>58.562306451980341</v>
      </c>
      <c r="V968" s="318">
        <v>986.57713611625059</v>
      </c>
      <c r="W968" s="318">
        <v>1191.6917676146295</v>
      </c>
      <c r="X968" s="3">
        <v>133.48861869353587</v>
      </c>
      <c r="Y968" s="318">
        <v>1325.1803863081655</v>
      </c>
    </row>
    <row r="969" spans="1:25" x14ac:dyDescent="0.2">
      <c r="A969" s="316">
        <v>2022</v>
      </c>
      <c r="B969" s="316" t="s">
        <v>466</v>
      </c>
      <c r="C969" s="316" t="s">
        <v>261</v>
      </c>
      <c r="D969" s="316" t="s">
        <v>486</v>
      </c>
      <c r="E969" s="316" t="s">
        <v>293</v>
      </c>
      <c r="F969" s="316" t="s">
        <v>264</v>
      </c>
      <c r="G969" s="316" t="s">
        <v>295</v>
      </c>
      <c r="H969" s="3">
        <v>50.047864686686083</v>
      </c>
      <c r="I969" s="3">
        <v>28.710794855436362</v>
      </c>
      <c r="J969" s="318">
        <v>78.758659542122444</v>
      </c>
      <c r="K969" s="3">
        <v>35.585142261400236</v>
      </c>
      <c r="L969" s="3">
        <v>13.101996688411724</v>
      </c>
      <c r="M969" s="318">
        <v>48.68713894981196</v>
      </c>
      <c r="N969" s="3">
        <v>23.086458541130575</v>
      </c>
      <c r="O969" s="3">
        <v>90.33906191834437</v>
      </c>
      <c r="P969" s="3">
        <v>9.8571621788995873</v>
      </c>
      <c r="Q969" s="3">
        <v>10.488358973863468</v>
      </c>
      <c r="R969" s="3">
        <v>40.307377547149684</v>
      </c>
      <c r="S969" s="3">
        <v>39.0349740145355</v>
      </c>
      <c r="T969" s="3">
        <v>47.335414493955057</v>
      </c>
      <c r="U969" s="3">
        <v>18.617552010590288</v>
      </c>
      <c r="V969" s="318">
        <v>279.06635967846853</v>
      </c>
      <c r="W969" s="318">
        <v>406.51215817040293</v>
      </c>
      <c r="X969" s="3">
        <v>45.535891034067667</v>
      </c>
      <c r="Y969" s="318">
        <v>452.0480492044706</v>
      </c>
    </row>
    <row r="970" spans="1:25" x14ac:dyDescent="0.2">
      <c r="A970" s="316">
        <v>2022</v>
      </c>
      <c r="B970" s="316" t="s">
        <v>466</v>
      </c>
      <c r="C970" s="316" t="s">
        <v>261</v>
      </c>
      <c r="D970" s="316" t="s">
        <v>486</v>
      </c>
      <c r="E970" s="316" t="s">
        <v>296</v>
      </c>
      <c r="F970" s="316" t="s">
        <v>264</v>
      </c>
      <c r="G970" s="316" t="s">
        <v>297</v>
      </c>
      <c r="H970" s="3">
        <v>194.2594929934067</v>
      </c>
      <c r="I970" s="3">
        <v>111.86200639936925</v>
      </c>
      <c r="J970" s="318">
        <v>306.12149939277595</v>
      </c>
      <c r="K970" s="3">
        <v>581.93417413835994</v>
      </c>
      <c r="L970" s="3">
        <v>106.69488790320986</v>
      </c>
      <c r="M970" s="318">
        <v>688.6290620415698</v>
      </c>
      <c r="N970" s="3">
        <v>78.861958316213915</v>
      </c>
      <c r="O970" s="3">
        <v>261.11493425060917</v>
      </c>
      <c r="P970" s="3">
        <v>54.200062102821299</v>
      </c>
      <c r="Q970" s="3">
        <v>23.640215733648269</v>
      </c>
      <c r="R970" s="3">
        <v>122.88405690589752</v>
      </c>
      <c r="S970" s="3">
        <v>126.67741907500746</v>
      </c>
      <c r="T970" s="3">
        <v>116.74091690023548</v>
      </c>
      <c r="U970" s="3">
        <v>50.105787805349827</v>
      </c>
      <c r="V970" s="318">
        <v>834.22535108978298</v>
      </c>
      <c r="W970" s="318">
        <v>1828.9759125241289</v>
      </c>
      <c r="X970" s="3">
        <v>204.87467885701454</v>
      </c>
      <c r="Y970" s="318">
        <v>2033.8505913811434</v>
      </c>
    </row>
    <row r="971" spans="1:25" x14ac:dyDescent="0.2">
      <c r="A971" s="316">
        <v>2022</v>
      </c>
      <c r="B971" s="316" t="s">
        <v>466</v>
      </c>
      <c r="C971" s="316" t="s">
        <v>261</v>
      </c>
      <c r="D971" s="316" t="s">
        <v>483</v>
      </c>
      <c r="E971" s="316" t="s">
        <v>298</v>
      </c>
      <c r="F971" s="316" t="s">
        <v>264</v>
      </c>
      <c r="G971" s="316" t="s">
        <v>299</v>
      </c>
      <c r="H971" s="3">
        <v>50.816192034085176</v>
      </c>
      <c r="I971" s="3">
        <v>0</v>
      </c>
      <c r="J971" s="318">
        <v>50.816192034085176</v>
      </c>
      <c r="K971" s="3">
        <v>3.5879935643717769</v>
      </c>
      <c r="L971" s="3">
        <v>12.54433075753556</v>
      </c>
      <c r="M971" s="318">
        <v>16.132324321907337</v>
      </c>
      <c r="N971" s="3">
        <v>28.768933354241121</v>
      </c>
      <c r="O971" s="3">
        <v>15.324191618399579</v>
      </c>
      <c r="P971" s="3">
        <v>2.2536047242885848</v>
      </c>
      <c r="Q971" s="3">
        <v>1.1293889786435953</v>
      </c>
      <c r="R971" s="3">
        <v>7.2349797099570949</v>
      </c>
      <c r="S971" s="3">
        <v>13.601753044123997</v>
      </c>
      <c r="T971" s="3">
        <v>17.307805116482879</v>
      </c>
      <c r="U971" s="3">
        <v>4.0920399785737409</v>
      </c>
      <c r="V971" s="318">
        <v>89.712696524710594</v>
      </c>
      <c r="W971" s="318">
        <v>156.66121288070309</v>
      </c>
      <c r="X971" s="3">
        <v>17.548572104478719</v>
      </c>
      <c r="Y971" s="318">
        <v>174.20978498518181</v>
      </c>
    </row>
    <row r="972" spans="1:25" x14ac:dyDescent="0.2">
      <c r="A972" s="316">
        <v>2022</v>
      </c>
      <c r="B972" s="316" t="s">
        <v>466</v>
      </c>
      <c r="C972" s="316" t="s">
        <v>261</v>
      </c>
      <c r="D972" s="316" t="s">
        <v>486</v>
      </c>
      <c r="E972" s="316" t="s">
        <v>300</v>
      </c>
      <c r="F972" s="316" t="s">
        <v>264</v>
      </c>
      <c r="G972" s="316" t="s">
        <v>301</v>
      </c>
      <c r="H972" s="3">
        <v>45.648212347444002</v>
      </c>
      <c r="I972" s="3">
        <v>26.835914976289658</v>
      </c>
      <c r="J972" s="318">
        <v>72.484127323733659</v>
      </c>
      <c r="K972" s="3">
        <v>2212.6274690488535</v>
      </c>
      <c r="L972" s="3">
        <v>299.84380772922805</v>
      </c>
      <c r="M972" s="318">
        <v>2512.4712767780816</v>
      </c>
      <c r="N972" s="3">
        <v>242.7173767719035</v>
      </c>
      <c r="O972" s="3">
        <v>1102.5602893238506</v>
      </c>
      <c r="P972" s="3">
        <v>77.991595091502049</v>
      </c>
      <c r="Q972" s="3">
        <v>81.427215022236538</v>
      </c>
      <c r="R972" s="3">
        <v>272.39524301119121</v>
      </c>
      <c r="S972" s="3">
        <v>338.14356505490389</v>
      </c>
      <c r="T972" s="3">
        <v>339.51613097768046</v>
      </c>
      <c r="U972" s="3">
        <v>98.392336048168048</v>
      </c>
      <c r="V972" s="318">
        <v>2553.1437513014362</v>
      </c>
      <c r="W972" s="318">
        <v>5138.0991554032507</v>
      </c>
      <c r="X972" s="3">
        <v>575.54963255146276</v>
      </c>
      <c r="Y972" s="318">
        <v>5713.648787954713</v>
      </c>
    </row>
    <row r="973" spans="1:25" x14ac:dyDescent="0.2">
      <c r="A973" s="316">
        <v>2022</v>
      </c>
      <c r="B973" s="316" t="s">
        <v>466</v>
      </c>
      <c r="C973" s="316" t="s">
        <v>261</v>
      </c>
      <c r="D973" s="316" t="s">
        <v>484</v>
      </c>
      <c r="E973" s="316" t="s">
        <v>302</v>
      </c>
      <c r="F973" s="316" t="s">
        <v>264</v>
      </c>
      <c r="G973" s="316" t="s">
        <v>303</v>
      </c>
      <c r="H973" s="3">
        <v>14.61316538935113</v>
      </c>
      <c r="I973" s="3">
        <v>16.565789344881296</v>
      </c>
      <c r="J973" s="318">
        <v>31.178954734232427</v>
      </c>
      <c r="K973" s="3">
        <v>21.615814806599303</v>
      </c>
      <c r="L973" s="3">
        <v>50.529625025520119</v>
      </c>
      <c r="M973" s="318">
        <v>72.145439832119422</v>
      </c>
      <c r="N973" s="3">
        <v>80.788317425520262</v>
      </c>
      <c r="O973" s="3">
        <v>268.71159885090464</v>
      </c>
      <c r="P973" s="3">
        <v>41.031941931530696</v>
      </c>
      <c r="Q973" s="3">
        <v>18.986625833452926</v>
      </c>
      <c r="R973" s="3">
        <v>163.49588854018015</v>
      </c>
      <c r="S973" s="3">
        <v>152.83518001757872</v>
      </c>
      <c r="T973" s="3">
        <v>288.61759707242663</v>
      </c>
      <c r="U973" s="3">
        <v>74.824899545051665</v>
      </c>
      <c r="V973" s="318">
        <v>1089.2920492166456</v>
      </c>
      <c r="W973" s="318">
        <v>1192.6164437829973</v>
      </c>
      <c r="X973" s="3">
        <v>133.5921972763613</v>
      </c>
      <c r="Y973" s="318">
        <v>1326.2086410593586</v>
      </c>
    </row>
    <row r="974" spans="1:25" x14ac:dyDescent="0.2">
      <c r="A974" s="316">
        <v>2022</v>
      </c>
      <c r="B974" s="316" t="s">
        <v>466</v>
      </c>
      <c r="C974" s="316" t="s">
        <v>261</v>
      </c>
      <c r="D974" s="316" t="s">
        <v>485</v>
      </c>
      <c r="E974" s="316" t="s">
        <v>304</v>
      </c>
      <c r="F974" s="316" t="s">
        <v>264</v>
      </c>
      <c r="G974" s="316" t="s">
        <v>305</v>
      </c>
      <c r="H974" s="3">
        <v>10.208950108502114</v>
      </c>
      <c r="I974" s="3">
        <v>0</v>
      </c>
      <c r="J974" s="318">
        <v>10.208950108502114</v>
      </c>
      <c r="K974" s="3">
        <v>1.4316178695044566</v>
      </c>
      <c r="L974" s="3">
        <v>4.7915485497513632</v>
      </c>
      <c r="M974" s="318">
        <v>6.2231664192558203</v>
      </c>
      <c r="N974" s="3">
        <v>11.65065666783636</v>
      </c>
      <c r="O974" s="3">
        <v>16.273190756010564</v>
      </c>
      <c r="P974" s="3">
        <v>4.0686190752938902</v>
      </c>
      <c r="Q974" s="3">
        <v>1.191447809554455</v>
      </c>
      <c r="R974" s="3">
        <v>12.014442173265234</v>
      </c>
      <c r="S974" s="3">
        <v>10.500721640344347</v>
      </c>
      <c r="T974" s="3">
        <v>21.388610862213547</v>
      </c>
      <c r="U974" s="3">
        <v>6.0922012940098131</v>
      </c>
      <c r="V974" s="318">
        <v>83.179890278528205</v>
      </c>
      <c r="W974" s="318">
        <v>99.612006806286132</v>
      </c>
      <c r="X974" s="3">
        <v>11.158144710925155</v>
      </c>
      <c r="Y974" s="318">
        <v>110.77015151721129</v>
      </c>
    </row>
    <row r="975" spans="1:25" x14ac:dyDescent="0.2">
      <c r="A975" s="316">
        <v>2022</v>
      </c>
      <c r="B975" s="316" t="s">
        <v>466</v>
      </c>
      <c r="C975" s="316" t="s">
        <v>261</v>
      </c>
      <c r="D975" s="316" t="s">
        <v>485</v>
      </c>
      <c r="E975" s="316" t="s">
        <v>306</v>
      </c>
      <c r="F975" s="316" t="s">
        <v>264</v>
      </c>
      <c r="G975" s="316" t="s">
        <v>307</v>
      </c>
      <c r="H975" s="3">
        <v>13.186358207660911</v>
      </c>
      <c r="I975" s="3">
        <v>0</v>
      </c>
      <c r="J975" s="318">
        <v>13.186358207660911</v>
      </c>
      <c r="K975" s="3">
        <v>4.431618838944539</v>
      </c>
      <c r="L975" s="3">
        <v>8.2539359025508361</v>
      </c>
      <c r="M975" s="318">
        <v>12.685554741495375</v>
      </c>
      <c r="N975" s="3">
        <v>48.509398549040753</v>
      </c>
      <c r="O975" s="3">
        <v>23.146570528366851</v>
      </c>
      <c r="P975" s="3">
        <v>5.0595154293981119</v>
      </c>
      <c r="Q975" s="3">
        <v>1.4825416300522019</v>
      </c>
      <c r="R975" s="3">
        <v>11.797396856612842</v>
      </c>
      <c r="S975" s="3">
        <v>19.64923132455549</v>
      </c>
      <c r="T975" s="3">
        <v>20.657394374857116</v>
      </c>
      <c r="U975" s="3">
        <v>6.8325134901751845</v>
      </c>
      <c r="V975" s="318">
        <v>137.13456218305853</v>
      </c>
      <c r="W975" s="318">
        <v>163.0064751322148</v>
      </c>
      <c r="X975" s="3">
        <v>18.25934339301249</v>
      </c>
      <c r="Y975" s="318">
        <v>181.2658185252273</v>
      </c>
    </row>
    <row r="976" spans="1:25" x14ac:dyDescent="0.2">
      <c r="A976" s="316">
        <v>2022</v>
      </c>
      <c r="B976" s="316" t="s">
        <v>466</v>
      </c>
      <c r="C976" s="316" t="s">
        <v>261</v>
      </c>
      <c r="D976" s="316" t="s">
        <v>484</v>
      </c>
      <c r="E976" s="316" t="s">
        <v>308</v>
      </c>
      <c r="F976" s="316" t="s">
        <v>264</v>
      </c>
      <c r="G976" s="316" t="s">
        <v>309</v>
      </c>
      <c r="H976" s="3">
        <v>15.723612150421905</v>
      </c>
      <c r="I976" s="3">
        <v>8.8501432846701302</v>
      </c>
      <c r="J976" s="318">
        <v>24.573755435092036</v>
      </c>
      <c r="K976" s="3">
        <v>4.6043238768632566</v>
      </c>
      <c r="L976" s="3">
        <v>16.650999103781984</v>
      </c>
      <c r="M976" s="318">
        <v>21.255322980645239</v>
      </c>
      <c r="N976" s="3">
        <v>73.292214132068707</v>
      </c>
      <c r="O976" s="3">
        <v>63.431163187508837</v>
      </c>
      <c r="P976" s="3">
        <v>7.2594586829445218</v>
      </c>
      <c r="Q976" s="3">
        <v>3.1173328682208088</v>
      </c>
      <c r="R976" s="3">
        <v>28.291151733128793</v>
      </c>
      <c r="S976" s="3">
        <v>37.876131933874547</v>
      </c>
      <c r="T976" s="3">
        <v>37.656222803605232</v>
      </c>
      <c r="U976" s="3">
        <v>12.757123179842672</v>
      </c>
      <c r="V976" s="318">
        <v>263.68079852119411</v>
      </c>
      <c r="W976" s="318">
        <v>309.50987693693139</v>
      </c>
      <c r="X976" s="3">
        <v>34.670077504200798</v>
      </c>
      <c r="Y976" s="318">
        <v>344.17995444113217</v>
      </c>
    </row>
    <row r="977" spans="1:25" x14ac:dyDescent="0.2">
      <c r="A977" s="316">
        <v>2022</v>
      </c>
      <c r="B977" s="316" t="s">
        <v>466</v>
      </c>
      <c r="C977" s="316" t="s">
        <v>261</v>
      </c>
      <c r="D977" s="316" t="s">
        <v>486</v>
      </c>
      <c r="E977" s="316" t="s">
        <v>310</v>
      </c>
      <c r="F977" s="316" t="s">
        <v>264</v>
      </c>
      <c r="G977" s="316" t="s">
        <v>311</v>
      </c>
      <c r="H977" s="3">
        <v>195.17223328754855</v>
      </c>
      <c r="I977" s="3">
        <v>0</v>
      </c>
      <c r="J977" s="318">
        <v>195.17223328754855</v>
      </c>
      <c r="K977" s="3">
        <v>9.5301381175120472</v>
      </c>
      <c r="L977" s="3">
        <v>15.087885760337011</v>
      </c>
      <c r="M977" s="318">
        <v>24.618023877849058</v>
      </c>
      <c r="N977" s="3">
        <v>13.714800045649355</v>
      </c>
      <c r="O977" s="3">
        <v>50.475798993760108</v>
      </c>
      <c r="P977" s="3">
        <v>9.1922324975734124</v>
      </c>
      <c r="Q977" s="3">
        <v>3.9410701525794902</v>
      </c>
      <c r="R977" s="3">
        <v>43.798442121982077</v>
      </c>
      <c r="S977" s="3">
        <v>25.268718759891339</v>
      </c>
      <c r="T977" s="3">
        <v>43.477005855856696</v>
      </c>
      <c r="U977" s="3">
        <v>16.554298815999879</v>
      </c>
      <c r="V977" s="318">
        <v>206.42236724329237</v>
      </c>
      <c r="W977" s="318">
        <v>426.21262440868998</v>
      </c>
      <c r="X977" s="3">
        <v>47.742659677801392</v>
      </c>
      <c r="Y977" s="318">
        <v>473.95528408649136</v>
      </c>
    </row>
    <row r="978" spans="1:25" x14ac:dyDescent="0.2">
      <c r="A978" s="316">
        <v>2022</v>
      </c>
      <c r="B978" s="316" t="s">
        <v>466</v>
      </c>
      <c r="C978" s="316" t="s">
        <v>261</v>
      </c>
      <c r="D978" s="316" t="s">
        <v>483</v>
      </c>
      <c r="E978" s="316" t="s">
        <v>312</v>
      </c>
      <c r="F978" s="316" t="s">
        <v>264</v>
      </c>
      <c r="G978" s="316" t="s">
        <v>313</v>
      </c>
      <c r="H978" s="3">
        <v>281.86878650878992</v>
      </c>
      <c r="I978" s="3">
        <v>256.62581733117912</v>
      </c>
      <c r="J978" s="318">
        <v>538.49460383996905</v>
      </c>
      <c r="K978" s="3">
        <v>396.85060692380097</v>
      </c>
      <c r="L978" s="3">
        <v>20.110264128139249</v>
      </c>
      <c r="M978" s="318">
        <v>416.96087105194022</v>
      </c>
      <c r="N978" s="3">
        <v>110.31524617495883</v>
      </c>
      <c r="O978" s="3">
        <v>69.854189768803522</v>
      </c>
      <c r="P978" s="3">
        <v>13.339375809665352</v>
      </c>
      <c r="Q978" s="3">
        <v>10.199088290149616</v>
      </c>
      <c r="R978" s="3">
        <v>42.86835842889262</v>
      </c>
      <c r="S978" s="3">
        <v>103.06625975755217</v>
      </c>
      <c r="T978" s="3">
        <v>70.81073204276997</v>
      </c>
      <c r="U978" s="3">
        <v>22.365200425051317</v>
      </c>
      <c r="V978" s="318">
        <v>442.81845069784345</v>
      </c>
      <c r="W978" s="318">
        <v>1398.2739255897527</v>
      </c>
      <c r="X978" s="3">
        <v>156.62913846907122</v>
      </c>
      <c r="Y978" s="318">
        <v>1554.9030640588239</v>
      </c>
    </row>
    <row r="979" spans="1:25" x14ac:dyDescent="0.2">
      <c r="A979" s="316">
        <v>2022</v>
      </c>
      <c r="B979" s="316" t="s">
        <v>466</v>
      </c>
      <c r="C979" s="316" t="s">
        <v>314</v>
      </c>
      <c r="D979" s="316" t="s">
        <v>487</v>
      </c>
      <c r="E979" s="316" t="s">
        <v>316</v>
      </c>
      <c r="F979" s="316" t="s">
        <v>317</v>
      </c>
      <c r="G979" s="316" t="s">
        <v>318</v>
      </c>
      <c r="H979" s="3">
        <v>20.040715263652217</v>
      </c>
      <c r="I979" s="3">
        <v>37.350112867959986</v>
      </c>
      <c r="J979" s="318">
        <v>57.390828131612203</v>
      </c>
      <c r="K979" s="3">
        <v>242.40901284700101</v>
      </c>
      <c r="L979" s="3">
        <v>95.176392182989218</v>
      </c>
      <c r="M979" s="318">
        <v>337.58540502999023</v>
      </c>
      <c r="N979" s="3">
        <v>40.390280142779631</v>
      </c>
      <c r="O979" s="3">
        <v>103.82429614103876</v>
      </c>
      <c r="P979" s="3">
        <v>12.586069690739503</v>
      </c>
      <c r="Q979" s="3">
        <v>7.6475017852305838</v>
      </c>
      <c r="R979" s="3">
        <v>41.278812604871447</v>
      </c>
      <c r="S979" s="3">
        <v>56.611856398811781</v>
      </c>
      <c r="T979" s="3">
        <v>64.140692462159748</v>
      </c>
      <c r="U979" s="3">
        <v>22.697938509694332</v>
      </c>
      <c r="V979" s="318">
        <v>349.17744773532576</v>
      </c>
      <c r="W979" s="318">
        <v>744.15368089692822</v>
      </c>
      <c r="X979" s="3">
        <v>83.357164711709757</v>
      </c>
      <c r="Y979" s="318">
        <v>827.51084560863796</v>
      </c>
    </row>
    <row r="980" spans="1:25" x14ac:dyDescent="0.2">
      <c r="A980" s="316">
        <v>2022</v>
      </c>
      <c r="B980" s="316" t="s">
        <v>466</v>
      </c>
      <c r="C980" s="316" t="s">
        <v>314</v>
      </c>
      <c r="D980" s="316" t="s">
        <v>488</v>
      </c>
      <c r="E980" s="316" t="s">
        <v>319</v>
      </c>
      <c r="F980" s="316" t="s">
        <v>317</v>
      </c>
      <c r="G980" s="316" t="s">
        <v>321</v>
      </c>
      <c r="H980" s="3">
        <v>146.82956516058891</v>
      </c>
      <c r="I980" s="3">
        <v>82.64403687510756</v>
      </c>
      <c r="J980" s="318">
        <v>229.47360203569647</v>
      </c>
      <c r="K980" s="3">
        <v>48.970475217450961</v>
      </c>
      <c r="L980" s="3">
        <v>118.93753238377928</v>
      </c>
      <c r="M980" s="318">
        <v>167.90800760123025</v>
      </c>
      <c r="N980" s="3">
        <v>32.043756807271109</v>
      </c>
      <c r="O980" s="3">
        <v>127.97676378224688</v>
      </c>
      <c r="P980" s="3">
        <v>20.501525174898056</v>
      </c>
      <c r="Q980" s="3">
        <v>22.510290914742995</v>
      </c>
      <c r="R980" s="3">
        <v>56.830504267855737</v>
      </c>
      <c r="S980" s="3">
        <v>61.020979001770051</v>
      </c>
      <c r="T980" s="3">
        <v>106.24563883536565</v>
      </c>
      <c r="U980" s="3">
        <v>29.822605747904795</v>
      </c>
      <c r="V980" s="318">
        <v>456.95206453205526</v>
      </c>
      <c r="W980" s="318">
        <v>854.33367416898193</v>
      </c>
      <c r="X980" s="3">
        <v>95.699093647737897</v>
      </c>
      <c r="Y980" s="318">
        <v>950.0327678167198</v>
      </c>
    </row>
    <row r="981" spans="1:25" x14ac:dyDescent="0.2">
      <c r="A981" s="316">
        <v>2022</v>
      </c>
      <c r="B981" s="316" t="s">
        <v>466</v>
      </c>
      <c r="C981" s="316" t="s">
        <v>314</v>
      </c>
      <c r="D981" s="316" t="s">
        <v>487</v>
      </c>
      <c r="E981" s="316" t="s">
        <v>322</v>
      </c>
      <c r="F981" s="316" t="s">
        <v>317</v>
      </c>
      <c r="G981" s="316" t="s">
        <v>323</v>
      </c>
      <c r="H981" s="3">
        <v>7.9148739092831795</v>
      </c>
      <c r="I981" s="3">
        <v>9.3191753475436876</v>
      </c>
      <c r="J981" s="318">
        <v>17.234049256826868</v>
      </c>
      <c r="K981" s="3">
        <v>4.7986525076187547</v>
      </c>
      <c r="L981" s="3">
        <v>0.6784468991338084</v>
      </c>
      <c r="M981" s="318">
        <v>5.4770994067525631</v>
      </c>
      <c r="N981" s="3">
        <v>13.271418154368538</v>
      </c>
      <c r="O981" s="3">
        <v>11.805420829161434</v>
      </c>
      <c r="P981" s="3">
        <v>2.6728143334843115</v>
      </c>
      <c r="Q981" s="3">
        <v>1.149108192265351</v>
      </c>
      <c r="R981" s="3">
        <v>7.8140974226911792</v>
      </c>
      <c r="S981" s="3">
        <v>10.018863301168059</v>
      </c>
      <c r="T981" s="3">
        <v>12.431708546994892</v>
      </c>
      <c r="U981" s="3">
        <v>4.4464699045611251</v>
      </c>
      <c r="V981" s="318">
        <v>63.609900684694892</v>
      </c>
      <c r="W981" s="318">
        <v>86.321049348274315</v>
      </c>
      <c r="X981" s="3">
        <v>9.6693439988619314</v>
      </c>
      <c r="Y981" s="318">
        <v>95.990393347136248</v>
      </c>
    </row>
    <row r="982" spans="1:25" x14ac:dyDescent="0.2">
      <c r="A982" s="316">
        <v>2022</v>
      </c>
      <c r="B982" s="316" t="s">
        <v>466</v>
      </c>
      <c r="C982" s="316" t="s">
        <v>314</v>
      </c>
      <c r="D982" s="316" t="s">
        <v>488</v>
      </c>
      <c r="E982" s="316" t="s">
        <v>324</v>
      </c>
      <c r="F982" s="316" t="s">
        <v>317</v>
      </c>
      <c r="G982" s="316" t="s">
        <v>325</v>
      </c>
      <c r="H982" s="3">
        <v>165.77811845117142</v>
      </c>
      <c r="I982" s="3">
        <v>0</v>
      </c>
      <c r="J982" s="318">
        <v>165.77811845117142</v>
      </c>
      <c r="K982" s="3">
        <v>8.5785475733717274</v>
      </c>
      <c r="L982" s="3">
        <v>8.5612756886028532</v>
      </c>
      <c r="M982" s="318">
        <v>17.139823261974581</v>
      </c>
      <c r="N982" s="3">
        <v>11.105702962272131</v>
      </c>
      <c r="O982" s="3">
        <v>30.781065217027667</v>
      </c>
      <c r="P982" s="3">
        <v>4.9949952648628688</v>
      </c>
      <c r="Q982" s="3">
        <v>2.0492762397300952</v>
      </c>
      <c r="R982" s="3">
        <v>13.904040853562801</v>
      </c>
      <c r="S982" s="3">
        <v>15.233472378552712</v>
      </c>
      <c r="T982" s="3">
        <v>22.616300673469429</v>
      </c>
      <c r="U982" s="3">
        <v>6.9631166743683544</v>
      </c>
      <c r="V982" s="318">
        <v>107.64797026384606</v>
      </c>
      <c r="W982" s="318">
        <v>290.56591197699208</v>
      </c>
      <c r="X982" s="3">
        <v>32.548049154417974</v>
      </c>
      <c r="Y982" s="318">
        <v>323.11396113141006</v>
      </c>
    </row>
    <row r="983" spans="1:25" x14ac:dyDescent="0.2">
      <c r="A983" s="316">
        <v>2022</v>
      </c>
      <c r="B983" s="316" t="s">
        <v>466</v>
      </c>
      <c r="C983" s="316" t="s">
        <v>314</v>
      </c>
      <c r="D983" s="316" t="s">
        <v>489</v>
      </c>
      <c r="E983" s="316" t="s">
        <v>326</v>
      </c>
      <c r="F983" s="316" t="s">
        <v>317</v>
      </c>
      <c r="G983" s="316" t="s">
        <v>327</v>
      </c>
      <c r="H983" s="3">
        <v>188.57370128910938</v>
      </c>
      <c r="I983" s="3">
        <v>0</v>
      </c>
      <c r="J983" s="318">
        <v>188.57370128910938</v>
      </c>
      <c r="K983" s="3">
        <v>3.0872854963902161</v>
      </c>
      <c r="L983" s="3">
        <v>17.899485045011222</v>
      </c>
      <c r="M983" s="318">
        <v>20.986770541401437</v>
      </c>
      <c r="N983" s="3">
        <v>13.557344763711225</v>
      </c>
      <c r="O983" s="3">
        <v>35.934279417486756</v>
      </c>
      <c r="P983" s="3">
        <v>9.0346569107784234</v>
      </c>
      <c r="Q983" s="3">
        <v>6.2416704579556388</v>
      </c>
      <c r="R983" s="3">
        <v>20.263653977265314</v>
      </c>
      <c r="S983" s="3">
        <v>20.130852838353718</v>
      </c>
      <c r="T983" s="3">
        <v>37.70770202392719</v>
      </c>
      <c r="U983" s="3">
        <v>10.918908109533412</v>
      </c>
      <c r="V983" s="318">
        <v>153.78906849901168</v>
      </c>
      <c r="W983" s="318">
        <v>363.34954032952248</v>
      </c>
      <c r="X983" s="3">
        <v>40.700984566341418</v>
      </c>
      <c r="Y983" s="318">
        <v>404.05052489586387</v>
      </c>
    </row>
    <row r="984" spans="1:25" x14ac:dyDescent="0.2">
      <c r="A984" s="316">
        <v>2022</v>
      </c>
      <c r="B984" s="316" t="s">
        <v>466</v>
      </c>
      <c r="C984" s="316" t="s">
        <v>314</v>
      </c>
      <c r="D984" s="316" t="s">
        <v>490</v>
      </c>
      <c r="E984" s="316" t="s">
        <v>328</v>
      </c>
      <c r="F984" s="316" t="s">
        <v>317</v>
      </c>
      <c r="G984" s="316" t="s">
        <v>330</v>
      </c>
      <c r="H984" s="3">
        <v>34.652934997036986</v>
      </c>
      <c r="I984" s="3">
        <v>0</v>
      </c>
      <c r="J984" s="318">
        <v>34.652934997036986</v>
      </c>
      <c r="K984" s="3">
        <v>2.8514600862153858</v>
      </c>
      <c r="L984" s="3">
        <v>3.2916177391071062</v>
      </c>
      <c r="M984" s="318">
        <v>6.143077825322492</v>
      </c>
      <c r="N984" s="3">
        <v>3.4111216425908486</v>
      </c>
      <c r="O984" s="3">
        <v>10.541025573648781</v>
      </c>
      <c r="P984" s="3">
        <v>2.666571897281599</v>
      </c>
      <c r="Q984" s="3">
        <v>1.6671664054820661</v>
      </c>
      <c r="R984" s="3">
        <v>8.8699973974756645</v>
      </c>
      <c r="S984" s="3">
        <v>6.8556738883825661</v>
      </c>
      <c r="T984" s="3">
        <v>15.775857304623596</v>
      </c>
      <c r="U984" s="3">
        <v>4.255719665941422</v>
      </c>
      <c r="V984" s="318">
        <v>54.043133775426547</v>
      </c>
      <c r="W984" s="318">
        <v>94.839146597786026</v>
      </c>
      <c r="X984" s="3">
        <v>10.623507706823561</v>
      </c>
      <c r="Y984" s="318">
        <v>105.46265430460959</v>
      </c>
    </row>
    <row r="985" spans="1:25" x14ac:dyDescent="0.2">
      <c r="A985" s="316">
        <v>2022</v>
      </c>
      <c r="B985" s="316" t="s">
        <v>466</v>
      </c>
      <c r="C985" s="316" t="s">
        <v>314</v>
      </c>
      <c r="D985" s="316" t="s">
        <v>488</v>
      </c>
      <c r="E985" s="316" t="s">
        <v>331</v>
      </c>
      <c r="F985" s="316" t="s">
        <v>317</v>
      </c>
      <c r="G985" s="316" t="s">
        <v>332</v>
      </c>
      <c r="H985" s="3">
        <v>160.91114850378329</v>
      </c>
      <c r="I985" s="3">
        <v>0</v>
      </c>
      <c r="J985" s="318">
        <v>160.91114850378329</v>
      </c>
      <c r="K985" s="3">
        <v>14.885386494227964</v>
      </c>
      <c r="L985" s="3">
        <v>14.643178534885793</v>
      </c>
      <c r="M985" s="318">
        <v>29.528565029113757</v>
      </c>
      <c r="N985" s="3">
        <v>18.856886762284265</v>
      </c>
      <c r="O985" s="3">
        <v>96.8385435386202</v>
      </c>
      <c r="P985" s="3">
        <v>11.463189473269379</v>
      </c>
      <c r="Q985" s="3">
        <v>12.097485988389233</v>
      </c>
      <c r="R985" s="3">
        <v>32.671504985464495</v>
      </c>
      <c r="S985" s="3">
        <v>43.136726438943995</v>
      </c>
      <c r="T985" s="3">
        <v>83.828677375023801</v>
      </c>
      <c r="U985" s="3">
        <v>17.167519219879313</v>
      </c>
      <c r="V985" s="318">
        <v>316.06053378187465</v>
      </c>
      <c r="W985" s="318">
        <v>506.50024731477168</v>
      </c>
      <c r="X985" s="3">
        <v>56.736163007419236</v>
      </c>
      <c r="Y985" s="318">
        <v>563.23641032219098</v>
      </c>
    </row>
    <row r="986" spans="1:25" x14ac:dyDescent="0.2">
      <c r="A986" s="316">
        <v>2022</v>
      </c>
      <c r="B986" s="316" t="s">
        <v>466</v>
      </c>
      <c r="C986" s="316" t="s">
        <v>314</v>
      </c>
      <c r="D986" s="316" t="s">
        <v>489</v>
      </c>
      <c r="E986" s="316" t="s">
        <v>333</v>
      </c>
      <c r="F986" s="316" t="s">
        <v>317</v>
      </c>
      <c r="G986" s="316" t="s">
        <v>334</v>
      </c>
      <c r="H986" s="3">
        <v>185.46429278142307</v>
      </c>
      <c r="I986" s="3">
        <v>0</v>
      </c>
      <c r="J986" s="318">
        <v>185.46429278142307</v>
      </c>
      <c r="K986" s="3">
        <v>9.4334818082779961</v>
      </c>
      <c r="L986" s="3">
        <v>17.148688643241609</v>
      </c>
      <c r="M986" s="318">
        <v>26.582170451519605</v>
      </c>
      <c r="N986" s="3">
        <v>20.404371301026394</v>
      </c>
      <c r="O986" s="3">
        <v>43.579477563491366</v>
      </c>
      <c r="P986" s="3">
        <v>11.281784932589744</v>
      </c>
      <c r="Q986" s="3">
        <v>7.7030637360757552</v>
      </c>
      <c r="R986" s="3">
        <v>30.070223397000181</v>
      </c>
      <c r="S986" s="3">
        <v>29.648285636320907</v>
      </c>
      <c r="T986" s="3">
        <v>54.065038049809019</v>
      </c>
      <c r="U986" s="3">
        <v>19.753873450207504</v>
      </c>
      <c r="V986" s="318">
        <v>216.50611806652086</v>
      </c>
      <c r="W986" s="318">
        <v>428.55258129946355</v>
      </c>
      <c r="X986" s="3">
        <v>48.004772433499127</v>
      </c>
      <c r="Y986" s="318">
        <v>476.55735373296267</v>
      </c>
    </row>
    <row r="987" spans="1:25" x14ac:dyDescent="0.2">
      <c r="A987" s="316">
        <v>2022</v>
      </c>
      <c r="B987" s="316" t="s">
        <v>466</v>
      </c>
      <c r="C987" s="316" t="s">
        <v>314</v>
      </c>
      <c r="D987" s="316" t="s">
        <v>487</v>
      </c>
      <c r="E987" s="316" t="s">
        <v>335</v>
      </c>
      <c r="F987" s="316" t="s">
        <v>317</v>
      </c>
      <c r="G987" s="316" t="s">
        <v>336</v>
      </c>
      <c r="H987" s="3">
        <v>108.77841359413483</v>
      </c>
      <c r="I987" s="3">
        <v>93.940834186635385</v>
      </c>
      <c r="J987" s="318">
        <v>202.71924778077022</v>
      </c>
      <c r="K987" s="3">
        <v>12.498316505180371</v>
      </c>
      <c r="L987" s="3">
        <v>19.767302476827645</v>
      </c>
      <c r="M987" s="318">
        <v>32.265618982008014</v>
      </c>
      <c r="N987" s="3">
        <v>22.236940109878852</v>
      </c>
      <c r="O987" s="3">
        <v>68.695868112348563</v>
      </c>
      <c r="P987" s="3">
        <v>13.003068380763755</v>
      </c>
      <c r="Q987" s="3">
        <v>8.957535058244618</v>
      </c>
      <c r="R987" s="3">
        <v>39.517975359363703</v>
      </c>
      <c r="S987" s="3">
        <v>38.29047485312082</v>
      </c>
      <c r="T987" s="3">
        <v>51.646520766334596</v>
      </c>
      <c r="U987" s="3">
        <v>23.67360088420558</v>
      </c>
      <c r="V987" s="318">
        <v>266.02198352426046</v>
      </c>
      <c r="W987" s="318">
        <v>501.00685028703867</v>
      </c>
      <c r="X987" s="3">
        <v>56.120814306441723</v>
      </c>
      <c r="Y987" s="318">
        <v>557.1276645934804</v>
      </c>
    </row>
    <row r="988" spans="1:25" x14ac:dyDescent="0.2">
      <c r="A988" s="316">
        <v>2022</v>
      </c>
      <c r="B988" s="316" t="s">
        <v>466</v>
      </c>
      <c r="C988" s="316" t="s">
        <v>314</v>
      </c>
      <c r="D988" s="316" t="s">
        <v>488</v>
      </c>
      <c r="E988" s="316" t="s">
        <v>337</v>
      </c>
      <c r="F988" s="316" t="s">
        <v>317</v>
      </c>
      <c r="G988" s="316" t="s">
        <v>338</v>
      </c>
      <c r="H988" s="3">
        <v>32.255552834470578</v>
      </c>
      <c r="I988" s="3">
        <v>0</v>
      </c>
      <c r="J988" s="318">
        <v>32.255552834470578</v>
      </c>
      <c r="K988" s="3">
        <v>3.7388804138772942</v>
      </c>
      <c r="L988" s="3">
        <v>2.7945478291203916</v>
      </c>
      <c r="M988" s="318">
        <v>6.5334282429976858</v>
      </c>
      <c r="N988" s="3">
        <v>8.7214007119777062</v>
      </c>
      <c r="O988" s="3">
        <v>14.720812229884251</v>
      </c>
      <c r="P988" s="3">
        <v>2.3797575181399595</v>
      </c>
      <c r="Q988" s="3">
        <v>1.0192322715188085</v>
      </c>
      <c r="R988" s="3">
        <v>7.9284189329479524</v>
      </c>
      <c r="S988" s="3">
        <v>8.5721247635488798</v>
      </c>
      <c r="T988" s="3">
        <v>13.804141418974655</v>
      </c>
      <c r="U988" s="3">
        <v>4.1205997911808847</v>
      </c>
      <c r="V988" s="318">
        <v>61.266487638173096</v>
      </c>
      <c r="W988" s="318">
        <v>100.05546871564135</v>
      </c>
      <c r="X988" s="3">
        <v>11.207819567571621</v>
      </c>
      <c r="Y988" s="318">
        <v>111.26328828321297</v>
      </c>
    </row>
    <row r="989" spans="1:25" x14ac:dyDescent="0.2">
      <c r="A989" s="316">
        <v>2022</v>
      </c>
      <c r="B989" s="316" t="s">
        <v>466</v>
      </c>
      <c r="C989" s="316" t="s">
        <v>314</v>
      </c>
      <c r="D989" s="316" t="s">
        <v>488</v>
      </c>
      <c r="E989" s="316" t="s">
        <v>339</v>
      </c>
      <c r="F989" s="316" t="s">
        <v>317</v>
      </c>
      <c r="G989" s="316" t="s">
        <v>340</v>
      </c>
      <c r="H989" s="3">
        <v>130.86294087734592</v>
      </c>
      <c r="I989" s="3">
        <v>0</v>
      </c>
      <c r="J989" s="318">
        <v>130.86294087734592</v>
      </c>
      <c r="K989" s="3">
        <v>15.599134918870991</v>
      </c>
      <c r="L989" s="3">
        <v>6.0788276989589605</v>
      </c>
      <c r="M989" s="318">
        <v>21.677962617829952</v>
      </c>
      <c r="N989" s="3">
        <v>11.383547697232091</v>
      </c>
      <c r="O989" s="3">
        <v>72.32472257534522</v>
      </c>
      <c r="P989" s="3">
        <v>6.9261396439551852</v>
      </c>
      <c r="Q989" s="3">
        <v>5.5118271073101717</v>
      </c>
      <c r="R989" s="3">
        <v>24.767029061436929</v>
      </c>
      <c r="S989" s="3">
        <v>24.748406433121485</v>
      </c>
      <c r="T989" s="3">
        <v>29.097977270659822</v>
      </c>
      <c r="U989" s="3">
        <v>10.498218332691451</v>
      </c>
      <c r="V989" s="318">
        <v>185.25786812175232</v>
      </c>
      <c r="W989" s="318">
        <v>337.79877161692821</v>
      </c>
      <c r="X989" s="3">
        <v>37.838888079068219</v>
      </c>
      <c r="Y989" s="318">
        <v>375.63765969599643</v>
      </c>
    </row>
    <row r="990" spans="1:25" x14ac:dyDescent="0.2">
      <c r="A990" s="316">
        <v>2022</v>
      </c>
      <c r="B990" s="316" t="s">
        <v>466</v>
      </c>
      <c r="C990" s="316" t="s">
        <v>314</v>
      </c>
      <c r="D990" s="316" t="s">
        <v>490</v>
      </c>
      <c r="E990" s="316" t="s">
        <v>341</v>
      </c>
      <c r="F990" s="316" t="s">
        <v>317</v>
      </c>
      <c r="G990" s="316" t="s">
        <v>342</v>
      </c>
      <c r="H990" s="3">
        <v>466.31872814667003</v>
      </c>
      <c r="I990" s="3">
        <v>0</v>
      </c>
      <c r="J990" s="318">
        <v>466.31872814667003</v>
      </c>
      <c r="K990" s="3">
        <v>17.510437304668173</v>
      </c>
      <c r="L990" s="3">
        <v>22.864119862841591</v>
      </c>
      <c r="M990" s="318">
        <v>40.374557167509764</v>
      </c>
      <c r="N990" s="3">
        <v>17.783417244632766</v>
      </c>
      <c r="O990" s="3">
        <v>55.842638406596024</v>
      </c>
      <c r="P990" s="3">
        <v>9.460066932310724</v>
      </c>
      <c r="Q990" s="3">
        <v>5.1403007845847517</v>
      </c>
      <c r="R990" s="3">
        <v>27.852334078522922</v>
      </c>
      <c r="S990" s="3">
        <v>29.12910993901998</v>
      </c>
      <c r="T990" s="3">
        <v>36.311919696413852</v>
      </c>
      <c r="U990" s="3">
        <v>13.613829247179591</v>
      </c>
      <c r="V990" s="318">
        <v>195.13361632926058</v>
      </c>
      <c r="W990" s="318">
        <v>701.82690164344035</v>
      </c>
      <c r="X990" s="3">
        <v>78.61588559084781</v>
      </c>
      <c r="Y990" s="318">
        <v>780.44278723428818</v>
      </c>
    </row>
    <row r="991" spans="1:25" x14ac:dyDescent="0.2">
      <c r="A991" s="316">
        <v>2022</v>
      </c>
      <c r="B991" s="316" t="s">
        <v>466</v>
      </c>
      <c r="C991" s="316" t="s">
        <v>314</v>
      </c>
      <c r="D991" s="316" t="s">
        <v>490</v>
      </c>
      <c r="E991" s="316" t="s">
        <v>343</v>
      </c>
      <c r="F991" s="316" t="s">
        <v>317</v>
      </c>
      <c r="G991" s="316" t="s">
        <v>344</v>
      </c>
      <c r="H991" s="3">
        <v>3.2614877224740106</v>
      </c>
      <c r="I991" s="3">
        <v>10.923401033143147</v>
      </c>
      <c r="J991" s="318">
        <v>14.184888755617157</v>
      </c>
      <c r="K991" s="3">
        <v>22.232758692273823</v>
      </c>
      <c r="L991" s="3">
        <v>50.995342503097504</v>
      </c>
      <c r="M991" s="318">
        <v>73.228101195371323</v>
      </c>
      <c r="N991" s="3">
        <v>19.951904066778717</v>
      </c>
      <c r="O991" s="3">
        <v>61.141193473621819</v>
      </c>
      <c r="P991" s="3">
        <v>4.2299523539575352</v>
      </c>
      <c r="Q991" s="3">
        <v>1.799820245378553</v>
      </c>
      <c r="R991" s="3">
        <v>13.091494847118808</v>
      </c>
      <c r="S991" s="3">
        <v>17.795202366588928</v>
      </c>
      <c r="T991" s="3">
        <v>17.897709080828427</v>
      </c>
      <c r="U991" s="3">
        <v>7.5578160394867782</v>
      </c>
      <c r="V991" s="318">
        <v>143.46509247375954</v>
      </c>
      <c r="W991" s="318">
        <v>230.87808242474802</v>
      </c>
      <c r="X991" s="3">
        <v>25.862053550292217</v>
      </c>
      <c r="Y991" s="318">
        <v>256.74013597504023</v>
      </c>
    </row>
    <row r="992" spans="1:25" x14ac:dyDescent="0.2">
      <c r="A992" s="316">
        <v>2022</v>
      </c>
      <c r="B992" s="316" t="s">
        <v>466</v>
      </c>
      <c r="C992" s="316" t="s">
        <v>314</v>
      </c>
      <c r="D992" s="316" t="s">
        <v>490</v>
      </c>
      <c r="E992" s="316" t="s">
        <v>345</v>
      </c>
      <c r="F992" s="316" t="s">
        <v>317</v>
      </c>
      <c r="G992" s="316" t="s">
        <v>346</v>
      </c>
      <c r="H992" s="3">
        <v>33.543409256167102</v>
      </c>
      <c r="I992" s="3">
        <v>0</v>
      </c>
      <c r="J992" s="318">
        <v>33.543409256167102</v>
      </c>
      <c r="K992" s="3">
        <v>9.4258940347870581</v>
      </c>
      <c r="L992" s="3">
        <v>13.492935007189208</v>
      </c>
      <c r="M992" s="318">
        <v>22.918829041976267</v>
      </c>
      <c r="N992" s="3">
        <v>8.1950765460250174</v>
      </c>
      <c r="O992" s="3">
        <v>11.839892469782644</v>
      </c>
      <c r="P992" s="3">
        <v>2.8802714292582587</v>
      </c>
      <c r="Q992" s="3">
        <v>1.4743923441703353</v>
      </c>
      <c r="R992" s="3">
        <v>12.995367398692641</v>
      </c>
      <c r="S992" s="3">
        <v>9.7089626032919067</v>
      </c>
      <c r="T992" s="3">
        <v>18.993578686727137</v>
      </c>
      <c r="U992" s="3">
        <v>5.1927279753035247</v>
      </c>
      <c r="V992" s="318">
        <v>71.280269453251464</v>
      </c>
      <c r="W992" s="318">
        <v>127.74250775139484</v>
      </c>
      <c r="X992" s="3">
        <v>14.309212643395842</v>
      </c>
      <c r="Y992" s="318">
        <v>142.05172039479069</v>
      </c>
    </row>
    <row r="993" spans="1:25" x14ac:dyDescent="0.2">
      <c r="A993" s="316">
        <v>2022</v>
      </c>
      <c r="B993" s="316" t="s">
        <v>466</v>
      </c>
      <c r="C993" s="316" t="s">
        <v>314</v>
      </c>
      <c r="D993" s="316" t="s">
        <v>490</v>
      </c>
      <c r="E993" s="316" t="s">
        <v>347</v>
      </c>
      <c r="F993" s="316" t="s">
        <v>317</v>
      </c>
      <c r="G993" s="316" t="s">
        <v>348</v>
      </c>
      <c r="H993" s="3">
        <v>55.498384049260117</v>
      </c>
      <c r="I993" s="3">
        <v>0</v>
      </c>
      <c r="J993" s="318">
        <v>55.498384049260117</v>
      </c>
      <c r="K993" s="3">
        <v>2.5616823343715498</v>
      </c>
      <c r="L993" s="3">
        <v>9.1659644187041351</v>
      </c>
      <c r="M993" s="318">
        <v>11.727646753075685</v>
      </c>
      <c r="N993" s="3">
        <v>11.169857957277063</v>
      </c>
      <c r="O993" s="3">
        <v>13.107131252362903</v>
      </c>
      <c r="P993" s="3">
        <v>3.6432073530651823</v>
      </c>
      <c r="Q993" s="3">
        <v>1.6582454318410638</v>
      </c>
      <c r="R993" s="3">
        <v>11.725926151353205</v>
      </c>
      <c r="S993" s="3">
        <v>12.605178428384725</v>
      </c>
      <c r="T993" s="3">
        <v>27.150276325269299</v>
      </c>
      <c r="U993" s="3">
        <v>5.9940530266725105</v>
      </c>
      <c r="V993" s="318">
        <v>87.053875926225942</v>
      </c>
      <c r="W993" s="318">
        <v>154.27990672856174</v>
      </c>
      <c r="X993" s="3">
        <v>17.281827567364015</v>
      </c>
      <c r="Y993" s="318">
        <v>171.56173429592576</v>
      </c>
    </row>
    <row r="994" spans="1:25" x14ac:dyDescent="0.2">
      <c r="A994" s="316">
        <v>2022</v>
      </c>
      <c r="B994" s="316" t="s">
        <v>466</v>
      </c>
      <c r="C994" s="316" t="s">
        <v>314</v>
      </c>
      <c r="D994" s="316" t="s">
        <v>489</v>
      </c>
      <c r="E994" s="316" t="s">
        <v>349</v>
      </c>
      <c r="F994" s="316" t="s">
        <v>317</v>
      </c>
      <c r="G994" s="316" t="s">
        <v>350</v>
      </c>
      <c r="H994" s="3">
        <v>160.88323984083596</v>
      </c>
      <c r="I994" s="3">
        <v>90.65491153140627</v>
      </c>
      <c r="J994" s="318">
        <v>251.53815137224223</v>
      </c>
      <c r="K994" s="3">
        <v>12.95880614292404</v>
      </c>
      <c r="L994" s="3">
        <v>13.493829539612175</v>
      </c>
      <c r="M994" s="318">
        <v>26.452635682536215</v>
      </c>
      <c r="N994" s="3">
        <v>12.457329411201995</v>
      </c>
      <c r="O994" s="3">
        <v>47.498600912966815</v>
      </c>
      <c r="P994" s="3">
        <v>7.4816095727707044</v>
      </c>
      <c r="Q994" s="3">
        <v>6.678163870825033</v>
      </c>
      <c r="R994" s="3">
        <v>24.637653304385292</v>
      </c>
      <c r="S994" s="3">
        <v>23.208791559091654</v>
      </c>
      <c r="T994" s="3">
        <v>41.587160186616408</v>
      </c>
      <c r="U994" s="3">
        <v>16.841393055723085</v>
      </c>
      <c r="V994" s="318">
        <v>180.39070187358098</v>
      </c>
      <c r="W994" s="318">
        <v>458.38148892835943</v>
      </c>
      <c r="X994" s="3">
        <v>51.34608919403081</v>
      </c>
      <c r="Y994" s="318">
        <v>509.72757812239024</v>
      </c>
    </row>
    <row r="995" spans="1:25" x14ac:dyDescent="0.2">
      <c r="A995" s="316">
        <v>2022</v>
      </c>
      <c r="B995" s="316" t="s">
        <v>466</v>
      </c>
      <c r="C995" s="316" t="s">
        <v>314</v>
      </c>
      <c r="D995" s="316" t="s">
        <v>490</v>
      </c>
      <c r="E995" s="316" t="s">
        <v>351</v>
      </c>
      <c r="F995" s="316" t="s">
        <v>317</v>
      </c>
      <c r="G995" s="316" t="s">
        <v>352</v>
      </c>
      <c r="H995" s="3">
        <v>105.3566640069629</v>
      </c>
      <c r="I995" s="3">
        <v>59.988502367072513</v>
      </c>
      <c r="J995" s="318">
        <v>165.34516637403541</v>
      </c>
      <c r="K995" s="3">
        <v>18.427914253414649</v>
      </c>
      <c r="L995" s="3">
        <v>10.182043472487194</v>
      </c>
      <c r="M995" s="318">
        <v>28.609957725901843</v>
      </c>
      <c r="N995" s="3">
        <v>17.776833139514132</v>
      </c>
      <c r="O995" s="3">
        <v>74.953628843679184</v>
      </c>
      <c r="P995" s="3">
        <v>12.593017938156725</v>
      </c>
      <c r="Q995" s="3">
        <v>8.5132933619995566</v>
      </c>
      <c r="R995" s="3">
        <v>45.794013277061744</v>
      </c>
      <c r="S995" s="3">
        <v>34.895810392909745</v>
      </c>
      <c r="T995" s="3">
        <v>53.201620757948135</v>
      </c>
      <c r="U995" s="3">
        <v>20.559717059115499</v>
      </c>
      <c r="V995" s="318">
        <v>268.28793477038471</v>
      </c>
      <c r="W995" s="318">
        <v>462.24305887032199</v>
      </c>
      <c r="X995" s="3">
        <v>51.778647051313719</v>
      </c>
      <c r="Y995" s="318">
        <v>514.02170592163566</v>
      </c>
    </row>
    <row r="996" spans="1:25" x14ac:dyDescent="0.2">
      <c r="A996" s="316">
        <v>2022</v>
      </c>
      <c r="B996" s="316" t="s">
        <v>466</v>
      </c>
      <c r="C996" s="316" t="s">
        <v>314</v>
      </c>
      <c r="D996" s="316" t="s">
        <v>490</v>
      </c>
      <c r="E996" s="316" t="s">
        <v>353</v>
      </c>
      <c r="F996" s="316" t="s">
        <v>317</v>
      </c>
      <c r="G996" s="316" t="s">
        <v>354</v>
      </c>
      <c r="H996" s="3">
        <v>135.16635958726786</v>
      </c>
      <c r="I996" s="3">
        <v>0</v>
      </c>
      <c r="J996" s="318">
        <v>135.16635958726786</v>
      </c>
      <c r="K996" s="3">
        <v>17.978951310595818</v>
      </c>
      <c r="L996" s="3">
        <v>18.189654089791553</v>
      </c>
      <c r="M996" s="318">
        <v>36.168605400387371</v>
      </c>
      <c r="N996" s="3">
        <v>17.131121792899968</v>
      </c>
      <c r="O996" s="3">
        <v>48.406417521371779</v>
      </c>
      <c r="P996" s="3">
        <v>8.5443322167732934</v>
      </c>
      <c r="Q996" s="3">
        <v>6.1690516950042475</v>
      </c>
      <c r="R996" s="3">
        <v>27.40283905025538</v>
      </c>
      <c r="S996" s="3">
        <v>23.955913176487023</v>
      </c>
      <c r="T996" s="3">
        <v>32.456347877756805</v>
      </c>
      <c r="U996" s="3">
        <v>14.070789629121931</v>
      </c>
      <c r="V996" s="318">
        <v>178.13681295967041</v>
      </c>
      <c r="W996" s="318">
        <v>349.47177794732568</v>
      </c>
      <c r="X996" s="3">
        <v>39.146452277623254</v>
      </c>
      <c r="Y996" s="318">
        <v>388.61823022494895</v>
      </c>
    </row>
    <row r="997" spans="1:25" x14ac:dyDescent="0.2">
      <c r="A997" s="316">
        <v>2022</v>
      </c>
      <c r="B997" s="316" t="s">
        <v>466</v>
      </c>
      <c r="C997" s="316" t="s">
        <v>314</v>
      </c>
      <c r="D997" s="316" t="s">
        <v>490</v>
      </c>
      <c r="E997" s="316" t="s">
        <v>355</v>
      </c>
      <c r="F997" s="316" t="s">
        <v>317</v>
      </c>
      <c r="G997" s="316" t="s">
        <v>356</v>
      </c>
      <c r="H997" s="3">
        <v>33.332673477036948</v>
      </c>
      <c r="I997" s="3">
        <v>25.146704828336141</v>
      </c>
      <c r="J997" s="318">
        <v>58.479378305373089</v>
      </c>
      <c r="K997" s="3">
        <v>4.3986073678553081</v>
      </c>
      <c r="L997" s="3">
        <v>4.1337477626900965</v>
      </c>
      <c r="M997" s="318">
        <v>8.5323551305454046</v>
      </c>
      <c r="N997" s="3">
        <v>13.995593014804051</v>
      </c>
      <c r="O997" s="3">
        <v>11.940725435189549</v>
      </c>
      <c r="P997" s="3">
        <v>2.7714022782654086</v>
      </c>
      <c r="Q997" s="3">
        <v>2.1782440854688652</v>
      </c>
      <c r="R997" s="3">
        <v>10.279088005976876</v>
      </c>
      <c r="S997" s="3">
        <v>11.187114097973391</v>
      </c>
      <c r="T997" s="3">
        <v>19.749043890295859</v>
      </c>
      <c r="U997" s="3">
        <v>4.991165344407503</v>
      </c>
      <c r="V997" s="318">
        <v>77.092376152381505</v>
      </c>
      <c r="W997" s="318">
        <v>144.10410958829999</v>
      </c>
      <c r="X997" s="3">
        <v>16.141974845986116</v>
      </c>
      <c r="Y997" s="318">
        <v>160.2460844342861</v>
      </c>
    </row>
    <row r="998" spans="1:25" x14ac:dyDescent="0.2">
      <c r="A998" s="316">
        <v>2022</v>
      </c>
      <c r="B998" s="316" t="s">
        <v>466</v>
      </c>
      <c r="C998" s="316" t="s">
        <v>314</v>
      </c>
      <c r="D998" s="316" t="s">
        <v>487</v>
      </c>
      <c r="E998" s="316" t="s">
        <v>357</v>
      </c>
      <c r="F998" s="316" t="s">
        <v>317</v>
      </c>
      <c r="G998" s="316" t="s">
        <v>358</v>
      </c>
      <c r="H998" s="3">
        <v>8.7206977218154762</v>
      </c>
      <c r="I998" s="3">
        <v>32.880562839403275</v>
      </c>
      <c r="J998" s="318">
        <v>41.601260561218751</v>
      </c>
      <c r="K998" s="3">
        <v>5.4726084257310337</v>
      </c>
      <c r="L998" s="3">
        <v>4.0046277055480122</v>
      </c>
      <c r="M998" s="318">
        <v>9.4772361312790458</v>
      </c>
      <c r="N998" s="3">
        <v>15.15180310180124</v>
      </c>
      <c r="O998" s="3">
        <v>22.751592403100059</v>
      </c>
      <c r="P998" s="3">
        <v>6.6500003827840661</v>
      </c>
      <c r="Q998" s="3">
        <v>1.9975517723637271</v>
      </c>
      <c r="R998" s="3">
        <v>17.025182876543081</v>
      </c>
      <c r="S998" s="3">
        <v>17.990853137560453</v>
      </c>
      <c r="T998" s="3">
        <v>18.561791603094868</v>
      </c>
      <c r="U998" s="3">
        <v>10.50702212277899</v>
      </c>
      <c r="V998" s="318">
        <v>110.63579740002648</v>
      </c>
      <c r="W998" s="318">
        <v>161.71429409252426</v>
      </c>
      <c r="X998" s="3">
        <v>18.114598361807367</v>
      </c>
      <c r="Y998" s="318">
        <v>179.82889245433162</v>
      </c>
    </row>
    <row r="999" spans="1:25" x14ac:dyDescent="0.2">
      <c r="A999" s="316">
        <v>2022</v>
      </c>
      <c r="B999" s="316" t="s">
        <v>466</v>
      </c>
      <c r="C999" s="316" t="s">
        <v>314</v>
      </c>
      <c r="D999" s="316" t="s">
        <v>489</v>
      </c>
      <c r="E999" s="316" t="s">
        <v>359</v>
      </c>
      <c r="F999" s="316" t="s">
        <v>317</v>
      </c>
      <c r="G999" s="316" t="s">
        <v>360</v>
      </c>
      <c r="H999" s="3">
        <v>996.4782586004643</v>
      </c>
      <c r="I999" s="3">
        <v>0</v>
      </c>
      <c r="J999" s="318">
        <v>996.4782586004643</v>
      </c>
      <c r="K999" s="3">
        <v>27.166931677810858</v>
      </c>
      <c r="L999" s="3">
        <v>56.175868360327634</v>
      </c>
      <c r="M999" s="318">
        <v>83.342800038138492</v>
      </c>
      <c r="N999" s="3">
        <v>49.765704123837033</v>
      </c>
      <c r="O999" s="3">
        <v>61.755740464165022</v>
      </c>
      <c r="P999" s="3">
        <v>12.935135731298539</v>
      </c>
      <c r="Q999" s="3">
        <v>11.559531589850986</v>
      </c>
      <c r="R999" s="3">
        <v>39.523493208967963</v>
      </c>
      <c r="S999" s="3">
        <v>45.658096797499724</v>
      </c>
      <c r="T999" s="3">
        <v>72.815046708507921</v>
      </c>
      <c r="U999" s="3">
        <v>23.31232477131536</v>
      </c>
      <c r="V999" s="318">
        <v>317.32507339544259</v>
      </c>
      <c r="W999" s="318">
        <v>1397.1461320340454</v>
      </c>
      <c r="X999" s="3">
        <v>156.50280747643191</v>
      </c>
      <c r="Y999" s="318">
        <v>1553.6489395104772</v>
      </c>
    </row>
    <row r="1000" spans="1:25" x14ac:dyDescent="0.2">
      <c r="A1000" s="316">
        <v>2022</v>
      </c>
      <c r="B1000" s="316" t="s">
        <v>466</v>
      </c>
      <c r="C1000" s="316" t="s">
        <v>314</v>
      </c>
      <c r="D1000" s="316" t="s">
        <v>490</v>
      </c>
      <c r="E1000" s="316" t="s">
        <v>361</v>
      </c>
      <c r="F1000" s="316" t="s">
        <v>317</v>
      </c>
      <c r="G1000" s="316" t="s">
        <v>362</v>
      </c>
      <c r="H1000" s="3">
        <v>176.33107588936389</v>
      </c>
      <c r="I1000" s="3">
        <v>109.98326435592264</v>
      </c>
      <c r="J1000" s="318">
        <v>286.31434024528653</v>
      </c>
      <c r="K1000" s="3">
        <v>7.9717240358728043</v>
      </c>
      <c r="L1000" s="3">
        <v>13.569023332064361</v>
      </c>
      <c r="M1000" s="318">
        <v>21.540747367937165</v>
      </c>
      <c r="N1000" s="3">
        <v>5.6120024010567011</v>
      </c>
      <c r="O1000" s="3">
        <v>13.502711391311875</v>
      </c>
      <c r="P1000" s="3">
        <v>3.772518253951417</v>
      </c>
      <c r="Q1000" s="3">
        <v>1.7617060766072754</v>
      </c>
      <c r="R1000" s="3">
        <v>14.69361378779819</v>
      </c>
      <c r="S1000" s="3">
        <v>11.632137545097558</v>
      </c>
      <c r="T1000" s="3">
        <v>20.834137356361381</v>
      </c>
      <c r="U1000" s="3">
        <v>8.1807450979185905</v>
      </c>
      <c r="V1000" s="318">
        <v>79.989571910102995</v>
      </c>
      <c r="W1000" s="318">
        <v>387.8446595233267</v>
      </c>
      <c r="X1000" s="3">
        <v>43.444831351873503</v>
      </c>
      <c r="Y1000" s="318">
        <v>431.28949087520022</v>
      </c>
    </row>
    <row r="1001" spans="1:25" x14ac:dyDescent="0.2">
      <c r="A1001" s="316">
        <v>2022</v>
      </c>
      <c r="B1001" s="316" t="s">
        <v>466</v>
      </c>
      <c r="C1001" s="316" t="s">
        <v>314</v>
      </c>
      <c r="D1001" s="316" t="s">
        <v>487</v>
      </c>
      <c r="E1001" s="316" t="s">
        <v>363</v>
      </c>
      <c r="F1001" s="316" t="s">
        <v>317</v>
      </c>
      <c r="G1001" s="316" t="s">
        <v>364</v>
      </c>
      <c r="H1001" s="3">
        <v>30.065769910379988</v>
      </c>
      <c r="I1001" s="3">
        <v>64.164447959378251</v>
      </c>
      <c r="J1001" s="318">
        <v>94.230217869758235</v>
      </c>
      <c r="K1001" s="3">
        <v>9.3271016356334115</v>
      </c>
      <c r="L1001" s="3">
        <v>8.6764391128363165</v>
      </c>
      <c r="M1001" s="318">
        <v>18.003540748469728</v>
      </c>
      <c r="N1001" s="3">
        <v>12.760181502739512</v>
      </c>
      <c r="O1001" s="3">
        <v>52.275086754859707</v>
      </c>
      <c r="P1001" s="3">
        <v>6.6425233119881444</v>
      </c>
      <c r="Q1001" s="3">
        <v>3.0546477191988397</v>
      </c>
      <c r="R1001" s="3">
        <v>21.55004315422271</v>
      </c>
      <c r="S1001" s="3">
        <v>26.468373750430533</v>
      </c>
      <c r="T1001" s="3">
        <v>36.925558893127963</v>
      </c>
      <c r="U1001" s="3">
        <v>10.225902748093256</v>
      </c>
      <c r="V1001" s="318">
        <v>169.90231783466066</v>
      </c>
      <c r="W1001" s="318">
        <v>282.13607645288863</v>
      </c>
      <c r="X1001" s="3">
        <v>31.603772177344684</v>
      </c>
      <c r="Y1001" s="318">
        <v>313.73984863023333</v>
      </c>
    </row>
    <row r="1002" spans="1:25" x14ac:dyDescent="0.2">
      <c r="A1002" s="316">
        <v>2022</v>
      </c>
      <c r="B1002" s="316" t="s">
        <v>466</v>
      </c>
      <c r="C1002" s="316" t="s">
        <v>365</v>
      </c>
      <c r="D1002" s="316" t="s">
        <v>491</v>
      </c>
      <c r="E1002" s="316" t="s">
        <v>367</v>
      </c>
      <c r="F1002" s="316" t="s">
        <v>368</v>
      </c>
      <c r="G1002" s="316" t="s">
        <v>370</v>
      </c>
      <c r="H1002" s="3">
        <v>766.23381763633552</v>
      </c>
      <c r="I1002" s="3">
        <v>460.56802905402355</v>
      </c>
      <c r="J1002" s="318">
        <v>1226.8018466903591</v>
      </c>
      <c r="K1002" s="3">
        <v>154.26593369429378</v>
      </c>
      <c r="L1002" s="3">
        <v>138.30622655247436</v>
      </c>
      <c r="M1002" s="318">
        <v>292.57216024676814</v>
      </c>
      <c r="N1002" s="3">
        <v>149.4101529276673</v>
      </c>
      <c r="O1002" s="3">
        <v>713.06665439229118</v>
      </c>
      <c r="P1002" s="3">
        <v>87.104690802398324</v>
      </c>
      <c r="Q1002" s="3">
        <v>75.619260198712979</v>
      </c>
      <c r="R1002" s="3">
        <v>148.42610990779093</v>
      </c>
      <c r="S1002" s="3">
        <v>294.463704244675</v>
      </c>
      <c r="T1002" s="3">
        <v>493.14657393415899</v>
      </c>
      <c r="U1002" s="3">
        <v>111.71708182939597</v>
      </c>
      <c r="V1002" s="318">
        <v>2072.9542282370908</v>
      </c>
      <c r="W1002" s="318">
        <v>3592.3282351742178</v>
      </c>
      <c r="X1002" s="3">
        <v>402.39846161483791</v>
      </c>
      <c r="Y1002" s="318">
        <v>3994.7266967890555</v>
      </c>
    </row>
    <row r="1003" spans="1:25" x14ac:dyDescent="0.2">
      <c r="A1003" s="316">
        <v>2022</v>
      </c>
      <c r="B1003" s="316" t="s">
        <v>466</v>
      </c>
      <c r="C1003" s="316" t="s">
        <v>365</v>
      </c>
      <c r="D1003" s="316" t="s">
        <v>492</v>
      </c>
      <c r="E1003" s="316" t="s">
        <v>371</v>
      </c>
      <c r="F1003" s="316" t="s">
        <v>368</v>
      </c>
      <c r="G1003" s="316" t="s">
        <v>372</v>
      </c>
      <c r="H1003" s="3">
        <v>81.931686285629553</v>
      </c>
      <c r="I1003" s="3">
        <v>0</v>
      </c>
      <c r="J1003" s="318">
        <v>81.931686285629553</v>
      </c>
      <c r="K1003" s="3">
        <v>3.7501964045258456</v>
      </c>
      <c r="L1003" s="3">
        <v>19.645391153820498</v>
      </c>
      <c r="M1003" s="318">
        <v>23.395587558346342</v>
      </c>
      <c r="N1003" s="3">
        <v>19.739943342756806</v>
      </c>
      <c r="O1003" s="3">
        <v>84.707358666592654</v>
      </c>
      <c r="P1003" s="3">
        <v>11.865880513439018</v>
      </c>
      <c r="Q1003" s="3">
        <v>5.794707839566982</v>
      </c>
      <c r="R1003" s="3">
        <v>20.77124277557764</v>
      </c>
      <c r="S1003" s="3">
        <v>35.485474731142958</v>
      </c>
      <c r="T1003" s="3">
        <v>82.518539320391966</v>
      </c>
      <c r="U1003" s="3">
        <v>16.175726861212947</v>
      </c>
      <c r="V1003" s="318">
        <v>277.05887405068091</v>
      </c>
      <c r="W1003" s="318">
        <v>382.3861478946568</v>
      </c>
      <c r="X1003" s="3">
        <v>42.833390375913538</v>
      </c>
      <c r="Y1003" s="318">
        <v>425.21953827057035</v>
      </c>
    </row>
    <row r="1004" spans="1:25" x14ac:dyDescent="0.2">
      <c r="A1004" s="316">
        <v>2022</v>
      </c>
      <c r="B1004" s="316" t="s">
        <v>466</v>
      </c>
      <c r="C1004" s="316" t="s">
        <v>365</v>
      </c>
      <c r="D1004" s="316" t="s">
        <v>491</v>
      </c>
      <c r="E1004" s="316" t="s">
        <v>373</v>
      </c>
      <c r="F1004" s="316" t="s">
        <v>368</v>
      </c>
      <c r="G1004" s="316" t="s">
        <v>374</v>
      </c>
      <c r="H1004" s="3">
        <v>1068.0747913386781</v>
      </c>
      <c r="I1004" s="3">
        <v>0</v>
      </c>
      <c r="J1004" s="318">
        <v>1068.0747913386781</v>
      </c>
      <c r="K1004" s="3">
        <v>70.370860318456437</v>
      </c>
      <c r="L1004" s="3">
        <v>30.183950824892648</v>
      </c>
      <c r="M1004" s="318">
        <v>100.55481114334908</v>
      </c>
      <c r="N1004" s="3">
        <v>58.798801050904785</v>
      </c>
      <c r="O1004" s="3">
        <v>184.45902645056344</v>
      </c>
      <c r="P1004" s="3">
        <v>28.869446706300923</v>
      </c>
      <c r="Q1004" s="3">
        <v>14.513666473742184</v>
      </c>
      <c r="R1004" s="3">
        <v>55.816033321176832</v>
      </c>
      <c r="S1004" s="3">
        <v>83.428605935310557</v>
      </c>
      <c r="T1004" s="3">
        <v>121.9592372301383</v>
      </c>
      <c r="U1004" s="3">
        <v>34.923746422809096</v>
      </c>
      <c r="V1004" s="318">
        <v>582.7685635909462</v>
      </c>
      <c r="W1004" s="318">
        <v>1751.3981660729733</v>
      </c>
      <c r="X1004" s="3">
        <v>196.18472521585542</v>
      </c>
      <c r="Y1004" s="318">
        <v>1947.5828912888287</v>
      </c>
    </row>
    <row r="1005" spans="1:25" x14ac:dyDescent="0.2">
      <c r="A1005" s="316">
        <v>2022</v>
      </c>
      <c r="B1005" s="316" t="s">
        <v>466</v>
      </c>
      <c r="C1005" s="316" t="s">
        <v>365</v>
      </c>
      <c r="D1005" s="316" t="s">
        <v>491</v>
      </c>
      <c r="E1005" s="316" t="s">
        <v>375</v>
      </c>
      <c r="F1005" s="316" t="s">
        <v>368</v>
      </c>
      <c r="G1005" s="316" t="s">
        <v>376</v>
      </c>
      <c r="H1005" s="3">
        <v>352.89248825218158</v>
      </c>
      <c r="I1005" s="3">
        <v>202.97235771763008</v>
      </c>
      <c r="J1005" s="318">
        <v>555.86484596981165</v>
      </c>
      <c r="K1005" s="3">
        <v>28.213352773938229</v>
      </c>
      <c r="L1005" s="3">
        <v>53.340002444044472</v>
      </c>
      <c r="M1005" s="318">
        <v>81.553355217982698</v>
      </c>
      <c r="N1005" s="3">
        <v>65.579836553591818</v>
      </c>
      <c r="O1005" s="3">
        <v>230.25444594052169</v>
      </c>
      <c r="P1005" s="3">
        <v>43.581587335005864</v>
      </c>
      <c r="Q1005" s="3">
        <v>27.769775505766109</v>
      </c>
      <c r="R1005" s="3">
        <v>67.771842908198479</v>
      </c>
      <c r="S1005" s="3">
        <v>94.902449589777532</v>
      </c>
      <c r="T1005" s="3">
        <v>151.79171148789774</v>
      </c>
      <c r="U1005" s="3">
        <v>50.337598542925377</v>
      </c>
      <c r="V1005" s="318">
        <v>731.98924786368457</v>
      </c>
      <c r="W1005" s="318">
        <v>1369.407449051479</v>
      </c>
      <c r="X1005" s="3">
        <v>153.39562944906965</v>
      </c>
      <c r="Y1005" s="318">
        <v>1522.8030785005487</v>
      </c>
    </row>
    <row r="1006" spans="1:25" x14ac:dyDescent="0.2">
      <c r="A1006" s="316">
        <v>2022</v>
      </c>
      <c r="B1006" s="316" t="s">
        <v>466</v>
      </c>
      <c r="C1006" s="316" t="s">
        <v>365</v>
      </c>
      <c r="D1006" s="316" t="s">
        <v>493</v>
      </c>
      <c r="E1006" s="316" t="s">
        <v>377</v>
      </c>
      <c r="F1006" s="316" t="s">
        <v>368</v>
      </c>
      <c r="G1006" s="316" t="s">
        <v>378</v>
      </c>
      <c r="H1006" s="3">
        <v>3.5266519984437465</v>
      </c>
      <c r="I1006" s="3">
        <v>0</v>
      </c>
      <c r="J1006" s="318">
        <v>3.5266519984437465</v>
      </c>
      <c r="K1006" s="3">
        <v>2.9897744889926275E-2</v>
      </c>
      <c r="L1006" s="3">
        <v>3.6472194164084635</v>
      </c>
      <c r="M1006" s="318">
        <v>3.6771171612983897</v>
      </c>
      <c r="N1006" s="3">
        <v>27.540572710874795</v>
      </c>
      <c r="O1006" s="3">
        <v>3.8810111723060015</v>
      </c>
      <c r="P1006" s="3">
        <v>0.83967947077890392</v>
      </c>
      <c r="Q1006" s="3">
        <v>3.9269586117837707E-2</v>
      </c>
      <c r="R1006" s="3">
        <v>1.5189734141628086</v>
      </c>
      <c r="S1006" s="3">
        <v>8.8771331001778844</v>
      </c>
      <c r="T1006" s="3">
        <v>10.598660025166049</v>
      </c>
      <c r="U1006" s="3">
        <v>1.5141904832183766</v>
      </c>
      <c r="V1006" s="318">
        <v>54.809489962802658</v>
      </c>
      <c r="W1006" s="318">
        <v>62.013259122544795</v>
      </c>
      <c r="X1006" s="3">
        <v>6.9464810665955588</v>
      </c>
      <c r="Y1006" s="318">
        <v>68.959740189140348</v>
      </c>
    </row>
    <row r="1007" spans="1:25" x14ac:dyDescent="0.2">
      <c r="A1007" s="316">
        <v>2022</v>
      </c>
      <c r="B1007" s="316" t="s">
        <v>466</v>
      </c>
      <c r="C1007" s="316" t="s">
        <v>365</v>
      </c>
      <c r="D1007" s="316" t="s">
        <v>491</v>
      </c>
      <c r="E1007" s="316" t="s">
        <v>379</v>
      </c>
      <c r="F1007" s="316" t="s">
        <v>368</v>
      </c>
      <c r="G1007" s="316" t="s">
        <v>380</v>
      </c>
      <c r="H1007" s="3">
        <v>54.034973403100928</v>
      </c>
      <c r="I1007" s="3">
        <v>46.189630989965956</v>
      </c>
      <c r="J1007" s="318">
        <v>100.22460439306688</v>
      </c>
      <c r="K1007" s="3">
        <v>6.4100073367677384</v>
      </c>
      <c r="L1007" s="3">
        <v>9.1803857142089598</v>
      </c>
      <c r="M1007" s="318">
        <v>15.590393050976697</v>
      </c>
      <c r="N1007" s="3">
        <v>15.63896701303765</v>
      </c>
      <c r="O1007" s="3">
        <v>49.663877666418792</v>
      </c>
      <c r="P1007" s="3">
        <v>6.184447009357501</v>
      </c>
      <c r="Q1007" s="3">
        <v>3.020813987210484</v>
      </c>
      <c r="R1007" s="3">
        <v>11.893206052523013</v>
      </c>
      <c r="S1007" s="3">
        <v>22.193900802011608</v>
      </c>
      <c r="T1007" s="3">
        <v>49.167432912836922</v>
      </c>
      <c r="U1007" s="3">
        <v>7.7827518130494404</v>
      </c>
      <c r="V1007" s="318">
        <v>165.5453972564454</v>
      </c>
      <c r="W1007" s="318">
        <v>281.360394700489</v>
      </c>
      <c r="X1007" s="3">
        <v>31.516883362226935</v>
      </c>
      <c r="Y1007" s="318">
        <v>312.87727806271596</v>
      </c>
    </row>
    <row r="1008" spans="1:25" x14ac:dyDescent="0.2">
      <c r="A1008" s="316">
        <v>2022</v>
      </c>
      <c r="B1008" s="316" t="s">
        <v>466</v>
      </c>
      <c r="C1008" s="316" t="s">
        <v>365</v>
      </c>
      <c r="D1008" s="316" t="s">
        <v>492</v>
      </c>
      <c r="E1008" s="316" t="s">
        <v>381</v>
      </c>
      <c r="F1008" s="316" t="s">
        <v>368</v>
      </c>
      <c r="G1008" s="316" t="s">
        <v>382</v>
      </c>
      <c r="H1008" s="3">
        <v>246.35641907752856</v>
      </c>
      <c r="I1008" s="3">
        <v>0</v>
      </c>
      <c r="J1008" s="318">
        <v>246.35641907752856</v>
      </c>
      <c r="K1008" s="3">
        <v>4.8905964725475428</v>
      </c>
      <c r="L1008" s="3">
        <v>42.189504888889161</v>
      </c>
      <c r="M1008" s="318">
        <v>47.080101361436704</v>
      </c>
      <c r="N1008" s="3">
        <v>79.564720950895918</v>
      </c>
      <c r="O1008" s="3">
        <v>152.57848784199911</v>
      </c>
      <c r="P1008" s="3">
        <v>15.262909461712951</v>
      </c>
      <c r="Q1008" s="3">
        <v>8.0411540071470231</v>
      </c>
      <c r="R1008" s="3">
        <v>30.163375980271596</v>
      </c>
      <c r="S1008" s="3">
        <v>64.547120907713918</v>
      </c>
      <c r="T1008" s="3">
        <v>119.37679801612046</v>
      </c>
      <c r="U1008" s="3">
        <v>21.850409052295589</v>
      </c>
      <c r="V1008" s="318">
        <v>491.38497621815657</v>
      </c>
      <c r="W1008" s="318">
        <v>784.82149665712188</v>
      </c>
      <c r="X1008" s="3">
        <v>87.912613275374753</v>
      </c>
      <c r="Y1008" s="318">
        <v>872.73410993249661</v>
      </c>
    </row>
    <row r="1009" spans="1:25" x14ac:dyDescent="0.2">
      <c r="A1009" s="316">
        <v>2022</v>
      </c>
      <c r="B1009" s="316" t="s">
        <v>466</v>
      </c>
      <c r="C1009" s="316" t="s">
        <v>365</v>
      </c>
      <c r="D1009" s="316" t="s">
        <v>492</v>
      </c>
      <c r="E1009" s="316" t="s">
        <v>383</v>
      </c>
      <c r="F1009" s="316" t="s">
        <v>368</v>
      </c>
      <c r="G1009" s="316" t="s">
        <v>384</v>
      </c>
      <c r="H1009" s="3">
        <v>68.996458348995418</v>
      </c>
      <c r="I1009" s="3">
        <v>0</v>
      </c>
      <c r="J1009" s="318">
        <v>68.996458348995418</v>
      </c>
      <c r="K1009" s="3">
        <v>8.8877165933085056</v>
      </c>
      <c r="L1009" s="3">
        <v>7.0010960117476309</v>
      </c>
      <c r="M1009" s="318">
        <v>15.888812605056136</v>
      </c>
      <c r="N1009" s="3">
        <v>15.226772139710713</v>
      </c>
      <c r="O1009" s="3">
        <v>39.194463475676635</v>
      </c>
      <c r="P1009" s="3">
        <v>7.7451298014580701</v>
      </c>
      <c r="Q1009" s="3">
        <v>3.9169191050211016</v>
      </c>
      <c r="R1009" s="3">
        <v>11.225505381572885</v>
      </c>
      <c r="S1009" s="3">
        <v>25.922071465467347</v>
      </c>
      <c r="T1009" s="3">
        <v>68.971978418237356</v>
      </c>
      <c r="U1009" s="3">
        <v>10.432723465218327</v>
      </c>
      <c r="V1009" s="318">
        <v>182.63556325236243</v>
      </c>
      <c r="W1009" s="318">
        <v>267.52083420641395</v>
      </c>
      <c r="X1009" s="3">
        <v>29.966630298569683</v>
      </c>
      <c r="Y1009" s="318">
        <v>297.48746450498362</v>
      </c>
    </row>
    <row r="1010" spans="1:25" x14ac:dyDescent="0.2">
      <c r="A1010" s="316">
        <v>2022</v>
      </c>
      <c r="B1010" s="316" t="s">
        <v>466</v>
      </c>
      <c r="C1010" s="316" t="s">
        <v>365</v>
      </c>
      <c r="D1010" s="316" t="s">
        <v>492</v>
      </c>
      <c r="E1010" s="316" t="s">
        <v>385</v>
      </c>
      <c r="F1010" s="316" t="s">
        <v>368</v>
      </c>
      <c r="G1010" s="316" t="s">
        <v>386</v>
      </c>
      <c r="H1010" s="3">
        <v>78.225798569647324</v>
      </c>
      <c r="I1010" s="3">
        <v>0</v>
      </c>
      <c r="J1010" s="318">
        <v>78.225798569647324</v>
      </c>
      <c r="K1010" s="3">
        <v>4.2646607766978679</v>
      </c>
      <c r="L1010" s="3">
        <v>18.992523429846408</v>
      </c>
      <c r="M1010" s="318">
        <v>23.257184206544274</v>
      </c>
      <c r="N1010" s="3">
        <v>43.728473269850149</v>
      </c>
      <c r="O1010" s="3">
        <v>73.785358434266072</v>
      </c>
      <c r="P1010" s="3">
        <v>13.500144416151725</v>
      </c>
      <c r="Q1010" s="3">
        <v>5.1480369141910796</v>
      </c>
      <c r="R1010" s="3">
        <v>17.319329114503816</v>
      </c>
      <c r="S1010" s="3">
        <v>40.740885723183943</v>
      </c>
      <c r="T1010" s="3">
        <v>83.321400670420047</v>
      </c>
      <c r="U1010" s="3">
        <v>11.241634912713932</v>
      </c>
      <c r="V1010" s="318">
        <v>288.78526345528076</v>
      </c>
      <c r="W1010" s="318">
        <v>390.26824623147235</v>
      </c>
      <c r="X1010" s="3">
        <v>43.716311990362726</v>
      </c>
      <c r="Y1010" s="318">
        <v>433.98455822183507</v>
      </c>
    </row>
    <row r="1011" spans="1:25" x14ac:dyDescent="0.2">
      <c r="A1011" s="316">
        <v>2022</v>
      </c>
      <c r="B1011" s="316" t="s">
        <v>466</v>
      </c>
      <c r="C1011" s="316" t="s">
        <v>365</v>
      </c>
      <c r="D1011" s="316" t="s">
        <v>491</v>
      </c>
      <c r="E1011" s="316" t="s">
        <v>387</v>
      </c>
      <c r="F1011" s="316" t="s">
        <v>368</v>
      </c>
      <c r="G1011" s="316" t="s">
        <v>494</v>
      </c>
      <c r="H1011" s="3">
        <v>790.82170899384937</v>
      </c>
      <c r="I1011" s="3">
        <v>449.11310402161439</v>
      </c>
      <c r="J1011" s="318">
        <v>1239.9348130154638</v>
      </c>
      <c r="K1011" s="3">
        <v>73.624034579668375</v>
      </c>
      <c r="L1011" s="3">
        <v>123.26194563152222</v>
      </c>
      <c r="M1011" s="318">
        <v>196.8859802111906</v>
      </c>
      <c r="N1011" s="3">
        <v>124.55356856896327</v>
      </c>
      <c r="O1011" s="3">
        <v>585.16825370342974</v>
      </c>
      <c r="P1011" s="3">
        <v>82.606817405048858</v>
      </c>
      <c r="Q1011" s="3">
        <v>46.213065081279552</v>
      </c>
      <c r="R1011" s="3">
        <v>141.02085518432381</v>
      </c>
      <c r="S1011" s="3">
        <v>257.98679927435666</v>
      </c>
      <c r="T1011" s="3">
        <v>548.82605455575992</v>
      </c>
      <c r="U1011" s="3">
        <v>86.584011402727057</v>
      </c>
      <c r="V1011" s="318">
        <v>1872.9594251758888</v>
      </c>
      <c r="W1011" s="318">
        <v>3309.7802184025431</v>
      </c>
      <c r="X1011" s="3">
        <v>370.74854550528408</v>
      </c>
      <c r="Y1011" s="318">
        <v>3680.5287639078274</v>
      </c>
    </row>
    <row r="1012" spans="1:25" x14ac:dyDescent="0.2">
      <c r="A1012" s="316">
        <v>2022</v>
      </c>
      <c r="B1012" s="316" t="s">
        <v>466</v>
      </c>
      <c r="C1012" s="316" t="s">
        <v>365</v>
      </c>
      <c r="D1012" s="316" t="s">
        <v>493</v>
      </c>
      <c r="E1012" s="316" t="s">
        <v>389</v>
      </c>
      <c r="F1012" s="316" t="s">
        <v>368</v>
      </c>
      <c r="G1012" s="316" t="s">
        <v>390</v>
      </c>
      <c r="H1012" s="3">
        <v>21.662791903176476</v>
      </c>
      <c r="I1012" s="3">
        <v>0</v>
      </c>
      <c r="J1012" s="318">
        <v>21.662791903176476</v>
      </c>
      <c r="K1012" s="3">
        <v>1.5240020559082821</v>
      </c>
      <c r="L1012" s="3">
        <v>5.2472015809032833</v>
      </c>
      <c r="M1012" s="318">
        <v>6.7712036368115651</v>
      </c>
      <c r="N1012" s="3">
        <v>7.1696579512063563</v>
      </c>
      <c r="O1012" s="3">
        <v>21.227946217562707</v>
      </c>
      <c r="P1012" s="3">
        <v>3.0322292301933573</v>
      </c>
      <c r="Q1012" s="3">
        <v>1.0733114517095022</v>
      </c>
      <c r="R1012" s="3">
        <v>5.9235932011379466</v>
      </c>
      <c r="S1012" s="3">
        <v>14.116620086918575</v>
      </c>
      <c r="T1012" s="3">
        <v>30.679584209801089</v>
      </c>
      <c r="U1012" s="3">
        <v>4.5817882684922848</v>
      </c>
      <c r="V1012" s="318">
        <v>87.804730617021818</v>
      </c>
      <c r="W1012" s="318">
        <v>116.23872615700986</v>
      </c>
      <c r="X1012" s="3">
        <v>13.020604333328901</v>
      </c>
      <c r="Y1012" s="318">
        <v>129.25933049033875</v>
      </c>
    </row>
  </sheetData>
  <autoFilter ref="A4:Y1012" xr:uid="{00000000-0009-0000-0000-000005000000}"/>
  <mergeCells count="2">
    <mergeCell ref="A1:Y1"/>
    <mergeCell ref="A2:Y2"/>
  </mergeCells>
  <pageMargins left="0.7" right="0.7" top="0.75" bottom="0.75" header="0.3" footer="0.3"/>
  <pageSetup orientation="portrait" horizontalDpi="4294967295" verticalDpi="4294967295"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12"/>
  <sheetViews>
    <sheetView showGridLines="0" topLeftCell="F65" zoomScale="117" zoomScaleNormal="70" workbookViewId="0">
      <selection activeCell="A4" sqref="A4:Y1012"/>
    </sheetView>
  </sheetViews>
  <sheetFormatPr baseColWidth="10" defaultColWidth="8.83203125" defaultRowHeight="15" x14ac:dyDescent="0.2"/>
  <cols>
    <col min="1" max="1" width="6" customWidth="1"/>
    <col min="2" max="2" width="12.83203125" customWidth="1"/>
    <col min="5" max="5" width="8.6640625" bestFit="1" customWidth="1"/>
    <col min="6" max="6" width="17.6640625" customWidth="1"/>
    <col min="7" max="7" width="23.6640625" bestFit="1" customWidth="1"/>
    <col min="8" max="9" width="7.83203125" bestFit="1" customWidth="1"/>
    <col min="10" max="10" width="8" bestFit="1" customWidth="1"/>
    <col min="11" max="12" width="8.83203125" bestFit="1" customWidth="1"/>
    <col min="13" max="13" width="9" bestFit="1" customWidth="1"/>
    <col min="14" max="14" width="19.6640625" bestFit="1" customWidth="1"/>
    <col min="15" max="15" width="17.33203125" bestFit="1" customWidth="1"/>
    <col min="16" max="17" width="7.83203125" bestFit="1" customWidth="1"/>
    <col min="18" max="18" width="8.83203125" bestFit="1" customWidth="1"/>
    <col min="19" max="19" width="11.6640625" customWidth="1"/>
    <col min="20" max="20" width="17.33203125" bestFit="1" customWidth="1"/>
    <col min="21" max="21" width="27.6640625" bestFit="1" customWidth="1"/>
    <col min="22" max="22" width="9" bestFit="1" customWidth="1"/>
    <col min="23" max="23" width="10" bestFit="1" customWidth="1"/>
    <col min="24" max="24" width="8.83203125" bestFit="1" customWidth="1"/>
    <col min="25" max="25" width="10" bestFit="1" customWidth="1"/>
  </cols>
  <sheetData>
    <row r="1" spans="1:26" ht="19" x14ac:dyDescent="0.25">
      <c r="A1" s="461" t="s">
        <v>43</v>
      </c>
      <c r="B1" s="461"/>
      <c r="C1" s="461"/>
      <c r="D1" s="461"/>
      <c r="E1" s="461"/>
      <c r="F1" s="461"/>
      <c r="G1" s="461"/>
      <c r="H1" s="461"/>
      <c r="I1" s="461"/>
      <c r="J1" s="461"/>
      <c r="K1" s="461"/>
      <c r="L1" s="461"/>
      <c r="M1" s="461"/>
      <c r="N1" s="461"/>
      <c r="O1" s="461"/>
      <c r="P1" s="461"/>
      <c r="Q1" s="461"/>
      <c r="R1" s="461"/>
      <c r="S1" s="461"/>
      <c r="T1" s="461"/>
      <c r="U1" s="461"/>
      <c r="V1" s="461"/>
      <c r="W1" s="461"/>
      <c r="X1" s="461"/>
      <c r="Y1" s="461"/>
    </row>
    <row r="2" spans="1:26" ht="36" customHeight="1" x14ac:dyDescent="0.2">
      <c r="A2" s="462" t="s">
        <v>495</v>
      </c>
      <c r="B2" s="462"/>
      <c r="C2" s="462"/>
      <c r="D2" s="462"/>
      <c r="E2" s="462"/>
      <c r="F2" s="462"/>
      <c r="G2" s="462"/>
      <c r="H2" s="462"/>
      <c r="I2" s="462"/>
      <c r="J2" s="462"/>
      <c r="K2" s="462"/>
      <c r="L2" s="462"/>
      <c r="M2" s="462"/>
      <c r="N2" s="462"/>
      <c r="O2" s="462"/>
      <c r="P2" s="462"/>
      <c r="Q2" s="462"/>
      <c r="R2" s="462"/>
      <c r="S2" s="462"/>
      <c r="T2" s="462"/>
      <c r="U2" s="462"/>
      <c r="V2" s="462"/>
      <c r="W2" s="462"/>
      <c r="X2" s="462"/>
      <c r="Y2" s="462"/>
    </row>
    <row r="3" spans="1:26" ht="16" thickBot="1" x14ac:dyDescent="0.25"/>
    <row r="4" spans="1:26" ht="153" customHeight="1" x14ac:dyDescent="0.2">
      <c r="A4" s="326" t="s">
        <v>457</v>
      </c>
      <c r="B4" s="327" t="s">
        <v>458</v>
      </c>
      <c r="C4" s="327" t="s">
        <v>459</v>
      </c>
      <c r="D4" s="327" t="s">
        <v>460</v>
      </c>
      <c r="E4" s="327" t="s">
        <v>461</v>
      </c>
      <c r="F4" s="327" t="s">
        <v>392</v>
      </c>
      <c r="G4" s="327" t="s">
        <v>462</v>
      </c>
      <c r="H4" s="328" t="s">
        <v>63</v>
      </c>
      <c r="I4" s="328" t="s">
        <v>64</v>
      </c>
      <c r="J4" s="328" t="s">
        <v>75</v>
      </c>
      <c r="K4" s="328" t="s">
        <v>65</v>
      </c>
      <c r="L4" s="328" t="s">
        <v>66</v>
      </c>
      <c r="M4" s="328" t="s">
        <v>76</v>
      </c>
      <c r="N4" s="328" t="s">
        <v>67</v>
      </c>
      <c r="O4" s="328" t="s">
        <v>68</v>
      </c>
      <c r="P4" s="328" t="s">
        <v>69</v>
      </c>
      <c r="Q4" s="328" t="s">
        <v>70</v>
      </c>
      <c r="R4" s="328" t="s">
        <v>71</v>
      </c>
      <c r="S4" s="328" t="s">
        <v>72</v>
      </c>
      <c r="T4" s="328" t="s">
        <v>73</v>
      </c>
      <c r="U4" s="328" t="s">
        <v>74</v>
      </c>
      <c r="V4" s="328" t="s">
        <v>77</v>
      </c>
      <c r="W4" s="329" t="s">
        <v>463</v>
      </c>
      <c r="X4" s="328" t="s">
        <v>464</v>
      </c>
      <c r="Y4" s="330" t="s">
        <v>465</v>
      </c>
    </row>
    <row r="5" spans="1:26" x14ac:dyDescent="0.2">
      <c r="A5" s="331">
        <v>2015</v>
      </c>
      <c r="B5" s="324" t="s">
        <v>466</v>
      </c>
      <c r="C5" s="324"/>
      <c r="D5" s="324"/>
      <c r="E5" s="324"/>
      <c r="F5" s="324"/>
      <c r="G5" s="324" t="s">
        <v>467</v>
      </c>
      <c r="H5" s="325">
        <v>6153.0623286166601</v>
      </c>
      <c r="I5" s="325">
        <v>2430.0514517960805</v>
      </c>
      <c r="J5" s="325">
        <v>8583.1137804127411</v>
      </c>
      <c r="K5" s="325">
        <v>19852.649523508673</v>
      </c>
      <c r="L5" s="325">
        <v>8573.3862697719742</v>
      </c>
      <c r="M5" s="325">
        <v>28426.035793280647</v>
      </c>
      <c r="N5" s="325">
        <v>4920.4932764469131</v>
      </c>
      <c r="O5" s="325">
        <v>18733.951378250913</v>
      </c>
      <c r="P5" s="325">
        <v>3382.924851687842</v>
      </c>
      <c r="Q5" s="325">
        <v>5517.180840789355</v>
      </c>
      <c r="R5" s="325">
        <v>9932.8028534265723</v>
      </c>
      <c r="S5" s="325">
        <v>10374.548477555927</v>
      </c>
      <c r="T5" s="325">
        <v>12532.151501840759</v>
      </c>
      <c r="U5" s="325">
        <v>2500.0730881368681</v>
      </c>
      <c r="V5" s="325">
        <v>67894.126268135151</v>
      </c>
      <c r="W5" s="325">
        <v>104903.27584182854</v>
      </c>
      <c r="X5" s="325">
        <v>10542.981141487051</v>
      </c>
      <c r="Y5" s="320">
        <v>115446.2569833156</v>
      </c>
      <c r="Z5" t="s">
        <v>496</v>
      </c>
    </row>
    <row r="6" spans="1:26" x14ac:dyDescent="0.2">
      <c r="A6" s="7">
        <v>2015</v>
      </c>
      <c r="B6" s="5" t="s">
        <v>466</v>
      </c>
      <c r="C6" s="5" t="s">
        <v>90</v>
      </c>
      <c r="D6" s="5" t="s">
        <v>468</v>
      </c>
      <c r="E6" s="5" t="s">
        <v>93</v>
      </c>
      <c r="F6" s="5" t="s">
        <v>94</v>
      </c>
      <c r="G6" s="5" t="s">
        <v>469</v>
      </c>
      <c r="H6" s="10">
        <v>119.68201840333261</v>
      </c>
      <c r="I6" s="10">
        <v>5.6349865901046314</v>
      </c>
      <c r="J6" s="325">
        <v>125.31700499343724</v>
      </c>
      <c r="K6" s="10">
        <v>7256.5499187240021</v>
      </c>
      <c r="L6" s="10">
        <v>4520.6769751070669</v>
      </c>
      <c r="M6" s="325">
        <v>11777.22689383107</v>
      </c>
      <c r="N6" s="10">
        <v>1653.413479418085</v>
      </c>
      <c r="O6" s="10">
        <v>9007.4328495569735</v>
      </c>
      <c r="P6" s="10">
        <v>1616.9389720099052</v>
      </c>
      <c r="Q6" s="10">
        <v>4172.897745111014</v>
      </c>
      <c r="R6" s="10">
        <v>5034.0174379085811</v>
      </c>
      <c r="S6" s="10">
        <v>4907.4649519085615</v>
      </c>
      <c r="T6" s="10">
        <v>6034.3929194257507</v>
      </c>
      <c r="U6" s="10">
        <v>1222.3023498360963</v>
      </c>
      <c r="V6" s="325">
        <v>33648.860705174971</v>
      </c>
      <c r="W6" s="325">
        <v>45551.404603999479</v>
      </c>
      <c r="X6" s="10">
        <v>4578.0038410983825</v>
      </c>
      <c r="Y6" s="320">
        <v>50129.408445097863</v>
      </c>
    </row>
    <row r="7" spans="1:26" x14ac:dyDescent="0.2">
      <c r="A7" s="7">
        <v>2015</v>
      </c>
      <c r="B7" s="5" t="s">
        <v>466</v>
      </c>
      <c r="C7" s="5" t="s">
        <v>90</v>
      </c>
      <c r="D7" s="5" t="s">
        <v>470</v>
      </c>
      <c r="E7" s="5" t="s">
        <v>98</v>
      </c>
      <c r="F7" s="5" t="s">
        <v>94</v>
      </c>
      <c r="G7" s="5" t="s">
        <v>99</v>
      </c>
      <c r="H7" s="10">
        <v>87.150146859951107</v>
      </c>
      <c r="I7" s="10">
        <v>2.2355447251512288</v>
      </c>
      <c r="J7" s="325">
        <v>89.385691585102336</v>
      </c>
      <c r="K7" s="10">
        <v>332.02207539214368</v>
      </c>
      <c r="L7" s="10">
        <v>40.664886329503766</v>
      </c>
      <c r="M7" s="325">
        <v>372.68696172164744</v>
      </c>
      <c r="N7" s="10">
        <v>92.780474051561384</v>
      </c>
      <c r="O7" s="10">
        <v>74.242204795224282</v>
      </c>
      <c r="P7" s="10">
        <v>12.916094246956543</v>
      </c>
      <c r="Q7" s="10">
        <v>7.4006266940251999</v>
      </c>
      <c r="R7" s="10">
        <v>42.842552522967395</v>
      </c>
      <c r="S7" s="10">
        <v>48.21509483003102</v>
      </c>
      <c r="T7" s="10">
        <v>34.884195455923191</v>
      </c>
      <c r="U7" s="10">
        <v>10.199362722056831</v>
      </c>
      <c r="V7" s="325">
        <v>323.4806053187458</v>
      </c>
      <c r="W7" s="325">
        <v>785.55325862549557</v>
      </c>
      <c r="X7" s="10">
        <v>78.949614540059073</v>
      </c>
      <c r="Y7" s="320">
        <v>864.50287316555466</v>
      </c>
    </row>
    <row r="8" spans="1:26" x14ac:dyDescent="0.2">
      <c r="A8" s="7">
        <v>2015</v>
      </c>
      <c r="B8" s="5" t="s">
        <v>466</v>
      </c>
      <c r="C8" s="5" t="s">
        <v>90</v>
      </c>
      <c r="D8" s="5" t="s">
        <v>470</v>
      </c>
      <c r="E8" s="5" t="s">
        <v>101</v>
      </c>
      <c r="F8" s="5" t="s">
        <v>94</v>
      </c>
      <c r="G8" s="5" t="s">
        <v>102</v>
      </c>
      <c r="H8" s="10">
        <v>32.86042774985561</v>
      </c>
      <c r="I8" s="10">
        <v>1.3847273861067322</v>
      </c>
      <c r="J8" s="325">
        <v>34.245155135962342</v>
      </c>
      <c r="K8" s="10">
        <v>709.73076032472932</v>
      </c>
      <c r="L8" s="10">
        <v>442.56120670496762</v>
      </c>
      <c r="M8" s="325">
        <v>1152.2919670296969</v>
      </c>
      <c r="N8" s="10">
        <v>186.45274173402839</v>
      </c>
      <c r="O8" s="10">
        <v>1066.2356503951914</v>
      </c>
      <c r="P8" s="10">
        <v>245.27910805213486</v>
      </c>
      <c r="Q8" s="10">
        <v>147.35512088211757</v>
      </c>
      <c r="R8" s="10">
        <v>570.62858347535507</v>
      </c>
      <c r="S8" s="10">
        <v>475.14832433753566</v>
      </c>
      <c r="T8" s="10">
        <v>711.00225316166518</v>
      </c>
      <c r="U8" s="10">
        <v>153.50494384773336</v>
      </c>
      <c r="V8" s="325">
        <v>3555.6067258857615</v>
      </c>
      <c r="W8" s="325">
        <v>4742.1438480514207</v>
      </c>
      <c r="X8" s="10">
        <v>476.59458451784241</v>
      </c>
      <c r="Y8" s="320">
        <v>5218.7384325692628</v>
      </c>
    </row>
    <row r="9" spans="1:26" x14ac:dyDescent="0.2">
      <c r="A9" s="7">
        <v>2015</v>
      </c>
      <c r="B9" s="5" t="s">
        <v>466</v>
      </c>
      <c r="C9" s="5" t="s">
        <v>90</v>
      </c>
      <c r="D9" s="5" t="s">
        <v>471</v>
      </c>
      <c r="E9" s="5" t="s">
        <v>104</v>
      </c>
      <c r="F9" s="5" t="s">
        <v>94</v>
      </c>
      <c r="G9" s="5" t="s">
        <v>105</v>
      </c>
      <c r="H9" s="10">
        <v>57.042390614574813</v>
      </c>
      <c r="I9" s="10">
        <v>0</v>
      </c>
      <c r="J9" s="325">
        <v>57.042390614574813</v>
      </c>
      <c r="K9" s="10">
        <v>229.70378326003308</v>
      </c>
      <c r="L9" s="10">
        <v>26.390475357050349</v>
      </c>
      <c r="M9" s="325">
        <v>256.09425861708343</v>
      </c>
      <c r="N9" s="10">
        <v>26.671889355962858</v>
      </c>
      <c r="O9" s="10">
        <v>235.62960169368398</v>
      </c>
      <c r="P9" s="10">
        <v>33.264812260945256</v>
      </c>
      <c r="Q9" s="10">
        <v>22.771150351849343</v>
      </c>
      <c r="R9" s="10">
        <v>84.339935762224428</v>
      </c>
      <c r="S9" s="10">
        <v>73.348054899179346</v>
      </c>
      <c r="T9" s="10">
        <v>84.742568025770936</v>
      </c>
      <c r="U9" s="10">
        <v>16.133317143564955</v>
      </c>
      <c r="V9" s="325">
        <v>576.90132949318104</v>
      </c>
      <c r="W9" s="325">
        <v>890.03797872483926</v>
      </c>
      <c r="X9" s="10">
        <v>89.45053002661858</v>
      </c>
      <c r="Y9" s="320">
        <v>979.48850875145786</v>
      </c>
    </row>
    <row r="10" spans="1:26" x14ac:dyDescent="0.2">
      <c r="A10" s="7">
        <v>2015</v>
      </c>
      <c r="B10" s="5" t="s">
        <v>466</v>
      </c>
      <c r="C10" s="5" t="s">
        <v>90</v>
      </c>
      <c r="D10" s="5" t="s">
        <v>470</v>
      </c>
      <c r="E10" s="5" t="s">
        <v>106</v>
      </c>
      <c r="F10" s="5" t="s">
        <v>94</v>
      </c>
      <c r="G10" s="5" t="s">
        <v>107</v>
      </c>
      <c r="H10" s="10">
        <v>9.2642081926827373</v>
      </c>
      <c r="I10" s="10">
        <v>0</v>
      </c>
      <c r="J10" s="325">
        <v>9.2642081926827373</v>
      </c>
      <c r="K10" s="10">
        <v>393.84947086073026</v>
      </c>
      <c r="L10" s="10">
        <v>86.142284629092174</v>
      </c>
      <c r="M10" s="325">
        <v>479.99175548982242</v>
      </c>
      <c r="N10" s="10">
        <v>38.128515741489636</v>
      </c>
      <c r="O10" s="10">
        <v>170.56818393274074</v>
      </c>
      <c r="P10" s="10">
        <v>40.940700346769844</v>
      </c>
      <c r="Q10" s="10">
        <v>20.073552009436057</v>
      </c>
      <c r="R10" s="10">
        <v>111.11344478365751</v>
      </c>
      <c r="S10" s="10">
        <v>87.291258840240161</v>
      </c>
      <c r="T10" s="10">
        <v>72.943423577123909</v>
      </c>
      <c r="U10" s="10">
        <v>21.304899177729389</v>
      </c>
      <c r="V10" s="325">
        <v>562.36397840918721</v>
      </c>
      <c r="W10" s="325">
        <v>1051.6199420916923</v>
      </c>
      <c r="X10" s="10">
        <v>105.68982836018749</v>
      </c>
      <c r="Y10" s="320">
        <v>1157.3097704518798</v>
      </c>
    </row>
    <row r="11" spans="1:26" x14ac:dyDescent="0.2">
      <c r="A11" s="7">
        <v>2015</v>
      </c>
      <c r="B11" s="5" t="s">
        <v>466</v>
      </c>
      <c r="C11" s="5" t="s">
        <v>90</v>
      </c>
      <c r="D11" s="5" t="s">
        <v>471</v>
      </c>
      <c r="E11" s="5" t="s">
        <v>109</v>
      </c>
      <c r="F11" s="5" t="s">
        <v>94</v>
      </c>
      <c r="G11" s="5" t="s">
        <v>110</v>
      </c>
      <c r="H11" s="10">
        <v>22.479678372914684</v>
      </c>
      <c r="I11" s="10">
        <v>0</v>
      </c>
      <c r="J11" s="325">
        <v>22.479678372914684</v>
      </c>
      <c r="K11" s="10">
        <v>2453.3019512264786</v>
      </c>
      <c r="L11" s="10">
        <v>318.46624865600916</v>
      </c>
      <c r="M11" s="325">
        <v>2771.7681998824878</v>
      </c>
      <c r="N11" s="10">
        <v>242.39040527107537</v>
      </c>
      <c r="O11" s="10">
        <v>1169.6177934877462</v>
      </c>
      <c r="P11" s="10">
        <v>225.28860049987085</v>
      </c>
      <c r="Q11" s="10">
        <v>155.74231506972649</v>
      </c>
      <c r="R11" s="10">
        <v>852.36397088747617</v>
      </c>
      <c r="S11" s="10">
        <v>761.23380629219173</v>
      </c>
      <c r="T11" s="10">
        <v>574.18597629647775</v>
      </c>
      <c r="U11" s="10">
        <v>246.63438317825234</v>
      </c>
      <c r="V11" s="325">
        <v>4227.4572509828167</v>
      </c>
      <c r="W11" s="325">
        <v>7021.7051292382184</v>
      </c>
      <c r="X11" s="10">
        <v>705.69488101803859</v>
      </c>
      <c r="Y11" s="320">
        <v>7727.4000102562568</v>
      </c>
    </row>
    <row r="12" spans="1:26" x14ac:dyDescent="0.2">
      <c r="A12" s="7">
        <v>2015</v>
      </c>
      <c r="B12" s="5" t="s">
        <v>466</v>
      </c>
      <c r="C12" s="5" t="s">
        <v>90</v>
      </c>
      <c r="D12" s="5" t="s">
        <v>470</v>
      </c>
      <c r="E12" s="5" t="s">
        <v>112</v>
      </c>
      <c r="F12" s="5" t="s">
        <v>94</v>
      </c>
      <c r="G12" s="5" t="s">
        <v>113</v>
      </c>
      <c r="H12" s="10">
        <v>21.622788573036885</v>
      </c>
      <c r="I12" s="10">
        <v>11.696436821122184</v>
      </c>
      <c r="J12" s="325">
        <v>33.319225394159069</v>
      </c>
      <c r="K12" s="10">
        <v>894.34892888238733</v>
      </c>
      <c r="L12" s="10">
        <v>190.88343024606502</v>
      </c>
      <c r="M12" s="325">
        <v>1085.2323591284523</v>
      </c>
      <c r="N12" s="10">
        <v>31.319378432899413</v>
      </c>
      <c r="O12" s="10">
        <v>204.85798669437082</v>
      </c>
      <c r="P12" s="10">
        <v>17.844504004623023</v>
      </c>
      <c r="Q12" s="10">
        <v>11.135967854491469</v>
      </c>
      <c r="R12" s="10">
        <v>50.241327551515766</v>
      </c>
      <c r="S12" s="10">
        <v>103.08881536223879</v>
      </c>
      <c r="T12" s="10">
        <v>47.490276937738528</v>
      </c>
      <c r="U12" s="10">
        <v>10.373608941247015</v>
      </c>
      <c r="V12" s="325">
        <v>476.35186577912486</v>
      </c>
      <c r="W12" s="325">
        <v>1594.9034503017363</v>
      </c>
      <c r="X12" s="10">
        <v>160.29086665449992</v>
      </c>
      <c r="Y12" s="320">
        <v>1755.1943169562362</v>
      </c>
    </row>
    <row r="13" spans="1:26" x14ac:dyDescent="0.2">
      <c r="A13" s="7">
        <v>2015</v>
      </c>
      <c r="B13" s="5" t="s">
        <v>466</v>
      </c>
      <c r="C13" s="5" t="s">
        <v>90</v>
      </c>
      <c r="D13" s="5" t="s">
        <v>471</v>
      </c>
      <c r="E13" s="5" t="s">
        <v>115</v>
      </c>
      <c r="F13" s="5" t="s">
        <v>94</v>
      </c>
      <c r="G13" s="5" t="s">
        <v>116</v>
      </c>
      <c r="H13" s="10">
        <v>0.55442873099112122</v>
      </c>
      <c r="I13" s="10">
        <v>0.27041697973303003</v>
      </c>
      <c r="J13" s="325">
        <v>0.82484571072415125</v>
      </c>
      <c r="K13" s="10">
        <v>2192.4897335923961</v>
      </c>
      <c r="L13" s="10">
        <v>618.32935615540191</v>
      </c>
      <c r="M13" s="325">
        <v>2810.819089747798</v>
      </c>
      <c r="N13" s="10">
        <v>244.11523829142413</v>
      </c>
      <c r="O13" s="10">
        <v>1074.5609124697905</v>
      </c>
      <c r="P13" s="10">
        <v>222.62840109169287</v>
      </c>
      <c r="Q13" s="10">
        <v>193.18315991243378</v>
      </c>
      <c r="R13" s="10">
        <v>579.55120787037504</v>
      </c>
      <c r="S13" s="10">
        <v>652.8956708673926</v>
      </c>
      <c r="T13" s="10">
        <v>470.91557141200445</v>
      </c>
      <c r="U13" s="10">
        <v>115.15740188989577</v>
      </c>
      <c r="V13" s="325">
        <v>3553.0075638050093</v>
      </c>
      <c r="W13" s="325">
        <v>6364.6514992635312</v>
      </c>
      <c r="X13" s="10">
        <v>639.65972649145363</v>
      </c>
      <c r="Y13" s="320">
        <v>7004.3112257549847</v>
      </c>
    </row>
    <row r="14" spans="1:26" x14ac:dyDescent="0.2">
      <c r="A14" s="7">
        <v>2015</v>
      </c>
      <c r="B14" s="5" t="s">
        <v>466</v>
      </c>
      <c r="C14" s="5" t="s">
        <v>90</v>
      </c>
      <c r="D14" s="5" t="s">
        <v>471</v>
      </c>
      <c r="E14" s="5" t="s">
        <v>118</v>
      </c>
      <c r="F14" s="5" t="s">
        <v>94</v>
      </c>
      <c r="G14" s="5" t="s">
        <v>119</v>
      </c>
      <c r="H14" s="10">
        <v>3.6424973072756601</v>
      </c>
      <c r="I14" s="10">
        <v>0</v>
      </c>
      <c r="J14" s="325">
        <v>3.6424973072756601</v>
      </c>
      <c r="K14" s="10">
        <v>576.53053345198214</v>
      </c>
      <c r="L14" s="10">
        <v>90.480731642694309</v>
      </c>
      <c r="M14" s="325">
        <v>667.01126509467645</v>
      </c>
      <c r="N14" s="10">
        <v>49.23974311489745</v>
      </c>
      <c r="O14" s="10">
        <v>215.97589521821843</v>
      </c>
      <c r="P14" s="10">
        <v>38.706144232645258</v>
      </c>
      <c r="Q14" s="10">
        <v>13.81912564895546</v>
      </c>
      <c r="R14" s="10">
        <v>99.33891159561162</v>
      </c>
      <c r="S14" s="10">
        <v>111.01050736983041</v>
      </c>
      <c r="T14" s="10">
        <v>76.479213683856727</v>
      </c>
      <c r="U14" s="10">
        <v>23.166925671960438</v>
      </c>
      <c r="V14" s="325">
        <v>627.73646653597586</v>
      </c>
      <c r="W14" s="325">
        <v>1298.3902289379278</v>
      </c>
      <c r="X14" s="10">
        <v>130.49071717607831</v>
      </c>
      <c r="Y14" s="320">
        <v>1428.8809461140061</v>
      </c>
    </row>
    <row r="15" spans="1:26" x14ac:dyDescent="0.2">
      <c r="A15" s="7">
        <v>2015</v>
      </c>
      <c r="B15" s="5" t="s">
        <v>466</v>
      </c>
      <c r="C15" s="5" t="s">
        <v>90</v>
      </c>
      <c r="D15" s="5" t="s">
        <v>471</v>
      </c>
      <c r="E15" s="5" t="s">
        <v>120</v>
      </c>
      <c r="F15" s="5" t="s">
        <v>94</v>
      </c>
      <c r="G15" s="5" t="s">
        <v>121</v>
      </c>
      <c r="H15" s="10">
        <v>8.1064774457973297</v>
      </c>
      <c r="I15" s="10">
        <v>0</v>
      </c>
      <c r="J15" s="325">
        <v>8.1064774457973297</v>
      </c>
      <c r="K15" s="10">
        <v>842.9476448116443</v>
      </c>
      <c r="L15" s="10">
        <v>284.27024952491206</v>
      </c>
      <c r="M15" s="325">
        <v>1127.2178943365564</v>
      </c>
      <c r="N15" s="10">
        <v>82.823925931187716</v>
      </c>
      <c r="O15" s="10">
        <v>287.07643874586296</v>
      </c>
      <c r="P15" s="10">
        <v>69.785217269022937</v>
      </c>
      <c r="Q15" s="10">
        <v>45.338484913717437</v>
      </c>
      <c r="R15" s="10">
        <v>277.7204922723073</v>
      </c>
      <c r="S15" s="10">
        <v>236.32067523092059</v>
      </c>
      <c r="T15" s="10">
        <v>259.89120957282415</v>
      </c>
      <c r="U15" s="10">
        <v>50.460412765329544</v>
      </c>
      <c r="V15" s="325">
        <v>1309.4168567011727</v>
      </c>
      <c r="W15" s="325">
        <v>2444.7412284835264</v>
      </c>
      <c r="X15" s="10">
        <v>245.70119915146418</v>
      </c>
      <c r="Y15" s="320">
        <v>2690.4424276349905</v>
      </c>
    </row>
    <row r="16" spans="1:26" x14ac:dyDescent="0.2">
      <c r="A16" s="7">
        <v>2015</v>
      </c>
      <c r="B16" s="5" t="s">
        <v>466</v>
      </c>
      <c r="C16" s="5" t="s">
        <v>122</v>
      </c>
      <c r="D16" s="5" t="s">
        <v>472</v>
      </c>
      <c r="E16" s="5" t="s">
        <v>125</v>
      </c>
      <c r="F16" s="5" t="s">
        <v>126</v>
      </c>
      <c r="G16" s="5" t="s">
        <v>128</v>
      </c>
      <c r="H16" s="10">
        <v>54.403559871533105</v>
      </c>
      <c r="I16" s="10">
        <v>27.037867184342492</v>
      </c>
      <c r="J16" s="325">
        <v>81.441427055875593</v>
      </c>
      <c r="K16" s="10">
        <v>24.964586770726473</v>
      </c>
      <c r="L16" s="10">
        <v>0.76271419200374169</v>
      </c>
      <c r="M16" s="325">
        <v>25.727300962730215</v>
      </c>
      <c r="N16" s="10">
        <v>52.326062045677538</v>
      </c>
      <c r="O16" s="10">
        <v>51.590356920232622</v>
      </c>
      <c r="P16" s="10">
        <v>8.4296870564656707</v>
      </c>
      <c r="Q16" s="10">
        <v>5.4712801793701189</v>
      </c>
      <c r="R16" s="10">
        <v>10.080405813374343</v>
      </c>
      <c r="S16" s="10">
        <v>30.797908940727179</v>
      </c>
      <c r="T16" s="10">
        <v>50.709697614462549</v>
      </c>
      <c r="U16" s="10">
        <v>4.9928992798360099</v>
      </c>
      <c r="V16" s="325">
        <v>214.39829785014604</v>
      </c>
      <c r="W16" s="325">
        <v>321.56702586875184</v>
      </c>
      <c r="X16" s="10">
        <v>32.31810505919465</v>
      </c>
      <c r="Y16" s="320">
        <v>353.88513092794648</v>
      </c>
    </row>
    <row r="17" spans="1:25" x14ac:dyDescent="0.2">
      <c r="A17" s="7">
        <v>2015</v>
      </c>
      <c r="B17" s="5" t="s">
        <v>466</v>
      </c>
      <c r="C17" s="5" t="s">
        <v>122</v>
      </c>
      <c r="D17" s="5" t="s">
        <v>472</v>
      </c>
      <c r="E17" s="5" t="s">
        <v>130</v>
      </c>
      <c r="F17" s="5" t="s">
        <v>126</v>
      </c>
      <c r="G17" s="5" t="s">
        <v>131</v>
      </c>
      <c r="H17" s="10">
        <v>59.977308489397323</v>
      </c>
      <c r="I17" s="10">
        <v>26.771405008369221</v>
      </c>
      <c r="J17" s="325">
        <v>86.748713497766545</v>
      </c>
      <c r="K17" s="10">
        <v>45.411090680524694</v>
      </c>
      <c r="L17" s="10">
        <v>27.237641780635258</v>
      </c>
      <c r="M17" s="325">
        <v>72.648732461159952</v>
      </c>
      <c r="N17" s="10">
        <v>36.067089383063504</v>
      </c>
      <c r="O17" s="10">
        <v>337.50894463986259</v>
      </c>
      <c r="P17" s="10">
        <v>22.312605443063596</v>
      </c>
      <c r="Q17" s="10">
        <v>21.603099001894563</v>
      </c>
      <c r="R17" s="10">
        <v>38.364562686277367</v>
      </c>
      <c r="S17" s="10">
        <v>87.303422303072196</v>
      </c>
      <c r="T17" s="10">
        <v>125.05809046458431</v>
      </c>
      <c r="U17" s="10">
        <v>12.957486213738651</v>
      </c>
      <c r="V17" s="325">
        <v>681.17530013555688</v>
      </c>
      <c r="W17" s="325">
        <v>840.57274609448336</v>
      </c>
      <c r="X17" s="10">
        <v>84.479178937019668</v>
      </c>
      <c r="Y17" s="320">
        <v>925.05192503150306</v>
      </c>
    </row>
    <row r="18" spans="1:25" x14ac:dyDescent="0.2">
      <c r="A18" s="7">
        <v>2015</v>
      </c>
      <c r="B18" s="5" t="s">
        <v>466</v>
      </c>
      <c r="C18" s="5" t="s">
        <v>122</v>
      </c>
      <c r="D18" s="5" t="s">
        <v>472</v>
      </c>
      <c r="E18" s="5" t="s">
        <v>133</v>
      </c>
      <c r="F18" s="5" t="s">
        <v>126</v>
      </c>
      <c r="G18" s="5" t="s">
        <v>134</v>
      </c>
      <c r="H18" s="10">
        <v>22.07967854532891</v>
      </c>
      <c r="I18" s="10">
        <v>464.63710990041011</v>
      </c>
      <c r="J18" s="325">
        <v>486.71678844573904</v>
      </c>
      <c r="K18" s="10">
        <v>21.414536194683318</v>
      </c>
      <c r="L18" s="10">
        <v>10.570160293887387</v>
      </c>
      <c r="M18" s="325">
        <v>31.984696488570705</v>
      </c>
      <c r="N18" s="10">
        <v>17.557273283939296</v>
      </c>
      <c r="O18" s="10">
        <v>101.19281922365285</v>
      </c>
      <c r="P18" s="10">
        <v>13.280624004293864</v>
      </c>
      <c r="Q18" s="10">
        <v>10.011854925506233</v>
      </c>
      <c r="R18" s="10">
        <v>16.997627179132998</v>
      </c>
      <c r="S18" s="10">
        <v>65.818948277541395</v>
      </c>
      <c r="T18" s="10">
        <v>71.24306900665654</v>
      </c>
      <c r="U18" s="10">
        <v>7.7272103848811309</v>
      </c>
      <c r="V18" s="325">
        <v>303.82942628560426</v>
      </c>
      <c r="W18" s="325">
        <v>822.53091121991406</v>
      </c>
      <c r="X18" s="10">
        <v>82.66593980071319</v>
      </c>
      <c r="Y18" s="320">
        <v>905.19685102062726</v>
      </c>
    </row>
    <row r="19" spans="1:25" x14ac:dyDescent="0.2">
      <c r="A19" s="7">
        <v>2015</v>
      </c>
      <c r="B19" s="5" t="s">
        <v>466</v>
      </c>
      <c r="C19" s="5" t="s">
        <v>122</v>
      </c>
      <c r="D19" s="5" t="s">
        <v>472</v>
      </c>
      <c r="E19" s="5" t="s">
        <v>135</v>
      </c>
      <c r="F19" s="5" t="s">
        <v>126</v>
      </c>
      <c r="G19" s="5" t="s">
        <v>136</v>
      </c>
      <c r="H19" s="10">
        <v>20.876349312992367</v>
      </c>
      <c r="I19" s="10">
        <v>27.233673444960111</v>
      </c>
      <c r="J19" s="325">
        <v>48.110022757952478</v>
      </c>
      <c r="K19" s="10">
        <v>6.518648179359432</v>
      </c>
      <c r="L19" s="10">
        <v>9.5482594899312225</v>
      </c>
      <c r="M19" s="325">
        <v>16.066907669290654</v>
      </c>
      <c r="N19" s="10">
        <v>9.3507543901995778</v>
      </c>
      <c r="O19" s="10">
        <v>37.819877946687988</v>
      </c>
      <c r="P19" s="10">
        <v>5.4540973486123772</v>
      </c>
      <c r="Q19" s="10">
        <v>4.3152911549965092</v>
      </c>
      <c r="R19" s="10">
        <v>8.6366149017463361</v>
      </c>
      <c r="S19" s="10">
        <v>19.594683454314225</v>
      </c>
      <c r="T19" s="10">
        <v>42.939168484017458</v>
      </c>
      <c r="U19" s="10">
        <v>3.9875880126353094</v>
      </c>
      <c r="V19" s="325">
        <v>132.09807569320978</v>
      </c>
      <c r="W19" s="325">
        <v>196.27500612045293</v>
      </c>
      <c r="X19" s="10">
        <v>19.72601590962973</v>
      </c>
      <c r="Y19" s="320">
        <v>216.00102203008265</v>
      </c>
    </row>
    <row r="20" spans="1:25" x14ac:dyDescent="0.2">
      <c r="A20" s="7">
        <v>2015</v>
      </c>
      <c r="B20" s="5" t="s">
        <v>466</v>
      </c>
      <c r="C20" s="5" t="s">
        <v>122</v>
      </c>
      <c r="D20" s="5" t="s">
        <v>472</v>
      </c>
      <c r="E20" s="5" t="s">
        <v>137</v>
      </c>
      <c r="F20" s="5" t="s">
        <v>126</v>
      </c>
      <c r="G20" s="5" t="s">
        <v>138</v>
      </c>
      <c r="H20" s="10">
        <v>21.784981070314068</v>
      </c>
      <c r="I20" s="10">
        <v>50.575661406526599</v>
      </c>
      <c r="J20" s="325">
        <v>72.360642476840667</v>
      </c>
      <c r="K20" s="10">
        <v>1.9583697616664182</v>
      </c>
      <c r="L20" s="10">
        <v>16.937031298260429</v>
      </c>
      <c r="M20" s="325">
        <v>18.895401059926847</v>
      </c>
      <c r="N20" s="10">
        <v>10.851636953393655</v>
      </c>
      <c r="O20" s="10">
        <v>46.049219479941577</v>
      </c>
      <c r="P20" s="10">
        <v>8.87344697469943</v>
      </c>
      <c r="Q20" s="10">
        <v>7.2295087218787657</v>
      </c>
      <c r="R20" s="10">
        <v>13.24724827529413</v>
      </c>
      <c r="S20" s="10">
        <v>27.442582260682489</v>
      </c>
      <c r="T20" s="10">
        <v>55.208827187849835</v>
      </c>
      <c r="U20" s="10">
        <v>5.0265177573610345</v>
      </c>
      <c r="V20" s="325">
        <v>173.92898761110092</v>
      </c>
      <c r="W20" s="325">
        <v>265.18503114786847</v>
      </c>
      <c r="X20" s="10">
        <v>26.651606064392439</v>
      </c>
      <c r="Y20" s="320">
        <v>291.83663721226094</v>
      </c>
    </row>
    <row r="21" spans="1:25" x14ac:dyDescent="0.2">
      <c r="A21" s="7">
        <v>2015</v>
      </c>
      <c r="B21" s="5" t="s">
        <v>466</v>
      </c>
      <c r="C21" s="5" t="s">
        <v>122</v>
      </c>
      <c r="D21" s="5" t="s">
        <v>472</v>
      </c>
      <c r="E21" s="5" t="s">
        <v>139</v>
      </c>
      <c r="F21" s="5" t="s">
        <v>126</v>
      </c>
      <c r="G21" s="5" t="s">
        <v>140</v>
      </c>
      <c r="H21" s="10">
        <v>16.85705309106282</v>
      </c>
      <c r="I21" s="10">
        <v>256.43196892472025</v>
      </c>
      <c r="J21" s="325">
        <v>273.28902201578308</v>
      </c>
      <c r="K21" s="10">
        <v>3.7579092491695372</v>
      </c>
      <c r="L21" s="10">
        <v>13.274504921045873</v>
      </c>
      <c r="M21" s="325">
        <v>17.032414170215411</v>
      </c>
      <c r="N21" s="10">
        <v>17.987072516390299</v>
      </c>
      <c r="O21" s="10">
        <v>43.151891058236579</v>
      </c>
      <c r="P21" s="10">
        <v>4.5036800842947233</v>
      </c>
      <c r="Q21" s="10">
        <v>3.2168751212425812</v>
      </c>
      <c r="R21" s="10">
        <v>8.5021447582233343</v>
      </c>
      <c r="S21" s="10">
        <v>31.732614198673183</v>
      </c>
      <c r="T21" s="10">
        <v>36.172505966647115</v>
      </c>
      <c r="U21" s="10">
        <v>3.5962848761278661</v>
      </c>
      <c r="V21" s="325">
        <v>148.8630685798357</v>
      </c>
      <c r="W21" s="325">
        <v>439.18450476583416</v>
      </c>
      <c r="X21" s="10">
        <v>44.138888079488574</v>
      </c>
      <c r="Y21" s="320">
        <v>483.32339284532276</v>
      </c>
    </row>
    <row r="22" spans="1:25" x14ac:dyDescent="0.2">
      <c r="A22" s="7">
        <v>2015</v>
      </c>
      <c r="B22" s="5" t="s">
        <v>466</v>
      </c>
      <c r="C22" s="5" t="s">
        <v>141</v>
      </c>
      <c r="D22" s="5" t="s">
        <v>473</v>
      </c>
      <c r="E22" s="5" t="s">
        <v>143</v>
      </c>
      <c r="F22" s="5" t="s">
        <v>144</v>
      </c>
      <c r="G22" s="5" t="s">
        <v>146</v>
      </c>
      <c r="H22" s="10">
        <v>8.3076943806885701</v>
      </c>
      <c r="I22" s="10">
        <v>2.8049059195731978</v>
      </c>
      <c r="J22" s="325">
        <v>11.112600300261768</v>
      </c>
      <c r="K22" s="10">
        <v>2.7597689757266584</v>
      </c>
      <c r="L22" s="10">
        <v>1.3534106585245769</v>
      </c>
      <c r="M22" s="325">
        <v>4.1131796342512352</v>
      </c>
      <c r="N22" s="10">
        <v>2.9688740896762345</v>
      </c>
      <c r="O22" s="10">
        <v>7.4527134574356468</v>
      </c>
      <c r="P22" s="10">
        <v>1.551453344497111</v>
      </c>
      <c r="Q22" s="10">
        <v>1.2147545239575335</v>
      </c>
      <c r="R22" s="10">
        <v>3.8838124435549601</v>
      </c>
      <c r="S22" s="10">
        <v>5.0098470500419063</v>
      </c>
      <c r="T22" s="10">
        <v>9.2013614063356375</v>
      </c>
      <c r="U22" s="10">
        <v>1.6811147463067571</v>
      </c>
      <c r="V22" s="325">
        <v>32.963931061805781</v>
      </c>
      <c r="W22" s="325">
        <v>48.189710996318787</v>
      </c>
      <c r="X22" s="10">
        <v>4.8431587117701396</v>
      </c>
      <c r="Y22" s="320">
        <v>53.032869708088924</v>
      </c>
    </row>
    <row r="23" spans="1:25" x14ac:dyDescent="0.2">
      <c r="A23" s="7">
        <v>2015</v>
      </c>
      <c r="B23" s="5" t="s">
        <v>466</v>
      </c>
      <c r="C23" s="5" t="s">
        <v>141</v>
      </c>
      <c r="D23" s="5" t="s">
        <v>473</v>
      </c>
      <c r="E23" s="5" t="s">
        <v>147</v>
      </c>
      <c r="F23" s="5" t="s">
        <v>144</v>
      </c>
      <c r="G23" s="5" t="s">
        <v>148</v>
      </c>
      <c r="H23" s="10">
        <v>13.496026043374878</v>
      </c>
      <c r="I23" s="10">
        <v>2.4895008184966105</v>
      </c>
      <c r="J23" s="325">
        <v>15.985526861871488</v>
      </c>
      <c r="K23" s="10">
        <v>4.2711004063496629</v>
      </c>
      <c r="L23" s="10">
        <v>3.0703494384973418</v>
      </c>
      <c r="M23" s="325">
        <v>7.3414498448470047</v>
      </c>
      <c r="N23" s="10">
        <v>3.1414957883874215</v>
      </c>
      <c r="O23" s="10">
        <v>16.016740298152783</v>
      </c>
      <c r="P23" s="10">
        <v>2.5716478966332601</v>
      </c>
      <c r="Q23" s="10">
        <v>1.9301330180816842</v>
      </c>
      <c r="R23" s="10">
        <v>6.9553499792935432</v>
      </c>
      <c r="S23" s="10">
        <v>7.3228909786710288</v>
      </c>
      <c r="T23" s="10">
        <v>13.500454509052769</v>
      </c>
      <c r="U23" s="10">
        <v>2.3172286455951445</v>
      </c>
      <c r="V23" s="325">
        <v>53.755941113867628</v>
      </c>
      <c r="W23" s="325">
        <v>77.082917820586118</v>
      </c>
      <c r="X23" s="10">
        <v>7.7469816119151593</v>
      </c>
      <c r="Y23" s="320">
        <v>84.829899432501279</v>
      </c>
    </row>
    <row r="24" spans="1:25" x14ac:dyDescent="0.2">
      <c r="A24" s="7">
        <v>2015</v>
      </c>
      <c r="B24" s="5" t="s">
        <v>466</v>
      </c>
      <c r="C24" s="5" t="s">
        <v>141</v>
      </c>
      <c r="D24" s="5" t="s">
        <v>474</v>
      </c>
      <c r="E24" s="5" t="s">
        <v>149</v>
      </c>
      <c r="F24" s="5" t="s">
        <v>144</v>
      </c>
      <c r="G24" s="5" t="s">
        <v>150</v>
      </c>
      <c r="H24" s="10">
        <v>25.199822646370638</v>
      </c>
      <c r="I24" s="10">
        <v>4.1363149743981715</v>
      </c>
      <c r="J24" s="325">
        <v>29.33613762076881</v>
      </c>
      <c r="K24" s="10">
        <v>40.796413300632423</v>
      </c>
      <c r="L24" s="10">
        <v>12.391867003948271</v>
      </c>
      <c r="M24" s="325">
        <v>53.188280304580694</v>
      </c>
      <c r="N24" s="10">
        <v>32.545483116864531</v>
      </c>
      <c r="O24" s="10">
        <v>141.29221535838585</v>
      </c>
      <c r="P24" s="10">
        <v>14.84201096454899</v>
      </c>
      <c r="Q24" s="10">
        <v>15.467101206524264</v>
      </c>
      <c r="R24" s="10">
        <v>35.18813703642293</v>
      </c>
      <c r="S24" s="10">
        <v>50.598255644787933</v>
      </c>
      <c r="T24" s="10">
        <v>68.470495574903481</v>
      </c>
      <c r="U24" s="10">
        <v>12.423923746313163</v>
      </c>
      <c r="V24" s="325">
        <v>370.82762264875106</v>
      </c>
      <c r="W24" s="325">
        <v>453.35204057410056</v>
      </c>
      <c r="X24" s="10">
        <v>45.562752700585321</v>
      </c>
      <c r="Y24" s="320">
        <v>498.91479327468585</v>
      </c>
    </row>
    <row r="25" spans="1:25" x14ac:dyDescent="0.2">
      <c r="A25" s="7">
        <v>2015</v>
      </c>
      <c r="B25" s="5" t="s">
        <v>466</v>
      </c>
      <c r="C25" s="5" t="s">
        <v>141</v>
      </c>
      <c r="D25" s="5" t="s">
        <v>474</v>
      </c>
      <c r="E25" s="5" t="s">
        <v>151</v>
      </c>
      <c r="F25" s="5" t="s">
        <v>144</v>
      </c>
      <c r="G25" s="5" t="s">
        <v>152</v>
      </c>
      <c r="H25" s="10">
        <v>13.070679406174838</v>
      </c>
      <c r="I25" s="10">
        <v>103.92050044762622</v>
      </c>
      <c r="J25" s="325">
        <v>116.99117985380106</v>
      </c>
      <c r="K25" s="10">
        <v>51.037321589072448</v>
      </c>
      <c r="L25" s="10">
        <v>3.9810694784942626</v>
      </c>
      <c r="M25" s="325">
        <v>55.018391067566711</v>
      </c>
      <c r="N25" s="10">
        <v>79.172919446089381</v>
      </c>
      <c r="O25" s="10">
        <v>24.302482985107975</v>
      </c>
      <c r="P25" s="10">
        <v>5.3542361369872555</v>
      </c>
      <c r="Q25" s="10">
        <v>3.6803345891957058</v>
      </c>
      <c r="R25" s="10">
        <v>11.564731837160183</v>
      </c>
      <c r="S25" s="10">
        <v>35.5482613335314</v>
      </c>
      <c r="T25" s="10">
        <v>35.229462626284231</v>
      </c>
      <c r="U25" s="10">
        <v>3.506571705316571</v>
      </c>
      <c r="V25" s="325">
        <v>198.35900065967269</v>
      </c>
      <c r="W25" s="325">
        <v>370.36857158104044</v>
      </c>
      <c r="X25" s="10">
        <v>37.222754337040207</v>
      </c>
      <c r="Y25" s="320">
        <v>407.59132591808066</v>
      </c>
    </row>
    <row r="26" spans="1:25" x14ac:dyDescent="0.2">
      <c r="A26" s="7">
        <v>2015</v>
      </c>
      <c r="B26" s="5" t="s">
        <v>466</v>
      </c>
      <c r="C26" s="5" t="s">
        <v>141</v>
      </c>
      <c r="D26" s="5" t="s">
        <v>474</v>
      </c>
      <c r="E26" s="5" t="s">
        <v>153</v>
      </c>
      <c r="F26" s="5" t="s">
        <v>144</v>
      </c>
      <c r="G26" s="5" t="s">
        <v>154</v>
      </c>
      <c r="H26" s="10">
        <v>14.676584837784189</v>
      </c>
      <c r="I26" s="10">
        <v>19.584460236095293</v>
      </c>
      <c r="J26" s="325">
        <v>34.26104507387948</v>
      </c>
      <c r="K26" s="10">
        <v>5.4355402488657329</v>
      </c>
      <c r="L26" s="10">
        <v>6.1378930385286097</v>
      </c>
      <c r="M26" s="325">
        <v>11.573433287394343</v>
      </c>
      <c r="N26" s="10">
        <v>9.7524890600957264</v>
      </c>
      <c r="O26" s="10">
        <v>43.446229879070955</v>
      </c>
      <c r="P26" s="10">
        <v>4.2551518814475751</v>
      </c>
      <c r="Q26" s="10">
        <v>2.2372236046484142</v>
      </c>
      <c r="R26" s="10">
        <v>12.42206696265392</v>
      </c>
      <c r="S26" s="10">
        <v>13.570540888976566</v>
      </c>
      <c r="T26" s="10">
        <v>17.390971250919318</v>
      </c>
      <c r="U26" s="10">
        <v>2.6816525958063613</v>
      </c>
      <c r="V26" s="325">
        <v>105.75632612361883</v>
      </c>
      <c r="W26" s="325">
        <v>151.59080448489266</v>
      </c>
      <c r="X26" s="10">
        <v>15.23516763614637</v>
      </c>
      <c r="Y26" s="320">
        <v>166.82597212103903</v>
      </c>
    </row>
    <row r="27" spans="1:25" x14ac:dyDescent="0.2">
      <c r="A27" s="7">
        <v>2015</v>
      </c>
      <c r="B27" s="5" t="s">
        <v>466</v>
      </c>
      <c r="C27" s="5" t="s">
        <v>141</v>
      </c>
      <c r="D27" s="5" t="s">
        <v>474</v>
      </c>
      <c r="E27" s="5" t="s">
        <v>155</v>
      </c>
      <c r="F27" s="5" t="s">
        <v>144</v>
      </c>
      <c r="G27" s="5" t="s">
        <v>156</v>
      </c>
      <c r="H27" s="10">
        <v>57.994435299594144</v>
      </c>
      <c r="I27" s="10">
        <v>765.90390132813707</v>
      </c>
      <c r="J27" s="325">
        <v>823.89833662773117</v>
      </c>
      <c r="K27" s="10">
        <v>0.72987225512101483</v>
      </c>
      <c r="L27" s="10">
        <v>13.032686761374512</v>
      </c>
      <c r="M27" s="325">
        <v>13.762559016495526</v>
      </c>
      <c r="N27" s="10">
        <v>6.7402781672931837</v>
      </c>
      <c r="O27" s="10">
        <v>14.57205577696147</v>
      </c>
      <c r="P27" s="10">
        <v>3.6855327456629832</v>
      </c>
      <c r="Q27" s="10">
        <v>2.0663129921431804</v>
      </c>
      <c r="R27" s="10">
        <v>8.4985274802018544</v>
      </c>
      <c r="S27" s="10">
        <v>51.995435663554431</v>
      </c>
      <c r="T27" s="10">
        <v>17.916476104784962</v>
      </c>
      <c r="U27" s="10">
        <v>3.2677782457851077</v>
      </c>
      <c r="V27" s="325">
        <v>108.74239717638717</v>
      </c>
      <c r="W27" s="325">
        <v>946.40329282061384</v>
      </c>
      <c r="X27" s="10">
        <v>95.115352580801286</v>
      </c>
      <c r="Y27" s="320">
        <v>1041.5186454014151</v>
      </c>
    </row>
    <row r="28" spans="1:25" x14ac:dyDescent="0.2">
      <c r="A28" s="7">
        <v>2015</v>
      </c>
      <c r="B28" s="5" t="s">
        <v>466</v>
      </c>
      <c r="C28" s="5" t="s">
        <v>157</v>
      </c>
      <c r="D28" s="5" t="s">
        <v>475</v>
      </c>
      <c r="E28" s="5" t="s">
        <v>159</v>
      </c>
      <c r="F28" s="5" t="s">
        <v>160</v>
      </c>
      <c r="G28" s="5" t="s">
        <v>161</v>
      </c>
      <c r="H28" s="10">
        <v>26.977925415279522</v>
      </c>
      <c r="I28" s="10">
        <v>25.904930841222168</v>
      </c>
      <c r="J28" s="325">
        <v>52.88285625650169</v>
      </c>
      <c r="K28" s="10">
        <v>17.773991760096294</v>
      </c>
      <c r="L28" s="10">
        <v>28.409952506393921</v>
      </c>
      <c r="M28" s="325">
        <v>46.183944266490215</v>
      </c>
      <c r="N28" s="10">
        <v>208.07860867971135</v>
      </c>
      <c r="O28" s="10">
        <v>60.148534688929381</v>
      </c>
      <c r="P28" s="10">
        <v>12.059661735989943</v>
      </c>
      <c r="Q28" s="10">
        <v>10.937796751849552</v>
      </c>
      <c r="R28" s="10">
        <v>28.270595482835972</v>
      </c>
      <c r="S28" s="10">
        <v>59.474938972390575</v>
      </c>
      <c r="T28" s="10">
        <v>62.407588363978249</v>
      </c>
      <c r="U28" s="10">
        <v>10.862821096724442</v>
      </c>
      <c r="V28" s="325">
        <v>452.24054577240946</v>
      </c>
      <c r="W28" s="325">
        <v>551.30734629540132</v>
      </c>
      <c r="X28" s="10">
        <v>55.40744947231385</v>
      </c>
      <c r="Y28" s="320">
        <v>606.71479576771515</v>
      </c>
    </row>
    <row r="29" spans="1:25" x14ac:dyDescent="0.2">
      <c r="A29" s="7">
        <v>2015</v>
      </c>
      <c r="B29" s="5" t="s">
        <v>466</v>
      </c>
      <c r="C29" s="5" t="s">
        <v>157</v>
      </c>
      <c r="D29" s="5" t="s">
        <v>476</v>
      </c>
      <c r="E29" s="5" t="s">
        <v>162</v>
      </c>
      <c r="F29" s="5" t="s">
        <v>160</v>
      </c>
      <c r="G29" s="5" t="s">
        <v>163</v>
      </c>
      <c r="H29" s="10">
        <v>14.12416588708575</v>
      </c>
      <c r="I29" s="10">
        <v>38.161620790594888</v>
      </c>
      <c r="J29" s="325">
        <v>52.28578667768064</v>
      </c>
      <c r="K29" s="10">
        <v>2.5327872498967645</v>
      </c>
      <c r="L29" s="10">
        <v>7.0357451610071413</v>
      </c>
      <c r="M29" s="325">
        <v>9.5685324109039058</v>
      </c>
      <c r="N29" s="10">
        <v>65.169017612688975</v>
      </c>
      <c r="O29" s="10">
        <v>5.3896780054811346</v>
      </c>
      <c r="P29" s="10">
        <v>1.0165751530462175</v>
      </c>
      <c r="Q29" s="10">
        <v>0.73811930620646227</v>
      </c>
      <c r="R29" s="10">
        <v>2.010202873686886</v>
      </c>
      <c r="S29" s="10">
        <v>8.463604238380027</v>
      </c>
      <c r="T29" s="10">
        <v>8.4746143488316932</v>
      </c>
      <c r="U29" s="10">
        <v>1.0132912801737428</v>
      </c>
      <c r="V29" s="325">
        <v>92.275102818495142</v>
      </c>
      <c r="W29" s="325">
        <v>154.12942190707969</v>
      </c>
      <c r="X29" s="10">
        <v>15.490303573293897</v>
      </c>
      <c r="Y29" s="320">
        <v>169.61972548037357</v>
      </c>
    </row>
    <row r="30" spans="1:25" x14ac:dyDescent="0.2">
      <c r="A30" s="7">
        <v>2015</v>
      </c>
      <c r="B30" s="5" t="s">
        <v>466</v>
      </c>
      <c r="C30" s="5" t="s">
        <v>157</v>
      </c>
      <c r="D30" s="5" t="s">
        <v>473</v>
      </c>
      <c r="E30" s="5" t="s">
        <v>164</v>
      </c>
      <c r="F30" s="5" t="s">
        <v>160</v>
      </c>
      <c r="G30" s="5" t="s">
        <v>165</v>
      </c>
      <c r="H30" s="10">
        <v>3.8754904561662431</v>
      </c>
      <c r="I30" s="10">
        <v>0.3255222240803346</v>
      </c>
      <c r="J30" s="325">
        <v>4.2010126802465777</v>
      </c>
      <c r="K30" s="10">
        <v>7.1042827706478358</v>
      </c>
      <c r="L30" s="10">
        <v>3.4695804045720884</v>
      </c>
      <c r="M30" s="325">
        <v>10.573863175219923</v>
      </c>
      <c r="N30" s="10">
        <v>7.2573061444246747</v>
      </c>
      <c r="O30" s="10">
        <v>22.668411193348639</v>
      </c>
      <c r="P30" s="10">
        <v>4.8695724915341394</v>
      </c>
      <c r="Q30" s="10">
        <v>3.4386842923160135</v>
      </c>
      <c r="R30" s="10">
        <v>12.406068616226564</v>
      </c>
      <c r="S30" s="10">
        <v>11.08407506424436</v>
      </c>
      <c r="T30" s="10">
        <v>17.805799849563556</v>
      </c>
      <c r="U30" s="10">
        <v>2.7369527874267381</v>
      </c>
      <c r="V30" s="325">
        <v>82.266870439084684</v>
      </c>
      <c r="W30" s="325">
        <v>97.041746294551189</v>
      </c>
      <c r="X30" s="10">
        <v>9.7528822909169985</v>
      </c>
      <c r="Y30" s="320">
        <v>106.79462858546819</v>
      </c>
    </row>
    <row r="31" spans="1:25" x14ac:dyDescent="0.2">
      <c r="A31" s="7">
        <v>2015</v>
      </c>
      <c r="B31" s="5" t="s">
        <v>466</v>
      </c>
      <c r="C31" s="5" t="s">
        <v>157</v>
      </c>
      <c r="D31" s="5" t="s">
        <v>477</v>
      </c>
      <c r="E31" s="5" t="s">
        <v>166</v>
      </c>
      <c r="F31" s="5" t="s">
        <v>160</v>
      </c>
      <c r="G31" s="5" t="s">
        <v>168</v>
      </c>
      <c r="H31" s="10">
        <v>37.520607630560512</v>
      </c>
      <c r="I31" s="10">
        <v>128.12742994573475</v>
      </c>
      <c r="J31" s="325">
        <v>165.64803757629525</v>
      </c>
      <c r="K31" s="10">
        <v>15.278048655571265</v>
      </c>
      <c r="L31" s="10">
        <v>1.978337976388616</v>
      </c>
      <c r="M31" s="325">
        <v>17.256386631959881</v>
      </c>
      <c r="N31" s="10">
        <v>8.9419117560323684</v>
      </c>
      <c r="O31" s="10">
        <v>51.645792313750881</v>
      </c>
      <c r="P31" s="10">
        <v>6.4826569860059342</v>
      </c>
      <c r="Q31" s="10">
        <v>3.8821880098221975</v>
      </c>
      <c r="R31" s="10">
        <v>14.859183569804236</v>
      </c>
      <c r="S31" s="10">
        <v>24.100851616967905</v>
      </c>
      <c r="T31" s="10">
        <v>30.046159567338311</v>
      </c>
      <c r="U31" s="10">
        <v>4.9284998878224195</v>
      </c>
      <c r="V31" s="325">
        <v>144.88724370754426</v>
      </c>
      <c r="W31" s="325">
        <v>327.79166791579939</v>
      </c>
      <c r="X31" s="10">
        <v>32.943693565428909</v>
      </c>
      <c r="Y31" s="320">
        <v>360.73536148122832</v>
      </c>
    </row>
    <row r="32" spans="1:25" x14ac:dyDescent="0.2">
      <c r="A32" s="7">
        <v>2015</v>
      </c>
      <c r="B32" s="5" t="s">
        <v>466</v>
      </c>
      <c r="C32" s="5" t="s">
        <v>157</v>
      </c>
      <c r="D32" s="5" t="s">
        <v>473</v>
      </c>
      <c r="E32" s="5" t="s">
        <v>169</v>
      </c>
      <c r="F32" s="5" t="s">
        <v>160</v>
      </c>
      <c r="G32" s="5" t="s">
        <v>170</v>
      </c>
      <c r="H32" s="10">
        <v>21.717585984255756</v>
      </c>
      <c r="I32" s="10">
        <v>0</v>
      </c>
      <c r="J32" s="325">
        <v>21.717585984255756</v>
      </c>
      <c r="K32" s="10">
        <v>5.018301794762122</v>
      </c>
      <c r="L32" s="10">
        <v>14.381266599451642</v>
      </c>
      <c r="M32" s="325">
        <v>19.399568394213766</v>
      </c>
      <c r="N32" s="10">
        <v>7.565445053946342</v>
      </c>
      <c r="O32" s="10">
        <v>22.740114832462375</v>
      </c>
      <c r="P32" s="10">
        <v>8.2223204397060918</v>
      </c>
      <c r="Q32" s="10">
        <v>5.5863128266076396</v>
      </c>
      <c r="R32" s="10">
        <v>15.974094834280818</v>
      </c>
      <c r="S32" s="10">
        <v>16.495826549058762</v>
      </c>
      <c r="T32" s="10">
        <v>32.849917035379008</v>
      </c>
      <c r="U32" s="10">
        <v>6.4549876252805722</v>
      </c>
      <c r="V32" s="325">
        <v>115.88901919672161</v>
      </c>
      <c r="W32" s="325">
        <v>157.00617357519113</v>
      </c>
      <c r="X32" s="10">
        <v>15.779422653417551</v>
      </c>
      <c r="Y32" s="320">
        <v>172.78559622860868</v>
      </c>
    </row>
    <row r="33" spans="1:25" x14ac:dyDescent="0.2">
      <c r="A33" s="7">
        <v>2015</v>
      </c>
      <c r="B33" s="5" t="s">
        <v>466</v>
      </c>
      <c r="C33" s="5" t="s">
        <v>157</v>
      </c>
      <c r="D33" s="5" t="s">
        <v>473</v>
      </c>
      <c r="E33" s="5" t="s">
        <v>171</v>
      </c>
      <c r="F33" s="5" t="s">
        <v>160</v>
      </c>
      <c r="G33" s="5" t="s">
        <v>172</v>
      </c>
      <c r="H33" s="10">
        <v>53.62253513062759</v>
      </c>
      <c r="I33" s="10">
        <v>1.020150221793557</v>
      </c>
      <c r="J33" s="325">
        <v>54.642685352421147</v>
      </c>
      <c r="K33" s="10">
        <v>4.7358559481042342</v>
      </c>
      <c r="L33" s="10">
        <v>10.423544751236557</v>
      </c>
      <c r="M33" s="325">
        <v>15.159400699340791</v>
      </c>
      <c r="N33" s="10">
        <v>4.4285460805584966</v>
      </c>
      <c r="O33" s="10">
        <v>21.429021109973963</v>
      </c>
      <c r="P33" s="10">
        <v>3.3774819503714157</v>
      </c>
      <c r="Q33" s="10">
        <v>2.366770173078498</v>
      </c>
      <c r="R33" s="10">
        <v>10.318131546120881</v>
      </c>
      <c r="S33" s="10">
        <v>11.514589507581034</v>
      </c>
      <c r="T33" s="10">
        <v>18.461174026513167</v>
      </c>
      <c r="U33" s="10">
        <v>3.4474927035602776</v>
      </c>
      <c r="V33" s="325">
        <v>75.343207097757727</v>
      </c>
      <c r="W33" s="325">
        <v>145.14529314951966</v>
      </c>
      <c r="X33" s="10">
        <v>14.587381340185278</v>
      </c>
      <c r="Y33" s="320">
        <v>159.73267448970495</v>
      </c>
    </row>
    <row r="34" spans="1:25" x14ac:dyDescent="0.2">
      <c r="A34" s="7">
        <v>2015</v>
      </c>
      <c r="B34" s="5" t="s">
        <v>466</v>
      </c>
      <c r="C34" s="5" t="s">
        <v>157</v>
      </c>
      <c r="D34" s="5" t="s">
        <v>477</v>
      </c>
      <c r="E34" s="5" t="s">
        <v>173</v>
      </c>
      <c r="F34" s="5" t="s">
        <v>160</v>
      </c>
      <c r="G34" s="5" t="s">
        <v>174</v>
      </c>
      <c r="H34" s="10">
        <v>9.6341582193180066</v>
      </c>
      <c r="I34" s="10">
        <v>225.03309172689626</v>
      </c>
      <c r="J34" s="325">
        <v>234.66724994621427</v>
      </c>
      <c r="K34" s="10">
        <v>16.743336525972236</v>
      </c>
      <c r="L34" s="10">
        <v>10.708440585548949</v>
      </c>
      <c r="M34" s="325">
        <v>27.451777111521185</v>
      </c>
      <c r="N34" s="10">
        <v>21.418510345658692</v>
      </c>
      <c r="O34" s="10">
        <v>79.603619733088209</v>
      </c>
      <c r="P34" s="10">
        <v>10.368154152938901</v>
      </c>
      <c r="Q34" s="10">
        <v>7.3078619169308885</v>
      </c>
      <c r="R34" s="10">
        <v>34.344831026121803</v>
      </c>
      <c r="S34" s="10">
        <v>42.679524965763157</v>
      </c>
      <c r="T34" s="10">
        <v>43.707196390656129</v>
      </c>
      <c r="U34" s="10">
        <v>8.7491072033324215</v>
      </c>
      <c r="V34" s="325">
        <v>248.1788057344902</v>
      </c>
      <c r="W34" s="325">
        <v>510.29783279222568</v>
      </c>
      <c r="X34" s="10">
        <v>51.285914427241657</v>
      </c>
      <c r="Y34" s="320">
        <v>561.58374721946734</v>
      </c>
    </row>
    <row r="35" spans="1:25" x14ac:dyDescent="0.2">
      <c r="A35" s="7">
        <v>2015</v>
      </c>
      <c r="B35" s="5" t="s">
        <v>466</v>
      </c>
      <c r="C35" s="5" t="s">
        <v>157</v>
      </c>
      <c r="D35" s="5" t="s">
        <v>475</v>
      </c>
      <c r="E35" s="5" t="s">
        <v>175</v>
      </c>
      <c r="F35" s="5" t="s">
        <v>160</v>
      </c>
      <c r="G35" s="5" t="s">
        <v>176</v>
      </c>
      <c r="H35" s="10">
        <v>18.906259697791551</v>
      </c>
      <c r="I35" s="10">
        <v>16.530923445963129</v>
      </c>
      <c r="J35" s="325">
        <v>35.43718314375468</v>
      </c>
      <c r="K35" s="10">
        <v>1.5691728029175429</v>
      </c>
      <c r="L35" s="10">
        <v>9.4984299668623748</v>
      </c>
      <c r="M35" s="325">
        <v>11.067602769779917</v>
      </c>
      <c r="N35" s="10">
        <v>4.9311447636387955</v>
      </c>
      <c r="O35" s="10">
        <v>23.400911944867197</v>
      </c>
      <c r="P35" s="10">
        <v>3.9678798183288269</v>
      </c>
      <c r="Q35" s="10">
        <v>2.897638944483738</v>
      </c>
      <c r="R35" s="10">
        <v>6.2055763990410489</v>
      </c>
      <c r="S35" s="10">
        <v>11.640026655104625</v>
      </c>
      <c r="T35" s="10">
        <v>19.585845868707796</v>
      </c>
      <c r="U35" s="10">
        <v>2.5567565577986096</v>
      </c>
      <c r="V35" s="325">
        <v>75.185780951970642</v>
      </c>
      <c r="W35" s="325">
        <v>121.69056686550525</v>
      </c>
      <c r="X35" s="10">
        <v>12.230136202634581</v>
      </c>
      <c r="Y35" s="320">
        <v>133.92070306813983</v>
      </c>
    </row>
    <row r="36" spans="1:25" x14ac:dyDescent="0.2">
      <c r="A36" s="7">
        <v>2015</v>
      </c>
      <c r="B36" s="5" t="s">
        <v>466</v>
      </c>
      <c r="C36" s="5" t="s">
        <v>157</v>
      </c>
      <c r="D36" s="5" t="s">
        <v>475</v>
      </c>
      <c r="E36" s="5" t="s">
        <v>177</v>
      </c>
      <c r="F36" s="5" t="s">
        <v>160</v>
      </c>
      <c r="G36" s="5" t="s">
        <v>178</v>
      </c>
      <c r="H36" s="10">
        <v>10.382109670500597</v>
      </c>
      <c r="I36" s="10">
        <v>0.66076063930865025</v>
      </c>
      <c r="J36" s="325">
        <v>11.042870309809247</v>
      </c>
      <c r="K36" s="10">
        <v>2.7526106845685447</v>
      </c>
      <c r="L36" s="10">
        <v>2.1948281845903894</v>
      </c>
      <c r="M36" s="325">
        <v>4.9474388691589342</v>
      </c>
      <c r="N36" s="10">
        <v>1.9495666233064219</v>
      </c>
      <c r="O36" s="10">
        <v>12.135585459331713</v>
      </c>
      <c r="P36" s="10">
        <v>2.2490472385794367</v>
      </c>
      <c r="Q36" s="10">
        <v>1.3953760611682757</v>
      </c>
      <c r="R36" s="10">
        <v>4.0242556326898473</v>
      </c>
      <c r="S36" s="10">
        <v>6.2161407401411441</v>
      </c>
      <c r="T36" s="10">
        <v>11.780851760106325</v>
      </c>
      <c r="U36" s="10">
        <v>2.1088437157648481</v>
      </c>
      <c r="V36" s="325">
        <v>41.859667231088011</v>
      </c>
      <c r="W36" s="325">
        <v>57.849976410056193</v>
      </c>
      <c r="X36" s="10">
        <v>5.8140339801725816</v>
      </c>
      <c r="Y36" s="320">
        <v>63.664010390228775</v>
      </c>
    </row>
    <row r="37" spans="1:25" x14ac:dyDescent="0.2">
      <c r="A37" s="7">
        <v>2015</v>
      </c>
      <c r="B37" s="5" t="s">
        <v>466</v>
      </c>
      <c r="C37" s="5" t="s">
        <v>157</v>
      </c>
      <c r="D37" s="5" t="s">
        <v>475</v>
      </c>
      <c r="E37" s="5" t="s">
        <v>179</v>
      </c>
      <c r="F37" s="5" t="s">
        <v>160</v>
      </c>
      <c r="G37" s="5" t="s">
        <v>180</v>
      </c>
      <c r="H37" s="10">
        <v>30.504189162586222</v>
      </c>
      <c r="I37" s="10">
        <v>0.78391511836080952</v>
      </c>
      <c r="J37" s="325">
        <v>31.288104280947032</v>
      </c>
      <c r="K37" s="10">
        <v>7.2940422673192744</v>
      </c>
      <c r="L37" s="10">
        <v>17.019214719210627</v>
      </c>
      <c r="M37" s="325">
        <v>24.3132569865299</v>
      </c>
      <c r="N37" s="10">
        <v>4.0664915323136812</v>
      </c>
      <c r="O37" s="10">
        <v>39.708619021017782</v>
      </c>
      <c r="P37" s="10">
        <v>5.1143700889768784</v>
      </c>
      <c r="Q37" s="10">
        <v>3.7155727365054232</v>
      </c>
      <c r="R37" s="10">
        <v>10.284113638416361</v>
      </c>
      <c r="S37" s="10">
        <v>17.386721334389566</v>
      </c>
      <c r="T37" s="10">
        <v>39.736579337816558</v>
      </c>
      <c r="U37" s="10">
        <v>3.9031822919175179</v>
      </c>
      <c r="V37" s="325">
        <v>123.91564998135377</v>
      </c>
      <c r="W37" s="325">
        <v>179.5170112488307</v>
      </c>
      <c r="X37" s="10">
        <v>18.041805168902773</v>
      </c>
      <c r="Y37" s="320">
        <v>197.55881641773348</v>
      </c>
    </row>
    <row r="38" spans="1:25" x14ac:dyDescent="0.2">
      <c r="A38" s="7">
        <v>2015</v>
      </c>
      <c r="B38" s="5" t="s">
        <v>466</v>
      </c>
      <c r="C38" s="5" t="s">
        <v>181</v>
      </c>
      <c r="D38" s="5" t="s">
        <v>478</v>
      </c>
      <c r="E38" s="5" t="s">
        <v>183</v>
      </c>
      <c r="F38" s="5" t="s">
        <v>184</v>
      </c>
      <c r="G38" s="5" t="s">
        <v>185</v>
      </c>
      <c r="H38" s="10">
        <v>26.736430991118876</v>
      </c>
      <c r="I38" s="10">
        <v>0</v>
      </c>
      <c r="J38" s="325">
        <v>26.736430991118876</v>
      </c>
      <c r="K38" s="10">
        <v>7.0840182592666565</v>
      </c>
      <c r="L38" s="10">
        <v>16.433605831598697</v>
      </c>
      <c r="M38" s="325">
        <v>23.517624090865354</v>
      </c>
      <c r="N38" s="10">
        <v>3.9186837020420211</v>
      </c>
      <c r="O38" s="10">
        <v>17.146682150992401</v>
      </c>
      <c r="P38" s="10">
        <v>3.146608692140517</v>
      </c>
      <c r="Q38" s="10">
        <v>2.6408615829837574</v>
      </c>
      <c r="R38" s="10">
        <v>7.0240284807192737</v>
      </c>
      <c r="S38" s="10">
        <v>9.8666505362304751</v>
      </c>
      <c r="T38" s="10">
        <v>19.566333098581254</v>
      </c>
      <c r="U38" s="10">
        <v>2.8032193830280958</v>
      </c>
      <c r="V38" s="325">
        <v>66.113067626717793</v>
      </c>
      <c r="W38" s="325">
        <v>116.36712270870203</v>
      </c>
      <c r="X38" s="10">
        <v>11.695119818130008</v>
      </c>
      <c r="Y38" s="320">
        <v>128.06224252683202</v>
      </c>
    </row>
    <row r="39" spans="1:25" x14ac:dyDescent="0.2">
      <c r="A39" s="7">
        <v>2015</v>
      </c>
      <c r="B39" s="5" t="s">
        <v>466</v>
      </c>
      <c r="C39" s="5" t="s">
        <v>181</v>
      </c>
      <c r="D39" s="5" t="s">
        <v>479</v>
      </c>
      <c r="E39" s="5" t="s">
        <v>186</v>
      </c>
      <c r="F39" s="5" t="s">
        <v>184</v>
      </c>
      <c r="G39" s="5" t="s">
        <v>187</v>
      </c>
      <c r="H39" s="10">
        <v>14.613103649666801</v>
      </c>
      <c r="I39" s="10">
        <v>0</v>
      </c>
      <c r="J39" s="325">
        <v>14.613103649666801</v>
      </c>
      <c r="K39" s="10">
        <v>3.9939967662984337</v>
      </c>
      <c r="L39" s="10">
        <v>1.1386470447120784</v>
      </c>
      <c r="M39" s="325">
        <v>5.1326438110105119</v>
      </c>
      <c r="N39" s="10">
        <v>2.4071819445244396</v>
      </c>
      <c r="O39" s="10">
        <v>9.9912377878616496</v>
      </c>
      <c r="P39" s="10">
        <v>1.7819791294707641</v>
      </c>
      <c r="Q39" s="10">
        <v>1.1119065624281324</v>
      </c>
      <c r="R39" s="10">
        <v>6.4288002237058413</v>
      </c>
      <c r="S39" s="10">
        <v>5.4109595468808687</v>
      </c>
      <c r="T39" s="10">
        <v>9.6651635302194112</v>
      </c>
      <c r="U39" s="10">
        <v>1.5929174360214153</v>
      </c>
      <c r="V39" s="325">
        <v>38.390146161112519</v>
      </c>
      <c r="W39" s="325">
        <v>58.135893621789833</v>
      </c>
      <c r="X39" s="10">
        <v>5.842769210250701</v>
      </c>
      <c r="Y39" s="320">
        <v>63.978662832040534</v>
      </c>
    </row>
    <row r="40" spans="1:25" x14ac:dyDescent="0.2">
      <c r="A40" s="7">
        <v>2015</v>
      </c>
      <c r="B40" s="5" t="s">
        <v>466</v>
      </c>
      <c r="C40" s="5" t="s">
        <v>181</v>
      </c>
      <c r="D40" s="5" t="s">
        <v>478</v>
      </c>
      <c r="E40" s="5" t="s">
        <v>188</v>
      </c>
      <c r="F40" s="5" t="s">
        <v>184</v>
      </c>
      <c r="G40" s="5" t="s">
        <v>189</v>
      </c>
      <c r="H40" s="10">
        <v>11.239933404299936</v>
      </c>
      <c r="I40" s="10">
        <v>0.17652596985275615</v>
      </c>
      <c r="J40" s="325">
        <v>11.416459374152693</v>
      </c>
      <c r="K40" s="10">
        <v>0.47002521062695379</v>
      </c>
      <c r="L40" s="10">
        <v>4.7251794102636335</v>
      </c>
      <c r="M40" s="325">
        <v>5.1952046208905873</v>
      </c>
      <c r="N40" s="10">
        <v>1.2593834364613483</v>
      </c>
      <c r="O40" s="10">
        <v>6.6323349812751848</v>
      </c>
      <c r="P40" s="10">
        <v>2.3326762479577909</v>
      </c>
      <c r="Q40" s="10">
        <v>1.7965532430730464</v>
      </c>
      <c r="R40" s="10">
        <v>4.1867634987848046</v>
      </c>
      <c r="S40" s="10">
        <v>6.6418594766174293</v>
      </c>
      <c r="T40" s="10">
        <v>16.718730559707801</v>
      </c>
      <c r="U40" s="10">
        <v>2.3594924314251373</v>
      </c>
      <c r="V40" s="325">
        <v>41.927793875302541</v>
      </c>
      <c r="W40" s="325">
        <v>58.539457870345821</v>
      </c>
      <c r="X40" s="10">
        <v>5.8833281940566051</v>
      </c>
      <c r="Y40" s="320">
        <v>64.42278606440243</v>
      </c>
    </row>
    <row r="41" spans="1:25" x14ac:dyDescent="0.2">
      <c r="A41" s="7">
        <v>2015</v>
      </c>
      <c r="B41" s="5" t="s">
        <v>466</v>
      </c>
      <c r="C41" s="5" t="s">
        <v>181</v>
      </c>
      <c r="D41" s="5" t="s">
        <v>478</v>
      </c>
      <c r="E41" s="5" t="s">
        <v>190</v>
      </c>
      <c r="F41" s="5" t="s">
        <v>184</v>
      </c>
      <c r="G41" s="5" t="s">
        <v>191</v>
      </c>
      <c r="H41" s="10">
        <v>4.1320853436208633</v>
      </c>
      <c r="I41" s="10">
        <v>0</v>
      </c>
      <c r="J41" s="325">
        <v>4.1320853436208633</v>
      </c>
      <c r="K41" s="10">
        <v>4.9820365911770548</v>
      </c>
      <c r="L41" s="10">
        <v>0.83721332956255523</v>
      </c>
      <c r="M41" s="325">
        <v>5.81924992073961</v>
      </c>
      <c r="N41" s="10">
        <v>2.9850951828177101</v>
      </c>
      <c r="O41" s="10">
        <v>9.9308745300141883</v>
      </c>
      <c r="P41" s="10">
        <v>2.4405377611404302</v>
      </c>
      <c r="Q41" s="10">
        <v>1.9300695346564438</v>
      </c>
      <c r="R41" s="10">
        <v>4.4157349871800342</v>
      </c>
      <c r="S41" s="10">
        <v>6.9739788259563396</v>
      </c>
      <c r="T41" s="10">
        <v>15.594446814915422</v>
      </c>
      <c r="U41" s="10">
        <v>1.91102823672948</v>
      </c>
      <c r="V41" s="325">
        <v>46.181765873410043</v>
      </c>
      <c r="W41" s="325">
        <v>56.133101137770517</v>
      </c>
      <c r="X41" s="10">
        <v>5.6414847106891912</v>
      </c>
      <c r="Y41" s="320">
        <v>61.774585848459708</v>
      </c>
    </row>
    <row r="42" spans="1:25" x14ac:dyDescent="0.2">
      <c r="A42" s="7">
        <v>2015</v>
      </c>
      <c r="B42" s="5" t="s">
        <v>466</v>
      </c>
      <c r="C42" s="5" t="s">
        <v>181</v>
      </c>
      <c r="D42" s="5" t="s">
        <v>476</v>
      </c>
      <c r="E42" s="5" t="s">
        <v>192</v>
      </c>
      <c r="F42" s="5" t="s">
        <v>184</v>
      </c>
      <c r="G42" s="5" t="s">
        <v>193</v>
      </c>
      <c r="H42" s="10">
        <v>4.9779141317947868</v>
      </c>
      <c r="I42" s="10">
        <v>0</v>
      </c>
      <c r="J42" s="325">
        <v>4.9779141317947868</v>
      </c>
      <c r="K42" s="10">
        <v>0.37702172514256282</v>
      </c>
      <c r="L42" s="10">
        <v>2.6758663913478742</v>
      </c>
      <c r="M42" s="325">
        <v>3.0528881164904371</v>
      </c>
      <c r="N42" s="10">
        <v>11.725970498926673</v>
      </c>
      <c r="O42" s="10">
        <v>2.6765934670499423</v>
      </c>
      <c r="P42" s="10">
        <v>0.91837162711976772</v>
      </c>
      <c r="Q42" s="10">
        <v>0.50533927446725491</v>
      </c>
      <c r="R42" s="10">
        <v>2.0467764551644905</v>
      </c>
      <c r="S42" s="10">
        <v>2.9443129212531693</v>
      </c>
      <c r="T42" s="10">
        <v>4.8366615472711807</v>
      </c>
      <c r="U42" s="10">
        <v>0.88184506171210975</v>
      </c>
      <c r="V42" s="325">
        <v>26.535870852964589</v>
      </c>
      <c r="W42" s="325">
        <v>34.566673101249812</v>
      </c>
      <c r="X42" s="10">
        <v>3.4740171814181497</v>
      </c>
      <c r="Y42" s="320">
        <v>38.04069028266796</v>
      </c>
    </row>
    <row r="43" spans="1:25" x14ac:dyDescent="0.2">
      <c r="A43" s="7">
        <v>2015</v>
      </c>
      <c r="B43" s="5" t="s">
        <v>466</v>
      </c>
      <c r="C43" s="5" t="s">
        <v>181</v>
      </c>
      <c r="D43" s="5" t="s">
        <v>479</v>
      </c>
      <c r="E43" s="5" t="s">
        <v>194</v>
      </c>
      <c r="F43" s="5" t="s">
        <v>184</v>
      </c>
      <c r="G43" s="5" t="s">
        <v>195</v>
      </c>
      <c r="H43" s="10">
        <v>114.17011653279326</v>
      </c>
      <c r="I43" s="10">
        <v>1.4485996543951245</v>
      </c>
      <c r="J43" s="325">
        <v>115.61871618718838</v>
      </c>
      <c r="K43" s="10">
        <v>34.673142526750965</v>
      </c>
      <c r="L43" s="10">
        <v>5.4989548759626956</v>
      </c>
      <c r="M43" s="325">
        <v>40.172097402713661</v>
      </c>
      <c r="N43" s="10">
        <v>3.5905504036288782</v>
      </c>
      <c r="O43" s="10">
        <v>46.700847770713395</v>
      </c>
      <c r="P43" s="10">
        <v>9.5756051770351736</v>
      </c>
      <c r="Q43" s="10">
        <v>10.082309828995399</v>
      </c>
      <c r="R43" s="10">
        <v>21.434870441320793</v>
      </c>
      <c r="S43" s="10">
        <v>25.083297762474054</v>
      </c>
      <c r="T43" s="10">
        <v>27.466579670379623</v>
      </c>
      <c r="U43" s="10">
        <v>7.2366691423024996</v>
      </c>
      <c r="V43" s="325">
        <v>151.17073019684983</v>
      </c>
      <c r="W43" s="325">
        <v>306.96154378675186</v>
      </c>
      <c r="X43" s="10">
        <v>30.85022599639764</v>
      </c>
      <c r="Y43" s="320">
        <v>337.81176978314949</v>
      </c>
    </row>
    <row r="44" spans="1:25" x14ac:dyDescent="0.2">
      <c r="A44" s="7">
        <v>2015</v>
      </c>
      <c r="B44" s="5" t="s">
        <v>466</v>
      </c>
      <c r="C44" s="5" t="s">
        <v>181</v>
      </c>
      <c r="D44" s="5" t="s">
        <v>479</v>
      </c>
      <c r="E44" s="5" t="s">
        <v>196</v>
      </c>
      <c r="F44" s="5" t="s">
        <v>184</v>
      </c>
      <c r="G44" s="5" t="s">
        <v>197</v>
      </c>
      <c r="H44" s="10">
        <v>44.793161587845852</v>
      </c>
      <c r="I44" s="10">
        <v>0</v>
      </c>
      <c r="J44" s="325">
        <v>44.793161587845852</v>
      </c>
      <c r="K44" s="10">
        <v>114.36658243095501</v>
      </c>
      <c r="L44" s="10">
        <v>41.604184987883393</v>
      </c>
      <c r="M44" s="325">
        <v>155.97076741883839</v>
      </c>
      <c r="N44" s="10">
        <v>5.6480742962173052</v>
      </c>
      <c r="O44" s="10">
        <v>30.224965511017466</v>
      </c>
      <c r="P44" s="10">
        <v>3.1395899679129675</v>
      </c>
      <c r="Q44" s="10">
        <v>3.372706391716815</v>
      </c>
      <c r="R44" s="10">
        <v>8.7453471445248407</v>
      </c>
      <c r="S44" s="10">
        <v>18.644038210232853</v>
      </c>
      <c r="T44" s="10">
        <v>10.616916303043842</v>
      </c>
      <c r="U44" s="10">
        <v>3.7173609858976708</v>
      </c>
      <c r="V44" s="325">
        <v>84.108998810563762</v>
      </c>
      <c r="W44" s="325">
        <v>284.87292781724801</v>
      </c>
      <c r="X44" s="10">
        <v>28.630277574216368</v>
      </c>
      <c r="Y44" s="320">
        <v>313.50320539146441</v>
      </c>
    </row>
    <row r="45" spans="1:25" x14ac:dyDescent="0.2">
      <c r="A45" s="7">
        <v>2015</v>
      </c>
      <c r="B45" s="5" t="s">
        <v>466</v>
      </c>
      <c r="C45" s="5" t="s">
        <v>181</v>
      </c>
      <c r="D45" s="5" t="s">
        <v>476</v>
      </c>
      <c r="E45" s="5" t="s">
        <v>198</v>
      </c>
      <c r="F45" s="5" t="s">
        <v>184</v>
      </c>
      <c r="G45" s="5" t="s">
        <v>199</v>
      </c>
      <c r="H45" s="10">
        <v>15.433708059667801</v>
      </c>
      <c r="I45" s="10">
        <v>0.88234292794756009</v>
      </c>
      <c r="J45" s="325">
        <v>16.316050987615363</v>
      </c>
      <c r="K45" s="10">
        <v>13.478555003244679</v>
      </c>
      <c r="L45" s="10">
        <v>8.1443326794753244</v>
      </c>
      <c r="M45" s="325">
        <v>21.622887682720005</v>
      </c>
      <c r="N45" s="10">
        <v>128.14038011222465</v>
      </c>
      <c r="O45" s="10">
        <v>16.900394688147045</v>
      </c>
      <c r="P45" s="10">
        <v>3.0348169434758887</v>
      </c>
      <c r="Q45" s="10">
        <v>1.6575300837396847</v>
      </c>
      <c r="R45" s="10">
        <v>7.6604133353494728</v>
      </c>
      <c r="S45" s="10">
        <v>19.945133825492594</v>
      </c>
      <c r="T45" s="10">
        <v>14.874939099738965</v>
      </c>
      <c r="U45" s="10">
        <v>3.0958108278095118</v>
      </c>
      <c r="V45" s="325">
        <v>195.30941891597783</v>
      </c>
      <c r="W45" s="325">
        <v>233.2483575863132</v>
      </c>
      <c r="X45" s="10">
        <v>23.441908899511695</v>
      </c>
      <c r="Y45" s="320">
        <v>256.69026648582491</v>
      </c>
    </row>
    <row r="46" spans="1:25" x14ac:dyDescent="0.2">
      <c r="A46" s="7">
        <v>2015</v>
      </c>
      <c r="B46" s="5" t="s">
        <v>466</v>
      </c>
      <c r="C46" s="5" t="s">
        <v>181</v>
      </c>
      <c r="D46" s="5" t="s">
        <v>476</v>
      </c>
      <c r="E46" s="5" t="s">
        <v>200</v>
      </c>
      <c r="F46" s="5" t="s">
        <v>184</v>
      </c>
      <c r="G46" s="5" t="s">
        <v>201</v>
      </c>
      <c r="H46" s="10">
        <v>5.6105048484799083</v>
      </c>
      <c r="I46" s="10">
        <v>0</v>
      </c>
      <c r="J46" s="325">
        <v>5.6105048484799083</v>
      </c>
      <c r="K46" s="10">
        <v>1.3940230784086756</v>
      </c>
      <c r="L46" s="10">
        <v>3.924449046297477</v>
      </c>
      <c r="M46" s="325">
        <v>5.3184721247061528</v>
      </c>
      <c r="N46" s="10">
        <v>28.325375957183049</v>
      </c>
      <c r="O46" s="10">
        <v>1.80615088063493</v>
      </c>
      <c r="P46" s="10">
        <v>0.58222677752794771</v>
      </c>
      <c r="Q46" s="10">
        <v>0.4107162446795195</v>
      </c>
      <c r="R46" s="10">
        <v>0.91504535952546162</v>
      </c>
      <c r="S46" s="10">
        <v>3.1759437952378398</v>
      </c>
      <c r="T46" s="10">
        <v>3.0273563352150052</v>
      </c>
      <c r="U46" s="10">
        <v>0.57904827908493195</v>
      </c>
      <c r="V46" s="325">
        <v>38.821863629088682</v>
      </c>
      <c r="W46" s="325">
        <v>49.750840602274742</v>
      </c>
      <c r="X46" s="10">
        <v>5.0000552421196831</v>
      </c>
      <c r="Y46" s="320">
        <v>54.750895844394428</v>
      </c>
    </row>
    <row r="47" spans="1:25" x14ac:dyDescent="0.2">
      <c r="A47" s="7">
        <v>2015</v>
      </c>
      <c r="B47" s="5" t="s">
        <v>466</v>
      </c>
      <c r="C47" s="5" t="s">
        <v>181</v>
      </c>
      <c r="D47" s="5" t="s">
        <v>480</v>
      </c>
      <c r="E47" s="5" t="s">
        <v>202</v>
      </c>
      <c r="F47" s="5" t="s">
        <v>184</v>
      </c>
      <c r="G47" s="5" t="s">
        <v>203</v>
      </c>
      <c r="H47" s="10">
        <v>34.351459274384226</v>
      </c>
      <c r="I47" s="10">
        <v>4.9203872419168349</v>
      </c>
      <c r="J47" s="325">
        <v>39.271846516301061</v>
      </c>
      <c r="K47" s="10">
        <v>7.0556926688267882</v>
      </c>
      <c r="L47" s="10">
        <v>9.4958357650924246</v>
      </c>
      <c r="M47" s="325">
        <v>16.551528433919213</v>
      </c>
      <c r="N47" s="10">
        <v>6.8022659866314799</v>
      </c>
      <c r="O47" s="10">
        <v>23.173138905354399</v>
      </c>
      <c r="P47" s="10">
        <v>9.4556860475486815</v>
      </c>
      <c r="Q47" s="10">
        <v>6.5009561283836943</v>
      </c>
      <c r="R47" s="10">
        <v>16.882542777304</v>
      </c>
      <c r="S47" s="10">
        <v>19.402948356270549</v>
      </c>
      <c r="T47" s="10">
        <v>47.19580046939415</v>
      </c>
      <c r="U47" s="10">
        <v>4.9216339191779257</v>
      </c>
      <c r="V47" s="325">
        <v>134.33497259006489</v>
      </c>
      <c r="W47" s="325">
        <v>190.15834754028515</v>
      </c>
      <c r="X47" s="10">
        <v>19.11127994891261</v>
      </c>
      <c r="Y47" s="320">
        <v>209.26962748919777</v>
      </c>
    </row>
    <row r="48" spans="1:25" x14ac:dyDescent="0.2">
      <c r="A48" s="7">
        <v>2015</v>
      </c>
      <c r="B48" s="5" t="s">
        <v>466</v>
      </c>
      <c r="C48" s="5" t="s">
        <v>181</v>
      </c>
      <c r="D48" s="5" t="s">
        <v>480</v>
      </c>
      <c r="E48" s="5" t="s">
        <v>204</v>
      </c>
      <c r="F48" s="5" t="s">
        <v>184</v>
      </c>
      <c r="G48" s="5" t="s">
        <v>205</v>
      </c>
      <c r="H48" s="10">
        <v>12.848280873802318</v>
      </c>
      <c r="I48" s="10">
        <v>0</v>
      </c>
      <c r="J48" s="325">
        <v>12.848280873802318</v>
      </c>
      <c r="K48" s="10">
        <v>0.96149089350276773</v>
      </c>
      <c r="L48" s="10">
        <v>4.0067441504535672</v>
      </c>
      <c r="M48" s="325">
        <v>4.9682350439563354</v>
      </c>
      <c r="N48" s="10">
        <v>2.2432620323523538</v>
      </c>
      <c r="O48" s="10">
        <v>5.455992843907735</v>
      </c>
      <c r="P48" s="10">
        <v>2.278412219833831</v>
      </c>
      <c r="Q48" s="10">
        <v>1.8676431656811636</v>
      </c>
      <c r="R48" s="10">
        <v>7.4121121293198282</v>
      </c>
      <c r="S48" s="10">
        <v>5.3185043023983489</v>
      </c>
      <c r="T48" s="10">
        <v>11.721190650240535</v>
      </c>
      <c r="U48" s="10">
        <v>2.5192893868212138</v>
      </c>
      <c r="V48" s="325">
        <v>38.816406730555009</v>
      </c>
      <c r="W48" s="325">
        <v>56.632922648313659</v>
      </c>
      <c r="X48" s="10">
        <v>5.691717734480263</v>
      </c>
      <c r="Y48" s="320">
        <v>62.324640382793923</v>
      </c>
    </row>
    <row r="49" spans="1:25" x14ac:dyDescent="0.2">
      <c r="A49" s="7">
        <v>2015</v>
      </c>
      <c r="B49" s="5" t="s">
        <v>466</v>
      </c>
      <c r="C49" s="5" t="s">
        <v>181</v>
      </c>
      <c r="D49" s="5" t="s">
        <v>479</v>
      </c>
      <c r="E49" s="5" t="s">
        <v>206</v>
      </c>
      <c r="F49" s="5" t="s">
        <v>184</v>
      </c>
      <c r="G49" s="5" t="s">
        <v>207</v>
      </c>
      <c r="H49" s="10">
        <v>3.6820038113988849</v>
      </c>
      <c r="I49" s="10">
        <v>0</v>
      </c>
      <c r="J49" s="325">
        <v>3.6820038113988849</v>
      </c>
      <c r="K49" s="10">
        <v>1.6207203540921156</v>
      </c>
      <c r="L49" s="10">
        <v>1.1976854420908478</v>
      </c>
      <c r="M49" s="325">
        <v>2.8184057961829634</v>
      </c>
      <c r="N49" s="10">
        <v>2.7622522402596328</v>
      </c>
      <c r="O49" s="10">
        <v>5.2129809511679452</v>
      </c>
      <c r="P49" s="10">
        <v>1.2220318370663623</v>
      </c>
      <c r="Q49" s="10">
        <v>0.87234519178741998</v>
      </c>
      <c r="R49" s="10">
        <v>2.7980370624923192</v>
      </c>
      <c r="S49" s="10">
        <v>3.0623499929387852</v>
      </c>
      <c r="T49" s="10">
        <v>5.0917961559727463</v>
      </c>
      <c r="U49" s="10">
        <v>1.067103283112711</v>
      </c>
      <c r="V49" s="325">
        <v>22.088896714797922</v>
      </c>
      <c r="W49" s="325">
        <v>28.58930632237977</v>
      </c>
      <c r="X49" s="10">
        <v>2.8732803147676256</v>
      </c>
      <c r="Y49" s="320">
        <v>31.462586637147396</v>
      </c>
    </row>
    <row r="50" spans="1:25" x14ac:dyDescent="0.2">
      <c r="A50" s="7">
        <v>2015</v>
      </c>
      <c r="B50" s="5" t="s">
        <v>466</v>
      </c>
      <c r="C50" s="5" t="s">
        <v>181</v>
      </c>
      <c r="D50" s="5" t="s">
        <v>479</v>
      </c>
      <c r="E50" s="5" t="s">
        <v>208</v>
      </c>
      <c r="F50" s="5" t="s">
        <v>184</v>
      </c>
      <c r="G50" s="5" t="s">
        <v>209</v>
      </c>
      <c r="H50" s="10">
        <v>101.52645128068859</v>
      </c>
      <c r="I50" s="10">
        <v>1.28666068114012</v>
      </c>
      <c r="J50" s="325">
        <v>102.81311196182871</v>
      </c>
      <c r="K50" s="10">
        <v>292.8403188570673</v>
      </c>
      <c r="L50" s="10">
        <v>51.489952812639615</v>
      </c>
      <c r="M50" s="325">
        <v>344.33027166970692</v>
      </c>
      <c r="N50" s="10">
        <v>4.6611538187347259</v>
      </c>
      <c r="O50" s="10">
        <v>63.751791242256033</v>
      </c>
      <c r="P50" s="10">
        <v>8.4246946756022805</v>
      </c>
      <c r="Q50" s="10">
        <v>9.2007425921909576</v>
      </c>
      <c r="R50" s="10">
        <v>25.304462548306645</v>
      </c>
      <c r="S50" s="10">
        <v>48.449488101150543</v>
      </c>
      <c r="T50" s="10">
        <v>31.169299392374995</v>
      </c>
      <c r="U50" s="10">
        <v>6.0777820633623847</v>
      </c>
      <c r="V50" s="325">
        <v>197.03941443397858</v>
      </c>
      <c r="W50" s="325">
        <v>644.18279806551413</v>
      </c>
      <c r="X50" s="10">
        <v>64.741611140404686</v>
      </c>
      <c r="Y50" s="320">
        <v>708.92440920591878</v>
      </c>
    </row>
    <row r="51" spans="1:25" x14ac:dyDescent="0.2">
      <c r="A51" s="7">
        <v>2015</v>
      </c>
      <c r="B51" s="5" t="s">
        <v>466</v>
      </c>
      <c r="C51" s="5" t="s">
        <v>181</v>
      </c>
      <c r="D51" s="5" t="s">
        <v>479</v>
      </c>
      <c r="E51" s="5" t="s">
        <v>210</v>
      </c>
      <c r="F51" s="5" t="s">
        <v>184</v>
      </c>
      <c r="G51" s="5" t="s">
        <v>211</v>
      </c>
      <c r="H51" s="10">
        <v>174.71996372891772</v>
      </c>
      <c r="I51" s="10">
        <v>2.6036141259282033</v>
      </c>
      <c r="J51" s="325">
        <v>177.32357785484592</v>
      </c>
      <c r="K51" s="10">
        <v>110.76474242912003</v>
      </c>
      <c r="L51" s="10">
        <v>28.651067040046328</v>
      </c>
      <c r="M51" s="325">
        <v>139.41580946916636</v>
      </c>
      <c r="N51" s="10">
        <v>29.486019071939541</v>
      </c>
      <c r="O51" s="10">
        <v>81.968975605707797</v>
      </c>
      <c r="P51" s="10">
        <v>10.830842760310457</v>
      </c>
      <c r="Q51" s="10">
        <v>10.164993753248481</v>
      </c>
      <c r="R51" s="10">
        <v>25.375740722508255</v>
      </c>
      <c r="S51" s="10">
        <v>49.21552153444464</v>
      </c>
      <c r="T51" s="10">
        <v>83.887812410147134</v>
      </c>
      <c r="U51" s="10">
        <v>8.5095415783525699</v>
      </c>
      <c r="V51" s="325">
        <v>299.4394474366589</v>
      </c>
      <c r="W51" s="325">
        <v>616.17883476067118</v>
      </c>
      <c r="X51" s="10">
        <v>61.927158926968829</v>
      </c>
      <c r="Y51" s="320">
        <v>678.10599368763997</v>
      </c>
    </row>
    <row r="52" spans="1:25" x14ac:dyDescent="0.2">
      <c r="A52" s="7">
        <v>2015</v>
      </c>
      <c r="B52" s="5" t="s">
        <v>466</v>
      </c>
      <c r="C52" s="5" t="s">
        <v>181</v>
      </c>
      <c r="D52" s="5" t="s">
        <v>480</v>
      </c>
      <c r="E52" s="5" t="s">
        <v>212</v>
      </c>
      <c r="F52" s="5" t="s">
        <v>184</v>
      </c>
      <c r="G52" s="5" t="s">
        <v>213</v>
      </c>
      <c r="H52" s="10">
        <v>8.230741155707042</v>
      </c>
      <c r="I52" s="10">
        <v>0</v>
      </c>
      <c r="J52" s="325">
        <v>8.230741155707042</v>
      </c>
      <c r="K52" s="10">
        <v>5.122007165858502</v>
      </c>
      <c r="L52" s="10">
        <v>0.24037255819101233</v>
      </c>
      <c r="M52" s="325">
        <v>5.3623797240495144</v>
      </c>
      <c r="N52" s="10">
        <v>10.490733609389929</v>
      </c>
      <c r="O52" s="10">
        <v>12.181562382961232</v>
      </c>
      <c r="P52" s="10">
        <v>1.4130024055429475</v>
      </c>
      <c r="Q52" s="10">
        <v>1.2498530365999294</v>
      </c>
      <c r="R52" s="10">
        <v>3.7465656589496166</v>
      </c>
      <c r="S52" s="10">
        <v>5.9462365522313991</v>
      </c>
      <c r="T52" s="10">
        <v>8.6264555039416244</v>
      </c>
      <c r="U52" s="10">
        <v>1.859034486583687</v>
      </c>
      <c r="V52" s="325">
        <v>45.513443636200371</v>
      </c>
      <c r="W52" s="325">
        <v>59.106564515956926</v>
      </c>
      <c r="X52" s="10">
        <v>5.9403235035559208</v>
      </c>
      <c r="Y52" s="320">
        <v>65.046888019512849</v>
      </c>
    </row>
    <row r="53" spans="1:25" x14ac:dyDescent="0.2">
      <c r="A53" s="7">
        <v>2015</v>
      </c>
      <c r="B53" s="5" t="s">
        <v>466</v>
      </c>
      <c r="C53" s="5" t="s">
        <v>181</v>
      </c>
      <c r="D53" s="5" t="s">
        <v>478</v>
      </c>
      <c r="E53" s="5" t="s">
        <v>214</v>
      </c>
      <c r="F53" s="5" t="s">
        <v>184</v>
      </c>
      <c r="G53" s="5" t="s">
        <v>215</v>
      </c>
      <c r="H53" s="10">
        <v>10.794961437476154</v>
      </c>
      <c r="I53" s="10">
        <v>5.1386674251214899</v>
      </c>
      <c r="J53" s="325">
        <v>15.933628862597644</v>
      </c>
      <c r="K53" s="10">
        <v>4.2409915068113113</v>
      </c>
      <c r="L53" s="10">
        <v>5.2088139452347262</v>
      </c>
      <c r="M53" s="325">
        <v>9.4498054520460375</v>
      </c>
      <c r="N53" s="10">
        <v>4.3101823653889326</v>
      </c>
      <c r="O53" s="10">
        <v>34.548538293527145</v>
      </c>
      <c r="P53" s="10">
        <v>3.0101219747754269</v>
      </c>
      <c r="Q53" s="10">
        <v>2.5463284905967534</v>
      </c>
      <c r="R53" s="10">
        <v>6.143941980981487</v>
      </c>
      <c r="S53" s="10">
        <v>11.574807789158097</v>
      </c>
      <c r="T53" s="10">
        <v>20.944730457422938</v>
      </c>
      <c r="U53" s="10">
        <v>2.6474452240515407</v>
      </c>
      <c r="V53" s="325">
        <v>85.726096575902318</v>
      </c>
      <c r="W53" s="325">
        <v>111.109530890546</v>
      </c>
      <c r="X53" s="10">
        <v>11.166721720733882</v>
      </c>
      <c r="Y53" s="320">
        <v>122.27625261127989</v>
      </c>
    </row>
    <row r="54" spans="1:25" x14ac:dyDescent="0.2">
      <c r="A54" s="7">
        <v>2015</v>
      </c>
      <c r="B54" s="5" t="s">
        <v>466</v>
      </c>
      <c r="C54" s="5" t="s">
        <v>181</v>
      </c>
      <c r="D54" s="5" t="s">
        <v>478</v>
      </c>
      <c r="E54" s="5" t="s">
        <v>216</v>
      </c>
      <c r="F54" s="5" t="s">
        <v>184</v>
      </c>
      <c r="G54" s="5" t="s">
        <v>217</v>
      </c>
      <c r="H54" s="10">
        <v>46.485369739132302</v>
      </c>
      <c r="I54" s="10">
        <v>0.64665520158393264</v>
      </c>
      <c r="J54" s="325">
        <v>47.132024940716235</v>
      </c>
      <c r="K54" s="10">
        <v>75.144668618463754</v>
      </c>
      <c r="L54" s="10">
        <v>31.011096713514377</v>
      </c>
      <c r="M54" s="325">
        <v>106.15576533197813</v>
      </c>
      <c r="N54" s="10">
        <v>18.983596552770837</v>
      </c>
      <c r="O54" s="10">
        <v>104.70495264264527</v>
      </c>
      <c r="P54" s="10">
        <v>14.141333942380031</v>
      </c>
      <c r="Q54" s="10">
        <v>12.732632869450166</v>
      </c>
      <c r="R54" s="10">
        <v>29.704040299248966</v>
      </c>
      <c r="S54" s="10">
        <v>44.071530681549469</v>
      </c>
      <c r="T54" s="10">
        <v>71.990717792143073</v>
      </c>
      <c r="U54" s="10">
        <v>10.669445313379837</v>
      </c>
      <c r="V54" s="325">
        <v>306.99825009356761</v>
      </c>
      <c r="W54" s="325">
        <v>460.28604036626194</v>
      </c>
      <c r="X54" s="10">
        <v>46.2596330256494</v>
      </c>
      <c r="Y54" s="320">
        <v>506.54567339191135</v>
      </c>
    </row>
    <row r="55" spans="1:25" x14ac:dyDescent="0.2">
      <c r="A55" s="7">
        <v>2015</v>
      </c>
      <c r="B55" s="5" t="s">
        <v>466</v>
      </c>
      <c r="C55" s="5" t="s">
        <v>218</v>
      </c>
      <c r="D55" s="5" t="s">
        <v>481</v>
      </c>
      <c r="E55" s="5" t="s">
        <v>220</v>
      </c>
      <c r="F55" s="5" t="s">
        <v>221</v>
      </c>
      <c r="G55" s="5" t="s">
        <v>223</v>
      </c>
      <c r="H55" s="10">
        <v>2.6404835171951766</v>
      </c>
      <c r="I55" s="10">
        <v>0.63284285267910922</v>
      </c>
      <c r="J55" s="325">
        <v>3.2733263698742858</v>
      </c>
      <c r="K55" s="10">
        <v>0.63543300995407748</v>
      </c>
      <c r="L55" s="10">
        <v>1.0867919306043707</v>
      </c>
      <c r="M55" s="325">
        <v>1.7222249405584482</v>
      </c>
      <c r="N55" s="10">
        <v>0.89918179177465207</v>
      </c>
      <c r="O55" s="10">
        <v>1.8289276805979502</v>
      </c>
      <c r="P55" s="10">
        <v>0.53259864155030756</v>
      </c>
      <c r="Q55" s="10">
        <v>0.33163986886695612</v>
      </c>
      <c r="R55" s="10">
        <v>1.1523264206029333</v>
      </c>
      <c r="S55" s="10">
        <v>2.0345901094866843</v>
      </c>
      <c r="T55" s="10">
        <v>5.9793067752151785</v>
      </c>
      <c r="U55" s="10">
        <v>0.44290730495920561</v>
      </c>
      <c r="V55" s="325">
        <v>13.201478593053869</v>
      </c>
      <c r="W55" s="325">
        <v>18.197029903486602</v>
      </c>
      <c r="X55" s="10">
        <v>1.8288365313614674</v>
      </c>
      <c r="Y55" s="320">
        <v>20.025866434848069</v>
      </c>
    </row>
    <row r="56" spans="1:25" x14ac:dyDescent="0.2">
      <c r="A56" s="7">
        <v>2015</v>
      </c>
      <c r="B56" s="5" t="s">
        <v>466</v>
      </c>
      <c r="C56" s="5" t="s">
        <v>218</v>
      </c>
      <c r="D56" s="5" t="s">
        <v>482</v>
      </c>
      <c r="E56" s="5" t="s">
        <v>224</v>
      </c>
      <c r="F56" s="5" t="s">
        <v>221</v>
      </c>
      <c r="G56" s="5" t="s">
        <v>226</v>
      </c>
      <c r="H56" s="10">
        <v>17.456241658474212</v>
      </c>
      <c r="I56" s="10">
        <v>0</v>
      </c>
      <c r="J56" s="325">
        <v>17.456241658474212</v>
      </c>
      <c r="K56" s="10">
        <v>1.2940619212441111</v>
      </c>
      <c r="L56" s="10">
        <v>4.941121587013229</v>
      </c>
      <c r="M56" s="325">
        <v>6.2351835082573404</v>
      </c>
      <c r="N56" s="10">
        <v>1.6752241364836848</v>
      </c>
      <c r="O56" s="10">
        <v>5.7367464428869122</v>
      </c>
      <c r="P56" s="10">
        <v>1.9907599592477729</v>
      </c>
      <c r="Q56" s="10">
        <v>1.8964852681919289</v>
      </c>
      <c r="R56" s="10">
        <v>4.9551983172983318</v>
      </c>
      <c r="S56" s="10">
        <v>6.6664927799548872</v>
      </c>
      <c r="T56" s="10">
        <v>13.250952876857532</v>
      </c>
      <c r="U56" s="10">
        <v>1.766913875447282</v>
      </c>
      <c r="V56" s="325">
        <v>37.938773656368333</v>
      </c>
      <c r="W56" s="325">
        <v>61.630198823099889</v>
      </c>
      <c r="X56" s="10">
        <v>6.1939536088678606</v>
      </c>
      <c r="Y56" s="320">
        <v>67.824152431967747</v>
      </c>
    </row>
    <row r="57" spans="1:25" x14ac:dyDescent="0.2">
      <c r="A57" s="7">
        <v>2015</v>
      </c>
      <c r="B57" s="5" t="s">
        <v>466</v>
      </c>
      <c r="C57" s="5" t="s">
        <v>218</v>
      </c>
      <c r="D57" s="5" t="s">
        <v>482</v>
      </c>
      <c r="E57" s="5" t="s">
        <v>227</v>
      </c>
      <c r="F57" s="5" t="s">
        <v>221</v>
      </c>
      <c r="G57" s="5" t="s">
        <v>228</v>
      </c>
      <c r="H57" s="10">
        <v>11.084227467458289</v>
      </c>
      <c r="I57" s="10">
        <v>0</v>
      </c>
      <c r="J57" s="325">
        <v>11.084227467458289</v>
      </c>
      <c r="K57" s="10">
        <v>1.1344079563794203</v>
      </c>
      <c r="L57" s="10">
        <v>3.3119839093772478</v>
      </c>
      <c r="M57" s="325">
        <v>4.4463918657566683</v>
      </c>
      <c r="N57" s="10">
        <v>1.8294716499946304</v>
      </c>
      <c r="O57" s="10">
        <v>5.9713608828974714</v>
      </c>
      <c r="P57" s="10">
        <v>1.9428344228696164</v>
      </c>
      <c r="Q57" s="10">
        <v>1.8062100661268854</v>
      </c>
      <c r="R57" s="10">
        <v>4.7869463093198661</v>
      </c>
      <c r="S57" s="10">
        <v>5.8203078824329006</v>
      </c>
      <c r="T57" s="10">
        <v>12.119292719569319</v>
      </c>
      <c r="U57" s="10">
        <v>2.1712115906605498</v>
      </c>
      <c r="V57" s="325">
        <v>36.447635523871242</v>
      </c>
      <c r="W57" s="325">
        <v>51.978254857086199</v>
      </c>
      <c r="X57" s="10">
        <v>5.2239146620617172</v>
      </c>
      <c r="Y57" s="320">
        <v>57.202169519147915</v>
      </c>
    </row>
    <row r="58" spans="1:25" x14ac:dyDescent="0.2">
      <c r="A58" s="7">
        <v>2015</v>
      </c>
      <c r="B58" s="5" t="s">
        <v>466</v>
      </c>
      <c r="C58" s="5" t="s">
        <v>218</v>
      </c>
      <c r="D58" s="5" t="s">
        <v>482</v>
      </c>
      <c r="E58" s="5" t="s">
        <v>229</v>
      </c>
      <c r="F58" s="5" t="s">
        <v>221</v>
      </c>
      <c r="G58" s="5" t="s">
        <v>230</v>
      </c>
      <c r="H58" s="10">
        <v>6.931829317148364</v>
      </c>
      <c r="I58" s="10">
        <v>12.005107679819897</v>
      </c>
      <c r="J58" s="325">
        <v>18.93693699696826</v>
      </c>
      <c r="K58" s="10">
        <v>3.7402311240058821</v>
      </c>
      <c r="L58" s="10">
        <v>1.2459467435458147</v>
      </c>
      <c r="M58" s="325">
        <v>4.9861778675516968</v>
      </c>
      <c r="N58" s="10">
        <v>5.2946474983544043</v>
      </c>
      <c r="O58" s="10">
        <v>5.6553027841956887</v>
      </c>
      <c r="P58" s="10">
        <v>2.7805733618339596</v>
      </c>
      <c r="Q58" s="10">
        <v>2.0069874239161689</v>
      </c>
      <c r="R58" s="10">
        <v>9.1505226578510186</v>
      </c>
      <c r="S58" s="10">
        <v>6.3234340909719489</v>
      </c>
      <c r="T58" s="10">
        <v>10.354083894372341</v>
      </c>
      <c r="U58" s="10">
        <v>2.8747357048289706</v>
      </c>
      <c r="V58" s="325">
        <v>44.440287416324502</v>
      </c>
      <c r="W58" s="325">
        <v>68.363402280844454</v>
      </c>
      <c r="X58" s="10">
        <v>6.8706535166139204</v>
      </c>
      <c r="Y58" s="320">
        <v>75.234055797458382</v>
      </c>
    </row>
    <row r="59" spans="1:25" x14ac:dyDescent="0.2">
      <c r="A59" s="7">
        <v>2015</v>
      </c>
      <c r="B59" s="5" t="s">
        <v>466</v>
      </c>
      <c r="C59" s="5" t="s">
        <v>218</v>
      </c>
      <c r="D59" s="5" t="s">
        <v>482</v>
      </c>
      <c r="E59" s="5" t="s">
        <v>231</v>
      </c>
      <c r="F59" s="5" t="s">
        <v>221</v>
      </c>
      <c r="G59" s="5" t="s">
        <v>232</v>
      </c>
      <c r="H59" s="10">
        <v>17.87181303753788</v>
      </c>
      <c r="I59" s="10">
        <v>1.5018384477913109</v>
      </c>
      <c r="J59" s="325">
        <v>19.373651485329191</v>
      </c>
      <c r="K59" s="10">
        <v>2.4458161715917388</v>
      </c>
      <c r="L59" s="10">
        <v>3.665742483553363</v>
      </c>
      <c r="M59" s="325">
        <v>6.1115586551451013</v>
      </c>
      <c r="N59" s="10">
        <v>1.869937111328059</v>
      </c>
      <c r="O59" s="10">
        <v>9.4233496177699276</v>
      </c>
      <c r="P59" s="10">
        <v>2.2980552705923594</v>
      </c>
      <c r="Q59" s="10">
        <v>2.1170464470848001</v>
      </c>
      <c r="R59" s="10">
        <v>5.2864855251938225</v>
      </c>
      <c r="S59" s="10">
        <v>7.4072894256314443</v>
      </c>
      <c r="T59" s="10">
        <v>15.325475173846771</v>
      </c>
      <c r="U59" s="10">
        <v>1.9158655239197702</v>
      </c>
      <c r="V59" s="325">
        <v>45.64350409536695</v>
      </c>
      <c r="W59" s="325">
        <v>71.128714235841244</v>
      </c>
      <c r="X59" s="10">
        <v>7.1485726908180744</v>
      </c>
      <c r="Y59" s="320">
        <v>78.277286926659315</v>
      </c>
    </row>
    <row r="60" spans="1:25" x14ac:dyDescent="0.2">
      <c r="A60" s="7">
        <v>2015</v>
      </c>
      <c r="B60" s="5" t="s">
        <v>466</v>
      </c>
      <c r="C60" s="5" t="s">
        <v>218</v>
      </c>
      <c r="D60" s="5" t="s">
        <v>481</v>
      </c>
      <c r="E60" s="5" t="s">
        <v>233</v>
      </c>
      <c r="F60" s="5" t="s">
        <v>221</v>
      </c>
      <c r="G60" s="5" t="s">
        <v>234</v>
      </c>
      <c r="H60" s="10">
        <v>21.495908110337176</v>
      </c>
      <c r="I60" s="10">
        <v>0.37886372138074975</v>
      </c>
      <c r="J60" s="325">
        <v>21.874771831717926</v>
      </c>
      <c r="K60" s="10">
        <v>1.3448885319887045</v>
      </c>
      <c r="L60" s="10">
        <v>8.4296836212987838</v>
      </c>
      <c r="M60" s="325">
        <v>9.7745721532874885</v>
      </c>
      <c r="N60" s="10">
        <v>12.226744698419726</v>
      </c>
      <c r="O60" s="10">
        <v>18.692284895491706</v>
      </c>
      <c r="P60" s="10">
        <v>3.5745162762863143</v>
      </c>
      <c r="Q60" s="10">
        <v>2.6075727526259453</v>
      </c>
      <c r="R60" s="10">
        <v>9.2450629923619427</v>
      </c>
      <c r="S60" s="10">
        <v>9.2107235081839693</v>
      </c>
      <c r="T60" s="10">
        <v>20.407542820854538</v>
      </c>
      <c r="U60" s="10">
        <v>2.6232878087215767</v>
      </c>
      <c r="V60" s="325">
        <v>78.587735752945719</v>
      </c>
      <c r="W60" s="325">
        <v>110.23707973795113</v>
      </c>
      <c r="X60" s="10">
        <v>11.079038700511322</v>
      </c>
      <c r="Y60" s="320">
        <v>121.31611843846245</v>
      </c>
    </row>
    <row r="61" spans="1:25" x14ac:dyDescent="0.2">
      <c r="A61" s="7">
        <v>2015</v>
      </c>
      <c r="B61" s="5" t="s">
        <v>466</v>
      </c>
      <c r="C61" s="5" t="s">
        <v>218</v>
      </c>
      <c r="D61" s="5" t="s">
        <v>481</v>
      </c>
      <c r="E61" s="5" t="s">
        <v>235</v>
      </c>
      <c r="F61" s="5" t="s">
        <v>221</v>
      </c>
      <c r="G61" s="5" t="s">
        <v>236</v>
      </c>
      <c r="H61" s="10">
        <v>84.849990444724185</v>
      </c>
      <c r="I61" s="10">
        <v>2.1182481343020356</v>
      </c>
      <c r="J61" s="325">
        <v>86.96823857902622</v>
      </c>
      <c r="K61" s="10">
        <v>5.0491846039989383</v>
      </c>
      <c r="L61" s="10">
        <v>15.847763522397909</v>
      </c>
      <c r="M61" s="325">
        <v>20.896948126396847</v>
      </c>
      <c r="N61" s="10">
        <v>6.6365342722082188</v>
      </c>
      <c r="O61" s="10">
        <v>36.342665671284941</v>
      </c>
      <c r="P61" s="10">
        <v>7.1303697218402231</v>
      </c>
      <c r="Q61" s="10">
        <v>5.6686050157370458</v>
      </c>
      <c r="R61" s="10">
        <v>13.652148077865952</v>
      </c>
      <c r="S61" s="10">
        <v>20.516972271675524</v>
      </c>
      <c r="T61" s="10">
        <v>32.965161968927944</v>
      </c>
      <c r="U61" s="10">
        <v>5.5442202114722692</v>
      </c>
      <c r="V61" s="325">
        <v>128.45667721101211</v>
      </c>
      <c r="W61" s="325">
        <v>236.32186391643518</v>
      </c>
      <c r="X61" s="10">
        <v>23.750802200871853</v>
      </c>
      <c r="Y61" s="320">
        <v>260.07266611730705</v>
      </c>
    </row>
    <row r="62" spans="1:25" x14ac:dyDescent="0.2">
      <c r="A62" s="7">
        <v>2015</v>
      </c>
      <c r="B62" s="5" t="s">
        <v>466</v>
      </c>
      <c r="C62" s="5" t="s">
        <v>218</v>
      </c>
      <c r="D62" s="5" t="s">
        <v>482</v>
      </c>
      <c r="E62" s="5" t="s">
        <v>237</v>
      </c>
      <c r="F62" s="5" t="s">
        <v>221</v>
      </c>
      <c r="G62" s="5" t="s">
        <v>238</v>
      </c>
      <c r="H62" s="10">
        <v>21.068876001746883</v>
      </c>
      <c r="I62" s="10">
        <v>0.2915957681787944</v>
      </c>
      <c r="J62" s="325">
        <v>21.360471769925677</v>
      </c>
      <c r="K62" s="10">
        <v>5.7656183593406105</v>
      </c>
      <c r="L62" s="10">
        <v>5.3927023640990406</v>
      </c>
      <c r="M62" s="325">
        <v>11.158320723439651</v>
      </c>
      <c r="N62" s="10">
        <v>2.9022221276196842</v>
      </c>
      <c r="O62" s="10">
        <v>14.413377052231434</v>
      </c>
      <c r="P62" s="10">
        <v>4.4639730195825438</v>
      </c>
      <c r="Q62" s="10">
        <v>3.0307086032291126</v>
      </c>
      <c r="R62" s="10">
        <v>11.369242590334853</v>
      </c>
      <c r="S62" s="10">
        <v>11.380386720858148</v>
      </c>
      <c r="T62" s="10">
        <v>20.902709151388652</v>
      </c>
      <c r="U62" s="10">
        <v>4.9940962382986562</v>
      </c>
      <c r="V62" s="325">
        <v>73.45671550354308</v>
      </c>
      <c r="W62" s="325">
        <v>105.97550799690842</v>
      </c>
      <c r="X62" s="10">
        <v>10.650742537742563</v>
      </c>
      <c r="Y62" s="320">
        <v>116.62625053465098</v>
      </c>
    </row>
    <row r="63" spans="1:25" x14ac:dyDescent="0.2">
      <c r="A63" s="7">
        <v>2015</v>
      </c>
      <c r="B63" s="5" t="s">
        <v>466</v>
      </c>
      <c r="C63" s="5" t="s">
        <v>218</v>
      </c>
      <c r="D63" s="5" t="s">
        <v>481</v>
      </c>
      <c r="E63" s="5" t="s">
        <v>239</v>
      </c>
      <c r="F63" s="5" t="s">
        <v>221</v>
      </c>
      <c r="G63" s="5" t="s">
        <v>240</v>
      </c>
      <c r="H63" s="10">
        <v>22.036178750637216</v>
      </c>
      <c r="I63" s="10">
        <v>6.4552403466637527</v>
      </c>
      <c r="J63" s="325">
        <v>28.49141909730097</v>
      </c>
      <c r="K63" s="10">
        <v>1.7954792578709706</v>
      </c>
      <c r="L63" s="10">
        <v>16.791961308771633</v>
      </c>
      <c r="M63" s="325">
        <v>18.587440566642602</v>
      </c>
      <c r="N63" s="10">
        <v>10.947688341668265</v>
      </c>
      <c r="O63" s="10">
        <v>26.157631902517121</v>
      </c>
      <c r="P63" s="10">
        <v>7.1640751115990433</v>
      </c>
      <c r="Q63" s="10">
        <v>6.1324279002511135</v>
      </c>
      <c r="R63" s="10">
        <v>11.740491285753929</v>
      </c>
      <c r="S63" s="10">
        <v>16.453711748340577</v>
      </c>
      <c r="T63" s="10">
        <v>32.955238146848032</v>
      </c>
      <c r="U63" s="10">
        <v>6.171081005741053</v>
      </c>
      <c r="V63" s="325">
        <v>117.72234544271915</v>
      </c>
      <c r="W63" s="325">
        <v>164.80120510666271</v>
      </c>
      <c r="X63" s="10">
        <v>16.562838326343403</v>
      </c>
      <c r="Y63" s="320">
        <v>181.36404343300612</v>
      </c>
    </row>
    <row r="64" spans="1:25" x14ac:dyDescent="0.2">
      <c r="A64" s="7">
        <v>2015</v>
      </c>
      <c r="B64" s="5" t="s">
        <v>466</v>
      </c>
      <c r="C64" s="5" t="s">
        <v>218</v>
      </c>
      <c r="D64" s="5" t="s">
        <v>482</v>
      </c>
      <c r="E64" s="5" t="s">
        <v>241</v>
      </c>
      <c r="F64" s="5" t="s">
        <v>221</v>
      </c>
      <c r="G64" s="5" t="s">
        <v>242</v>
      </c>
      <c r="H64" s="10">
        <v>5.365366101354339</v>
      </c>
      <c r="I64" s="10">
        <v>0</v>
      </c>
      <c r="J64" s="325">
        <v>5.365366101354339</v>
      </c>
      <c r="K64" s="10">
        <v>0.83153605951527276</v>
      </c>
      <c r="L64" s="10">
        <v>2.2494191650425259</v>
      </c>
      <c r="M64" s="325">
        <v>3.0809552245577985</v>
      </c>
      <c r="N64" s="10">
        <v>1.7880652478439725</v>
      </c>
      <c r="O64" s="10">
        <v>8.8332735683527588</v>
      </c>
      <c r="P64" s="10">
        <v>1.1602397729253251</v>
      </c>
      <c r="Q64" s="10">
        <v>0.74067539665110449</v>
      </c>
      <c r="R64" s="10">
        <v>3.431098937580864</v>
      </c>
      <c r="S64" s="10">
        <v>3.8779608277365742</v>
      </c>
      <c r="T64" s="10">
        <v>7.5023914264653717</v>
      </c>
      <c r="U64" s="10">
        <v>1.0450279266379983</v>
      </c>
      <c r="V64" s="325">
        <v>28.378733104193969</v>
      </c>
      <c r="W64" s="325">
        <v>36.825054430106107</v>
      </c>
      <c r="X64" s="10">
        <v>3.7009888519547411</v>
      </c>
      <c r="Y64" s="320">
        <v>40.526043282060847</v>
      </c>
    </row>
    <row r="65" spans="1:25" x14ac:dyDescent="0.2">
      <c r="A65" s="7">
        <v>2015</v>
      </c>
      <c r="B65" s="5" t="s">
        <v>466</v>
      </c>
      <c r="C65" s="5" t="s">
        <v>218</v>
      </c>
      <c r="D65" s="5" t="s">
        <v>482</v>
      </c>
      <c r="E65" s="5" t="s">
        <v>243</v>
      </c>
      <c r="F65" s="5" t="s">
        <v>221</v>
      </c>
      <c r="G65" s="5" t="s">
        <v>244</v>
      </c>
      <c r="H65" s="10">
        <v>20.048172342543591</v>
      </c>
      <c r="I65" s="10">
        <v>0.58502107357474387</v>
      </c>
      <c r="J65" s="325">
        <v>20.633193416118335</v>
      </c>
      <c r="K65" s="10">
        <v>1.9963841462869341</v>
      </c>
      <c r="L65" s="10">
        <v>3.5367279619104628</v>
      </c>
      <c r="M65" s="325">
        <v>5.5331121081973969</v>
      </c>
      <c r="N65" s="10">
        <v>1.9019210968823859</v>
      </c>
      <c r="O65" s="10">
        <v>5.1454015669825983</v>
      </c>
      <c r="P65" s="10">
        <v>2.1501576122198474</v>
      </c>
      <c r="Q65" s="10">
        <v>1.7150578330486232</v>
      </c>
      <c r="R65" s="10">
        <v>5.6412847901578855</v>
      </c>
      <c r="S65" s="10">
        <v>6.5264237470764987</v>
      </c>
      <c r="T65" s="10">
        <v>12.401580563234244</v>
      </c>
      <c r="U65" s="10">
        <v>2.2842902889202636</v>
      </c>
      <c r="V65" s="325">
        <v>37.766117498522348</v>
      </c>
      <c r="W65" s="325">
        <v>63.93242302283808</v>
      </c>
      <c r="X65" s="10">
        <v>6.4253315722949482</v>
      </c>
      <c r="Y65" s="320">
        <v>70.357754595133031</v>
      </c>
    </row>
    <row r="66" spans="1:25" x14ac:dyDescent="0.2">
      <c r="A66" s="7">
        <v>2015</v>
      </c>
      <c r="B66" s="5" t="s">
        <v>466</v>
      </c>
      <c r="C66" s="5" t="s">
        <v>218</v>
      </c>
      <c r="D66" s="5" t="s">
        <v>482</v>
      </c>
      <c r="E66" s="5" t="s">
        <v>245</v>
      </c>
      <c r="F66" s="5" t="s">
        <v>221</v>
      </c>
      <c r="G66" s="5" t="s">
        <v>246</v>
      </c>
      <c r="H66" s="10">
        <v>16.09532595059525</v>
      </c>
      <c r="I66" s="10">
        <v>0.22592135711291661</v>
      </c>
      <c r="J66" s="325">
        <v>16.321247307708166</v>
      </c>
      <c r="K66" s="10">
        <v>1.037775368818779</v>
      </c>
      <c r="L66" s="10">
        <v>6.1410611960397796</v>
      </c>
      <c r="M66" s="325">
        <v>7.1788365648585586</v>
      </c>
      <c r="N66" s="10">
        <v>2.3557801948003991</v>
      </c>
      <c r="O66" s="10">
        <v>9.7759200270427797</v>
      </c>
      <c r="P66" s="10">
        <v>3.6026358709756274</v>
      </c>
      <c r="Q66" s="10">
        <v>2.83959325828683</v>
      </c>
      <c r="R66" s="10">
        <v>6.0372148036088831</v>
      </c>
      <c r="S66" s="10">
        <v>8.6336347646834515</v>
      </c>
      <c r="T66" s="10">
        <v>19.733041111588904</v>
      </c>
      <c r="U66" s="10">
        <v>2.895357545060806</v>
      </c>
      <c r="V66" s="325">
        <v>55.873177576047681</v>
      </c>
      <c r="W66" s="325">
        <v>79.3732614486144</v>
      </c>
      <c r="X66" s="10">
        <v>7.9771655550431113</v>
      </c>
      <c r="Y66" s="320">
        <v>87.350427003657515</v>
      </c>
    </row>
    <row r="67" spans="1:25" x14ac:dyDescent="0.2">
      <c r="A67" s="7">
        <v>2015</v>
      </c>
      <c r="B67" s="5" t="s">
        <v>466</v>
      </c>
      <c r="C67" s="5" t="s">
        <v>218</v>
      </c>
      <c r="D67" s="5" t="s">
        <v>482</v>
      </c>
      <c r="E67" s="5" t="s">
        <v>247</v>
      </c>
      <c r="F67" s="5" t="s">
        <v>221</v>
      </c>
      <c r="G67" s="5" t="s">
        <v>248</v>
      </c>
      <c r="H67" s="10">
        <v>4.1638870518186639</v>
      </c>
      <c r="I67" s="10">
        <v>0</v>
      </c>
      <c r="J67" s="325">
        <v>4.1638870518186639</v>
      </c>
      <c r="K67" s="10">
        <v>0.69079155629151867</v>
      </c>
      <c r="L67" s="10">
        <v>1.7683445044574917</v>
      </c>
      <c r="M67" s="325">
        <v>2.4591360607490103</v>
      </c>
      <c r="N67" s="10">
        <v>3.2255098780962994</v>
      </c>
      <c r="O67" s="10">
        <v>5.4107388416892386</v>
      </c>
      <c r="P67" s="10">
        <v>1.046342021027481</v>
      </c>
      <c r="Q67" s="10">
        <v>0.47664714350326565</v>
      </c>
      <c r="R67" s="10">
        <v>2.7295563204784807</v>
      </c>
      <c r="S67" s="10">
        <v>2.993737723473243</v>
      </c>
      <c r="T67" s="10">
        <v>5.1769577899442263</v>
      </c>
      <c r="U67" s="10">
        <v>0.74363591499710413</v>
      </c>
      <c r="V67" s="325">
        <v>21.803125633209341</v>
      </c>
      <c r="W67" s="325">
        <v>28.426148745777013</v>
      </c>
      <c r="X67" s="10">
        <v>2.856882664267725</v>
      </c>
      <c r="Y67" s="320">
        <v>31.283031410044739</v>
      </c>
    </row>
    <row r="68" spans="1:25" x14ac:dyDescent="0.2">
      <c r="A68" s="7">
        <v>2015</v>
      </c>
      <c r="B68" s="5" t="s">
        <v>466</v>
      </c>
      <c r="C68" s="5" t="s">
        <v>218</v>
      </c>
      <c r="D68" s="5" t="s">
        <v>481</v>
      </c>
      <c r="E68" s="5" t="s">
        <v>249</v>
      </c>
      <c r="F68" s="5" t="s">
        <v>221</v>
      </c>
      <c r="G68" s="5" t="s">
        <v>250</v>
      </c>
      <c r="H68" s="10">
        <v>12.011549362367651</v>
      </c>
      <c r="I68" s="10">
        <v>0</v>
      </c>
      <c r="J68" s="325">
        <v>12.011549362367651</v>
      </c>
      <c r="K68" s="10">
        <v>2.6454844165755214</v>
      </c>
      <c r="L68" s="10">
        <v>2.5342813623396974</v>
      </c>
      <c r="M68" s="325">
        <v>5.1797657789152183</v>
      </c>
      <c r="N68" s="10">
        <v>1.6581780744688805</v>
      </c>
      <c r="O68" s="10">
        <v>6.057832011599233</v>
      </c>
      <c r="P68" s="10">
        <v>2.3249533730379208</v>
      </c>
      <c r="Q68" s="10">
        <v>1.874342914665674</v>
      </c>
      <c r="R68" s="10">
        <v>4.9961312107902742</v>
      </c>
      <c r="S68" s="10">
        <v>7.108275309533143</v>
      </c>
      <c r="T68" s="10">
        <v>17.103931245907969</v>
      </c>
      <c r="U68" s="10">
        <v>1.6455875021163437</v>
      </c>
      <c r="V68" s="325">
        <v>42.769231642119436</v>
      </c>
      <c r="W68" s="325">
        <v>59.960546783402307</v>
      </c>
      <c r="X68" s="10">
        <v>6.0261503651612394</v>
      </c>
      <c r="Y68" s="320">
        <v>65.98669714856355</v>
      </c>
    </row>
    <row r="69" spans="1:25" x14ac:dyDescent="0.2">
      <c r="A69" s="7">
        <v>2015</v>
      </c>
      <c r="B69" s="5" t="s">
        <v>466</v>
      </c>
      <c r="C69" s="5" t="s">
        <v>218</v>
      </c>
      <c r="D69" s="5" t="s">
        <v>482</v>
      </c>
      <c r="E69" s="5" t="s">
        <v>251</v>
      </c>
      <c r="F69" s="5" t="s">
        <v>221</v>
      </c>
      <c r="G69" s="5" t="s">
        <v>252</v>
      </c>
      <c r="H69" s="10">
        <v>12.573535371582073</v>
      </c>
      <c r="I69" s="10">
        <v>0.96534874266294324</v>
      </c>
      <c r="J69" s="325">
        <v>13.538884114245016</v>
      </c>
      <c r="K69" s="10">
        <v>1.547220873648649</v>
      </c>
      <c r="L69" s="10">
        <v>4.8831158601058622</v>
      </c>
      <c r="M69" s="325">
        <v>6.430336733754511</v>
      </c>
      <c r="N69" s="10">
        <v>1.8272847485409534</v>
      </c>
      <c r="O69" s="10">
        <v>6.0650171029749727</v>
      </c>
      <c r="P69" s="10">
        <v>3.1675766292020144</v>
      </c>
      <c r="Q69" s="10">
        <v>2.5168574158349339</v>
      </c>
      <c r="R69" s="10">
        <v>7.2398388835074998</v>
      </c>
      <c r="S69" s="10">
        <v>7.9394161429673042</v>
      </c>
      <c r="T69" s="10">
        <v>20.681865318757428</v>
      </c>
      <c r="U69" s="10">
        <v>2.2370604869445661</v>
      </c>
      <c r="V69" s="325">
        <v>51.67491672872967</v>
      </c>
      <c r="W69" s="325">
        <v>71.644137576729193</v>
      </c>
      <c r="X69" s="10">
        <v>7.2003737287392759</v>
      </c>
      <c r="Y69" s="320">
        <v>78.844511305468473</v>
      </c>
    </row>
    <row r="70" spans="1:25" x14ac:dyDescent="0.2">
      <c r="A70" s="7">
        <v>2015</v>
      </c>
      <c r="B70" s="5" t="s">
        <v>466</v>
      </c>
      <c r="C70" s="5" t="s">
        <v>218</v>
      </c>
      <c r="D70" s="5" t="s">
        <v>482</v>
      </c>
      <c r="E70" s="5" t="s">
        <v>253</v>
      </c>
      <c r="F70" s="5" t="s">
        <v>221</v>
      </c>
      <c r="G70" s="5" t="s">
        <v>254</v>
      </c>
      <c r="H70" s="10">
        <v>11.339180440574477</v>
      </c>
      <c r="I70" s="10">
        <v>0</v>
      </c>
      <c r="J70" s="325">
        <v>11.339180440574477</v>
      </c>
      <c r="K70" s="10">
        <v>2.8830945878946359</v>
      </c>
      <c r="L70" s="10">
        <v>11.525002895840954</v>
      </c>
      <c r="M70" s="325">
        <v>14.40809748373559</v>
      </c>
      <c r="N70" s="10">
        <v>9.9495742257274955</v>
      </c>
      <c r="O70" s="10">
        <v>49.642359360604765</v>
      </c>
      <c r="P70" s="10">
        <v>5.962448351624646</v>
      </c>
      <c r="Q70" s="10">
        <v>3.8370355605328923</v>
      </c>
      <c r="R70" s="10">
        <v>28.463437647177823</v>
      </c>
      <c r="S70" s="10">
        <v>17.365906755820959</v>
      </c>
      <c r="T70" s="10">
        <v>21.155335952386618</v>
      </c>
      <c r="U70" s="10">
        <v>3.7192607659577792</v>
      </c>
      <c r="V70" s="325">
        <v>140.09535861983298</v>
      </c>
      <c r="W70" s="325">
        <v>165.84263654414303</v>
      </c>
      <c r="X70" s="10">
        <v>16.667504190623117</v>
      </c>
      <c r="Y70" s="320">
        <v>182.51014073476614</v>
      </c>
    </row>
    <row r="71" spans="1:25" x14ac:dyDescent="0.2">
      <c r="A71" s="7">
        <v>2015</v>
      </c>
      <c r="B71" s="5" t="s">
        <v>466</v>
      </c>
      <c r="C71" s="5" t="s">
        <v>218</v>
      </c>
      <c r="D71" s="5" t="s">
        <v>482</v>
      </c>
      <c r="E71" s="5" t="s">
        <v>255</v>
      </c>
      <c r="F71" s="5" t="s">
        <v>221</v>
      </c>
      <c r="G71" s="5" t="s">
        <v>256</v>
      </c>
      <c r="H71" s="10">
        <v>43.546067849286878</v>
      </c>
      <c r="I71" s="10">
        <v>0.63166191440162578</v>
      </c>
      <c r="J71" s="325">
        <v>44.177729763688504</v>
      </c>
      <c r="K71" s="10">
        <v>7.8876727243470173</v>
      </c>
      <c r="L71" s="10">
        <v>17.535985000543985</v>
      </c>
      <c r="M71" s="325">
        <v>25.423657724891001</v>
      </c>
      <c r="N71" s="10">
        <v>4.9732340729084701</v>
      </c>
      <c r="O71" s="10">
        <v>76.469794867600726</v>
      </c>
      <c r="P71" s="10">
        <v>9.237820281176532</v>
      </c>
      <c r="Q71" s="10">
        <v>6.7752145689349517</v>
      </c>
      <c r="R71" s="10">
        <v>24.238250217581736</v>
      </c>
      <c r="S71" s="10">
        <v>27.510472556292246</v>
      </c>
      <c r="T71" s="10">
        <v>52.989034118459763</v>
      </c>
      <c r="U71" s="10">
        <v>7.5551550814299331</v>
      </c>
      <c r="V71" s="325">
        <v>209.74897576438437</v>
      </c>
      <c r="W71" s="325">
        <v>279.35036325296386</v>
      </c>
      <c r="X71" s="10">
        <v>28.07524920699678</v>
      </c>
      <c r="Y71" s="320">
        <v>307.42561245996063</v>
      </c>
    </row>
    <row r="72" spans="1:25" x14ac:dyDescent="0.2">
      <c r="A72" s="7">
        <v>2015</v>
      </c>
      <c r="B72" s="5" t="s">
        <v>466</v>
      </c>
      <c r="C72" s="5" t="s">
        <v>218</v>
      </c>
      <c r="D72" s="5" t="s">
        <v>482</v>
      </c>
      <c r="E72" s="5" t="s">
        <v>257</v>
      </c>
      <c r="F72" s="5" t="s">
        <v>221</v>
      </c>
      <c r="G72" s="5" t="s">
        <v>258</v>
      </c>
      <c r="H72" s="10">
        <v>15.681870987404547</v>
      </c>
      <c r="I72" s="10">
        <v>0.32971255382841491</v>
      </c>
      <c r="J72" s="325">
        <v>16.011583541232962</v>
      </c>
      <c r="K72" s="10">
        <v>3.9453191720390075</v>
      </c>
      <c r="L72" s="10">
        <v>9.1278449323353037</v>
      </c>
      <c r="M72" s="325">
        <v>13.07316410437431</v>
      </c>
      <c r="N72" s="10">
        <v>7.4046286545213071</v>
      </c>
      <c r="O72" s="10">
        <v>36.949546004097904</v>
      </c>
      <c r="P72" s="10">
        <v>5.8430781099541296</v>
      </c>
      <c r="Q72" s="10">
        <v>3.7415294118290365</v>
      </c>
      <c r="R72" s="10">
        <v>18.901058254566482</v>
      </c>
      <c r="S72" s="10">
        <v>16.137160089239135</v>
      </c>
      <c r="T72" s="10">
        <v>23.847781688791038</v>
      </c>
      <c r="U72" s="10">
        <v>4.1657280696546799</v>
      </c>
      <c r="V72" s="325">
        <v>116.9905102826537</v>
      </c>
      <c r="W72" s="325">
        <v>146.07525792826098</v>
      </c>
      <c r="X72" s="10">
        <v>14.680844590924616</v>
      </c>
      <c r="Y72" s="320">
        <v>160.75610251918559</v>
      </c>
    </row>
    <row r="73" spans="1:25" x14ac:dyDescent="0.2">
      <c r="A73" s="7">
        <v>2015</v>
      </c>
      <c r="B73" s="5" t="s">
        <v>466</v>
      </c>
      <c r="C73" s="5" t="s">
        <v>218</v>
      </c>
      <c r="D73" s="5" t="s">
        <v>481</v>
      </c>
      <c r="E73" s="5" t="s">
        <v>259</v>
      </c>
      <c r="F73" s="5" t="s">
        <v>221</v>
      </c>
      <c r="G73" s="5" t="s">
        <v>260</v>
      </c>
      <c r="H73" s="10">
        <v>13.121219092455942</v>
      </c>
      <c r="I73" s="10">
        <v>0.55509498845649397</v>
      </c>
      <c r="J73" s="325">
        <v>13.676314080912436</v>
      </c>
      <c r="K73" s="10">
        <v>1.8708898750720784</v>
      </c>
      <c r="L73" s="10">
        <v>3.5355204063786503</v>
      </c>
      <c r="M73" s="325">
        <v>5.4064102814507287</v>
      </c>
      <c r="N73" s="10">
        <v>1.9566499646606885</v>
      </c>
      <c r="O73" s="10">
        <v>7.2840762632754883</v>
      </c>
      <c r="P73" s="10">
        <v>1.9782998296223473</v>
      </c>
      <c r="Q73" s="10">
        <v>1.4229200632048518</v>
      </c>
      <c r="R73" s="10">
        <v>4.2145921923107394</v>
      </c>
      <c r="S73" s="10">
        <v>5.7018707016184518</v>
      </c>
      <c r="T73" s="10">
        <v>11.983354730561569</v>
      </c>
      <c r="U73" s="10">
        <v>1.5421336461217596</v>
      </c>
      <c r="V73" s="325">
        <v>36.083897391375906</v>
      </c>
      <c r="W73" s="325">
        <v>55.166621753739065</v>
      </c>
      <c r="X73" s="10">
        <v>5.544351672187215</v>
      </c>
      <c r="Y73" s="320">
        <v>60.710973425926284</v>
      </c>
    </row>
    <row r="74" spans="1:25" x14ac:dyDescent="0.2">
      <c r="A74" s="7">
        <v>2015</v>
      </c>
      <c r="B74" s="5" t="s">
        <v>466</v>
      </c>
      <c r="C74" s="5" t="s">
        <v>261</v>
      </c>
      <c r="D74" s="5" t="s">
        <v>483</v>
      </c>
      <c r="E74" s="5" t="s">
        <v>263</v>
      </c>
      <c r="F74" s="5" t="s">
        <v>264</v>
      </c>
      <c r="G74" s="5" t="s">
        <v>265</v>
      </c>
      <c r="H74" s="10">
        <v>45.647128925454886</v>
      </c>
      <c r="I74" s="10">
        <v>2.9305999740621758</v>
      </c>
      <c r="J74" s="325">
        <v>48.577728899517062</v>
      </c>
      <c r="K74" s="10">
        <v>3.2551089417382659</v>
      </c>
      <c r="L74" s="10">
        <v>12.210458397939684</v>
      </c>
      <c r="M74" s="325">
        <v>15.46556733967795</v>
      </c>
      <c r="N74" s="10">
        <v>51.265984920291125</v>
      </c>
      <c r="O74" s="10">
        <v>7.9478251757077265</v>
      </c>
      <c r="P74" s="10">
        <v>2.9457788211475262</v>
      </c>
      <c r="Q74" s="10">
        <v>2.1675295740260045</v>
      </c>
      <c r="R74" s="10">
        <v>9.613322042452765</v>
      </c>
      <c r="S74" s="10">
        <v>19.656987661283669</v>
      </c>
      <c r="T74" s="10">
        <v>13.280864837552919</v>
      </c>
      <c r="U74" s="10">
        <v>2.0285784656823882</v>
      </c>
      <c r="V74" s="325">
        <v>108.90687149814411</v>
      </c>
      <c r="W74" s="325">
        <v>172.95016773733911</v>
      </c>
      <c r="X74" s="10">
        <v>17.381824755872081</v>
      </c>
      <c r="Y74" s="320">
        <v>190.3319924932112</v>
      </c>
    </row>
    <row r="75" spans="1:25" x14ac:dyDescent="0.2">
      <c r="A75" s="7">
        <v>2015</v>
      </c>
      <c r="B75" s="5" t="s">
        <v>466</v>
      </c>
      <c r="C75" s="5" t="s">
        <v>261</v>
      </c>
      <c r="D75" s="5" t="s">
        <v>484</v>
      </c>
      <c r="E75" s="5" t="s">
        <v>266</v>
      </c>
      <c r="F75" s="5" t="s">
        <v>264</v>
      </c>
      <c r="G75" s="5" t="s">
        <v>268</v>
      </c>
      <c r="H75" s="10">
        <v>6.3310005934448945</v>
      </c>
      <c r="I75" s="10">
        <v>0</v>
      </c>
      <c r="J75" s="325">
        <v>6.3310005934448945</v>
      </c>
      <c r="K75" s="10">
        <v>1.1983371915351602</v>
      </c>
      <c r="L75" s="10">
        <v>2.9584595836428003</v>
      </c>
      <c r="M75" s="325">
        <v>4.1567967751779609</v>
      </c>
      <c r="N75" s="10">
        <v>3.2310905139137294</v>
      </c>
      <c r="O75" s="10">
        <v>4.8081867151365438</v>
      </c>
      <c r="P75" s="10">
        <v>1.7080519090371447</v>
      </c>
      <c r="Q75" s="10">
        <v>1.1757507634888675</v>
      </c>
      <c r="R75" s="10">
        <v>6.5614446387447378</v>
      </c>
      <c r="S75" s="10">
        <v>4.6899091677900859</v>
      </c>
      <c r="T75" s="10">
        <v>8.7350426366109133</v>
      </c>
      <c r="U75" s="10">
        <v>1.2420529094193484</v>
      </c>
      <c r="V75" s="325">
        <v>32.151529254141373</v>
      </c>
      <c r="W75" s="325">
        <v>42.63932662276423</v>
      </c>
      <c r="X75" s="10">
        <v>4.2853343987565466</v>
      </c>
      <c r="Y75" s="320">
        <v>46.924661021520777</v>
      </c>
    </row>
    <row r="76" spans="1:25" x14ac:dyDescent="0.2">
      <c r="A76" s="7">
        <v>2015</v>
      </c>
      <c r="B76" s="5" t="s">
        <v>466</v>
      </c>
      <c r="C76" s="5" t="s">
        <v>261</v>
      </c>
      <c r="D76" s="5" t="s">
        <v>483</v>
      </c>
      <c r="E76" s="5" t="s">
        <v>269</v>
      </c>
      <c r="F76" s="5" t="s">
        <v>264</v>
      </c>
      <c r="G76" s="5" t="s">
        <v>271</v>
      </c>
      <c r="H76" s="10">
        <v>10.156531107780969</v>
      </c>
      <c r="I76" s="10">
        <v>0</v>
      </c>
      <c r="J76" s="325">
        <v>10.156531107780969</v>
      </c>
      <c r="K76" s="10">
        <v>1.4005781769381629</v>
      </c>
      <c r="L76" s="10">
        <v>3.4841695945310667</v>
      </c>
      <c r="M76" s="325">
        <v>4.8847477714692298</v>
      </c>
      <c r="N76" s="10">
        <v>2.3169688203207879</v>
      </c>
      <c r="O76" s="10">
        <v>3.6481612143136926</v>
      </c>
      <c r="P76" s="10">
        <v>2.1429531018255878</v>
      </c>
      <c r="Q76" s="10">
        <v>1.7812714732032111</v>
      </c>
      <c r="R76" s="10">
        <v>8.0504802619753733</v>
      </c>
      <c r="S76" s="10">
        <v>5.5449011759827371</v>
      </c>
      <c r="T76" s="10">
        <v>14.138672801830166</v>
      </c>
      <c r="U76" s="10">
        <v>1.6433411592590481</v>
      </c>
      <c r="V76" s="325">
        <v>39.266750008710602</v>
      </c>
      <c r="W76" s="325">
        <v>54.308028887960802</v>
      </c>
      <c r="X76" s="10">
        <v>5.4580614365798006</v>
      </c>
      <c r="Y76" s="320">
        <v>59.766090324540599</v>
      </c>
    </row>
    <row r="77" spans="1:25" x14ac:dyDescent="0.2">
      <c r="A77" s="7">
        <v>2015</v>
      </c>
      <c r="B77" s="5" t="s">
        <v>466</v>
      </c>
      <c r="C77" s="5" t="s">
        <v>261</v>
      </c>
      <c r="D77" s="5" t="s">
        <v>485</v>
      </c>
      <c r="E77" s="5" t="s">
        <v>272</v>
      </c>
      <c r="F77" s="5" t="s">
        <v>264</v>
      </c>
      <c r="G77" s="5" t="s">
        <v>273</v>
      </c>
      <c r="H77" s="10">
        <v>14.018742710577801</v>
      </c>
      <c r="I77" s="10">
        <v>0</v>
      </c>
      <c r="J77" s="325">
        <v>14.018742710577801</v>
      </c>
      <c r="K77" s="10">
        <v>7.9331494432240737</v>
      </c>
      <c r="L77" s="10">
        <v>11.012820085350747</v>
      </c>
      <c r="M77" s="325">
        <v>18.945969528574821</v>
      </c>
      <c r="N77" s="10">
        <v>14.818688498734645</v>
      </c>
      <c r="O77" s="10">
        <v>20.129599873768132</v>
      </c>
      <c r="P77" s="10">
        <v>3.6943453114407712</v>
      </c>
      <c r="Q77" s="10">
        <v>2.9410793480398834</v>
      </c>
      <c r="R77" s="10">
        <v>18.120061554564678</v>
      </c>
      <c r="S77" s="10">
        <v>11.242072654171309</v>
      </c>
      <c r="T77" s="10">
        <v>19.900386669400376</v>
      </c>
      <c r="U77" s="10">
        <v>3.342927984373484</v>
      </c>
      <c r="V77" s="325">
        <v>94.189161894493282</v>
      </c>
      <c r="W77" s="325">
        <v>127.1538741336459</v>
      </c>
      <c r="X77" s="10">
        <v>12.779209099150233</v>
      </c>
      <c r="Y77" s="320">
        <v>139.93308323279612</v>
      </c>
    </row>
    <row r="78" spans="1:25" x14ac:dyDescent="0.2">
      <c r="A78" s="7">
        <v>2015</v>
      </c>
      <c r="B78" s="5" t="s">
        <v>466</v>
      </c>
      <c r="C78" s="5" t="s">
        <v>261</v>
      </c>
      <c r="D78" s="5" t="s">
        <v>484</v>
      </c>
      <c r="E78" s="5" t="s">
        <v>274</v>
      </c>
      <c r="F78" s="5" t="s">
        <v>264</v>
      </c>
      <c r="G78" s="5" t="s">
        <v>275</v>
      </c>
      <c r="H78" s="10">
        <v>12.006529549444631</v>
      </c>
      <c r="I78" s="10">
        <v>8.3290711521081295</v>
      </c>
      <c r="J78" s="325">
        <v>20.33560070155276</v>
      </c>
      <c r="K78" s="10">
        <v>1.8022049592837597</v>
      </c>
      <c r="L78" s="10">
        <v>3.5347761744674693</v>
      </c>
      <c r="M78" s="325">
        <v>5.3369811337512285</v>
      </c>
      <c r="N78" s="10">
        <v>10.567447512282628</v>
      </c>
      <c r="O78" s="10">
        <v>2.4206202089033306</v>
      </c>
      <c r="P78" s="10">
        <v>0.89777762814394946</v>
      </c>
      <c r="Q78" s="10">
        <v>0.67055612010622068</v>
      </c>
      <c r="R78" s="10">
        <v>5.0770784777821119</v>
      </c>
      <c r="S78" s="10">
        <v>3.5381772424297373</v>
      </c>
      <c r="T78" s="10">
        <v>5.043440150510123</v>
      </c>
      <c r="U78" s="10">
        <v>0.73407852306007826</v>
      </c>
      <c r="V78" s="325">
        <v>28.949175863218176</v>
      </c>
      <c r="W78" s="325">
        <v>54.62175769852216</v>
      </c>
      <c r="X78" s="10">
        <v>5.4895917857956924</v>
      </c>
      <c r="Y78" s="320">
        <v>60.111349484317856</v>
      </c>
    </row>
    <row r="79" spans="1:25" x14ac:dyDescent="0.2">
      <c r="A79" s="7">
        <v>2015</v>
      </c>
      <c r="B79" s="5" t="s">
        <v>466</v>
      </c>
      <c r="C79" s="5" t="s">
        <v>261</v>
      </c>
      <c r="D79" s="5" t="s">
        <v>486</v>
      </c>
      <c r="E79" s="5" t="s">
        <v>276</v>
      </c>
      <c r="F79" s="5" t="s">
        <v>264</v>
      </c>
      <c r="G79" s="5" t="s">
        <v>277</v>
      </c>
      <c r="H79" s="10">
        <v>74.403700619504107</v>
      </c>
      <c r="I79" s="10">
        <v>0</v>
      </c>
      <c r="J79" s="325">
        <v>74.403700619504107</v>
      </c>
      <c r="K79" s="10">
        <v>24.591083924920451</v>
      </c>
      <c r="L79" s="10">
        <v>18.994442748821079</v>
      </c>
      <c r="M79" s="325">
        <v>43.585526673741526</v>
      </c>
      <c r="N79" s="10">
        <v>5.5912970344296715</v>
      </c>
      <c r="O79" s="10">
        <v>104.70197491536337</v>
      </c>
      <c r="P79" s="10">
        <v>20.485640794971864</v>
      </c>
      <c r="Q79" s="10">
        <v>16.633491342075708</v>
      </c>
      <c r="R79" s="10">
        <v>71.323266162246924</v>
      </c>
      <c r="S79" s="10">
        <v>48.763029266967443</v>
      </c>
      <c r="T79" s="10">
        <v>63.806918429076994</v>
      </c>
      <c r="U79" s="10">
        <v>17.642147292143612</v>
      </c>
      <c r="V79" s="325">
        <v>348.94776523727558</v>
      </c>
      <c r="W79" s="325">
        <v>466.9369925305212</v>
      </c>
      <c r="X79" s="10">
        <v>46.928066520478133</v>
      </c>
      <c r="Y79" s="320">
        <v>513.86505905099932</v>
      </c>
    </row>
    <row r="80" spans="1:25" x14ac:dyDescent="0.2">
      <c r="A80" s="7">
        <v>2015</v>
      </c>
      <c r="B80" s="5" t="s">
        <v>466</v>
      </c>
      <c r="C80" s="5" t="s">
        <v>261</v>
      </c>
      <c r="D80" s="5" t="s">
        <v>484</v>
      </c>
      <c r="E80" s="5" t="s">
        <v>278</v>
      </c>
      <c r="F80" s="5" t="s">
        <v>264</v>
      </c>
      <c r="G80" s="5" t="s">
        <v>279</v>
      </c>
      <c r="H80" s="10">
        <v>130.20887092419548</v>
      </c>
      <c r="I80" s="10">
        <v>0</v>
      </c>
      <c r="J80" s="325">
        <v>130.20887092419548</v>
      </c>
      <c r="K80" s="10">
        <v>4.2708026338997884</v>
      </c>
      <c r="L80" s="10">
        <v>21.637647286750315</v>
      </c>
      <c r="M80" s="325">
        <v>25.908449920650103</v>
      </c>
      <c r="N80" s="10">
        <v>9.7782636310689028</v>
      </c>
      <c r="O80" s="10">
        <v>24.42377603552486</v>
      </c>
      <c r="P80" s="10">
        <v>6.2607139652902841</v>
      </c>
      <c r="Q80" s="10">
        <v>4.2285235060195312</v>
      </c>
      <c r="R80" s="10">
        <v>26.407532041382918</v>
      </c>
      <c r="S80" s="10">
        <v>15.530851460646206</v>
      </c>
      <c r="T80" s="10">
        <v>24.105262231149268</v>
      </c>
      <c r="U80" s="10">
        <v>7.9535781834421329</v>
      </c>
      <c r="V80" s="325">
        <v>118.68850105452411</v>
      </c>
      <c r="W80" s="325">
        <v>274.80582189936968</v>
      </c>
      <c r="X80" s="10">
        <v>27.618514052541379</v>
      </c>
      <c r="Y80" s="320">
        <v>302.42433595191108</v>
      </c>
    </row>
    <row r="81" spans="1:25" x14ac:dyDescent="0.2">
      <c r="A81" s="7">
        <v>2015</v>
      </c>
      <c r="B81" s="5" t="s">
        <v>466</v>
      </c>
      <c r="C81" s="5" t="s">
        <v>261</v>
      </c>
      <c r="D81" s="5" t="s">
        <v>486</v>
      </c>
      <c r="E81" s="5" t="s">
        <v>280</v>
      </c>
      <c r="F81" s="5" t="s">
        <v>264</v>
      </c>
      <c r="G81" s="5" t="s">
        <v>281</v>
      </c>
      <c r="H81" s="10">
        <v>28.440520942876478</v>
      </c>
      <c r="I81" s="10">
        <v>0.43183193919151819</v>
      </c>
      <c r="J81" s="325">
        <v>28.872352882067997</v>
      </c>
      <c r="K81" s="10">
        <v>23.658877298348671</v>
      </c>
      <c r="L81" s="10">
        <v>15.921212533258185</v>
      </c>
      <c r="M81" s="325">
        <v>39.580089831606855</v>
      </c>
      <c r="N81" s="10">
        <v>43.229043104141489</v>
      </c>
      <c r="O81" s="10">
        <v>56.322152727500658</v>
      </c>
      <c r="P81" s="10">
        <v>17.151831315507035</v>
      </c>
      <c r="Q81" s="10">
        <v>7.9979863308005319</v>
      </c>
      <c r="R81" s="10">
        <v>56.046342473564856</v>
      </c>
      <c r="S81" s="10">
        <v>33.519179611162897</v>
      </c>
      <c r="T81" s="10">
        <v>36.366558916132384</v>
      </c>
      <c r="U81" s="10">
        <v>9.4938075918202873</v>
      </c>
      <c r="V81" s="325">
        <v>260.12690207063014</v>
      </c>
      <c r="W81" s="325">
        <v>328.57934478430502</v>
      </c>
      <c r="X81" s="10">
        <v>33.022856608134795</v>
      </c>
      <c r="Y81" s="320">
        <v>361.60220139243984</v>
      </c>
    </row>
    <row r="82" spans="1:25" x14ac:dyDescent="0.2">
      <c r="A82" s="7">
        <v>2015</v>
      </c>
      <c r="B82" s="5" t="s">
        <v>466</v>
      </c>
      <c r="C82" s="5" t="s">
        <v>261</v>
      </c>
      <c r="D82" s="5" t="s">
        <v>486</v>
      </c>
      <c r="E82" s="5" t="s">
        <v>282</v>
      </c>
      <c r="F82" s="5" t="s">
        <v>264</v>
      </c>
      <c r="G82" s="5" t="s">
        <v>284</v>
      </c>
      <c r="H82" s="10">
        <v>82.221824324528896</v>
      </c>
      <c r="I82" s="10">
        <v>0</v>
      </c>
      <c r="J82" s="325">
        <v>82.221824324528896</v>
      </c>
      <c r="K82" s="10">
        <v>24.158222688462253</v>
      </c>
      <c r="L82" s="10">
        <v>14.605533287822567</v>
      </c>
      <c r="M82" s="325">
        <v>38.76375597628482</v>
      </c>
      <c r="N82" s="10">
        <v>3.3524052050579969</v>
      </c>
      <c r="O82" s="10">
        <v>68.746114115767782</v>
      </c>
      <c r="P82" s="10">
        <v>11.223156618628522</v>
      </c>
      <c r="Q82" s="10">
        <v>10.34608936225194</v>
      </c>
      <c r="R82" s="10">
        <v>40.967004964940742</v>
      </c>
      <c r="S82" s="10">
        <v>24.809262274345258</v>
      </c>
      <c r="T82" s="10">
        <v>32.748678517789543</v>
      </c>
      <c r="U82" s="10">
        <v>8.1844009954507673</v>
      </c>
      <c r="V82" s="325">
        <v>200.37711205423253</v>
      </c>
      <c r="W82" s="325">
        <v>321.36269235504625</v>
      </c>
      <c r="X82" s="10">
        <v>32.297569147606232</v>
      </c>
      <c r="Y82" s="320">
        <v>353.66026150265247</v>
      </c>
    </row>
    <row r="83" spans="1:25" x14ac:dyDescent="0.2">
      <c r="A83" s="7">
        <v>2015</v>
      </c>
      <c r="B83" s="5" t="s">
        <v>466</v>
      </c>
      <c r="C83" s="5" t="s">
        <v>261</v>
      </c>
      <c r="D83" s="5" t="s">
        <v>484</v>
      </c>
      <c r="E83" s="5" t="s">
        <v>285</v>
      </c>
      <c r="F83" s="5" t="s">
        <v>264</v>
      </c>
      <c r="G83" s="5" t="s">
        <v>286</v>
      </c>
      <c r="H83" s="10">
        <v>5.3857696895358558</v>
      </c>
      <c r="I83" s="10">
        <v>0</v>
      </c>
      <c r="J83" s="325">
        <v>5.3857696895358558</v>
      </c>
      <c r="K83" s="10">
        <v>1.1732071962538955</v>
      </c>
      <c r="L83" s="10">
        <v>4.6827657526380007</v>
      </c>
      <c r="M83" s="325">
        <v>5.8559729488918961</v>
      </c>
      <c r="N83" s="10">
        <v>2.2721226114916737</v>
      </c>
      <c r="O83" s="10">
        <v>7.4373511427302068</v>
      </c>
      <c r="P83" s="10">
        <v>2.525608407069678</v>
      </c>
      <c r="Q83" s="10">
        <v>2.3130024360407213</v>
      </c>
      <c r="R83" s="10">
        <v>17.256127490069201</v>
      </c>
      <c r="S83" s="10">
        <v>8.6769869283030374</v>
      </c>
      <c r="T83" s="10">
        <v>13.101941897969612</v>
      </c>
      <c r="U83" s="10">
        <v>2.0051370888480169</v>
      </c>
      <c r="V83" s="325">
        <v>55.588278002522145</v>
      </c>
      <c r="W83" s="325">
        <v>66.830020640949897</v>
      </c>
      <c r="X83" s="10">
        <v>6.7165457104534534</v>
      </c>
      <c r="Y83" s="320">
        <v>73.546566351403357</v>
      </c>
    </row>
    <row r="84" spans="1:25" x14ac:dyDescent="0.2">
      <c r="A84" s="7">
        <v>2015</v>
      </c>
      <c r="B84" s="5" t="s">
        <v>466</v>
      </c>
      <c r="C84" s="5" t="s">
        <v>261</v>
      </c>
      <c r="D84" s="5" t="s">
        <v>486</v>
      </c>
      <c r="E84" s="5" t="s">
        <v>287</v>
      </c>
      <c r="F84" s="5" t="s">
        <v>264</v>
      </c>
      <c r="G84" s="5" t="s">
        <v>288</v>
      </c>
      <c r="H84" s="10">
        <v>39.290717200634077</v>
      </c>
      <c r="I84" s="10">
        <v>1.0657112416834451</v>
      </c>
      <c r="J84" s="325">
        <v>40.356428442317522</v>
      </c>
      <c r="K84" s="10">
        <v>472.82356181168603</v>
      </c>
      <c r="L84" s="10">
        <v>139.81409976600423</v>
      </c>
      <c r="M84" s="325">
        <v>612.63766157769032</v>
      </c>
      <c r="N84" s="10">
        <v>25.639837147617818</v>
      </c>
      <c r="O84" s="10">
        <v>120.33315523678775</v>
      </c>
      <c r="P84" s="10">
        <v>20.025873511082953</v>
      </c>
      <c r="Q84" s="10">
        <v>12.244157812575779</v>
      </c>
      <c r="R84" s="10">
        <v>76.352852592724588</v>
      </c>
      <c r="S84" s="10">
        <v>68.704833437740348</v>
      </c>
      <c r="T84" s="10">
        <v>38.6708557733701</v>
      </c>
      <c r="U84" s="10">
        <v>12.577224000796519</v>
      </c>
      <c r="V84" s="325">
        <v>374.54878951269586</v>
      </c>
      <c r="W84" s="325">
        <v>1027.5428795327036</v>
      </c>
      <c r="X84" s="10">
        <v>103.27003722702084</v>
      </c>
      <c r="Y84" s="320">
        <v>1130.8129167597244</v>
      </c>
    </row>
    <row r="85" spans="1:25" x14ac:dyDescent="0.2">
      <c r="A85" s="7">
        <v>2015</v>
      </c>
      <c r="B85" s="5" t="s">
        <v>466</v>
      </c>
      <c r="C85" s="5" t="s">
        <v>261</v>
      </c>
      <c r="D85" s="5" t="s">
        <v>484</v>
      </c>
      <c r="E85" s="5" t="s">
        <v>289</v>
      </c>
      <c r="F85" s="5" t="s">
        <v>264</v>
      </c>
      <c r="G85" s="5" t="s">
        <v>290</v>
      </c>
      <c r="H85" s="10">
        <v>2.8973141719562014</v>
      </c>
      <c r="I85" s="10">
        <v>0</v>
      </c>
      <c r="J85" s="325">
        <v>2.8973141719562014</v>
      </c>
      <c r="K85" s="10">
        <v>8.403219987394845</v>
      </c>
      <c r="L85" s="10">
        <v>11.27947243233152</v>
      </c>
      <c r="M85" s="325">
        <v>19.682692419726365</v>
      </c>
      <c r="N85" s="10">
        <v>9.2450920796395692</v>
      </c>
      <c r="O85" s="10">
        <v>60.435786379290768</v>
      </c>
      <c r="P85" s="10">
        <v>9.5657771470364779</v>
      </c>
      <c r="Q85" s="10">
        <v>4.6342596537508092</v>
      </c>
      <c r="R85" s="10">
        <v>45.555366622671819</v>
      </c>
      <c r="S85" s="10">
        <v>39.345208298227796</v>
      </c>
      <c r="T85" s="10">
        <v>28.663156153813802</v>
      </c>
      <c r="U85" s="10">
        <v>7.6540348559786606</v>
      </c>
      <c r="V85" s="325">
        <v>205.09868119040968</v>
      </c>
      <c r="W85" s="325">
        <v>227.67868778209223</v>
      </c>
      <c r="X85" s="10">
        <v>22.882146363713826</v>
      </c>
      <c r="Y85" s="320">
        <v>250.56083414580604</v>
      </c>
    </row>
    <row r="86" spans="1:25" x14ac:dyDescent="0.2">
      <c r="A86" s="7">
        <v>2015</v>
      </c>
      <c r="B86" s="5" t="s">
        <v>466</v>
      </c>
      <c r="C86" s="5" t="s">
        <v>261</v>
      </c>
      <c r="D86" s="5" t="s">
        <v>486</v>
      </c>
      <c r="E86" s="5" t="s">
        <v>291</v>
      </c>
      <c r="F86" s="5" t="s">
        <v>264</v>
      </c>
      <c r="G86" s="5" t="s">
        <v>292</v>
      </c>
      <c r="H86" s="10">
        <v>24.596727377265104</v>
      </c>
      <c r="I86" s="10">
        <v>0</v>
      </c>
      <c r="J86" s="325">
        <v>24.596727377265104</v>
      </c>
      <c r="K86" s="10">
        <v>67.695438399555115</v>
      </c>
      <c r="L86" s="10">
        <v>34.197433848233651</v>
      </c>
      <c r="M86" s="325">
        <v>101.89287224778877</v>
      </c>
      <c r="N86" s="10">
        <v>30.56605194837439</v>
      </c>
      <c r="O86" s="10">
        <v>131.43127627233156</v>
      </c>
      <c r="P86" s="10">
        <v>30.691433998503065</v>
      </c>
      <c r="Q86" s="10">
        <v>30.488423720384855</v>
      </c>
      <c r="R86" s="10">
        <v>99.898664044666788</v>
      </c>
      <c r="S86" s="10">
        <v>52.978125717513961</v>
      </c>
      <c r="T86" s="10">
        <v>52.859801581024122</v>
      </c>
      <c r="U86" s="10">
        <v>17.651961597156845</v>
      </c>
      <c r="V86" s="325">
        <v>446.56573887995563</v>
      </c>
      <c r="W86" s="325">
        <v>573.05533850500956</v>
      </c>
      <c r="X86" s="10">
        <v>57.593164550174386</v>
      </c>
      <c r="Y86" s="320">
        <v>630.64850305518394</v>
      </c>
    </row>
    <row r="87" spans="1:25" x14ac:dyDescent="0.2">
      <c r="A87" s="7">
        <v>2015</v>
      </c>
      <c r="B87" s="5" t="s">
        <v>466</v>
      </c>
      <c r="C87" s="5" t="s">
        <v>261</v>
      </c>
      <c r="D87" s="5" t="s">
        <v>486</v>
      </c>
      <c r="E87" s="5" t="s">
        <v>293</v>
      </c>
      <c r="F87" s="5" t="s">
        <v>264</v>
      </c>
      <c r="G87" s="5" t="s">
        <v>295</v>
      </c>
      <c r="H87" s="10">
        <v>25.077071555961236</v>
      </c>
      <c r="I87" s="10">
        <v>0.37520723249492954</v>
      </c>
      <c r="J87" s="325">
        <v>25.452278788456166</v>
      </c>
      <c r="K87" s="10">
        <v>20.837692093162417</v>
      </c>
      <c r="L87" s="10">
        <v>5.5218374230776917</v>
      </c>
      <c r="M87" s="325">
        <v>26.359529516240109</v>
      </c>
      <c r="N87" s="10">
        <v>8.4532264092045519</v>
      </c>
      <c r="O87" s="10">
        <v>47.966883832044694</v>
      </c>
      <c r="P87" s="10">
        <v>8.5385943678047287</v>
      </c>
      <c r="Q87" s="10">
        <v>7.4868030763557885</v>
      </c>
      <c r="R87" s="10">
        <v>23.052550773488662</v>
      </c>
      <c r="S87" s="10">
        <v>19.942329814023438</v>
      </c>
      <c r="T87" s="10">
        <v>24.099038115317502</v>
      </c>
      <c r="U87" s="10">
        <v>7.2045824933762113</v>
      </c>
      <c r="V87" s="325">
        <v>146.7440088816156</v>
      </c>
      <c r="W87" s="325">
        <v>198.55581718631188</v>
      </c>
      <c r="X87" s="10">
        <v>19.95524181205138</v>
      </c>
      <c r="Y87" s="320">
        <v>218.51105899836327</v>
      </c>
    </row>
    <row r="88" spans="1:25" x14ac:dyDescent="0.2">
      <c r="A88" s="7">
        <v>2015</v>
      </c>
      <c r="B88" s="5" t="s">
        <v>466</v>
      </c>
      <c r="C88" s="5" t="s">
        <v>261</v>
      </c>
      <c r="D88" s="5" t="s">
        <v>486</v>
      </c>
      <c r="E88" s="5" t="s">
        <v>296</v>
      </c>
      <c r="F88" s="5" t="s">
        <v>264</v>
      </c>
      <c r="G88" s="5" t="s">
        <v>297</v>
      </c>
      <c r="H88" s="10">
        <v>106.92796881991906</v>
      </c>
      <c r="I88" s="10">
        <v>0</v>
      </c>
      <c r="J88" s="325">
        <v>106.92796881991906</v>
      </c>
      <c r="K88" s="10">
        <v>178.91417425540297</v>
      </c>
      <c r="L88" s="10">
        <v>51.629724420834066</v>
      </c>
      <c r="M88" s="325">
        <v>230.54389867623703</v>
      </c>
      <c r="N88" s="10">
        <v>27.431580847724177</v>
      </c>
      <c r="O88" s="10">
        <v>128.58549874785186</v>
      </c>
      <c r="P88" s="10">
        <v>24.791070140903919</v>
      </c>
      <c r="Q88" s="10">
        <v>25.219213244157601</v>
      </c>
      <c r="R88" s="10">
        <v>83.382281901317739</v>
      </c>
      <c r="S88" s="10">
        <v>64.275636434880369</v>
      </c>
      <c r="T88" s="10">
        <v>51.504146518219969</v>
      </c>
      <c r="U88" s="10">
        <v>16.858963480549196</v>
      </c>
      <c r="V88" s="325">
        <v>422.04839131560482</v>
      </c>
      <c r="W88" s="325">
        <v>759.52025881176098</v>
      </c>
      <c r="X88" s="10">
        <v>76.333247951176517</v>
      </c>
      <c r="Y88" s="320">
        <v>835.85350676293751</v>
      </c>
    </row>
    <row r="89" spans="1:25" x14ac:dyDescent="0.2">
      <c r="A89" s="7">
        <v>2015</v>
      </c>
      <c r="B89" s="5" t="s">
        <v>466</v>
      </c>
      <c r="C89" s="5" t="s">
        <v>261</v>
      </c>
      <c r="D89" s="5" t="s">
        <v>483</v>
      </c>
      <c r="E89" s="5" t="s">
        <v>298</v>
      </c>
      <c r="F89" s="5" t="s">
        <v>264</v>
      </c>
      <c r="G89" s="5" t="s">
        <v>299</v>
      </c>
      <c r="H89" s="10">
        <v>15.15755190376286</v>
      </c>
      <c r="I89" s="10">
        <v>0</v>
      </c>
      <c r="J89" s="325">
        <v>15.15755190376286</v>
      </c>
      <c r="K89" s="10">
        <v>1.2630741314244973</v>
      </c>
      <c r="L89" s="10">
        <v>13.856643689664654</v>
      </c>
      <c r="M89" s="325">
        <v>15.119717821089152</v>
      </c>
      <c r="N89" s="10">
        <v>3.6298232850628533</v>
      </c>
      <c r="O89" s="10">
        <v>11.479456938688529</v>
      </c>
      <c r="P89" s="10">
        <v>2.0718962851539304</v>
      </c>
      <c r="Q89" s="10">
        <v>1.818829019135944</v>
      </c>
      <c r="R89" s="10">
        <v>8.2369896779454095</v>
      </c>
      <c r="S89" s="10">
        <v>15.213351269078437</v>
      </c>
      <c r="T89" s="10">
        <v>15.106507624484525</v>
      </c>
      <c r="U89" s="10">
        <v>1.7533758732478859</v>
      </c>
      <c r="V89" s="325">
        <v>59.310229972797508</v>
      </c>
      <c r="W89" s="325">
        <v>89.58749969764952</v>
      </c>
      <c r="X89" s="10">
        <v>9.003716159627059</v>
      </c>
      <c r="Y89" s="320">
        <v>98.59121585727658</v>
      </c>
    </row>
    <row r="90" spans="1:25" x14ac:dyDescent="0.2">
      <c r="A90" s="7">
        <v>2015</v>
      </c>
      <c r="B90" s="5" t="s">
        <v>466</v>
      </c>
      <c r="C90" s="5" t="s">
        <v>261</v>
      </c>
      <c r="D90" s="5" t="s">
        <v>486</v>
      </c>
      <c r="E90" s="5" t="s">
        <v>300</v>
      </c>
      <c r="F90" s="5" t="s">
        <v>264</v>
      </c>
      <c r="G90" s="5" t="s">
        <v>301</v>
      </c>
      <c r="H90" s="10">
        <v>40.548382028335041</v>
      </c>
      <c r="I90" s="10">
        <v>0.88677226903599404</v>
      </c>
      <c r="J90" s="325">
        <v>41.435154297371035</v>
      </c>
      <c r="K90" s="10">
        <v>1218.8666658810648</v>
      </c>
      <c r="L90" s="10">
        <v>190.26502523944941</v>
      </c>
      <c r="M90" s="325">
        <v>1409.1316911205142</v>
      </c>
      <c r="N90" s="10">
        <v>102.3238499373507</v>
      </c>
      <c r="O90" s="10">
        <v>492.47298287436047</v>
      </c>
      <c r="P90" s="10">
        <v>63.794954783228249</v>
      </c>
      <c r="Q90" s="10">
        <v>62.790787770702543</v>
      </c>
      <c r="R90" s="10">
        <v>236.58229015602112</v>
      </c>
      <c r="S90" s="10">
        <v>282.62828144470041</v>
      </c>
      <c r="T90" s="10">
        <v>270.47728386986483</v>
      </c>
      <c r="U90" s="10">
        <v>39.537186396115871</v>
      </c>
      <c r="V90" s="325">
        <v>1550.6076172323442</v>
      </c>
      <c r="W90" s="325">
        <v>3001.1744626502295</v>
      </c>
      <c r="X90" s="10">
        <v>301.62381021886836</v>
      </c>
      <c r="Y90" s="320">
        <v>3302.7982728690977</v>
      </c>
    </row>
    <row r="91" spans="1:25" x14ac:dyDescent="0.2">
      <c r="A91" s="7">
        <v>2015</v>
      </c>
      <c r="B91" s="5" t="s">
        <v>466</v>
      </c>
      <c r="C91" s="5" t="s">
        <v>261</v>
      </c>
      <c r="D91" s="5" t="s">
        <v>484</v>
      </c>
      <c r="E91" s="5" t="s">
        <v>302</v>
      </c>
      <c r="F91" s="5" t="s">
        <v>264</v>
      </c>
      <c r="G91" s="5" t="s">
        <v>303</v>
      </c>
      <c r="H91" s="10">
        <v>14.277562736061467</v>
      </c>
      <c r="I91" s="10">
        <v>8.7557248284497753</v>
      </c>
      <c r="J91" s="325">
        <v>23.033287564511241</v>
      </c>
      <c r="K91" s="10">
        <v>38.574379388609614</v>
      </c>
      <c r="L91" s="10">
        <v>9.9096921945340597</v>
      </c>
      <c r="M91" s="325">
        <v>48.484071583143674</v>
      </c>
      <c r="N91" s="10">
        <v>439.08563642312959</v>
      </c>
      <c r="O91" s="10">
        <v>16.177874901111608</v>
      </c>
      <c r="P91" s="10">
        <v>2.5626606011201583</v>
      </c>
      <c r="Q91" s="10">
        <v>1.9056179334681347</v>
      </c>
      <c r="R91" s="10">
        <v>12.034262670564779</v>
      </c>
      <c r="S91" s="10">
        <v>14.615507164687049</v>
      </c>
      <c r="T91" s="10">
        <v>14.407048212388776</v>
      </c>
      <c r="U91" s="10">
        <v>2.2503816097334957</v>
      </c>
      <c r="V91" s="325">
        <v>503.03898951620363</v>
      </c>
      <c r="W91" s="325">
        <v>574.55634866385856</v>
      </c>
      <c r="X91" s="10">
        <v>57.744018960936991</v>
      </c>
      <c r="Y91" s="320">
        <v>632.30036762479551</v>
      </c>
    </row>
    <row r="92" spans="1:25" x14ac:dyDescent="0.2">
      <c r="A92" s="7">
        <v>2015</v>
      </c>
      <c r="B92" s="5" t="s">
        <v>466</v>
      </c>
      <c r="C92" s="5" t="s">
        <v>261</v>
      </c>
      <c r="D92" s="5" t="s">
        <v>485</v>
      </c>
      <c r="E92" s="5" t="s">
        <v>304</v>
      </c>
      <c r="F92" s="5" t="s">
        <v>264</v>
      </c>
      <c r="G92" s="5" t="s">
        <v>305</v>
      </c>
      <c r="H92" s="10">
        <v>5.3568395436684861</v>
      </c>
      <c r="I92" s="10">
        <v>0.73218194113586144</v>
      </c>
      <c r="J92" s="325">
        <v>6.0890214848043476</v>
      </c>
      <c r="K92" s="10">
        <v>0.94478593357575902</v>
      </c>
      <c r="L92" s="10">
        <v>2.6015062956954966</v>
      </c>
      <c r="M92" s="325">
        <v>3.5462922292712555</v>
      </c>
      <c r="N92" s="10">
        <v>1.1801614378526475</v>
      </c>
      <c r="O92" s="10">
        <v>7.4985671200902493</v>
      </c>
      <c r="P92" s="10">
        <v>1.2911262160884529</v>
      </c>
      <c r="Q92" s="10">
        <v>0.94752050595671178</v>
      </c>
      <c r="R92" s="10">
        <v>5.0681650931558773</v>
      </c>
      <c r="S92" s="10">
        <v>3.9593592434154199</v>
      </c>
      <c r="T92" s="10">
        <v>8.9488694355091774</v>
      </c>
      <c r="U92" s="10">
        <v>1.037221932098928</v>
      </c>
      <c r="V92" s="325">
        <v>29.930990984167462</v>
      </c>
      <c r="W92" s="325">
        <v>39.566304698243066</v>
      </c>
      <c r="X92" s="10">
        <v>3.9764897803190951</v>
      </c>
      <c r="Y92" s="320">
        <v>43.542794478562158</v>
      </c>
    </row>
    <row r="93" spans="1:25" x14ac:dyDescent="0.2">
      <c r="A93" s="7">
        <v>2015</v>
      </c>
      <c r="B93" s="5" t="s">
        <v>466</v>
      </c>
      <c r="C93" s="5" t="s">
        <v>261</v>
      </c>
      <c r="D93" s="5" t="s">
        <v>485</v>
      </c>
      <c r="E93" s="5" t="s">
        <v>306</v>
      </c>
      <c r="F93" s="5" t="s">
        <v>264</v>
      </c>
      <c r="G93" s="5" t="s">
        <v>307</v>
      </c>
      <c r="H93" s="10">
        <v>5.0184033104358727</v>
      </c>
      <c r="I93" s="10">
        <v>4.4422120594089263</v>
      </c>
      <c r="J93" s="325">
        <v>9.460615369844799</v>
      </c>
      <c r="K93" s="10">
        <v>4.8043209498438815</v>
      </c>
      <c r="L93" s="10">
        <v>6.3103182040147958</v>
      </c>
      <c r="M93" s="325">
        <v>11.114639153858677</v>
      </c>
      <c r="N93" s="10">
        <v>3.5024407805339735</v>
      </c>
      <c r="O93" s="10">
        <v>16.703123357092213</v>
      </c>
      <c r="P93" s="10">
        <v>3.5509222049402722</v>
      </c>
      <c r="Q93" s="10">
        <v>2.6630603706670746</v>
      </c>
      <c r="R93" s="10">
        <v>10.164485897770644</v>
      </c>
      <c r="S93" s="10">
        <v>22.726381985367521</v>
      </c>
      <c r="T93" s="10">
        <v>18.149315607260856</v>
      </c>
      <c r="U93" s="10">
        <v>3.3393970844361829</v>
      </c>
      <c r="V93" s="325">
        <v>80.799127288068746</v>
      </c>
      <c r="W93" s="325">
        <v>101.37438181177222</v>
      </c>
      <c r="X93" s="10">
        <v>10.188320499902483</v>
      </c>
      <c r="Y93" s="320">
        <v>111.56270231167471</v>
      </c>
    </row>
    <row r="94" spans="1:25" x14ac:dyDescent="0.2">
      <c r="A94" s="7">
        <v>2015</v>
      </c>
      <c r="B94" s="5" t="s">
        <v>466</v>
      </c>
      <c r="C94" s="5" t="s">
        <v>261</v>
      </c>
      <c r="D94" s="5" t="s">
        <v>484</v>
      </c>
      <c r="E94" s="5" t="s">
        <v>308</v>
      </c>
      <c r="F94" s="5" t="s">
        <v>264</v>
      </c>
      <c r="G94" s="5" t="s">
        <v>309</v>
      </c>
      <c r="H94" s="10">
        <v>10.779747265250419</v>
      </c>
      <c r="I94" s="10">
        <v>0</v>
      </c>
      <c r="J94" s="325">
        <v>10.779747265250419</v>
      </c>
      <c r="K94" s="10">
        <v>1.6866331795581964</v>
      </c>
      <c r="L94" s="10">
        <v>13.654828739112148</v>
      </c>
      <c r="M94" s="325">
        <v>15.341461918670344</v>
      </c>
      <c r="N94" s="10">
        <v>90.724869809664369</v>
      </c>
      <c r="O94" s="10">
        <v>7.8960691410303152</v>
      </c>
      <c r="P94" s="10">
        <v>1.8394508904701692</v>
      </c>
      <c r="Q94" s="10">
        <v>1.2637493487559761</v>
      </c>
      <c r="R94" s="10">
        <v>7.9412184113058908</v>
      </c>
      <c r="S94" s="10">
        <v>4.2378736886851458</v>
      </c>
      <c r="T94" s="10">
        <v>7.1756065394849715</v>
      </c>
      <c r="U94" s="10">
        <v>1.3603440908745847</v>
      </c>
      <c r="V94" s="325">
        <v>122.43918192027144</v>
      </c>
      <c r="W94" s="325">
        <v>148.56039110419221</v>
      </c>
      <c r="X94" s="10">
        <v>14.930605258587887</v>
      </c>
      <c r="Y94" s="320">
        <v>163.49099636278009</v>
      </c>
    </row>
    <row r="95" spans="1:25" x14ac:dyDescent="0.2">
      <c r="A95" s="7">
        <v>2015</v>
      </c>
      <c r="B95" s="5" t="s">
        <v>466</v>
      </c>
      <c r="C95" s="5" t="s">
        <v>261</v>
      </c>
      <c r="D95" s="5" t="s">
        <v>486</v>
      </c>
      <c r="E95" s="5" t="s">
        <v>310</v>
      </c>
      <c r="F95" s="5" t="s">
        <v>264</v>
      </c>
      <c r="G95" s="5" t="s">
        <v>311</v>
      </c>
      <c r="H95" s="10">
        <v>53.740843370081208</v>
      </c>
      <c r="I95" s="10">
        <v>0</v>
      </c>
      <c r="J95" s="325">
        <v>53.740843370081208</v>
      </c>
      <c r="K95" s="10">
        <v>4.2308822025489992</v>
      </c>
      <c r="L95" s="10">
        <v>11.761919555072447</v>
      </c>
      <c r="M95" s="325">
        <v>15.992801757621447</v>
      </c>
      <c r="N95" s="10">
        <v>3.8738157237349804</v>
      </c>
      <c r="O95" s="10">
        <v>21.497233677079436</v>
      </c>
      <c r="P95" s="10">
        <v>6.2776242341620296</v>
      </c>
      <c r="Q95" s="10">
        <v>4.6153847245587016</v>
      </c>
      <c r="R95" s="10">
        <v>28.841305649925935</v>
      </c>
      <c r="S95" s="10">
        <v>15.129131380492954</v>
      </c>
      <c r="T95" s="10">
        <v>28.732573310343547</v>
      </c>
      <c r="U95" s="10">
        <v>7.0999014095416104</v>
      </c>
      <c r="V95" s="325">
        <v>116.06697010983919</v>
      </c>
      <c r="W95" s="325">
        <v>185.80061523754182</v>
      </c>
      <c r="X95" s="10">
        <v>18.673319464454732</v>
      </c>
      <c r="Y95" s="320">
        <v>204.47393470199654</v>
      </c>
    </row>
    <row r="96" spans="1:25" x14ac:dyDescent="0.2">
      <c r="A96" s="7">
        <v>2015</v>
      </c>
      <c r="B96" s="5" t="s">
        <v>466</v>
      </c>
      <c r="C96" s="5" t="s">
        <v>261</v>
      </c>
      <c r="D96" s="5" t="s">
        <v>483</v>
      </c>
      <c r="E96" s="5" t="s">
        <v>312</v>
      </c>
      <c r="F96" s="5" t="s">
        <v>264</v>
      </c>
      <c r="G96" s="5" t="s">
        <v>313</v>
      </c>
      <c r="H96" s="10">
        <v>95.469808562717361</v>
      </c>
      <c r="I96" s="10">
        <v>87.818787862211451</v>
      </c>
      <c r="J96" s="325">
        <v>183.28859642492881</v>
      </c>
      <c r="K96" s="10">
        <v>325.84812690111954</v>
      </c>
      <c r="L96" s="10">
        <v>20.884731509448613</v>
      </c>
      <c r="M96" s="325">
        <v>346.73285841056816</v>
      </c>
      <c r="N96" s="10">
        <v>27.188395572968233</v>
      </c>
      <c r="O96" s="10">
        <v>55.622015238959065</v>
      </c>
      <c r="P96" s="10">
        <v>10.136648197477383</v>
      </c>
      <c r="Q96" s="10">
        <v>8.9698381997318304</v>
      </c>
      <c r="R96" s="10">
        <v>35.759312821940952</v>
      </c>
      <c r="S96" s="10">
        <v>60.116319249430639</v>
      </c>
      <c r="T96" s="10">
        <v>54.120093059328731</v>
      </c>
      <c r="U96" s="10">
        <v>7.0959058913543602</v>
      </c>
      <c r="V96" s="325">
        <v>259.00852823119118</v>
      </c>
      <c r="W96" s="325">
        <v>789.02998306668815</v>
      </c>
      <c r="X96" s="10">
        <v>79.299032037728637</v>
      </c>
      <c r="Y96" s="320">
        <v>868.32901510441684</v>
      </c>
    </row>
    <row r="97" spans="1:25" x14ac:dyDescent="0.2">
      <c r="A97" s="7">
        <v>2015</v>
      </c>
      <c r="B97" s="5" t="s">
        <v>466</v>
      </c>
      <c r="C97" s="5" t="s">
        <v>314</v>
      </c>
      <c r="D97" s="5" t="s">
        <v>487</v>
      </c>
      <c r="E97" s="5" t="s">
        <v>316</v>
      </c>
      <c r="F97" s="5" t="s">
        <v>317</v>
      </c>
      <c r="G97" s="5" t="s">
        <v>318</v>
      </c>
      <c r="H97" s="10">
        <v>47.657274903259946</v>
      </c>
      <c r="I97" s="10">
        <v>5.3256246331002268</v>
      </c>
      <c r="J97" s="325">
        <v>52.982899536360172</v>
      </c>
      <c r="K97" s="10">
        <v>61.694734566460966</v>
      </c>
      <c r="L97" s="10">
        <v>20.954098881995591</v>
      </c>
      <c r="M97" s="325">
        <v>82.648833448456557</v>
      </c>
      <c r="N97" s="10">
        <v>15.714024292485275</v>
      </c>
      <c r="O97" s="10">
        <v>62.114239225308225</v>
      </c>
      <c r="P97" s="10">
        <v>10.233604489083371</v>
      </c>
      <c r="Q97" s="10">
        <v>7.8186260251390269</v>
      </c>
      <c r="R97" s="10">
        <v>27.991411847106342</v>
      </c>
      <c r="S97" s="10">
        <v>29.565473004462099</v>
      </c>
      <c r="T97" s="10">
        <v>35.675765785236059</v>
      </c>
      <c r="U97" s="10">
        <v>8.2971946578086708</v>
      </c>
      <c r="V97" s="325">
        <v>197.41033932662904</v>
      </c>
      <c r="W97" s="325">
        <v>333.04207231144574</v>
      </c>
      <c r="X97" s="10">
        <v>33.471369313835197</v>
      </c>
      <c r="Y97" s="320">
        <v>366.51344162528096</v>
      </c>
    </row>
    <row r="98" spans="1:25" x14ac:dyDescent="0.2">
      <c r="A98" s="7">
        <v>2015</v>
      </c>
      <c r="B98" s="5" t="s">
        <v>466</v>
      </c>
      <c r="C98" s="5" t="s">
        <v>314</v>
      </c>
      <c r="D98" s="5" t="s">
        <v>488</v>
      </c>
      <c r="E98" s="5" t="s">
        <v>319</v>
      </c>
      <c r="F98" s="5" t="s">
        <v>317</v>
      </c>
      <c r="G98" s="5" t="s">
        <v>321</v>
      </c>
      <c r="H98" s="10">
        <v>100.30875538580852</v>
      </c>
      <c r="I98" s="10">
        <v>9.2562140403028081</v>
      </c>
      <c r="J98" s="325">
        <v>109.56496942611133</v>
      </c>
      <c r="K98" s="10">
        <v>105.12938783733988</v>
      </c>
      <c r="L98" s="10">
        <v>108.27921874291458</v>
      </c>
      <c r="M98" s="325">
        <v>213.40860658025446</v>
      </c>
      <c r="N98" s="10">
        <v>30.845022663145208</v>
      </c>
      <c r="O98" s="10">
        <v>113.06710459257971</v>
      </c>
      <c r="P98" s="10">
        <v>15.834418209915436</v>
      </c>
      <c r="Q98" s="10">
        <v>21.111297081783892</v>
      </c>
      <c r="R98" s="10">
        <v>34.140109785296168</v>
      </c>
      <c r="S98" s="10">
        <v>65.656880221502945</v>
      </c>
      <c r="T98" s="10">
        <v>77.069722280852332</v>
      </c>
      <c r="U98" s="10">
        <v>12.521600241281474</v>
      </c>
      <c r="V98" s="325">
        <v>370.24615507635718</v>
      </c>
      <c r="W98" s="325">
        <v>693.219731082723</v>
      </c>
      <c r="X98" s="10">
        <v>69.669917297588398</v>
      </c>
      <c r="Y98" s="320">
        <v>762.88964838031143</v>
      </c>
    </row>
    <row r="99" spans="1:25" x14ac:dyDescent="0.2">
      <c r="A99" s="7">
        <v>2015</v>
      </c>
      <c r="B99" s="5" t="s">
        <v>466</v>
      </c>
      <c r="C99" s="5" t="s">
        <v>314</v>
      </c>
      <c r="D99" s="5" t="s">
        <v>487</v>
      </c>
      <c r="E99" s="5" t="s">
        <v>322</v>
      </c>
      <c r="F99" s="5" t="s">
        <v>317</v>
      </c>
      <c r="G99" s="5" t="s">
        <v>323</v>
      </c>
      <c r="H99" s="10">
        <v>20.554632028609227</v>
      </c>
      <c r="I99" s="10">
        <v>0.28277776702061885</v>
      </c>
      <c r="J99" s="325">
        <v>20.837409795629846</v>
      </c>
      <c r="K99" s="10">
        <v>4.7200689331057095</v>
      </c>
      <c r="L99" s="10">
        <v>0.98301772031156354</v>
      </c>
      <c r="M99" s="325">
        <v>5.7030866534172731</v>
      </c>
      <c r="N99" s="10">
        <v>2.2000050043708739</v>
      </c>
      <c r="O99" s="10">
        <v>11.537641882393608</v>
      </c>
      <c r="P99" s="10">
        <v>1.2207461715993457</v>
      </c>
      <c r="Q99" s="10">
        <v>0.98567748356081508</v>
      </c>
      <c r="R99" s="10">
        <v>3.3487737475877539</v>
      </c>
      <c r="S99" s="10">
        <v>5.3826893211486722</v>
      </c>
      <c r="T99" s="10">
        <v>9.3354069876782972</v>
      </c>
      <c r="U99" s="10">
        <v>1.535689835338016</v>
      </c>
      <c r="V99" s="325">
        <v>35.546630433677386</v>
      </c>
      <c r="W99" s="325">
        <v>62.087126882724505</v>
      </c>
      <c r="X99" s="10">
        <v>6.2398757583352937</v>
      </c>
      <c r="Y99" s="320">
        <v>68.327002641059792</v>
      </c>
    </row>
    <row r="100" spans="1:25" x14ac:dyDescent="0.2">
      <c r="A100" s="7">
        <v>2015</v>
      </c>
      <c r="B100" s="5" t="s">
        <v>466</v>
      </c>
      <c r="C100" s="5" t="s">
        <v>314</v>
      </c>
      <c r="D100" s="5" t="s">
        <v>488</v>
      </c>
      <c r="E100" s="5" t="s">
        <v>324</v>
      </c>
      <c r="F100" s="5" t="s">
        <v>317</v>
      </c>
      <c r="G100" s="5" t="s">
        <v>325</v>
      </c>
      <c r="H100" s="10">
        <v>51.690785557510551</v>
      </c>
      <c r="I100" s="10">
        <v>0</v>
      </c>
      <c r="J100" s="325">
        <v>51.690785557510551</v>
      </c>
      <c r="K100" s="10">
        <v>5.6729632422953458</v>
      </c>
      <c r="L100" s="10">
        <v>5.4767181236237326</v>
      </c>
      <c r="M100" s="325">
        <v>11.149681365919079</v>
      </c>
      <c r="N100" s="10">
        <v>2.697114850143838</v>
      </c>
      <c r="O100" s="10">
        <v>15.799636639278594</v>
      </c>
      <c r="P100" s="10">
        <v>3.2832327062810105</v>
      </c>
      <c r="Q100" s="10">
        <v>2.7561415321373679</v>
      </c>
      <c r="R100" s="10">
        <v>7.6225427884559505</v>
      </c>
      <c r="S100" s="10">
        <v>9.4974590456357166</v>
      </c>
      <c r="T100" s="10">
        <v>16.234317034283958</v>
      </c>
      <c r="U100" s="10">
        <v>2.7103555866682574</v>
      </c>
      <c r="V100" s="325">
        <v>60.600800182884683</v>
      </c>
      <c r="W100" s="325">
        <v>123.44126710631431</v>
      </c>
      <c r="X100" s="10">
        <v>12.406084946446587</v>
      </c>
      <c r="Y100" s="320">
        <v>135.8473520527609</v>
      </c>
    </row>
    <row r="101" spans="1:25" x14ac:dyDescent="0.2">
      <c r="A101" s="7">
        <v>2015</v>
      </c>
      <c r="B101" s="5" t="s">
        <v>466</v>
      </c>
      <c r="C101" s="5" t="s">
        <v>314</v>
      </c>
      <c r="D101" s="5" t="s">
        <v>489</v>
      </c>
      <c r="E101" s="5" t="s">
        <v>326</v>
      </c>
      <c r="F101" s="5" t="s">
        <v>317</v>
      </c>
      <c r="G101" s="5" t="s">
        <v>327</v>
      </c>
      <c r="H101" s="10">
        <v>66.127364330582111</v>
      </c>
      <c r="I101" s="10">
        <v>0</v>
      </c>
      <c r="J101" s="325">
        <v>66.127364330582111</v>
      </c>
      <c r="K101" s="10">
        <v>8.9688501607757782</v>
      </c>
      <c r="L101" s="10">
        <v>6.0064368525378242</v>
      </c>
      <c r="M101" s="325">
        <v>14.975287013313602</v>
      </c>
      <c r="N101" s="10">
        <v>5.4026021428319968</v>
      </c>
      <c r="O101" s="10">
        <v>16.139455896835457</v>
      </c>
      <c r="P101" s="10">
        <v>5.2460650273016212</v>
      </c>
      <c r="Q101" s="10">
        <v>4.0235898687366767</v>
      </c>
      <c r="R101" s="10">
        <v>12.298401154306807</v>
      </c>
      <c r="S101" s="10">
        <v>13.939635597608097</v>
      </c>
      <c r="T101" s="10">
        <v>29.833944962072653</v>
      </c>
      <c r="U101" s="10">
        <v>4.0010227689505777</v>
      </c>
      <c r="V101" s="325">
        <v>90.884717418643888</v>
      </c>
      <c r="W101" s="325">
        <v>171.9873687625396</v>
      </c>
      <c r="X101" s="10">
        <v>17.285061605493389</v>
      </c>
      <c r="Y101" s="320">
        <v>189.27243036803299</v>
      </c>
    </row>
    <row r="102" spans="1:25" x14ac:dyDescent="0.2">
      <c r="A102" s="7">
        <v>2015</v>
      </c>
      <c r="B102" s="5" t="s">
        <v>466</v>
      </c>
      <c r="C102" s="5" t="s">
        <v>314</v>
      </c>
      <c r="D102" s="5" t="s">
        <v>490</v>
      </c>
      <c r="E102" s="5" t="s">
        <v>328</v>
      </c>
      <c r="F102" s="5" t="s">
        <v>317</v>
      </c>
      <c r="G102" s="5" t="s">
        <v>330</v>
      </c>
      <c r="H102" s="10">
        <v>26.169008421354484</v>
      </c>
      <c r="I102" s="10">
        <v>0</v>
      </c>
      <c r="J102" s="325">
        <v>26.169008421354484</v>
      </c>
      <c r="K102" s="10">
        <v>1.192053729575542</v>
      </c>
      <c r="L102" s="10">
        <v>5.1910416576341856</v>
      </c>
      <c r="M102" s="325">
        <v>6.3830953872097274</v>
      </c>
      <c r="N102" s="10">
        <v>1.7622203135058649</v>
      </c>
      <c r="O102" s="10">
        <v>7.4037612868210028</v>
      </c>
      <c r="P102" s="10">
        <v>1.6730930484105744</v>
      </c>
      <c r="Q102" s="10">
        <v>1.6224199972849322</v>
      </c>
      <c r="R102" s="10">
        <v>3.8254698071419981</v>
      </c>
      <c r="S102" s="10">
        <v>6.5772140036240456</v>
      </c>
      <c r="T102" s="10">
        <v>11.441045777226721</v>
      </c>
      <c r="U102" s="10">
        <v>1.371841139318132</v>
      </c>
      <c r="V102" s="325">
        <v>35.677065373333278</v>
      </c>
      <c r="W102" s="325">
        <v>68.22916918189749</v>
      </c>
      <c r="X102" s="10">
        <v>6.8571628316978721</v>
      </c>
      <c r="Y102" s="320">
        <v>75.086332013595367</v>
      </c>
    </row>
    <row r="103" spans="1:25" x14ac:dyDescent="0.2">
      <c r="A103" s="7">
        <v>2015</v>
      </c>
      <c r="B103" s="5" t="s">
        <v>466</v>
      </c>
      <c r="C103" s="5" t="s">
        <v>314</v>
      </c>
      <c r="D103" s="5" t="s">
        <v>488</v>
      </c>
      <c r="E103" s="5" t="s">
        <v>331</v>
      </c>
      <c r="F103" s="5" t="s">
        <v>317</v>
      </c>
      <c r="G103" s="5" t="s">
        <v>332</v>
      </c>
      <c r="H103" s="10">
        <v>76.251288711132929</v>
      </c>
      <c r="I103" s="10">
        <v>0</v>
      </c>
      <c r="J103" s="325">
        <v>76.251288711132929</v>
      </c>
      <c r="K103" s="10">
        <v>12.57220748115013</v>
      </c>
      <c r="L103" s="10">
        <v>14.660096485513613</v>
      </c>
      <c r="M103" s="325">
        <v>27.232303966663743</v>
      </c>
      <c r="N103" s="10">
        <v>8.2273341331276573</v>
      </c>
      <c r="O103" s="10">
        <v>61.706919738550638</v>
      </c>
      <c r="P103" s="10">
        <v>9.268347204894388</v>
      </c>
      <c r="Q103" s="10">
        <v>10.901395232216688</v>
      </c>
      <c r="R103" s="10">
        <v>22.047567318672122</v>
      </c>
      <c r="S103" s="10">
        <v>26.171121056610104</v>
      </c>
      <c r="T103" s="10">
        <v>46.905424723996468</v>
      </c>
      <c r="U103" s="10">
        <v>6.4977039313364369</v>
      </c>
      <c r="V103" s="325">
        <v>191.72581333940451</v>
      </c>
      <c r="W103" s="325">
        <v>295.20940601720122</v>
      </c>
      <c r="X103" s="10">
        <v>29.669113530322086</v>
      </c>
      <c r="Y103" s="320">
        <v>324.8785195475233</v>
      </c>
    </row>
    <row r="104" spans="1:25" x14ac:dyDescent="0.2">
      <c r="A104" s="7">
        <v>2015</v>
      </c>
      <c r="B104" s="5" t="s">
        <v>466</v>
      </c>
      <c r="C104" s="5" t="s">
        <v>314</v>
      </c>
      <c r="D104" s="5" t="s">
        <v>489</v>
      </c>
      <c r="E104" s="5" t="s">
        <v>333</v>
      </c>
      <c r="F104" s="5" t="s">
        <v>317</v>
      </c>
      <c r="G104" s="5" t="s">
        <v>334</v>
      </c>
      <c r="H104" s="10">
        <v>72.268878711723588</v>
      </c>
      <c r="I104" s="10">
        <v>0</v>
      </c>
      <c r="J104" s="325">
        <v>72.268878711723588</v>
      </c>
      <c r="K104" s="10">
        <v>11.111031428615703</v>
      </c>
      <c r="L104" s="10">
        <v>9.0289450570632219</v>
      </c>
      <c r="M104" s="325">
        <v>20.139976485678925</v>
      </c>
      <c r="N104" s="10">
        <v>6.5729138854664964</v>
      </c>
      <c r="O104" s="10">
        <v>28.747420178208827</v>
      </c>
      <c r="P104" s="10">
        <v>7.2955380316965286</v>
      </c>
      <c r="Q104" s="10">
        <v>6.4111250627733369</v>
      </c>
      <c r="R104" s="10">
        <v>15.659658313877491</v>
      </c>
      <c r="S104" s="10">
        <v>18.781414942250585</v>
      </c>
      <c r="T104" s="10">
        <v>33.432106873657645</v>
      </c>
      <c r="U104" s="10">
        <v>6.0142939753945237</v>
      </c>
      <c r="V104" s="325">
        <v>122.91447126332542</v>
      </c>
      <c r="W104" s="325">
        <v>215.32332646072791</v>
      </c>
      <c r="X104" s="10">
        <v>21.640408768214538</v>
      </c>
      <c r="Y104" s="320">
        <v>236.96373522894245</v>
      </c>
    </row>
    <row r="105" spans="1:25" x14ac:dyDescent="0.2">
      <c r="A105" s="7">
        <v>2015</v>
      </c>
      <c r="B105" s="5" t="s">
        <v>466</v>
      </c>
      <c r="C105" s="5" t="s">
        <v>314</v>
      </c>
      <c r="D105" s="5" t="s">
        <v>487</v>
      </c>
      <c r="E105" s="5" t="s">
        <v>335</v>
      </c>
      <c r="F105" s="5" t="s">
        <v>317</v>
      </c>
      <c r="G105" s="5" t="s">
        <v>336</v>
      </c>
      <c r="H105" s="10">
        <v>86.056767063752801</v>
      </c>
      <c r="I105" s="10">
        <v>2.3492809073806029</v>
      </c>
      <c r="J105" s="325">
        <v>88.406047971133404</v>
      </c>
      <c r="K105" s="10">
        <v>8.6726912804664202</v>
      </c>
      <c r="L105" s="10">
        <v>15.862292644735252</v>
      </c>
      <c r="M105" s="325">
        <v>24.534983925201672</v>
      </c>
      <c r="N105" s="10">
        <v>8.8138505590286318</v>
      </c>
      <c r="O105" s="10">
        <v>42.094718000655376</v>
      </c>
      <c r="P105" s="10">
        <v>9.1348456298950964</v>
      </c>
      <c r="Q105" s="10">
        <v>7.7118999629280491</v>
      </c>
      <c r="R105" s="10">
        <v>23.623460498103409</v>
      </c>
      <c r="S105" s="10">
        <v>25.077552273395963</v>
      </c>
      <c r="T105" s="10">
        <v>37.729916682356738</v>
      </c>
      <c r="U105" s="10">
        <v>8.6129193438545961</v>
      </c>
      <c r="V105" s="325">
        <v>162.79916295021786</v>
      </c>
      <c r="W105" s="325">
        <v>275.74019484655298</v>
      </c>
      <c r="X105" s="10">
        <v>27.712420332721589</v>
      </c>
      <c r="Y105" s="320">
        <v>303.45261517927457</v>
      </c>
    </row>
    <row r="106" spans="1:25" x14ac:dyDescent="0.2">
      <c r="A106" s="7">
        <v>2015</v>
      </c>
      <c r="B106" s="5" t="s">
        <v>466</v>
      </c>
      <c r="C106" s="5" t="s">
        <v>314</v>
      </c>
      <c r="D106" s="5" t="s">
        <v>488</v>
      </c>
      <c r="E106" s="5" t="s">
        <v>337</v>
      </c>
      <c r="F106" s="5" t="s">
        <v>317</v>
      </c>
      <c r="G106" s="5" t="s">
        <v>338</v>
      </c>
      <c r="H106" s="10">
        <v>16.813549402237012</v>
      </c>
      <c r="I106" s="10">
        <v>0</v>
      </c>
      <c r="J106" s="325">
        <v>16.813549402237012</v>
      </c>
      <c r="K106" s="10">
        <v>4.3501030596957344</v>
      </c>
      <c r="L106" s="10">
        <v>4.9388593684308146</v>
      </c>
      <c r="M106" s="325">
        <v>9.288962428126549</v>
      </c>
      <c r="N106" s="10">
        <v>4.1944085938398388</v>
      </c>
      <c r="O106" s="10">
        <v>21.360117170301567</v>
      </c>
      <c r="P106" s="10">
        <v>3.4516694762486719</v>
      </c>
      <c r="Q106" s="10">
        <v>2.2537372519068404</v>
      </c>
      <c r="R106" s="10">
        <v>10.403099294319178</v>
      </c>
      <c r="S106" s="10">
        <v>12.526985303098117</v>
      </c>
      <c r="T106" s="10">
        <v>18.459463934367097</v>
      </c>
      <c r="U106" s="10">
        <v>2.9284538463021383</v>
      </c>
      <c r="V106" s="325">
        <v>75.577934870383444</v>
      </c>
      <c r="W106" s="325">
        <v>101.68044670074701</v>
      </c>
      <c r="X106" s="10">
        <v>10.219080610304296</v>
      </c>
      <c r="Y106" s="320">
        <v>111.89952731105132</v>
      </c>
    </row>
    <row r="107" spans="1:25" x14ac:dyDescent="0.2">
      <c r="A107" s="7">
        <v>2015</v>
      </c>
      <c r="B107" s="5" t="s">
        <v>466</v>
      </c>
      <c r="C107" s="5" t="s">
        <v>314</v>
      </c>
      <c r="D107" s="5" t="s">
        <v>488</v>
      </c>
      <c r="E107" s="5" t="s">
        <v>339</v>
      </c>
      <c r="F107" s="5" t="s">
        <v>317</v>
      </c>
      <c r="G107" s="5" t="s">
        <v>340</v>
      </c>
      <c r="H107" s="10">
        <v>42.745688764289319</v>
      </c>
      <c r="I107" s="10">
        <v>3.6531812543614701</v>
      </c>
      <c r="J107" s="325">
        <v>46.39887001865079</v>
      </c>
      <c r="K107" s="10">
        <v>6.5230747817105188</v>
      </c>
      <c r="L107" s="10">
        <v>9.0932551522582798</v>
      </c>
      <c r="M107" s="325">
        <v>15.6163299339688</v>
      </c>
      <c r="N107" s="10">
        <v>4.3902320027577515</v>
      </c>
      <c r="O107" s="10">
        <v>28.156959745652021</v>
      </c>
      <c r="P107" s="10">
        <v>5.0596631872231397</v>
      </c>
      <c r="Q107" s="10">
        <v>4.3407072617569993</v>
      </c>
      <c r="R107" s="10">
        <v>15.841813649911659</v>
      </c>
      <c r="S107" s="10">
        <v>13.958403713804332</v>
      </c>
      <c r="T107" s="10">
        <v>24.434379197696746</v>
      </c>
      <c r="U107" s="10">
        <v>3.5382140187166993</v>
      </c>
      <c r="V107" s="325">
        <v>99.720372777519344</v>
      </c>
      <c r="W107" s="325">
        <v>161.73557273013893</v>
      </c>
      <c r="X107" s="10">
        <v>16.25473637152669</v>
      </c>
      <c r="Y107" s="320">
        <v>177.99030910166562</v>
      </c>
    </row>
    <row r="108" spans="1:25" x14ac:dyDescent="0.2">
      <c r="A108" s="7">
        <v>2015</v>
      </c>
      <c r="B108" s="5" t="s">
        <v>466</v>
      </c>
      <c r="C108" s="5" t="s">
        <v>314</v>
      </c>
      <c r="D108" s="5" t="s">
        <v>490</v>
      </c>
      <c r="E108" s="5" t="s">
        <v>341</v>
      </c>
      <c r="F108" s="5" t="s">
        <v>317</v>
      </c>
      <c r="G108" s="5" t="s">
        <v>342</v>
      </c>
      <c r="H108" s="10">
        <v>48.564741333930478</v>
      </c>
      <c r="I108" s="10">
        <v>0</v>
      </c>
      <c r="J108" s="325">
        <v>48.564741333930478</v>
      </c>
      <c r="K108" s="10">
        <v>2.4298063338636524</v>
      </c>
      <c r="L108" s="10">
        <v>11.736405531662593</v>
      </c>
      <c r="M108" s="325">
        <v>14.166211865526245</v>
      </c>
      <c r="N108" s="10">
        <v>15.196118573970068</v>
      </c>
      <c r="O108" s="10">
        <v>21.576980936669965</v>
      </c>
      <c r="P108" s="10">
        <v>4.5661129575420318</v>
      </c>
      <c r="Q108" s="10">
        <v>3.2211751943376612</v>
      </c>
      <c r="R108" s="10">
        <v>11.833340628244105</v>
      </c>
      <c r="S108" s="10">
        <v>11.611626164595679</v>
      </c>
      <c r="T108" s="10">
        <v>17.213981380699877</v>
      </c>
      <c r="U108" s="10">
        <v>2.8347364315174586</v>
      </c>
      <c r="V108" s="325">
        <v>88.054072267576842</v>
      </c>
      <c r="W108" s="325">
        <v>150.78502546703356</v>
      </c>
      <c r="X108" s="10">
        <v>15.154185293678113</v>
      </c>
      <c r="Y108" s="320">
        <v>165.93921076071169</v>
      </c>
    </row>
    <row r="109" spans="1:25" x14ac:dyDescent="0.2">
      <c r="A109" s="7">
        <v>2015</v>
      </c>
      <c r="B109" s="5" t="s">
        <v>466</v>
      </c>
      <c r="C109" s="5" t="s">
        <v>314</v>
      </c>
      <c r="D109" s="5" t="s">
        <v>490</v>
      </c>
      <c r="E109" s="5" t="s">
        <v>343</v>
      </c>
      <c r="F109" s="5" t="s">
        <v>317</v>
      </c>
      <c r="G109" s="5" t="s">
        <v>344</v>
      </c>
      <c r="H109" s="10">
        <v>10.10873843410182</v>
      </c>
      <c r="I109" s="10">
        <v>0.14310656420897061</v>
      </c>
      <c r="J109" s="325">
        <v>10.251844998310791</v>
      </c>
      <c r="K109" s="10">
        <v>10.096224155225496</v>
      </c>
      <c r="L109" s="10">
        <v>35.964953514063836</v>
      </c>
      <c r="M109" s="325">
        <v>46.061177669289336</v>
      </c>
      <c r="N109" s="10">
        <v>4.5071289521492321</v>
      </c>
      <c r="O109" s="10">
        <v>34.316353568326072</v>
      </c>
      <c r="P109" s="10">
        <v>2.5288939377685908</v>
      </c>
      <c r="Q109" s="10">
        <v>1.5693939212213144</v>
      </c>
      <c r="R109" s="10">
        <v>6.1966347380804905</v>
      </c>
      <c r="S109" s="10">
        <v>10.123763707667706</v>
      </c>
      <c r="T109" s="10">
        <v>11.004871523720734</v>
      </c>
      <c r="U109" s="10">
        <v>2.0117445050438945</v>
      </c>
      <c r="V109" s="325">
        <v>72.258784853978028</v>
      </c>
      <c r="W109" s="325">
        <v>128.57180752157817</v>
      </c>
      <c r="X109" s="10">
        <v>12.921714133651383</v>
      </c>
      <c r="Y109" s="320">
        <v>141.49352165522956</v>
      </c>
    </row>
    <row r="110" spans="1:25" x14ac:dyDescent="0.2">
      <c r="A110" s="7">
        <v>2015</v>
      </c>
      <c r="B110" s="5" t="s">
        <v>466</v>
      </c>
      <c r="C110" s="5" t="s">
        <v>314</v>
      </c>
      <c r="D110" s="5" t="s">
        <v>490</v>
      </c>
      <c r="E110" s="5" t="s">
        <v>345</v>
      </c>
      <c r="F110" s="5" t="s">
        <v>317</v>
      </c>
      <c r="G110" s="5" t="s">
        <v>346</v>
      </c>
      <c r="H110" s="10">
        <v>17.239606447898968</v>
      </c>
      <c r="I110" s="10">
        <v>0</v>
      </c>
      <c r="J110" s="325">
        <v>17.239606447898968</v>
      </c>
      <c r="K110" s="10">
        <v>49.41062452081173</v>
      </c>
      <c r="L110" s="10">
        <v>17.236074410263321</v>
      </c>
      <c r="M110" s="325">
        <v>66.646698931075051</v>
      </c>
      <c r="N110" s="10">
        <v>2.9925750472418202</v>
      </c>
      <c r="O110" s="10">
        <v>7.4806761797203079</v>
      </c>
      <c r="P110" s="10">
        <v>1.9966469359183414</v>
      </c>
      <c r="Q110" s="10">
        <v>1.6509490714863178</v>
      </c>
      <c r="R110" s="10">
        <v>6.5348308574675835</v>
      </c>
      <c r="S110" s="10">
        <v>11.462028425466992</v>
      </c>
      <c r="T110" s="10">
        <v>13.23626291412781</v>
      </c>
      <c r="U110" s="10">
        <v>2.1502125359671882</v>
      </c>
      <c r="V110" s="325">
        <v>47.504181967396363</v>
      </c>
      <c r="W110" s="325">
        <v>131.39048734637038</v>
      </c>
      <c r="X110" s="10">
        <v>13.204996881202911</v>
      </c>
      <c r="Y110" s="320">
        <v>144.59548422757328</v>
      </c>
    </row>
    <row r="111" spans="1:25" x14ac:dyDescent="0.2">
      <c r="A111" s="7">
        <v>2015</v>
      </c>
      <c r="B111" s="5" t="s">
        <v>466</v>
      </c>
      <c r="C111" s="5" t="s">
        <v>314</v>
      </c>
      <c r="D111" s="5" t="s">
        <v>490</v>
      </c>
      <c r="E111" s="5" t="s">
        <v>347</v>
      </c>
      <c r="F111" s="5" t="s">
        <v>317</v>
      </c>
      <c r="G111" s="5" t="s">
        <v>348</v>
      </c>
      <c r="H111" s="10">
        <v>16.437391364610068</v>
      </c>
      <c r="I111" s="10">
        <v>0</v>
      </c>
      <c r="J111" s="325">
        <v>16.437391364610068</v>
      </c>
      <c r="K111" s="10">
        <v>1.90574037531999</v>
      </c>
      <c r="L111" s="10">
        <v>6.7831517410108546</v>
      </c>
      <c r="M111" s="325">
        <v>8.6888921163308446</v>
      </c>
      <c r="N111" s="10">
        <v>4.4135879617953773</v>
      </c>
      <c r="O111" s="10">
        <v>8.0274814271366388</v>
      </c>
      <c r="P111" s="10">
        <v>3.3410685734207801</v>
      </c>
      <c r="Q111" s="10">
        <v>2.4033615255159333</v>
      </c>
      <c r="R111" s="10">
        <v>6.7058605348835369</v>
      </c>
      <c r="S111" s="10">
        <v>7.5654403008105309</v>
      </c>
      <c r="T111" s="10">
        <v>14.974011614007626</v>
      </c>
      <c r="U111" s="10">
        <v>1.716493581234833</v>
      </c>
      <c r="V111" s="325">
        <v>49.147305518805261</v>
      </c>
      <c r="W111" s="325">
        <v>74.273588999746167</v>
      </c>
      <c r="X111" s="10">
        <v>7.4646386579313599</v>
      </c>
      <c r="Y111" s="320">
        <v>81.738227657677527</v>
      </c>
    </row>
    <row r="112" spans="1:25" x14ac:dyDescent="0.2">
      <c r="A112" s="7">
        <v>2015</v>
      </c>
      <c r="B112" s="5" t="s">
        <v>466</v>
      </c>
      <c r="C112" s="5" t="s">
        <v>314</v>
      </c>
      <c r="D112" s="5" t="s">
        <v>489</v>
      </c>
      <c r="E112" s="5" t="s">
        <v>349</v>
      </c>
      <c r="F112" s="5" t="s">
        <v>317</v>
      </c>
      <c r="G112" s="5" t="s">
        <v>350</v>
      </c>
      <c r="H112" s="10">
        <v>57.931967752855385</v>
      </c>
      <c r="I112" s="10">
        <v>0.93681796070384138</v>
      </c>
      <c r="J112" s="325">
        <v>58.868785713559227</v>
      </c>
      <c r="K112" s="10">
        <v>4.0563075976059304</v>
      </c>
      <c r="L112" s="10">
        <v>11.075483315378825</v>
      </c>
      <c r="M112" s="325">
        <v>15.131790912984755</v>
      </c>
      <c r="N112" s="10">
        <v>5.6121309074592123</v>
      </c>
      <c r="O112" s="10">
        <v>30.987353454222578</v>
      </c>
      <c r="P112" s="10">
        <v>4.9439988748553469</v>
      </c>
      <c r="Q112" s="10">
        <v>4.2023279517649579</v>
      </c>
      <c r="R112" s="10">
        <v>10.474446525980277</v>
      </c>
      <c r="S112" s="10">
        <v>13.587912240787139</v>
      </c>
      <c r="T112" s="10">
        <v>23.457267112146791</v>
      </c>
      <c r="U112" s="10">
        <v>4.6612626250967004</v>
      </c>
      <c r="V112" s="325">
        <v>97.926699692312994</v>
      </c>
      <c r="W112" s="325">
        <v>171.92727631885697</v>
      </c>
      <c r="X112" s="10">
        <v>17.279022199315222</v>
      </c>
      <c r="Y112" s="320">
        <v>189.20629851817219</v>
      </c>
    </row>
    <row r="113" spans="1:25" x14ac:dyDescent="0.2">
      <c r="A113" s="7">
        <v>2015</v>
      </c>
      <c r="B113" s="5" t="s">
        <v>466</v>
      </c>
      <c r="C113" s="5" t="s">
        <v>314</v>
      </c>
      <c r="D113" s="5" t="s">
        <v>490</v>
      </c>
      <c r="E113" s="5" t="s">
        <v>351</v>
      </c>
      <c r="F113" s="5" t="s">
        <v>317</v>
      </c>
      <c r="G113" s="5" t="s">
        <v>352</v>
      </c>
      <c r="H113" s="10">
        <v>71.431587744205146</v>
      </c>
      <c r="I113" s="10">
        <v>0</v>
      </c>
      <c r="J113" s="325">
        <v>71.431587744205146</v>
      </c>
      <c r="K113" s="10">
        <v>11.711947332020516</v>
      </c>
      <c r="L113" s="10">
        <v>11.264619294964668</v>
      </c>
      <c r="M113" s="325">
        <v>22.976566626985182</v>
      </c>
      <c r="N113" s="10">
        <v>6.3707456436932688</v>
      </c>
      <c r="O113" s="10">
        <v>38.627675228297029</v>
      </c>
      <c r="P113" s="10">
        <v>9.1232585660876069</v>
      </c>
      <c r="Q113" s="10">
        <v>7.6077882916718425</v>
      </c>
      <c r="R113" s="10">
        <v>28.574402377409637</v>
      </c>
      <c r="S113" s="10">
        <v>21.616160621883509</v>
      </c>
      <c r="T113" s="10">
        <v>36.740643850117898</v>
      </c>
      <c r="U113" s="10">
        <v>7.9155456586765247</v>
      </c>
      <c r="V113" s="325">
        <v>156.57622023783733</v>
      </c>
      <c r="W113" s="325">
        <v>250.98437460902767</v>
      </c>
      <c r="X113" s="10">
        <v>25.224412748410248</v>
      </c>
      <c r="Y113" s="320">
        <v>276.20878735743793</v>
      </c>
    </row>
    <row r="114" spans="1:25" x14ac:dyDescent="0.2">
      <c r="A114" s="7">
        <v>2015</v>
      </c>
      <c r="B114" s="5" t="s">
        <v>466</v>
      </c>
      <c r="C114" s="5" t="s">
        <v>314</v>
      </c>
      <c r="D114" s="5" t="s">
        <v>490</v>
      </c>
      <c r="E114" s="5" t="s">
        <v>353</v>
      </c>
      <c r="F114" s="5" t="s">
        <v>317</v>
      </c>
      <c r="G114" s="5" t="s">
        <v>354</v>
      </c>
      <c r="H114" s="10">
        <v>53.368432197889092</v>
      </c>
      <c r="I114" s="10">
        <v>1.0081965059346132</v>
      </c>
      <c r="J114" s="325">
        <v>54.376628703823705</v>
      </c>
      <c r="K114" s="10">
        <v>4.7607614411699481</v>
      </c>
      <c r="L114" s="10">
        <v>11.90260174738798</v>
      </c>
      <c r="M114" s="325">
        <v>16.663363188557927</v>
      </c>
      <c r="N114" s="10">
        <v>6.1678398992847496</v>
      </c>
      <c r="O114" s="10">
        <v>22.602502617295642</v>
      </c>
      <c r="P114" s="10">
        <v>6.1146349636651234</v>
      </c>
      <c r="Q114" s="10">
        <v>4.9453568781174875</v>
      </c>
      <c r="R114" s="10">
        <v>15.246716363137516</v>
      </c>
      <c r="S114" s="10">
        <v>15.483560293078328</v>
      </c>
      <c r="T114" s="10">
        <v>29.084613220540255</v>
      </c>
      <c r="U114" s="10">
        <v>4.6939249225457127</v>
      </c>
      <c r="V114" s="325">
        <v>104.33914915766483</v>
      </c>
      <c r="W114" s="325">
        <v>175.37914105004646</v>
      </c>
      <c r="X114" s="10">
        <v>17.625941249071985</v>
      </c>
      <c r="Y114" s="320">
        <v>193.00508229911844</v>
      </c>
    </row>
    <row r="115" spans="1:25" x14ac:dyDescent="0.2">
      <c r="A115" s="7">
        <v>2015</v>
      </c>
      <c r="B115" s="5" t="s">
        <v>466</v>
      </c>
      <c r="C115" s="5" t="s">
        <v>314</v>
      </c>
      <c r="D115" s="5" t="s">
        <v>490</v>
      </c>
      <c r="E115" s="5" t="s">
        <v>355</v>
      </c>
      <c r="F115" s="5" t="s">
        <v>317</v>
      </c>
      <c r="G115" s="5" t="s">
        <v>356</v>
      </c>
      <c r="H115" s="10">
        <v>29.280536336305431</v>
      </c>
      <c r="I115" s="10">
        <v>0</v>
      </c>
      <c r="J115" s="325">
        <v>29.280536336305431</v>
      </c>
      <c r="K115" s="10">
        <v>1.4673316240949406</v>
      </c>
      <c r="L115" s="10">
        <v>5.7797122110682375</v>
      </c>
      <c r="M115" s="325">
        <v>7.2470438351631783</v>
      </c>
      <c r="N115" s="10">
        <v>2.3634692251793119</v>
      </c>
      <c r="O115" s="10">
        <v>12.661602159359598</v>
      </c>
      <c r="P115" s="10">
        <v>2.013529526431733</v>
      </c>
      <c r="Q115" s="10">
        <v>1.8804745926529913</v>
      </c>
      <c r="R115" s="10">
        <v>5.4261535997968275</v>
      </c>
      <c r="S115" s="10">
        <v>7.30919765516495</v>
      </c>
      <c r="T115" s="10">
        <v>12.639543728121536</v>
      </c>
      <c r="U115" s="10">
        <v>1.7213036178747934</v>
      </c>
      <c r="V115" s="325">
        <v>46.015274104581742</v>
      </c>
      <c r="W115" s="325">
        <v>82.542854276050349</v>
      </c>
      <c r="X115" s="10">
        <v>8.2957157349695123</v>
      </c>
      <c r="Y115" s="320">
        <v>90.838570011019868</v>
      </c>
    </row>
    <row r="116" spans="1:25" x14ac:dyDescent="0.2">
      <c r="A116" s="7">
        <v>2015</v>
      </c>
      <c r="B116" s="5" t="s">
        <v>466</v>
      </c>
      <c r="C116" s="5" t="s">
        <v>314</v>
      </c>
      <c r="D116" s="5" t="s">
        <v>487</v>
      </c>
      <c r="E116" s="5" t="s">
        <v>357</v>
      </c>
      <c r="F116" s="5" t="s">
        <v>317</v>
      </c>
      <c r="G116" s="5" t="s">
        <v>358</v>
      </c>
      <c r="H116" s="10">
        <v>19.64583776906996</v>
      </c>
      <c r="I116" s="10">
        <v>1.8840964628802477</v>
      </c>
      <c r="J116" s="325">
        <v>21.529934231950207</v>
      </c>
      <c r="K116" s="10">
        <v>3.3931085051041849</v>
      </c>
      <c r="L116" s="10">
        <v>4.8667885795776762</v>
      </c>
      <c r="M116" s="325">
        <v>8.2598970846818602</v>
      </c>
      <c r="N116" s="10">
        <v>3.7817682220587443</v>
      </c>
      <c r="O116" s="10">
        <v>19.948605546576676</v>
      </c>
      <c r="P116" s="10">
        <v>2.9618274034018452</v>
      </c>
      <c r="Q116" s="10">
        <v>2.0064142649136563</v>
      </c>
      <c r="R116" s="10">
        <v>8.1139368230658064</v>
      </c>
      <c r="S116" s="10">
        <v>9.377925201665402</v>
      </c>
      <c r="T116" s="10">
        <v>16.267780893552395</v>
      </c>
      <c r="U116" s="10">
        <v>2.9922873207303571</v>
      </c>
      <c r="V116" s="325">
        <v>65.450545675964889</v>
      </c>
      <c r="W116" s="325">
        <v>95.24037699259695</v>
      </c>
      <c r="X116" s="10">
        <v>9.571841208580123</v>
      </c>
      <c r="Y116" s="320">
        <v>104.81221820117707</v>
      </c>
    </row>
    <row r="117" spans="1:25" x14ac:dyDescent="0.2">
      <c r="A117" s="7">
        <v>2015</v>
      </c>
      <c r="B117" s="5" t="s">
        <v>466</v>
      </c>
      <c r="C117" s="5" t="s">
        <v>314</v>
      </c>
      <c r="D117" s="5" t="s">
        <v>489</v>
      </c>
      <c r="E117" s="5" t="s">
        <v>359</v>
      </c>
      <c r="F117" s="5" t="s">
        <v>317</v>
      </c>
      <c r="G117" s="5" t="s">
        <v>360</v>
      </c>
      <c r="H117" s="10">
        <v>122.89182575437724</v>
      </c>
      <c r="I117" s="10">
        <v>6.4112419056136929</v>
      </c>
      <c r="J117" s="325">
        <v>129.30306765999092</v>
      </c>
      <c r="K117" s="10">
        <v>23.259596478828815</v>
      </c>
      <c r="L117" s="10">
        <v>13.90022373289278</v>
      </c>
      <c r="M117" s="325">
        <v>37.159820211721595</v>
      </c>
      <c r="N117" s="10">
        <v>9.5561756384986634</v>
      </c>
      <c r="O117" s="10">
        <v>39.330782476845897</v>
      </c>
      <c r="P117" s="10">
        <v>9.8268745900706129</v>
      </c>
      <c r="Q117" s="10">
        <v>9.3889766836582798</v>
      </c>
      <c r="R117" s="10">
        <v>20.37656169992821</v>
      </c>
      <c r="S117" s="10">
        <v>28.374890669700246</v>
      </c>
      <c r="T117" s="10">
        <v>53.308794502217047</v>
      </c>
      <c r="U117" s="10">
        <v>8.3861604794003206</v>
      </c>
      <c r="V117" s="325">
        <v>178.54921674031928</v>
      </c>
      <c r="W117" s="325">
        <v>345.01210461203181</v>
      </c>
      <c r="X117" s="10">
        <v>34.67438059992908</v>
      </c>
      <c r="Y117" s="320">
        <v>379.68648521196087</v>
      </c>
    </row>
    <row r="118" spans="1:25" x14ac:dyDescent="0.2">
      <c r="A118" s="7">
        <v>2015</v>
      </c>
      <c r="B118" s="5" t="s">
        <v>466</v>
      </c>
      <c r="C118" s="5" t="s">
        <v>314</v>
      </c>
      <c r="D118" s="5" t="s">
        <v>490</v>
      </c>
      <c r="E118" s="5" t="s">
        <v>361</v>
      </c>
      <c r="F118" s="5" t="s">
        <v>317</v>
      </c>
      <c r="G118" s="5" t="s">
        <v>362</v>
      </c>
      <c r="H118" s="10">
        <v>22.738690530585608</v>
      </c>
      <c r="I118" s="10">
        <v>0.93882798639562648</v>
      </c>
      <c r="J118" s="325">
        <v>23.677518516981234</v>
      </c>
      <c r="K118" s="10">
        <v>1.7251489462518048</v>
      </c>
      <c r="L118" s="10">
        <v>4.7431829837973511</v>
      </c>
      <c r="M118" s="325">
        <v>6.468331930049156</v>
      </c>
      <c r="N118" s="10">
        <v>1.9086826979890685</v>
      </c>
      <c r="O118" s="10">
        <v>8.9520858524047693</v>
      </c>
      <c r="P118" s="10">
        <v>2.305848547324052</v>
      </c>
      <c r="Q118" s="10">
        <v>1.8179995998774652</v>
      </c>
      <c r="R118" s="10">
        <v>7.4394067702017992</v>
      </c>
      <c r="S118" s="10">
        <v>6.701258297555861</v>
      </c>
      <c r="T118" s="10">
        <v>11.985338394830183</v>
      </c>
      <c r="U118" s="10">
        <v>2.2915692546176896</v>
      </c>
      <c r="V118" s="325">
        <v>43.402189414800894</v>
      </c>
      <c r="W118" s="325">
        <v>73.548039861831285</v>
      </c>
      <c r="X118" s="10">
        <v>7.3917195729588991</v>
      </c>
      <c r="Y118" s="320">
        <v>80.93975943479019</v>
      </c>
    </row>
    <row r="119" spans="1:25" x14ac:dyDescent="0.2">
      <c r="A119" s="7">
        <v>2015</v>
      </c>
      <c r="B119" s="5" t="s">
        <v>466</v>
      </c>
      <c r="C119" s="5" t="s">
        <v>314</v>
      </c>
      <c r="D119" s="5" t="s">
        <v>487</v>
      </c>
      <c r="E119" s="5" t="s">
        <v>363</v>
      </c>
      <c r="F119" s="5" t="s">
        <v>317</v>
      </c>
      <c r="G119" s="5" t="s">
        <v>364</v>
      </c>
      <c r="H119" s="10">
        <v>31.019704019021482</v>
      </c>
      <c r="I119" s="10">
        <v>2.0320069304688317</v>
      </c>
      <c r="J119" s="325">
        <v>33.051710949490314</v>
      </c>
      <c r="K119" s="10">
        <v>6.9704251869991092</v>
      </c>
      <c r="L119" s="10">
        <v>6.7538692736800909</v>
      </c>
      <c r="M119" s="325">
        <v>13.7242944606792</v>
      </c>
      <c r="N119" s="10">
        <v>7.1854447241043102</v>
      </c>
      <c r="O119" s="10">
        <v>24.009352407199152</v>
      </c>
      <c r="P119" s="10">
        <v>4.9291047081473529</v>
      </c>
      <c r="Q119" s="10">
        <v>3.4419837567199751</v>
      </c>
      <c r="R119" s="10">
        <v>14.823510318206248</v>
      </c>
      <c r="S119" s="10">
        <v>14.339274005139867</v>
      </c>
      <c r="T119" s="10">
        <v>22.784137015307586</v>
      </c>
      <c r="U119" s="10">
        <v>3.9604227754613284</v>
      </c>
      <c r="V119" s="325">
        <v>95.473229710285807</v>
      </c>
      <c r="W119" s="325">
        <v>142.24923512045532</v>
      </c>
      <c r="X119" s="10">
        <v>14.296321934113958</v>
      </c>
      <c r="Y119" s="320">
        <v>156.54555705456929</v>
      </c>
    </row>
    <row r="120" spans="1:25" x14ac:dyDescent="0.2">
      <c r="A120" s="7">
        <v>2015</v>
      </c>
      <c r="B120" s="5" t="s">
        <v>466</v>
      </c>
      <c r="C120" s="5" t="s">
        <v>365</v>
      </c>
      <c r="D120" s="5" t="s">
        <v>491</v>
      </c>
      <c r="E120" s="5" t="s">
        <v>367</v>
      </c>
      <c r="F120" s="5" t="s">
        <v>368</v>
      </c>
      <c r="G120" s="5" t="s">
        <v>370</v>
      </c>
      <c r="H120" s="10">
        <v>452.96618680063096</v>
      </c>
      <c r="I120" s="10">
        <v>6.1750406618027114</v>
      </c>
      <c r="J120" s="325">
        <v>459.14122746243368</v>
      </c>
      <c r="K120" s="10">
        <v>61.28130610734825</v>
      </c>
      <c r="L120" s="10">
        <v>101.29109585298565</v>
      </c>
      <c r="M120" s="325">
        <v>162.57240196033391</v>
      </c>
      <c r="N120" s="10">
        <v>69.137189415059709</v>
      </c>
      <c r="O120" s="10">
        <v>467.98748775474252</v>
      </c>
      <c r="P120" s="10">
        <v>50.846214778186351</v>
      </c>
      <c r="Q120" s="10">
        <v>54.039416448457835</v>
      </c>
      <c r="R120" s="10">
        <v>110.8012951684677</v>
      </c>
      <c r="S120" s="10">
        <v>176.43456538124605</v>
      </c>
      <c r="T120" s="10">
        <v>263.68761272435813</v>
      </c>
      <c r="U120" s="10">
        <v>31.733845239103601</v>
      </c>
      <c r="V120" s="325">
        <v>1224.667626909622</v>
      </c>
      <c r="W120" s="325">
        <v>1846.3812563323895</v>
      </c>
      <c r="X120" s="10">
        <v>185.56487021716617</v>
      </c>
      <c r="Y120" s="320">
        <v>2031.9461265495556</v>
      </c>
    </row>
    <row r="121" spans="1:25" x14ac:dyDescent="0.2">
      <c r="A121" s="7">
        <v>2015</v>
      </c>
      <c r="B121" s="5" t="s">
        <v>466</v>
      </c>
      <c r="C121" s="5" t="s">
        <v>365</v>
      </c>
      <c r="D121" s="5" t="s">
        <v>492</v>
      </c>
      <c r="E121" s="5" t="s">
        <v>371</v>
      </c>
      <c r="F121" s="5" t="s">
        <v>368</v>
      </c>
      <c r="G121" s="5" t="s">
        <v>372</v>
      </c>
      <c r="H121" s="10">
        <v>48.078070490924041</v>
      </c>
      <c r="I121" s="10">
        <v>0</v>
      </c>
      <c r="J121" s="325">
        <v>48.078070490924041</v>
      </c>
      <c r="K121" s="10">
        <v>1.7744881823780827</v>
      </c>
      <c r="L121" s="10">
        <v>20.09347838678989</v>
      </c>
      <c r="M121" s="325">
        <v>21.867966569167972</v>
      </c>
      <c r="N121" s="10">
        <v>9.2885458902003144</v>
      </c>
      <c r="O121" s="10">
        <v>26.573732484578695</v>
      </c>
      <c r="P121" s="10">
        <v>9.7074930915457944</v>
      </c>
      <c r="Q121" s="10">
        <v>8.1345197497825747</v>
      </c>
      <c r="R121" s="10">
        <v>15.968271679307215</v>
      </c>
      <c r="S121" s="10">
        <v>26.239927835945746</v>
      </c>
      <c r="T121" s="10">
        <v>70.097895107232475</v>
      </c>
      <c r="U121" s="10">
        <v>8.9236999195161708</v>
      </c>
      <c r="V121" s="325">
        <v>174.93408575810898</v>
      </c>
      <c r="W121" s="325">
        <v>244.88012281820099</v>
      </c>
      <c r="X121" s="10">
        <v>24.610923694082992</v>
      </c>
      <c r="Y121" s="320">
        <v>269.49104651228396</v>
      </c>
    </row>
    <row r="122" spans="1:25" x14ac:dyDescent="0.2">
      <c r="A122" s="7">
        <v>2015</v>
      </c>
      <c r="B122" s="5" t="s">
        <v>466</v>
      </c>
      <c r="C122" s="5" t="s">
        <v>365</v>
      </c>
      <c r="D122" s="5" t="s">
        <v>491</v>
      </c>
      <c r="E122" s="5" t="s">
        <v>373</v>
      </c>
      <c r="F122" s="5" t="s">
        <v>368</v>
      </c>
      <c r="G122" s="5" t="s">
        <v>374</v>
      </c>
      <c r="H122" s="10">
        <v>608.88118863074328</v>
      </c>
      <c r="I122" s="10">
        <v>7.7690855710764026</v>
      </c>
      <c r="J122" s="325">
        <v>616.65027420181968</v>
      </c>
      <c r="K122" s="10">
        <v>31.103673191166692</v>
      </c>
      <c r="L122" s="10">
        <v>56.987469766861985</v>
      </c>
      <c r="M122" s="325">
        <v>88.091142958028684</v>
      </c>
      <c r="N122" s="10">
        <v>21.851771593580899</v>
      </c>
      <c r="O122" s="10">
        <v>117.93155506539276</v>
      </c>
      <c r="P122" s="10">
        <v>14.899755378474516</v>
      </c>
      <c r="Q122" s="10">
        <v>9.7785032916643075</v>
      </c>
      <c r="R122" s="10">
        <v>23.227715664535765</v>
      </c>
      <c r="S122" s="10">
        <v>51.791215486660761</v>
      </c>
      <c r="T122" s="10">
        <v>65.238237535757406</v>
      </c>
      <c r="U122" s="10">
        <v>10.263613271716698</v>
      </c>
      <c r="V122" s="325">
        <v>314.98236728778312</v>
      </c>
      <c r="W122" s="325">
        <v>1019.7237844476315</v>
      </c>
      <c r="X122" s="10">
        <v>102.4842031199945</v>
      </c>
      <c r="Y122" s="320">
        <v>1122.2079875676259</v>
      </c>
    </row>
    <row r="123" spans="1:25" x14ac:dyDescent="0.2">
      <c r="A123" s="7">
        <v>2015</v>
      </c>
      <c r="B123" s="5" t="s">
        <v>466</v>
      </c>
      <c r="C123" s="5" t="s">
        <v>365</v>
      </c>
      <c r="D123" s="5" t="s">
        <v>491</v>
      </c>
      <c r="E123" s="5" t="s">
        <v>375</v>
      </c>
      <c r="F123" s="5" t="s">
        <v>368</v>
      </c>
      <c r="G123" s="5" t="s">
        <v>376</v>
      </c>
      <c r="H123" s="10">
        <v>261.23202851163239</v>
      </c>
      <c r="I123" s="10">
        <v>0</v>
      </c>
      <c r="J123" s="325">
        <v>261.23202851163239</v>
      </c>
      <c r="K123" s="10">
        <v>27.378711919258876</v>
      </c>
      <c r="L123" s="10">
        <v>38.732347089517347</v>
      </c>
      <c r="M123" s="325">
        <v>66.111059008776223</v>
      </c>
      <c r="N123" s="10">
        <v>20.979396281518511</v>
      </c>
      <c r="O123" s="10">
        <v>142.99655934049682</v>
      </c>
      <c r="P123" s="10">
        <v>21.108318931067164</v>
      </c>
      <c r="Q123" s="10">
        <v>18.825496948549752</v>
      </c>
      <c r="R123" s="10">
        <v>34.182624190433643</v>
      </c>
      <c r="S123" s="10">
        <v>58.486752175352123</v>
      </c>
      <c r="T123" s="10">
        <v>90.602826235363423</v>
      </c>
      <c r="U123" s="10">
        <v>12.884513460785788</v>
      </c>
      <c r="V123" s="325">
        <v>400.06648756356725</v>
      </c>
      <c r="W123" s="325">
        <v>727.40957508397582</v>
      </c>
      <c r="X123" s="10">
        <v>73.106062429167352</v>
      </c>
      <c r="Y123" s="320">
        <v>800.51563751314313</v>
      </c>
    </row>
    <row r="124" spans="1:25" x14ac:dyDescent="0.2">
      <c r="A124" s="7">
        <v>2015</v>
      </c>
      <c r="B124" s="5" t="s">
        <v>466</v>
      </c>
      <c r="C124" s="5" t="s">
        <v>365</v>
      </c>
      <c r="D124" s="5" t="s">
        <v>493</v>
      </c>
      <c r="E124" s="5" t="s">
        <v>377</v>
      </c>
      <c r="F124" s="5" t="s">
        <v>368</v>
      </c>
      <c r="G124" s="5" t="s">
        <v>378</v>
      </c>
      <c r="H124" s="10">
        <v>3.2652510160656298</v>
      </c>
      <c r="I124" s="10">
        <v>0</v>
      </c>
      <c r="J124" s="325">
        <v>3.2652510160656298</v>
      </c>
      <c r="K124" s="10">
        <v>0.40013157587383086</v>
      </c>
      <c r="L124" s="10">
        <v>2.4353877682445511</v>
      </c>
      <c r="M124" s="325">
        <v>2.8355193441183819</v>
      </c>
      <c r="N124" s="10">
        <v>1.4732946209120448</v>
      </c>
      <c r="O124" s="10">
        <v>1.7919702359194973</v>
      </c>
      <c r="P124" s="10">
        <v>1.8668338574181942</v>
      </c>
      <c r="Q124" s="10">
        <v>0.8494255375849461</v>
      </c>
      <c r="R124" s="10">
        <v>2.7694937035270732</v>
      </c>
      <c r="S124" s="10">
        <v>4.7730962636303982</v>
      </c>
      <c r="T124" s="10">
        <v>13.310468393789172</v>
      </c>
      <c r="U124" s="10">
        <v>0.95613410607570515</v>
      </c>
      <c r="V124" s="325">
        <v>27.790716718857031</v>
      </c>
      <c r="W124" s="325">
        <v>33.891487079041042</v>
      </c>
      <c r="X124" s="10">
        <v>3.4061596865921211</v>
      </c>
      <c r="Y124" s="320">
        <v>37.297646765633161</v>
      </c>
    </row>
    <row r="125" spans="1:25" x14ac:dyDescent="0.2">
      <c r="A125" s="7">
        <v>2015</v>
      </c>
      <c r="B125" s="5" t="s">
        <v>466</v>
      </c>
      <c r="C125" s="5" t="s">
        <v>365</v>
      </c>
      <c r="D125" s="5" t="s">
        <v>491</v>
      </c>
      <c r="E125" s="5" t="s">
        <v>379</v>
      </c>
      <c r="F125" s="5" t="s">
        <v>368</v>
      </c>
      <c r="G125" s="5" t="s">
        <v>380</v>
      </c>
      <c r="H125" s="10">
        <v>26.830779073021851</v>
      </c>
      <c r="I125" s="10">
        <v>1.6230646158919164</v>
      </c>
      <c r="J125" s="325">
        <v>28.453843688913768</v>
      </c>
      <c r="K125" s="10">
        <v>1.5716412630415615</v>
      </c>
      <c r="L125" s="10">
        <v>8.913106137744963</v>
      </c>
      <c r="M125" s="325">
        <v>10.484747400786524</v>
      </c>
      <c r="N125" s="10">
        <v>6.188095382026467</v>
      </c>
      <c r="O125" s="10">
        <v>16.516936098498338</v>
      </c>
      <c r="P125" s="10">
        <v>3.927815358261725</v>
      </c>
      <c r="Q125" s="10">
        <v>3.2729288370333434</v>
      </c>
      <c r="R125" s="10">
        <v>7.4264699792772149</v>
      </c>
      <c r="S125" s="10">
        <v>11.766547597401253</v>
      </c>
      <c r="T125" s="10">
        <v>32.487312196220955</v>
      </c>
      <c r="U125" s="10">
        <v>2.3076520714682078</v>
      </c>
      <c r="V125" s="325">
        <v>83.893757520187506</v>
      </c>
      <c r="W125" s="325">
        <v>122.83234860988779</v>
      </c>
      <c r="X125" s="10">
        <v>12.344887465760884</v>
      </c>
      <c r="Y125" s="320">
        <v>135.17723607564866</v>
      </c>
    </row>
    <row r="126" spans="1:25" x14ac:dyDescent="0.2">
      <c r="A126" s="7">
        <v>2015</v>
      </c>
      <c r="B126" s="5" t="s">
        <v>466</v>
      </c>
      <c r="C126" s="5" t="s">
        <v>365</v>
      </c>
      <c r="D126" s="5" t="s">
        <v>492</v>
      </c>
      <c r="E126" s="5" t="s">
        <v>381</v>
      </c>
      <c r="F126" s="5" t="s">
        <v>368</v>
      </c>
      <c r="G126" s="5" t="s">
        <v>382</v>
      </c>
      <c r="H126" s="10">
        <v>66.522350855586026</v>
      </c>
      <c r="I126" s="10">
        <v>0</v>
      </c>
      <c r="J126" s="325">
        <v>66.522350855586026</v>
      </c>
      <c r="K126" s="10">
        <v>2.7055359311491558</v>
      </c>
      <c r="L126" s="10">
        <v>31.123443700712798</v>
      </c>
      <c r="M126" s="325">
        <v>33.828979631861955</v>
      </c>
      <c r="N126" s="10">
        <v>23.608474156415575</v>
      </c>
      <c r="O126" s="10">
        <v>71.792316118159718</v>
      </c>
      <c r="P126" s="10">
        <v>11.56681466883443</v>
      </c>
      <c r="Q126" s="10">
        <v>9.9418351057498775</v>
      </c>
      <c r="R126" s="10">
        <v>20.737564482819039</v>
      </c>
      <c r="S126" s="10">
        <v>39.024176021593121</v>
      </c>
      <c r="T126" s="10">
        <v>89.889689620809435</v>
      </c>
      <c r="U126" s="10">
        <v>9.4623094432507902</v>
      </c>
      <c r="V126" s="325">
        <v>276.02317961763197</v>
      </c>
      <c r="W126" s="325">
        <v>376.37451010507993</v>
      </c>
      <c r="X126" s="10">
        <v>37.826362719894504</v>
      </c>
      <c r="Y126" s="320">
        <v>414.20087282497445</v>
      </c>
    </row>
    <row r="127" spans="1:25" x14ac:dyDescent="0.2">
      <c r="A127" s="7">
        <v>2015</v>
      </c>
      <c r="B127" s="5" t="s">
        <v>466</v>
      </c>
      <c r="C127" s="5" t="s">
        <v>365</v>
      </c>
      <c r="D127" s="5" t="s">
        <v>492</v>
      </c>
      <c r="E127" s="5" t="s">
        <v>383</v>
      </c>
      <c r="F127" s="5" t="s">
        <v>368</v>
      </c>
      <c r="G127" s="5" t="s">
        <v>384</v>
      </c>
      <c r="H127" s="10">
        <v>45.901653640910389</v>
      </c>
      <c r="I127" s="10">
        <v>0</v>
      </c>
      <c r="J127" s="325">
        <v>45.901653640910389</v>
      </c>
      <c r="K127" s="10">
        <v>1.8817531409637613</v>
      </c>
      <c r="L127" s="10">
        <v>12.495310669344748</v>
      </c>
      <c r="M127" s="325">
        <v>14.37706381030851</v>
      </c>
      <c r="N127" s="10">
        <v>8.9530824033113721</v>
      </c>
      <c r="O127" s="10">
        <v>21.857623623424001</v>
      </c>
      <c r="P127" s="10">
        <v>5.6917625159379996</v>
      </c>
      <c r="Q127" s="10">
        <v>4.5858144165159747</v>
      </c>
      <c r="R127" s="10">
        <v>5.5436980267147211</v>
      </c>
      <c r="S127" s="10">
        <v>15.975056362149706</v>
      </c>
      <c r="T127" s="10">
        <v>40.276235123065376</v>
      </c>
      <c r="U127" s="10">
        <v>3.3912667189264498</v>
      </c>
      <c r="V127" s="325">
        <v>106.2745391900456</v>
      </c>
      <c r="W127" s="325">
        <v>166.55325664126451</v>
      </c>
      <c r="X127" s="10">
        <v>16.738922877817661</v>
      </c>
      <c r="Y127" s="320">
        <v>183.29217951908217</v>
      </c>
    </row>
    <row r="128" spans="1:25" x14ac:dyDescent="0.2">
      <c r="A128" s="7">
        <v>2015</v>
      </c>
      <c r="B128" s="5" t="s">
        <v>466</v>
      </c>
      <c r="C128" s="5" t="s">
        <v>365</v>
      </c>
      <c r="D128" s="5" t="s">
        <v>492</v>
      </c>
      <c r="E128" s="5" t="s">
        <v>385</v>
      </c>
      <c r="F128" s="5" t="s">
        <v>368</v>
      </c>
      <c r="G128" s="5" t="s">
        <v>386</v>
      </c>
      <c r="H128" s="10">
        <v>50.813877104031619</v>
      </c>
      <c r="I128" s="10">
        <v>0</v>
      </c>
      <c r="J128" s="325">
        <v>50.813877104031619</v>
      </c>
      <c r="K128" s="10">
        <v>2.5645009503157605</v>
      </c>
      <c r="L128" s="10">
        <v>18.587347274229181</v>
      </c>
      <c r="M128" s="325">
        <v>21.151848224544942</v>
      </c>
      <c r="N128" s="10">
        <v>4.9287617401488246</v>
      </c>
      <c r="O128" s="10">
        <v>37.29975667716019</v>
      </c>
      <c r="P128" s="10">
        <v>10.183721610912208</v>
      </c>
      <c r="Q128" s="10">
        <v>8.2502739964024716</v>
      </c>
      <c r="R128" s="10">
        <v>13.545021909216722</v>
      </c>
      <c r="S128" s="10">
        <v>27.719142482193092</v>
      </c>
      <c r="T128" s="10">
        <v>67.023172576871914</v>
      </c>
      <c r="U128" s="10">
        <v>5.737240190639425</v>
      </c>
      <c r="V128" s="325">
        <v>174.68709118354482</v>
      </c>
      <c r="W128" s="325">
        <v>246.65281651212138</v>
      </c>
      <c r="X128" s="10">
        <v>24.789082822426384</v>
      </c>
      <c r="Y128" s="320">
        <v>271.44189933454777</v>
      </c>
    </row>
    <row r="129" spans="1:25" x14ac:dyDescent="0.2">
      <c r="A129" s="7">
        <v>2015</v>
      </c>
      <c r="B129" s="5" t="s">
        <v>466</v>
      </c>
      <c r="C129" s="5" t="s">
        <v>365</v>
      </c>
      <c r="D129" s="5" t="s">
        <v>491</v>
      </c>
      <c r="E129" s="5" t="s">
        <v>387</v>
      </c>
      <c r="F129" s="5" t="s">
        <v>368</v>
      </c>
      <c r="G129" s="5" t="s">
        <v>494</v>
      </c>
      <c r="H129" s="10">
        <v>712.77242780991617</v>
      </c>
      <c r="I129" s="10">
        <v>11.417109670587024</v>
      </c>
      <c r="J129" s="325">
        <v>724.18953748050319</v>
      </c>
      <c r="K129" s="10">
        <v>33.415352278355577</v>
      </c>
      <c r="L129" s="10">
        <v>133.32907899769017</v>
      </c>
      <c r="M129" s="325">
        <v>166.74443127604576</v>
      </c>
      <c r="N129" s="10">
        <v>62.600131112900463</v>
      </c>
      <c r="O129" s="10">
        <v>211.93542340860677</v>
      </c>
      <c r="P129" s="10">
        <v>47.70391304040502</v>
      </c>
      <c r="Q129" s="10">
        <v>37.915036645971114</v>
      </c>
      <c r="R129" s="10">
        <v>70.991694467471689</v>
      </c>
      <c r="S129" s="10">
        <v>165.87760657810682</v>
      </c>
      <c r="T129" s="10">
        <v>382.32521747693806</v>
      </c>
      <c r="U129" s="10">
        <v>30.577013036912113</v>
      </c>
      <c r="V129" s="325">
        <v>1009.9260357673121</v>
      </c>
      <c r="W129" s="325">
        <v>1900.8600045238609</v>
      </c>
      <c r="X129" s="10">
        <v>191.04008926951082</v>
      </c>
      <c r="Y129" s="320">
        <v>2091.9000937933715</v>
      </c>
    </row>
    <row r="130" spans="1:25" ht="16" thickBot="1" x14ac:dyDescent="0.25">
      <c r="A130" s="11">
        <v>2015</v>
      </c>
      <c r="B130" s="6" t="s">
        <v>466</v>
      </c>
      <c r="C130" s="336" t="s">
        <v>365</v>
      </c>
      <c r="D130" s="336" t="s">
        <v>493</v>
      </c>
      <c r="E130" s="6" t="s">
        <v>389</v>
      </c>
      <c r="F130" s="336" t="s">
        <v>368</v>
      </c>
      <c r="G130" s="6" t="s">
        <v>390</v>
      </c>
      <c r="H130" s="12">
        <v>8.4137292794593979</v>
      </c>
      <c r="I130" s="12">
        <v>0</v>
      </c>
      <c r="J130" s="337">
        <v>8.4137292794593979</v>
      </c>
      <c r="K130" s="12">
        <v>0</v>
      </c>
      <c r="L130" s="12">
        <v>4.0698619992205574</v>
      </c>
      <c r="M130" s="337">
        <v>4.0698619992205574</v>
      </c>
      <c r="N130" s="12">
        <v>2.6746374883669026</v>
      </c>
      <c r="O130" s="12">
        <v>3.6059318967620797</v>
      </c>
      <c r="P130" s="12">
        <v>2.3810014633233645</v>
      </c>
      <c r="Q130" s="12">
        <v>1.6034622898553526</v>
      </c>
      <c r="R130" s="12">
        <v>4.1162301500195326</v>
      </c>
      <c r="S130" s="12">
        <v>4.7836412345223227</v>
      </c>
      <c r="T130" s="12">
        <v>15.168150013901757</v>
      </c>
      <c r="U130" s="12">
        <v>1.8282966524629378</v>
      </c>
      <c r="V130" s="337">
        <v>36.161351189214251</v>
      </c>
      <c r="W130" s="337">
        <v>48.644942467894204</v>
      </c>
      <c r="X130" s="338">
        <v>4.8889103509355278</v>
      </c>
      <c r="Y130" s="321">
        <v>53.533852818829729</v>
      </c>
    </row>
    <row r="131" spans="1:25" ht="16" thickBot="1" x14ac:dyDescent="0.25">
      <c r="A131" s="339">
        <v>2016</v>
      </c>
      <c r="B131" s="340" t="s">
        <v>466</v>
      </c>
      <c r="C131" s="340"/>
      <c r="D131" s="340"/>
      <c r="E131" s="340"/>
      <c r="F131" s="340"/>
      <c r="G131" s="340" t="s">
        <v>467</v>
      </c>
      <c r="H131" s="341">
        <v>6362.5032299392196</v>
      </c>
      <c r="I131" s="341">
        <v>2593.121221297406</v>
      </c>
      <c r="J131" s="341">
        <v>8955.6244512366247</v>
      </c>
      <c r="K131" s="341">
        <v>20435.038701652105</v>
      </c>
      <c r="L131" s="341">
        <v>9041.3009283487681</v>
      </c>
      <c r="M131" s="341">
        <v>29476.339630000875</v>
      </c>
      <c r="N131" s="341">
        <v>4960.23149465399</v>
      </c>
      <c r="O131" s="341">
        <v>19466.336991891243</v>
      </c>
      <c r="P131" s="341">
        <v>3405.798656316123</v>
      </c>
      <c r="Q131" s="341">
        <v>5686.8297233729991</v>
      </c>
      <c r="R131" s="341">
        <v>10295.769959993959</v>
      </c>
      <c r="S131" s="341">
        <v>10335.68728004795</v>
      </c>
      <c r="T131" s="341">
        <v>13001.945259808705</v>
      </c>
      <c r="U131" s="341">
        <v>2836.0590348763085</v>
      </c>
      <c r="V131" s="341">
        <v>69988.658400961285</v>
      </c>
      <c r="W131" s="341">
        <v>108420.62248219879</v>
      </c>
      <c r="X131" s="341">
        <v>10625.7616327879</v>
      </c>
      <c r="Y131" s="322">
        <v>119046.38411498669</v>
      </c>
    </row>
    <row r="132" spans="1:25" x14ac:dyDescent="0.2">
      <c r="A132" s="8">
        <v>2016</v>
      </c>
      <c r="B132" s="4" t="s">
        <v>466</v>
      </c>
      <c r="C132" s="4" t="s">
        <v>90</v>
      </c>
      <c r="D132" s="4" t="s">
        <v>468</v>
      </c>
      <c r="E132" s="4" t="s">
        <v>93</v>
      </c>
      <c r="F132" s="4" t="s">
        <v>94</v>
      </c>
      <c r="G132" s="4" t="s">
        <v>469</v>
      </c>
      <c r="H132" s="9">
        <v>118.78569074704437</v>
      </c>
      <c r="I132" s="9">
        <v>3.1116798897711955</v>
      </c>
      <c r="J132" s="323">
        <v>121.89737063681557</v>
      </c>
      <c r="K132" s="9">
        <v>7047.0668729269555</v>
      </c>
      <c r="L132" s="9">
        <v>4774.3329739098072</v>
      </c>
      <c r="M132" s="323">
        <v>11821.399846836763</v>
      </c>
      <c r="N132" s="9">
        <v>1678.7109101582851</v>
      </c>
      <c r="O132" s="9">
        <v>9102.2145293050689</v>
      </c>
      <c r="P132" s="9">
        <v>1639.0930417219256</v>
      </c>
      <c r="Q132" s="9">
        <v>4123.0685131610899</v>
      </c>
      <c r="R132" s="9">
        <v>5052.1618105803091</v>
      </c>
      <c r="S132" s="9">
        <v>4811.8610559224717</v>
      </c>
      <c r="T132" s="9">
        <v>6843.5078568841836</v>
      </c>
      <c r="U132" s="9">
        <v>1334.6238090647842</v>
      </c>
      <c r="V132" s="323">
        <v>34585.24152679812</v>
      </c>
      <c r="W132" s="323">
        <v>46528.538744271696</v>
      </c>
      <c r="X132" s="9">
        <v>4521.562767996922</v>
      </c>
      <c r="Y132" s="319">
        <v>51050.101512268622</v>
      </c>
    </row>
    <row r="133" spans="1:25" x14ac:dyDescent="0.2">
      <c r="A133" s="7">
        <v>2016</v>
      </c>
      <c r="B133" s="5" t="s">
        <v>466</v>
      </c>
      <c r="C133" s="5" t="s">
        <v>90</v>
      </c>
      <c r="D133" s="5" t="s">
        <v>470</v>
      </c>
      <c r="E133" s="5" t="s">
        <v>98</v>
      </c>
      <c r="F133" s="5" t="s">
        <v>94</v>
      </c>
      <c r="G133" s="5" t="s">
        <v>99</v>
      </c>
      <c r="H133" s="10">
        <v>83.450628338996211</v>
      </c>
      <c r="I133" s="10">
        <v>14.027333481054466</v>
      </c>
      <c r="J133" s="325">
        <v>97.47796182005068</v>
      </c>
      <c r="K133" s="10">
        <v>317.91690123688704</v>
      </c>
      <c r="L133" s="10">
        <v>40.949624146556836</v>
      </c>
      <c r="M133" s="325">
        <v>358.8665253834439</v>
      </c>
      <c r="N133" s="10">
        <v>44.01726122787499</v>
      </c>
      <c r="O133" s="10">
        <v>38.968403878981441</v>
      </c>
      <c r="P133" s="10">
        <v>7.4200296410911459</v>
      </c>
      <c r="Q133" s="10">
        <v>4.2216129319172078</v>
      </c>
      <c r="R133" s="10">
        <v>22.149910765313034</v>
      </c>
      <c r="S133" s="10">
        <v>44.193147988934506</v>
      </c>
      <c r="T133" s="10">
        <v>158.7200802989656</v>
      </c>
      <c r="U133" s="10">
        <v>5.7958368630351922</v>
      </c>
      <c r="V133" s="325">
        <v>325.48628359611314</v>
      </c>
      <c r="W133" s="325">
        <v>781.83077079960776</v>
      </c>
      <c r="X133" s="10">
        <v>76.563304910335432</v>
      </c>
      <c r="Y133" s="320">
        <v>858.39407570994319</v>
      </c>
    </row>
    <row r="134" spans="1:25" x14ac:dyDescent="0.2">
      <c r="A134" s="7">
        <v>2016</v>
      </c>
      <c r="B134" s="5" t="s">
        <v>466</v>
      </c>
      <c r="C134" s="5" t="s">
        <v>90</v>
      </c>
      <c r="D134" s="5" t="s">
        <v>470</v>
      </c>
      <c r="E134" s="5" t="s">
        <v>101</v>
      </c>
      <c r="F134" s="5" t="s">
        <v>94</v>
      </c>
      <c r="G134" s="5" t="s">
        <v>102</v>
      </c>
      <c r="H134" s="10">
        <v>24.277957690436864</v>
      </c>
      <c r="I134" s="10">
        <v>0.75514393271534352</v>
      </c>
      <c r="J134" s="325">
        <v>25.033101623152206</v>
      </c>
      <c r="K134" s="10">
        <v>604.98360599029991</v>
      </c>
      <c r="L134" s="10">
        <v>430.51440678902645</v>
      </c>
      <c r="M134" s="325">
        <v>1035.4980127793265</v>
      </c>
      <c r="N134" s="10">
        <v>204.88251410798125</v>
      </c>
      <c r="O134" s="10">
        <v>1234.3420109586889</v>
      </c>
      <c r="P134" s="10">
        <v>135.17483858577046</v>
      </c>
      <c r="Q134" s="10">
        <v>184.65366444877986</v>
      </c>
      <c r="R134" s="10">
        <v>651.93443974505965</v>
      </c>
      <c r="S134" s="10">
        <v>448.52133620904794</v>
      </c>
      <c r="T134" s="10">
        <v>448.18325271661087</v>
      </c>
      <c r="U134" s="10">
        <v>192.21656729626005</v>
      </c>
      <c r="V134" s="325">
        <v>3499.9086240681991</v>
      </c>
      <c r="W134" s="325">
        <v>4560.4397384706772</v>
      </c>
      <c r="X134" s="10">
        <v>446.60312262331689</v>
      </c>
      <c r="Y134" s="320">
        <v>5007.0428610939944</v>
      </c>
    </row>
    <row r="135" spans="1:25" x14ac:dyDescent="0.2">
      <c r="A135" s="7">
        <v>2016</v>
      </c>
      <c r="B135" s="5" t="s">
        <v>466</v>
      </c>
      <c r="C135" s="5" t="s">
        <v>90</v>
      </c>
      <c r="D135" s="5" t="s">
        <v>471</v>
      </c>
      <c r="E135" s="5" t="s">
        <v>104</v>
      </c>
      <c r="F135" s="5" t="s">
        <v>94</v>
      </c>
      <c r="G135" s="5" t="s">
        <v>105</v>
      </c>
      <c r="H135" s="10">
        <v>49.068075346461733</v>
      </c>
      <c r="I135" s="10">
        <v>0</v>
      </c>
      <c r="J135" s="325">
        <v>49.068075346461733</v>
      </c>
      <c r="K135" s="10">
        <v>233.65017064409864</v>
      </c>
      <c r="L135" s="10">
        <v>50.183980702055855</v>
      </c>
      <c r="M135" s="325">
        <v>283.8341513461545</v>
      </c>
      <c r="N135" s="10">
        <v>21.549671769879509</v>
      </c>
      <c r="O135" s="10">
        <v>199.42891494103574</v>
      </c>
      <c r="P135" s="10">
        <v>111.62106330800349</v>
      </c>
      <c r="Q135" s="10">
        <v>21.4891349431763</v>
      </c>
      <c r="R135" s="10">
        <v>72.204970606599176</v>
      </c>
      <c r="S135" s="10">
        <v>60.564785742080119</v>
      </c>
      <c r="T135" s="10">
        <v>76.297042568383148</v>
      </c>
      <c r="U135" s="10">
        <v>14.934377678859335</v>
      </c>
      <c r="V135" s="325">
        <v>578.08996155801674</v>
      </c>
      <c r="W135" s="325">
        <v>910.99218825063292</v>
      </c>
      <c r="X135" s="10">
        <v>89.318992600680303</v>
      </c>
      <c r="Y135" s="320">
        <v>1000.3111808513132</v>
      </c>
    </row>
    <row r="136" spans="1:25" x14ac:dyDescent="0.2">
      <c r="A136" s="7">
        <v>2016</v>
      </c>
      <c r="B136" s="5" t="s">
        <v>466</v>
      </c>
      <c r="C136" s="5" t="s">
        <v>90</v>
      </c>
      <c r="D136" s="5" t="s">
        <v>470</v>
      </c>
      <c r="E136" s="5" t="s">
        <v>106</v>
      </c>
      <c r="F136" s="5" t="s">
        <v>94</v>
      </c>
      <c r="G136" s="5" t="s">
        <v>107</v>
      </c>
      <c r="H136" s="10">
        <v>7.5037698806001467</v>
      </c>
      <c r="I136" s="10">
        <v>2.079987677908865E-3</v>
      </c>
      <c r="J136" s="325">
        <v>7.5058498682780552</v>
      </c>
      <c r="K136" s="10">
        <v>391.61124336645781</v>
      </c>
      <c r="L136" s="10">
        <v>128.6760374466584</v>
      </c>
      <c r="M136" s="325">
        <v>520.28728081311624</v>
      </c>
      <c r="N136" s="10">
        <v>30.044482294259318</v>
      </c>
      <c r="O136" s="10">
        <v>125.34571226843198</v>
      </c>
      <c r="P136" s="10">
        <v>31.930055338201893</v>
      </c>
      <c r="Q136" s="10">
        <v>16.967688157328926</v>
      </c>
      <c r="R136" s="10">
        <v>84.177267407144669</v>
      </c>
      <c r="S136" s="10">
        <v>78.498669121530767</v>
      </c>
      <c r="T136" s="10">
        <v>173.01356394631586</v>
      </c>
      <c r="U136" s="10">
        <v>17.44911714227268</v>
      </c>
      <c r="V136" s="325">
        <v>557.42655567548616</v>
      </c>
      <c r="W136" s="325">
        <v>1085.2196863568804</v>
      </c>
      <c r="X136" s="10">
        <v>105.22157475624041</v>
      </c>
      <c r="Y136" s="320">
        <v>1190.4412611131208</v>
      </c>
    </row>
    <row r="137" spans="1:25" x14ac:dyDescent="0.2">
      <c r="A137" s="7">
        <v>2016</v>
      </c>
      <c r="B137" s="5" t="s">
        <v>466</v>
      </c>
      <c r="C137" s="5" t="s">
        <v>90</v>
      </c>
      <c r="D137" s="5" t="s">
        <v>471</v>
      </c>
      <c r="E137" s="5" t="s">
        <v>109</v>
      </c>
      <c r="F137" s="5" t="s">
        <v>94</v>
      </c>
      <c r="G137" s="5" t="s">
        <v>110</v>
      </c>
      <c r="H137" s="10">
        <v>14.042010293117903</v>
      </c>
      <c r="I137" s="10">
        <v>0</v>
      </c>
      <c r="J137" s="325">
        <v>14.042010293117903</v>
      </c>
      <c r="K137" s="10">
        <v>2303.0996979709671</v>
      </c>
      <c r="L137" s="10">
        <v>564.32070927159259</v>
      </c>
      <c r="M137" s="325">
        <v>2867.4204072425596</v>
      </c>
      <c r="N137" s="10">
        <v>307.36997536856336</v>
      </c>
      <c r="O137" s="10">
        <v>1511.9905189662638</v>
      </c>
      <c r="P137" s="10">
        <v>296.39696522415687</v>
      </c>
      <c r="Q137" s="10">
        <v>252.75000198790909</v>
      </c>
      <c r="R137" s="10">
        <v>1117.6185657380047</v>
      </c>
      <c r="S137" s="10">
        <v>941.46422380609613</v>
      </c>
      <c r="T137" s="10">
        <v>513.41293741994127</v>
      </c>
      <c r="U137" s="10">
        <v>354.75130055673014</v>
      </c>
      <c r="V137" s="325">
        <v>5295.7544890676645</v>
      </c>
      <c r="W137" s="325">
        <v>8177.2169066033412</v>
      </c>
      <c r="X137" s="10">
        <v>795.02837501146701</v>
      </c>
      <c r="Y137" s="320">
        <v>8972.2452816148088</v>
      </c>
    </row>
    <row r="138" spans="1:25" x14ac:dyDescent="0.2">
      <c r="A138" s="7">
        <v>2016</v>
      </c>
      <c r="B138" s="5" t="s">
        <v>466</v>
      </c>
      <c r="C138" s="5" t="s">
        <v>90</v>
      </c>
      <c r="D138" s="5" t="s">
        <v>470</v>
      </c>
      <c r="E138" s="5" t="s">
        <v>112</v>
      </c>
      <c r="F138" s="5" t="s">
        <v>94</v>
      </c>
      <c r="G138" s="5" t="s">
        <v>113</v>
      </c>
      <c r="H138" s="10">
        <v>31.926105751043984</v>
      </c>
      <c r="I138" s="10">
        <v>2.2394249790025103</v>
      </c>
      <c r="J138" s="325">
        <v>34.165530730046491</v>
      </c>
      <c r="K138" s="10">
        <v>1103.047250912352</v>
      </c>
      <c r="L138" s="10">
        <v>133.97792925743863</v>
      </c>
      <c r="M138" s="325">
        <v>1237.0251801697905</v>
      </c>
      <c r="N138" s="10">
        <v>22.54872116387714</v>
      </c>
      <c r="O138" s="10">
        <v>139.67423509587354</v>
      </c>
      <c r="P138" s="10">
        <v>65.139588773972548</v>
      </c>
      <c r="Q138" s="10">
        <v>8.3837337832954475</v>
      </c>
      <c r="R138" s="10">
        <v>34.445553363257119</v>
      </c>
      <c r="S138" s="10">
        <v>94.777867535333414</v>
      </c>
      <c r="T138" s="10">
        <v>147.67161756211308</v>
      </c>
      <c r="U138" s="10">
        <v>7.5849950660301939</v>
      </c>
      <c r="V138" s="325">
        <v>520.22631234375251</v>
      </c>
      <c r="W138" s="325">
        <v>1791.4170232435893</v>
      </c>
      <c r="X138" s="10">
        <v>172.6244792386708</v>
      </c>
      <c r="Y138" s="320">
        <v>1964.0415024822601</v>
      </c>
    </row>
    <row r="139" spans="1:25" x14ac:dyDescent="0.2">
      <c r="A139" s="7">
        <v>2016</v>
      </c>
      <c r="B139" s="5" t="s">
        <v>466</v>
      </c>
      <c r="C139" s="5" t="s">
        <v>90</v>
      </c>
      <c r="D139" s="5" t="s">
        <v>471</v>
      </c>
      <c r="E139" s="5" t="s">
        <v>115</v>
      </c>
      <c r="F139" s="5" t="s">
        <v>94</v>
      </c>
      <c r="G139" s="5" t="s">
        <v>116</v>
      </c>
      <c r="H139" s="10">
        <v>0.19064043199162986</v>
      </c>
      <c r="I139" s="10">
        <v>0.26579042403779668</v>
      </c>
      <c r="J139" s="325">
        <v>0.45643085602942657</v>
      </c>
      <c r="K139" s="10">
        <v>2498.4667582548063</v>
      </c>
      <c r="L139" s="10">
        <v>493.53186917681251</v>
      </c>
      <c r="M139" s="325">
        <v>2991.9986274316188</v>
      </c>
      <c r="N139" s="10">
        <v>300.97341295851817</v>
      </c>
      <c r="O139" s="10">
        <v>1251.8044379776261</v>
      </c>
      <c r="P139" s="10">
        <v>132.44112284594968</v>
      </c>
      <c r="Q139" s="10">
        <v>255.17856277815324</v>
      </c>
      <c r="R139" s="10">
        <v>675.98643060150926</v>
      </c>
      <c r="S139" s="10">
        <v>724.95599875680739</v>
      </c>
      <c r="T139" s="10">
        <v>304.70366564087402</v>
      </c>
      <c r="U139" s="10">
        <v>145.72793445245875</v>
      </c>
      <c r="V139" s="325">
        <v>3791.7715660118961</v>
      </c>
      <c r="W139" s="325">
        <v>6784.2266242995447</v>
      </c>
      <c r="X139" s="10">
        <v>658.24440826521584</v>
      </c>
      <c r="Y139" s="320">
        <v>7442.4710325647602</v>
      </c>
    </row>
    <row r="140" spans="1:25" x14ac:dyDescent="0.2">
      <c r="A140" s="7">
        <v>2016</v>
      </c>
      <c r="B140" s="5" t="s">
        <v>466</v>
      </c>
      <c r="C140" s="5" t="s">
        <v>90</v>
      </c>
      <c r="D140" s="5" t="s">
        <v>471</v>
      </c>
      <c r="E140" s="5" t="s">
        <v>118</v>
      </c>
      <c r="F140" s="5" t="s">
        <v>94</v>
      </c>
      <c r="G140" s="5" t="s">
        <v>119</v>
      </c>
      <c r="H140" s="10">
        <v>5.1885962284373059</v>
      </c>
      <c r="I140" s="10">
        <v>0</v>
      </c>
      <c r="J140" s="325">
        <v>5.1885962284373059</v>
      </c>
      <c r="K140" s="10">
        <v>614.35889380286062</v>
      </c>
      <c r="L140" s="10">
        <v>117.9432947841948</v>
      </c>
      <c r="M140" s="325">
        <v>732.30218858705541</v>
      </c>
      <c r="N140" s="10">
        <v>52.20565070379088</v>
      </c>
      <c r="O140" s="10">
        <v>215.77909715771054</v>
      </c>
      <c r="P140" s="10">
        <v>58.711142069781054</v>
      </c>
      <c r="Q140" s="10">
        <v>14.986405217545641</v>
      </c>
      <c r="R140" s="10">
        <v>96.917860395783919</v>
      </c>
      <c r="S140" s="10">
        <v>111.39566998269309</v>
      </c>
      <c r="T140" s="10">
        <v>92.770107710019929</v>
      </c>
      <c r="U140" s="10">
        <v>24.57371955931578</v>
      </c>
      <c r="V140" s="325">
        <v>667.33965279664085</v>
      </c>
      <c r="W140" s="325">
        <v>1404.8304376121337</v>
      </c>
      <c r="X140" s="10">
        <v>136.21950997173059</v>
      </c>
      <c r="Y140" s="320">
        <v>1541.0499475838642</v>
      </c>
    </row>
    <row r="141" spans="1:25" x14ac:dyDescent="0.2">
      <c r="A141" s="7">
        <v>2016</v>
      </c>
      <c r="B141" s="5" t="s">
        <v>466</v>
      </c>
      <c r="C141" s="5" t="s">
        <v>90</v>
      </c>
      <c r="D141" s="5" t="s">
        <v>471</v>
      </c>
      <c r="E141" s="5" t="s">
        <v>120</v>
      </c>
      <c r="F141" s="5" t="s">
        <v>94</v>
      </c>
      <c r="G141" s="5" t="s">
        <v>121</v>
      </c>
      <c r="H141" s="10">
        <v>7.0330519514829772</v>
      </c>
      <c r="I141" s="10">
        <v>0</v>
      </c>
      <c r="J141" s="325">
        <v>7.0330519514829772</v>
      </c>
      <c r="K141" s="10">
        <v>1163.0073673714828</v>
      </c>
      <c r="L141" s="10">
        <v>184.50953637746338</v>
      </c>
      <c r="M141" s="325">
        <v>1347.5169037489461</v>
      </c>
      <c r="N141" s="10">
        <v>98.041892421697753</v>
      </c>
      <c r="O141" s="10">
        <v>350.23878471387286</v>
      </c>
      <c r="P141" s="10">
        <v>58.126332317811212</v>
      </c>
      <c r="Q141" s="10">
        <v>55.34949009840178</v>
      </c>
      <c r="R141" s="10">
        <v>301.9962911858766</v>
      </c>
      <c r="S141" s="10">
        <v>277.44765303988692</v>
      </c>
      <c r="T141" s="10">
        <v>302.04571741506095</v>
      </c>
      <c r="U141" s="10">
        <v>59.292440765475916</v>
      </c>
      <c r="V141" s="325">
        <v>1502.5386019580842</v>
      </c>
      <c r="W141" s="325">
        <v>2857.0885576585133</v>
      </c>
      <c r="X141" s="10">
        <v>276.63985151754963</v>
      </c>
      <c r="Y141" s="320">
        <v>3133.728409176063</v>
      </c>
    </row>
    <row r="142" spans="1:25" x14ac:dyDescent="0.2">
      <c r="A142" s="7">
        <v>2016</v>
      </c>
      <c r="B142" s="5" t="s">
        <v>466</v>
      </c>
      <c r="C142" s="5" t="s">
        <v>122</v>
      </c>
      <c r="D142" s="5" t="s">
        <v>472</v>
      </c>
      <c r="E142" s="5" t="s">
        <v>125</v>
      </c>
      <c r="F142" s="5" t="s">
        <v>126</v>
      </c>
      <c r="G142" s="5" t="s">
        <v>128</v>
      </c>
      <c r="H142" s="10">
        <v>50.769733148010303</v>
      </c>
      <c r="I142" s="10">
        <v>113.46083143518231</v>
      </c>
      <c r="J142" s="325">
        <v>164.23056458319263</v>
      </c>
      <c r="K142" s="10">
        <v>25.029812195878804</v>
      </c>
      <c r="L142" s="10">
        <v>0.75708141540730201</v>
      </c>
      <c r="M142" s="325">
        <v>25.786893611286107</v>
      </c>
      <c r="N142" s="10">
        <v>31.457791193380224</v>
      </c>
      <c r="O142" s="10">
        <v>31.592316517806349</v>
      </c>
      <c r="P142" s="10">
        <v>5.9120962170000961</v>
      </c>
      <c r="Q142" s="10">
        <v>3.541741247216831</v>
      </c>
      <c r="R142" s="10">
        <v>5.3813190323215787</v>
      </c>
      <c r="S142" s="10">
        <v>31.617799425478992</v>
      </c>
      <c r="T142" s="10">
        <v>89.993495510287516</v>
      </c>
      <c r="U142" s="10">
        <v>3.142718654051889</v>
      </c>
      <c r="V142" s="325">
        <v>202.63927779754349</v>
      </c>
      <c r="W142" s="325">
        <v>392.65673599202222</v>
      </c>
      <c r="X142" s="10">
        <v>39.31255347308101</v>
      </c>
      <c r="Y142" s="320">
        <v>431.9692894651032</v>
      </c>
    </row>
    <row r="143" spans="1:25" x14ac:dyDescent="0.2">
      <c r="A143" s="7">
        <v>2016</v>
      </c>
      <c r="B143" s="5" t="s">
        <v>466</v>
      </c>
      <c r="C143" s="5" t="s">
        <v>122</v>
      </c>
      <c r="D143" s="5" t="s">
        <v>472</v>
      </c>
      <c r="E143" s="5" t="s">
        <v>130</v>
      </c>
      <c r="F143" s="5" t="s">
        <v>126</v>
      </c>
      <c r="G143" s="5" t="s">
        <v>131</v>
      </c>
      <c r="H143" s="10">
        <v>28.855547954900949</v>
      </c>
      <c r="I143" s="10">
        <v>48.262603816789635</v>
      </c>
      <c r="J143" s="325">
        <v>77.118151771690577</v>
      </c>
      <c r="K143" s="10">
        <v>44.743570397177244</v>
      </c>
      <c r="L143" s="10">
        <v>27.055089186794049</v>
      </c>
      <c r="M143" s="325">
        <v>71.7986595839713</v>
      </c>
      <c r="N143" s="10">
        <v>34.857650588868275</v>
      </c>
      <c r="O143" s="10">
        <v>333.54996211233214</v>
      </c>
      <c r="P143" s="10">
        <v>25.318153355279208</v>
      </c>
      <c r="Q143" s="10">
        <v>23.199513919286176</v>
      </c>
      <c r="R143" s="10">
        <v>38.963757894863335</v>
      </c>
      <c r="S143" s="10">
        <v>82.818545669483584</v>
      </c>
      <c r="T143" s="10">
        <v>109.76415141130452</v>
      </c>
      <c r="U143" s="10">
        <v>14.497783084486478</v>
      </c>
      <c r="V143" s="325">
        <v>662.96951803590377</v>
      </c>
      <c r="W143" s="325">
        <v>811.88632939156571</v>
      </c>
      <c r="X143" s="10">
        <v>80.77656728461848</v>
      </c>
      <c r="Y143" s="320">
        <v>892.66289667618423</v>
      </c>
    </row>
    <row r="144" spans="1:25" x14ac:dyDescent="0.2">
      <c r="A144" s="7">
        <v>2016</v>
      </c>
      <c r="B144" s="5" t="s">
        <v>466</v>
      </c>
      <c r="C144" s="5" t="s">
        <v>122</v>
      </c>
      <c r="D144" s="5" t="s">
        <v>472</v>
      </c>
      <c r="E144" s="5" t="s">
        <v>133</v>
      </c>
      <c r="F144" s="5" t="s">
        <v>126</v>
      </c>
      <c r="G144" s="5" t="s">
        <v>134</v>
      </c>
      <c r="H144" s="10">
        <v>21.872515637723431</v>
      </c>
      <c r="I144" s="10">
        <v>626.83960550166205</v>
      </c>
      <c r="J144" s="325">
        <v>648.71212113938543</v>
      </c>
      <c r="K144" s="10">
        <v>23.111514081066989</v>
      </c>
      <c r="L144" s="10">
        <v>9.7087297845215819</v>
      </c>
      <c r="M144" s="325">
        <v>32.820243865588573</v>
      </c>
      <c r="N144" s="10">
        <v>21.0743307750753</v>
      </c>
      <c r="O144" s="10">
        <v>94.692626349422426</v>
      </c>
      <c r="P144" s="10">
        <v>14.189276097919267</v>
      </c>
      <c r="Q144" s="10">
        <v>11.044258183467843</v>
      </c>
      <c r="R144" s="10">
        <v>15.940881707501299</v>
      </c>
      <c r="S144" s="10">
        <v>87.609883898334786</v>
      </c>
      <c r="T144" s="10">
        <v>54.671161341355422</v>
      </c>
      <c r="U144" s="10">
        <v>8.1385546375157993</v>
      </c>
      <c r="V144" s="325">
        <v>307.36097299059213</v>
      </c>
      <c r="W144" s="325">
        <v>988.89333799556607</v>
      </c>
      <c r="X144" s="10">
        <v>98.852924948823613</v>
      </c>
      <c r="Y144" s="320">
        <v>1087.7462629443896</v>
      </c>
    </row>
    <row r="145" spans="1:25" x14ac:dyDescent="0.2">
      <c r="A145" s="7">
        <v>2016</v>
      </c>
      <c r="B145" s="5" t="s">
        <v>466</v>
      </c>
      <c r="C145" s="5" t="s">
        <v>122</v>
      </c>
      <c r="D145" s="5" t="s">
        <v>472</v>
      </c>
      <c r="E145" s="5" t="s">
        <v>135</v>
      </c>
      <c r="F145" s="5" t="s">
        <v>126</v>
      </c>
      <c r="G145" s="5" t="s">
        <v>136</v>
      </c>
      <c r="H145" s="10">
        <v>25.835350890469083</v>
      </c>
      <c r="I145" s="10">
        <v>117.26734034552179</v>
      </c>
      <c r="J145" s="325">
        <v>143.10269123599087</v>
      </c>
      <c r="K145" s="10">
        <v>6.5459240690226208</v>
      </c>
      <c r="L145" s="10">
        <v>10.370623608953531</v>
      </c>
      <c r="M145" s="325">
        <v>16.916547677976151</v>
      </c>
      <c r="N145" s="10">
        <v>7.4384666726962756</v>
      </c>
      <c r="O145" s="10">
        <v>34.281353591586935</v>
      </c>
      <c r="P145" s="10">
        <v>5.660754369159025</v>
      </c>
      <c r="Q145" s="10">
        <v>4.3646735363497173</v>
      </c>
      <c r="R145" s="10">
        <v>7.6113777408772068</v>
      </c>
      <c r="S145" s="10">
        <v>26.484764827854637</v>
      </c>
      <c r="T145" s="10">
        <v>44.733703852031667</v>
      </c>
      <c r="U145" s="10">
        <v>3.9712041521375503</v>
      </c>
      <c r="V145" s="325">
        <v>134.54629874269301</v>
      </c>
      <c r="W145" s="325">
        <v>294.56553765666001</v>
      </c>
      <c r="X145" s="10">
        <v>29.447551682783104</v>
      </c>
      <c r="Y145" s="320">
        <v>324.01308933944313</v>
      </c>
    </row>
    <row r="146" spans="1:25" x14ac:dyDescent="0.2">
      <c r="A146" s="7">
        <v>2016</v>
      </c>
      <c r="B146" s="5" t="s">
        <v>466</v>
      </c>
      <c r="C146" s="5" t="s">
        <v>122</v>
      </c>
      <c r="D146" s="5" t="s">
        <v>472</v>
      </c>
      <c r="E146" s="5" t="s">
        <v>137</v>
      </c>
      <c r="F146" s="5" t="s">
        <v>126</v>
      </c>
      <c r="G146" s="5" t="s">
        <v>138</v>
      </c>
      <c r="H146" s="10">
        <v>27.827007357995015</v>
      </c>
      <c r="I146" s="10">
        <v>71.451737168145698</v>
      </c>
      <c r="J146" s="325">
        <v>99.278744526140713</v>
      </c>
      <c r="K146" s="10">
        <v>2.1008557857741295</v>
      </c>
      <c r="L146" s="10">
        <v>17.035187691423815</v>
      </c>
      <c r="M146" s="325">
        <v>19.136043477197944</v>
      </c>
      <c r="N146" s="10">
        <v>9.7248686249871277</v>
      </c>
      <c r="O146" s="10">
        <v>43.444928479369985</v>
      </c>
      <c r="P146" s="10">
        <v>9.2140843397569316</v>
      </c>
      <c r="Q146" s="10">
        <v>7.6638895788181882</v>
      </c>
      <c r="R146" s="10">
        <v>12.378453076061252</v>
      </c>
      <c r="S146" s="10">
        <v>29.222157201772365</v>
      </c>
      <c r="T146" s="10">
        <v>56.446076864679732</v>
      </c>
      <c r="U146" s="10">
        <v>5.1814192741948322</v>
      </c>
      <c r="V146" s="325">
        <v>173.27587743964042</v>
      </c>
      <c r="W146" s="325">
        <v>291.69066544297908</v>
      </c>
      <c r="X146" s="10">
        <v>29.072384298303248</v>
      </c>
      <c r="Y146" s="320">
        <v>320.76304974128232</v>
      </c>
    </row>
    <row r="147" spans="1:25" x14ac:dyDescent="0.2">
      <c r="A147" s="7">
        <v>2016</v>
      </c>
      <c r="B147" s="5" t="s">
        <v>466</v>
      </c>
      <c r="C147" s="5" t="s">
        <v>122</v>
      </c>
      <c r="D147" s="5" t="s">
        <v>472</v>
      </c>
      <c r="E147" s="5" t="s">
        <v>139</v>
      </c>
      <c r="F147" s="5" t="s">
        <v>126</v>
      </c>
      <c r="G147" s="5" t="s">
        <v>140</v>
      </c>
      <c r="H147" s="10">
        <v>20.645896887859749</v>
      </c>
      <c r="I147" s="10">
        <v>267.65829949917531</v>
      </c>
      <c r="J147" s="325">
        <v>288.30419638703506</v>
      </c>
      <c r="K147" s="10">
        <v>3.324896837254081</v>
      </c>
      <c r="L147" s="10">
        <v>13.435195473749856</v>
      </c>
      <c r="M147" s="325">
        <v>16.760092311003937</v>
      </c>
      <c r="N147" s="10">
        <v>8.7326554234437097</v>
      </c>
      <c r="O147" s="10">
        <v>51.5233171541649</v>
      </c>
      <c r="P147" s="10">
        <v>6.5357128104758058</v>
      </c>
      <c r="Q147" s="10">
        <v>4.6827101886759372</v>
      </c>
      <c r="R147" s="10">
        <v>10.911501840609553</v>
      </c>
      <c r="S147" s="10">
        <v>40.120244585148825</v>
      </c>
      <c r="T147" s="10">
        <v>18.895545493188365</v>
      </c>
      <c r="U147" s="10">
        <v>5.1036277980879037</v>
      </c>
      <c r="V147" s="325">
        <v>146.50531529379501</v>
      </c>
      <c r="W147" s="325">
        <v>451.56960399183401</v>
      </c>
      <c r="X147" s="10">
        <v>45.227554457705601</v>
      </c>
      <c r="Y147" s="320">
        <v>496.79715844953961</v>
      </c>
    </row>
    <row r="148" spans="1:25" x14ac:dyDescent="0.2">
      <c r="A148" s="7">
        <v>2016</v>
      </c>
      <c r="B148" s="5" t="s">
        <v>466</v>
      </c>
      <c r="C148" s="5" t="s">
        <v>141</v>
      </c>
      <c r="D148" s="5" t="s">
        <v>473</v>
      </c>
      <c r="E148" s="5" t="s">
        <v>143</v>
      </c>
      <c r="F148" s="5" t="s">
        <v>144</v>
      </c>
      <c r="G148" s="5" t="s">
        <v>146</v>
      </c>
      <c r="H148" s="10">
        <v>7.3283998061747928</v>
      </c>
      <c r="I148" s="10">
        <v>5.3235840724649597</v>
      </c>
      <c r="J148" s="325">
        <v>12.651983878639752</v>
      </c>
      <c r="K148" s="10">
        <v>2.1457450126690061</v>
      </c>
      <c r="L148" s="10">
        <v>1.9588211027712692</v>
      </c>
      <c r="M148" s="325">
        <v>4.1045661154402753</v>
      </c>
      <c r="N148" s="10">
        <v>2.5110596196768107</v>
      </c>
      <c r="O148" s="10">
        <v>4.3953449434120184</v>
      </c>
      <c r="P148" s="10">
        <v>5.8881459933003288</v>
      </c>
      <c r="Q148" s="10">
        <v>0.96279956550941448</v>
      </c>
      <c r="R148" s="10">
        <v>2.7170015870848276</v>
      </c>
      <c r="S148" s="10">
        <v>4.1119615121773965</v>
      </c>
      <c r="T148" s="10">
        <v>11.369678140927615</v>
      </c>
      <c r="U148" s="10">
        <v>1.3097478888651979</v>
      </c>
      <c r="V148" s="325">
        <v>33.265739250953608</v>
      </c>
      <c r="W148" s="325">
        <v>50.02228924503364</v>
      </c>
      <c r="X148" s="10">
        <v>4.9772380543925401</v>
      </c>
      <c r="Y148" s="320">
        <v>54.999527299426177</v>
      </c>
    </row>
    <row r="149" spans="1:25" x14ac:dyDescent="0.2">
      <c r="A149" s="7">
        <v>2016</v>
      </c>
      <c r="B149" s="5" t="s">
        <v>466</v>
      </c>
      <c r="C149" s="5" t="s">
        <v>141</v>
      </c>
      <c r="D149" s="5" t="s">
        <v>473</v>
      </c>
      <c r="E149" s="5" t="s">
        <v>147</v>
      </c>
      <c r="F149" s="5" t="s">
        <v>144</v>
      </c>
      <c r="G149" s="5" t="s">
        <v>148</v>
      </c>
      <c r="H149" s="10">
        <v>17.6333215507732</v>
      </c>
      <c r="I149" s="10">
        <v>5.5304197305269724</v>
      </c>
      <c r="J149" s="325">
        <v>23.163741281300172</v>
      </c>
      <c r="K149" s="10">
        <v>4.5256930191974121</v>
      </c>
      <c r="L149" s="10">
        <v>2.8486507442456244</v>
      </c>
      <c r="M149" s="325">
        <v>7.3743437634430364</v>
      </c>
      <c r="N149" s="10">
        <v>1.3527597709508521</v>
      </c>
      <c r="O149" s="10">
        <v>7.1098106351613195</v>
      </c>
      <c r="P149" s="10">
        <v>1.3615667841803962</v>
      </c>
      <c r="Q149" s="10">
        <v>0.77334392965066245</v>
      </c>
      <c r="R149" s="10">
        <v>2.409724597018069</v>
      </c>
      <c r="S149" s="10">
        <v>6.1342310546878371</v>
      </c>
      <c r="T149" s="10">
        <v>34.144684881887983</v>
      </c>
      <c r="U149" s="10">
        <v>0.88862237286445289</v>
      </c>
      <c r="V149" s="325">
        <v>54.174744026401576</v>
      </c>
      <c r="W149" s="325">
        <v>84.712829071144782</v>
      </c>
      <c r="X149" s="10">
        <v>8.4750654151835274</v>
      </c>
      <c r="Y149" s="320">
        <v>93.187894486328304</v>
      </c>
    </row>
    <row r="150" spans="1:25" x14ac:dyDescent="0.2">
      <c r="A150" s="7">
        <v>2016</v>
      </c>
      <c r="B150" s="5" t="s">
        <v>466</v>
      </c>
      <c r="C150" s="5" t="s">
        <v>141</v>
      </c>
      <c r="D150" s="5" t="s">
        <v>474</v>
      </c>
      <c r="E150" s="5" t="s">
        <v>149</v>
      </c>
      <c r="F150" s="5" t="s">
        <v>144</v>
      </c>
      <c r="G150" s="5" t="s">
        <v>150</v>
      </c>
      <c r="H150" s="10">
        <v>27.555213980200737</v>
      </c>
      <c r="I150" s="10">
        <v>11.62433284092374</v>
      </c>
      <c r="J150" s="325">
        <v>39.179546821124475</v>
      </c>
      <c r="K150" s="10">
        <v>42.323347554011761</v>
      </c>
      <c r="L150" s="10">
        <v>9.7554472481371164</v>
      </c>
      <c r="M150" s="325">
        <v>52.078794802148877</v>
      </c>
      <c r="N150" s="10">
        <v>37.749044695910094</v>
      </c>
      <c r="O150" s="10">
        <v>135.74766235751446</v>
      </c>
      <c r="P150" s="10">
        <v>12.628221342624334</v>
      </c>
      <c r="Q150" s="10">
        <v>18.796956178946587</v>
      </c>
      <c r="R150" s="10">
        <v>38.594156498667267</v>
      </c>
      <c r="S150" s="10">
        <v>49.669063720225324</v>
      </c>
      <c r="T150" s="10">
        <v>64.227624429321608</v>
      </c>
      <c r="U150" s="10">
        <v>15.062227716976041</v>
      </c>
      <c r="V150" s="325">
        <v>372.47495694018573</v>
      </c>
      <c r="W150" s="325">
        <v>463.73329856345907</v>
      </c>
      <c r="X150" s="10">
        <v>45.923274168897898</v>
      </c>
      <c r="Y150" s="320">
        <v>509.65657273235695</v>
      </c>
    </row>
    <row r="151" spans="1:25" x14ac:dyDescent="0.2">
      <c r="A151" s="7">
        <v>2016</v>
      </c>
      <c r="B151" s="5" t="s">
        <v>466</v>
      </c>
      <c r="C151" s="5" t="s">
        <v>141</v>
      </c>
      <c r="D151" s="5" t="s">
        <v>474</v>
      </c>
      <c r="E151" s="5" t="s">
        <v>151</v>
      </c>
      <c r="F151" s="5" t="s">
        <v>144</v>
      </c>
      <c r="G151" s="5" t="s">
        <v>152</v>
      </c>
      <c r="H151" s="10">
        <v>16.229582088231208</v>
      </c>
      <c r="I151" s="10">
        <v>74.394877222851662</v>
      </c>
      <c r="J151" s="325">
        <v>90.624459311082873</v>
      </c>
      <c r="K151" s="10">
        <v>44.198621731529997</v>
      </c>
      <c r="L151" s="10">
        <v>3.1386485326019122</v>
      </c>
      <c r="M151" s="325">
        <v>47.337270264131909</v>
      </c>
      <c r="N151" s="10">
        <v>35.407621456583769</v>
      </c>
      <c r="O151" s="10">
        <v>33.366197155459169</v>
      </c>
      <c r="P151" s="10">
        <v>8.191673260497776</v>
      </c>
      <c r="Q151" s="10">
        <v>6.4228334426312363</v>
      </c>
      <c r="R151" s="10">
        <v>18.847196389822006</v>
      </c>
      <c r="S151" s="10">
        <v>48.721527020337277</v>
      </c>
      <c r="T151" s="10">
        <v>59.842419190390217</v>
      </c>
      <c r="U151" s="10">
        <v>6.2632001319380084</v>
      </c>
      <c r="V151" s="325">
        <v>217.06266804765946</v>
      </c>
      <c r="W151" s="325">
        <v>355.02439762287423</v>
      </c>
      <c r="X151" s="10">
        <v>35.111619437182682</v>
      </c>
      <c r="Y151" s="320">
        <v>390.13601706005693</v>
      </c>
    </row>
    <row r="152" spans="1:25" x14ac:dyDescent="0.2">
      <c r="A152" s="7">
        <v>2016</v>
      </c>
      <c r="B152" s="5" t="s">
        <v>466</v>
      </c>
      <c r="C152" s="5" t="s">
        <v>141</v>
      </c>
      <c r="D152" s="5" t="s">
        <v>474</v>
      </c>
      <c r="E152" s="5" t="s">
        <v>153</v>
      </c>
      <c r="F152" s="5" t="s">
        <v>144</v>
      </c>
      <c r="G152" s="5" t="s">
        <v>154</v>
      </c>
      <c r="H152" s="10">
        <v>13.68829782710411</v>
      </c>
      <c r="I152" s="10">
        <v>16.699637522319758</v>
      </c>
      <c r="J152" s="325">
        <v>30.38793534942387</v>
      </c>
      <c r="K152" s="10">
        <v>5.8022228491956778</v>
      </c>
      <c r="L152" s="10">
        <v>7.0896056600528583</v>
      </c>
      <c r="M152" s="325">
        <v>12.891828509248537</v>
      </c>
      <c r="N152" s="10">
        <v>8.7014605581279341</v>
      </c>
      <c r="O152" s="10">
        <v>45.666730111329173</v>
      </c>
      <c r="P152" s="10">
        <v>3.5399325324341917</v>
      </c>
      <c r="Q152" s="10">
        <v>2.4691234586709276</v>
      </c>
      <c r="R152" s="10">
        <v>12.502152538924788</v>
      </c>
      <c r="S152" s="10">
        <v>13.681713732658363</v>
      </c>
      <c r="T152" s="10">
        <v>21.932912986549773</v>
      </c>
      <c r="U152" s="10">
        <v>2.9010442581513898</v>
      </c>
      <c r="V152" s="325">
        <v>111.39507017684653</v>
      </c>
      <c r="W152" s="325">
        <v>154.67483403551893</v>
      </c>
      <c r="X152" s="10">
        <v>15.442742612375765</v>
      </c>
      <c r="Y152" s="320">
        <v>170.11757664789468</v>
      </c>
    </row>
    <row r="153" spans="1:25" x14ac:dyDescent="0.2">
      <c r="A153" s="7">
        <v>2016</v>
      </c>
      <c r="B153" s="5" t="s">
        <v>466</v>
      </c>
      <c r="C153" s="5" t="s">
        <v>141</v>
      </c>
      <c r="D153" s="5" t="s">
        <v>474</v>
      </c>
      <c r="E153" s="5" t="s">
        <v>155</v>
      </c>
      <c r="F153" s="5" t="s">
        <v>144</v>
      </c>
      <c r="G153" s="5" t="s">
        <v>156</v>
      </c>
      <c r="H153" s="10">
        <v>24.273820159517616</v>
      </c>
      <c r="I153" s="10">
        <v>463.19843861464909</v>
      </c>
      <c r="J153" s="325">
        <v>487.47225877416673</v>
      </c>
      <c r="K153" s="10">
        <v>0.49081120437112469</v>
      </c>
      <c r="L153" s="10">
        <v>14.371738146373419</v>
      </c>
      <c r="M153" s="325">
        <v>14.862549350744544</v>
      </c>
      <c r="N153" s="10">
        <v>8.0880359518785028</v>
      </c>
      <c r="O153" s="10">
        <v>13.783820482444487</v>
      </c>
      <c r="P153" s="10">
        <v>4.1394662736395142</v>
      </c>
      <c r="Q153" s="10">
        <v>2.199796904621826</v>
      </c>
      <c r="R153" s="10">
        <v>8.6537959169603607</v>
      </c>
      <c r="S153" s="10">
        <v>46.430510018401911</v>
      </c>
      <c r="T153" s="10">
        <v>26.216105173284706</v>
      </c>
      <c r="U153" s="10">
        <v>3.675339136230773</v>
      </c>
      <c r="V153" s="325">
        <v>113.18686985746207</v>
      </c>
      <c r="W153" s="325">
        <v>615.52167798237338</v>
      </c>
      <c r="X153" s="10">
        <v>61.714848026650373</v>
      </c>
      <c r="Y153" s="320">
        <v>677.23652600902369</v>
      </c>
    </row>
    <row r="154" spans="1:25" x14ac:dyDescent="0.2">
      <c r="A154" s="7">
        <v>2016</v>
      </c>
      <c r="B154" s="5" t="s">
        <v>466</v>
      </c>
      <c r="C154" s="5" t="s">
        <v>157</v>
      </c>
      <c r="D154" s="5" t="s">
        <v>475</v>
      </c>
      <c r="E154" s="5" t="s">
        <v>159</v>
      </c>
      <c r="F154" s="5" t="s">
        <v>160</v>
      </c>
      <c r="G154" s="5" t="s">
        <v>161</v>
      </c>
      <c r="H154" s="10">
        <v>26.815220635063181</v>
      </c>
      <c r="I154" s="10">
        <v>48.275896476037865</v>
      </c>
      <c r="J154" s="325">
        <v>75.091117111101042</v>
      </c>
      <c r="K154" s="10">
        <v>17.277225439094103</v>
      </c>
      <c r="L154" s="10">
        <v>33.372635690870794</v>
      </c>
      <c r="M154" s="325">
        <v>50.649861129964897</v>
      </c>
      <c r="N154" s="10">
        <v>300.44767706383567</v>
      </c>
      <c r="O154" s="10">
        <v>39.880647497859471</v>
      </c>
      <c r="P154" s="10">
        <v>9.3674230769541573</v>
      </c>
      <c r="Q154" s="10">
        <v>11.406923335804287</v>
      </c>
      <c r="R154" s="10">
        <v>18.902860364522173</v>
      </c>
      <c r="S154" s="10">
        <v>53.229535409488868</v>
      </c>
      <c r="T154" s="10">
        <v>45.011849557495268</v>
      </c>
      <c r="U154" s="10">
        <v>8.1794683896071625</v>
      </c>
      <c r="V154" s="325">
        <v>486.42638469556698</v>
      </c>
      <c r="W154" s="325">
        <v>612.16736293663291</v>
      </c>
      <c r="X154" s="10">
        <v>61.201272254771368</v>
      </c>
      <c r="Y154" s="320">
        <v>673.36863519140434</v>
      </c>
    </row>
    <row r="155" spans="1:25" x14ac:dyDescent="0.2">
      <c r="A155" s="7">
        <v>2016</v>
      </c>
      <c r="B155" s="5" t="s">
        <v>466</v>
      </c>
      <c r="C155" s="5" t="s">
        <v>157</v>
      </c>
      <c r="D155" s="5" t="s">
        <v>476</v>
      </c>
      <c r="E155" s="5" t="s">
        <v>162</v>
      </c>
      <c r="F155" s="5" t="s">
        <v>160</v>
      </c>
      <c r="G155" s="5" t="s">
        <v>163</v>
      </c>
      <c r="H155" s="10">
        <v>16.850356351904193</v>
      </c>
      <c r="I155" s="10">
        <v>58.113526723631857</v>
      </c>
      <c r="J155" s="325">
        <v>74.963883075536046</v>
      </c>
      <c r="K155" s="10">
        <v>2.3465724149682372</v>
      </c>
      <c r="L155" s="10">
        <v>8.179057088250298</v>
      </c>
      <c r="M155" s="325">
        <v>10.525629503218536</v>
      </c>
      <c r="N155" s="10">
        <v>54.725469605949364</v>
      </c>
      <c r="O155" s="10">
        <v>8.9699299703444364</v>
      </c>
      <c r="P155" s="10">
        <v>2.4840387509159334</v>
      </c>
      <c r="Q155" s="10">
        <v>1.4030053579482704</v>
      </c>
      <c r="R155" s="10">
        <v>3.4186936247778186</v>
      </c>
      <c r="S155" s="10">
        <v>10.864343184126954</v>
      </c>
      <c r="T155" s="10">
        <v>13.680282649229969</v>
      </c>
      <c r="U155" s="10">
        <v>1.9530854067395835</v>
      </c>
      <c r="V155" s="325">
        <v>97.498848550032335</v>
      </c>
      <c r="W155" s="325">
        <v>182.98836112878692</v>
      </c>
      <c r="X155" s="10">
        <v>18.397570629582788</v>
      </c>
      <c r="Y155" s="320">
        <v>201.38593175836971</v>
      </c>
    </row>
    <row r="156" spans="1:25" x14ac:dyDescent="0.2">
      <c r="A156" s="7">
        <v>2016</v>
      </c>
      <c r="B156" s="5" t="s">
        <v>466</v>
      </c>
      <c r="C156" s="5" t="s">
        <v>157</v>
      </c>
      <c r="D156" s="5" t="s">
        <v>473</v>
      </c>
      <c r="E156" s="5" t="s">
        <v>164</v>
      </c>
      <c r="F156" s="5" t="s">
        <v>160</v>
      </c>
      <c r="G156" s="5" t="s">
        <v>165</v>
      </c>
      <c r="H156" s="10">
        <v>3.5699736813680611</v>
      </c>
      <c r="I156" s="10">
        <v>0</v>
      </c>
      <c r="J156" s="325">
        <v>3.5699736813680611</v>
      </c>
      <c r="K156" s="10">
        <v>6.5975943352477877</v>
      </c>
      <c r="L156" s="10">
        <v>2.7159703533325557</v>
      </c>
      <c r="M156" s="325">
        <v>9.3135646885803425</v>
      </c>
      <c r="N156" s="10">
        <v>5.3589056446952261</v>
      </c>
      <c r="O156" s="10">
        <v>18.460073980731728</v>
      </c>
      <c r="P156" s="10">
        <v>2.3535130854804671</v>
      </c>
      <c r="Q156" s="10">
        <v>2.3215879166958842</v>
      </c>
      <c r="R156" s="10">
        <v>7.7777421795139965</v>
      </c>
      <c r="S156" s="10">
        <v>9.672248881933827</v>
      </c>
      <c r="T156" s="10">
        <v>30.679568454369956</v>
      </c>
      <c r="U156" s="10">
        <v>1.8418598128046</v>
      </c>
      <c r="V156" s="325">
        <v>78.465499956225685</v>
      </c>
      <c r="W156" s="325">
        <v>91.349038326174082</v>
      </c>
      <c r="X156" s="10">
        <v>9.0033289647214403</v>
      </c>
      <c r="Y156" s="320">
        <v>100.35236729089553</v>
      </c>
    </row>
    <row r="157" spans="1:25" x14ac:dyDescent="0.2">
      <c r="A157" s="7">
        <v>2016</v>
      </c>
      <c r="B157" s="5" t="s">
        <v>466</v>
      </c>
      <c r="C157" s="5" t="s">
        <v>157</v>
      </c>
      <c r="D157" s="5" t="s">
        <v>477</v>
      </c>
      <c r="E157" s="5" t="s">
        <v>166</v>
      </c>
      <c r="F157" s="5" t="s">
        <v>160</v>
      </c>
      <c r="G157" s="5" t="s">
        <v>168</v>
      </c>
      <c r="H157" s="10">
        <v>43.866167258652503</v>
      </c>
      <c r="I157" s="10">
        <v>210.83166166427984</v>
      </c>
      <c r="J157" s="325">
        <v>254.69782892293233</v>
      </c>
      <c r="K157" s="10">
        <v>11.165210779103408</v>
      </c>
      <c r="L157" s="10">
        <v>8.4079009653503949</v>
      </c>
      <c r="M157" s="325">
        <v>19.573111744453804</v>
      </c>
      <c r="N157" s="10">
        <v>7.8491540936057378</v>
      </c>
      <c r="O157" s="10">
        <v>50.274542268492972</v>
      </c>
      <c r="P157" s="10">
        <v>6.8050828480414483</v>
      </c>
      <c r="Q157" s="10">
        <v>4.5473835909332525</v>
      </c>
      <c r="R157" s="10">
        <v>15.370328255982676</v>
      </c>
      <c r="S157" s="10">
        <v>32.397286766490865</v>
      </c>
      <c r="T157" s="10">
        <v>30.272523813736264</v>
      </c>
      <c r="U157" s="10">
        <v>5.5914906046268529</v>
      </c>
      <c r="V157" s="325">
        <v>153.10779224191006</v>
      </c>
      <c r="W157" s="325">
        <v>427.37873290929622</v>
      </c>
      <c r="X157" s="10">
        <v>42.899023934439477</v>
      </c>
      <c r="Y157" s="320">
        <v>470.27775684373569</v>
      </c>
    </row>
    <row r="158" spans="1:25" x14ac:dyDescent="0.2">
      <c r="A158" s="7">
        <v>2016</v>
      </c>
      <c r="B158" s="5" t="s">
        <v>466</v>
      </c>
      <c r="C158" s="5" t="s">
        <v>157</v>
      </c>
      <c r="D158" s="5" t="s">
        <v>473</v>
      </c>
      <c r="E158" s="5" t="s">
        <v>169</v>
      </c>
      <c r="F158" s="5" t="s">
        <v>160</v>
      </c>
      <c r="G158" s="5" t="s">
        <v>170</v>
      </c>
      <c r="H158" s="10">
        <v>27.623327463219116</v>
      </c>
      <c r="I158" s="10">
        <v>12.773676886935823</v>
      </c>
      <c r="J158" s="325">
        <v>40.397004350154937</v>
      </c>
      <c r="K158" s="10">
        <v>3.8046043176365645</v>
      </c>
      <c r="L158" s="10">
        <v>12.930018593815488</v>
      </c>
      <c r="M158" s="325">
        <v>16.734622911452053</v>
      </c>
      <c r="N158" s="10">
        <v>6.78106648263085</v>
      </c>
      <c r="O158" s="10">
        <v>31.580397273006561</v>
      </c>
      <c r="P158" s="10">
        <v>8.0998851968832142</v>
      </c>
      <c r="Q158" s="10">
        <v>6.157487775503494</v>
      </c>
      <c r="R158" s="10">
        <v>15.796481803091725</v>
      </c>
      <c r="S158" s="10">
        <v>16.571204903936966</v>
      </c>
      <c r="T158" s="10">
        <v>23.070176389046054</v>
      </c>
      <c r="U158" s="10">
        <v>7.0312050619486861</v>
      </c>
      <c r="V158" s="325">
        <v>115.08790488604755</v>
      </c>
      <c r="W158" s="325">
        <v>172.21953214765455</v>
      </c>
      <c r="X158" s="10">
        <v>17.171442121123135</v>
      </c>
      <c r="Y158" s="320">
        <v>189.39097426877768</v>
      </c>
    </row>
    <row r="159" spans="1:25" x14ac:dyDescent="0.2">
      <c r="A159" s="7">
        <v>2016</v>
      </c>
      <c r="B159" s="5" t="s">
        <v>466</v>
      </c>
      <c r="C159" s="5" t="s">
        <v>157</v>
      </c>
      <c r="D159" s="5" t="s">
        <v>473</v>
      </c>
      <c r="E159" s="5" t="s">
        <v>171</v>
      </c>
      <c r="F159" s="5" t="s">
        <v>160</v>
      </c>
      <c r="G159" s="5" t="s">
        <v>172</v>
      </c>
      <c r="H159" s="10">
        <v>58.164372285445808</v>
      </c>
      <c r="I159" s="10">
        <v>5.0377834034549727</v>
      </c>
      <c r="J159" s="325">
        <v>63.202155688900781</v>
      </c>
      <c r="K159" s="10">
        <v>5.3126794423640344</v>
      </c>
      <c r="L159" s="10">
        <v>8.8959470322205103</v>
      </c>
      <c r="M159" s="325">
        <v>14.208626474584545</v>
      </c>
      <c r="N159" s="10">
        <v>2.7385957322465537</v>
      </c>
      <c r="O159" s="10">
        <v>15.869558879827576</v>
      </c>
      <c r="P159" s="10">
        <v>2.3017149449216814</v>
      </c>
      <c r="Q159" s="10">
        <v>1.5415471473434754</v>
      </c>
      <c r="R159" s="10">
        <v>6.026131041098961</v>
      </c>
      <c r="S159" s="10">
        <v>9.4160108525436712</v>
      </c>
      <c r="T159" s="10">
        <v>29.349980426861492</v>
      </c>
      <c r="U159" s="10">
        <v>2.248386894460308</v>
      </c>
      <c r="V159" s="325">
        <v>69.491925919303725</v>
      </c>
      <c r="W159" s="325">
        <v>146.90270808278905</v>
      </c>
      <c r="X159" s="10">
        <v>14.960789986978575</v>
      </c>
      <c r="Y159" s="320">
        <v>161.86349806976762</v>
      </c>
    </row>
    <row r="160" spans="1:25" x14ac:dyDescent="0.2">
      <c r="A160" s="7">
        <v>2016</v>
      </c>
      <c r="B160" s="5" t="s">
        <v>466</v>
      </c>
      <c r="C160" s="5" t="s">
        <v>157</v>
      </c>
      <c r="D160" s="5" t="s">
        <v>477</v>
      </c>
      <c r="E160" s="5" t="s">
        <v>173</v>
      </c>
      <c r="F160" s="5" t="s">
        <v>160</v>
      </c>
      <c r="G160" s="5" t="s">
        <v>174</v>
      </c>
      <c r="H160" s="10">
        <v>13.821016542735517</v>
      </c>
      <c r="I160" s="10">
        <v>211.92853598464245</v>
      </c>
      <c r="J160" s="325">
        <v>225.74955252737797</v>
      </c>
      <c r="K160" s="10">
        <v>23.682220502718842</v>
      </c>
      <c r="L160" s="10">
        <v>3.689438874122402</v>
      </c>
      <c r="M160" s="325">
        <v>27.371659376841244</v>
      </c>
      <c r="N160" s="10">
        <v>22.861784529260618</v>
      </c>
      <c r="O160" s="10">
        <v>84.225472304511285</v>
      </c>
      <c r="P160" s="10">
        <v>9.9301211258771698</v>
      </c>
      <c r="Q160" s="10">
        <v>8.921891158864403</v>
      </c>
      <c r="R160" s="10">
        <v>37.901280374207957</v>
      </c>
      <c r="S160" s="10">
        <v>47.433240378684026</v>
      </c>
      <c r="T160" s="10">
        <v>31.00124940121119</v>
      </c>
      <c r="U160" s="10">
        <v>10.502857458755987</v>
      </c>
      <c r="V160" s="325">
        <v>252.77789673137264</v>
      </c>
      <c r="W160" s="325">
        <v>505.8991086355918</v>
      </c>
      <c r="X160" s="10">
        <v>50.36733949065168</v>
      </c>
      <c r="Y160" s="320">
        <v>556.26644812624352</v>
      </c>
    </row>
    <row r="161" spans="1:25" x14ac:dyDescent="0.2">
      <c r="A161" s="7">
        <v>2016</v>
      </c>
      <c r="B161" s="5" t="s">
        <v>466</v>
      </c>
      <c r="C161" s="5" t="s">
        <v>157</v>
      </c>
      <c r="D161" s="5" t="s">
        <v>475</v>
      </c>
      <c r="E161" s="5" t="s">
        <v>175</v>
      </c>
      <c r="F161" s="5" t="s">
        <v>160</v>
      </c>
      <c r="G161" s="5" t="s">
        <v>176</v>
      </c>
      <c r="H161" s="10">
        <v>17.93530262036996</v>
      </c>
      <c r="I161" s="10">
        <v>9.3154182060228798</v>
      </c>
      <c r="J161" s="325">
        <v>27.25072082639284</v>
      </c>
      <c r="K161" s="10">
        <v>1.1879679518996566</v>
      </c>
      <c r="L161" s="10">
        <v>8.661345652227542</v>
      </c>
      <c r="M161" s="325">
        <v>9.8493136041271985</v>
      </c>
      <c r="N161" s="10">
        <v>3.2132200885864082</v>
      </c>
      <c r="O161" s="10">
        <v>25.324620115145269</v>
      </c>
      <c r="P161" s="10">
        <v>7.9145680038166546</v>
      </c>
      <c r="Q161" s="10">
        <v>3.884309980339733</v>
      </c>
      <c r="R161" s="10">
        <v>7.2227743944838503</v>
      </c>
      <c r="S161" s="10">
        <v>10.564655006037052</v>
      </c>
      <c r="T161" s="10">
        <v>13.807748018885388</v>
      </c>
      <c r="U161" s="10">
        <v>3.2929031962584507</v>
      </c>
      <c r="V161" s="325">
        <v>75.224798803552801</v>
      </c>
      <c r="W161" s="325">
        <v>112.32483323407284</v>
      </c>
      <c r="X161" s="10">
        <v>11.226047996912577</v>
      </c>
      <c r="Y161" s="320">
        <v>123.55088123098542</v>
      </c>
    </row>
    <row r="162" spans="1:25" x14ac:dyDescent="0.2">
      <c r="A162" s="7">
        <v>2016</v>
      </c>
      <c r="B162" s="5" t="s">
        <v>466</v>
      </c>
      <c r="C162" s="5" t="s">
        <v>157</v>
      </c>
      <c r="D162" s="5" t="s">
        <v>475</v>
      </c>
      <c r="E162" s="5" t="s">
        <v>177</v>
      </c>
      <c r="F162" s="5" t="s">
        <v>160</v>
      </c>
      <c r="G162" s="5" t="s">
        <v>178</v>
      </c>
      <c r="H162" s="10">
        <v>9.6624482848704361</v>
      </c>
      <c r="I162" s="10">
        <v>0.7817567815393901</v>
      </c>
      <c r="J162" s="325">
        <v>10.444205066409825</v>
      </c>
      <c r="K162" s="10">
        <v>2.744350928208811</v>
      </c>
      <c r="L162" s="10">
        <v>2.5882540110184862</v>
      </c>
      <c r="M162" s="325">
        <v>5.3326049392272967</v>
      </c>
      <c r="N162" s="10">
        <v>1.01996307975957</v>
      </c>
      <c r="O162" s="10">
        <v>5.6467500617958768</v>
      </c>
      <c r="P162" s="10">
        <v>2.5353122851343795</v>
      </c>
      <c r="Q162" s="10">
        <v>0.75967254870990808</v>
      </c>
      <c r="R162" s="10">
        <v>1.9287849390823855</v>
      </c>
      <c r="S162" s="10">
        <v>5.3757943304449256</v>
      </c>
      <c r="T162" s="10">
        <v>26.763592777881929</v>
      </c>
      <c r="U162" s="10">
        <v>1.1700104774031246</v>
      </c>
      <c r="V162" s="325">
        <v>45.199880500212103</v>
      </c>
      <c r="W162" s="325">
        <v>60.97669050584922</v>
      </c>
      <c r="X162" s="10">
        <v>6.0618063241074696</v>
      </c>
      <c r="Y162" s="320">
        <v>67.038496829956685</v>
      </c>
    </row>
    <row r="163" spans="1:25" x14ac:dyDescent="0.2">
      <c r="A163" s="7">
        <v>2016</v>
      </c>
      <c r="B163" s="5" t="s">
        <v>466</v>
      </c>
      <c r="C163" s="5" t="s">
        <v>157</v>
      </c>
      <c r="D163" s="5" t="s">
        <v>475</v>
      </c>
      <c r="E163" s="5" t="s">
        <v>179</v>
      </c>
      <c r="F163" s="5" t="s">
        <v>160</v>
      </c>
      <c r="G163" s="5" t="s">
        <v>180</v>
      </c>
      <c r="H163" s="10">
        <v>35.183272917392387</v>
      </c>
      <c r="I163" s="10">
        <v>0</v>
      </c>
      <c r="J163" s="325">
        <v>35.183272917392387</v>
      </c>
      <c r="K163" s="10">
        <v>5.3119500106924784</v>
      </c>
      <c r="L163" s="10">
        <v>15.425532909981646</v>
      </c>
      <c r="M163" s="325">
        <v>20.737482920674125</v>
      </c>
      <c r="N163" s="10">
        <v>3.5721896465132437</v>
      </c>
      <c r="O163" s="10">
        <v>41.38686381035177</v>
      </c>
      <c r="P163" s="10">
        <v>5.996142413045809</v>
      </c>
      <c r="Q163" s="10">
        <v>4.8182855534759019</v>
      </c>
      <c r="R163" s="10">
        <v>11.80085834586732</v>
      </c>
      <c r="S163" s="10">
        <v>15.983739787152487</v>
      </c>
      <c r="T163" s="10">
        <v>30.394596375286916</v>
      </c>
      <c r="U163" s="10">
        <v>4.9247636465310816</v>
      </c>
      <c r="V163" s="325">
        <v>118.87743957822453</v>
      </c>
      <c r="W163" s="325">
        <v>174.79819541629104</v>
      </c>
      <c r="X163" s="10">
        <v>17.505247317302391</v>
      </c>
      <c r="Y163" s="320">
        <v>192.30344273359344</v>
      </c>
    </row>
    <row r="164" spans="1:25" x14ac:dyDescent="0.2">
      <c r="A164" s="7">
        <v>2016</v>
      </c>
      <c r="B164" s="5" t="s">
        <v>466</v>
      </c>
      <c r="C164" s="5" t="s">
        <v>181</v>
      </c>
      <c r="D164" s="5" t="s">
        <v>478</v>
      </c>
      <c r="E164" s="5" t="s">
        <v>183</v>
      </c>
      <c r="F164" s="5" t="s">
        <v>184</v>
      </c>
      <c r="G164" s="5" t="s">
        <v>185</v>
      </c>
      <c r="H164" s="10">
        <v>28.108247666964751</v>
      </c>
      <c r="I164" s="10">
        <v>0</v>
      </c>
      <c r="J164" s="325">
        <v>28.108247666964751</v>
      </c>
      <c r="K164" s="10">
        <v>4.460150695073346</v>
      </c>
      <c r="L164" s="10">
        <v>12.719790103327927</v>
      </c>
      <c r="M164" s="325">
        <v>17.179940798401272</v>
      </c>
      <c r="N164" s="10">
        <v>48.76529144235969</v>
      </c>
      <c r="O164" s="10">
        <v>3.8485685516061872</v>
      </c>
      <c r="P164" s="10">
        <v>1.0404877225200886</v>
      </c>
      <c r="Q164" s="10">
        <v>0.63329976090712481</v>
      </c>
      <c r="R164" s="10">
        <v>1.4577420803874266</v>
      </c>
      <c r="S164" s="10">
        <v>5.8209484284764876</v>
      </c>
      <c r="T164" s="10">
        <v>4.338929879547571</v>
      </c>
      <c r="U164" s="10">
        <v>0.68527073760146562</v>
      </c>
      <c r="V164" s="325">
        <v>66.590538603406046</v>
      </c>
      <c r="W164" s="325">
        <v>111.87872706877206</v>
      </c>
      <c r="X164" s="10">
        <v>11.355657299656539</v>
      </c>
      <c r="Y164" s="320">
        <v>123.23438436842861</v>
      </c>
    </row>
    <row r="165" spans="1:25" x14ac:dyDescent="0.2">
      <c r="A165" s="7">
        <v>2016</v>
      </c>
      <c r="B165" s="5" t="s">
        <v>466</v>
      </c>
      <c r="C165" s="5" t="s">
        <v>181</v>
      </c>
      <c r="D165" s="5" t="s">
        <v>479</v>
      </c>
      <c r="E165" s="5" t="s">
        <v>186</v>
      </c>
      <c r="F165" s="5" t="s">
        <v>184</v>
      </c>
      <c r="G165" s="5" t="s">
        <v>187</v>
      </c>
      <c r="H165" s="10">
        <v>13.856029390569809</v>
      </c>
      <c r="I165" s="10">
        <v>1.1672861812195771E-3</v>
      </c>
      <c r="J165" s="325">
        <v>13.857196676751029</v>
      </c>
      <c r="K165" s="10">
        <v>4.0738141027630146</v>
      </c>
      <c r="L165" s="10">
        <v>1.3988268804366635</v>
      </c>
      <c r="M165" s="325">
        <v>5.4726409831996783</v>
      </c>
      <c r="N165" s="10">
        <v>1.7275657525414365</v>
      </c>
      <c r="O165" s="10">
        <v>8.684366565608034</v>
      </c>
      <c r="P165" s="10">
        <v>1.9720605721548348</v>
      </c>
      <c r="Q165" s="10">
        <v>0.8461799681881822</v>
      </c>
      <c r="R165" s="10">
        <v>4.6303846672910476</v>
      </c>
      <c r="S165" s="10">
        <v>4.822753973849518</v>
      </c>
      <c r="T165" s="10">
        <v>16.796849164230458</v>
      </c>
      <c r="U165" s="10">
        <v>1.2375196811078959</v>
      </c>
      <c r="V165" s="325">
        <v>40.717680344971413</v>
      </c>
      <c r="W165" s="325">
        <v>60.047518004922125</v>
      </c>
      <c r="X165" s="10">
        <v>6.0164593562659627</v>
      </c>
      <c r="Y165" s="320">
        <v>66.063977361188094</v>
      </c>
    </row>
    <row r="166" spans="1:25" x14ac:dyDescent="0.2">
      <c r="A166" s="7">
        <v>2016</v>
      </c>
      <c r="B166" s="5" t="s">
        <v>466</v>
      </c>
      <c r="C166" s="5" t="s">
        <v>181</v>
      </c>
      <c r="D166" s="5" t="s">
        <v>478</v>
      </c>
      <c r="E166" s="5" t="s">
        <v>188</v>
      </c>
      <c r="F166" s="5" t="s">
        <v>184</v>
      </c>
      <c r="G166" s="5" t="s">
        <v>189</v>
      </c>
      <c r="H166" s="10">
        <v>8.5826004285644046</v>
      </c>
      <c r="I166" s="10">
        <v>0.77996462750959927</v>
      </c>
      <c r="J166" s="325">
        <v>9.3625650560740041</v>
      </c>
      <c r="K166" s="10">
        <v>0.35958589171815986</v>
      </c>
      <c r="L166" s="10">
        <v>4.4571769836416504</v>
      </c>
      <c r="M166" s="325">
        <v>4.8167628753598102</v>
      </c>
      <c r="N166" s="10">
        <v>1.2235962473061606</v>
      </c>
      <c r="O166" s="10">
        <v>4.9910011481731846</v>
      </c>
      <c r="P166" s="10">
        <v>2.4251677124077315</v>
      </c>
      <c r="Q166" s="10">
        <v>1.5248631155388988</v>
      </c>
      <c r="R166" s="10">
        <v>3.4384826940105886</v>
      </c>
      <c r="S166" s="10">
        <v>5.4782549264481455</v>
      </c>
      <c r="T166" s="10">
        <v>19.459267487694557</v>
      </c>
      <c r="U166" s="10">
        <v>2.1741400869490328</v>
      </c>
      <c r="V166" s="325">
        <v>40.714773418528296</v>
      </c>
      <c r="W166" s="325">
        <v>54.894101349962114</v>
      </c>
      <c r="X166" s="10">
        <v>5.4481109876469791</v>
      </c>
      <c r="Y166" s="320">
        <v>60.342212337609091</v>
      </c>
    </row>
    <row r="167" spans="1:25" x14ac:dyDescent="0.2">
      <c r="A167" s="7">
        <v>2016</v>
      </c>
      <c r="B167" s="5" t="s">
        <v>466</v>
      </c>
      <c r="C167" s="5" t="s">
        <v>181</v>
      </c>
      <c r="D167" s="5" t="s">
        <v>478</v>
      </c>
      <c r="E167" s="5" t="s">
        <v>190</v>
      </c>
      <c r="F167" s="5" t="s">
        <v>184</v>
      </c>
      <c r="G167" s="5" t="s">
        <v>191</v>
      </c>
      <c r="H167" s="10">
        <v>4.2868728395589022</v>
      </c>
      <c r="I167" s="10">
        <v>0</v>
      </c>
      <c r="J167" s="325">
        <v>4.2868728395589022</v>
      </c>
      <c r="K167" s="10">
        <v>4.4515401578805145</v>
      </c>
      <c r="L167" s="10">
        <v>1.0303757239687406</v>
      </c>
      <c r="M167" s="325">
        <v>5.4819158818492548</v>
      </c>
      <c r="N167" s="10">
        <v>2.621553360539731</v>
      </c>
      <c r="O167" s="10">
        <v>10.426404394857549</v>
      </c>
      <c r="P167" s="10">
        <v>3.213007376772516</v>
      </c>
      <c r="Q167" s="10">
        <v>2.4172091552262045</v>
      </c>
      <c r="R167" s="10">
        <v>4.9425808946947241</v>
      </c>
      <c r="S167" s="10">
        <v>6.4710669662732201</v>
      </c>
      <c r="T167" s="10">
        <v>13.636792436282748</v>
      </c>
      <c r="U167" s="10">
        <v>2.3718297438934535</v>
      </c>
      <c r="V167" s="325">
        <v>46.100444328540149</v>
      </c>
      <c r="W167" s="325">
        <v>55.869233049948306</v>
      </c>
      <c r="X167" s="10">
        <v>5.5072375741367994</v>
      </c>
      <c r="Y167" s="320">
        <v>61.376470624085108</v>
      </c>
    </row>
    <row r="168" spans="1:25" x14ac:dyDescent="0.2">
      <c r="A168" s="7">
        <v>2016</v>
      </c>
      <c r="B168" s="5" t="s">
        <v>466</v>
      </c>
      <c r="C168" s="5" t="s">
        <v>181</v>
      </c>
      <c r="D168" s="5" t="s">
        <v>476</v>
      </c>
      <c r="E168" s="5" t="s">
        <v>192</v>
      </c>
      <c r="F168" s="5" t="s">
        <v>184</v>
      </c>
      <c r="G168" s="5" t="s">
        <v>193</v>
      </c>
      <c r="H168" s="10">
        <v>4.2762534578933575</v>
      </c>
      <c r="I168" s="10">
        <v>0</v>
      </c>
      <c r="J168" s="325">
        <v>4.2762534578933575</v>
      </c>
      <c r="K168" s="10">
        <v>0.35409353562022294</v>
      </c>
      <c r="L168" s="10">
        <v>2.7705925363808479</v>
      </c>
      <c r="M168" s="325">
        <v>3.124686072001071</v>
      </c>
      <c r="N168" s="10">
        <v>8.9039451852729847</v>
      </c>
      <c r="O168" s="10">
        <v>2.1963861415096098</v>
      </c>
      <c r="P168" s="10">
        <v>0.67377339008768489</v>
      </c>
      <c r="Q168" s="10">
        <v>0.25237044925280383</v>
      </c>
      <c r="R168" s="10">
        <v>1.6798471517132176</v>
      </c>
      <c r="S168" s="10">
        <v>2.9472238244777693</v>
      </c>
      <c r="T168" s="10">
        <v>9.9720893610765504</v>
      </c>
      <c r="U168" s="10">
        <v>0.81483601991857324</v>
      </c>
      <c r="V168" s="325">
        <v>27.440471523309199</v>
      </c>
      <c r="W168" s="325">
        <v>34.841411053203629</v>
      </c>
      <c r="X168" s="10">
        <v>3.4772477927312524</v>
      </c>
      <c r="Y168" s="320">
        <v>38.318658845934884</v>
      </c>
    </row>
    <row r="169" spans="1:25" x14ac:dyDescent="0.2">
      <c r="A169" s="7">
        <v>2016</v>
      </c>
      <c r="B169" s="5" t="s">
        <v>466</v>
      </c>
      <c r="C169" s="5" t="s">
        <v>181</v>
      </c>
      <c r="D169" s="5" t="s">
        <v>479</v>
      </c>
      <c r="E169" s="5" t="s">
        <v>194</v>
      </c>
      <c r="F169" s="5" t="s">
        <v>184</v>
      </c>
      <c r="G169" s="5" t="s">
        <v>195</v>
      </c>
      <c r="H169" s="10">
        <v>121.34005274002338</v>
      </c>
      <c r="I169" s="10">
        <v>1.786303949990505E-3</v>
      </c>
      <c r="J169" s="325">
        <v>121.34183904397337</v>
      </c>
      <c r="K169" s="10">
        <v>35.582289067409825</v>
      </c>
      <c r="L169" s="10">
        <v>6.3035112089130951</v>
      </c>
      <c r="M169" s="325">
        <v>41.885800276322918</v>
      </c>
      <c r="N169" s="10">
        <v>17.351308222869875</v>
      </c>
      <c r="O169" s="10">
        <v>50.115123906160278</v>
      </c>
      <c r="P169" s="10">
        <v>6.2982328354331738</v>
      </c>
      <c r="Q169" s="10">
        <v>11.7208102477359</v>
      </c>
      <c r="R169" s="10">
        <v>22.079205038437003</v>
      </c>
      <c r="S169" s="10">
        <v>25.027937732313681</v>
      </c>
      <c r="T169" s="10">
        <v>21.320613727099694</v>
      </c>
      <c r="U169" s="10">
        <v>8.1879957714168015</v>
      </c>
      <c r="V169" s="325">
        <v>162.10122748146642</v>
      </c>
      <c r="W169" s="325">
        <v>325.32886680176273</v>
      </c>
      <c r="X169" s="10">
        <v>32.978686099293391</v>
      </c>
      <c r="Y169" s="320">
        <v>358.30755290105611</v>
      </c>
    </row>
    <row r="170" spans="1:25" x14ac:dyDescent="0.2">
      <c r="A170" s="7">
        <v>2016</v>
      </c>
      <c r="B170" s="5" t="s">
        <v>466</v>
      </c>
      <c r="C170" s="5" t="s">
        <v>181</v>
      </c>
      <c r="D170" s="5" t="s">
        <v>479</v>
      </c>
      <c r="E170" s="5" t="s">
        <v>196</v>
      </c>
      <c r="F170" s="5" t="s">
        <v>184</v>
      </c>
      <c r="G170" s="5" t="s">
        <v>197</v>
      </c>
      <c r="H170" s="10">
        <v>39.824636744446295</v>
      </c>
      <c r="I170" s="10">
        <v>0</v>
      </c>
      <c r="J170" s="325">
        <v>39.824636744446295</v>
      </c>
      <c r="K170" s="10">
        <v>116.5016186563667</v>
      </c>
      <c r="L170" s="10">
        <v>49.349812653358654</v>
      </c>
      <c r="M170" s="325">
        <v>165.85143130972534</v>
      </c>
      <c r="N170" s="10">
        <v>5.3684580738022243</v>
      </c>
      <c r="O170" s="10">
        <v>29.046113788715122</v>
      </c>
      <c r="P170" s="10">
        <v>2.6914521408201155</v>
      </c>
      <c r="Q170" s="10">
        <v>3.8002659933201253</v>
      </c>
      <c r="R170" s="10">
        <v>8.8622532774959328</v>
      </c>
      <c r="S170" s="10">
        <v>18.542311670192753</v>
      </c>
      <c r="T170" s="10">
        <v>15.284798521957562</v>
      </c>
      <c r="U170" s="10">
        <v>4.165614763073834</v>
      </c>
      <c r="V170" s="325">
        <v>87.761268229377677</v>
      </c>
      <c r="W170" s="325">
        <v>293.43733628354931</v>
      </c>
      <c r="X170" s="10">
        <v>28.765476877897864</v>
      </c>
      <c r="Y170" s="320">
        <v>322.20281316144718</v>
      </c>
    </row>
    <row r="171" spans="1:25" x14ac:dyDescent="0.2">
      <c r="A171" s="7">
        <v>2016</v>
      </c>
      <c r="B171" s="5" t="s">
        <v>466</v>
      </c>
      <c r="C171" s="5" t="s">
        <v>181</v>
      </c>
      <c r="D171" s="5" t="s">
        <v>476</v>
      </c>
      <c r="E171" s="5" t="s">
        <v>198</v>
      </c>
      <c r="F171" s="5" t="s">
        <v>184</v>
      </c>
      <c r="G171" s="5" t="s">
        <v>199</v>
      </c>
      <c r="H171" s="10">
        <v>14.594956862644505</v>
      </c>
      <c r="I171" s="10">
        <v>0.26613052050598801</v>
      </c>
      <c r="J171" s="325">
        <v>14.861087383150492</v>
      </c>
      <c r="K171" s="10">
        <v>13.295864894393318</v>
      </c>
      <c r="L171" s="10">
        <v>10.034816392499971</v>
      </c>
      <c r="M171" s="325">
        <v>23.330681286893288</v>
      </c>
      <c r="N171" s="10">
        <v>128.40094097004152</v>
      </c>
      <c r="O171" s="10">
        <v>16.484295041607226</v>
      </c>
      <c r="P171" s="10">
        <v>9.2278838596957602</v>
      </c>
      <c r="Q171" s="10">
        <v>1.7454215063246534</v>
      </c>
      <c r="R171" s="10">
        <v>7.6639145973740321</v>
      </c>
      <c r="S171" s="10">
        <v>20.217013796286263</v>
      </c>
      <c r="T171" s="10">
        <v>25.679670998281921</v>
      </c>
      <c r="U171" s="10">
        <v>3.5295586034739155</v>
      </c>
      <c r="V171" s="325">
        <v>212.94869937308528</v>
      </c>
      <c r="W171" s="325">
        <v>251.14046804312906</v>
      </c>
      <c r="X171" s="10">
        <v>25.115576986478793</v>
      </c>
      <c r="Y171" s="320">
        <v>276.25604502960783</v>
      </c>
    </row>
    <row r="172" spans="1:25" x14ac:dyDescent="0.2">
      <c r="A172" s="7">
        <v>2016</v>
      </c>
      <c r="B172" s="5" t="s">
        <v>466</v>
      </c>
      <c r="C172" s="5" t="s">
        <v>181</v>
      </c>
      <c r="D172" s="5" t="s">
        <v>476</v>
      </c>
      <c r="E172" s="5" t="s">
        <v>200</v>
      </c>
      <c r="F172" s="5" t="s">
        <v>184</v>
      </c>
      <c r="G172" s="5" t="s">
        <v>201</v>
      </c>
      <c r="H172" s="10">
        <v>5.8525476433472461</v>
      </c>
      <c r="I172" s="10">
        <v>0</v>
      </c>
      <c r="J172" s="325">
        <v>5.8525476433472461</v>
      </c>
      <c r="K172" s="10">
        <v>1.2344474919678043</v>
      </c>
      <c r="L172" s="10">
        <v>3.6220606079609508</v>
      </c>
      <c r="M172" s="325">
        <v>4.8565080999287549</v>
      </c>
      <c r="N172" s="10">
        <v>21.888270939635223</v>
      </c>
      <c r="O172" s="10">
        <v>1.2740622753906503</v>
      </c>
      <c r="P172" s="10">
        <v>0.51627112693103172</v>
      </c>
      <c r="Q172" s="10">
        <v>0.32319109183353323</v>
      </c>
      <c r="R172" s="10">
        <v>0.58747035781233314</v>
      </c>
      <c r="S172" s="10">
        <v>3.0849114902119896</v>
      </c>
      <c r="T172" s="10">
        <v>9.1328735010375564</v>
      </c>
      <c r="U172" s="10">
        <v>0.47732516964441696</v>
      </c>
      <c r="V172" s="325">
        <v>37.284375952496731</v>
      </c>
      <c r="W172" s="325">
        <v>47.993431695772728</v>
      </c>
      <c r="X172" s="10">
        <v>4.8168732137712453</v>
      </c>
      <c r="Y172" s="320">
        <v>52.810304909543973</v>
      </c>
    </row>
    <row r="173" spans="1:25" x14ac:dyDescent="0.2">
      <c r="A173" s="7">
        <v>2016</v>
      </c>
      <c r="B173" s="5" t="s">
        <v>466</v>
      </c>
      <c r="C173" s="5" t="s">
        <v>181</v>
      </c>
      <c r="D173" s="5" t="s">
        <v>480</v>
      </c>
      <c r="E173" s="5" t="s">
        <v>202</v>
      </c>
      <c r="F173" s="5" t="s">
        <v>184</v>
      </c>
      <c r="G173" s="5" t="s">
        <v>203</v>
      </c>
      <c r="H173" s="10">
        <v>32.599060656240063</v>
      </c>
      <c r="I173" s="10">
        <v>5.4372050202439031</v>
      </c>
      <c r="J173" s="325">
        <v>38.036265676483964</v>
      </c>
      <c r="K173" s="10">
        <v>9.2384368612637324</v>
      </c>
      <c r="L173" s="10">
        <v>9.5952225152198007</v>
      </c>
      <c r="M173" s="325">
        <v>18.833659376483531</v>
      </c>
      <c r="N173" s="10">
        <v>8.7501848457556015</v>
      </c>
      <c r="O173" s="10">
        <v>28.972613582431613</v>
      </c>
      <c r="P173" s="10">
        <v>16.698957118574157</v>
      </c>
      <c r="Q173" s="10">
        <v>9.2736077220577542</v>
      </c>
      <c r="R173" s="10">
        <v>21.733473495676098</v>
      </c>
      <c r="S173" s="10">
        <v>19.32000441488853</v>
      </c>
      <c r="T173" s="10">
        <v>25.818823868406234</v>
      </c>
      <c r="U173" s="10">
        <v>6.9151758984340779</v>
      </c>
      <c r="V173" s="325">
        <v>137.48284094622409</v>
      </c>
      <c r="W173" s="325">
        <v>194.35276599919158</v>
      </c>
      <c r="X173" s="10">
        <v>19.311690341097613</v>
      </c>
      <c r="Y173" s="320">
        <v>213.66445634028918</v>
      </c>
    </row>
    <row r="174" spans="1:25" x14ac:dyDescent="0.2">
      <c r="A174" s="7">
        <v>2016</v>
      </c>
      <c r="B174" s="5" t="s">
        <v>466</v>
      </c>
      <c r="C174" s="5" t="s">
        <v>181</v>
      </c>
      <c r="D174" s="5" t="s">
        <v>480</v>
      </c>
      <c r="E174" s="5" t="s">
        <v>204</v>
      </c>
      <c r="F174" s="5" t="s">
        <v>184</v>
      </c>
      <c r="G174" s="5" t="s">
        <v>205</v>
      </c>
      <c r="H174" s="10">
        <v>12.040321570793388</v>
      </c>
      <c r="I174" s="10">
        <v>0</v>
      </c>
      <c r="J174" s="325">
        <v>12.040321570793388</v>
      </c>
      <c r="K174" s="10">
        <v>0.94455696257425148</v>
      </c>
      <c r="L174" s="10">
        <v>4.4798868885235912</v>
      </c>
      <c r="M174" s="325">
        <v>5.424443851097843</v>
      </c>
      <c r="N174" s="10">
        <v>1.5503627180672686</v>
      </c>
      <c r="O174" s="10">
        <v>6.9321673955536047</v>
      </c>
      <c r="P174" s="10">
        <v>4.4328127798252375</v>
      </c>
      <c r="Q174" s="10">
        <v>1.6127389289960177</v>
      </c>
      <c r="R174" s="10">
        <v>9.2271672395921644</v>
      </c>
      <c r="S174" s="10">
        <v>5.4859252973449895</v>
      </c>
      <c r="T174" s="10">
        <v>10.783082229234648</v>
      </c>
      <c r="U174" s="10">
        <v>3.4319447571239077</v>
      </c>
      <c r="V174" s="325">
        <v>43.456201345737846</v>
      </c>
      <c r="W174" s="325">
        <v>60.920966767629075</v>
      </c>
      <c r="X174" s="10">
        <v>6.0631977208651922</v>
      </c>
      <c r="Y174" s="320">
        <v>66.984164488494272</v>
      </c>
    </row>
    <row r="175" spans="1:25" x14ac:dyDescent="0.2">
      <c r="A175" s="7">
        <v>2016</v>
      </c>
      <c r="B175" s="5" t="s">
        <v>466</v>
      </c>
      <c r="C175" s="5" t="s">
        <v>181</v>
      </c>
      <c r="D175" s="5" t="s">
        <v>479</v>
      </c>
      <c r="E175" s="5" t="s">
        <v>206</v>
      </c>
      <c r="F175" s="5" t="s">
        <v>184</v>
      </c>
      <c r="G175" s="5" t="s">
        <v>207</v>
      </c>
      <c r="H175" s="10">
        <v>3.2546362333787249</v>
      </c>
      <c r="I175" s="10">
        <v>0</v>
      </c>
      <c r="J175" s="325">
        <v>3.2546362333787249</v>
      </c>
      <c r="K175" s="10">
        <v>1.4875853337922356</v>
      </c>
      <c r="L175" s="10">
        <v>1.3213423010498007</v>
      </c>
      <c r="M175" s="325">
        <v>2.8089276348420364</v>
      </c>
      <c r="N175" s="10">
        <v>0.8477178590334139</v>
      </c>
      <c r="O175" s="10">
        <v>2.5826176826304441</v>
      </c>
      <c r="P175" s="10">
        <v>0.66056361452925016</v>
      </c>
      <c r="Q175" s="10">
        <v>0.43706280760875194</v>
      </c>
      <c r="R175" s="10">
        <v>1.3201801994403606</v>
      </c>
      <c r="S175" s="10">
        <v>2.8441497148929824</v>
      </c>
      <c r="T175" s="10">
        <v>14.155781531632266</v>
      </c>
      <c r="U175" s="10">
        <v>0.56230807812560146</v>
      </c>
      <c r="V175" s="325">
        <v>23.410381487893073</v>
      </c>
      <c r="W175" s="325">
        <v>29.473945356113834</v>
      </c>
      <c r="X175" s="10">
        <v>2.9148659923111571</v>
      </c>
      <c r="Y175" s="320">
        <v>32.388811348424994</v>
      </c>
    </row>
    <row r="176" spans="1:25" x14ac:dyDescent="0.2">
      <c r="A176" s="7">
        <v>2016</v>
      </c>
      <c r="B176" s="5" t="s">
        <v>466</v>
      </c>
      <c r="C176" s="5" t="s">
        <v>181</v>
      </c>
      <c r="D176" s="5" t="s">
        <v>479</v>
      </c>
      <c r="E176" s="5" t="s">
        <v>208</v>
      </c>
      <c r="F176" s="5" t="s">
        <v>184</v>
      </c>
      <c r="G176" s="5" t="s">
        <v>209</v>
      </c>
      <c r="H176" s="10">
        <v>84.433736148990675</v>
      </c>
      <c r="I176" s="10">
        <v>6.1301248226265544E-3</v>
      </c>
      <c r="J176" s="325">
        <v>84.439866273813308</v>
      </c>
      <c r="K176" s="10">
        <v>373.18320316892988</v>
      </c>
      <c r="L176" s="10">
        <v>72.898273334183955</v>
      </c>
      <c r="M176" s="325">
        <v>446.08147650311383</v>
      </c>
      <c r="N176" s="10">
        <v>14.07869712516654</v>
      </c>
      <c r="O176" s="10">
        <v>52.645794688495279</v>
      </c>
      <c r="P176" s="10">
        <v>7.6661071924731043</v>
      </c>
      <c r="Q176" s="10">
        <v>8.8776308205392258</v>
      </c>
      <c r="R176" s="10">
        <v>21.326150634559951</v>
      </c>
      <c r="S176" s="10">
        <v>45.94320026023447</v>
      </c>
      <c r="T176" s="10">
        <v>36.3263651059886</v>
      </c>
      <c r="U176" s="10">
        <v>5.5560022068395218</v>
      </c>
      <c r="V176" s="325">
        <v>192.41994803429668</v>
      </c>
      <c r="W176" s="325">
        <v>722.94129081122378</v>
      </c>
      <c r="X176" s="10">
        <v>70.489443337299321</v>
      </c>
      <c r="Y176" s="320">
        <v>793.43073414852313</v>
      </c>
    </row>
    <row r="177" spans="1:25" x14ac:dyDescent="0.2">
      <c r="A177" s="7">
        <v>2016</v>
      </c>
      <c r="B177" s="5" t="s">
        <v>466</v>
      </c>
      <c r="C177" s="5" t="s">
        <v>181</v>
      </c>
      <c r="D177" s="5" t="s">
        <v>479</v>
      </c>
      <c r="E177" s="5" t="s">
        <v>210</v>
      </c>
      <c r="F177" s="5" t="s">
        <v>184</v>
      </c>
      <c r="G177" s="5" t="s">
        <v>211</v>
      </c>
      <c r="H177" s="10">
        <v>230.71821917083702</v>
      </c>
      <c r="I177" s="10">
        <v>2.142179296921328</v>
      </c>
      <c r="J177" s="325">
        <v>232.86039846775836</v>
      </c>
      <c r="K177" s="10">
        <v>120.79398231352411</v>
      </c>
      <c r="L177" s="10">
        <v>32.688154000126083</v>
      </c>
      <c r="M177" s="325">
        <v>153.48213631365019</v>
      </c>
      <c r="N177" s="10">
        <v>22.262927624073093</v>
      </c>
      <c r="O177" s="10">
        <v>83.304072789848107</v>
      </c>
      <c r="P177" s="10">
        <v>12.23140676854616</v>
      </c>
      <c r="Q177" s="10">
        <v>11.25329374022148</v>
      </c>
      <c r="R177" s="10">
        <v>26.384074825831469</v>
      </c>
      <c r="S177" s="10">
        <v>48.658827949665174</v>
      </c>
      <c r="T177" s="10">
        <v>92.87643951526988</v>
      </c>
      <c r="U177" s="10">
        <v>9.7170160770866687</v>
      </c>
      <c r="V177" s="325">
        <v>306.68805929054201</v>
      </c>
      <c r="W177" s="325">
        <v>693.03059407195053</v>
      </c>
      <c r="X177" s="10">
        <v>69.865600184809821</v>
      </c>
      <c r="Y177" s="320">
        <v>762.8961942567604</v>
      </c>
    </row>
    <row r="178" spans="1:25" x14ac:dyDescent="0.2">
      <c r="A178" s="7">
        <v>2016</v>
      </c>
      <c r="B178" s="5" t="s">
        <v>466</v>
      </c>
      <c r="C178" s="5" t="s">
        <v>181</v>
      </c>
      <c r="D178" s="5" t="s">
        <v>480</v>
      </c>
      <c r="E178" s="5" t="s">
        <v>212</v>
      </c>
      <c r="F178" s="5" t="s">
        <v>184</v>
      </c>
      <c r="G178" s="5" t="s">
        <v>213</v>
      </c>
      <c r="H178" s="10">
        <v>7.8683705141661413</v>
      </c>
      <c r="I178" s="10">
        <v>0</v>
      </c>
      <c r="J178" s="325">
        <v>7.8683705141661413</v>
      </c>
      <c r="K178" s="10">
        <v>5.079156924711242</v>
      </c>
      <c r="L178" s="10">
        <v>0.20543289918610996</v>
      </c>
      <c r="M178" s="325">
        <v>5.2845898238973517</v>
      </c>
      <c r="N178" s="10">
        <v>7.6660165815221522</v>
      </c>
      <c r="O178" s="10">
        <v>7.1283451896843406</v>
      </c>
      <c r="P178" s="10">
        <v>1.8161684454641984</v>
      </c>
      <c r="Q178" s="10">
        <v>0.83593223026389063</v>
      </c>
      <c r="R178" s="10">
        <v>2.2422304093644398</v>
      </c>
      <c r="S178" s="10">
        <v>5.0565371096137302</v>
      </c>
      <c r="T178" s="10">
        <v>17.884219184737049</v>
      </c>
      <c r="U178" s="10">
        <v>1.2604888710451589</v>
      </c>
      <c r="V178" s="325">
        <v>43.88993802169496</v>
      </c>
      <c r="W178" s="325">
        <v>57.042898359758453</v>
      </c>
      <c r="X178" s="10">
        <v>5.6802991377030692</v>
      </c>
      <c r="Y178" s="320">
        <v>62.72319749746152</v>
      </c>
    </row>
    <row r="179" spans="1:25" x14ac:dyDescent="0.2">
      <c r="A179" s="7">
        <v>2016</v>
      </c>
      <c r="B179" s="5" t="s">
        <v>466</v>
      </c>
      <c r="C179" s="5" t="s">
        <v>181</v>
      </c>
      <c r="D179" s="5" t="s">
        <v>478</v>
      </c>
      <c r="E179" s="5" t="s">
        <v>214</v>
      </c>
      <c r="F179" s="5" t="s">
        <v>184</v>
      </c>
      <c r="G179" s="5" t="s">
        <v>215</v>
      </c>
      <c r="H179" s="10">
        <v>10.105519508670254</v>
      </c>
      <c r="I179" s="10">
        <v>4.760442510961628</v>
      </c>
      <c r="J179" s="325">
        <v>14.865962019631882</v>
      </c>
      <c r="K179" s="10">
        <v>3.6994256405227977</v>
      </c>
      <c r="L179" s="10">
        <v>5.6970691826448396</v>
      </c>
      <c r="M179" s="325">
        <v>9.3964948231676377</v>
      </c>
      <c r="N179" s="10">
        <v>2.6118670855204331</v>
      </c>
      <c r="O179" s="10">
        <v>21.00906053947017</v>
      </c>
      <c r="P179" s="10">
        <v>2.2799158471517558</v>
      </c>
      <c r="Q179" s="10">
        <v>1.8470135498546751</v>
      </c>
      <c r="R179" s="10">
        <v>3.8982282990558423</v>
      </c>
      <c r="S179" s="10">
        <v>10.170609719186569</v>
      </c>
      <c r="T179" s="10">
        <v>40.718641543653433</v>
      </c>
      <c r="U179" s="10">
        <v>1.8985933553470686</v>
      </c>
      <c r="V179" s="325">
        <v>84.433929939239945</v>
      </c>
      <c r="W179" s="325">
        <v>108.69638678203947</v>
      </c>
      <c r="X179" s="10">
        <v>10.790117901044839</v>
      </c>
      <c r="Y179" s="320">
        <v>119.48650468308431</v>
      </c>
    </row>
    <row r="180" spans="1:25" x14ac:dyDescent="0.2">
      <c r="A180" s="7">
        <v>2016</v>
      </c>
      <c r="B180" s="5" t="s">
        <v>466</v>
      </c>
      <c r="C180" s="5" t="s">
        <v>181</v>
      </c>
      <c r="D180" s="5" t="s">
        <v>478</v>
      </c>
      <c r="E180" s="5" t="s">
        <v>216</v>
      </c>
      <c r="F180" s="5" t="s">
        <v>184</v>
      </c>
      <c r="G180" s="5" t="s">
        <v>217</v>
      </c>
      <c r="H180" s="10">
        <v>41.519876107231546</v>
      </c>
      <c r="I180" s="10">
        <v>9.4124324088940933E-2</v>
      </c>
      <c r="J180" s="325">
        <v>41.614000431320484</v>
      </c>
      <c r="K180" s="10">
        <v>82.943265527249494</v>
      </c>
      <c r="L180" s="10">
        <v>31.707838484841371</v>
      </c>
      <c r="M180" s="325">
        <v>114.65110401209087</v>
      </c>
      <c r="N180" s="10">
        <v>21.861138120778524</v>
      </c>
      <c r="O180" s="10">
        <v>123.58006398706425</v>
      </c>
      <c r="P180" s="10">
        <v>11.445114948853691</v>
      </c>
      <c r="Q180" s="10">
        <v>18.030863232909695</v>
      </c>
      <c r="R180" s="10">
        <v>37.067734174297833</v>
      </c>
      <c r="S180" s="10">
        <v>44.384132771784316</v>
      </c>
      <c r="T180" s="10">
        <v>34.139075657373787</v>
      </c>
      <c r="U180" s="10">
        <v>14.662600787976604</v>
      </c>
      <c r="V180" s="325">
        <v>305.17072368103868</v>
      </c>
      <c r="W180" s="325">
        <v>461.43582812445004</v>
      </c>
      <c r="X180" s="10">
        <v>45.566199928584602</v>
      </c>
      <c r="Y180" s="320">
        <v>507.00202805303462</v>
      </c>
    </row>
    <row r="181" spans="1:25" x14ac:dyDescent="0.2">
      <c r="A181" s="7">
        <v>2016</v>
      </c>
      <c r="B181" s="5" t="s">
        <v>466</v>
      </c>
      <c r="C181" s="5" t="s">
        <v>218</v>
      </c>
      <c r="D181" s="5" t="s">
        <v>481</v>
      </c>
      <c r="E181" s="5" t="s">
        <v>220</v>
      </c>
      <c r="F181" s="5" t="s">
        <v>221</v>
      </c>
      <c r="G181" s="5" t="s">
        <v>223</v>
      </c>
      <c r="H181" s="10">
        <v>3.6290352667976569</v>
      </c>
      <c r="I181" s="10">
        <v>0</v>
      </c>
      <c r="J181" s="325">
        <v>3.6290352667976569</v>
      </c>
      <c r="K181" s="10">
        <v>0.77235285983720414</v>
      </c>
      <c r="L181" s="10">
        <v>0.97335642617356322</v>
      </c>
      <c r="M181" s="325">
        <v>1.7457092860107672</v>
      </c>
      <c r="N181" s="10">
        <v>1.6587512388768308</v>
      </c>
      <c r="O181" s="10">
        <v>1.0390608595379367</v>
      </c>
      <c r="P181" s="10">
        <v>0.36844003223962518</v>
      </c>
      <c r="Q181" s="10">
        <v>0.23217269738913807</v>
      </c>
      <c r="R181" s="10">
        <v>0.64593350413800366</v>
      </c>
      <c r="S181" s="10">
        <v>1.5672147231705389</v>
      </c>
      <c r="T181" s="10">
        <v>7.4573142641558858</v>
      </c>
      <c r="U181" s="10">
        <v>0.28085003400528891</v>
      </c>
      <c r="V181" s="325">
        <v>13.249737353513249</v>
      </c>
      <c r="W181" s="325">
        <v>18.624481906321673</v>
      </c>
      <c r="X181" s="10">
        <v>1.8595668980244806</v>
      </c>
      <c r="Y181" s="320">
        <v>20.484048804346152</v>
      </c>
    </row>
    <row r="182" spans="1:25" x14ac:dyDescent="0.2">
      <c r="A182" s="7">
        <v>2016</v>
      </c>
      <c r="B182" s="5" t="s">
        <v>466</v>
      </c>
      <c r="C182" s="5" t="s">
        <v>218</v>
      </c>
      <c r="D182" s="5" t="s">
        <v>482</v>
      </c>
      <c r="E182" s="5" t="s">
        <v>224</v>
      </c>
      <c r="F182" s="5" t="s">
        <v>221</v>
      </c>
      <c r="G182" s="5" t="s">
        <v>226</v>
      </c>
      <c r="H182" s="10">
        <v>21.425939953131461</v>
      </c>
      <c r="I182" s="10">
        <v>0</v>
      </c>
      <c r="J182" s="325">
        <v>21.425939953131461</v>
      </c>
      <c r="K182" s="10">
        <v>1.4016213738082213</v>
      </c>
      <c r="L182" s="10">
        <v>4.8118606431025936</v>
      </c>
      <c r="M182" s="325">
        <v>6.2134820169108149</v>
      </c>
      <c r="N182" s="10">
        <v>1.3404641302767897</v>
      </c>
      <c r="O182" s="10">
        <v>6.0859111526677339</v>
      </c>
      <c r="P182" s="10">
        <v>3.0015881336593968</v>
      </c>
      <c r="Q182" s="10">
        <v>2.0241834120835178</v>
      </c>
      <c r="R182" s="10">
        <v>4.8394633871335051</v>
      </c>
      <c r="S182" s="10">
        <v>6.7198077461551637</v>
      </c>
      <c r="T182" s="10">
        <v>10.091028373250511</v>
      </c>
      <c r="U182" s="10">
        <v>1.8884566219651537</v>
      </c>
      <c r="V182" s="325">
        <v>35.990902957191771</v>
      </c>
      <c r="W182" s="325">
        <v>63.630324927234049</v>
      </c>
      <c r="X182" s="10">
        <v>6.4199934146619997</v>
      </c>
      <c r="Y182" s="320">
        <v>70.050318341896045</v>
      </c>
    </row>
    <row r="183" spans="1:25" x14ac:dyDescent="0.2">
      <c r="A183" s="7">
        <v>2016</v>
      </c>
      <c r="B183" s="5" t="s">
        <v>466</v>
      </c>
      <c r="C183" s="5" t="s">
        <v>218</v>
      </c>
      <c r="D183" s="5" t="s">
        <v>482</v>
      </c>
      <c r="E183" s="5" t="s">
        <v>227</v>
      </c>
      <c r="F183" s="5" t="s">
        <v>221</v>
      </c>
      <c r="G183" s="5" t="s">
        <v>228</v>
      </c>
      <c r="H183" s="10">
        <v>10.134610807628238</v>
      </c>
      <c r="I183" s="10">
        <v>0</v>
      </c>
      <c r="J183" s="325">
        <v>10.134610807628238</v>
      </c>
      <c r="K183" s="10">
        <v>1.027257449907357</v>
      </c>
      <c r="L183" s="10">
        <v>3.499184364759067</v>
      </c>
      <c r="M183" s="325">
        <v>4.5264418146664243</v>
      </c>
      <c r="N183" s="10">
        <v>1.0509582113234623</v>
      </c>
      <c r="O183" s="10">
        <v>4.8182413111035798</v>
      </c>
      <c r="P183" s="10">
        <v>2.589328186971402</v>
      </c>
      <c r="Q183" s="10">
        <v>2.3571571420961646</v>
      </c>
      <c r="R183" s="10">
        <v>4.1049453210235773</v>
      </c>
      <c r="S183" s="10">
        <v>5.2629936026454844</v>
      </c>
      <c r="T183" s="10">
        <v>14.465738807484396</v>
      </c>
      <c r="U183" s="10">
        <v>2.1028612250735268</v>
      </c>
      <c r="V183" s="325">
        <v>36.752223807721592</v>
      </c>
      <c r="W183" s="325">
        <v>51.413276430016253</v>
      </c>
      <c r="X183" s="10">
        <v>5.1102761504638723</v>
      </c>
      <c r="Y183" s="320">
        <v>56.523552580480128</v>
      </c>
    </row>
    <row r="184" spans="1:25" x14ac:dyDescent="0.2">
      <c r="A184" s="7">
        <v>2016</v>
      </c>
      <c r="B184" s="5" t="s">
        <v>466</v>
      </c>
      <c r="C184" s="5" t="s">
        <v>218</v>
      </c>
      <c r="D184" s="5" t="s">
        <v>482</v>
      </c>
      <c r="E184" s="5" t="s">
        <v>229</v>
      </c>
      <c r="F184" s="5" t="s">
        <v>221</v>
      </c>
      <c r="G184" s="5" t="s">
        <v>230</v>
      </c>
      <c r="H184" s="10">
        <v>6.4263993813221454</v>
      </c>
      <c r="I184" s="10">
        <v>33.381132853536428</v>
      </c>
      <c r="J184" s="325">
        <v>39.80753223485857</v>
      </c>
      <c r="K184" s="10">
        <v>3.153354125196369</v>
      </c>
      <c r="L184" s="10">
        <v>2.0296864805671313</v>
      </c>
      <c r="M184" s="325">
        <v>5.1830406057634999</v>
      </c>
      <c r="N184" s="10">
        <v>3.627075286215252</v>
      </c>
      <c r="O184" s="10">
        <v>5.7634434128894805</v>
      </c>
      <c r="P184" s="10">
        <v>3.6497955443275152</v>
      </c>
      <c r="Q184" s="10">
        <v>1.7523648183019258</v>
      </c>
      <c r="R184" s="10">
        <v>7.7102767369008163</v>
      </c>
      <c r="S184" s="10">
        <v>7.6795058316316984</v>
      </c>
      <c r="T184" s="10">
        <v>12.016851218628902</v>
      </c>
      <c r="U184" s="10">
        <v>2.6391933912044268</v>
      </c>
      <c r="V184" s="325">
        <v>44.838506240100017</v>
      </c>
      <c r="W184" s="325">
        <v>89.829079080722096</v>
      </c>
      <c r="X184" s="10">
        <v>8.9289878177544466</v>
      </c>
      <c r="Y184" s="320">
        <v>98.758066898476542</v>
      </c>
    </row>
    <row r="185" spans="1:25" x14ac:dyDescent="0.2">
      <c r="A185" s="7">
        <v>2016</v>
      </c>
      <c r="B185" s="5" t="s">
        <v>466</v>
      </c>
      <c r="C185" s="5" t="s">
        <v>218</v>
      </c>
      <c r="D185" s="5" t="s">
        <v>482</v>
      </c>
      <c r="E185" s="5" t="s">
        <v>231</v>
      </c>
      <c r="F185" s="5" t="s">
        <v>221</v>
      </c>
      <c r="G185" s="5" t="s">
        <v>232</v>
      </c>
      <c r="H185" s="10">
        <v>19.693484555732635</v>
      </c>
      <c r="I185" s="10">
        <v>1.2404925898846948</v>
      </c>
      <c r="J185" s="325">
        <v>20.93397714561733</v>
      </c>
      <c r="K185" s="10">
        <v>2.397656849729354</v>
      </c>
      <c r="L185" s="10">
        <v>4.0965717265084773</v>
      </c>
      <c r="M185" s="325">
        <v>6.4942285762378313</v>
      </c>
      <c r="N185" s="10">
        <v>0.76312606490984058</v>
      </c>
      <c r="O185" s="10">
        <v>6.0406061508119464</v>
      </c>
      <c r="P185" s="10">
        <v>1.8731457559865328</v>
      </c>
      <c r="Q185" s="10">
        <v>1.6788643407265935</v>
      </c>
      <c r="R185" s="10">
        <v>3.7621738231303703</v>
      </c>
      <c r="S185" s="10">
        <v>6.3847372029230893</v>
      </c>
      <c r="T185" s="10">
        <v>23.781859850072124</v>
      </c>
      <c r="U185" s="10">
        <v>1.5046609387371483</v>
      </c>
      <c r="V185" s="325">
        <v>45.789174127297642</v>
      </c>
      <c r="W185" s="325">
        <v>73.217379849152806</v>
      </c>
      <c r="X185" s="10">
        <v>7.3461657302188863</v>
      </c>
      <c r="Y185" s="320">
        <v>80.563545579371691</v>
      </c>
    </row>
    <row r="186" spans="1:25" x14ac:dyDescent="0.2">
      <c r="A186" s="7">
        <v>2016</v>
      </c>
      <c r="B186" s="5" t="s">
        <v>466</v>
      </c>
      <c r="C186" s="5" t="s">
        <v>218</v>
      </c>
      <c r="D186" s="5" t="s">
        <v>481</v>
      </c>
      <c r="E186" s="5" t="s">
        <v>233</v>
      </c>
      <c r="F186" s="5" t="s">
        <v>221</v>
      </c>
      <c r="G186" s="5" t="s">
        <v>234</v>
      </c>
      <c r="H186" s="10">
        <v>17.608631045317257</v>
      </c>
      <c r="I186" s="10">
        <v>16.54604279680655</v>
      </c>
      <c r="J186" s="325">
        <v>34.154673842123806</v>
      </c>
      <c r="K186" s="10">
        <v>1.3402823571298657</v>
      </c>
      <c r="L186" s="10">
        <v>9.4036857051078204</v>
      </c>
      <c r="M186" s="325">
        <v>10.743968062237686</v>
      </c>
      <c r="N186" s="10">
        <v>7.6909057509265981</v>
      </c>
      <c r="O186" s="10">
        <v>21.301654361897405</v>
      </c>
      <c r="P186" s="10">
        <v>3.9184664340686197</v>
      </c>
      <c r="Q186" s="10">
        <v>3.272565140186583</v>
      </c>
      <c r="R186" s="10">
        <v>10.545336425374709</v>
      </c>
      <c r="S186" s="10">
        <v>11.952704208484567</v>
      </c>
      <c r="T186" s="10">
        <v>27.003757170873012</v>
      </c>
      <c r="U186" s="10">
        <v>3.2909384968007505</v>
      </c>
      <c r="V186" s="325">
        <v>88.97632798861224</v>
      </c>
      <c r="W186" s="325">
        <v>133.87496989297372</v>
      </c>
      <c r="X186" s="10">
        <v>13.352650193222617</v>
      </c>
      <c r="Y186" s="320">
        <v>147.22762008619634</v>
      </c>
    </row>
    <row r="187" spans="1:25" x14ac:dyDescent="0.2">
      <c r="A187" s="7">
        <v>2016</v>
      </c>
      <c r="B187" s="5" t="s">
        <v>466</v>
      </c>
      <c r="C187" s="5" t="s">
        <v>218</v>
      </c>
      <c r="D187" s="5" t="s">
        <v>481</v>
      </c>
      <c r="E187" s="5" t="s">
        <v>235</v>
      </c>
      <c r="F187" s="5" t="s">
        <v>221</v>
      </c>
      <c r="G187" s="5" t="s">
        <v>236</v>
      </c>
      <c r="H187" s="10">
        <v>61.93222724534737</v>
      </c>
      <c r="I187" s="10">
        <v>5.2170837227405016E-2</v>
      </c>
      <c r="J187" s="325">
        <v>61.984398082574778</v>
      </c>
      <c r="K187" s="10">
        <v>4.2073821047171123</v>
      </c>
      <c r="L187" s="10">
        <v>14.59201279931753</v>
      </c>
      <c r="M187" s="325">
        <v>18.799394904034642</v>
      </c>
      <c r="N187" s="10">
        <v>4.8424844088424255</v>
      </c>
      <c r="O187" s="10">
        <v>39.58921289202317</v>
      </c>
      <c r="P187" s="10">
        <v>7.4142488616983462</v>
      </c>
      <c r="Q187" s="10">
        <v>6.9652537602169149</v>
      </c>
      <c r="R187" s="10">
        <v>14.556200247245544</v>
      </c>
      <c r="S187" s="10">
        <v>17.580804871854347</v>
      </c>
      <c r="T187" s="10">
        <v>27.322457965720162</v>
      </c>
      <c r="U187" s="10">
        <v>6.5388717549988247</v>
      </c>
      <c r="V187" s="325">
        <v>124.80953476259974</v>
      </c>
      <c r="W187" s="325">
        <v>205.59332774920915</v>
      </c>
      <c r="X187" s="10">
        <v>20.749067520514458</v>
      </c>
      <c r="Y187" s="320">
        <v>226.34239526972362</v>
      </c>
    </row>
    <row r="188" spans="1:25" x14ac:dyDescent="0.2">
      <c r="A188" s="7">
        <v>2016</v>
      </c>
      <c r="B188" s="5" t="s">
        <v>466</v>
      </c>
      <c r="C188" s="5" t="s">
        <v>218</v>
      </c>
      <c r="D188" s="5" t="s">
        <v>482</v>
      </c>
      <c r="E188" s="5" t="s">
        <v>237</v>
      </c>
      <c r="F188" s="5" t="s">
        <v>221</v>
      </c>
      <c r="G188" s="5" t="s">
        <v>238</v>
      </c>
      <c r="H188" s="10">
        <v>53.649317804307948</v>
      </c>
      <c r="I188" s="10">
        <v>0</v>
      </c>
      <c r="J188" s="325">
        <v>53.649317804307948</v>
      </c>
      <c r="K188" s="10">
        <v>6.5152921900091059</v>
      </c>
      <c r="L188" s="10">
        <v>7.2455164393425422</v>
      </c>
      <c r="M188" s="325">
        <v>13.760808629351647</v>
      </c>
      <c r="N188" s="10">
        <v>2.5025283859456389</v>
      </c>
      <c r="O188" s="10">
        <v>10.971002034530137</v>
      </c>
      <c r="P188" s="10">
        <v>3.5448235941565009</v>
      </c>
      <c r="Q188" s="10">
        <v>2.6828312482397836</v>
      </c>
      <c r="R188" s="10">
        <v>9.1507477254394018</v>
      </c>
      <c r="S188" s="10">
        <v>10.627837123998328</v>
      </c>
      <c r="T188" s="10">
        <v>28.906604978485039</v>
      </c>
      <c r="U188" s="10">
        <v>4.512599432176704</v>
      </c>
      <c r="V188" s="325">
        <v>72.898974522971528</v>
      </c>
      <c r="W188" s="325">
        <v>140.30910095663111</v>
      </c>
      <c r="X188" s="10">
        <v>14.217297751681729</v>
      </c>
      <c r="Y188" s="320">
        <v>154.52639870831285</v>
      </c>
    </row>
    <row r="189" spans="1:25" x14ac:dyDescent="0.2">
      <c r="A189" s="7">
        <v>2016</v>
      </c>
      <c r="B189" s="5" t="s">
        <v>466</v>
      </c>
      <c r="C189" s="5" t="s">
        <v>218</v>
      </c>
      <c r="D189" s="5" t="s">
        <v>481</v>
      </c>
      <c r="E189" s="5" t="s">
        <v>239</v>
      </c>
      <c r="F189" s="5" t="s">
        <v>221</v>
      </c>
      <c r="G189" s="5" t="s">
        <v>240</v>
      </c>
      <c r="H189" s="10">
        <v>25.823961648435468</v>
      </c>
      <c r="I189" s="10">
        <v>6.4047603514111477</v>
      </c>
      <c r="J189" s="325">
        <v>32.228721999846613</v>
      </c>
      <c r="K189" s="10">
        <v>1.2095360472157453</v>
      </c>
      <c r="L189" s="10">
        <v>14.672089510939614</v>
      </c>
      <c r="M189" s="325">
        <v>15.88162555815536</v>
      </c>
      <c r="N189" s="10">
        <v>11.432132109825416</v>
      </c>
      <c r="O189" s="10">
        <v>22.56033625490662</v>
      </c>
      <c r="P189" s="10">
        <v>5.4021918220477723</v>
      </c>
      <c r="Q189" s="10">
        <v>5.7439536767100927</v>
      </c>
      <c r="R189" s="10">
        <v>9.5597523919351453</v>
      </c>
      <c r="S189" s="10">
        <v>13.807211492226077</v>
      </c>
      <c r="T189" s="10">
        <v>39.760161836596751</v>
      </c>
      <c r="U189" s="10">
        <v>5.6334096232364486</v>
      </c>
      <c r="V189" s="325">
        <v>113.89914920748431</v>
      </c>
      <c r="W189" s="325">
        <v>162.00949676548629</v>
      </c>
      <c r="X189" s="10">
        <v>16.140590654242548</v>
      </c>
      <c r="Y189" s="320">
        <v>178.15008741972883</v>
      </c>
    </row>
    <row r="190" spans="1:25" x14ac:dyDescent="0.2">
      <c r="A190" s="7">
        <v>2016</v>
      </c>
      <c r="B190" s="5" t="s">
        <v>466</v>
      </c>
      <c r="C190" s="5" t="s">
        <v>218</v>
      </c>
      <c r="D190" s="5" t="s">
        <v>482</v>
      </c>
      <c r="E190" s="5" t="s">
        <v>241</v>
      </c>
      <c r="F190" s="5" t="s">
        <v>221</v>
      </c>
      <c r="G190" s="5" t="s">
        <v>242</v>
      </c>
      <c r="H190" s="10">
        <v>6.6415895999312653</v>
      </c>
      <c r="I190" s="10">
        <v>0</v>
      </c>
      <c r="J190" s="325">
        <v>6.6415895999312653</v>
      </c>
      <c r="K190" s="10">
        <v>0.69517400772695181</v>
      </c>
      <c r="L190" s="10">
        <v>2.6898162725052215</v>
      </c>
      <c r="M190" s="325">
        <v>3.3849902802321732</v>
      </c>
      <c r="N190" s="10">
        <v>0.91162784270317898</v>
      </c>
      <c r="O190" s="10">
        <v>7.684973537524705</v>
      </c>
      <c r="P190" s="10">
        <v>1.3529398033276174</v>
      </c>
      <c r="Q190" s="10">
        <v>0.81564547159227185</v>
      </c>
      <c r="R190" s="10">
        <v>3.3831706199934906</v>
      </c>
      <c r="S190" s="10">
        <v>3.8180526659460838</v>
      </c>
      <c r="T190" s="10">
        <v>9.6130787383399738</v>
      </c>
      <c r="U190" s="10">
        <v>1.1234909454346098</v>
      </c>
      <c r="V190" s="325">
        <v>28.702979624861932</v>
      </c>
      <c r="W190" s="325">
        <v>38.729559505025371</v>
      </c>
      <c r="X190" s="10">
        <v>3.8658160531043224</v>
      </c>
      <c r="Y190" s="320">
        <v>42.595375558129696</v>
      </c>
    </row>
    <row r="191" spans="1:25" x14ac:dyDescent="0.2">
      <c r="A191" s="7">
        <v>2016</v>
      </c>
      <c r="B191" s="5" t="s">
        <v>466</v>
      </c>
      <c r="C191" s="5" t="s">
        <v>218</v>
      </c>
      <c r="D191" s="5" t="s">
        <v>482</v>
      </c>
      <c r="E191" s="5" t="s">
        <v>243</v>
      </c>
      <c r="F191" s="5" t="s">
        <v>221</v>
      </c>
      <c r="G191" s="5" t="s">
        <v>244</v>
      </c>
      <c r="H191" s="10">
        <v>11.017724552096842</v>
      </c>
      <c r="I191" s="10">
        <v>0.15412396332419973</v>
      </c>
      <c r="J191" s="325">
        <v>11.171848515421042</v>
      </c>
      <c r="K191" s="10">
        <v>1.2851078585997351</v>
      </c>
      <c r="L191" s="10">
        <v>3.0100495676469068</v>
      </c>
      <c r="M191" s="325">
        <v>4.2951574262466421</v>
      </c>
      <c r="N191" s="10">
        <v>1.1550674452549403</v>
      </c>
      <c r="O191" s="10">
        <v>3.4215737077425663</v>
      </c>
      <c r="P191" s="10">
        <v>2.1758863899787575</v>
      </c>
      <c r="Q191" s="10">
        <v>1.2350956741996515</v>
      </c>
      <c r="R191" s="10">
        <v>3.7528758231768644</v>
      </c>
      <c r="S191" s="10">
        <v>4.322336946956737</v>
      </c>
      <c r="T191" s="10">
        <v>14.73676107222424</v>
      </c>
      <c r="U191" s="10">
        <v>1.6787323827806868</v>
      </c>
      <c r="V191" s="325">
        <v>32.478329442314447</v>
      </c>
      <c r="W191" s="325">
        <v>47.945335383982126</v>
      </c>
      <c r="X191" s="10">
        <v>4.7861473107407519</v>
      </c>
      <c r="Y191" s="320">
        <v>52.731482694722878</v>
      </c>
    </row>
    <row r="192" spans="1:25" x14ac:dyDescent="0.2">
      <c r="A192" s="7">
        <v>2016</v>
      </c>
      <c r="B192" s="5" t="s">
        <v>466</v>
      </c>
      <c r="C192" s="5" t="s">
        <v>218</v>
      </c>
      <c r="D192" s="5" t="s">
        <v>482</v>
      </c>
      <c r="E192" s="5" t="s">
        <v>245</v>
      </c>
      <c r="F192" s="5" t="s">
        <v>221</v>
      </c>
      <c r="G192" s="5" t="s">
        <v>246</v>
      </c>
      <c r="H192" s="10">
        <v>16.672532244291908</v>
      </c>
      <c r="I192" s="10">
        <v>0.66700452723648007</v>
      </c>
      <c r="J192" s="325">
        <v>17.339536771528387</v>
      </c>
      <c r="K192" s="10">
        <v>0.85689136558146761</v>
      </c>
      <c r="L192" s="10">
        <v>6.2645537309622359</v>
      </c>
      <c r="M192" s="325">
        <v>7.1214450965437033</v>
      </c>
      <c r="N192" s="10">
        <v>2.5337696554333493</v>
      </c>
      <c r="O192" s="10">
        <v>9.6914422117171242</v>
      </c>
      <c r="P192" s="10">
        <v>3.585428021502072</v>
      </c>
      <c r="Q192" s="10">
        <v>8.8407247139393377</v>
      </c>
      <c r="R192" s="10">
        <v>6.2458224039754917</v>
      </c>
      <c r="S192" s="10">
        <v>8.1207161523541167</v>
      </c>
      <c r="T192" s="10">
        <v>12.530937815785832</v>
      </c>
      <c r="U192" s="10">
        <v>3.3508438638381568</v>
      </c>
      <c r="V192" s="325">
        <v>54.899684838545483</v>
      </c>
      <c r="W192" s="325">
        <v>79.360666706617565</v>
      </c>
      <c r="X192" s="10">
        <v>7.8668247630167034</v>
      </c>
      <c r="Y192" s="320">
        <v>87.227491469634273</v>
      </c>
    </row>
    <row r="193" spans="1:25" x14ac:dyDescent="0.2">
      <c r="A193" s="7">
        <v>2016</v>
      </c>
      <c r="B193" s="5" t="s">
        <v>466</v>
      </c>
      <c r="C193" s="5" t="s">
        <v>218</v>
      </c>
      <c r="D193" s="5" t="s">
        <v>482</v>
      </c>
      <c r="E193" s="5" t="s">
        <v>247</v>
      </c>
      <c r="F193" s="5" t="s">
        <v>221</v>
      </c>
      <c r="G193" s="5" t="s">
        <v>248</v>
      </c>
      <c r="H193" s="10">
        <v>4.4799833561237836</v>
      </c>
      <c r="I193" s="10">
        <v>8.9957431495049679E-3</v>
      </c>
      <c r="J193" s="325">
        <v>4.4889790992732888</v>
      </c>
      <c r="K193" s="10">
        <v>0.62708283693686639</v>
      </c>
      <c r="L193" s="10">
        <v>2.0410754003401608</v>
      </c>
      <c r="M193" s="325">
        <v>2.6681582372770274</v>
      </c>
      <c r="N193" s="10">
        <v>1.0071152066359177</v>
      </c>
      <c r="O193" s="10">
        <v>3.6630764546595103</v>
      </c>
      <c r="P193" s="10">
        <v>0.77036670895791082</v>
      </c>
      <c r="Q193" s="10">
        <v>0.32015198845257919</v>
      </c>
      <c r="R193" s="10">
        <v>1.608837362592995</v>
      </c>
      <c r="S193" s="10">
        <v>2.8217325476413944</v>
      </c>
      <c r="T193" s="10">
        <v>12.25994697790343</v>
      </c>
      <c r="U193" s="10">
        <v>0.481886794576948</v>
      </c>
      <c r="V193" s="325">
        <v>22.933114041420684</v>
      </c>
      <c r="W193" s="325">
        <v>30.090251377971001</v>
      </c>
      <c r="X193" s="10">
        <v>2.9941667933456295</v>
      </c>
      <c r="Y193" s="320">
        <v>33.084418171316628</v>
      </c>
    </row>
    <row r="194" spans="1:25" x14ac:dyDescent="0.2">
      <c r="A194" s="7">
        <v>2016</v>
      </c>
      <c r="B194" s="5" t="s">
        <v>466</v>
      </c>
      <c r="C194" s="5" t="s">
        <v>218</v>
      </c>
      <c r="D194" s="5" t="s">
        <v>481</v>
      </c>
      <c r="E194" s="5" t="s">
        <v>249</v>
      </c>
      <c r="F194" s="5" t="s">
        <v>221</v>
      </c>
      <c r="G194" s="5" t="s">
        <v>250</v>
      </c>
      <c r="H194" s="10">
        <v>12.120293666819784</v>
      </c>
      <c r="I194" s="10">
        <v>0</v>
      </c>
      <c r="J194" s="325">
        <v>12.120293666819784</v>
      </c>
      <c r="K194" s="10">
        <v>2.6036430546553642</v>
      </c>
      <c r="L194" s="10">
        <v>2.7926505108496502</v>
      </c>
      <c r="M194" s="325">
        <v>5.3962935655050144</v>
      </c>
      <c r="N194" s="10">
        <v>0.8198737038628876</v>
      </c>
      <c r="O194" s="10">
        <v>5.5369332501892154</v>
      </c>
      <c r="P194" s="10">
        <v>2.3188237712510462</v>
      </c>
      <c r="Q194" s="10">
        <v>1.6350725029358915</v>
      </c>
      <c r="R194" s="10">
        <v>3.8327091372579427</v>
      </c>
      <c r="S194" s="10">
        <v>5.7641941792630398</v>
      </c>
      <c r="T194" s="10">
        <v>21.702110674658531</v>
      </c>
      <c r="U194" s="10">
        <v>1.3762241875657946</v>
      </c>
      <c r="V194" s="325">
        <v>42.985941406984352</v>
      </c>
      <c r="W194" s="325">
        <v>60.502528639309148</v>
      </c>
      <c r="X194" s="10">
        <v>6.0257595949200056</v>
      </c>
      <c r="Y194" s="320">
        <v>66.528288234229151</v>
      </c>
    </row>
    <row r="195" spans="1:25" x14ac:dyDescent="0.2">
      <c r="A195" s="7">
        <v>2016</v>
      </c>
      <c r="B195" s="5" t="s">
        <v>466</v>
      </c>
      <c r="C195" s="5" t="s">
        <v>218</v>
      </c>
      <c r="D195" s="5" t="s">
        <v>482</v>
      </c>
      <c r="E195" s="5" t="s">
        <v>251</v>
      </c>
      <c r="F195" s="5" t="s">
        <v>221</v>
      </c>
      <c r="G195" s="5" t="s">
        <v>252</v>
      </c>
      <c r="H195" s="10">
        <v>12.898560261518043</v>
      </c>
      <c r="I195" s="10">
        <v>0.96082610480750108</v>
      </c>
      <c r="J195" s="325">
        <v>13.859386366325543</v>
      </c>
      <c r="K195" s="10">
        <v>1.0547250973253117</v>
      </c>
      <c r="L195" s="10">
        <v>5.0047175704765925</v>
      </c>
      <c r="M195" s="325">
        <v>6.0594426678019042</v>
      </c>
      <c r="N195" s="10">
        <v>1.4511490701586915</v>
      </c>
      <c r="O195" s="10">
        <v>5.0063676713596994</v>
      </c>
      <c r="P195" s="10">
        <v>2.9611877856477014</v>
      </c>
      <c r="Q195" s="10">
        <v>2.4434530192030772</v>
      </c>
      <c r="R195" s="10">
        <v>6.261888427996154</v>
      </c>
      <c r="S195" s="10">
        <v>6.5730833587588169</v>
      </c>
      <c r="T195" s="10">
        <v>20.645504047379212</v>
      </c>
      <c r="U195" s="10">
        <v>2.1073335928174668</v>
      </c>
      <c r="V195" s="325">
        <v>47.449966973320819</v>
      </c>
      <c r="W195" s="325">
        <v>67.368796007448267</v>
      </c>
      <c r="X195" s="10">
        <v>6.6974096514680799</v>
      </c>
      <c r="Y195" s="320">
        <v>74.066205658916346</v>
      </c>
    </row>
    <row r="196" spans="1:25" x14ac:dyDescent="0.2">
      <c r="A196" s="7">
        <v>2016</v>
      </c>
      <c r="B196" s="5" t="s">
        <v>466</v>
      </c>
      <c r="C196" s="5" t="s">
        <v>218</v>
      </c>
      <c r="D196" s="5" t="s">
        <v>482</v>
      </c>
      <c r="E196" s="5" t="s">
        <v>253</v>
      </c>
      <c r="F196" s="5" t="s">
        <v>221</v>
      </c>
      <c r="G196" s="5" t="s">
        <v>254</v>
      </c>
      <c r="H196" s="10">
        <v>12.551221392563436</v>
      </c>
      <c r="I196" s="10">
        <v>0</v>
      </c>
      <c r="J196" s="325">
        <v>12.551221392563436</v>
      </c>
      <c r="K196" s="10">
        <v>2.2043713700131833</v>
      </c>
      <c r="L196" s="10">
        <v>11.170075917083807</v>
      </c>
      <c r="M196" s="325">
        <v>13.37444728709699</v>
      </c>
      <c r="N196" s="10">
        <v>7.2674239918860435</v>
      </c>
      <c r="O196" s="10">
        <v>32.323599579030123</v>
      </c>
      <c r="P196" s="10">
        <v>3.0588061017590849</v>
      </c>
      <c r="Q196" s="10">
        <v>2.6415102512003754</v>
      </c>
      <c r="R196" s="10">
        <v>19.013032303948759</v>
      </c>
      <c r="S196" s="10">
        <v>13.947409303141594</v>
      </c>
      <c r="T196" s="10">
        <v>43.978257163372071</v>
      </c>
      <c r="U196" s="10">
        <v>2.6056890624189077</v>
      </c>
      <c r="V196" s="325">
        <v>124.83572775675695</v>
      </c>
      <c r="W196" s="325">
        <v>150.76139643641739</v>
      </c>
      <c r="X196" s="10">
        <v>14.946869828509335</v>
      </c>
      <c r="Y196" s="320">
        <v>165.70826626492672</v>
      </c>
    </row>
    <row r="197" spans="1:25" x14ac:dyDescent="0.2">
      <c r="A197" s="7">
        <v>2016</v>
      </c>
      <c r="B197" s="5" t="s">
        <v>466</v>
      </c>
      <c r="C197" s="5" t="s">
        <v>218</v>
      </c>
      <c r="D197" s="5" t="s">
        <v>482</v>
      </c>
      <c r="E197" s="5" t="s">
        <v>255</v>
      </c>
      <c r="F197" s="5" t="s">
        <v>221</v>
      </c>
      <c r="G197" s="5" t="s">
        <v>256</v>
      </c>
      <c r="H197" s="10">
        <v>20.256104218549346</v>
      </c>
      <c r="I197" s="10">
        <v>1.0207893731975335</v>
      </c>
      <c r="J197" s="325">
        <v>21.27689359174688</v>
      </c>
      <c r="K197" s="10">
        <v>5.7658722802926077</v>
      </c>
      <c r="L197" s="10">
        <v>15.892384601774584</v>
      </c>
      <c r="M197" s="325">
        <v>21.658256882067192</v>
      </c>
      <c r="N197" s="10">
        <v>16.268791239944672</v>
      </c>
      <c r="O197" s="10">
        <v>84.144724019516488</v>
      </c>
      <c r="P197" s="10">
        <v>7.984048077192603</v>
      </c>
      <c r="Q197" s="10">
        <v>5.6815152032821086</v>
      </c>
      <c r="R197" s="10">
        <v>27.507798381865406</v>
      </c>
      <c r="S197" s="10">
        <v>24.705923688028015</v>
      </c>
      <c r="T197" s="10">
        <v>29.523928373273908</v>
      </c>
      <c r="U197" s="10">
        <v>9.3979702267652634</v>
      </c>
      <c r="V197" s="325">
        <v>205.21469920986846</v>
      </c>
      <c r="W197" s="325">
        <v>248.1498496836825</v>
      </c>
      <c r="X197" s="10">
        <v>24.706622936941127</v>
      </c>
      <c r="Y197" s="320">
        <v>272.85647262062361</v>
      </c>
    </row>
    <row r="198" spans="1:25" x14ac:dyDescent="0.2">
      <c r="A198" s="7">
        <v>2016</v>
      </c>
      <c r="B198" s="5" t="s">
        <v>466</v>
      </c>
      <c r="C198" s="5" t="s">
        <v>218</v>
      </c>
      <c r="D198" s="5" t="s">
        <v>482</v>
      </c>
      <c r="E198" s="5" t="s">
        <v>257</v>
      </c>
      <c r="F198" s="5" t="s">
        <v>221</v>
      </c>
      <c r="G198" s="5" t="s">
        <v>258</v>
      </c>
      <c r="H198" s="10">
        <v>15.443868108882253</v>
      </c>
      <c r="I198" s="10">
        <v>0.38222765672611614</v>
      </c>
      <c r="J198" s="325">
        <v>15.826095765608368</v>
      </c>
      <c r="K198" s="10">
        <v>3.7259484956154996</v>
      </c>
      <c r="L198" s="10">
        <v>8.1306834383832047</v>
      </c>
      <c r="M198" s="325">
        <v>11.856631933998704</v>
      </c>
      <c r="N198" s="10">
        <v>6.0723065185103771</v>
      </c>
      <c r="O198" s="10">
        <v>32.149324706808407</v>
      </c>
      <c r="P198" s="10">
        <v>8.8165176220115811</v>
      </c>
      <c r="Q198" s="10">
        <v>3.6923717071792228</v>
      </c>
      <c r="R198" s="10">
        <v>17.388212169794972</v>
      </c>
      <c r="S198" s="10">
        <v>12.593457966415125</v>
      </c>
      <c r="T198" s="10">
        <v>17.89455076230221</v>
      </c>
      <c r="U198" s="10">
        <v>4.1848828342985049</v>
      </c>
      <c r="V198" s="325">
        <v>102.7916242873204</v>
      </c>
      <c r="W198" s="325">
        <v>130.47435198692747</v>
      </c>
      <c r="X198" s="10">
        <v>12.96991067256293</v>
      </c>
      <c r="Y198" s="320">
        <v>143.44426265949039</v>
      </c>
    </row>
    <row r="199" spans="1:25" x14ac:dyDescent="0.2">
      <c r="A199" s="7">
        <v>2016</v>
      </c>
      <c r="B199" s="5" t="s">
        <v>466</v>
      </c>
      <c r="C199" s="5" t="s">
        <v>218</v>
      </c>
      <c r="D199" s="5" t="s">
        <v>481</v>
      </c>
      <c r="E199" s="5" t="s">
        <v>259</v>
      </c>
      <c r="F199" s="5" t="s">
        <v>221</v>
      </c>
      <c r="G199" s="5" t="s">
        <v>260</v>
      </c>
      <c r="H199" s="10">
        <v>12.783651219890517</v>
      </c>
      <c r="I199" s="10">
        <v>0</v>
      </c>
      <c r="J199" s="325">
        <v>12.783651219890517</v>
      </c>
      <c r="K199" s="10">
        <v>1.5840302105322313</v>
      </c>
      <c r="L199" s="10">
        <v>3.5917800924645147</v>
      </c>
      <c r="M199" s="325">
        <v>5.1758103029967462</v>
      </c>
      <c r="N199" s="10">
        <v>1.1913931710556289</v>
      </c>
      <c r="O199" s="10">
        <v>4.1356497391466958</v>
      </c>
      <c r="P199" s="10">
        <v>2.3487105549346081</v>
      </c>
      <c r="Q199" s="10">
        <v>0.8705375007372097</v>
      </c>
      <c r="R199" s="10">
        <v>2.2861578882205347</v>
      </c>
      <c r="S199" s="10">
        <v>4.4614993677794752</v>
      </c>
      <c r="T199" s="10">
        <v>19.699533108516679</v>
      </c>
      <c r="U199" s="10">
        <v>0.92166000287516592</v>
      </c>
      <c r="V199" s="325">
        <v>35.915141333266</v>
      </c>
      <c r="W199" s="325">
        <v>53.87460285615326</v>
      </c>
      <c r="X199" s="10">
        <v>5.391122356429614</v>
      </c>
      <c r="Y199" s="320">
        <v>59.265725212582872</v>
      </c>
    </row>
    <row r="200" spans="1:25" x14ac:dyDescent="0.2">
      <c r="A200" s="7">
        <v>2016</v>
      </c>
      <c r="B200" s="5" t="s">
        <v>466</v>
      </c>
      <c r="C200" s="5" t="s">
        <v>261</v>
      </c>
      <c r="D200" s="5" t="s">
        <v>483</v>
      </c>
      <c r="E200" s="5" t="s">
        <v>263</v>
      </c>
      <c r="F200" s="5" t="s">
        <v>264</v>
      </c>
      <c r="G200" s="5" t="s">
        <v>265</v>
      </c>
      <c r="H200" s="10">
        <v>57.44172365138629</v>
      </c>
      <c r="I200" s="10">
        <v>1.3721942361225457</v>
      </c>
      <c r="J200" s="325">
        <v>58.813917887508836</v>
      </c>
      <c r="K200" s="10">
        <v>3.3025142819329387</v>
      </c>
      <c r="L200" s="10">
        <v>13.532153517040175</v>
      </c>
      <c r="M200" s="325">
        <v>16.834667798973115</v>
      </c>
      <c r="N200" s="10">
        <v>4.3187836703018894</v>
      </c>
      <c r="O200" s="10">
        <v>22.749160375498331</v>
      </c>
      <c r="P200" s="10">
        <v>8.8617037749929821</v>
      </c>
      <c r="Q200" s="10">
        <v>6.8340212215478031</v>
      </c>
      <c r="R200" s="10">
        <v>26.998972949039942</v>
      </c>
      <c r="S200" s="10">
        <v>14.825972014046094</v>
      </c>
      <c r="T200" s="10">
        <v>18.800111529010533</v>
      </c>
      <c r="U200" s="10">
        <v>6.2899739892861346</v>
      </c>
      <c r="V200" s="325">
        <v>109.67869952372372</v>
      </c>
      <c r="W200" s="325">
        <v>185.32728521020567</v>
      </c>
      <c r="X200" s="10">
        <v>18.650494555829738</v>
      </c>
      <c r="Y200" s="320">
        <v>203.97777976603541</v>
      </c>
    </row>
    <row r="201" spans="1:25" x14ac:dyDescent="0.2">
      <c r="A201" s="7">
        <v>2016</v>
      </c>
      <c r="B201" s="5" t="s">
        <v>466</v>
      </c>
      <c r="C201" s="5" t="s">
        <v>261</v>
      </c>
      <c r="D201" s="5" t="s">
        <v>484</v>
      </c>
      <c r="E201" s="5" t="s">
        <v>266</v>
      </c>
      <c r="F201" s="5" t="s">
        <v>264</v>
      </c>
      <c r="G201" s="5" t="s">
        <v>268</v>
      </c>
      <c r="H201" s="10">
        <v>6.419738331757225</v>
      </c>
      <c r="I201" s="10">
        <v>0</v>
      </c>
      <c r="J201" s="325">
        <v>6.419738331757225</v>
      </c>
      <c r="K201" s="10">
        <v>1.3994442781644012</v>
      </c>
      <c r="L201" s="10">
        <v>2.679218579222828</v>
      </c>
      <c r="M201" s="325">
        <v>4.0786628573872292</v>
      </c>
      <c r="N201" s="10">
        <v>1.0773806814454681</v>
      </c>
      <c r="O201" s="10">
        <v>4.7608323678772981</v>
      </c>
      <c r="P201" s="10">
        <v>1.5318430267508367</v>
      </c>
      <c r="Q201" s="10">
        <v>1.0836951395046681</v>
      </c>
      <c r="R201" s="10">
        <v>5.6074549251448111</v>
      </c>
      <c r="S201" s="10">
        <v>4.1471623022229256</v>
      </c>
      <c r="T201" s="10">
        <v>13.443084911111034</v>
      </c>
      <c r="U201" s="10">
        <v>1.1413129841053615</v>
      </c>
      <c r="V201" s="325">
        <v>32.792766338162401</v>
      </c>
      <c r="W201" s="325">
        <v>43.291167527306854</v>
      </c>
      <c r="X201" s="10">
        <v>4.2922666577306909</v>
      </c>
      <c r="Y201" s="320">
        <v>47.583434185037547</v>
      </c>
    </row>
    <row r="202" spans="1:25" x14ac:dyDescent="0.2">
      <c r="A202" s="7">
        <v>2016</v>
      </c>
      <c r="B202" s="5" t="s">
        <v>466</v>
      </c>
      <c r="C202" s="5" t="s">
        <v>261</v>
      </c>
      <c r="D202" s="5" t="s">
        <v>483</v>
      </c>
      <c r="E202" s="5" t="s">
        <v>269</v>
      </c>
      <c r="F202" s="5" t="s">
        <v>264</v>
      </c>
      <c r="G202" s="5" t="s">
        <v>271</v>
      </c>
      <c r="H202" s="10">
        <v>11.963124799917285</v>
      </c>
      <c r="I202" s="10">
        <v>0</v>
      </c>
      <c r="J202" s="325">
        <v>11.963124799917285</v>
      </c>
      <c r="K202" s="10">
        <v>1.3222440869967809</v>
      </c>
      <c r="L202" s="10">
        <v>3.6773676728998286</v>
      </c>
      <c r="M202" s="325">
        <v>4.9996117598966094</v>
      </c>
      <c r="N202" s="10">
        <v>1.0440884107860386</v>
      </c>
      <c r="O202" s="10">
        <v>3.0905499761610926</v>
      </c>
      <c r="P202" s="10">
        <v>1.8591508259788452</v>
      </c>
      <c r="Q202" s="10">
        <v>1.5034042533991785</v>
      </c>
      <c r="R202" s="10">
        <v>6.1973516507480237</v>
      </c>
      <c r="S202" s="10">
        <v>4.7826297940094733</v>
      </c>
      <c r="T202" s="10">
        <v>18.428837711474571</v>
      </c>
      <c r="U202" s="10">
        <v>1.3516650363000977</v>
      </c>
      <c r="V202" s="325">
        <v>38.257677658857325</v>
      </c>
      <c r="W202" s="325">
        <v>55.220414218671223</v>
      </c>
      <c r="X202" s="10">
        <v>5.5000642643549567</v>
      </c>
      <c r="Y202" s="320">
        <v>60.720478483026177</v>
      </c>
    </row>
    <row r="203" spans="1:25" x14ac:dyDescent="0.2">
      <c r="A203" s="7">
        <v>2016</v>
      </c>
      <c r="B203" s="5" t="s">
        <v>466</v>
      </c>
      <c r="C203" s="5" t="s">
        <v>261</v>
      </c>
      <c r="D203" s="5" t="s">
        <v>485</v>
      </c>
      <c r="E203" s="5" t="s">
        <v>272</v>
      </c>
      <c r="F203" s="5" t="s">
        <v>264</v>
      </c>
      <c r="G203" s="5" t="s">
        <v>273</v>
      </c>
      <c r="H203" s="10">
        <v>14.524690529949364</v>
      </c>
      <c r="I203" s="10">
        <v>0</v>
      </c>
      <c r="J203" s="325">
        <v>14.524690529949364</v>
      </c>
      <c r="K203" s="10">
        <v>9.005421222998887</v>
      </c>
      <c r="L203" s="10">
        <v>6.9759702757301216</v>
      </c>
      <c r="M203" s="325">
        <v>15.981391498729009</v>
      </c>
      <c r="N203" s="10">
        <v>16.548327221192014</v>
      </c>
      <c r="O203" s="10">
        <v>23.515944458898574</v>
      </c>
      <c r="P203" s="10">
        <v>7.1206962833961391</v>
      </c>
      <c r="Q203" s="10">
        <v>3.674214957777691</v>
      </c>
      <c r="R203" s="10">
        <v>20.387565331009633</v>
      </c>
      <c r="S203" s="10">
        <v>11.725410410774687</v>
      </c>
      <c r="T203" s="10">
        <v>13.298930094671519</v>
      </c>
      <c r="U203" s="10">
        <v>4.0212512175677082</v>
      </c>
      <c r="V203" s="325">
        <v>100.29233997528796</v>
      </c>
      <c r="W203" s="325">
        <v>130.79842200396632</v>
      </c>
      <c r="X203" s="10">
        <v>12.977228065010237</v>
      </c>
      <c r="Y203" s="320">
        <v>143.77565006897657</v>
      </c>
    </row>
    <row r="204" spans="1:25" x14ac:dyDescent="0.2">
      <c r="A204" s="7">
        <v>2016</v>
      </c>
      <c r="B204" s="5" t="s">
        <v>466</v>
      </c>
      <c r="C204" s="5" t="s">
        <v>261</v>
      </c>
      <c r="D204" s="5" t="s">
        <v>484</v>
      </c>
      <c r="E204" s="5" t="s">
        <v>274</v>
      </c>
      <c r="F204" s="5" t="s">
        <v>264</v>
      </c>
      <c r="G204" s="5" t="s">
        <v>275</v>
      </c>
      <c r="H204" s="10">
        <v>13.066809733533006</v>
      </c>
      <c r="I204" s="10">
        <v>0</v>
      </c>
      <c r="J204" s="325">
        <v>13.066809733533006</v>
      </c>
      <c r="K204" s="10">
        <v>1.5578508036254264</v>
      </c>
      <c r="L204" s="10">
        <v>3.5657056382558525</v>
      </c>
      <c r="M204" s="325">
        <v>5.1235564418812789</v>
      </c>
      <c r="N204" s="10">
        <v>0.56302560041892136</v>
      </c>
      <c r="O204" s="10">
        <v>1.6572625768798275</v>
      </c>
      <c r="P204" s="10">
        <v>0.75228137373551773</v>
      </c>
      <c r="Q204" s="10">
        <v>0.46988773577876286</v>
      </c>
      <c r="R204" s="10">
        <v>3.4458700774636521</v>
      </c>
      <c r="S204" s="10">
        <v>4.4811804643082835</v>
      </c>
      <c r="T204" s="10">
        <v>20.44570785343306</v>
      </c>
      <c r="U204" s="10">
        <v>0.52053003850984536</v>
      </c>
      <c r="V204" s="325">
        <v>32.335745720527868</v>
      </c>
      <c r="W204" s="325">
        <v>50.526111895942151</v>
      </c>
      <c r="X204" s="10">
        <v>5.059067931848312</v>
      </c>
      <c r="Y204" s="320">
        <v>55.585179827790462</v>
      </c>
    </row>
    <row r="205" spans="1:25" x14ac:dyDescent="0.2">
      <c r="A205" s="7">
        <v>2016</v>
      </c>
      <c r="B205" s="5" t="s">
        <v>466</v>
      </c>
      <c r="C205" s="5" t="s">
        <v>261</v>
      </c>
      <c r="D205" s="5" t="s">
        <v>486</v>
      </c>
      <c r="E205" s="5" t="s">
        <v>276</v>
      </c>
      <c r="F205" s="5" t="s">
        <v>264</v>
      </c>
      <c r="G205" s="5" t="s">
        <v>277</v>
      </c>
      <c r="H205" s="10">
        <v>99.273887510856426</v>
      </c>
      <c r="I205" s="10">
        <v>0</v>
      </c>
      <c r="J205" s="325">
        <v>99.273887510856426</v>
      </c>
      <c r="K205" s="10">
        <v>26.530327429444462</v>
      </c>
      <c r="L205" s="10">
        <v>22.007064364594044</v>
      </c>
      <c r="M205" s="325">
        <v>48.537391794038506</v>
      </c>
      <c r="N205" s="10">
        <v>17.445995608827424</v>
      </c>
      <c r="O205" s="10">
        <v>121.01135091568727</v>
      </c>
      <c r="P205" s="10">
        <v>15.462154010878134</v>
      </c>
      <c r="Q205" s="10">
        <v>15.116783733213184</v>
      </c>
      <c r="R205" s="10">
        <v>77.804950791118856</v>
      </c>
      <c r="S205" s="10">
        <v>44.407891863658371</v>
      </c>
      <c r="T205" s="10">
        <v>56.999029522477741</v>
      </c>
      <c r="U205" s="10">
        <v>20.978291049060587</v>
      </c>
      <c r="V205" s="325">
        <v>369.22644749492162</v>
      </c>
      <c r="W205" s="325">
        <v>517.0377267998166</v>
      </c>
      <c r="X205" s="10">
        <v>51.669080842446469</v>
      </c>
      <c r="Y205" s="320">
        <v>568.70680764226302</v>
      </c>
    </row>
    <row r="206" spans="1:25" x14ac:dyDescent="0.2">
      <c r="A206" s="7">
        <v>2016</v>
      </c>
      <c r="B206" s="5" t="s">
        <v>466</v>
      </c>
      <c r="C206" s="5" t="s">
        <v>261</v>
      </c>
      <c r="D206" s="5" t="s">
        <v>484</v>
      </c>
      <c r="E206" s="5" t="s">
        <v>278</v>
      </c>
      <c r="F206" s="5" t="s">
        <v>264</v>
      </c>
      <c r="G206" s="5" t="s">
        <v>279</v>
      </c>
      <c r="H206" s="10">
        <v>159.23216316306579</v>
      </c>
      <c r="I206" s="10">
        <v>0</v>
      </c>
      <c r="J206" s="325">
        <v>159.23216316306579</v>
      </c>
      <c r="K206" s="10">
        <v>4.4621150970362367</v>
      </c>
      <c r="L206" s="10">
        <v>25.142430217487988</v>
      </c>
      <c r="M206" s="325">
        <v>29.604545314524223</v>
      </c>
      <c r="N206" s="10">
        <v>4.8625473465966875</v>
      </c>
      <c r="O206" s="10">
        <v>28.078150426716768</v>
      </c>
      <c r="P206" s="10">
        <v>6.8855333451713143</v>
      </c>
      <c r="Q206" s="10">
        <v>2.5888095815611454</v>
      </c>
      <c r="R206" s="10">
        <v>26.785084930994792</v>
      </c>
      <c r="S206" s="10">
        <v>15.282402199491987</v>
      </c>
      <c r="T206" s="10">
        <v>23.741788460300697</v>
      </c>
      <c r="U206" s="10">
        <v>8.8969410456349198</v>
      </c>
      <c r="V206" s="325">
        <v>117.1212573364683</v>
      </c>
      <c r="W206" s="325">
        <v>305.9579658140583</v>
      </c>
      <c r="X206" s="10">
        <v>31.460534143481539</v>
      </c>
      <c r="Y206" s="320">
        <v>337.41849995753984</v>
      </c>
    </row>
    <row r="207" spans="1:25" x14ac:dyDescent="0.2">
      <c r="A207" s="7">
        <v>2016</v>
      </c>
      <c r="B207" s="5" t="s">
        <v>466</v>
      </c>
      <c r="C207" s="5" t="s">
        <v>261</v>
      </c>
      <c r="D207" s="5" t="s">
        <v>486</v>
      </c>
      <c r="E207" s="5" t="s">
        <v>280</v>
      </c>
      <c r="F207" s="5" t="s">
        <v>264</v>
      </c>
      <c r="G207" s="5" t="s">
        <v>281</v>
      </c>
      <c r="H207" s="10">
        <v>31.546893031147789</v>
      </c>
      <c r="I207" s="10">
        <v>1.0708061879462116E-2</v>
      </c>
      <c r="J207" s="325">
        <v>31.557601093027252</v>
      </c>
      <c r="K207" s="10">
        <v>23.371997680468066</v>
      </c>
      <c r="L207" s="10">
        <v>17.735955506980076</v>
      </c>
      <c r="M207" s="325">
        <v>41.107953187448146</v>
      </c>
      <c r="N207" s="10">
        <v>17.289315042564468</v>
      </c>
      <c r="O207" s="10">
        <v>65.538810269342733</v>
      </c>
      <c r="P207" s="10">
        <v>9.5911693155525519</v>
      </c>
      <c r="Q207" s="10">
        <v>3.1221406308813568</v>
      </c>
      <c r="R207" s="10">
        <v>59.668767095302854</v>
      </c>
      <c r="S207" s="10">
        <v>35.982655853951094</v>
      </c>
      <c r="T207" s="10">
        <v>58.383597616380236</v>
      </c>
      <c r="U207" s="10">
        <v>10.956209757593289</v>
      </c>
      <c r="V207" s="325">
        <v>260.53266558156861</v>
      </c>
      <c r="W207" s="325">
        <v>333.19821986204403</v>
      </c>
      <c r="X207" s="10">
        <v>32.994165319121635</v>
      </c>
      <c r="Y207" s="320">
        <v>366.19238518116566</v>
      </c>
    </row>
    <row r="208" spans="1:25" x14ac:dyDescent="0.2">
      <c r="A208" s="7">
        <v>2016</v>
      </c>
      <c r="B208" s="5" t="s">
        <v>466</v>
      </c>
      <c r="C208" s="5" t="s">
        <v>261</v>
      </c>
      <c r="D208" s="5" t="s">
        <v>486</v>
      </c>
      <c r="E208" s="5" t="s">
        <v>282</v>
      </c>
      <c r="F208" s="5" t="s">
        <v>264</v>
      </c>
      <c r="G208" s="5" t="s">
        <v>284</v>
      </c>
      <c r="H208" s="10">
        <v>104.52737859397079</v>
      </c>
      <c r="I208" s="10">
        <v>0</v>
      </c>
      <c r="J208" s="325">
        <v>104.52737859397079</v>
      </c>
      <c r="K208" s="10">
        <v>24.733610312789452</v>
      </c>
      <c r="L208" s="10">
        <v>16.712540499905892</v>
      </c>
      <c r="M208" s="325">
        <v>41.446150812695343</v>
      </c>
      <c r="N208" s="10">
        <v>8.35856320332603</v>
      </c>
      <c r="O208" s="10">
        <v>75.326456373346673</v>
      </c>
      <c r="P208" s="10">
        <v>8.2720726713418919</v>
      </c>
      <c r="Q208" s="10">
        <v>12.208376865867697</v>
      </c>
      <c r="R208" s="10">
        <v>43.461205418305489</v>
      </c>
      <c r="S208" s="10">
        <v>24.035554440606404</v>
      </c>
      <c r="T208" s="10">
        <v>22.460336561979695</v>
      </c>
      <c r="U208" s="10">
        <v>9.3886081880214931</v>
      </c>
      <c r="V208" s="325">
        <v>203.51117372279535</v>
      </c>
      <c r="W208" s="325">
        <v>349.48470312946148</v>
      </c>
      <c r="X208" s="10">
        <v>35.232258321668603</v>
      </c>
      <c r="Y208" s="320">
        <v>384.71696145113009</v>
      </c>
    </row>
    <row r="209" spans="1:25" x14ac:dyDescent="0.2">
      <c r="A209" s="7">
        <v>2016</v>
      </c>
      <c r="B209" s="5" t="s">
        <v>466</v>
      </c>
      <c r="C209" s="5" t="s">
        <v>261</v>
      </c>
      <c r="D209" s="5" t="s">
        <v>484</v>
      </c>
      <c r="E209" s="5" t="s">
        <v>285</v>
      </c>
      <c r="F209" s="5" t="s">
        <v>264</v>
      </c>
      <c r="G209" s="5" t="s">
        <v>286</v>
      </c>
      <c r="H209" s="10">
        <v>6.8483902704139226</v>
      </c>
      <c r="I209" s="10">
        <v>0</v>
      </c>
      <c r="J209" s="325">
        <v>6.8483902704139226</v>
      </c>
      <c r="K209" s="10">
        <v>4.0121585561122934</v>
      </c>
      <c r="L209" s="10">
        <v>1.9137526146529258</v>
      </c>
      <c r="M209" s="325">
        <v>5.925911170765219</v>
      </c>
      <c r="N209" s="10">
        <v>1.5772640778363196</v>
      </c>
      <c r="O209" s="10">
        <v>5.092616518559999</v>
      </c>
      <c r="P209" s="10">
        <v>2.1663316920459952</v>
      </c>
      <c r="Q209" s="10">
        <v>1.7412075100178739</v>
      </c>
      <c r="R209" s="10">
        <v>11.791477704314744</v>
      </c>
      <c r="S209" s="10">
        <v>7.8833979054712451</v>
      </c>
      <c r="T209" s="10">
        <v>21.977096373803025</v>
      </c>
      <c r="U209" s="10">
        <v>1.431314925984368</v>
      </c>
      <c r="V209" s="325">
        <v>53.660706708033572</v>
      </c>
      <c r="W209" s="325">
        <v>66.435008149212706</v>
      </c>
      <c r="X209" s="10">
        <v>6.5436884232295327</v>
      </c>
      <c r="Y209" s="320">
        <v>72.978696572442232</v>
      </c>
    </row>
    <row r="210" spans="1:25" x14ac:dyDescent="0.2">
      <c r="A210" s="7">
        <v>2016</v>
      </c>
      <c r="B210" s="5" t="s">
        <v>466</v>
      </c>
      <c r="C210" s="5" t="s">
        <v>261</v>
      </c>
      <c r="D210" s="5" t="s">
        <v>486</v>
      </c>
      <c r="E210" s="5" t="s">
        <v>287</v>
      </c>
      <c r="F210" s="5" t="s">
        <v>264</v>
      </c>
      <c r="G210" s="5" t="s">
        <v>288</v>
      </c>
      <c r="H210" s="10">
        <v>53.337083037402579</v>
      </c>
      <c r="I210" s="10">
        <v>0</v>
      </c>
      <c r="J210" s="325">
        <v>53.337083037402579</v>
      </c>
      <c r="K210" s="10">
        <v>557.44830656320994</v>
      </c>
      <c r="L210" s="10">
        <v>161.21944655857715</v>
      </c>
      <c r="M210" s="325">
        <v>718.66775312178709</v>
      </c>
      <c r="N210" s="10">
        <v>26.481146442354756</v>
      </c>
      <c r="O210" s="10">
        <v>127.23374070171081</v>
      </c>
      <c r="P210" s="10">
        <v>12.552782354366171</v>
      </c>
      <c r="Q210" s="10">
        <v>14.51438519259389</v>
      </c>
      <c r="R210" s="10">
        <v>81.114132696630776</v>
      </c>
      <c r="S210" s="10">
        <v>74.140962531706336</v>
      </c>
      <c r="T210" s="10">
        <v>28.340361238508553</v>
      </c>
      <c r="U210" s="10">
        <v>14.555471798313221</v>
      </c>
      <c r="V210" s="325">
        <v>378.93298295618456</v>
      </c>
      <c r="W210" s="325">
        <v>1150.9378191153744</v>
      </c>
      <c r="X210" s="10">
        <v>111.6026933781713</v>
      </c>
      <c r="Y210" s="320">
        <v>1262.5405124935457</v>
      </c>
    </row>
    <row r="211" spans="1:25" x14ac:dyDescent="0.2">
      <c r="A211" s="7">
        <v>2016</v>
      </c>
      <c r="B211" s="5" t="s">
        <v>466</v>
      </c>
      <c r="C211" s="5" t="s">
        <v>261</v>
      </c>
      <c r="D211" s="5" t="s">
        <v>484</v>
      </c>
      <c r="E211" s="5" t="s">
        <v>289</v>
      </c>
      <c r="F211" s="5" t="s">
        <v>264</v>
      </c>
      <c r="G211" s="5" t="s">
        <v>290</v>
      </c>
      <c r="H211" s="10">
        <v>3.9647177061351582</v>
      </c>
      <c r="I211" s="10">
        <v>0</v>
      </c>
      <c r="J211" s="325">
        <v>3.9647177061351582</v>
      </c>
      <c r="K211" s="10">
        <v>2.7375417220238987</v>
      </c>
      <c r="L211" s="10">
        <v>21.440305807395301</v>
      </c>
      <c r="M211" s="325">
        <v>24.1778475294192</v>
      </c>
      <c r="N211" s="10">
        <v>7.9531293135195007</v>
      </c>
      <c r="O211" s="10">
        <v>57.756553228494823</v>
      </c>
      <c r="P211" s="10">
        <v>6.7621782793592491</v>
      </c>
      <c r="Q211" s="10">
        <v>3.8300780296964105</v>
      </c>
      <c r="R211" s="10">
        <v>36.087183864048114</v>
      </c>
      <c r="S211" s="10">
        <v>41.462283288202649</v>
      </c>
      <c r="T211" s="10">
        <v>88.604289267078968</v>
      </c>
      <c r="U211" s="10">
        <v>6.5205169843146331</v>
      </c>
      <c r="V211" s="325">
        <v>248.97621225471434</v>
      </c>
      <c r="W211" s="325">
        <v>277.11877749026871</v>
      </c>
      <c r="X211" s="10">
        <v>27.277439637761962</v>
      </c>
      <c r="Y211" s="320">
        <v>304.39621712803068</v>
      </c>
    </row>
    <row r="212" spans="1:25" x14ac:dyDescent="0.2">
      <c r="A212" s="7">
        <v>2016</v>
      </c>
      <c r="B212" s="5" t="s">
        <v>466</v>
      </c>
      <c r="C212" s="5" t="s">
        <v>261</v>
      </c>
      <c r="D212" s="5" t="s">
        <v>486</v>
      </c>
      <c r="E212" s="5" t="s">
        <v>291</v>
      </c>
      <c r="F212" s="5" t="s">
        <v>264</v>
      </c>
      <c r="G212" s="5" t="s">
        <v>292</v>
      </c>
      <c r="H212" s="10">
        <v>32.362720636706953</v>
      </c>
      <c r="I212" s="10">
        <v>0</v>
      </c>
      <c r="J212" s="325">
        <v>32.362720636706953</v>
      </c>
      <c r="K212" s="10">
        <v>55.827502784169468</v>
      </c>
      <c r="L212" s="10">
        <v>30.521073314639015</v>
      </c>
      <c r="M212" s="325">
        <v>86.348576098808479</v>
      </c>
      <c r="N212" s="10">
        <v>34.201352842412234</v>
      </c>
      <c r="O212" s="10">
        <v>149.35585387443498</v>
      </c>
      <c r="P212" s="10">
        <v>16.814312265176831</v>
      </c>
      <c r="Q212" s="10">
        <v>24.38798135127621</v>
      </c>
      <c r="R212" s="10">
        <v>112.37206485672681</v>
      </c>
      <c r="S212" s="10">
        <v>51.468402781802453</v>
      </c>
      <c r="T212" s="10">
        <v>48.002309705630829</v>
      </c>
      <c r="U212" s="10">
        <v>21.577387744565463</v>
      </c>
      <c r="V212" s="325">
        <v>458.17966542202578</v>
      </c>
      <c r="W212" s="325">
        <v>576.89096215754125</v>
      </c>
      <c r="X212" s="10">
        <v>56.828072688038901</v>
      </c>
      <c r="Y212" s="320">
        <v>633.71903484558015</v>
      </c>
    </row>
    <row r="213" spans="1:25" x14ac:dyDescent="0.2">
      <c r="A213" s="7">
        <v>2016</v>
      </c>
      <c r="B213" s="5" t="s">
        <v>466</v>
      </c>
      <c r="C213" s="5" t="s">
        <v>261</v>
      </c>
      <c r="D213" s="5" t="s">
        <v>486</v>
      </c>
      <c r="E213" s="5" t="s">
        <v>293</v>
      </c>
      <c r="F213" s="5" t="s">
        <v>264</v>
      </c>
      <c r="G213" s="5" t="s">
        <v>295</v>
      </c>
      <c r="H213" s="10">
        <v>19.210160537175856</v>
      </c>
      <c r="I213" s="10">
        <v>8.3941480017653294E-2</v>
      </c>
      <c r="J213" s="325">
        <v>19.294102017193509</v>
      </c>
      <c r="K213" s="10">
        <v>19.068664758619402</v>
      </c>
      <c r="L213" s="10">
        <v>5.7034658136393475</v>
      </c>
      <c r="M213" s="325">
        <v>24.772130572258749</v>
      </c>
      <c r="N213" s="10">
        <v>7.1121208182782212</v>
      </c>
      <c r="O213" s="10">
        <v>39.876594631423991</v>
      </c>
      <c r="P213" s="10">
        <v>5.1800757616035371</v>
      </c>
      <c r="Q213" s="10">
        <v>6.8848395664403421</v>
      </c>
      <c r="R213" s="10">
        <v>18.793056567696169</v>
      </c>
      <c r="S213" s="10">
        <v>17.272029278913234</v>
      </c>
      <c r="T213" s="10">
        <v>41.473958115958531</v>
      </c>
      <c r="U213" s="10">
        <v>6.4591127458671211</v>
      </c>
      <c r="V213" s="325">
        <v>143.05178748618115</v>
      </c>
      <c r="W213" s="325">
        <v>187.11802007563341</v>
      </c>
      <c r="X213" s="10">
        <v>18.503971138253725</v>
      </c>
      <c r="Y213" s="320">
        <v>205.62199121388713</v>
      </c>
    </row>
    <row r="214" spans="1:25" x14ac:dyDescent="0.2">
      <c r="A214" s="7">
        <v>2016</v>
      </c>
      <c r="B214" s="5" t="s">
        <v>466</v>
      </c>
      <c r="C214" s="5" t="s">
        <v>261</v>
      </c>
      <c r="D214" s="5" t="s">
        <v>486</v>
      </c>
      <c r="E214" s="5" t="s">
        <v>296</v>
      </c>
      <c r="F214" s="5" t="s">
        <v>264</v>
      </c>
      <c r="G214" s="5" t="s">
        <v>297</v>
      </c>
      <c r="H214" s="10">
        <v>129.97558932225272</v>
      </c>
      <c r="I214" s="10">
        <v>0</v>
      </c>
      <c r="J214" s="325">
        <v>129.97558932225272</v>
      </c>
      <c r="K214" s="10">
        <v>208.61263857303942</v>
      </c>
      <c r="L214" s="10">
        <v>57.720937658653199</v>
      </c>
      <c r="M214" s="325">
        <v>266.33357623169263</v>
      </c>
      <c r="N214" s="10">
        <v>26.768388673583573</v>
      </c>
      <c r="O214" s="10">
        <v>144.73197821903938</v>
      </c>
      <c r="P214" s="10">
        <v>23.741750527622948</v>
      </c>
      <c r="Q214" s="10">
        <v>29.566452748932949</v>
      </c>
      <c r="R214" s="10">
        <v>89.001755626464316</v>
      </c>
      <c r="S214" s="10">
        <v>61.143802597202892</v>
      </c>
      <c r="T214" s="10">
        <v>36.088214091940721</v>
      </c>
      <c r="U214" s="10">
        <v>19.708416543113049</v>
      </c>
      <c r="V214" s="325">
        <v>430.75075902789985</v>
      </c>
      <c r="W214" s="325">
        <v>827.05992458184528</v>
      </c>
      <c r="X214" s="10">
        <v>81.70094683997165</v>
      </c>
      <c r="Y214" s="320">
        <v>908.76087142181689</v>
      </c>
    </row>
    <row r="215" spans="1:25" x14ac:dyDescent="0.2">
      <c r="A215" s="7">
        <v>2016</v>
      </c>
      <c r="B215" s="5" t="s">
        <v>466</v>
      </c>
      <c r="C215" s="5" t="s">
        <v>261</v>
      </c>
      <c r="D215" s="5" t="s">
        <v>483</v>
      </c>
      <c r="E215" s="5" t="s">
        <v>298</v>
      </c>
      <c r="F215" s="5" t="s">
        <v>264</v>
      </c>
      <c r="G215" s="5" t="s">
        <v>299</v>
      </c>
      <c r="H215" s="10">
        <v>15.962943841000454</v>
      </c>
      <c r="I215" s="10">
        <v>0.31656653782550526</v>
      </c>
      <c r="J215" s="325">
        <v>16.279510378825961</v>
      </c>
      <c r="K215" s="10">
        <v>0.8520777566908897</v>
      </c>
      <c r="L215" s="10">
        <v>10.752303293590371</v>
      </c>
      <c r="M215" s="325">
        <v>11.60438105028126</v>
      </c>
      <c r="N215" s="10">
        <v>0.49283675469757116</v>
      </c>
      <c r="O215" s="10">
        <v>2.2903349890551516</v>
      </c>
      <c r="P215" s="10">
        <v>2.2708287482676881</v>
      </c>
      <c r="Q215" s="10">
        <v>0.39390750972723032</v>
      </c>
      <c r="R215" s="10">
        <v>1.7225092412418468</v>
      </c>
      <c r="S215" s="10">
        <v>8.7522396534371314</v>
      </c>
      <c r="T215" s="10">
        <v>40.494288259021026</v>
      </c>
      <c r="U215" s="10">
        <v>0.36804808942929301</v>
      </c>
      <c r="V215" s="325">
        <v>56.784993244876944</v>
      </c>
      <c r="W215" s="325">
        <v>84.668884673984167</v>
      </c>
      <c r="X215" s="10">
        <v>8.4275810650402949</v>
      </c>
      <c r="Y215" s="320">
        <v>93.096465739024467</v>
      </c>
    </row>
    <row r="216" spans="1:25" x14ac:dyDescent="0.2">
      <c r="A216" s="7">
        <v>2016</v>
      </c>
      <c r="B216" s="5" t="s">
        <v>466</v>
      </c>
      <c r="C216" s="5" t="s">
        <v>261</v>
      </c>
      <c r="D216" s="5" t="s">
        <v>486</v>
      </c>
      <c r="E216" s="5" t="s">
        <v>300</v>
      </c>
      <c r="F216" s="5" t="s">
        <v>264</v>
      </c>
      <c r="G216" s="5" t="s">
        <v>301</v>
      </c>
      <c r="H216" s="10">
        <v>40.757825460555402</v>
      </c>
      <c r="I216" s="10">
        <v>0.14220562195899286</v>
      </c>
      <c r="J216" s="325">
        <v>40.900031082514396</v>
      </c>
      <c r="K216" s="10">
        <v>1257.2190907219615</v>
      </c>
      <c r="L216" s="10">
        <v>199.6205219302839</v>
      </c>
      <c r="M216" s="325">
        <v>1456.8396126522455</v>
      </c>
      <c r="N216" s="10">
        <v>89.951658938293434</v>
      </c>
      <c r="O216" s="10">
        <v>478.95162427925686</v>
      </c>
      <c r="P216" s="10">
        <v>28.767703094890237</v>
      </c>
      <c r="Q216" s="10">
        <v>37.3187014365256</v>
      </c>
      <c r="R216" s="10">
        <v>220.15803074960274</v>
      </c>
      <c r="S216" s="10">
        <v>223.89126091633543</v>
      </c>
      <c r="T216" s="10">
        <v>156.74354026883802</v>
      </c>
      <c r="U216" s="10">
        <v>39.937694968030989</v>
      </c>
      <c r="V216" s="325">
        <v>1275.7202146517732</v>
      </c>
      <c r="W216" s="325">
        <v>2773.4598583865331</v>
      </c>
      <c r="X216" s="10">
        <v>269.25953498987207</v>
      </c>
      <c r="Y216" s="320">
        <v>3042.7193933764052</v>
      </c>
    </row>
    <row r="217" spans="1:25" x14ac:dyDescent="0.2">
      <c r="A217" s="7">
        <v>2016</v>
      </c>
      <c r="B217" s="5" t="s">
        <v>466</v>
      </c>
      <c r="C217" s="5" t="s">
        <v>261</v>
      </c>
      <c r="D217" s="5" t="s">
        <v>484</v>
      </c>
      <c r="E217" s="5" t="s">
        <v>302</v>
      </c>
      <c r="F217" s="5" t="s">
        <v>264</v>
      </c>
      <c r="G217" s="5" t="s">
        <v>303</v>
      </c>
      <c r="H217" s="10">
        <v>14.995827660741149</v>
      </c>
      <c r="I217" s="10">
        <v>15.875009967742381</v>
      </c>
      <c r="J217" s="325">
        <v>30.870837628483528</v>
      </c>
      <c r="K217" s="10">
        <v>44.90804752844948</v>
      </c>
      <c r="L217" s="10">
        <v>9.1259147883752458</v>
      </c>
      <c r="M217" s="325">
        <v>54.033962316824727</v>
      </c>
      <c r="N217" s="10">
        <v>443.71977355575336</v>
      </c>
      <c r="O217" s="10">
        <v>16.421817124591144</v>
      </c>
      <c r="P217" s="10">
        <v>12.937775178721688</v>
      </c>
      <c r="Q217" s="10">
        <v>1.9214399382940295</v>
      </c>
      <c r="R217" s="10">
        <v>12.396345973657665</v>
      </c>
      <c r="S217" s="10">
        <v>17.468151324054954</v>
      </c>
      <c r="T217" s="10">
        <v>24.651663691487506</v>
      </c>
      <c r="U217" s="10">
        <v>2.326966946014823</v>
      </c>
      <c r="V217" s="325">
        <v>531.84393373257524</v>
      </c>
      <c r="W217" s="325">
        <v>616.74873367788348</v>
      </c>
      <c r="X217" s="10">
        <v>61.876521063452536</v>
      </c>
      <c r="Y217" s="320">
        <v>678.62525474133599</v>
      </c>
    </row>
    <row r="218" spans="1:25" x14ac:dyDescent="0.2">
      <c r="A218" s="7">
        <v>2016</v>
      </c>
      <c r="B218" s="5" t="s">
        <v>466</v>
      </c>
      <c r="C218" s="5" t="s">
        <v>261</v>
      </c>
      <c r="D218" s="5" t="s">
        <v>485</v>
      </c>
      <c r="E218" s="5" t="s">
        <v>304</v>
      </c>
      <c r="F218" s="5" t="s">
        <v>264</v>
      </c>
      <c r="G218" s="5" t="s">
        <v>305</v>
      </c>
      <c r="H218" s="10">
        <v>5.1666781111340292</v>
      </c>
      <c r="I218" s="10">
        <v>2.105480660552749</v>
      </c>
      <c r="J218" s="325">
        <v>7.2721587716867777</v>
      </c>
      <c r="K218" s="10">
        <v>1.3549152654187091</v>
      </c>
      <c r="L218" s="10">
        <v>4.2780661973244642</v>
      </c>
      <c r="M218" s="325">
        <v>5.6329814627431736</v>
      </c>
      <c r="N218" s="10">
        <v>0.75582826414510773</v>
      </c>
      <c r="O218" s="10">
        <v>6.0873286566393565</v>
      </c>
      <c r="P218" s="10">
        <v>16.026679723196832</v>
      </c>
      <c r="Q218" s="10">
        <v>0.95266524694296328</v>
      </c>
      <c r="R218" s="10">
        <v>4.7689828043758222</v>
      </c>
      <c r="S218" s="10">
        <v>5.1566106686282245</v>
      </c>
      <c r="T218" s="10">
        <v>17.861556669578182</v>
      </c>
      <c r="U218" s="10">
        <v>1.0322586873343738</v>
      </c>
      <c r="V218" s="325">
        <v>52.641910720840869</v>
      </c>
      <c r="W218" s="325">
        <v>65.547050955270819</v>
      </c>
      <c r="X218" s="10">
        <v>6.4603943262983403</v>
      </c>
      <c r="Y218" s="320">
        <v>72.007445281569161</v>
      </c>
    </row>
    <row r="219" spans="1:25" x14ac:dyDescent="0.2">
      <c r="A219" s="7">
        <v>2016</v>
      </c>
      <c r="B219" s="5" t="s">
        <v>466</v>
      </c>
      <c r="C219" s="5" t="s">
        <v>261</v>
      </c>
      <c r="D219" s="5" t="s">
        <v>485</v>
      </c>
      <c r="E219" s="5" t="s">
        <v>306</v>
      </c>
      <c r="F219" s="5" t="s">
        <v>264</v>
      </c>
      <c r="G219" s="5" t="s">
        <v>307</v>
      </c>
      <c r="H219" s="10">
        <v>9.6010851248268381</v>
      </c>
      <c r="I219" s="10">
        <v>4.9921830310218738</v>
      </c>
      <c r="J219" s="325">
        <v>14.593268155848712</v>
      </c>
      <c r="K219" s="10">
        <v>2.2868050443085033</v>
      </c>
      <c r="L219" s="10">
        <v>7.2854723339654086</v>
      </c>
      <c r="M219" s="325">
        <v>9.5722773782739115</v>
      </c>
      <c r="N219" s="10">
        <v>2.6685811144991365</v>
      </c>
      <c r="O219" s="10">
        <v>17.25764612026979</v>
      </c>
      <c r="P219" s="10">
        <v>5.9524597560200405</v>
      </c>
      <c r="Q219" s="10">
        <v>2.7710471315071232</v>
      </c>
      <c r="R219" s="10">
        <v>9.4524412114644285</v>
      </c>
      <c r="S219" s="10">
        <v>17.515796098868162</v>
      </c>
      <c r="T219" s="10">
        <v>17.698435869762648</v>
      </c>
      <c r="U219" s="10">
        <v>3.3997185323316721</v>
      </c>
      <c r="V219" s="325">
        <v>76.716125834723002</v>
      </c>
      <c r="W219" s="325">
        <v>100.88167136884562</v>
      </c>
      <c r="X219" s="10">
        <v>9.991517263760624</v>
      </c>
      <c r="Y219" s="320">
        <v>110.87318863260624</v>
      </c>
    </row>
    <row r="220" spans="1:25" x14ac:dyDescent="0.2">
      <c r="A220" s="7">
        <v>2016</v>
      </c>
      <c r="B220" s="5" t="s">
        <v>466</v>
      </c>
      <c r="C220" s="5" t="s">
        <v>261</v>
      </c>
      <c r="D220" s="5" t="s">
        <v>484</v>
      </c>
      <c r="E220" s="5" t="s">
        <v>308</v>
      </c>
      <c r="F220" s="5" t="s">
        <v>264</v>
      </c>
      <c r="G220" s="5" t="s">
        <v>309</v>
      </c>
      <c r="H220" s="10">
        <v>10.070477967691094</v>
      </c>
      <c r="I220" s="10">
        <v>0</v>
      </c>
      <c r="J220" s="325">
        <v>10.070477967691094</v>
      </c>
      <c r="K220" s="10">
        <v>1.5770557636732863</v>
      </c>
      <c r="L220" s="10">
        <v>14.371568144837379</v>
      </c>
      <c r="M220" s="325">
        <v>15.948623908510665</v>
      </c>
      <c r="N220" s="10">
        <v>86.317728694958973</v>
      </c>
      <c r="O220" s="10">
        <v>9.8825052515288849</v>
      </c>
      <c r="P220" s="10">
        <v>8.139259572304594</v>
      </c>
      <c r="Q220" s="10">
        <v>1.5885067096796075</v>
      </c>
      <c r="R220" s="10">
        <v>9.4622967777190521</v>
      </c>
      <c r="S220" s="10">
        <v>5.7146057888451329</v>
      </c>
      <c r="T220" s="10">
        <v>15.719956330206903</v>
      </c>
      <c r="U220" s="10">
        <v>1.7227883453478268</v>
      </c>
      <c r="V220" s="325">
        <v>138.54764747059096</v>
      </c>
      <c r="W220" s="325">
        <v>164.5667493467927</v>
      </c>
      <c r="X220" s="10">
        <v>16.466546907206666</v>
      </c>
      <c r="Y220" s="320">
        <v>181.03329625399937</v>
      </c>
    </row>
    <row r="221" spans="1:25" x14ac:dyDescent="0.2">
      <c r="A221" s="7">
        <v>2016</v>
      </c>
      <c r="B221" s="5" t="s">
        <v>466</v>
      </c>
      <c r="C221" s="5" t="s">
        <v>261</v>
      </c>
      <c r="D221" s="5" t="s">
        <v>486</v>
      </c>
      <c r="E221" s="5" t="s">
        <v>310</v>
      </c>
      <c r="F221" s="5" t="s">
        <v>264</v>
      </c>
      <c r="G221" s="5" t="s">
        <v>311</v>
      </c>
      <c r="H221" s="10">
        <v>67.249585567626951</v>
      </c>
      <c r="I221" s="10">
        <v>0</v>
      </c>
      <c r="J221" s="325">
        <v>67.249585567626951</v>
      </c>
      <c r="K221" s="10">
        <v>4.5313431956058983</v>
      </c>
      <c r="L221" s="10">
        <v>13.300829135218736</v>
      </c>
      <c r="M221" s="325">
        <v>17.832172330824633</v>
      </c>
      <c r="N221" s="10">
        <v>2.2596065184159109</v>
      </c>
      <c r="O221" s="10">
        <v>13.747773928760422</v>
      </c>
      <c r="P221" s="10">
        <v>34.019857887922591</v>
      </c>
      <c r="Q221" s="10">
        <v>1.2993415126788974</v>
      </c>
      <c r="R221" s="10">
        <v>17.139374210030034</v>
      </c>
      <c r="S221" s="10">
        <v>10.428754649177341</v>
      </c>
      <c r="T221" s="10">
        <v>30.368639972373259</v>
      </c>
      <c r="U221" s="10">
        <v>4.6074135606010937</v>
      </c>
      <c r="V221" s="325">
        <v>113.87076223995955</v>
      </c>
      <c r="W221" s="325">
        <v>198.95252013841113</v>
      </c>
      <c r="X221" s="10">
        <v>20.079432951164733</v>
      </c>
      <c r="Y221" s="320">
        <v>219.03195308957586</v>
      </c>
    </row>
    <row r="222" spans="1:25" x14ac:dyDescent="0.2">
      <c r="A222" s="7">
        <v>2016</v>
      </c>
      <c r="B222" s="5" t="s">
        <v>466</v>
      </c>
      <c r="C222" s="5" t="s">
        <v>261</v>
      </c>
      <c r="D222" s="5" t="s">
        <v>483</v>
      </c>
      <c r="E222" s="5" t="s">
        <v>312</v>
      </c>
      <c r="F222" s="5" t="s">
        <v>264</v>
      </c>
      <c r="G222" s="5" t="s">
        <v>313</v>
      </c>
      <c r="H222" s="10">
        <v>97.818723763116509</v>
      </c>
      <c r="I222" s="10">
        <v>14.345891111022942</v>
      </c>
      <c r="J222" s="325">
        <v>112.16461487413945</v>
      </c>
      <c r="K222" s="10">
        <v>320.49681553772962</v>
      </c>
      <c r="L222" s="10">
        <v>18.522722536754848</v>
      </c>
      <c r="M222" s="325">
        <v>339.01953807448444</v>
      </c>
      <c r="N222" s="10">
        <v>26.585269816813049</v>
      </c>
      <c r="O222" s="10">
        <v>55.988837401575253</v>
      </c>
      <c r="P222" s="10">
        <v>9.668838514264122</v>
      </c>
      <c r="Q222" s="10">
        <v>10.369210559710922</v>
      </c>
      <c r="R222" s="10">
        <v>36.708233998728986</v>
      </c>
      <c r="S222" s="10">
        <v>52.264977527061269</v>
      </c>
      <c r="T222" s="10">
        <v>42.706170263381829</v>
      </c>
      <c r="U222" s="10">
        <v>7.8582002628678937</v>
      </c>
      <c r="V222" s="325">
        <v>242.14973834440332</v>
      </c>
      <c r="W222" s="325">
        <v>693.33389129302725</v>
      </c>
      <c r="X222" s="10">
        <v>67.995006986615991</v>
      </c>
      <c r="Y222" s="320">
        <v>761.32889827964323</v>
      </c>
    </row>
    <row r="223" spans="1:25" x14ac:dyDescent="0.2">
      <c r="A223" s="7">
        <v>2016</v>
      </c>
      <c r="B223" s="5" t="s">
        <v>466</v>
      </c>
      <c r="C223" s="5" t="s">
        <v>314</v>
      </c>
      <c r="D223" s="5" t="s">
        <v>487</v>
      </c>
      <c r="E223" s="5" t="s">
        <v>316</v>
      </c>
      <c r="F223" s="5" t="s">
        <v>317</v>
      </c>
      <c r="G223" s="5" t="s">
        <v>318</v>
      </c>
      <c r="H223" s="10">
        <v>46.792344182259669</v>
      </c>
      <c r="I223" s="10">
        <v>1.486640510296136</v>
      </c>
      <c r="J223" s="325">
        <v>48.278984692555802</v>
      </c>
      <c r="K223" s="10">
        <v>69.656550952850608</v>
      </c>
      <c r="L223" s="10">
        <v>22.799275717796096</v>
      </c>
      <c r="M223" s="325">
        <v>92.455826670646701</v>
      </c>
      <c r="N223" s="10">
        <v>12.854063230904053</v>
      </c>
      <c r="O223" s="10">
        <v>49.160859472835817</v>
      </c>
      <c r="P223" s="10">
        <v>9.6248665014806871</v>
      </c>
      <c r="Q223" s="10">
        <v>7.4830782234242879</v>
      </c>
      <c r="R223" s="10">
        <v>24.655412534434113</v>
      </c>
      <c r="S223" s="10">
        <v>27.153926039806336</v>
      </c>
      <c r="T223" s="10">
        <v>54.248253557060622</v>
      </c>
      <c r="U223" s="10">
        <v>8.0845300919337681</v>
      </c>
      <c r="V223" s="325">
        <v>193.26498965187966</v>
      </c>
      <c r="W223" s="325">
        <v>333.9998010150822</v>
      </c>
      <c r="X223" s="10">
        <v>33.011177025419194</v>
      </c>
      <c r="Y223" s="320">
        <v>367.01097804050141</v>
      </c>
    </row>
    <row r="224" spans="1:25" x14ac:dyDescent="0.2">
      <c r="A224" s="7">
        <v>2016</v>
      </c>
      <c r="B224" s="5" t="s">
        <v>466</v>
      </c>
      <c r="C224" s="5" t="s">
        <v>314</v>
      </c>
      <c r="D224" s="5" t="s">
        <v>488</v>
      </c>
      <c r="E224" s="5" t="s">
        <v>319</v>
      </c>
      <c r="F224" s="5" t="s">
        <v>317</v>
      </c>
      <c r="G224" s="5" t="s">
        <v>321</v>
      </c>
      <c r="H224" s="10">
        <v>85.453122421698353</v>
      </c>
      <c r="I224" s="10">
        <v>40.775128477286898</v>
      </c>
      <c r="J224" s="325">
        <v>126.22825089898525</v>
      </c>
      <c r="K224" s="10">
        <v>87.969178465124244</v>
      </c>
      <c r="L224" s="10">
        <v>110.62600534968892</v>
      </c>
      <c r="M224" s="325">
        <v>198.59518381481317</v>
      </c>
      <c r="N224" s="10">
        <v>11.159135813695102</v>
      </c>
      <c r="O224" s="10">
        <v>105.1777905300618</v>
      </c>
      <c r="P224" s="10">
        <v>11.844689417502165</v>
      </c>
      <c r="Q224" s="10">
        <v>24.232384680066037</v>
      </c>
      <c r="R224" s="10">
        <v>33.145662597089427</v>
      </c>
      <c r="S224" s="10">
        <v>51.552041000080536</v>
      </c>
      <c r="T224" s="10">
        <v>38.753296124824125</v>
      </c>
      <c r="U224" s="10">
        <v>13.379705441524509</v>
      </c>
      <c r="V224" s="325">
        <v>289.24470560484372</v>
      </c>
      <c r="W224" s="325">
        <v>614.06814031864212</v>
      </c>
      <c r="X224" s="10">
        <v>60.772354343928264</v>
      </c>
      <c r="Y224" s="320">
        <v>674.84049466257034</v>
      </c>
    </row>
    <row r="225" spans="1:25" x14ac:dyDescent="0.2">
      <c r="A225" s="7">
        <v>2016</v>
      </c>
      <c r="B225" s="5" t="s">
        <v>466</v>
      </c>
      <c r="C225" s="5" t="s">
        <v>314</v>
      </c>
      <c r="D225" s="5" t="s">
        <v>487</v>
      </c>
      <c r="E225" s="5" t="s">
        <v>322</v>
      </c>
      <c r="F225" s="5" t="s">
        <v>317</v>
      </c>
      <c r="G225" s="5" t="s">
        <v>323</v>
      </c>
      <c r="H225" s="10">
        <v>21.052356038820911</v>
      </c>
      <c r="I225" s="10">
        <v>8.4483476680379671E-2</v>
      </c>
      <c r="J225" s="325">
        <v>21.13683951550129</v>
      </c>
      <c r="K225" s="10">
        <v>4.6587104893251325</v>
      </c>
      <c r="L225" s="10">
        <v>1.1065118435247261</v>
      </c>
      <c r="M225" s="325">
        <v>5.7652223328498584</v>
      </c>
      <c r="N225" s="10">
        <v>1.3885961398009199</v>
      </c>
      <c r="O225" s="10">
        <v>8.6127257659757959</v>
      </c>
      <c r="P225" s="10">
        <v>2.7545400754643157</v>
      </c>
      <c r="Q225" s="10">
        <v>0.89067373052548626</v>
      </c>
      <c r="R225" s="10">
        <v>2.6774209722743914</v>
      </c>
      <c r="S225" s="10">
        <v>4.4877338170695396</v>
      </c>
      <c r="T225" s="10">
        <v>12.107475200451495</v>
      </c>
      <c r="U225" s="10">
        <v>1.3884559947344659</v>
      </c>
      <c r="V225" s="325">
        <v>34.307621696296408</v>
      </c>
      <c r="W225" s="325">
        <v>61.209683544647561</v>
      </c>
      <c r="X225" s="10">
        <v>6.1975454723424077</v>
      </c>
      <c r="Y225" s="320">
        <v>67.407229016989973</v>
      </c>
    </row>
    <row r="226" spans="1:25" x14ac:dyDescent="0.2">
      <c r="A226" s="7">
        <v>2016</v>
      </c>
      <c r="B226" s="5" t="s">
        <v>466</v>
      </c>
      <c r="C226" s="5" t="s">
        <v>314</v>
      </c>
      <c r="D226" s="5" t="s">
        <v>488</v>
      </c>
      <c r="E226" s="5" t="s">
        <v>324</v>
      </c>
      <c r="F226" s="5" t="s">
        <v>317</v>
      </c>
      <c r="G226" s="5" t="s">
        <v>325</v>
      </c>
      <c r="H226" s="10">
        <v>55.342028930129956</v>
      </c>
      <c r="I226" s="10">
        <v>0</v>
      </c>
      <c r="J226" s="325">
        <v>55.342028930129956</v>
      </c>
      <c r="K226" s="10">
        <v>5.665025947933767</v>
      </c>
      <c r="L226" s="10">
        <v>6.8415022537831582</v>
      </c>
      <c r="M226" s="325">
        <v>12.506528201716925</v>
      </c>
      <c r="N226" s="10">
        <v>3.5646017566832064</v>
      </c>
      <c r="O226" s="10">
        <v>12.426150579999291</v>
      </c>
      <c r="P226" s="10">
        <v>3.971505785742905</v>
      </c>
      <c r="Q226" s="10">
        <v>2.4049321947889784</v>
      </c>
      <c r="R226" s="10">
        <v>6.0760279393693715</v>
      </c>
      <c r="S226" s="10">
        <v>9.4786529146729652</v>
      </c>
      <c r="T226" s="10">
        <v>26.650507828740722</v>
      </c>
      <c r="U226" s="10">
        <v>2.4025668816063437</v>
      </c>
      <c r="V226" s="325">
        <v>66.974945881603787</v>
      </c>
      <c r="W226" s="325">
        <v>134.82350301345065</v>
      </c>
      <c r="X226" s="10">
        <v>13.720638903505689</v>
      </c>
      <c r="Y226" s="320">
        <v>148.54414191695633</v>
      </c>
    </row>
    <row r="227" spans="1:25" x14ac:dyDescent="0.2">
      <c r="A227" s="7">
        <v>2016</v>
      </c>
      <c r="B227" s="5" t="s">
        <v>466</v>
      </c>
      <c r="C227" s="5" t="s">
        <v>314</v>
      </c>
      <c r="D227" s="5" t="s">
        <v>489</v>
      </c>
      <c r="E227" s="5" t="s">
        <v>326</v>
      </c>
      <c r="F227" s="5" t="s">
        <v>317</v>
      </c>
      <c r="G227" s="5" t="s">
        <v>327</v>
      </c>
      <c r="H227" s="10">
        <v>71.366735614181096</v>
      </c>
      <c r="I227" s="10">
        <v>0</v>
      </c>
      <c r="J227" s="325">
        <v>71.366735614181096</v>
      </c>
      <c r="K227" s="10">
        <v>7.8520899896380811</v>
      </c>
      <c r="L227" s="10">
        <v>8.2636369219431085</v>
      </c>
      <c r="M227" s="325">
        <v>16.115726911581191</v>
      </c>
      <c r="N227" s="10">
        <v>4.4384337370362879</v>
      </c>
      <c r="O227" s="10">
        <v>20.63995782977096</v>
      </c>
      <c r="P227" s="10">
        <v>6.6951557409113125</v>
      </c>
      <c r="Q227" s="10">
        <v>5.3984513590214238</v>
      </c>
      <c r="R227" s="10">
        <v>14.938582242170979</v>
      </c>
      <c r="S227" s="10">
        <v>13.033353856121344</v>
      </c>
      <c r="T227" s="10">
        <v>18.633957932838584</v>
      </c>
      <c r="U227" s="10">
        <v>5.3002028787711906</v>
      </c>
      <c r="V227" s="325">
        <v>89.07809557664207</v>
      </c>
      <c r="W227" s="325">
        <v>176.56055810240434</v>
      </c>
      <c r="X227" s="10">
        <v>17.938015509763137</v>
      </c>
      <c r="Y227" s="320">
        <v>194.49857361216749</v>
      </c>
    </row>
    <row r="228" spans="1:25" x14ac:dyDescent="0.2">
      <c r="A228" s="7">
        <v>2016</v>
      </c>
      <c r="B228" s="5" t="s">
        <v>466</v>
      </c>
      <c r="C228" s="5" t="s">
        <v>314</v>
      </c>
      <c r="D228" s="5" t="s">
        <v>490</v>
      </c>
      <c r="E228" s="5" t="s">
        <v>328</v>
      </c>
      <c r="F228" s="5" t="s">
        <v>317</v>
      </c>
      <c r="G228" s="5" t="s">
        <v>330</v>
      </c>
      <c r="H228" s="10">
        <v>16.097708699636502</v>
      </c>
      <c r="I228" s="10">
        <v>0</v>
      </c>
      <c r="J228" s="325">
        <v>16.097708699636502</v>
      </c>
      <c r="K228" s="10">
        <v>0.73684491393857587</v>
      </c>
      <c r="L228" s="10">
        <v>4.5631575469845878</v>
      </c>
      <c r="M228" s="325">
        <v>5.3000024609231637</v>
      </c>
      <c r="N228" s="10">
        <v>0.96182160053041443</v>
      </c>
      <c r="O228" s="10">
        <v>2.9692707436982664</v>
      </c>
      <c r="P228" s="10">
        <v>2.9179676281293236</v>
      </c>
      <c r="Q228" s="10">
        <v>0.71253648066147779</v>
      </c>
      <c r="R228" s="10">
        <v>1.4906376357666438</v>
      </c>
      <c r="S228" s="10">
        <v>4.4721667834464718</v>
      </c>
      <c r="T228" s="10">
        <v>20.617422848536496</v>
      </c>
      <c r="U228" s="10">
        <v>0.59768717230386437</v>
      </c>
      <c r="V228" s="325">
        <v>34.739510893072961</v>
      </c>
      <c r="W228" s="325">
        <v>56.137222053632627</v>
      </c>
      <c r="X228" s="10">
        <v>5.6434151548750444</v>
      </c>
      <c r="Y228" s="320">
        <v>61.78063720850767</v>
      </c>
    </row>
    <row r="229" spans="1:25" x14ac:dyDescent="0.2">
      <c r="A229" s="7">
        <v>2016</v>
      </c>
      <c r="B229" s="5" t="s">
        <v>466</v>
      </c>
      <c r="C229" s="5" t="s">
        <v>314</v>
      </c>
      <c r="D229" s="5" t="s">
        <v>488</v>
      </c>
      <c r="E229" s="5" t="s">
        <v>331</v>
      </c>
      <c r="F229" s="5" t="s">
        <v>317</v>
      </c>
      <c r="G229" s="5" t="s">
        <v>332</v>
      </c>
      <c r="H229" s="10">
        <v>78.511873429119177</v>
      </c>
      <c r="I229" s="10">
        <v>0</v>
      </c>
      <c r="J229" s="325">
        <v>78.511873429119177</v>
      </c>
      <c r="K229" s="10">
        <v>10.267360374945207</v>
      </c>
      <c r="L229" s="10">
        <v>15.571851131976578</v>
      </c>
      <c r="M229" s="325">
        <v>25.839211506921785</v>
      </c>
      <c r="N229" s="10">
        <v>8.6000168602186395</v>
      </c>
      <c r="O229" s="10">
        <v>63.249803052861772</v>
      </c>
      <c r="P229" s="10">
        <v>7.5192725116908159</v>
      </c>
      <c r="Q229" s="10">
        <v>7.2253168662210472</v>
      </c>
      <c r="R229" s="10">
        <v>23.4736255165773</v>
      </c>
      <c r="S229" s="10">
        <v>23.944288513829999</v>
      </c>
      <c r="T229" s="10">
        <v>41.785663666551997</v>
      </c>
      <c r="U229" s="10">
        <v>7.564750889047934</v>
      </c>
      <c r="V229" s="325">
        <v>183.36273787699949</v>
      </c>
      <c r="W229" s="325">
        <v>287.71382281304045</v>
      </c>
      <c r="X229" s="10">
        <v>29.011623598500652</v>
      </c>
      <c r="Y229" s="320">
        <v>316.7254464115411</v>
      </c>
    </row>
    <row r="230" spans="1:25" x14ac:dyDescent="0.2">
      <c r="A230" s="7">
        <v>2016</v>
      </c>
      <c r="B230" s="5" t="s">
        <v>466</v>
      </c>
      <c r="C230" s="5" t="s">
        <v>314</v>
      </c>
      <c r="D230" s="5" t="s">
        <v>489</v>
      </c>
      <c r="E230" s="5" t="s">
        <v>333</v>
      </c>
      <c r="F230" s="5" t="s">
        <v>317</v>
      </c>
      <c r="G230" s="5" t="s">
        <v>334</v>
      </c>
      <c r="H230" s="10">
        <v>83.913658359627362</v>
      </c>
      <c r="I230" s="10">
        <v>0</v>
      </c>
      <c r="J230" s="325">
        <v>83.913658359627362</v>
      </c>
      <c r="K230" s="10">
        <v>8.9945278635657395</v>
      </c>
      <c r="L230" s="10">
        <v>10.36941575015625</v>
      </c>
      <c r="M230" s="325">
        <v>19.36394361372199</v>
      </c>
      <c r="N230" s="10">
        <v>4.1254885545426641</v>
      </c>
      <c r="O230" s="10">
        <v>23.467251830515291</v>
      </c>
      <c r="P230" s="10">
        <v>8.7600287746205616</v>
      </c>
      <c r="Q230" s="10">
        <v>5.670821400571973</v>
      </c>
      <c r="R230" s="10">
        <v>12.618626943179557</v>
      </c>
      <c r="S230" s="10">
        <v>13.708443414184107</v>
      </c>
      <c r="T230" s="10">
        <v>26.508064469117819</v>
      </c>
      <c r="U230" s="10">
        <v>5.3774884497062105</v>
      </c>
      <c r="V230" s="325">
        <v>100.23621383643818</v>
      </c>
      <c r="W230" s="325">
        <v>203.51381580978753</v>
      </c>
      <c r="X230" s="10">
        <v>20.698242912317024</v>
      </c>
      <c r="Y230" s="320">
        <v>224.21205872210456</v>
      </c>
    </row>
    <row r="231" spans="1:25" x14ac:dyDescent="0.2">
      <c r="A231" s="7">
        <v>2016</v>
      </c>
      <c r="B231" s="5" t="s">
        <v>466</v>
      </c>
      <c r="C231" s="5" t="s">
        <v>314</v>
      </c>
      <c r="D231" s="5" t="s">
        <v>487</v>
      </c>
      <c r="E231" s="5" t="s">
        <v>335</v>
      </c>
      <c r="F231" s="5" t="s">
        <v>317</v>
      </c>
      <c r="G231" s="5" t="s">
        <v>336</v>
      </c>
      <c r="H231" s="10">
        <v>88.748536586213277</v>
      </c>
      <c r="I231" s="10">
        <v>0.91922584923022521</v>
      </c>
      <c r="J231" s="325">
        <v>89.667762435443507</v>
      </c>
      <c r="K231" s="10">
        <v>7.5572058109949429</v>
      </c>
      <c r="L231" s="10">
        <v>15.904312090340909</v>
      </c>
      <c r="M231" s="325">
        <v>23.461517901335853</v>
      </c>
      <c r="N231" s="10">
        <v>7.1890058152923126</v>
      </c>
      <c r="O231" s="10">
        <v>41.148695486147872</v>
      </c>
      <c r="P231" s="10">
        <v>7.2200245250174797</v>
      </c>
      <c r="Q231" s="10">
        <v>8.3469952181162181</v>
      </c>
      <c r="R231" s="10">
        <v>22.293891793207333</v>
      </c>
      <c r="S231" s="10">
        <v>20.264642676985908</v>
      </c>
      <c r="T231" s="10">
        <v>25.483337862222722</v>
      </c>
      <c r="U231" s="10">
        <v>9.0868462127017722</v>
      </c>
      <c r="V231" s="325">
        <v>141.03343958969162</v>
      </c>
      <c r="W231" s="325">
        <v>254.162719926471</v>
      </c>
      <c r="X231" s="10">
        <v>25.734640134725222</v>
      </c>
      <c r="Y231" s="320">
        <v>279.8973600611962</v>
      </c>
    </row>
    <row r="232" spans="1:25" x14ac:dyDescent="0.2">
      <c r="A232" s="7">
        <v>2016</v>
      </c>
      <c r="B232" s="5" t="s">
        <v>466</v>
      </c>
      <c r="C232" s="5" t="s">
        <v>314</v>
      </c>
      <c r="D232" s="5" t="s">
        <v>488</v>
      </c>
      <c r="E232" s="5" t="s">
        <v>337</v>
      </c>
      <c r="F232" s="5" t="s">
        <v>317</v>
      </c>
      <c r="G232" s="5" t="s">
        <v>338</v>
      </c>
      <c r="H232" s="10">
        <v>15.131550168977489</v>
      </c>
      <c r="I232" s="10">
        <v>0</v>
      </c>
      <c r="J232" s="325">
        <v>15.131550168977489</v>
      </c>
      <c r="K232" s="10">
        <v>2.5053258456614556</v>
      </c>
      <c r="L232" s="10">
        <v>2.8278616344924701</v>
      </c>
      <c r="M232" s="325">
        <v>5.3331874801539261</v>
      </c>
      <c r="N232" s="10">
        <v>1.3736010653877051</v>
      </c>
      <c r="O232" s="10">
        <v>6.4039375974806516</v>
      </c>
      <c r="P232" s="10">
        <v>1.9581090508005519</v>
      </c>
      <c r="Q232" s="10">
        <v>0.75124552192900762</v>
      </c>
      <c r="R232" s="10">
        <v>3.2090386207625894</v>
      </c>
      <c r="S232" s="10">
        <v>4.2314864514741277</v>
      </c>
      <c r="T232" s="10">
        <v>16.045242996021692</v>
      </c>
      <c r="U232" s="10">
        <v>0.98577963233282073</v>
      </c>
      <c r="V232" s="325">
        <v>34.958440936189149</v>
      </c>
      <c r="W232" s="325">
        <v>55.423178585320564</v>
      </c>
      <c r="X232" s="10">
        <v>5.5724672565421178</v>
      </c>
      <c r="Y232" s="320">
        <v>60.995645841862682</v>
      </c>
    </row>
    <row r="233" spans="1:25" x14ac:dyDescent="0.2">
      <c r="A233" s="7">
        <v>2016</v>
      </c>
      <c r="B233" s="5" t="s">
        <v>466</v>
      </c>
      <c r="C233" s="5" t="s">
        <v>314</v>
      </c>
      <c r="D233" s="5" t="s">
        <v>488</v>
      </c>
      <c r="E233" s="5" t="s">
        <v>339</v>
      </c>
      <c r="F233" s="5" t="s">
        <v>317</v>
      </c>
      <c r="G233" s="5" t="s">
        <v>340</v>
      </c>
      <c r="H233" s="10">
        <v>38.888765578738031</v>
      </c>
      <c r="I233" s="10">
        <v>3.6567760095318649</v>
      </c>
      <c r="J233" s="325">
        <v>42.545541588269899</v>
      </c>
      <c r="K233" s="10">
        <v>5.9440229528397497</v>
      </c>
      <c r="L233" s="10">
        <v>9.2025522856402215</v>
      </c>
      <c r="M233" s="325">
        <v>15.146575238479972</v>
      </c>
      <c r="N233" s="10">
        <v>4.5448010520422084</v>
      </c>
      <c r="O233" s="10">
        <v>30.621481917365735</v>
      </c>
      <c r="P233" s="10">
        <v>5.0120676976046115</v>
      </c>
      <c r="Q233" s="10">
        <v>5.2357995020880557</v>
      </c>
      <c r="R233" s="10">
        <v>17.181340211828509</v>
      </c>
      <c r="S233" s="10">
        <v>13.937807009745605</v>
      </c>
      <c r="T233" s="10">
        <v>22.583418368284693</v>
      </c>
      <c r="U233" s="10">
        <v>4.1745908156069822</v>
      </c>
      <c r="V233" s="325">
        <v>103.29130657456641</v>
      </c>
      <c r="W233" s="325">
        <v>160.98342340131626</v>
      </c>
      <c r="X233" s="10">
        <v>16.158637472291911</v>
      </c>
      <c r="Y233" s="320">
        <v>177.14206087360816</v>
      </c>
    </row>
    <row r="234" spans="1:25" x14ac:dyDescent="0.2">
      <c r="A234" s="7">
        <v>2016</v>
      </c>
      <c r="B234" s="5" t="s">
        <v>466</v>
      </c>
      <c r="C234" s="5" t="s">
        <v>314</v>
      </c>
      <c r="D234" s="5" t="s">
        <v>490</v>
      </c>
      <c r="E234" s="5" t="s">
        <v>341</v>
      </c>
      <c r="F234" s="5" t="s">
        <v>317</v>
      </c>
      <c r="G234" s="5" t="s">
        <v>342</v>
      </c>
      <c r="H234" s="10">
        <v>43.998560194531819</v>
      </c>
      <c r="I234" s="10">
        <v>0</v>
      </c>
      <c r="J234" s="325">
        <v>43.998560194531819</v>
      </c>
      <c r="K234" s="10">
        <v>1.928737350171716</v>
      </c>
      <c r="L234" s="10">
        <v>12.403362172959575</v>
      </c>
      <c r="M234" s="325">
        <v>14.332099523131291</v>
      </c>
      <c r="N234" s="10">
        <v>16.317056667674642</v>
      </c>
      <c r="O234" s="10">
        <v>22.918815063897327</v>
      </c>
      <c r="P234" s="10">
        <v>4.4501101045865195</v>
      </c>
      <c r="Q234" s="10">
        <v>3.8039902683019315</v>
      </c>
      <c r="R234" s="10">
        <v>12.706498713878213</v>
      </c>
      <c r="S234" s="10">
        <v>11.597801996574772</v>
      </c>
      <c r="T234" s="10">
        <v>19.426548040285301</v>
      </c>
      <c r="U234" s="10">
        <v>3.3372036617201388</v>
      </c>
      <c r="V234" s="325">
        <v>94.558024516918834</v>
      </c>
      <c r="W234" s="325">
        <v>152.88868423458194</v>
      </c>
      <c r="X234" s="10">
        <v>15.443790718528659</v>
      </c>
      <c r="Y234" s="320">
        <v>168.33247495311059</v>
      </c>
    </row>
    <row r="235" spans="1:25" x14ac:dyDescent="0.2">
      <c r="A235" s="7">
        <v>2016</v>
      </c>
      <c r="B235" s="5" t="s">
        <v>466</v>
      </c>
      <c r="C235" s="5" t="s">
        <v>314</v>
      </c>
      <c r="D235" s="5" t="s">
        <v>490</v>
      </c>
      <c r="E235" s="5" t="s">
        <v>343</v>
      </c>
      <c r="F235" s="5" t="s">
        <v>317</v>
      </c>
      <c r="G235" s="5" t="s">
        <v>344</v>
      </c>
      <c r="H235" s="10">
        <v>4.0647928736317613</v>
      </c>
      <c r="I235" s="10">
        <v>0</v>
      </c>
      <c r="J235" s="325">
        <v>4.0647928736317613</v>
      </c>
      <c r="K235" s="10">
        <v>7.9994226969811173</v>
      </c>
      <c r="L235" s="10">
        <v>36.628219525754204</v>
      </c>
      <c r="M235" s="325">
        <v>44.627642222735318</v>
      </c>
      <c r="N235" s="10">
        <v>4.4168850768021759</v>
      </c>
      <c r="O235" s="10">
        <v>39.916521207286401</v>
      </c>
      <c r="P235" s="10">
        <v>3.2232245566559627</v>
      </c>
      <c r="Q235" s="10">
        <v>1.99293425454995</v>
      </c>
      <c r="R235" s="10">
        <v>7.0205360979133848</v>
      </c>
      <c r="S235" s="10">
        <v>11.488894355092425</v>
      </c>
      <c r="T235" s="10">
        <v>16.736088811208699</v>
      </c>
      <c r="U235" s="10">
        <v>2.5004108141609129</v>
      </c>
      <c r="V235" s="325">
        <v>87.29549517366992</v>
      </c>
      <c r="W235" s="325">
        <v>135.98793027003703</v>
      </c>
      <c r="X235" s="10">
        <v>13.412555669303261</v>
      </c>
      <c r="Y235" s="320">
        <v>149.40048593934029</v>
      </c>
    </row>
    <row r="236" spans="1:25" x14ac:dyDescent="0.2">
      <c r="A236" s="7">
        <v>2016</v>
      </c>
      <c r="B236" s="5" t="s">
        <v>466</v>
      </c>
      <c r="C236" s="5" t="s">
        <v>314</v>
      </c>
      <c r="D236" s="5" t="s">
        <v>490</v>
      </c>
      <c r="E236" s="5" t="s">
        <v>345</v>
      </c>
      <c r="F236" s="5" t="s">
        <v>317</v>
      </c>
      <c r="G236" s="5" t="s">
        <v>346</v>
      </c>
      <c r="H236" s="10">
        <v>14.796267846481236</v>
      </c>
      <c r="I236" s="10">
        <v>0</v>
      </c>
      <c r="J236" s="325">
        <v>14.796267846481236</v>
      </c>
      <c r="K236" s="10">
        <v>39.837084106344768</v>
      </c>
      <c r="L236" s="10">
        <v>13.769899604032521</v>
      </c>
      <c r="M236" s="325">
        <v>53.606983710377293</v>
      </c>
      <c r="N236" s="10">
        <v>1.4662289393477863</v>
      </c>
      <c r="O236" s="10">
        <v>6.2224464665113368</v>
      </c>
      <c r="P236" s="10">
        <v>3.4656599446118621</v>
      </c>
      <c r="Q236" s="10">
        <v>1.3351966074260131</v>
      </c>
      <c r="R236" s="10">
        <v>4.6187690335831864</v>
      </c>
      <c r="S236" s="10">
        <v>7.5129229961433923</v>
      </c>
      <c r="T236" s="10">
        <v>15.315838633509793</v>
      </c>
      <c r="U236" s="10">
        <v>1.6668218872410225</v>
      </c>
      <c r="V236" s="325">
        <v>41.603884508374392</v>
      </c>
      <c r="W236" s="325">
        <v>110.00713606523291</v>
      </c>
      <c r="X236" s="10">
        <v>10.777601327294354</v>
      </c>
      <c r="Y236" s="320">
        <v>120.78473739252726</v>
      </c>
    </row>
    <row r="237" spans="1:25" x14ac:dyDescent="0.2">
      <c r="A237" s="7">
        <v>2016</v>
      </c>
      <c r="B237" s="5" t="s">
        <v>466</v>
      </c>
      <c r="C237" s="5" t="s">
        <v>314</v>
      </c>
      <c r="D237" s="5" t="s">
        <v>490</v>
      </c>
      <c r="E237" s="5" t="s">
        <v>347</v>
      </c>
      <c r="F237" s="5" t="s">
        <v>317</v>
      </c>
      <c r="G237" s="5" t="s">
        <v>348</v>
      </c>
      <c r="H237" s="10">
        <v>15.574846893187024</v>
      </c>
      <c r="I237" s="10">
        <v>0</v>
      </c>
      <c r="J237" s="325">
        <v>15.574846893187024</v>
      </c>
      <c r="K237" s="10">
        <v>1.3255030145987854</v>
      </c>
      <c r="L237" s="10">
        <v>6.2521468416593367</v>
      </c>
      <c r="M237" s="325">
        <v>7.5776498562581223</v>
      </c>
      <c r="N237" s="10">
        <v>1.6616029510058821</v>
      </c>
      <c r="O237" s="10">
        <v>5.9590317092025886</v>
      </c>
      <c r="P237" s="10">
        <v>2.5143788531799407</v>
      </c>
      <c r="Q237" s="10">
        <v>1.9944512019237908</v>
      </c>
      <c r="R237" s="10">
        <v>5.1025149055316419</v>
      </c>
      <c r="S237" s="10">
        <v>6.4635978076076821</v>
      </c>
      <c r="T237" s="10">
        <v>23.81309784336224</v>
      </c>
      <c r="U237" s="10">
        <v>1.4164771615743088</v>
      </c>
      <c r="V237" s="325">
        <v>48.925152433388078</v>
      </c>
      <c r="W237" s="325">
        <v>72.077649182833227</v>
      </c>
      <c r="X237" s="10">
        <v>7.1908238906221671</v>
      </c>
      <c r="Y237" s="320">
        <v>79.268473073455397</v>
      </c>
    </row>
    <row r="238" spans="1:25" x14ac:dyDescent="0.2">
      <c r="A238" s="7">
        <v>2016</v>
      </c>
      <c r="B238" s="5" t="s">
        <v>466</v>
      </c>
      <c r="C238" s="5" t="s">
        <v>314</v>
      </c>
      <c r="D238" s="5" t="s">
        <v>489</v>
      </c>
      <c r="E238" s="5" t="s">
        <v>349</v>
      </c>
      <c r="F238" s="5" t="s">
        <v>317</v>
      </c>
      <c r="G238" s="5" t="s">
        <v>350</v>
      </c>
      <c r="H238" s="10">
        <v>68.092846122457246</v>
      </c>
      <c r="I238" s="10">
        <v>0.25148863160233731</v>
      </c>
      <c r="J238" s="325">
        <v>68.344334754059588</v>
      </c>
      <c r="K238" s="10">
        <v>3.8490212897042353</v>
      </c>
      <c r="L238" s="10">
        <v>13.706655308347631</v>
      </c>
      <c r="M238" s="325">
        <v>17.555676598051868</v>
      </c>
      <c r="N238" s="10">
        <v>11.755977858829139</v>
      </c>
      <c r="O238" s="10">
        <v>28.077161982688835</v>
      </c>
      <c r="P238" s="10">
        <v>5.735741688701359</v>
      </c>
      <c r="Q238" s="10">
        <v>4.2625409502199112</v>
      </c>
      <c r="R238" s="10">
        <v>9.4105755387404297</v>
      </c>
      <c r="S238" s="10">
        <v>13.497484185970736</v>
      </c>
      <c r="T238" s="10">
        <v>29.66324925852016</v>
      </c>
      <c r="U238" s="10">
        <v>4.6702459628233495</v>
      </c>
      <c r="V238" s="325">
        <v>107.07297742649391</v>
      </c>
      <c r="W238" s="325">
        <v>192.97298877860536</v>
      </c>
      <c r="X238" s="10">
        <v>19.590028503034926</v>
      </c>
      <c r="Y238" s="320">
        <v>212.56301728164027</v>
      </c>
    </row>
    <row r="239" spans="1:25" x14ac:dyDescent="0.2">
      <c r="A239" s="7">
        <v>2016</v>
      </c>
      <c r="B239" s="5" t="s">
        <v>466</v>
      </c>
      <c r="C239" s="5" t="s">
        <v>314</v>
      </c>
      <c r="D239" s="5" t="s">
        <v>490</v>
      </c>
      <c r="E239" s="5" t="s">
        <v>351</v>
      </c>
      <c r="F239" s="5" t="s">
        <v>317</v>
      </c>
      <c r="G239" s="5" t="s">
        <v>352</v>
      </c>
      <c r="H239" s="10">
        <v>70.824255150238997</v>
      </c>
      <c r="I239" s="10">
        <v>2.9283887147331904</v>
      </c>
      <c r="J239" s="325">
        <v>73.752643864972185</v>
      </c>
      <c r="K239" s="10">
        <v>11.000741697754979</v>
      </c>
      <c r="L239" s="10">
        <v>11.599331664831688</v>
      </c>
      <c r="M239" s="325">
        <v>22.600073362586667</v>
      </c>
      <c r="N239" s="10">
        <v>5.8428183351508718</v>
      </c>
      <c r="O239" s="10">
        <v>38.963029066559251</v>
      </c>
      <c r="P239" s="10">
        <v>7.778927961959365</v>
      </c>
      <c r="Q239" s="10">
        <v>8.0948882291744031</v>
      </c>
      <c r="R239" s="10">
        <v>27.703992413105052</v>
      </c>
      <c r="S239" s="10">
        <v>19.659934167592429</v>
      </c>
      <c r="T239" s="10">
        <v>33.055326762927848</v>
      </c>
      <c r="U239" s="10">
        <v>8.4572701124318286</v>
      </c>
      <c r="V239" s="325">
        <v>149.55618704890105</v>
      </c>
      <c r="W239" s="325">
        <v>245.90890427645991</v>
      </c>
      <c r="X239" s="10">
        <v>24.739773073910836</v>
      </c>
      <c r="Y239" s="320">
        <v>270.64867735037075</v>
      </c>
    </row>
    <row r="240" spans="1:25" x14ac:dyDescent="0.2">
      <c r="A240" s="7">
        <v>2016</v>
      </c>
      <c r="B240" s="5" t="s">
        <v>466</v>
      </c>
      <c r="C240" s="5" t="s">
        <v>314</v>
      </c>
      <c r="D240" s="5" t="s">
        <v>490</v>
      </c>
      <c r="E240" s="5" t="s">
        <v>353</v>
      </c>
      <c r="F240" s="5" t="s">
        <v>317</v>
      </c>
      <c r="G240" s="5" t="s">
        <v>354</v>
      </c>
      <c r="H240" s="10">
        <v>66.423791520853996</v>
      </c>
      <c r="I240" s="10">
        <v>0.32333954830456968</v>
      </c>
      <c r="J240" s="325">
        <v>66.74713106915857</v>
      </c>
      <c r="K240" s="10">
        <v>5.0190304391627985</v>
      </c>
      <c r="L240" s="10">
        <v>12.212565308195956</v>
      </c>
      <c r="M240" s="325">
        <v>17.231595747358753</v>
      </c>
      <c r="N240" s="10">
        <v>5.5901664946269758</v>
      </c>
      <c r="O240" s="10">
        <v>25.192245876022834</v>
      </c>
      <c r="P240" s="10">
        <v>5.3337320346198318</v>
      </c>
      <c r="Q240" s="10">
        <v>6.1129334815502601</v>
      </c>
      <c r="R240" s="10">
        <v>16.950834556844423</v>
      </c>
      <c r="S240" s="10">
        <v>14.383207170733645</v>
      </c>
      <c r="T240" s="10">
        <v>18.982675757114773</v>
      </c>
      <c r="U240" s="10">
        <v>5.7257383763146326</v>
      </c>
      <c r="V240" s="325">
        <v>98.271533747827377</v>
      </c>
      <c r="W240" s="325">
        <v>182.2502605643447</v>
      </c>
      <c r="X240" s="10">
        <v>18.464368126510877</v>
      </c>
      <c r="Y240" s="320">
        <v>200.71462869085559</v>
      </c>
    </row>
    <row r="241" spans="1:25" x14ac:dyDescent="0.2">
      <c r="A241" s="7">
        <v>2016</v>
      </c>
      <c r="B241" s="5" t="s">
        <v>466</v>
      </c>
      <c r="C241" s="5" t="s">
        <v>314</v>
      </c>
      <c r="D241" s="5" t="s">
        <v>490</v>
      </c>
      <c r="E241" s="5" t="s">
        <v>355</v>
      </c>
      <c r="F241" s="5" t="s">
        <v>317</v>
      </c>
      <c r="G241" s="5" t="s">
        <v>356</v>
      </c>
      <c r="H241" s="10">
        <v>30.76026443613274</v>
      </c>
      <c r="I241" s="10">
        <v>0</v>
      </c>
      <c r="J241" s="325">
        <v>30.76026443613274</v>
      </c>
      <c r="K241" s="10">
        <v>1.1906744255366202</v>
      </c>
      <c r="L241" s="10">
        <v>6.2921209352454603</v>
      </c>
      <c r="M241" s="325">
        <v>7.482795360782081</v>
      </c>
      <c r="N241" s="10">
        <v>1.8689383335885725</v>
      </c>
      <c r="O241" s="10">
        <v>9.7769440061445803</v>
      </c>
      <c r="P241" s="10">
        <v>2.0569518600579064</v>
      </c>
      <c r="Q241" s="10">
        <v>1.6986001531158756</v>
      </c>
      <c r="R241" s="10">
        <v>4.5234022439090582</v>
      </c>
      <c r="S241" s="10">
        <v>6.2048760546850259</v>
      </c>
      <c r="T241" s="10">
        <v>16.138713333534337</v>
      </c>
      <c r="U241" s="10">
        <v>1.5697009109685363</v>
      </c>
      <c r="V241" s="325">
        <v>43.838126896003892</v>
      </c>
      <c r="W241" s="325">
        <v>82.08118669291872</v>
      </c>
      <c r="X241" s="10">
        <v>8.3337085910366024</v>
      </c>
      <c r="Y241" s="320">
        <v>90.414895283955317</v>
      </c>
    </row>
    <row r="242" spans="1:25" x14ac:dyDescent="0.2">
      <c r="A242" s="7">
        <v>2016</v>
      </c>
      <c r="B242" s="5" t="s">
        <v>466</v>
      </c>
      <c r="C242" s="5" t="s">
        <v>314</v>
      </c>
      <c r="D242" s="5" t="s">
        <v>487</v>
      </c>
      <c r="E242" s="5" t="s">
        <v>357</v>
      </c>
      <c r="F242" s="5" t="s">
        <v>317</v>
      </c>
      <c r="G242" s="5" t="s">
        <v>358</v>
      </c>
      <c r="H242" s="10">
        <v>24.784643612612449</v>
      </c>
      <c r="I242" s="10">
        <v>2.8543533932182212</v>
      </c>
      <c r="J242" s="325">
        <v>27.638997005830671</v>
      </c>
      <c r="K242" s="10">
        <v>3.5089441044470759</v>
      </c>
      <c r="L242" s="10">
        <v>4.7761316923452695</v>
      </c>
      <c r="M242" s="325">
        <v>8.285075796792345</v>
      </c>
      <c r="N242" s="10">
        <v>2.255711399825568</v>
      </c>
      <c r="O242" s="10">
        <v>12.554882324328606</v>
      </c>
      <c r="P242" s="10">
        <v>3.4772980446979886</v>
      </c>
      <c r="Q242" s="10">
        <v>1.3772404579565083</v>
      </c>
      <c r="R242" s="10">
        <v>5.2562470819116092</v>
      </c>
      <c r="S242" s="10">
        <v>8.2599338372148043</v>
      </c>
      <c r="T242" s="10">
        <v>29.535874909843447</v>
      </c>
      <c r="U242" s="10">
        <v>2.1612211605243448</v>
      </c>
      <c r="V242" s="325">
        <v>64.878409216302884</v>
      </c>
      <c r="W242" s="325">
        <v>100.8024820189259</v>
      </c>
      <c r="X242" s="10">
        <v>10.122327895111923</v>
      </c>
      <c r="Y242" s="320">
        <v>110.92480991403782</v>
      </c>
    </row>
    <row r="243" spans="1:25" x14ac:dyDescent="0.2">
      <c r="A243" s="7">
        <v>2016</v>
      </c>
      <c r="B243" s="5" t="s">
        <v>466</v>
      </c>
      <c r="C243" s="5" t="s">
        <v>314</v>
      </c>
      <c r="D243" s="5" t="s">
        <v>489</v>
      </c>
      <c r="E243" s="5" t="s">
        <v>359</v>
      </c>
      <c r="F243" s="5" t="s">
        <v>317</v>
      </c>
      <c r="G243" s="5" t="s">
        <v>360</v>
      </c>
      <c r="H243" s="10">
        <v>107.43798411212555</v>
      </c>
      <c r="I243" s="10">
        <v>8.9915640413961224</v>
      </c>
      <c r="J243" s="325">
        <v>116.42954815352167</v>
      </c>
      <c r="K243" s="10">
        <v>21.716933594780208</v>
      </c>
      <c r="L243" s="10">
        <v>14.175456519400736</v>
      </c>
      <c r="M243" s="325">
        <v>35.892390114180941</v>
      </c>
      <c r="N243" s="10">
        <v>9.1160673095198472</v>
      </c>
      <c r="O243" s="10">
        <v>48.177452071678644</v>
      </c>
      <c r="P243" s="10">
        <v>11.771300558838607</v>
      </c>
      <c r="Q243" s="10">
        <v>12.528989132907341</v>
      </c>
      <c r="R243" s="10">
        <v>24.188438255887235</v>
      </c>
      <c r="S243" s="10">
        <v>27.853959781186603</v>
      </c>
      <c r="T243" s="10">
        <v>37.808688255363982</v>
      </c>
      <c r="U243" s="10">
        <v>10.969146713707273</v>
      </c>
      <c r="V243" s="325">
        <v>182.41404207908954</v>
      </c>
      <c r="W243" s="325">
        <v>334.73598034679219</v>
      </c>
      <c r="X243" s="10">
        <v>33.766714372979521</v>
      </c>
      <c r="Y243" s="320">
        <v>368.50269471977174</v>
      </c>
    </row>
    <row r="244" spans="1:25" x14ac:dyDescent="0.2">
      <c r="A244" s="7">
        <v>2016</v>
      </c>
      <c r="B244" s="5" t="s">
        <v>466</v>
      </c>
      <c r="C244" s="5" t="s">
        <v>314</v>
      </c>
      <c r="D244" s="5" t="s">
        <v>490</v>
      </c>
      <c r="E244" s="5" t="s">
        <v>361</v>
      </c>
      <c r="F244" s="5" t="s">
        <v>317</v>
      </c>
      <c r="G244" s="5" t="s">
        <v>362</v>
      </c>
      <c r="H244" s="10">
        <v>29.331251517240641</v>
      </c>
      <c r="I244" s="10">
        <v>13.565835040834562</v>
      </c>
      <c r="J244" s="325">
        <v>42.897086558075202</v>
      </c>
      <c r="K244" s="10">
        <v>1.8550442893715653</v>
      </c>
      <c r="L244" s="10">
        <v>6.0636901679268371</v>
      </c>
      <c r="M244" s="325">
        <v>7.9187344572984024</v>
      </c>
      <c r="N244" s="10">
        <v>1.508243915391269</v>
      </c>
      <c r="O244" s="10">
        <v>7.6796821109815907</v>
      </c>
      <c r="P244" s="10">
        <v>2.1732388038131614</v>
      </c>
      <c r="Q244" s="10">
        <v>1.6780298290210487</v>
      </c>
      <c r="R244" s="10">
        <v>6.5932530405571184</v>
      </c>
      <c r="S244" s="10">
        <v>8.1345381386953477</v>
      </c>
      <c r="T244" s="10">
        <v>18.325129027154912</v>
      </c>
      <c r="U244" s="10">
        <v>2.2172544015844244</v>
      </c>
      <c r="V244" s="325">
        <v>48.309369267198875</v>
      </c>
      <c r="W244" s="325">
        <v>99.125190282572476</v>
      </c>
      <c r="X244" s="10">
        <v>10.009018836770807</v>
      </c>
      <c r="Y244" s="320">
        <v>109.13420911934328</v>
      </c>
    </row>
    <row r="245" spans="1:25" x14ac:dyDescent="0.2">
      <c r="A245" s="7">
        <v>2016</v>
      </c>
      <c r="B245" s="5" t="s">
        <v>466</v>
      </c>
      <c r="C245" s="5" t="s">
        <v>314</v>
      </c>
      <c r="D245" s="5" t="s">
        <v>487</v>
      </c>
      <c r="E245" s="5" t="s">
        <v>363</v>
      </c>
      <c r="F245" s="5" t="s">
        <v>317</v>
      </c>
      <c r="G245" s="5" t="s">
        <v>364</v>
      </c>
      <c r="H245" s="10">
        <v>32.943343409331121</v>
      </c>
      <c r="I245" s="10">
        <v>1.2701544192411474</v>
      </c>
      <c r="J245" s="325">
        <v>34.213497828572265</v>
      </c>
      <c r="K245" s="10">
        <v>4.7064180578085617</v>
      </c>
      <c r="L245" s="10">
        <v>8.4411198116981154</v>
      </c>
      <c r="M245" s="325">
        <v>13.147537869506678</v>
      </c>
      <c r="N245" s="10">
        <v>2.1358174566725774</v>
      </c>
      <c r="O245" s="10">
        <v>7.3291007708083757</v>
      </c>
      <c r="P245" s="10">
        <v>1.2745887083578744</v>
      </c>
      <c r="Q245" s="10">
        <v>1.0273158332483709</v>
      </c>
      <c r="R245" s="10">
        <v>4.1028318351181028</v>
      </c>
      <c r="S245" s="10">
        <v>12.410937142486853</v>
      </c>
      <c r="T245" s="10">
        <v>61.531638790297393</v>
      </c>
      <c r="U245" s="10">
        <v>1.1969599507802697</v>
      </c>
      <c r="V245" s="325">
        <v>91.009190487769814</v>
      </c>
      <c r="W245" s="325">
        <v>138.37022618584876</v>
      </c>
      <c r="X245" s="10">
        <v>13.853309188914498</v>
      </c>
      <c r="Y245" s="320">
        <v>152.22353537476326</v>
      </c>
    </row>
    <row r="246" spans="1:25" x14ac:dyDescent="0.2">
      <c r="A246" s="7">
        <v>2016</v>
      </c>
      <c r="B246" s="5" t="s">
        <v>466</v>
      </c>
      <c r="C246" s="5" t="s">
        <v>365</v>
      </c>
      <c r="D246" s="5" t="s">
        <v>491</v>
      </c>
      <c r="E246" s="5" t="s">
        <v>367</v>
      </c>
      <c r="F246" s="5" t="s">
        <v>368</v>
      </c>
      <c r="G246" s="5" t="s">
        <v>370</v>
      </c>
      <c r="H246" s="10">
        <v>474.67600772951459</v>
      </c>
      <c r="I246" s="10">
        <v>1.0344596554163292</v>
      </c>
      <c r="J246" s="325">
        <v>475.71046738493095</v>
      </c>
      <c r="K246" s="10">
        <v>73.228670959609147</v>
      </c>
      <c r="L246" s="10">
        <v>139.67426424620533</v>
      </c>
      <c r="M246" s="325">
        <v>212.90293520581446</v>
      </c>
      <c r="N246" s="10">
        <v>66.264447348216308</v>
      </c>
      <c r="O246" s="10">
        <v>487.85246413980838</v>
      </c>
      <c r="P246" s="10">
        <v>53.007528405146758</v>
      </c>
      <c r="Q246" s="10">
        <v>59.93122615979793</v>
      </c>
      <c r="R246" s="10">
        <v>109.687353459294</v>
      </c>
      <c r="S246" s="10">
        <v>148.98843968854268</v>
      </c>
      <c r="T246" s="10">
        <v>153.6692590224558</v>
      </c>
      <c r="U246" s="10">
        <v>34.223559092044304</v>
      </c>
      <c r="V246" s="325">
        <v>1113.6242773153062</v>
      </c>
      <c r="W246" s="325">
        <v>1802.2376799060517</v>
      </c>
      <c r="X246" s="10">
        <v>181.83380998582493</v>
      </c>
      <c r="Y246" s="320">
        <v>1984.0714898918766</v>
      </c>
    </row>
    <row r="247" spans="1:25" x14ac:dyDescent="0.2">
      <c r="A247" s="7">
        <v>2016</v>
      </c>
      <c r="B247" s="5" t="s">
        <v>466</v>
      </c>
      <c r="C247" s="5" t="s">
        <v>365</v>
      </c>
      <c r="D247" s="5" t="s">
        <v>492</v>
      </c>
      <c r="E247" s="5" t="s">
        <v>371</v>
      </c>
      <c r="F247" s="5" t="s">
        <v>368</v>
      </c>
      <c r="G247" s="5" t="s">
        <v>372</v>
      </c>
      <c r="H247" s="10">
        <v>46.754026525708092</v>
      </c>
      <c r="I247" s="10">
        <v>0</v>
      </c>
      <c r="J247" s="325">
        <v>46.754026525708092</v>
      </c>
      <c r="K247" s="10">
        <v>1.5603860397671954</v>
      </c>
      <c r="L247" s="10">
        <v>20.044141097846666</v>
      </c>
      <c r="M247" s="325">
        <v>21.604527137613861</v>
      </c>
      <c r="N247" s="10">
        <v>7.3744314889329887</v>
      </c>
      <c r="O247" s="10">
        <v>27.620894141943655</v>
      </c>
      <c r="P247" s="10">
        <v>14.258924652718992</v>
      </c>
      <c r="Q247" s="10">
        <v>7.524010312037638</v>
      </c>
      <c r="R247" s="10">
        <v>13.218039338114199</v>
      </c>
      <c r="S247" s="10">
        <v>22.627183293560126</v>
      </c>
      <c r="T247" s="10">
        <v>69.518742998149179</v>
      </c>
      <c r="U247" s="10">
        <v>8.2954104940563322</v>
      </c>
      <c r="V247" s="325">
        <v>170.43763671951314</v>
      </c>
      <c r="W247" s="325">
        <v>238.79619038283511</v>
      </c>
      <c r="X247" s="10">
        <v>23.805202535526135</v>
      </c>
      <c r="Y247" s="320">
        <v>262.60139291836123</v>
      </c>
    </row>
    <row r="248" spans="1:25" x14ac:dyDescent="0.2">
      <c r="A248" s="7">
        <v>2016</v>
      </c>
      <c r="B248" s="5" t="s">
        <v>466</v>
      </c>
      <c r="C248" s="5" t="s">
        <v>365</v>
      </c>
      <c r="D248" s="5" t="s">
        <v>491</v>
      </c>
      <c r="E248" s="5" t="s">
        <v>373</v>
      </c>
      <c r="F248" s="5" t="s">
        <v>368</v>
      </c>
      <c r="G248" s="5" t="s">
        <v>374</v>
      </c>
      <c r="H248" s="10">
        <v>605.05682676650235</v>
      </c>
      <c r="I248" s="10">
        <v>0.23865763695160488</v>
      </c>
      <c r="J248" s="325">
        <v>605.295484403454</v>
      </c>
      <c r="K248" s="10">
        <v>28.011202369350098</v>
      </c>
      <c r="L248" s="10">
        <v>66.563603701727814</v>
      </c>
      <c r="M248" s="325">
        <v>94.574806071077916</v>
      </c>
      <c r="N248" s="10">
        <v>21.266204216708186</v>
      </c>
      <c r="O248" s="10">
        <v>114.0338457604781</v>
      </c>
      <c r="P248" s="10">
        <v>15.726687268996118</v>
      </c>
      <c r="Q248" s="10">
        <v>10.858881250484284</v>
      </c>
      <c r="R248" s="10">
        <v>22.414250910708283</v>
      </c>
      <c r="S248" s="10">
        <v>49.025909153342702</v>
      </c>
      <c r="T248" s="10">
        <v>77.522551600980307</v>
      </c>
      <c r="U248" s="10">
        <v>11.019646226044065</v>
      </c>
      <c r="V248" s="325">
        <v>321.86797638774203</v>
      </c>
      <c r="W248" s="325">
        <v>1021.7382668622739</v>
      </c>
      <c r="X248" s="10">
        <v>105.95866026355699</v>
      </c>
      <c r="Y248" s="320">
        <v>1127.6969271258308</v>
      </c>
    </row>
    <row r="249" spans="1:25" x14ac:dyDescent="0.2">
      <c r="A249" s="7">
        <v>2016</v>
      </c>
      <c r="B249" s="5" t="s">
        <v>466</v>
      </c>
      <c r="C249" s="5" t="s">
        <v>365</v>
      </c>
      <c r="D249" s="5" t="s">
        <v>491</v>
      </c>
      <c r="E249" s="5" t="s">
        <v>375</v>
      </c>
      <c r="F249" s="5" t="s">
        <v>368</v>
      </c>
      <c r="G249" s="5" t="s">
        <v>376</v>
      </c>
      <c r="H249" s="10">
        <v>290.85385412638499</v>
      </c>
      <c r="I249" s="10">
        <v>0</v>
      </c>
      <c r="J249" s="325">
        <v>290.85385412638499</v>
      </c>
      <c r="K249" s="10">
        <v>25.697009317140349</v>
      </c>
      <c r="L249" s="10">
        <v>43.53653885533776</v>
      </c>
      <c r="M249" s="325">
        <v>69.233548172478109</v>
      </c>
      <c r="N249" s="10">
        <v>25.212145590057812</v>
      </c>
      <c r="O249" s="10">
        <v>164.17909784697534</v>
      </c>
      <c r="P249" s="10">
        <v>18.526138545922361</v>
      </c>
      <c r="Q249" s="10">
        <v>24.210152651549652</v>
      </c>
      <c r="R249" s="10">
        <v>39.238819154521536</v>
      </c>
      <c r="S249" s="10">
        <v>54.247454875690735</v>
      </c>
      <c r="T249" s="10">
        <v>34.89070749129889</v>
      </c>
      <c r="U249" s="10">
        <v>16.274718537113099</v>
      </c>
      <c r="V249" s="325">
        <v>376.77923469312935</v>
      </c>
      <c r="W249" s="325">
        <v>736.86663699199244</v>
      </c>
      <c r="X249" s="10">
        <v>75.161288167333652</v>
      </c>
      <c r="Y249" s="320">
        <v>812.02792515932606</v>
      </c>
    </row>
    <row r="250" spans="1:25" x14ac:dyDescent="0.2">
      <c r="A250" s="7">
        <v>2016</v>
      </c>
      <c r="B250" s="5" t="s">
        <v>466</v>
      </c>
      <c r="C250" s="5" t="s">
        <v>365</v>
      </c>
      <c r="D250" s="5" t="s">
        <v>493</v>
      </c>
      <c r="E250" s="5" t="s">
        <v>377</v>
      </c>
      <c r="F250" s="5" t="s">
        <v>368</v>
      </c>
      <c r="G250" s="5" t="s">
        <v>378</v>
      </c>
      <c r="H250" s="10">
        <v>1.6735621112470078</v>
      </c>
      <c r="I250" s="10">
        <v>0</v>
      </c>
      <c r="J250" s="325">
        <v>1.6735621112470078</v>
      </c>
      <c r="K250" s="10">
        <v>0.39276668693656253</v>
      </c>
      <c r="L250" s="10">
        <v>2.463418119560397</v>
      </c>
      <c r="M250" s="325">
        <v>2.8561848064969597</v>
      </c>
      <c r="N250" s="10">
        <v>0.38698078390720775</v>
      </c>
      <c r="O250" s="10">
        <v>0.92648612673933561</v>
      </c>
      <c r="P250" s="10">
        <v>7.0740260812014073</v>
      </c>
      <c r="Q250" s="10">
        <v>0.26001530079947388</v>
      </c>
      <c r="R250" s="10">
        <v>0.67123869031347727</v>
      </c>
      <c r="S250" s="10">
        <v>2.7867120454537222</v>
      </c>
      <c r="T250" s="10">
        <v>16.382974215996203</v>
      </c>
      <c r="U250" s="10">
        <v>0.26367471594004049</v>
      </c>
      <c r="V250" s="325">
        <v>28.75210796035087</v>
      </c>
      <c r="W250" s="325">
        <v>33.281854878094833</v>
      </c>
      <c r="X250" s="10">
        <v>3.2660296368262034</v>
      </c>
      <c r="Y250" s="320">
        <v>36.547884514921037</v>
      </c>
    </row>
    <row r="251" spans="1:25" x14ac:dyDescent="0.2">
      <c r="A251" s="7">
        <v>2016</v>
      </c>
      <c r="B251" s="5" t="s">
        <v>466</v>
      </c>
      <c r="C251" s="5" t="s">
        <v>365</v>
      </c>
      <c r="D251" s="5" t="s">
        <v>491</v>
      </c>
      <c r="E251" s="5" t="s">
        <v>379</v>
      </c>
      <c r="F251" s="5" t="s">
        <v>368</v>
      </c>
      <c r="G251" s="5" t="s">
        <v>380</v>
      </c>
      <c r="H251" s="10">
        <v>32.324649046182266</v>
      </c>
      <c r="I251" s="10">
        <v>1.5376197272889263</v>
      </c>
      <c r="J251" s="325">
        <v>33.862268773471193</v>
      </c>
      <c r="K251" s="10">
        <v>1.5849948427461076</v>
      </c>
      <c r="L251" s="10">
        <v>10.197082154240583</v>
      </c>
      <c r="M251" s="325">
        <v>11.782076996986691</v>
      </c>
      <c r="N251" s="10">
        <v>3.8419370214694859</v>
      </c>
      <c r="O251" s="10">
        <v>11.929796877992329</v>
      </c>
      <c r="P251" s="10">
        <v>2.990808455196015</v>
      </c>
      <c r="Q251" s="10">
        <v>2.2480812453209356</v>
      </c>
      <c r="R251" s="10">
        <v>4.3487437215966258</v>
      </c>
      <c r="S251" s="10">
        <v>11.155211838422419</v>
      </c>
      <c r="T251" s="10">
        <v>50.207638595083722</v>
      </c>
      <c r="U251" s="10">
        <v>1.4782523276497113</v>
      </c>
      <c r="V251" s="325">
        <v>88.200470082731243</v>
      </c>
      <c r="W251" s="325">
        <v>133.84481585318912</v>
      </c>
      <c r="X251" s="10">
        <v>13.4225635439446</v>
      </c>
      <c r="Y251" s="320">
        <v>147.26737939713371</v>
      </c>
    </row>
    <row r="252" spans="1:25" x14ac:dyDescent="0.2">
      <c r="A252" s="7">
        <v>2016</v>
      </c>
      <c r="B252" s="5" t="s">
        <v>466</v>
      </c>
      <c r="C252" s="5" t="s">
        <v>365</v>
      </c>
      <c r="D252" s="5" t="s">
        <v>492</v>
      </c>
      <c r="E252" s="5" t="s">
        <v>381</v>
      </c>
      <c r="F252" s="5" t="s">
        <v>368</v>
      </c>
      <c r="G252" s="5" t="s">
        <v>382</v>
      </c>
      <c r="H252" s="10">
        <v>73.720551260582525</v>
      </c>
      <c r="I252" s="10">
        <v>0</v>
      </c>
      <c r="J252" s="325">
        <v>73.720551260582525</v>
      </c>
      <c r="K252" s="10">
        <v>2.1654769586107716</v>
      </c>
      <c r="L252" s="10">
        <v>33.077743194733522</v>
      </c>
      <c r="M252" s="325">
        <v>35.243220153344296</v>
      </c>
      <c r="N252" s="10">
        <v>25.795812250282019</v>
      </c>
      <c r="O252" s="10">
        <v>91.704625949720864</v>
      </c>
      <c r="P252" s="10">
        <v>14.961909333578427</v>
      </c>
      <c r="Q252" s="10">
        <v>12.988823733751172</v>
      </c>
      <c r="R252" s="10">
        <v>24.105064881950998</v>
      </c>
      <c r="S252" s="10">
        <v>36.722095247166045</v>
      </c>
      <c r="T252" s="10">
        <v>59.574009260216911</v>
      </c>
      <c r="U252" s="10">
        <v>12.206094848105611</v>
      </c>
      <c r="V252" s="325">
        <v>278.05843550477209</v>
      </c>
      <c r="W252" s="325">
        <v>387.02220691869888</v>
      </c>
      <c r="X252" s="10">
        <v>38.785407574398583</v>
      </c>
      <c r="Y252" s="320">
        <v>425.80761449309745</v>
      </c>
    </row>
    <row r="253" spans="1:25" x14ac:dyDescent="0.2">
      <c r="A253" s="7">
        <v>2016</v>
      </c>
      <c r="B253" s="5" t="s">
        <v>466</v>
      </c>
      <c r="C253" s="5" t="s">
        <v>365</v>
      </c>
      <c r="D253" s="5" t="s">
        <v>492</v>
      </c>
      <c r="E253" s="5" t="s">
        <v>383</v>
      </c>
      <c r="F253" s="5" t="s">
        <v>368</v>
      </c>
      <c r="G253" s="5" t="s">
        <v>384</v>
      </c>
      <c r="H253" s="10">
        <v>48.792447482561393</v>
      </c>
      <c r="I253" s="10">
        <v>0</v>
      </c>
      <c r="J253" s="325">
        <v>48.792447482561393</v>
      </c>
      <c r="K253" s="10">
        <v>1.171199631149187</v>
      </c>
      <c r="L253" s="10">
        <v>14.124046227143532</v>
      </c>
      <c r="M253" s="325">
        <v>15.29524585829272</v>
      </c>
      <c r="N253" s="10">
        <v>5.7174933856064492</v>
      </c>
      <c r="O253" s="10">
        <v>19.657071732273625</v>
      </c>
      <c r="P253" s="10">
        <v>5.2821325161588142</v>
      </c>
      <c r="Q253" s="10">
        <v>4.0871393229199784</v>
      </c>
      <c r="R253" s="10">
        <v>4.1864093858937999</v>
      </c>
      <c r="S253" s="10">
        <v>14.20169129954977</v>
      </c>
      <c r="T253" s="10">
        <v>50.749926257422828</v>
      </c>
      <c r="U253" s="10">
        <v>2.970307240399626</v>
      </c>
      <c r="V253" s="325">
        <v>106.8521711402249</v>
      </c>
      <c r="W253" s="325">
        <v>170.93986448107901</v>
      </c>
      <c r="X253" s="10">
        <v>17.21717353153311</v>
      </c>
      <c r="Y253" s="320">
        <v>188.15703801261213</v>
      </c>
    </row>
    <row r="254" spans="1:25" x14ac:dyDescent="0.2">
      <c r="A254" s="7">
        <v>2016</v>
      </c>
      <c r="B254" s="5" t="s">
        <v>466</v>
      </c>
      <c r="C254" s="5" t="s">
        <v>365</v>
      </c>
      <c r="D254" s="5" t="s">
        <v>492</v>
      </c>
      <c r="E254" s="5" t="s">
        <v>385</v>
      </c>
      <c r="F254" s="5" t="s">
        <v>368</v>
      </c>
      <c r="G254" s="5" t="s">
        <v>386</v>
      </c>
      <c r="H254" s="10">
        <v>52.429232761584409</v>
      </c>
      <c r="I254" s="10">
        <v>0</v>
      </c>
      <c r="J254" s="325">
        <v>52.429232761584409</v>
      </c>
      <c r="K254" s="10">
        <v>1.9351456533241964</v>
      </c>
      <c r="L254" s="10">
        <v>19.641691580805777</v>
      </c>
      <c r="M254" s="325">
        <v>21.576837234129972</v>
      </c>
      <c r="N254" s="10">
        <v>3.8847766267800012</v>
      </c>
      <c r="O254" s="10">
        <v>13.436000719972325</v>
      </c>
      <c r="P254" s="10">
        <v>3.6859853753594272</v>
      </c>
      <c r="Q254" s="10">
        <v>2.5206080002723232</v>
      </c>
      <c r="R254" s="10">
        <v>3.4607486452693901</v>
      </c>
      <c r="S254" s="10">
        <v>22.382218391708342</v>
      </c>
      <c r="T254" s="10">
        <v>118.70330758867973</v>
      </c>
      <c r="U254" s="10">
        <v>1.7410774797028399</v>
      </c>
      <c r="V254" s="325">
        <v>169.81472282774439</v>
      </c>
      <c r="W254" s="325">
        <v>243.82079282345879</v>
      </c>
      <c r="X254" s="10">
        <v>24.365188942552553</v>
      </c>
      <c r="Y254" s="320">
        <v>268.18598176601137</v>
      </c>
    </row>
    <row r="255" spans="1:25" x14ac:dyDescent="0.2">
      <c r="A255" s="7">
        <v>2016</v>
      </c>
      <c r="B255" s="5" t="s">
        <v>466</v>
      </c>
      <c r="C255" s="5" t="s">
        <v>365</v>
      </c>
      <c r="D255" s="5" t="s">
        <v>491</v>
      </c>
      <c r="E255" s="5" t="s">
        <v>387</v>
      </c>
      <c r="F255" s="5" t="s">
        <v>368</v>
      </c>
      <c r="G255" s="5" t="s">
        <v>494</v>
      </c>
      <c r="H255" s="10">
        <v>726.13376729157108</v>
      </c>
      <c r="I255" s="10">
        <v>0.47981205374201141</v>
      </c>
      <c r="J255" s="325">
        <v>726.61357934531304</v>
      </c>
      <c r="K255" s="10">
        <v>25.836209058670264</v>
      </c>
      <c r="L255" s="10">
        <v>151.7867780928583</v>
      </c>
      <c r="M255" s="325">
        <v>177.62298715152855</v>
      </c>
      <c r="N255" s="10">
        <v>81.202254397565</v>
      </c>
      <c r="O255" s="10">
        <v>364.92470904073735</v>
      </c>
      <c r="P255" s="10">
        <v>53.124180224176804</v>
      </c>
      <c r="Q255" s="10">
        <v>63.674127874409692</v>
      </c>
      <c r="R255" s="10">
        <v>105.83614729215391</v>
      </c>
      <c r="S255" s="10">
        <v>166.20666544451262</v>
      </c>
      <c r="T255" s="10">
        <v>137.9406597308174</v>
      </c>
      <c r="U255" s="10">
        <v>50.20558260986801</v>
      </c>
      <c r="V255" s="325">
        <v>1023.1143266142408</v>
      </c>
      <c r="W255" s="325">
        <v>1927.3508931110823</v>
      </c>
      <c r="X255" s="10">
        <v>196.12155341143759</v>
      </c>
      <c r="Y255" s="320">
        <v>2123.4724465225199</v>
      </c>
    </row>
    <row r="256" spans="1:25" ht="16" thickBot="1" x14ac:dyDescent="0.25">
      <c r="A256" s="11">
        <v>2016</v>
      </c>
      <c r="B256" s="6" t="s">
        <v>466</v>
      </c>
      <c r="C256" s="6" t="s">
        <v>365</v>
      </c>
      <c r="D256" s="6" t="s">
        <v>493</v>
      </c>
      <c r="E256" s="6" t="s">
        <v>389</v>
      </c>
      <c r="F256" s="6" t="s">
        <v>368</v>
      </c>
      <c r="G256" s="6" t="s">
        <v>390</v>
      </c>
      <c r="H256" s="12">
        <v>8.5148127841856596</v>
      </c>
      <c r="I256" s="12">
        <v>0</v>
      </c>
      <c r="J256" s="337">
        <v>8.5148127841856596</v>
      </c>
      <c r="K256" s="12">
        <v>0</v>
      </c>
      <c r="L256" s="12">
        <v>4.4668370771714825</v>
      </c>
      <c r="M256" s="337">
        <v>4.4668370771714825</v>
      </c>
      <c r="N256" s="12">
        <v>1.3221695086127869</v>
      </c>
      <c r="O256" s="12">
        <v>3.3152771335412883</v>
      </c>
      <c r="P256" s="12">
        <v>1.4443250571006312</v>
      </c>
      <c r="Q256" s="12">
        <v>0.87649278478654513</v>
      </c>
      <c r="R256" s="12">
        <v>1.9930656882980364</v>
      </c>
      <c r="S256" s="12">
        <v>4.5790310079977967</v>
      </c>
      <c r="T256" s="12">
        <v>23.994402177214521</v>
      </c>
      <c r="U256" s="12">
        <v>1.0091677706025803</v>
      </c>
      <c r="V256" s="337">
        <v>38.533931128154187</v>
      </c>
      <c r="W256" s="337">
        <v>51.515580989511328</v>
      </c>
      <c r="X256" s="12">
        <v>5.1209028602778055</v>
      </c>
      <c r="Y256" s="321">
        <v>56.63648384978913</v>
      </c>
    </row>
    <row r="257" spans="1:25" ht="16" thickBot="1" x14ac:dyDescent="0.25">
      <c r="A257" s="342">
        <v>2017</v>
      </c>
      <c r="B257" s="343" t="s">
        <v>466</v>
      </c>
      <c r="C257" s="343"/>
      <c r="D257" s="343"/>
      <c r="E257" s="343"/>
      <c r="F257" s="343"/>
      <c r="G257" s="343" t="s">
        <v>467</v>
      </c>
      <c r="H257" s="344">
        <v>6567.3352611226419</v>
      </c>
      <c r="I257" s="344">
        <v>2186.5367267589627</v>
      </c>
      <c r="J257" s="344">
        <v>8753.8719878816046</v>
      </c>
      <c r="K257" s="344">
        <v>19966.801305303514</v>
      </c>
      <c r="L257" s="344">
        <v>9676.7792291328406</v>
      </c>
      <c r="M257" s="344">
        <v>29643.580534436354</v>
      </c>
      <c r="N257" s="344">
        <v>5129.5642905651694</v>
      </c>
      <c r="O257" s="344">
        <v>19714.445043787149</v>
      </c>
      <c r="P257" s="344">
        <v>3378.945248328479</v>
      </c>
      <c r="Q257" s="344">
        <v>5991.5180597577437</v>
      </c>
      <c r="R257" s="344">
        <v>10578.356428752151</v>
      </c>
      <c r="S257" s="344">
        <v>10651.841549997253</v>
      </c>
      <c r="T257" s="344">
        <v>13491.656776350132</v>
      </c>
      <c r="U257" s="344">
        <v>2898.4052495337237</v>
      </c>
      <c r="V257" s="344">
        <v>71834.732647071811</v>
      </c>
      <c r="W257" s="344">
        <v>110232.18516938976</v>
      </c>
      <c r="X257" s="344">
        <v>10741.993629906479</v>
      </c>
      <c r="Y257" s="345">
        <v>120973.26658047568</v>
      </c>
    </row>
    <row r="258" spans="1:25" x14ac:dyDescent="0.2">
      <c r="A258" s="8">
        <v>2017</v>
      </c>
      <c r="B258" s="4" t="s">
        <v>466</v>
      </c>
      <c r="C258" s="4" t="s">
        <v>90</v>
      </c>
      <c r="D258" s="4" t="s">
        <v>468</v>
      </c>
      <c r="E258" s="4" t="s">
        <v>93</v>
      </c>
      <c r="F258" s="4" t="s">
        <v>94</v>
      </c>
      <c r="G258" s="4" t="s">
        <v>469</v>
      </c>
      <c r="H258" s="9">
        <v>122.3575569298954</v>
      </c>
      <c r="I258" s="9">
        <v>4.8769019156713203</v>
      </c>
      <c r="J258" s="323">
        <v>127.23445884556672</v>
      </c>
      <c r="K258" s="9">
        <v>6854.4311882913926</v>
      </c>
      <c r="L258" s="9">
        <v>5014.6205515093898</v>
      </c>
      <c r="M258" s="323">
        <v>11869.051739800783</v>
      </c>
      <c r="N258" s="9">
        <v>1721.1633326656397</v>
      </c>
      <c r="O258" s="9">
        <v>9156.4400551989984</v>
      </c>
      <c r="P258" s="9">
        <v>1572.0827066519198</v>
      </c>
      <c r="Q258" s="9">
        <v>4353.263502881834</v>
      </c>
      <c r="R258" s="9">
        <v>5244.1808100368999</v>
      </c>
      <c r="S258" s="9">
        <v>5021.2598617529111</v>
      </c>
      <c r="T258" s="9">
        <v>6693.2501230507742</v>
      </c>
      <c r="U258" s="9">
        <v>1381.0334562817191</v>
      </c>
      <c r="V258" s="323">
        <v>35142.673848520695</v>
      </c>
      <c r="W258" s="323">
        <v>47138.960047167049</v>
      </c>
      <c r="X258" s="9">
        <v>4582.8445353094985</v>
      </c>
      <c r="Y258" s="319">
        <v>51721.80458247655</v>
      </c>
    </row>
    <row r="259" spans="1:25" x14ac:dyDescent="0.2">
      <c r="A259" s="7">
        <v>2017</v>
      </c>
      <c r="B259" s="5" t="s">
        <v>466</v>
      </c>
      <c r="C259" s="5" t="s">
        <v>90</v>
      </c>
      <c r="D259" s="5" t="s">
        <v>470</v>
      </c>
      <c r="E259" s="5" t="s">
        <v>98</v>
      </c>
      <c r="F259" s="5" t="s">
        <v>94</v>
      </c>
      <c r="G259" s="5" t="s">
        <v>99</v>
      </c>
      <c r="H259" s="10">
        <v>85.685043636583799</v>
      </c>
      <c r="I259" s="10">
        <v>1.6566470640123514</v>
      </c>
      <c r="J259" s="325">
        <v>87.341690700596146</v>
      </c>
      <c r="K259" s="10">
        <v>292.71158546890979</v>
      </c>
      <c r="L259" s="10">
        <v>55.228845201597167</v>
      </c>
      <c r="M259" s="325">
        <v>347.94043067050694</v>
      </c>
      <c r="N259" s="10">
        <v>100.58990315642754</v>
      </c>
      <c r="O259" s="10">
        <v>75.641088882312118</v>
      </c>
      <c r="P259" s="10">
        <v>12.472263562257982</v>
      </c>
      <c r="Q259" s="10">
        <v>9.0075744140498042</v>
      </c>
      <c r="R259" s="10">
        <v>42.76666052126501</v>
      </c>
      <c r="S259" s="10">
        <v>45.368811755600426</v>
      </c>
      <c r="T259" s="10">
        <v>36.453179340241903</v>
      </c>
      <c r="U259" s="10">
        <v>11.520113094458219</v>
      </c>
      <c r="V259" s="325">
        <v>333.81959472661299</v>
      </c>
      <c r="W259" s="325">
        <v>769.10171609771612</v>
      </c>
      <c r="X259" s="10">
        <v>74.035571709853301</v>
      </c>
      <c r="Y259" s="320">
        <v>843.13728780756946</v>
      </c>
    </row>
    <row r="260" spans="1:25" x14ac:dyDescent="0.2">
      <c r="A260" s="7">
        <v>2017</v>
      </c>
      <c r="B260" s="5" t="s">
        <v>466</v>
      </c>
      <c r="C260" s="5" t="s">
        <v>90</v>
      </c>
      <c r="D260" s="5" t="s">
        <v>470</v>
      </c>
      <c r="E260" s="5" t="s">
        <v>101</v>
      </c>
      <c r="F260" s="5" t="s">
        <v>94</v>
      </c>
      <c r="G260" s="5" t="s">
        <v>102</v>
      </c>
      <c r="H260" s="10">
        <v>23.356813176677765</v>
      </c>
      <c r="I260" s="10">
        <v>0.41033765274428474</v>
      </c>
      <c r="J260" s="325">
        <v>23.76715082942205</v>
      </c>
      <c r="K260" s="10">
        <v>566.56470616116508</v>
      </c>
      <c r="L260" s="10">
        <v>465.87281322068702</v>
      </c>
      <c r="M260" s="325">
        <v>1032.4375193818521</v>
      </c>
      <c r="N260" s="10">
        <v>195.1905643612306</v>
      </c>
      <c r="O260" s="10">
        <v>1235.4978403754419</v>
      </c>
      <c r="P260" s="10">
        <v>120.8987639051329</v>
      </c>
      <c r="Q260" s="10">
        <v>174.90636073159436</v>
      </c>
      <c r="R260" s="10">
        <v>613.46048852997683</v>
      </c>
      <c r="S260" s="10">
        <v>480.69605588766194</v>
      </c>
      <c r="T260" s="10">
        <v>718.13369726098188</v>
      </c>
      <c r="U260" s="10">
        <v>180.15746201263801</v>
      </c>
      <c r="V260" s="325">
        <v>3718.9412330646583</v>
      </c>
      <c r="W260" s="325">
        <v>4775.1459032759331</v>
      </c>
      <c r="X260" s="10">
        <v>468.44157701956033</v>
      </c>
      <c r="Y260" s="320">
        <v>5243.5874802954932</v>
      </c>
    </row>
    <row r="261" spans="1:25" x14ac:dyDescent="0.2">
      <c r="A261" s="7">
        <v>2017</v>
      </c>
      <c r="B261" s="5" t="s">
        <v>466</v>
      </c>
      <c r="C261" s="5" t="s">
        <v>90</v>
      </c>
      <c r="D261" s="5" t="s">
        <v>471</v>
      </c>
      <c r="E261" s="5" t="s">
        <v>104</v>
      </c>
      <c r="F261" s="5" t="s">
        <v>94</v>
      </c>
      <c r="G261" s="5" t="s">
        <v>105</v>
      </c>
      <c r="H261" s="10">
        <v>50.192871476920267</v>
      </c>
      <c r="I261" s="10">
        <v>0</v>
      </c>
      <c r="J261" s="325">
        <v>50.192871476920267</v>
      </c>
      <c r="K261" s="10">
        <v>234.28993298586971</v>
      </c>
      <c r="L261" s="10">
        <v>58.203026512000456</v>
      </c>
      <c r="M261" s="325">
        <v>292.49295949787017</v>
      </c>
      <c r="N261" s="10">
        <v>24.987665905952483</v>
      </c>
      <c r="O261" s="10">
        <v>169.09133587492181</v>
      </c>
      <c r="P261" s="10">
        <v>119.60284322685133</v>
      </c>
      <c r="Q261" s="10">
        <v>25.034610425584798</v>
      </c>
      <c r="R261" s="10">
        <v>80.747218613775487</v>
      </c>
      <c r="S261" s="10">
        <v>64.02754834474274</v>
      </c>
      <c r="T261" s="10">
        <v>80.40596973259477</v>
      </c>
      <c r="U261" s="10">
        <v>16.931726722972645</v>
      </c>
      <c r="V261" s="325">
        <v>580.82891884739604</v>
      </c>
      <c r="W261" s="325">
        <v>923.51474982218645</v>
      </c>
      <c r="X261" s="10">
        <v>89.92140237759439</v>
      </c>
      <c r="Y261" s="320">
        <v>1013.4361521997808</v>
      </c>
    </row>
    <row r="262" spans="1:25" x14ac:dyDescent="0.2">
      <c r="A262" s="7">
        <v>2017</v>
      </c>
      <c r="B262" s="5" t="s">
        <v>466</v>
      </c>
      <c r="C262" s="5" t="s">
        <v>90</v>
      </c>
      <c r="D262" s="5" t="s">
        <v>470</v>
      </c>
      <c r="E262" s="5" t="s">
        <v>106</v>
      </c>
      <c r="F262" s="5" t="s">
        <v>94</v>
      </c>
      <c r="G262" s="5" t="s">
        <v>107</v>
      </c>
      <c r="H262" s="10">
        <v>6.7420726670556679</v>
      </c>
      <c r="I262" s="10">
        <v>3.8564712866082346E-2</v>
      </c>
      <c r="J262" s="325">
        <v>6.7806373799217505</v>
      </c>
      <c r="K262" s="10">
        <v>334.62976830235186</v>
      </c>
      <c r="L262" s="10">
        <v>127.73863549847978</v>
      </c>
      <c r="M262" s="325">
        <v>462.36840380083163</v>
      </c>
      <c r="N262" s="10">
        <v>36.854446993113861</v>
      </c>
      <c r="O262" s="10">
        <v>171.46897091329626</v>
      </c>
      <c r="P262" s="10">
        <v>39.760043831663594</v>
      </c>
      <c r="Q262" s="10">
        <v>23.816709240112854</v>
      </c>
      <c r="R262" s="10">
        <v>113.08624871757858</v>
      </c>
      <c r="S262" s="10">
        <v>79.658196752507195</v>
      </c>
      <c r="T262" s="10">
        <v>75.878328014990387</v>
      </c>
      <c r="U262" s="10">
        <v>23.713547603174575</v>
      </c>
      <c r="V262" s="325">
        <v>564.23649206643734</v>
      </c>
      <c r="W262" s="325">
        <v>1033.3855332471908</v>
      </c>
      <c r="X262" s="10">
        <v>99.136944129917126</v>
      </c>
      <c r="Y262" s="320">
        <v>1132.5224773771079</v>
      </c>
    </row>
    <row r="263" spans="1:25" x14ac:dyDescent="0.2">
      <c r="A263" s="7">
        <v>2017</v>
      </c>
      <c r="B263" s="5" t="s">
        <v>466</v>
      </c>
      <c r="C263" s="5" t="s">
        <v>90</v>
      </c>
      <c r="D263" s="5" t="s">
        <v>471</v>
      </c>
      <c r="E263" s="5" t="s">
        <v>109</v>
      </c>
      <c r="F263" s="5" t="s">
        <v>94</v>
      </c>
      <c r="G263" s="5" t="s">
        <v>110</v>
      </c>
      <c r="H263" s="10">
        <v>13.298083654195509</v>
      </c>
      <c r="I263" s="10">
        <v>0</v>
      </c>
      <c r="J263" s="325">
        <v>13.298083654195509</v>
      </c>
      <c r="K263" s="10">
        <v>2089.5809336821467</v>
      </c>
      <c r="L263" s="10">
        <v>599.39166381694997</v>
      </c>
      <c r="M263" s="325">
        <v>2688.9725974990965</v>
      </c>
      <c r="N263" s="10">
        <v>301.60206482468482</v>
      </c>
      <c r="O263" s="10">
        <v>1455.7081585526821</v>
      </c>
      <c r="P263" s="10">
        <v>271.00906370192837</v>
      </c>
      <c r="Q263" s="10">
        <v>297.32490975676257</v>
      </c>
      <c r="R263" s="10">
        <v>1081.5250537219488</v>
      </c>
      <c r="S263" s="10">
        <v>893.18716698822027</v>
      </c>
      <c r="T263" s="10">
        <v>708.21925906912816</v>
      </c>
      <c r="U263" s="10">
        <v>341.78977225925274</v>
      </c>
      <c r="V263" s="325">
        <v>5350.3654488746079</v>
      </c>
      <c r="W263" s="325">
        <v>8052.6361300279004</v>
      </c>
      <c r="X263" s="10">
        <v>779.13193414108127</v>
      </c>
      <c r="Y263" s="320">
        <v>8831.7680641689822</v>
      </c>
    </row>
    <row r="264" spans="1:25" x14ac:dyDescent="0.2">
      <c r="A264" s="7">
        <v>2017</v>
      </c>
      <c r="B264" s="5" t="s">
        <v>466</v>
      </c>
      <c r="C264" s="5" t="s">
        <v>90</v>
      </c>
      <c r="D264" s="5" t="s">
        <v>470</v>
      </c>
      <c r="E264" s="5" t="s">
        <v>112</v>
      </c>
      <c r="F264" s="5" t="s">
        <v>94</v>
      </c>
      <c r="G264" s="5" t="s">
        <v>113</v>
      </c>
      <c r="H264" s="10">
        <v>35.098302755874549</v>
      </c>
      <c r="I264" s="10">
        <v>4.7724924844180077</v>
      </c>
      <c r="J264" s="325">
        <v>39.870795240292559</v>
      </c>
      <c r="K264" s="10">
        <v>1092.9192356273174</v>
      </c>
      <c r="L264" s="10">
        <v>127.75661861121374</v>
      </c>
      <c r="M264" s="325">
        <v>1220.6758542385312</v>
      </c>
      <c r="N264" s="10">
        <v>37.560614550352874</v>
      </c>
      <c r="O264" s="10">
        <v>146.00752926473351</v>
      </c>
      <c r="P264" s="10">
        <v>96.768862650014313</v>
      </c>
      <c r="Q264" s="10">
        <v>14.366720224325373</v>
      </c>
      <c r="R264" s="10">
        <v>56.986222731962364</v>
      </c>
      <c r="S264" s="10">
        <v>115.16032664666329</v>
      </c>
      <c r="T264" s="10">
        <v>60.377762027522635</v>
      </c>
      <c r="U264" s="10">
        <v>12.914463739743979</v>
      </c>
      <c r="V264" s="325">
        <v>540.14250183531828</v>
      </c>
      <c r="W264" s="325">
        <v>1800.689151314142</v>
      </c>
      <c r="X264" s="10">
        <v>169.28246916173299</v>
      </c>
      <c r="Y264" s="320">
        <v>1969.9716204758749</v>
      </c>
    </row>
    <row r="265" spans="1:25" x14ac:dyDescent="0.2">
      <c r="A265" s="7">
        <v>2017</v>
      </c>
      <c r="B265" s="5" t="s">
        <v>466</v>
      </c>
      <c r="C265" s="5" t="s">
        <v>90</v>
      </c>
      <c r="D265" s="5" t="s">
        <v>471</v>
      </c>
      <c r="E265" s="5" t="s">
        <v>115</v>
      </c>
      <c r="F265" s="5" t="s">
        <v>94</v>
      </c>
      <c r="G265" s="5" t="s">
        <v>116</v>
      </c>
      <c r="H265" s="10">
        <v>0.1093487958865456</v>
      </c>
      <c r="I265" s="10">
        <v>0.15002431218106901</v>
      </c>
      <c r="J265" s="325">
        <v>0.2593731080676146</v>
      </c>
      <c r="K265" s="10">
        <v>2317.1244639812899</v>
      </c>
      <c r="L265" s="10">
        <v>490.81359792175647</v>
      </c>
      <c r="M265" s="325">
        <v>2807.9380619030462</v>
      </c>
      <c r="N265" s="10">
        <v>264.36179000557456</v>
      </c>
      <c r="O265" s="10">
        <v>1292.6460768541524</v>
      </c>
      <c r="P265" s="10">
        <v>117.32874845987264</v>
      </c>
      <c r="Q265" s="10">
        <v>237.49923496821523</v>
      </c>
      <c r="R265" s="10">
        <v>622.74233899736794</v>
      </c>
      <c r="S265" s="10">
        <v>685.22536475789059</v>
      </c>
      <c r="T265" s="10">
        <v>537.82890663001103</v>
      </c>
      <c r="U265" s="10">
        <v>134.27846668011279</v>
      </c>
      <c r="V265" s="325">
        <v>3891.9109273531967</v>
      </c>
      <c r="W265" s="325">
        <v>6700.1083623643108</v>
      </c>
      <c r="X265" s="10">
        <v>644.63141377246734</v>
      </c>
      <c r="Y265" s="320">
        <v>7344.7397761367783</v>
      </c>
    </row>
    <row r="266" spans="1:25" x14ac:dyDescent="0.2">
      <c r="A266" s="7">
        <v>2017</v>
      </c>
      <c r="B266" s="5" t="s">
        <v>466</v>
      </c>
      <c r="C266" s="5" t="s">
        <v>90</v>
      </c>
      <c r="D266" s="5" t="s">
        <v>471</v>
      </c>
      <c r="E266" s="5" t="s">
        <v>118</v>
      </c>
      <c r="F266" s="5" t="s">
        <v>94</v>
      </c>
      <c r="G266" s="5" t="s">
        <v>119</v>
      </c>
      <c r="H266" s="10">
        <v>5.0199508945596358</v>
      </c>
      <c r="I266" s="10">
        <v>0</v>
      </c>
      <c r="J266" s="325">
        <v>5.0199508945596358</v>
      </c>
      <c r="K266" s="10">
        <v>771.96333020548434</v>
      </c>
      <c r="L266" s="10">
        <v>122.38639029072938</v>
      </c>
      <c r="M266" s="325">
        <v>894.34972049621376</v>
      </c>
      <c r="N266" s="10">
        <v>62.100595638378543</v>
      </c>
      <c r="O266" s="10">
        <v>196.34565402703095</v>
      </c>
      <c r="P266" s="10">
        <v>69.981056190853295</v>
      </c>
      <c r="Q266" s="10">
        <v>19.421258482337883</v>
      </c>
      <c r="R266" s="10">
        <v>119.31588198193603</v>
      </c>
      <c r="S266" s="10">
        <v>139.1522692247942</v>
      </c>
      <c r="T266" s="10">
        <v>92.389462607146669</v>
      </c>
      <c r="U266" s="10">
        <v>30.229926708821417</v>
      </c>
      <c r="V266" s="325">
        <v>728.93610486129887</v>
      </c>
      <c r="W266" s="325">
        <v>1628.3057762520723</v>
      </c>
      <c r="X266" s="10">
        <v>154.8293054283709</v>
      </c>
      <c r="Y266" s="320">
        <v>1783.1350816804431</v>
      </c>
    </row>
    <row r="267" spans="1:25" x14ac:dyDescent="0.2">
      <c r="A267" s="7">
        <v>2017</v>
      </c>
      <c r="B267" s="5" t="s">
        <v>466</v>
      </c>
      <c r="C267" s="5" t="s">
        <v>90</v>
      </c>
      <c r="D267" s="5" t="s">
        <v>471</v>
      </c>
      <c r="E267" s="5" t="s">
        <v>120</v>
      </c>
      <c r="F267" s="5" t="s">
        <v>94</v>
      </c>
      <c r="G267" s="5" t="s">
        <v>121</v>
      </c>
      <c r="H267" s="10">
        <v>6.6892597345124276</v>
      </c>
      <c r="I267" s="10">
        <v>0</v>
      </c>
      <c r="J267" s="325">
        <v>6.6892597345124276</v>
      </c>
      <c r="K267" s="10">
        <v>1057.3461217840349</v>
      </c>
      <c r="L267" s="10">
        <v>197.91063491468873</v>
      </c>
      <c r="M267" s="325">
        <v>1255.2567566987236</v>
      </c>
      <c r="N267" s="10">
        <v>105.96476562258457</v>
      </c>
      <c r="O267" s="10">
        <v>430.61915518205149</v>
      </c>
      <c r="P267" s="10">
        <v>57.868366750515285</v>
      </c>
      <c r="Q267" s="10">
        <v>67.227544591298596</v>
      </c>
      <c r="R267" s="10">
        <v>323.73759140527278</v>
      </c>
      <c r="S267" s="10">
        <v>283.47746637141734</v>
      </c>
      <c r="T267" s="10">
        <v>292.40741459990238</v>
      </c>
      <c r="U267" s="10">
        <v>63.773106014849589</v>
      </c>
      <c r="V267" s="325">
        <v>1625.0754105378921</v>
      </c>
      <c r="W267" s="325">
        <v>2887.0214269711278</v>
      </c>
      <c r="X267" s="10">
        <v>277.10406596997507</v>
      </c>
      <c r="Y267" s="320">
        <v>3164.1254929411029</v>
      </c>
    </row>
    <row r="268" spans="1:25" x14ac:dyDescent="0.2">
      <c r="A268" s="7">
        <v>2017</v>
      </c>
      <c r="B268" s="5" t="s">
        <v>466</v>
      </c>
      <c r="C268" s="5" t="s">
        <v>122</v>
      </c>
      <c r="D268" s="5" t="s">
        <v>472</v>
      </c>
      <c r="E268" s="5" t="s">
        <v>125</v>
      </c>
      <c r="F268" s="5" t="s">
        <v>126</v>
      </c>
      <c r="G268" s="5" t="s">
        <v>128</v>
      </c>
      <c r="H268" s="10">
        <v>43.627109299666685</v>
      </c>
      <c r="I268" s="10">
        <v>67.893913457802427</v>
      </c>
      <c r="J268" s="325">
        <v>111.52102275746911</v>
      </c>
      <c r="K268" s="10">
        <v>20.427683247520246</v>
      </c>
      <c r="L268" s="10">
        <v>4.9286362931559324</v>
      </c>
      <c r="M268" s="325">
        <v>25.356319540676179</v>
      </c>
      <c r="N268" s="10">
        <v>19.520062388179323</v>
      </c>
      <c r="O268" s="10">
        <v>62.455343993201161</v>
      </c>
      <c r="P268" s="10">
        <v>10.947180928554822</v>
      </c>
      <c r="Q268" s="10">
        <v>7.140553937726982</v>
      </c>
      <c r="R268" s="10">
        <v>12.184570080901265</v>
      </c>
      <c r="S268" s="10">
        <v>35.913373255727045</v>
      </c>
      <c r="T268" s="10">
        <v>51.909123680406488</v>
      </c>
      <c r="U268" s="10">
        <v>6.5394747320425051</v>
      </c>
      <c r="V268" s="325">
        <v>206.60968299673956</v>
      </c>
      <c r="W268" s="325">
        <v>343.48702529488486</v>
      </c>
      <c r="X268" s="10">
        <v>34.220951024096586</v>
      </c>
      <c r="Y268" s="320">
        <v>377.70797631898142</v>
      </c>
    </row>
    <row r="269" spans="1:25" x14ac:dyDescent="0.2">
      <c r="A269" s="7">
        <v>2017</v>
      </c>
      <c r="B269" s="5" t="s">
        <v>466</v>
      </c>
      <c r="C269" s="5" t="s">
        <v>122</v>
      </c>
      <c r="D269" s="5" t="s">
        <v>472</v>
      </c>
      <c r="E269" s="5" t="s">
        <v>130</v>
      </c>
      <c r="F269" s="5" t="s">
        <v>126</v>
      </c>
      <c r="G269" s="5" t="s">
        <v>131</v>
      </c>
      <c r="H269" s="10">
        <v>60.284274615351002</v>
      </c>
      <c r="I269" s="10">
        <v>66.726304325159049</v>
      </c>
      <c r="J269" s="325">
        <v>127.01057894051004</v>
      </c>
      <c r="K269" s="10">
        <v>37.851070458702011</v>
      </c>
      <c r="L269" s="10">
        <v>38.479148293750939</v>
      </c>
      <c r="M269" s="325">
        <v>76.33021875245295</v>
      </c>
      <c r="N269" s="10">
        <v>34.321561543477316</v>
      </c>
      <c r="O269" s="10">
        <v>330.97392780858377</v>
      </c>
      <c r="P269" s="10">
        <v>22.968113166412685</v>
      </c>
      <c r="Q269" s="10">
        <v>23.01336471970323</v>
      </c>
      <c r="R269" s="10">
        <v>37.954777898998756</v>
      </c>
      <c r="S269" s="10">
        <v>86.146692797385001</v>
      </c>
      <c r="T269" s="10">
        <v>127.74755954687718</v>
      </c>
      <c r="U269" s="10">
        <v>13.869747745048699</v>
      </c>
      <c r="V269" s="325">
        <v>676.99574522648663</v>
      </c>
      <c r="W269" s="325">
        <v>880.3365429194497</v>
      </c>
      <c r="X269" s="10">
        <v>88.074204436550545</v>
      </c>
      <c r="Y269" s="320">
        <v>968.41074735600023</v>
      </c>
    </row>
    <row r="270" spans="1:25" x14ac:dyDescent="0.2">
      <c r="A270" s="7">
        <v>2017</v>
      </c>
      <c r="B270" s="5" t="s">
        <v>466</v>
      </c>
      <c r="C270" s="5" t="s">
        <v>122</v>
      </c>
      <c r="D270" s="5" t="s">
        <v>472</v>
      </c>
      <c r="E270" s="5" t="s">
        <v>133</v>
      </c>
      <c r="F270" s="5" t="s">
        <v>126</v>
      </c>
      <c r="G270" s="5" t="s">
        <v>134</v>
      </c>
      <c r="H270" s="10">
        <v>22.943672738026251</v>
      </c>
      <c r="I270" s="10">
        <v>420.49686163189841</v>
      </c>
      <c r="J270" s="325">
        <v>443.44053436992465</v>
      </c>
      <c r="K270" s="10">
        <v>7.1085433401202271</v>
      </c>
      <c r="L270" s="10">
        <v>28.08139275171801</v>
      </c>
      <c r="M270" s="325">
        <v>35.189936091838234</v>
      </c>
      <c r="N270" s="10">
        <v>22.604797847062731</v>
      </c>
      <c r="O270" s="10">
        <v>94.383315313563045</v>
      </c>
      <c r="P270" s="10">
        <v>14.525936798603247</v>
      </c>
      <c r="Q270" s="10">
        <v>11.920283133448592</v>
      </c>
      <c r="R270" s="10">
        <v>17.945064518803626</v>
      </c>
      <c r="S270" s="10">
        <v>75.072787833242572</v>
      </c>
      <c r="T270" s="10">
        <v>73.509569775271174</v>
      </c>
      <c r="U270" s="10">
        <v>8.8643254993739777</v>
      </c>
      <c r="V270" s="325">
        <v>318.82608071936897</v>
      </c>
      <c r="W270" s="325">
        <v>797.45655118113189</v>
      </c>
      <c r="X270" s="10">
        <v>79.171937628325779</v>
      </c>
      <c r="Y270" s="320">
        <v>876.62848880945762</v>
      </c>
    </row>
    <row r="271" spans="1:25" x14ac:dyDescent="0.2">
      <c r="A271" s="7">
        <v>2017</v>
      </c>
      <c r="B271" s="5" t="s">
        <v>466</v>
      </c>
      <c r="C271" s="5" t="s">
        <v>122</v>
      </c>
      <c r="D271" s="5" t="s">
        <v>472</v>
      </c>
      <c r="E271" s="5" t="s">
        <v>135</v>
      </c>
      <c r="F271" s="5" t="s">
        <v>126</v>
      </c>
      <c r="G271" s="5" t="s">
        <v>136</v>
      </c>
      <c r="H271" s="10">
        <v>28.610438235173547</v>
      </c>
      <c r="I271" s="10">
        <v>72.280813600286933</v>
      </c>
      <c r="J271" s="325">
        <v>100.89125183546048</v>
      </c>
      <c r="K271" s="10">
        <v>10.25939504581458</v>
      </c>
      <c r="L271" s="10">
        <v>7.6206037281124326</v>
      </c>
      <c r="M271" s="325">
        <v>17.879998773927014</v>
      </c>
      <c r="N271" s="10">
        <v>9.3981699906978537</v>
      </c>
      <c r="O271" s="10">
        <v>38.122479452001407</v>
      </c>
      <c r="P271" s="10">
        <v>6.5565666973690053</v>
      </c>
      <c r="Q271" s="10">
        <v>5.3200068607216453</v>
      </c>
      <c r="R271" s="10">
        <v>9.8018018355264935</v>
      </c>
      <c r="S271" s="10">
        <v>25.810454725877971</v>
      </c>
      <c r="T271" s="10">
        <v>42.214752543845549</v>
      </c>
      <c r="U271" s="10">
        <v>4.9512577050795183</v>
      </c>
      <c r="V271" s="325">
        <v>142.17548981111946</v>
      </c>
      <c r="W271" s="325">
        <v>260.94674042050696</v>
      </c>
      <c r="X271" s="10">
        <v>25.945345281129637</v>
      </c>
      <c r="Y271" s="320">
        <v>286.89208570163657</v>
      </c>
    </row>
    <row r="272" spans="1:25" x14ac:dyDescent="0.2">
      <c r="A272" s="7">
        <v>2017</v>
      </c>
      <c r="B272" s="5" t="s">
        <v>466</v>
      </c>
      <c r="C272" s="5" t="s">
        <v>122</v>
      </c>
      <c r="D272" s="5" t="s">
        <v>472</v>
      </c>
      <c r="E272" s="5" t="s">
        <v>137</v>
      </c>
      <c r="F272" s="5" t="s">
        <v>126</v>
      </c>
      <c r="G272" s="5" t="s">
        <v>138</v>
      </c>
      <c r="H272" s="10">
        <v>17.494585957108253</v>
      </c>
      <c r="I272" s="10">
        <v>29.849212521000617</v>
      </c>
      <c r="J272" s="325">
        <v>47.343798478108866</v>
      </c>
      <c r="K272" s="10">
        <v>1.5323909856055455</v>
      </c>
      <c r="L272" s="10">
        <v>18.283174020378503</v>
      </c>
      <c r="M272" s="325">
        <v>19.815565005984048</v>
      </c>
      <c r="N272" s="10">
        <v>9.7143799044974468</v>
      </c>
      <c r="O272" s="10">
        <v>41.657328146291206</v>
      </c>
      <c r="P272" s="10">
        <v>9.7334365627654211</v>
      </c>
      <c r="Q272" s="10">
        <v>8.3023640018585603</v>
      </c>
      <c r="R272" s="10">
        <v>14.099995584752984</v>
      </c>
      <c r="S272" s="10">
        <v>25.677359563451976</v>
      </c>
      <c r="T272" s="10">
        <v>60.010032066042847</v>
      </c>
      <c r="U272" s="10">
        <v>5.763637855031214</v>
      </c>
      <c r="V272" s="325">
        <v>174.95853368469167</v>
      </c>
      <c r="W272" s="325">
        <v>242.11789716878457</v>
      </c>
      <c r="X272" s="10">
        <v>24.042867632173476</v>
      </c>
      <c r="Y272" s="320">
        <v>266.16076480095802</v>
      </c>
    </row>
    <row r="273" spans="1:25" x14ac:dyDescent="0.2">
      <c r="A273" s="7">
        <v>2017</v>
      </c>
      <c r="B273" s="5" t="s">
        <v>466</v>
      </c>
      <c r="C273" s="5" t="s">
        <v>122</v>
      </c>
      <c r="D273" s="5" t="s">
        <v>472</v>
      </c>
      <c r="E273" s="5" t="s">
        <v>139</v>
      </c>
      <c r="F273" s="5" t="s">
        <v>126</v>
      </c>
      <c r="G273" s="5" t="s">
        <v>140</v>
      </c>
      <c r="H273" s="10">
        <v>24.386222626045317</v>
      </c>
      <c r="I273" s="10">
        <v>146.25320507031492</v>
      </c>
      <c r="J273" s="325">
        <v>170.63942769636023</v>
      </c>
      <c r="K273" s="10">
        <v>4.557517903724114</v>
      </c>
      <c r="L273" s="10">
        <v>13.236752600334899</v>
      </c>
      <c r="M273" s="325">
        <v>17.794270504059014</v>
      </c>
      <c r="N273" s="10">
        <v>7.4779091286097632</v>
      </c>
      <c r="O273" s="10">
        <v>45.768968291794046</v>
      </c>
      <c r="P273" s="10">
        <v>5.875802510359831</v>
      </c>
      <c r="Q273" s="10">
        <v>4.2387224273558282</v>
      </c>
      <c r="R273" s="10">
        <v>10.086753866730472</v>
      </c>
      <c r="S273" s="10">
        <v>29.105144388905796</v>
      </c>
      <c r="T273" s="10">
        <v>40.434075357387677</v>
      </c>
      <c r="U273" s="10">
        <v>4.6094889751439636</v>
      </c>
      <c r="V273" s="325">
        <v>147.59686494628738</v>
      </c>
      <c r="W273" s="325">
        <v>336.03056314670664</v>
      </c>
      <c r="X273" s="10">
        <v>33.401912948588091</v>
      </c>
      <c r="Y273" s="320">
        <v>369.43247609529476</v>
      </c>
    </row>
    <row r="274" spans="1:25" x14ac:dyDescent="0.2">
      <c r="A274" s="7">
        <v>2017</v>
      </c>
      <c r="B274" s="5" t="s">
        <v>466</v>
      </c>
      <c r="C274" s="5" t="s">
        <v>141</v>
      </c>
      <c r="D274" s="5" t="s">
        <v>473</v>
      </c>
      <c r="E274" s="5" t="s">
        <v>143</v>
      </c>
      <c r="F274" s="5" t="s">
        <v>144</v>
      </c>
      <c r="G274" s="5" t="s">
        <v>146</v>
      </c>
      <c r="H274" s="10">
        <v>6.1562646883896512</v>
      </c>
      <c r="I274" s="10">
        <v>4.029142001906276E-2</v>
      </c>
      <c r="J274" s="325">
        <v>6.1965561084087142</v>
      </c>
      <c r="K274" s="10">
        <v>2.1651592017156718</v>
      </c>
      <c r="L274" s="10">
        <v>1.9114138802381875</v>
      </c>
      <c r="M274" s="325">
        <v>4.0765730819538595</v>
      </c>
      <c r="N274" s="10">
        <v>2.9970682225056224</v>
      </c>
      <c r="O274" s="10">
        <v>6.1941772631957299</v>
      </c>
      <c r="P274" s="10">
        <v>6.4911676718589035</v>
      </c>
      <c r="Q274" s="10">
        <v>1.1878589083901849</v>
      </c>
      <c r="R274" s="10">
        <v>3.2432989956423333</v>
      </c>
      <c r="S274" s="10">
        <v>3.6664778090567252</v>
      </c>
      <c r="T274" s="10">
        <v>6.3905228664169105</v>
      </c>
      <c r="U274" s="10">
        <v>1.5016382422741377</v>
      </c>
      <c r="V274" s="325">
        <v>31.672209979340547</v>
      </c>
      <c r="W274" s="325">
        <v>41.945339169703118</v>
      </c>
      <c r="X274" s="10">
        <v>4.1702196519521619</v>
      </c>
      <c r="Y274" s="320">
        <v>46.115558821655277</v>
      </c>
    </row>
    <row r="275" spans="1:25" x14ac:dyDescent="0.2">
      <c r="A275" s="7">
        <v>2017</v>
      </c>
      <c r="B275" s="5" t="s">
        <v>466</v>
      </c>
      <c r="C275" s="5" t="s">
        <v>141</v>
      </c>
      <c r="D275" s="5" t="s">
        <v>473</v>
      </c>
      <c r="E275" s="5" t="s">
        <v>147</v>
      </c>
      <c r="F275" s="5" t="s">
        <v>144</v>
      </c>
      <c r="G275" s="5" t="s">
        <v>148</v>
      </c>
      <c r="H275" s="10">
        <v>16.218439676782609</v>
      </c>
      <c r="I275" s="10">
        <v>0.2899495173813923</v>
      </c>
      <c r="J275" s="325">
        <v>16.508389194164</v>
      </c>
      <c r="K275" s="10">
        <v>4.2066953779592238</v>
      </c>
      <c r="L275" s="10">
        <v>3.5831334332934923</v>
      </c>
      <c r="M275" s="325">
        <v>7.7898288112527165</v>
      </c>
      <c r="N275" s="10">
        <v>3.0483286645206298</v>
      </c>
      <c r="O275" s="10">
        <v>16.16076687904912</v>
      </c>
      <c r="P275" s="10">
        <v>3.4585321133557381</v>
      </c>
      <c r="Q275" s="10">
        <v>2.2388828479160705</v>
      </c>
      <c r="R275" s="10">
        <v>7.063183455688903</v>
      </c>
      <c r="S275" s="10">
        <v>7.2681299077638739</v>
      </c>
      <c r="T275" s="10">
        <v>14.073610470141221</v>
      </c>
      <c r="U275" s="10">
        <v>2.5499648673691038</v>
      </c>
      <c r="V275" s="325">
        <v>55.861399205804659</v>
      </c>
      <c r="W275" s="325">
        <v>80.159617211221374</v>
      </c>
      <c r="X275" s="10">
        <v>7.9782550745649736</v>
      </c>
      <c r="Y275" s="320">
        <v>88.137872285786344</v>
      </c>
    </row>
    <row r="276" spans="1:25" x14ac:dyDescent="0.2">
      <c r="A276" s="7">
        <v>2017</v>
      </c>
      <c r="B276" s="5" t="s">
        <v>466</v>
      </c>
      <c r="C276" s="5" t="s">
        <v>141</v>
      </c>
      <c r="D276" s="5" t="s">
        <v>474</v>
      </c>
      <c r="E276" s="5" t="s">
        <v>149</v>
      </c>
      <c r="F276" s="5" t="s">
        <v>144</v>
      </c>
      <c r="G276" s="5" t="s">
        <v>150</v>
      </c>
      <c r="H276" s="10">
        <v>25.91777929393912</v>
      </c>
      <c r="I276" s="10">
        <v>65.083013641068987</v>
      </c>
      <c r="J276" s="325">
        <v>91.000792935008107</v>
      </c>
      <c r="K276" s="10">
        <v>41.041194109125414</v>
      </c>
      <c r="L276" s="10">
        <v>10.29038756717774</v>
      </c>
      <c r="M276" s="325">
        <v>51.331581676303152</v>
      </c>
      <c r="N276" s="10">
        <v>32.21524332945063</v>
      </c>
      <c r="O276" s="10">
        <v>146.47156810615056</v>
      </c>
      <c r="P276" s="10">
        <v>11.756683169842409</v>
      </c>
      <c r="Q276" s="10">
        <v>18.553982743971243</v>
      </c>
      <c r="R276" s="10">
        <v>37.510588705306539</v>
      </c>
      <c r="S276" s="10">
        <v>57.665709955240416</v>
      </c>
      <c r="T276" s="10">
        <v>63.467416588708318</v>
      </c>
      <c r="U276" s="10">
        <v>14.492474851045248</v>
      </c>
      <c r="V276" s="325">
        <v>382.13366744971535</v>
      </c>
      <c r="W276" s="325">
        <v>524.46604206102654</v>
      </c>
      <c r="X276" s="10">
        <v>52.143158274927046</v>
      </c>
      <c r="Y276" s="320">
        <v>576.60920033595357</v>
      </c>
    </row>
    <row r="277" spans="1:25" x14ac:dyDescent="0.2">
      <c r="A277" s="7">
        <v>2017</v>
      </c>
      <c r="B277" s="5" t="s">
        <v>466</v>
      </c>
      <c r="C277" s="5" t="s">
        <v>141</v>
      </c>
      <c r="D277" s="5" t="s">
        <v>474</v>
      </c>
      <c r="E277" s="5" t="s">
        <v>151</v>
      </c>
      <c r="F277" s="5" t="s">
        <v>144</v>
      </c>
      <c r="G277" s="5" t="s">
        <v>152</v>
      </c>
      <c r="H277" s="10">
        <v>9.707654640983165</v>
      </c>
      <c r="I277" s="10">
        <v>82.669728466521875</v>
      </c>
      <c r="J277" s="325">
        <v>92.37738310750504</v>
      </c>
      <c r="K277" s="10">
        <v>39.608672871762749</v>
      </c>
      <c r="L277" s="10">
        <v>3.8073028516212419</v>
      </c>
      <c r="M277" s="325">
        <v>43.415975723383994</v>
      </c>
      <c r="N277" s="10">
        <v>95.377729864134878</v>
      </c>
      <c r="O277" s="10">
        <v>21.728088886849406</v>
      </c>
      <c r="P277" s="10">
        <v>4.9423766865523389</v>
      </c>
      <c r="Q277" s="10">
        <v>3.8215278249732889</v>
      </c>
      <c r="R277" s="10">
        <v>11.266083354544056</v>
      </c>
      <c r="S277" s="10">
        <v>35.588503982923328</v>
      </c>
      <c r="T277" s="10">
        <v>36.551124906607711</v>
      </c>
      <c r="U277" s="10">
        <v>3.6860803906683985</v>
      </c>
      <c r="V277" s="325">
        <v>212.96151589725338</v>
      </c>
      <c r="W277" s="325">
        <v>348.75487472814245</v>
      </c>
      <c r="X277" s="10">
        <v>34.539135802421029</v>
      </c>
      <c r="Y277" s="320">
        <v>383.29401053056347</v>
      </c>
    </row>
    <row r="278" spans="1:25" x14ac:dyDescent="0.2">
      <c r="A278" s="7">
        <v>2017</v>
      </c>
      <c r="B278" s="5" t="s">
        <v>466</v>
      </c>
      <c r="C278" s="5" t="s">
        <v>141</v>
      </c>
      <c r="D278" s="5" t="s">
        <v>474</v>
      </c>
      <c r="E278" s="5" t="s">
        <v>153</v>
      </c>
      <c r="F278" s="5" t="s">
        <v>144</v>
      </c>
      <c r="G278" s="5" t="s">
        <v>154</v>
      </c>
      <c r="H278" s="10">
        <v>7.1895174035572982</v>
      </c>
      <c r="I278" s="10">
        <v>14.376225673794172</v>
      </c>
      <c r="J278" s="325">
        <v>21.56574307735147</v>
      </c>
      <c r="K278" s="10">
        <v>13.131276375201809</v>
      </c>
      <c r="L278" s="10">
        <v>6.7697512205741566</v>
      </c>
      <c r="M278" s="325">
        <v>19.901027595775965</v>
      </c>
      <c r="N278" s="10">
        <v>10.44804071611714</v>
      </c>
      <c r="O278" s="10">
        <v>52.655328987534524</v>
      </c>
      <c r="P278" s="10">
        <v>3.3124775270031601</v>
      </c>
      <c r="Q278" s="10">
        <v>2.5514008325090054</v>
      </c>
      <c r="R278" s="10">
        <v>12.453404061401953</v>
      </c>
      <c r="S278" s="10">
        <v>14.428737557688077</v>
      </c>
      <c r="T278" s="10">
        <v>14.833489098841035</v>
      </c>
      <c r="U278" s="10">
        <v>2.8897510729322256</v>
      </c>
      <c r="V278" s="325">
        <v>113.57262985402713</v>
      </c>
      <c r="W278" s="325">
        <v>155.03940052715456</v>
      </c>
      <c r="X278" s="10">
        <v>15.42825832797859</v>
      </c>
      <c r="Y278" s="320">
        <v>170.46765885513315</v>
      </c>
    </row>
    <row r="279" spans="1:25" x14ac:dyDescent="0.2">
      <c r="A279" s="7">
        <v>2017</v>
      </c>
      <c r="B279" s="5" t="s">
        <v>466</v>
      </c>
      <c r="C279" s="5" t="s">
        <v>141</v>
      </c>
      <c r="D279" s="5" t="s">
        <v>474</v>
      </c>
      <c r="E279" s="5" t="s">
        <v>155</v>
      </c>
      <c r="F279" s="5" t="s">
        <v>144</v>
      </c>
      <c r="G279" s="5" t="s">
        <v>156</v>
      </c>
      <c r="H279" s="10">
        <v>36.202631637461039</v>
      </c>
      <c r="I279" s="10">
        <v>565.26696212105537</v>
      </c>
      <c r="J279" s="325">
        <v>601.46959375851645</v>
      </c>
      <c r="K279" s="10">
        <v>0.59343032248260541</v>
      </c>
      <c r="L279" s="10">
        <v>18.429851090537227</v>
      </c>
      <c r="M279" s="325">
        <v>19.023281413019831</v>
      </c>
      <c r="N279" s="10">
        <v>9.8490308645338338</v>
      </c>
      <c r="O279" s="10">
        <v>16.44494531179641</v>
      </c>
      <c r="P279" s="10">
        <v>3.7976483951707753</v>
      </c>
      <c r="Q279" s="10">
        <v>2.2456549786160744</v>
      </c>
      <c r="R279" s="10">
        <v>8.8531179563885409</v>
      </c>
      <c r="S279" s="10">
        <v>53.04907779621994</v>
      </c>
      <c r="T279" s="10">
        <v>17.162693517342145</v>
      </c>
      <c r="U279" s="10">
        <v>3.6793518552580871</v>
      </c>
      <c r="V279" s="325">
        <v>115.08152067532581</v>
      </c>
      <c r="W279" s="325">
        <v>735.5743958468621</v>
      </c>
      <c r="X279" s="10">
        <v>72.877532631530016</v>
      </c>
      <c r="Y279" s="320">
        <v>808.45192847839212</v>
      </c>
    </row>
    <row r="280" spans="1:25" x14ac:dyDescent="0.2">
      <c r="A280" s="7">
        <v>2017</v>
      </c>
      <c r="B280" s="5" t="s">
        <v>466</v>
      </c>
      <c r="C280" s="5" t="s">
        <v>157</v>
      </c>
      <c r="D280" s="5" t="s">
        <v>475</v>
      </c>
      <c r="E280" s="5" t="s">
        <v>159</v>
      </c>
      <c r="F280" s="5" t="s">
        <v>160</v>
      </c>
      <c r="G280" s="5" t="s">
        <v>161</v>
      </c>
      <c r="H280" s="10">
        <v>24.462158510427813</v>
      </c>
      <c r="I280" s="10">
        <v>28.544955711811077</v>
      </c>
      <c r="J280" s="325">
        <v>53.00711422223889</v>
      </c>
      <c r="K280" s="10">
        <v>17.646217301864233</v>
      </c>
      <c r="L280" s="10">
        <v>35.296561977778836</v>
      </c>
      <c r="M280" s="325">
        <v>52.942779279643069</v>
      </c>
      <c r="N280" s="10">
        <v>333.57933995240012</v>
      </c>
      <c r="O280" s="10">
        <v>34.231201151181857</v>
      </c>
      <c r="P280" s="10">
        <v>7.1536626259124052</v>
      </c>
      <c r="Q280" s="10">
        <v>11.165267481493322</v>
      </c>
      <c r="R280" s="10">
        <v>15.721723135191045</v>
      </c>
      <c r="S280" s="10">
        <v>46.676345319359505</v>
      </c>
      <c r="T280" s="10">
        <v>34.727641136242077</v>
      </c>
      <c r="U280" s="10">
        <v>6.6263713335721199</v>
      </c>
      <c r="V280" s="325">
        <v>489.88155213535248</v>
      </c>
      <c r="W280" s="325">
        <v>595.83144563723442</v>
      </c>
      <c r="X280" s="10">
        <v>59.534336711977957</v>
      </c>
      <c r="Y280" s="320">
        <v>655.3657823492124</v>
      </c>
    </row>
    <row r="281" spans="1:25" x14ac:dyDescent="0.2">
      <c r="A281" s="7">
        <v>2017</v>
      </c>
      <c r="B281" s="5" t="s">
        <v>466</v>
      </c>
      <c r="C281" s="5" t="s">
        <v>157</v>
      </c>
      <c r="D281" s="5" t="s">
        <v>476</v>
      </c>
      <c r="E281" s="5" t="s">
        <v>162</v>
      </c>
      <c r="F281" s="5" t="s">
        <v>160</v>
      </c>
      <c r="G281" s="5" t="s">
        <v>163</v>
      </c>
      <c r="H281" s="10">
        <v>10.677694469628287</v>
      </c>
      <c r="I281" s="10">
        <v>1.7609153855584001</v>
      </c>
      <c r="J281" s="325">
        <v>12.438609855186687</v>
      </c>
      <c r="K281" s="10">
        <v>2.4729284316409048</v>
      </c>
      <c r="L281" s="10">
        <v>9.2000765882832756</v>
      </c>
      <c r="M281" s="325">
        <v>11.673005019924179</v>
      </c>
      <c r="N281" s="10">
        <v>67.404446376080955</v>
      </c>
      <c r="O281" s="10">
        <v>7.4578026734896907</v>
      </c>
      <c r="P281" s="10">
        <v>1.8997165186234539</v>
      </c>
      <c r="Q281" s="10">
        <v>1.1948178452319269</v>
      </c>
      <c r="R281" s="10">
        <v>2.8458246407582104</v>
      </c>
      <c r="S281" s="10">
        <v>8.8679089649908995</v>
      </c>
      <c r="T281" s="10">
        <v>12.475525833600507</v>
      </c>
      <c r="U281" s="10">
        <v>1.5713306294254661</v>
      </c>
      <c r="V281" s="325">
        <v>103.71737348220111</v>
      </c>
      <c r="W281" s="325">
        <v>127.82898835731197</v>
      </c>
      <c r="X281" s="10">
        <v>12.787551674423879</v>
      </c>
      <c r="Y281" s="320">
        <v>140.61654003173584</v>
      </c>
    </row>
    <row r="282" spans="1:25" x14ac:dyDescent="0.2">
      <c r="A282" s="7">
        <v>2017</v>
      </c>
      <c r="B282" s="5" t="s">
        <v>466</v>
      </c>
      <c r="C282" s="5" t="s">
        <v>157</v>
      </c>
      <c r="D282" s="5" t="s">
        <v>473</v>
      </c>
      <c r="E282" s="5" t="s">
        <v>164</v>
      </c>
      <c r="F282" s="5" t="s">
        <v>160</v>
      </c>
      <c r="G282" s="5" t="s">
        <v>165</v>
      </c>
      <c r="H282" s="10">
        <v>3.4425958878799006</v>
      </c>
      <c r="I282" s="10">
        <v>0</v>
      </c>
      <c r="J282" s="325">
        <v>3.4425958878799006</v>
      </c>
      <c r="K282" s="10">
        <v>6.7839641554141243</v>
      </c>
      <c r="L282" s="10">
        <v>2.6897285355997993</v>
      </c>
      <c r="M282" s="325">
        <v>9.4736926910139232</v>
      </c>
      <c r="N282" s="10">
        <v>8.2833799862821991</v>
      </c>
      <c r="O282" s="10">
        <v>21.598639742577394</v>
      </c>
      <c r="P282" s="10">
        <v>3.1675720746478739</v>
      </c>
      <c r="Q282" s="10">
        <v>3.3543779940962155</v>
      </c>
      <c r="R282" s="10">
        <v>11.325754026387802</v>
      </c>
      <c r="S282" s="10">
        <v>9.8801479668466623</v>
      </c>
      <c r="T282" s="10">
        <v>15.916039873265181</v>
      </c>
      <c r="U282" s="10">
        <v>2.704497232080421</v>
      </c>
      <c r="V282" s="325">
        <v>76.230408896183761</v>
      </c>
      <c r="W282" s="325">
        <v>89.146697475077588</v>
      </c>
      <c r="X282" s="10">
        <v>8.8452376072326473</v>
      </c>
      <c r="Y282" s="320">
        <v>97.991935082310235</v>
      </c>
    </row>
    <row r="283" spans="1:25" x14ac:dyDescent="0.2">
      <c r="A283" s="7">
        <v>2017</v>
      </c>
      <c r="B283" s="5" t="s">
        <v>466</v>
      </c>
      <c r="C283" s="5" t="s">
        <v>157</v>
      </c>
      <c r="D283" s="5" t="s">
        <v>477</v>
      </c>
      <c r="E283" s="5" t="s">
        <v>166</v>
      </c>
      <c r="F283" s="5" t="s">
        <v>160</v>
      </c>
      <c r="G283" s="5" t="s">
        <v>168</v>
      </c>
      <c r="H283" s="10">
        <v>36.35528045904875</v>
      </c>
      <c r="I283" s="10">
        <v>254.97973884281112</v>
      </c>
      <c r="J283" s="325">
        <v>291.33501930185986</v>
      </c>
      <c r="K283" s="10">
        <v>11.561664945765907</v>
      </c>
      <c r="L283" s="10">
        <v>8.7011841609568794</v>
      </c>
      <c r="M283" s="325">
        <v>20.262849106722786</v>
      </c>
      <c r="N283" s="10">
        <v>9.240671879412794</v>
      </c>
      <c r="O283" s="10">
        <v>52.724703475276499</v>
      </c>
      <c r="P283" s="10">
        <v>6.5908586607767115</v>
      </c>
      <c r="Q283" s="10">
        <v>4.6658315954096272</v>
      </c>
      <c r="R283" s="10">
        <v>15.596639302418776</v>
      </c>
      <c r="S283" s="10">
        <v>37.301888422415693</v>
      </c>
      <c r="T283" s="10">
        <v>31.505547651907175</v>
      </c>
      <c r="U283" s="10">
        <v>5.5937729592714147</v>
      </c>
      <c r="V283" s="325">
        <v>163.21991394688868</v>
      </c>
      <c r="W283" s="325">
        <v>474.81778235547131</v>
      </c>
      <c r="X283" s="10">
        <v>47.173337418794972</v>
      </c>
      <c r="Y283" s="320">
        <v>521.99111977426628</v>
      </c>
    </row>
    <row r="284" spans="1:25" x14ac:dyDescent="0.2">
      <c r="A284" s="7">
        <v>2017</v>
      </c>
      <c r="B284" s="5" t="s">
        <v>466</v>
      </c>
      <c r="C284" s="5" t="s">
        <v>157</v>
      </c>
      <c r="D284" s="5" t="s">
        <v>473</v>
      </c>
      <c r="E284" s="5" t="s">
        <v>169</v>
      </c>
      <c r="F284" s="5" t="s">
        <v>160</v>
      </c>
      <c r="G284" s="5" t="s">
        <v>170</v>
      </c>
      <c r="H284" s="10">
        <v>28.369080473933</v>
      </c>
      <c r="I284" s="10">
        <v>12.350174219166188</v>
      </c>
      <c r="J284" s="325">
        <v>40.719254693099188</v>
      </c>
      <c r="K284" s="10">
        <v>4.0649444322722532</v>
      </c>
      <c r="L284" s="10">
        <v>13.438683130411651</v>
      </c>
      <c r="M284" s="325">
        <v>17.503627562683903</v>
      </c>
      <c r="N284" s="10">
        <v>8.4412068269365186</v>
      </c>
      <c r="O284" s="10">
        <v>24.889634318509192</v>
      </c>
      <c r="P284" s="10">
        <v>8.4498671157488374</v>
      </c>
      <c r="Q284" s="10">
        <v>6.4932773734320302</v>
      </c>
      <c r="R284" s="10">
        <v>16.988107606658172</v>
      </c>
      <c r="S284" s="10">
        <v>17.610427696272048</v>
      </c>
      <c r="T284" s="10">
        <v>27.574464001001246</v>
      </c>
      <c r="U284" s="10">
        <v>7.448990591777525</v>
      </c>
      <c r="V284" s="325">
        <v>117.89597553033558</v>
      </c>
      <c r="W284" s="325">
        <v>176.11885778611867</v>
      </c>
      <c r="X284" s="10">
        <v>17.44738847691902</v>
      </c>
      <c r="Y284" s="320">
        <v>193.5662462630377</v>
      </c>
    </row>
    <row r="285" spans="1:25" x14ac:dyDescent="0.2">
      <c r="A285" s="7">
        <v>2017</v>
      </c>
      <c r="B285" s="5" t="s">
        <v>466</v>
      </c>
      <c r="C285" s="5" t="s">
        <v>157</v>
      </c>
      <c r="D285" s="5" t="s">
        <v>473</v>
      </c>
      <c r="E285" s="5" t="s">
        <v>171</v>
      </c>
      <c r="F285" s="5" t="s">
        <v>160</v>
      </c>
      <c r="G285" s="5" t="s">
        <v>172</v>
      </c>
      <c r="H285" s="10">
        <v>58.496444460399815</v>
      </c>
      <c r="I285" s="10">
        <v>0.3116254791358038</v>
      </c>
      <c r="J285" s="325">
        <v>58.808069939535621</v>
      </c>
      <c r="K285" s="10">
        <v>7.5767645994214607</v>
      </c>
      <c r="L285" s="10">
        <v>7.4025255338200422</v>
      </c>
      <c r="M285" s="325">
        <v>14.979290133241502</v>
      </c>
      <c r="N285" s="10">
        <v>4.7573646540574854</v>
      </c>
      <c r="O285" s="10">
        <v>20.765422858613096</v>
      </c>
      <c r="P285" s="10">
        <v>3.2922526595595243</v>
      </c>
      <c r="Q285" s="10">
        <v>2.5030370760142717</v>
      </c>
      <c r="R285" s="10">
        <v>9.3111340763806005</v>
      </c>
      <c r="S285" s="10">
        <v>10.395664692193838</v>
      </c>
      <c r="T285" s="10">
        <v>17.606015618842662</v>
      </c>
      <c r="U285" s="10">
        <v>3.4635602884808372</v>
      </c>
      <c r="V285" s="325">
        <v>72.094451924142305</v>
      </c>
      <c r="W285" s="325">
        <v>145.88181199691942</v>
      </c>
      <c r="X285" s="10">
        <v>14.552113453572311</v>
      </c>
      <c r="Y285" s="320">
        <v>160.43392545049173</v>
      </c>
    </row>
    <row r="286" spans="1:25" x14ac:dyDescent="0.2">
      <c r="A286" s="7">
        <v>2017</v>
      </c>
      <c r="B286" s="5" t="s">
        <v>466</v>
      </c>
      <c r="C286" s="5" t="s">
        <v>157</v>
      </c>
      <c r="D286" s="5" t="s">
        <v>477</v>
      </c>
      <c r="E286" s="5" t="s">
        <v>173</v>
      </c>
      <c r="F286" s="5" t="s">
        <v>160</v>
      </c>
      <c r="G286" s="5" t="s">
        <v>174</v>
      </c>
      <c r="H286" s="10">
        <v>12.858413278002839</v>
      </c>
      <c r="I286" s="10">
        <v>218.80404834302254</v>
      </c>
      <c r="J286" s="325">
        <v>231.66246162102539</v>
      </c>
      <c r="K286" s="10">
        <v>25.335713872600461</v>
      </c>
      <c r="L286" s="10">
        <v>4.2150793929603374</v>
      </c>
      <c r="M286" s="325">
        <v>29.550793265560799</v>
      </c>
      <c r="N286" s="10">
        <v>21.077083320314888</v>
      </c>
      <c r="O286" s="10">
        <v>81.768993241737732</v>
      </c>
      <c r="P286" s="10">
        <v>8.9901132010633127</v>
      </c>
      <c r="Q286" s="10">
        <v>8.3352068375043746</v>
      </c>
      <c r="R286" s="10">
        <v>35.783330813622676</v>
      </c>
      <c r="S286" s="10">
        <v>49.118423836666139</v>
      </c>
      <c r="T286" s="10">
        <v>47.935724790807711</v>
      </c>
      <c r="U286" s="10">
        <v>9.8550191253954988</v>
      </c>
      <c r="V286" s="325">
        <v>262.86389516711233</v>
      </c>
      <c r="W286" s="325">
        <v>524.07715005369846</v>
      </c>
      <c r="X286" s="10">
        <v>52.022971484982349</v>
      </c>
      <c r="Y286" s="320">
        <v>576.10012153868081</v>
      </c>
    </row>
    <row r="287" spans="1:25" x14ac:dyDescent="0.2">
      <c r="A287" s="7">
        <v>2017</v>
      </c>
      <c r="B287" s="5" t="s">
        <v>466</v>
      </c>
      <c r="C287" s="5" t="s">
        <v>157</v>
      </c>
      <c r="D287" s="5" t="s">
        <v>475</v>
      </c>
      <c r="E287" s="5" t="s">
        <v>175</v>
      </c>
      <c r="F287" s="5" t="s">
        <v>160</v>
      </c>
      <c r="G287" s="5" t="s">
        <v>176</v>
      </c>
      <c r="H287" s="10">
        <v>14.894028469947088</v>
      </c>
      <c r="I287" s="10">
        <v>5.1277157714911787</v>
      </c>
      <c r="J287" s="325">
        <v>20.021744241438267</v>
      </c>
      <c r="K287" s="10">
        <v>1.135991470573799</v>
      </c>
      <c r="L287" s="10">
        <v>9.5871458233645601</v>
      </c>
      <c r="M287" s="325">
        <v>10.723137293938359</v>
      </c>
      <c r="N287" s="10">
        <v>3.1326136534973479</v>
      </c>
      <c r="O287" s="10">
        <v>23.367874470565301</v>
      </c>
      <c r="P287" s="10">
        <v>9.6585195227782581</v>
      </c>
      <c r="Q287" s="10">
        <v>3.4035465481258216</v>
      </c>
      <c r="R287" s="10">
        <v>6.4479729952971097</v>
      </c>
      <c r="S287" s="10">
        <v>10.501407089085731</v>
      </c>
      <c r="T287" s="10">
        <v>21.162642961605787</v>
      </c>
      <c r="U287" s="10">
        <v>2.8933885459625679</v>
      </c>
      <c r="V287" s="325">
        <v>80.567965786917924</v>
      </c>
      <c r="W287" s="325">
        <v>111.31284732229456</v>
      </c>
      <c r="X287" s="10">
        <v>11.074047478090288</v>
      </c>
      <c r="Y287" s="320">
        <v>122.38689480038485</v>
      </c>
    </row>
    <row r="288" spans="1:25" x14ac:dyDescent="0.2">
      <c r="A288" s="7">
        <v>2017</v>
      </c>
      <c r="B288" s="5" t="s">
        <v>466</v>
      </c>
      <c r="C288" s="5" t="s">
        <v>157</v>
      </c>
      <c r="D288" s="5" t="s">
        <v>475</v>
      </c>
      <c r="E288" s="5" t="s">
        <v>177</v>
      </c>
      <c r="F288" s="5" t="s">
        <v>160</v>
      </c>
      <c r="G288" s="5" t="s">
        <v>178</v>
      </c>
      <c r="H288" s="10">
        <v>8.8787280692117907</v>
      </c>
      <c r="I288" s="10">
        <v>0.59897521984967483</v>
      </c>
      <c r="J288" s="325">
        <v>9.4777032890614663</v>
      </c>
      <c r="K288" s="10">
        <v>2.4068912751735052</v>
      </c>
      <c r="L288" s="10">
        <v>2.903408466009199</v>
      </c>
      <c r="M288" s="325">
        <v>5.3102997411827042</v>
      </c>
      <c r="N288" s="10">
        <v>1.8762680272815571</v>
      </c>
      <c r="O288" s="10">
        <v>12.020756019778364</v>
      </c>
      <c r="P288" s="10">
        <v>4.4463683843713158</v>
      </c>
      <c r="Q288" s="10">
        <v>1.5291787954349796</v>
      </c>
      <c r="R288" s="10">
        <v>3.9656416849305081</v>
      </c>
      <c r="S288" s="10">
        <v>5.7917229893117632</v>
      </c>
      <c r="T288" s="10">
        <v>11.277387714090406</v>
      </c>
      <c r="U288" s="10">
        <v>2.2729525304379203</v>
      </c>
      <c r="V288" s="325">
        <v>43.18027614563681</v>
      </c>
      <c r="W288" s="325">
        <v>57.96827917588098</v>
      </c>
      <c r="X288" s="10">
        <v>5.7714720871071412</v>
      </c>
      <c r="Y288" s="320">
        <v>63.739751262988122</v>
      </c>
    </row>
    <row r="289" spans="1:25" x14ac:dyDescent="0.2">
      <c r="A289" s="7">
        <v>2017</v>
      </c>
      <c r="B289" s="5" t="s">
        <v>466</v>
      </c>
      <c r="C289" s="5" t="s">
        <v>157</v>
      </c>
      <c r="D289" s="5" t="s">
        <v>475</v>
      </c>
      <c r="E289" s="5" t="s">
        <v>179</v>
      </c>
      <c r="F289" s="5" t="s">
        <v>160</v>
      </c>
      <c r="G289" s="5" t="s">
        <v>180</v>
      </c>
      <c r="H289" s="10">
        <v>36.086181640503796</v>
      </c>
      <c r="I289" s="10">
        <v>0</v>
      </c>
      <c r="J289" s="325">
        <v>36.086181640503796</v>
      </c>
      <c r="K289" s="10">
        <v>5.3551560062411152</v>
      </c>
      <c r="L289" s="10">
        <v>16.813191289951366</v>
      </c>
      <c r="M289" s="325">
        <v>22.168347296192479</v>
      </c>
      <c r="N289" s="10">
        <v>3.6737338161971773</v>
      </c>
      <c r="O289" s="10">
        <v>38.154589731205945</v>
      </c>
      <c r="P289" s="10">
        <v>4.7779564138818085</v>
      </c>
      <c r="Q289" s="10">
        <v>3.9605018916813455</v>
      </c>
      <c r="R289" s="10">
        <v>9.8149957999630075</v>
      </c>
      <c r="S289" s="10">
        <v>16.176078894742904</v>
      </c>
      <c r="T289" s="10">
        <v>41.741563139403873</v>
      </c>
      <c r="U289" s="10">
        <v>4.0265399871282153</v>
      </c>
      <c r="V289" s="325">
        <v>122.32595967420428</v>
      </c>
      <c r="W289" s="325">
        <v>180.58048861090055</v>
      </c>
      <c r="X289" s="10">
        <v>17.956469987262953</v>
      </c>
      <c r="Y289" s="320">
        <v>198.53695859816349</v>
      </c>
    </row>
    <row r="290" spans="1:25" x14ac:dyDescent="0.2">
      <c r="A290" s="7">
        <v>2017</v>
      </c>
      <c r="B290" s="5" t="s">
        <v>466</v>
      </c>
      <c r="C290" s="5" t="s">
        <v>181</v>
      </c>
      <c r="D290" s="5" t="s">
        <v>478</v>
      </c>
      <c r="E290" s="5" t="s">
        <v>183</v>
      </c>
      <c r="F290" s="5" t="s">
        <v>184</v>
      </c>
      <c r="G290" s="5" t="s">
        <v>185</v>
      </c>
      <c r="H290" s="10">
        <v>31.0378397600279</v>
      </c>
      <c r="I290" s="10">
        <v>0</v>
      </c>
      <c r="J290" s="325">
        <v>31.0378397600279</v>
      </c>
      <c r="K290" s="10">
        <v>5.0970484127654858</v>
      </c>
      <c r="L290" s="10">
        <v>13.074285740310163</v>
      </c>
      <c r="M290" s="325">
        <v>18.171334153075648</v>
      </c>
      <c r="N290" s="10">
        <v>2.8906354077007945</v>
      </c>
      <c r="O290" s="10">
        <v>17.788347649678368</v>
      </c>
      <c r="P290" s="10">
        <v>3.8867257360480978</v>
      </c>
      <c r="Q290" s="10">
        <v>2.9920248423748266</v>
      </c>
      <c r="R290" s="10">
        <v>7.1967795995082522</v>
      </c>
      <c r="S290" s="10">
        <v>9.2957685049307432</v>
      </c>
      <c r="T290" s="10">
        <v>21.98179758342831</v>
      </c>
      <c r="U290" s="10">
        <v>3.1390361290627147</v>
      </c>
      <c r="V290" s="325">
        <v>69.17111545273211</v>
      </c>
      <c r="W290" s="325">
        <v>118.38028936583567</v>
      </c>
      <c r="X290" s="10">
        <v>11.721852946491426</v>
      </c>
      <c r="Y290" s="320">
        <v>130.10214231232709</v>
      </c>
    </row>
    <row r="291" spans="1:25" x14ac:dyDescent="0.2">
      <c r="A291" s="7">
        <v>2017</v>
      </c>
      <c r="B291" s="5" t="s">
        <v>466</v>
      </c>
      <c r="C291" s="5" t="s">
        <v>181</v>
      </c>
      <c r="D291" s="5" t="s">
        <v>479</v>
      </c>
      <c r="E291" s="5" t="s">
        <v>186</v>
      </c>
      <c r="F291" s="5" t="s">
        <v>184</v>
      </c>
      <c r="G291" s="5" t="s">
        <v>187</v>
      </c>
      <c r="H291" s="10">
        <v>13.388276913435718</v>
      </c>
      <c r="I291" s="10">
        <v>0</v>
      </c>
      <c r="J291" s="325">
        <v>13.388276913435718</v>
      </c>
      <c r="K291" s="10">
        <v>4.2032990720407746</v>
      </c>
      <c r="L291" s="10">
        <v>1.5731443021357103</v>
      </c>
      <c r="M291" s="325">
        <v>5.7764433741764849</v>
      </c>
      <c r="N291" s="10">
        <v>2.4818966725106879</v>
      </c>
      <c r="O291" s="10">
        <v>12.55726636963497</v>
      </c>
      <c r="P291" s="10">
        <v>2.5679555028660266</v>
      </c>
      <c r="Q291" s="10">
        <v>1.1667064647106686</v>
      </c>
      <c r="R291" s="10">
        <v>6.4255952201644151</v>
      </c>
      <c r="S291" s="10">
        <v>5.4538290912071519</v>
      </c>
      <c r="T291" s="10">
        <v>10.106035578429646</v>
      </c>
      <c r="U291" s="10">
        <v>1.7079446144264419</v>
      </c>
      <c r="V291" s="325">
        <v>42.467229513950009</v>
      </c>
      <c r="W291" s="325">
        <v>61.631949801562214</v>
      </c>
      <c r="X291" s="10">
        <v>6.1411521621992113</v>
      </c>
      <c r="Y291" s="320">
        <v>67.77310196376142</v>
      </c>
    </row>
    <row r="292" spans="1:25" x14ac:dyDescent="0.2">
      <c r="A292" s="7">
        <v>2017</v>
      </c>
      <c r="B292" s="5" t="s">
        <v>466</v>
      </c>
      <c r="C292" s="5" t="s">
        <v>181</v>
      </c>
      <c r="D292" s="5" t="s">
        <v>478</v>
      </c>
      <c r="E292" s="5" t="s">
        <v>188</v>
      </c>
      <c r="F292" s="5" t="s">
        <v>184</v>
      </c>
      <c r="G292" s="5" t="s">
        <v>189</v>
      </c>
      <c r="H292" s="10">
        <v>10.729565488612881</v>
      </c>
      <c r="I292" s="10">
        <v>6.7261422712735008</v>
      </c>
      <c r="J292" s="325">
        <v>17.45570775988638</v>
      </c>
      <c r="K292" s="10">
        <v>0.38996842908016927</v>
      </c>
      <c r="L292" s="10">
        <v>4.9335941456022416</v>
      </c>
      <c r="M292" s="325">
        <v>5.3235625746824109</v>
      </c>
      <c r="N292" s="10">
        <v>1.8993183294079552</v>
      </c>
      <c r="O292" s="10">
        <v>5.8325369360662584</v>
      </c>
      <c r="P292" s="10">
        <v>2.6893936930758708</v>
      </c>
      <c r="Q292" s="10">
        <v>1.7415946495539365</v>
      </c>
      <c r="R292" s="10">
        <v>4.0504947928411852</v>
      </c>
      <c r="S292" s="10">
        <v>6.8980841256202687</v>
      </c>
      <c r="T292" s="10">
        <v>16.879927160860401</v>
      </c>
      <c r="U292" s="10">
        <v>2.4898413979698426</v>
      </c>
      <c r="V292" s="325">
        <v>42.481191085395714</v>
      </c>
      <c r="W292" s="325">
        <v>65.260461419964514</v>
      </c>
      <c r="X292" s="10">
        <v>6.4737783412751799</v>
      </c>
      <c r="Y292" s="320">
        <v>71.734239761239692</v>
      </c>
    </row>
    <row r="293" spans="1:25" x14ac:dyDescent="0.2">
      <c r="A293" s="7">
        <v>2017</v>
      </c>
      <c r="B293" s="5" t="s">
        <v>466</v>
      </c>
      <c r="C293" s="5" t="s">
        <v>181</v>
      </c>
      <c r="D293" s="5" t="s">
        <v>478</v>
      </c>
      <c r="E293" s="5" t="s">
        <v>190</v>
      </c>
      <c r="F293" s="5" t="s">
        <v>184</v>
      </c>
      <c r="G293" s="5" t="s">
        <v>191</v>
      </c>
      <c r="H293" s="10">
        <v>5.7604756878108825</v>
      </c>
      <c r="I293" s="10">
        <v>0</v>
      </c>
      <c r="J293" s="325">
        <v>5.7604756878108825</v>
      </c>
      <c r="K293" s="10">
        <v>3.8616248659218204</v>
      </c>
      <c r="L293" s="10">
        <v>2.0402512371041279</v>
      </c>
      <c r="M293" s="325">
        <v>5.9018761030259483</v>
      </c>
      <c r="N293" s="10">
        <v>2.9688752503111688</v>
      </c>
      <c r="O293" s="10">
        <v>9.8408430800821201</v>
      </c>
      <c r="P293" s="10">
        <v>2.7042765929610151</v>
      </c>
      <c r="Q293" s="10">
        <v>2.1345699240091962</v>
      </c>
      <c r="R293" s="10">
        <v>4.271780521897651</v>
      </c>
      <c r="S293" s="10">
        <v>6.6013755994346806</v>
      </c>
      <c r="T293" s="10">
        <v>16.015607591278133</v>
      </c>
      <c r="U293" s="10">
        <v>2.0157461050736782</v>
      </c>
      <c r="V293" s="325">
        <v>46.553074665047646</v>
      </c>
      <c r="W293" s="325">
        <v>58.215426455884476</v>
      </c>
      <c r="X293" s="10">
        <v>5.776391175909307</v>
      </c>
      <c r="Y293" s="320">
        <v>63.991817631793779</v>
      </c>
    </row>
    <row r="294" spans="1:25" x14ac:dyDescent="0.2">
      <c r="A294" s="7">
        <v>2017</v>
      </c>
      <c r="B294" s="5" t="s">
        <v>466</v>
      </c>
      <c r="C294" s="5" t="s">
        <v>181</v>
      </c>
      <c r="D294" s="5" t="s">
        <v>476</v>
      </c>
      <c r="E294" s="5" t="s">
        <v>192</v>
      </c>
      <c r="F294" s="5" t="s">
        <v>184</v>
      </c>
      <c r="G294" s="5" t="s">
        <v>193</v>
      </c>
      <c r="H294" s="10">
        <v>4.8629508452244297</v>
      </c>
      <c r="I294" s="10">
        <v>0</v>
      </c>
      <c r="J294" s="325">
        <v>4.8629508452244297</v>
      </c>
      <c r="K294" s="10">
        <v>0.39927333868647102</v>
      </c>
      <c r="L294" s="10">
        <v>2.9221151910419629</v>
      </c>
      <c r="M294" s="325">
        <v>3.3213885297284338</v>
      </c>
      <c r="N294" s="10">
        <v>19.404892058943478</v>
      </c>
      <c r="O294" s="10">
        <v>1.3029987041478119</v>
      </c>
      <c r="P294" s="10">
        <v>0.35498466419484787</v>
      </c>
      <c r="Q294" s="10">
        <v>0.14410876858672461</v>
      </c>
      <c r="R294" s="10">
        <v>0.87433834327997439</v>
      </c>
      <c r="S294" s="10">
        <v>2.1411507409689978</v>
      </c>
      <c r="T294" s="10">
        <v>2.333575412635752</v>
      </c>
      <c r="U294" s="10">
        <v>0.42308482493613869</v>
      </c>
      <c r="V294" s="325">
        <v>26.979133517693725</v>
      </c>
      <c r="W294" s="325">
        <v>35.163472892646588</v>
      </c>
      <c r="X294" s="10">
        <v>3.5199518948736523</v>
      </c>
      <c r="Y294" s="320">
        <v>38.683424787520238</v>
      </c>
    </row>
    <row r="295" spans="1:25" x14ac:dyDescent="0.2">
      <c r="A295" s="7">
        <v>2017</v>
      </c>
      <c r="B295" s="5" t="s">
        <v>466</v>
      </c>
      <c r="C295" s="5" t="s">
        <v>181</v>
      </c>
      <c r="D295" s="5" t="s">
        <v>479</v>
      </c>
      <c r="E295" s="5" t="s">
        <v>194</v>
      </c>
      <c r="F295" s="5" t="s">
        <v>184</v>
      </c>
      <c r="G295" s="5" t="s">
        <v>195</v>
      </c>
      <c r="H295" s="10">
        <v>134.8818274540188</v>
      </c>
      <c r="I295" s="10">
        <v>0.69563510153782893</v>
      </c>
      <c r="J295" s="325">
        <v>135.57746255555662</v>
      </c>
      <c r="K295" s="10">
        <v>37.521125988660977</v>
      </c>
      <c r="L295" s="10">
        <v>7.2324912701714386</v>
      </c>
      <c r="M295" s="325">
        <v>44.753617258832413</v>
      </c>
      <c r="N295" s="10">
        <v>23.623222922085809</v>
      </c>
      <c r="O295" s="10">
        <v>47.93785274654158</v>
      </c>
      <c r="P295" s="10">
        <v>5.6273821358098326</v>
      </c>
      <c r="Q295" s="10">
        <v>10.619646010940942</v>
      </c>
      <c r="R295" s="10">
        <v>20.587437778683409</v>
      </c>
      <c r="S295" s="10">
        <v>25.273881327707233</v>
      </c>
      <c r="T295" s="10">
        <v>25.04591019690459</v>
      </c>
      <c r="U295" s="10">
        <v>7.5525781048401122</v>
      </c>
      <c r="V295" s="325">
        <v>166.26791122351352</v>
      </c>
      <c r="W295" s="325">
        <v>346.59899103790258</v>
      </c>
      <c r="X295" s="10">
        <v>34.471851206929472</v>
      </c>
      <c r="Y295" s="320">
        <v>381.07084224483208</v>
      </c>
    </row>
    <row r="296" spans="1:25" x14ac:dyDescent="0.2">
      <c r="A296" s="7">
        <v>2017</v>
      </c>
      <c r="B296" s="5" t="s">
        <v>466</v>
      </c>
      <c r="C296" s="5" t="s">
        <v>181</v>
      </c>
      <c r="D296" s="5" t="s">
        <v>479</v>
      </c>
      <c r="E296" s="5" t="s">
        <v>196</v>
      </c>
      <c r="F296" s="5" t="s">
        <v>184</v>
      </c>
      <c r="G296" s="5" t="s">
        <v>197</v>
      </c>
      <c r="H296" s="10">
        <v>40.944077124795456</v>
      </c>
      <c r="I296" s="10">
        <v>0</v>
      </c>
      <c r="J296" s="325">
        <v>40.944077124795456</v>
      </c>
      <c r="K296" s="10">
        <v>126.45496572534456</v>
      </c>
      <c r="L296" s="10">
        <v>52.917414649457328</v>
      </c>
      <c r="M296" s="325">
        <v>179.37238037480188</v>
      </c>
      <c r="N296" s="10">
        <v>5.7505876299147243</v>
      </c>
      <c r="O296" s="10">
        <v>31.182895811412781</v>
      </c>
      <c r="P296" s="10">
        <v>2.7860015317271971</v>
      </c>
      <c r="Q296" s="10">
        <v>4.1755295425600982</v>
      </c>
      <c r="R296" s="10">
        <v>9.8553245281841271</v>
      </c>
      <c r="S296" s="10">
        <v>18.350006928799662</v>
      </c>
      <c r="T296" s="10">
        <v>11.251815751847699</v>
      </c>
      <c r="U296" s="10">
        <v>4.5506064159878443</v>
      </c>
      <c r="V296" s="325">
        <v>87.902768140434134</v>
      </c>
      <c r="W296" s="325">
        <v>308.21922564003148</v>
      </c>
      <c r="X296" s="10">
        <v>29.267723147563437</v>
      </c>
      <c r="Y296" s="320">
        <v>337.48694878759494</v>
      </c>
    </row>
    <row r="297" spans="1:25" x14ac:dyDescent="0.2">
      <c r="A297" s="7">
        <v>2017</v>
      </c>
      <c r="B297" s="5" t="s">
        <v>466</v>
      </c>
      <c r="C297" s="5" t="s">
        <v>181</v>
      </c>
      <c r="D297" s="5" t="s">
        <v>476</v>
      </c>
      <c r="E297" s="5" t="s">
        <v>198</v>
      </c>
      <c r="F297" s="5" t="s">
        <v>184</v>
      </c>
      <c r="G297" s="5" t="s">
        <v>199</v>
      </c>
      <c r="H297" s="10">
        <v>17.748928774495251</v>
      </c>
      <c r="I297" s="10">
        <v>0.14630178752341899</v>
      </c>
      <c r="J297" s="325">
        <v>17.895230562018671</v>
      </c>
      <c r="K297" s="10">
        <v>13.724786161003507</v>
      </c>
      <c r="L297" s="10">
        <v>10.959633913717493</v>
      </c>
      <c r="M297" s="325">
        <v>24.684420074721</v>
      </c>
      <c r="N297" s="10">
        <v>16.873183046914654</v>
      </c>
      <c r="O297" s="10">
        <v>52.958171902628813</v>
      </c>
      <c r="P297" s="10">
        <v>24.980491842048643</v>
      </c>
      <c r="Q297" s="10">
        <v>5.907580918394002</v>
      </c>
      <c r="R297" s="10">
        <v>24.914858405928772</v>
      </c>
      <c r="S297" s="10">
        <v>34.74254401601754</v>
      </c>
      <c r="T297" s="10">
        <v>43.411565252623532</v>
      </c>
      <c r="U297" s="10">
        <v>10.951442258888692</v>
      </c>
      <c r="V297" s="325">
        <v>214.73983764344464</v>
      </c>
      <c r="W297" s="325">
        <v>257.31948828018432</v>
      </c>
      <c r="X297" s="10">
        <v>25.567313816898388</v>
      </c>
      <c r="Y297" s="320">
        <v>282.88680209708269</v>
      </c>
    </row>
    <row r="298" spans="1:25" x14ac:dyDescent="0.2">
      <c r="A298" s="7">
        <v>2017</v>
      </c>
      <c r="B298" s="5" t="s">
        <v>466</v>
      </c>
      <c r="C298" s="5" t="s">
        <v>181</v>
      </c>
      <c r="D298" s="5" t="s">
        <v>476</v>
      </c>
      <c r="E298" s="5" t="s">
        <v>200</v>
      </c>
      <c r="F298" s="5" t="s">
        <v>184</v>
      </c>
      <c r="G298" s="5" t="s">
        <v>201</v>
      </c>
      <c r="H298" s="10">
        <v>6.3813605859944866</v>
      </c>
      <c r="I298" s="10">
        <v>0</v>
      </c>
      <c r="J298" s="325">
        <v>6.3813605859944866</v>
      </c>
      <c r="K298" s="10">
        <v>1.2745737606310827</v>
      </c>
      <c r="L298" s="10">
        <v>4.0575081274129499</v>
      </c>
      <c r="M298" s="325">
        <v>5.3320818880440326</v>
      </c>
      <c r="N298" s="10">
        <v>24.90604715512492</v>
      </c>
      <c r="O298" s="10">
        <v>2.7188719884497705</v>
      </c>
      <c r="P298" s="10">
        <v>0.86069460683833432</v>
      </c>
      <c r="Q298" s="10">
        <v>0.68778805772887452</v>
      </c>
      <c r="R298" s="10">
        <v>1.3416280994166445</v>
      </c>
      <c r="S298" s="10">
        <v>3.3450169270539383</v>
      </c>
      <c r="T298" s="10">
        <v>4.4579083877011296</v>
      </c>
      <c r="U298" s="10">
        <v>0.94057456748431423</v>
      </c>
      <c r="V298" s="325">
        <v>39.258529789797926</v>
      </c>
      <c r="W298" s="325">
        <v>50.971972263836442</v>
      </c>
      <c r="X298" s="10">
        <v>5.0900305436509603</v>
      </c>
      <c r="Y298" s="320">
        <v>56.062002807487403</v>
      </c>
    </row>
    <row r="299" spans="1:25" x14ac:dyDescent="0.2">
      <c r="A299" s="7">
        <v>2017</v>
      </c>
      <c r="B299" s="5" t="s">
        <v>466</v>
      </c>
      <c r="C299" s="5" t="s">
        <v>181</v>
      </c>
      <c r="D299" s="5" t="s">
        <v>480</v>
      </c>
      <c r="E299" s="5" t="s">
        <v>202</v>
      </c>
      <c r="F299" s="5" t="s">
        <v>184</v>
      </c>
      <c r="G299" s="5" t="s">
        <v>203</v>
      </c>
      <c r="H299" s="10">
        <v>36.745650521467518</v>
      </c>
      <c r="I299" s="10">
        <v>6.6054959475820398</v>
      </c>
      <c r="J299" s="325">
        <v>43.35114646904956</v>
      </c>
      <c r="K299" s="10">
        <v>8.8268259495008881</v>
      </c>
      <c r="L299" s="10">
        <v>9.9969094078794001</v>
      </c>
      <c r="M299" s="325">
        <v>18.823735357380286</v>
      </c>
      <c r="N299" s="10">
        <v>9.6369402718343835</v>
      </c>
      <c r="O299" s="10">
        <v>23.418783872088017</v>
      </c>
      <c r="P299" s="10">
        <v>13.138436849112301</v>
      </c>
      <c r="Q299" s="10">
        <v>7.5792138690564101</v>
      </c>
      <c r="R299" s="10">
        <v>17.631785286375667</v>
      </c>
      <c r="S299" s="10">
        <v>19.292736298835266</v>
      </c>
      <c r="T299" s="10">
        <v>42.332163363065476</v>
      </c>
      <c r="U299" s="10">
        <v>5.5566624996138634</v>
      </c>
      <c r="V299" s="325">
        <v>138.58672230998138</v>
      </c>
      <c r="W299" s="325">
        <v>200.76160413641122</v>
      </c>
      <c r="X299" s="10">
        <v>19.917367402813969</v>
      </c>
      <c r="Y299" s="320">
        <v>220.67897153922519</v>
      </c>
    </row>
    <row r="300" spans="1:25" x14ac:dyDescent="0.2">
      <c r="A300" s="7">
        <v>2017</v>
      </c>
      <c r="B300" s="5" t="s">
        <v>466</v>
      </c>
      <c r="C300" s="5" t="s">
        <v>181</v>
      </c>
      <c r="D300" s="5" t="s">
        <v>480</v>
      </c>
      <c r="E300" s="5" t="s">
        <v>204</v>
      </c>
      <c r="F300" s="5" t="s">
        <v>184</v>
      </c>
      <c r="G300" s="5" t="s">
        <v>205</v>
      </c>
      <c r="H300" s="10">
        <v>2.1899078632649145</v>
      </c>
      <c r="I300" s="10">
        <v>0</v>
      </c>
      <c r="J300" s="325">
        <v>2.1899078632649145</v>
      </c>
      <c r="K300" s="10">
        <v>0.71844021749717069</v>
      </c>
      <c r="L300" s="10">
        <v>3.6996928242477578</v>
      </c>
      <c r="M300" s="325">
        <v>4.4181330417449285</v>
      </c>
      <c r="N300" s="10">
        <v>1.59350486636694</v>
      </c>
      <c r="O300" s="10">
        <v>5.9732349666515923</v>
      </c>
      <c r="P300" s="10">
        <v>3.5659382473462573</v>
      </c>
      <c r="Q300" s="10">
        <v>1.4154530165272112</v>
      </c>
      <c r="R300" s="10">
        <v>7.6897342470441226</v>
      </c>
      <c r="S300" s="10">
        <v>4.9770306772896218</v>
      </c>
      <c r="T300" s="10">
        <v>12.700076128769272</v>
      </c>
      <c r="U300" s="10">
        <v>2.831382757241228</v>
      </c>
      <c r="V300" s="325">
        <v>40.746354907236253</v>
      </c>
      <c r="W300" s="325">
        <v>47.354395812246096</v>
      </c>
      <c r="X300" s="10">
        <v>4.6788830192781941</v>
      </c>
      <c r="Y300" s="320">
        <v>52.033278831524292</v>
      </c>
    </row>
    <row r="301" spans="1:25" x14ac:dyDescent="0.2">
      <c r="A301" s="7">
        <v>2017</v>
      </c>
      <c r="B301" s="5" t="s">
        <v>466</v>
      </c>
      <c r="C301" s="5" t="s">
        <v>181</v>
      </c>
      <c r="D301" s="5" t="s">
        <v>479</v>
      </c>
      <c r="E301" s="5" t="s">
        <v>206</v>
      </c>
      <c r="F301" s="5" t="s">
        <v>184</v>
      </c>
      <c r="G301" s="5" t="s">
        <v>207</v>
      </c>
      <c r="H301" s="10">
        <v>4.2661491237260876</v>
      </c>
      <c r="I301" s="10">
        <v>0</v>
      </c>
      <c r="J301" s="325">
        <v>4.2661491237260876</v>
      </c>
      <c r="K301" s="10">
        <v>1.6505379401461853</v>
      </c>
      <c r="L301" s="10">
        <v>1.3736385110851714</v>
      </c>
      <c r="M301" s="325">
        <v>3.0241764512313569</v>
      </c>
      <c r="N301" s="10">
        <v>1.9098196099351965</v>
      </c>
      <c r="O301" s="10">
        <v>5.8126418820826844</v>
      </c>
      <c r="P301" s="10">
        <v>1.2855902827407553</v>
      </c>
      <c r="Q301" s="10">
        <v>0.94547974096833431</v>
      </c>
      <c r="R301" s="10">
        <v>2.8689085194565105</v>
      </c>
      <c r="S301" s="10">
        <v>2.944972882730486</v>
      </c>
      <c r="T301" s="10">
        <v>6.2220722511225244</v>
      </c>
      <c r="U301" s="10">
        <v>1.1864523418942101</v>
      </c>
      <c r="V301" s="325">
        <v>23.175937510930702</v>
      </c>
      <c r="W301" s="325">
        <v>30.466263085888144</v>
      </c>
      <c r="X301" s="10">
        <v>3.0272058975289706</v>
      </c>
      <c r="Y301" s="320">
        <v>33.493468983417117</v>
      </c>
    </row>
    <row r="302" spans="1:25" x14ac:dyDescent="0.2">
      <c r="A302" s="7">
        <v>2017</v>
      </c>
      <c r="B302" s="5" t="s">
        <v>466</v>
      </c>
      <c r="C302" s="5" t="s">
        <v>181</v>
      </c>
      <c r="D302" s="5" t="s">
        <v>479</v>
      </c>
      <c r="E302" s="5" t="s">
        <v>208</v>
      </c>
      <c r="F302" s="5" t="s">
        <v>184</v>
      </c>
      <c r="G302" s="5" t="s">
        <v>209</v>
      </c>
      <c r="H302" s="10">
        <v>49.163927394147656</v>
      </c>
      <c r="I302" s="10">
        <v>0.25448391029668377</v>
      </c>
      <c r="J302" s="325">
        <v>49.418411304444341</v>
      </c>
      <c r="K302" s="10">
        <v>373.79159226267024</v>
      </c>
      <c r="L302" s="10">
        <v>77.173070895379468</v>
      </c>
      <c r="M302" s="325">
        <v>450.96466315804969</v>
      </c>
      <c r="N302" s="10">
        <v>14.66166786387004</v>
      </c>
      <c r="O302" s="10">
        <v>59.771655117450003</v>
      </c>
      <c r="P302" s="10">
        <v>8.0489397545353008</v>
      </c>
      <c r="Q302" s="10">
        <v>9.6983506697278958</v>
      </c>
      <c r="R302" s="10">
        <v>23.325119733988494</v>
      </c>
      <c r="S302" s="10">
        <v>44.934935785035734</v>
      </c>
      <c r="T302" s="10">
        <v>28.468932865390215</v>
      </c>
      <c r="U302" s="10">
        <v>6.0632710583640188</v>
      </c>
      <c r="V302" s="325">
        <v>194.9728728483617</v>
      </c>
      <c r="W302" s="325">
        <v>695.35594731085575</v>
      </c>
      <c r="X302" s="10">
        <v>65.546930551391398</v>
      </c>
      <c r="Y302" s="320">
        <v>760.90287786224712</v>
      </c>
    </row>
    <row r="303" spans="1:25" x14ac:dyDescent="0.2">
      <c r="A303" s="7">
        <v>2017</v>
      </c>
      <c r="B303" s="5" t="s">
        <v>466</v>
      </c>
      <c r="C303" s="5" t="s">
        <v>181</v>
      </c>
      <c r="D303" s="5" t="s">
        <v>479</v>
      </c>
      <c r="E303" s="5" t="s">
        <v>210</v>
      </c>
      <c r="F303" s="5" t="s">
        <v>184</v>
      </c>
      <c r="G303" s="5" t="s">
        <v>211</v>
      </c>
      <c r="H303" s="10">
        <v>284.48376099848372</v>
      </c>
      <c r="I303" s="10">
        <v>11.981568819787565</v>
      </c>
      <c r="J303" s="325">
        <v>296.4653298182713</v>
      </c>
      <c r="K303" s="10">
        <v>212.85958886635672</v>
      </c>
      <c r="L303" s="10">
        <v>47.191277821397676</v>
      </c>
      <c r="M303" s="325">
        <v>260.05086668775436</v>
      </c>
      <c r="N303" s="10">
        <v>29.809893808760027</v>
      </c>
      <c r="O303" s="10">
        <v>91.457629264459342</v>
      </c>
      <c r="P303" s="10">
        <v>12.262706133784919</v>
      </c>
      <c r="Q303" s="10">
        <v>12.321005571605522</v>
      </c>
      <c r="R303" s="10">
        <v>27.802041872196398</v>
      </c>
      <c r="S303" s="10">
        <v>58.536988354153287</v>
      </c>
      <c r="T303" s="10">
        <v>87.265858221927573</v>
      </c>
      <c r="U303" s="10">
        <v>10.100654627751274</v>
      </c>
      <c r="V303" s="325">
        <v>329.55677785463837</v>
      </c>
      <c r="W303" s="325">
        <v>886.07297436066415</v>
      </c>
      <c r="X303" s="10">
        <v>86.773229148702654</v>
      </c>
      <c r="Y303" s="320">
        <v>972.84620350936677</v>
      </c>
    </row>
    <row r="304" spans="1:25" x14ac:dyDescent="0.2">
      <c r="A304" s="7">
        <v>2017</v>
      </c>
      <c r="B304" s="5" t="s">
        <v>466</v>
      </c>
      <c r="C304" s="5" t="s">
        <v>181</v>
      </c>
      <c r="D304" s="5" t="s">
        <v>480</v>
      </c>
      <c r="E304" s="5" t="s">
        <v>212</v>
      </c>
      <c r="F304" s="5" t="s">
        <v>184</v>
      </c>
      <c r="G304" s="5" t="s">
        <v>213</v>
      </c>
      <c r="H304" s="10">
        <v>8.3717570950386602</v>
      </c>
      <c r="I304" s="10">
        <v>0</v>
      </c>
      <c r="J304" s="325">
        <v>8.3717570950386602</v>
      </c>
      <c r="K304" s="10">
        <v>5.2813077610639558</v>
      </c>
      <c r="L304" s="10">
        <v>0.33887682684804127</v>
      </c>
      <c r="M304" s="325">
        <v>5.6201845879119974</v>
      </c>
      <c r="N304" s="10">
        <v>9.5654264543574712</v>
      </c>
      <c r="O304" s="10">
        <v>10.675595106601314</v>
      </c>
      <c r="P304" s="10">
        <v>2.7892017622873273</v>
      </c>
      <c r="Q304" s="10">
        <v>1.3936363127323297</v>
      </c>
      <c r="R304" s="10">
        <v>3.6969839173596779</v>
      </c>
      <c r="S304" s="10">
        <v>5.7409042457409916</v>
      </c>
      <c r="T304" s="10">
        <v>9.1245709964898527</v>
      </c>
      <c r="U304" s="10">
        <v>1.9924323508344546</v>
      </c>
      <c r="V304" s="325">
        <v>44.978751146403418</v>
      </c>
      <c r="W304" s="325">
        <v>58.970692829354078</v>
      </c>
      <c r="X304" s="10">
        <v>5.8787397429361423</v>
      </c>
      <c r="Y304" s="320">
        <v>64.849432572290226</v>
      </c>
    </row>
    <row r="305" spans="1:25" x14ac:dyDescent="0.2">
      <c r="A305" s="7">
        <v>2017</v>
      </c>
      <c r="B305" s="5" t="s">
        <v>466</v>
      </c>
      <c r="C305" s="5" t="s">
        <v>181</v>
      </c>
      <c r="D305" s="5" t="s">
        <v>478</v>
      </c>
      <c r="E305" s="5" t="s">
        <v>214</v>
      </c>
      <c r="F305" s="5" t="s">
        <v>184</v>
      </c>
      <c r="G305" s="5" t="s">
        <v>215</v>
      </c>
      <c r="H305" s="10">
        <v>13.964427433357711</v>
      </c>
      <c r="I305" s="10">
        <v>1.8597238547713859</v>
      </c>
      <c r="J305" s="325">
        <v>15.824151288129098</v>
      </c>
      <c r="K305" s="10">
        <v>3.8212334127180418</v>
      </c>
      <c r="L305" s="10">
        <v>6.3964131831489057</v>
      </c>
      <c r="M305" s="325">
        <v>10.217646595866947</v>
      </c>
      <c r="N305" s="10">
        <v>4.0038265448893888</v>
      </c>
      <c r="O305" s="10">
        <v>35.313743290085775</v>
      </c>
      <c r="P305" s="10">
        <v>3.3291267303677374</v>
      </c>
      <c r="Q305" s="10">
        <v>2.8828524348269635</v>
      </c>
      <c r="R305" s="10">
        <v>6.4452656918675526</v>
      </c>
      <c r="S305" s="10">
        <v>10.7088737522472</v>
      </c>
      <c r="T305" s="10">
        <v>19.85204013393637</v>
      </c>
      <c r="U305" s="10">
        <v>3.0134634036628332</v>
      </c>
      <c r="V305" s="325">
        <v>85.549191981883823</v>
      </c>
      <c r="W305" s="325">
        <v>111.59098986587988</v>
      </c>
      <c r="X305" s="10">
        <v>11.146814912667226</v>
      </c>
      <c r="Y305" s="320">
        <v>122.7378047785471</v>
      </c>
    </row>
    <row r="306" spans="1:25" x14ac:dyDescent="0.2">
      <c r="A306" s="7">
        <v>2017</v>
      </c>
      <c r="B306" s="5" t="s">
        <v>466</v>
      </c>
      <c r="C306" s="5" t="s">
        <v>181</v>
      </c>
      <c r="D306" s="5" t="s">
        <v>478</v>
      </c>
      <c r="E306" s="5" t="s">
        <v>216</v>
      </c>
      <c r="F306" s="5" t="s">
        <v>184</v>
      </c>
      <c r="G306" s="5" t="s">
        <v>217</v>
      </c>
      <c r="H306" s="10">
        <v>40.426703389306375</v>
      </c>
      <c r="I306" s="10">
        <v>0.54092865310787441</v>
      </c>
      <c r="J306" s="325">
        <v>40.967632042414252</v>
      </c>
      <c r="K306" s="10">
        <v>87.487061433033418</v>
      </c>
      <c r="L306" s="10">
        <v>33.719944887948138</v>
      </c>
      <c r="M306" s="325">
        <v>121.20700632098155</v>
      </c>
      <c r="N306" s="10">
        <v>20.144085613654049</v>
      </c>
      <c r="O306" s="10">
        <v>108.30652672733871</v>
      </c>
      <c r="P306" s="10">
        <v>9.1862083505204684</v>
      </c>
      <c r="Q306" s="10">
        <v>15.689926064654369</v>
      </c>
      <c r="R306" s="10">
        <v>31.01931979135643</v>
      </c>
      <c r="S306" s="10">
        <v>44.963437948043016</v>
      </c>
      <c r="T306" s="10">
        <v>74.147163971906537</v>
      </c>
      <c r="U306" s="10">
        <v>12.136999791833686</v>
      </c>
      <c r="V306" s="325">
        <v>315.59366825930726</v>
      </c>
      <c r="W306" s="325">
        <v>477.76830662270311</v>
      </c>
      <c r="X306" s="10">
        <v>46.839274801122947</v>
      </c>
      <c r="Y306" s="320">
        <v>524.6075814238261</v>
      </c>
    </row>
    <row r="307" spans="1:25" x14ac:dyDescent="0.2">
      <c r="A307" s="7">
        <v>2017</v>
      </c>
      <c r="B307" s="5" t="s">
        <v>466</v>
      </c>
      <c r="C307" s="5" t="s">
        <v>218</v>
      </c>
      <c r="D307" s="5" t="s">
        <v>481</v>
      </c>
      <c r="E307" s="5" t="s">
        <v>220</v>
      </c>
      <c r="F307" s="5" t="s">
        <v>221</v>
      </c>
      <c r="G307" s="5" t="s">
        <v>223</v>
      </c>
      <c r="H307" s="10">
        <v>4.1394537531640365</v>
      </c>
      <c r="I307" s="10">
        <v>9.2253814962279745E-2</v>
      </c>
      <c r="J307" s="325">
        <v>4.2317075681263159</v>
      </c>
      <c r="K307" s="10">
        <v>0.61337488310093824</v>
      </c>
      <c r="L307" s="10">
        <v>1.2591490685256141</v>
      </c>
      <c r="M307" s="325">
        <v>1.8725239516265524</v>
      </c>
      <c r="N307" s="10">
        <v>2.5473257692663105</v>
      </c>
      <c r="O307" s="10">
        <v>1.6823768398661754</v>
      </c>
      <c r="P307" s="10">
        <v>0.49460259776766968</v>
      </c>
      <c r="Q307" s="10">
        <v>0.31861564167249129</v>
      </c>
      <c r="R307" s="10">
        <v>0.97291382484978495</v>
      </c>
      <c r="S307" s="10">
        <v>1.6648203939058461</v>
      </c>
      <c r="T307" s="10">
        <v>5.211974408085231</v>
      </c>
      <c r="U307" s="10">
        <v>0.41694375339833833</v>
      </c>
      <c r="V307" s="325">
        <v>13.30957322881185</v>
      </c>
      <c r="W307" s="325">
        <v>19.413804748564718</v>
      </c>
      <c r="X307" s="10">
        <v>1.9327419930529941</v>
      </c>
      <c r="Y307" s="320">
        <v>21.346546741617711</v>
      </c>
    </row>
    <row r="308" spans="1:25" x14ac:dyDescent="0.2">
      <c r="A308" s="7">
        <v>2017</v>
      </c>
      <c r="B308" s="5" t="s">
        <v>466</v>
      </c>
      <c r="C308" s="5" t="s">
        <v>218</v>
      </c>
      <c r="D308" s="5" t="s">
        <v>482</v>
      </c>
      <c r="E308" s="5" t="s">
        <v>224</v>
      </c>
      <c r="F308" s="5" t="s">
        <v>221</v>
      </c>
      <c r="G308" s="5" t="s">
        <v>226</v>
      </c>
      <c r="H308" s="10">
        <v>36.629863281471494</v>
      </c>
      <c r="I308" s="10">
        <v>0</v>
      </c>
      <c r="J308" s="325">
        <v>36.629863281471494</v>
      </c>
      <c r="K308" s="10">
        <v>1.2765156642614641</v>
      </c>
      <c r="L308" s="10">
        <v>6.8858616064310469</v>
      </c>
      <c r="M308" s="325">
        <v>8.1623772706925113</v>
      </c>
      <c r="N308" s="10">
        <v>1.4945209151459187</v>
      </c>
      <c r="O308" s="10">
        <v>5.8999107450109713</v>
      </c>
      <c r="P308" s="10">
        <v>2.8255727158612918</v>
      </c>
      <c r="Q308" s="10">
        <v>1.9449532345071403</v>
      </c>
      <c r="R308" s="10">
        <v>4.6817727206783477</v>
      </c>
      <c r="S308" s="10">
        <v>6.9006076078745133</v>
      </c>
      <c r="T308" s="10">
        <v>12.211960264643388</v>
      </c>
      <c r="U308" s="10">
        <v>1.8020958527408244</v>
      </c>
      <c r="V308" s="325">
        <v>37.7613940564624</v>
      </c>
      <c r="W308" s="325">
        <v>82.553634608626396</v>
      </c>
      <c r="X308" s="10">
        <v>8.2197398027284052</v>
      </c>
      <c r="Y308" s="320">
        <v>90.773374411354808</v>
      </c>
    </row>
    <row r="309" spans="1:25" x14ac:dyDescent="0.2">
      <c r="A309" s="7">
        <v>2017</v>
      </c>
      <c r="B309" s="5" t="s">
        <v>466</v>
      </c>
      <c r="C309" s="5" t="s">
        <v>218</v>
      </c>
      <c r="D309" s="5" t="s">
        <v>482</v>
      </c>
      <c r="E309" s="5" t="s">
        <v>227</v>
      </c>
      <c r="F309" s="5" t="s">
        <v>221</v>
      </c>
      <c r="G309" s="5" t="s">
        <v>228</v>
      </c>
      <c r="H309" s="10">
        <v>10.840860872611984</v>
      </c>
      <c r="I309" s="10">
        <v>0</v>
      </c>
      <c r="J309" s="325">
        <v>10.840860872611984</v>
      </c>
      <c r="K309" s="10">
        <v>0.92370993222678166</v>
      </c>
      <c r="L309" s="10">
        <v>3.3341715571458006</v>
      </c>
      <c r="M309" s="325">
        <v>4.2578814893725827</v>
      </c>
      <c r="N309" s="10">
        <v>0.86383665471772941</v>
      </c>
      <c r="O309" s="10">
        <v>4.1091969917206548</v>
      </c>
      <c r="P309" s="10">
        <v>2.0679854572984473</v>
      </c>
      <c r="Q309" s="10">
        <v>1.0653589227823372</v>
      </c>
      <c r="R309" s="10">
        <v>3.223801749176153</v>
      </c>
      <c r="S309" s="10">
        <v>4.647105471388052</v>
      </c>
      <c r="T309" s="10">
        <v>13.413078776479447</v>
      </c>
      <c r="U309" s="10">
        <v>1.6488631078078255</v>
      </c>
      <c r="V309" s="325">
        <v>31.039227131370644</v>
      </c>
      <c r="W309" s="325">
        <v>46.137969493355214</v>
      </c>
      <c r="X309" s="10">
        <v>4.5823607589554314</v>
      </c>
      <c r="Y309" s="320">
        <v>50.720330252310646</v>
      </c>
    </row>
    <row r="310" spans="1:25" x14ac:dyDescent="0.2">
      <c r="A310" s="7">
        <v>2017</v>
      </c>
      <c r="B310" s="5" t="s">
        <v>466</v>
      </c>
      <c r="C310" s="5" t="s">
        <v>218</v>
      </c>
      <c r="D310" s="5" t="s">
        <v>482</v>
      </c>
      <c r="E310" s="5" t="s">
        <v>229</v>
      </c>
      <c r="F310" s="5" t="s">
        <v>221</v>
      </c>
      <c r="G310" s="5" t="s">
        <v>230</v>
      </c>
      <c r="H310" s="10">
        <v>6.2553543670317779</v>
      </c>
      <c r="I310" s="10">
        <v>17.774296986426155</v>
      </c>
      <c r="J310" s="325">
        <v>24.029651353457933</v>
      </c>
      <c r="K310" s="10">
        <v>3.332499005483764</v>
      </c>
      <c r="L310" s="10">
        <v>2.2916710729816203</v>
      </c>
      <c r="M310" s="325">
        <v>5.6241700784653847</v>
      </c>
      <c r="N310" s="10">
        <v>3.4879125632401058</v>
      </c>
      <c r="O310" s="10">
        <v>6.5064126930584338</v>
      </c>
      <c r="P310" s="10">
        <v>4.1705943275375432</v>
      </c>
      <c r="Q310" s="10">
        <v>2.0258196358993672</v>
      </c>
      <c r="R310" s="10">
        <v>9.2222984610107854</v>
      </c>
      <c r="S310" s="10">
        <v>7.3237174291259324</v>
      </c>
      <c r="T310" s="10">
        <v>11.141468952807394</v>
      </c>
      <c r="U310" s="10">
        <v>3.1204897123091579</v>
      </c>
      <c r="V310" s="325">
        <v>46.998713774988722</v>
      </c>
      <c r="W310" s="325">
        <v>76.652535206912034</v>
      </c>
      <c r="X310" s="10">
        <v>7.5812471424923</v>
      </c>
      <c r="Y310" s="320">
        <v>84.233782349404336</v>
      </c>
    </row>
    <row r="311" spans="1:25" x14ac:dyDescent="0.2">
      <c r="A311" s="7">
        <v>2017</v>
      </c>
      <c r="B311" s="5" t="s">
        <v>466</v>
      </c>
      <c r="C311" s="5" t="s">
        <v>218</v>
      </c>
      <c r="D311" s="5" t="s">
        <v>482</v>
      </c>
      <c r="E311" s="5" t="s">
        <v>231</v>
      </c>
      <c r="F311" s="5" t="s">
        <v>221</v>
      </c>
      <c r="G311" s="5" t="s">
        <v>232</v>
      </c>
      <c r="H311" s="10">
        <v>33.125952323660876</v>
      </c>
      <c r="I311" s="10">
        <v>0.22269292868236165</v>
      </c>
      <c r="J311" s="325">
        <v>33.348645252343239</v>
      </c>
      <c r="K311" s="10">
        <v>3.0319373725217944</v>
      </c>
      <c r="L311" s="10">
        <v>5.7192431460062023</v>
      </c>
      <c r="M311" s="325">
        <v>8.7511805185279972</v>
      </c>
      <c r="N311" s="10">
        <v>1.2997386399518551</v>
      </c>
      <c r="O311" s="10">
        <v>10.467072766878713</v>
      </c>
      <c r="P311" s="10">
        <v>2.9012032971877573</v>
      </c>
      <c r="Q311" s="10">
        <v>2.78130140251859</v>
      </c>
      <c r="R311" s="10">
        <v>6.3194607723926293</v>
      </c>
      <c r="S311" s="10">
        <v>8.2068894404824348</v>
      </c>
      <c r="T311" s="10">
        <v>17.774166648180458</v>
      </c>
      <c r="U311" s="10">
        <v>2.4820545616879377</v>
      </c>
      <c r="V311" s="325">
        <v>52.231887529280378</v>
      </c>
      <c r="W311" s="325">
        <v>94.33171330015162</v>
      </c>
      <c r="X311" s="10">
        <v>9.3886409560912547</v>
      </c>
      <c r="Y311" s="320">
        <v>103.72035425624287</v>
      </c>
    </row>
    <row r="312" spans="1:25" x14ac:dyDescent="0.2">
      <c r="A312" s="7">
        <v>2017</v>
      </c>
      <c r="B312" s="5" t="s">
        <v>466</v>
      </c>
      <c r="C312" s="5" t="s">
        <v>218</v>
      </c>
      <c r="D312" s="5" t="s">
        <v>481</v>
      </c>
      <c r="E312" s="5" t="s">
        <v>233</v>
      </c>
      <c r="F312" s="5" t="s">
        <v>221</v>
      </c>
      <c r="G312" s="5" t="s">
        <v>234</v>
      </c>
      <c r="H312" s="10">
        <v>31.587068123686823</v>
      </c>
      <c r="I312" s="10">
        <v>0</v>
      </c>
      <c r="J312" s="325">
        <v>31.587068123686823</v>
      </c>
      <c r="K312" s="10">
        <v>1.5434631017432872</v>
      </c>
      <c r="L312" s="10">
        <v>10.920371911079844</v>
      </c>
      <c r="M312" s="325">
        <v>12.463835012823131</v>
      </c>
      <c r="N312" s="10">
        <v>8.6088263754894072</v>
      </c>
      <c r="O312" s="10">
        <v>24.505354606802033</v>
      </c>
      <c r="P312" s="10">
        <v>3.919689172851236</v>
      </c>
      <c r="Q312" s="10">
        <v>3.3942763587297051</v>
      </c>
      <c r="R312" s="10">
        <v>10.92207973448893</v>
      </c>
      <c r="S312" s="10">
        <v>10.817870693084844</v>
      </c>
      <c r="T312" s="10">
        <v>23.151475744972039</v>
      </c>
      <c r="U312" s="10">
        <v>3.4081475034892694</v>
      </c>
      <c r="V312" s="325">
        <v>88.727720189907473</v>
      </c>
      <c r="W312" s="325">
        <v>132.77862332641743</v>
      </c>
      <c r="X312" s="10">
        <v>13.229470022621889</v>
      </c>
      <c r="Y312" s="320">
        <v>146.00809334903931</v>
      </c>
    </row>
    <row r="313" spans="1:25" x14ac:dyDescent="0.2">
      <c r="A313" s="7">
        <v>2017</v>
      </c>
      <c r="B313" s="5" t="s">
        <v>466</v>
      </c>
      <c r="C313" s="5" t="s">
        <v>218</v>
      </c>
      <c r="D313" s="5" t="s">
        <v>481</v>
      </c>
      <c r="E313" s="5" t="s">
        <v>235</v>
      </c>
      <c r="F313" s="5" t="s">
        <v>221</v>
      </c>
      <c r="G313" s="5" t="s">
        <v>236</v>
      </c>
      <c r="H313" s="10">
        <v>64.834014444440839</v>
      </c>
      <c r="I313" s="10">
        <v>0</v>
      </c>
      <c r="J313" s="325">
        <v>64.834014444440839</v>
      </c>
      <c r="K313" s="10">
        <v>4.6061214777351811</v>
      </c>
      <c r="L313" s="10">
        <v>15.738308954454757</v>
      </c>
      <c r="M313" s="325">
        <v>20.344430432189938</v>
      </c>
      <c r="N313" s="10">
        <v>4.967546018035212</v>
      </c>
      <c r="O313" s="10">
        <v>37.643210388588535</v>
      </c>
      <c r="P313" s="10">
        <v>6.8729355857724066</v>
      </c>
      <c r="Q313" s="10">
        <v>6.7388003204582843</v>
      </c>
      <c r="R313" s="10">
        <v>14.06156292615198</v>
      </c>
      <c r="S313" s="10">
        <v>18.705717814883958</v>
      </c>
      <c r="T313" s="10">
        <v>34.948533385331864</v>
      </c>
      <c r="U313" s="10">
        <v>6.224228030177442</v>
      </c>
      <c r="V313" s="325">
        <v>130.16253446939967</v>
      </c>
      <c r="W313" s="325">
        <v>215.34097934603045</v>
      </c>
      <c r="X313" s="10">
        <v>21.452842142008254</v>
      </c>
      <c r="Y313" s="320">
        <v>236.7938214880387</v>
      </c>
    </row>
    <row r="314" spans="1:25" x14ac:dyDescent="0.2">
      <c r="A314" s="7">
        <v>2017</v>
      </c>
      <c r="B314" s="5" t="s">
        <v>466</v>
      </c>
      <c r="C314" s="5" t="s">
        <v>218</v>
      </c>
      <c r="D314" s="5" t="s">
        <v>482</v>
      </c>
      <c r="E314" s="5" t="s">
        <v>237</v>
      </c>
      <c r="F314" s="5" t="s">
        <v>221</v>
      </c>
      <c r="G314" s="5" t="s">
        <v>238</v>
      </c>
      <c r="H314" s="10">
        <v>88.08613024061998</v>
      </c>
      <c r="I314" s="10">
        <v>0</v>
      </c>
      <c r="J314" s="325">
        <v>88.08613024061998</v>
      </c>
      <c r="K314" s="10">
        <v>8.6520743109937861</v>
      </c>
      <c r="L314" s="10">
        <v>9.0334352673015523</v>
      </c>
      <c r="M314" s="325">
        <v>17.685509578295338</v>
      </c>
      <c r="N314" s="10">
        <v>3.5463397271245345</v>
      </c>
      <c r="O314" s="10">
        <v>14.230494166222369</v>
      </c>
      <c r="P314" s="10">
        <v>4.4883568034181156</v>
      </c>
      <c r="Q314" s="10">
        <v>3.1329974239450373</v>
      </c>
      <c r="R314" s="10">
        <v>10.853384168330152</v>
      </c>
      <c r="S314" s="10">
        <v>11.607855926980148</v>
      </c>
      <c r="T314" s="10">
        <v>20.482195775130521</v>
      </c>
      <c r="U314" s="10">
        <v>5.3353229351264106</v>
      </c>
      <c r="V314" s="325">
        <v>73.676946926277296</v>
      </c>
      <c r="W314" s="325">
        <v>179.44858674519261</v>
      </c>
      <c r="X314" s="10">
        <v>17.893100186664306</v>
      </c>
      <c r="Y314" s="320">
        <v>197.34168693185691</v>
      </c>
    </row>
    <row r="315" spans="1:25" x14ac:dyDescent="0.2">
      <c r="A315" s="7">
        <v>2017</v>
      </c>
      <c r="B315" s="5" t="s">
        <v>466</v>
      </c>
      <c r="C315" s="5" t="s">
        <v>218</v>
      </c>
      <c r="D315" s="5" t="s">
        <v>481</v>
      </c>
      <c r="E315" s="5" t="s">
        <v>239</v>
      </c>
      <c r="F315" s="5" t="s">
        <v>221</v>
      </c>
      <c r="G315" s="5" t="s">
        <v>240</v>
      </c>
      <c r="H315" s="10">
        <v>24.797215779269774</v>
      </c>
      <c r="I315" s="10">
        <v>0.22858924105782644</v>
      </c>
      <c r="J315" s="325">
        <v>25.025805020327599</v>
      </c>
      <c r="K315" s="10">
        <v>1.3201319400239848</v>
      </c>
      <c r="L315" s="10">
        <v>16.068680246574534</v>
      </c>
      <c r="M315" s="325">
        <v>17.388812186598518</v>
      </c>
      <c r="N315" s="10">
        <v>14.2549270008014</v>
      </c>
      <c r="O315" s="10">
        <v>24.643667523311624</v>
      </c>
      <c r="P315" s="10">
        <v>5.7913082187615217</v>
      </c>
      <c r="Q315" s="10">
        <v>6.5284088084757963</v>
      </c>
      <c r="R315" s="10">
        <v>10.859191890266224</v>
      </c>
      <c r="S315" s="10">
        <v>15.016689944419811</v>
      </c>
      <c r="T315" s="10">
        <v>33.112293480516556</v>
      </c>
      <c r="U315" s="10">
        <v>6.2617123749090817</v>
      </c>
      <c r="V315" s="325">
        <v>116.46819924146202</v>
      </c>
      <c r="W315" s="325">
        <v>158.88281644838813</v>
      </c>
      <c r="X315" s="10">
        <v>15.758798842953963</v>
      </c>
      <c r="Y315" s="320">
        <v>174.64161529134208</v>
      </c>
    </row>
    <row r="316" spans="1:25" x14ac:dyDescent="0.2">
      <c r="A316" s="7">
        <v>2017</v>
      </c>
      <c r="B316" s="5" t="s">
        <v>466</v>
      </c>
      <c r="C316" s="5" t="s">
        <v>218</v>
      </c>
      <c r="D316" s="5" t="s">
        <v>482</v>
      </c>
      <c r="E316" s="5" t="s">
        <v>241</v>
      </c>
      <c r="F316" s="5" t="s">
        <v>221</v>
      </c>
      <c r="G316" s="5" t="s">
        <v>242</v>
      </c>
      <c r="H316" s="10">
        <v>10.386566947834602</v>
      </c>
      <c r="I316" s="10">
        <v>0</v>
      </c>
      <c r="J316" s="325">
        <v>10.386566947834602</v>
      </c>
      <c r="K316" s="10">
        <v>0.9726573024326417</v>
      </c>
      <c r="L316" s="10">
        <v>3.0899847352127141</v>
      </c>
      <c r="M316" s="325">
        <v>4.0626420376453556</v>
      </c>
      <c r="N316" s="10">
        <v>1.0741199976361067</v>
      </c>
      <c r="O316" s="10">
        <v>7.3449396991085623</v>
      </c>
      <c r="P316" s="10">
        <v>1.493004553426958</v>
      </c>
      <c r="Q316" s="10">
        <v>0.94851630739303017</v>
      </c>
      <c r="R316" s="10">
        <v>3.9631464535111154</v>
      </c>
      <c r="S316" s="10">
        <v>4.4779749068271899</v>
      </c>
      <c r="T316" s="10">
        <v>9.4120221223458955</v>
      </c>
      <c r="U316" s="10">
        <v>1.3035900788230685</v>
      </c>
      <c r="V316" s="325">
        <v>30.017314119071923</v>
      </c>
      <c r="W316" s="325">
        <v>44.466523104551882</v>
      </c>
      <c r="X316" s="10">
        <v>4.425581632859112</v>
      </c>
      <c r="Y316" s="320">
        <v>48.892104737410996</v>
      </c>
    </row>
    <row r="317" spans="1:25" x14ac:dyDescent="0.2">
      <c r="A317" s="7">
        <v>2017</v>
      </c>
      <c r="B317" s="5" t="s">
        <v>466</v>
      </c>
      <c r="C317" s="5" t="s">
        <v>218</v>
      </c>
      <c r="D317" s="5" t="s">
        <v>482</v>
      </c>
      <c r="E317" s="5" t="s">
        <v>243</v>
      </c>
      <c r="F317" s="5" t="s">
        <v>221</v>
      </c>
      <c r="G317" s="5" t="s">
        <v>244</v>
      </c>
      <c r="H317" s="10">
        <v>16.253495535135258</v>
      </c>
      <c r="I317" s="10">
        <v>0.14148106488412598</v>
      </c>
      <c r="J317" s="325">
        <v>16.394976600019383</v>
      </c>
      <c r="K317" s="10">
        <v>1.4423005529036832</v>
      </c>
      <c r="L317" s="10">
        <v>3.6596270467353982</v>
      </c>
      <c r="M317" s="325">
        <v>5.1019275996390814</v>
      </c>
      <c r="N317" s="10">
        <v>1.6830052375963165</v>
      </c>
      <c r="O317" s="10">
        <v>4.8066336546032442</v>
      </c>
      <c r="P317" s="10">
        <v>2.6855380381854852</v>
      </c>
      <c r="Q317" s="10">
        <v>1.6252058915681675</v>
      </c>
      <c r="R317" s="10">
        <v>4.9083286056699968</v>
      </c>
      <c r="S317" s="10">
        <v>4.8350243569267768</v>
      </c>
      <c r="T317" s="10">
        <v>10.695512337453572</v>
      </c>
      <c r="U317" s="10">
        <v>2.1574175083804814</v>
      </c>
      <c r="V317" s="325">
        <v>33.396665630384042</v>
      </c>
      <c r="W317" s="325">
        <v>54.893569830042509</v>
      </c>
      <c r="X317" s="10">
        <v>5.45137384107481</v>
      </c>
      <c r="Y317" s="320">
        <v>60.344943671117321</v>
      </c>
    </row>
    <row r="318" spans="1:25" x14ac:dyDescent="0.2">
      <c r="A318" s="7">
        <v>2017</v>
      </c>
      <c r="B318" s="5" t="s">
        <v>466</v>
      </c>
      <c r="C318" s="5" t="s">
        <v>218</v>
      </c>
      <c r="D318" s="5" t="s">
        <v>482</v>
      </c>
      <c r="E318" s="5" t="s">
        <v>245</v>
      </c>
      <c r="F318" s="5" t="s">
        <v>221</v>
      </c>
      <c r="G318" s="5" t="s">
        <v>246</v>
      </c>
      <c r="H318" s="10">
        <v>22.879772594568532</v>
      </c>
      <c r="I318" s="10">
        <v>0.12806786180388402</v>
      </c>
      <c r="J318" s="325">
        <v>23.007840456372417</v>
      </c>
      <c r="K318" s="10">
        <v>1.1256461213146478</v>
      </c>
      <c r="L318" s="10">
        <v>7.1232570404132884</v>
      </c>
      <c r="M318" s="325">
        <v>8.2489031617279363</v>
      </c>
      <c r="N318" s="10">
        <v>2.2899285123820601</v>
      </c>
      <c r="O318" s="10">
        <v>8.2779783175905237</v>
      </c>
      <c r="P318" s="10">
        <v>2.9365382176199208</v>
      </c>
      <c r="Q318" s="10">
        <v>8.0838772868180957</v>
      </c>
      <c r="R318" s="10">
        <v>5.220964682488562</v>
      </c>
      <c r="S318" s="10">
        <v>8.2974710219785983</v>
      </c>
      <c r="T318" s="10">
        <v>18.372738423561817</v>
      </c>
      <c r="U318" s="10">
        <v>2.765932811904213</v>
      </c>
      <c r="V318" s="325">
        <v>56.245429274343785</v>
      </c>
      <c r="W318" s="325">
        <v>87.502172892444136</v>
      </c>
      <c r="X318" s="10">
        <v>8.6514963317650047</v>
      </c>
      <c r="Y318" s="320">
        <v>96.153669224209139</v>
      </c>
    </row>
    <row r="319" spans="1:25" x14ac:dyDescent="0.2">
      <c r="A319" s="7">
        <v>2017</v>
      </c>
      <c r="B319" s="5" t="s">
        <v>466</v>
      </c>
      <c r="C319" s="5" t="s">
        <v>218</v>
      </c>
      <c r="D319" s="5" t="s">
        <v>482</v>
      </c>
      <c r="E319" s="5" t="s">
        <v>247</v>
      </c>
      <c r="F319" s="5" t="s">
        <v>221</v>
      </c>
      <c r="G319" s="5" t="s">
        <v>248</v>
      </c>
      <c r="H319" s="10">
        <v>5.3895507101736744</v>
      </c>
      <c r="I319" s="10">
        <v>4.2090961447990016E-2</v>
      </c>
      <c r="J319" s="325">
        <v>5.431641671621664</v>
      </c>
      <c r="K319" s="10">
        <v>0.59172223869900886</v>
      </c>
      <c r="L319" s="10">
        <v>2.2833493351951515</v>
      </c>
      <c r="M319" s="325">
        <v>2.8750715738941603</v>
      </c>
      <c r="N319" s="10">
        <v>1.8703712842510394</v>
      </c>
      <c r="O319" s="10">
        <v>6.7316344752502628</v>
      </c>
      <c r="P319" s="10">
        <v>1.2455879818180051</v>
      </c>
      <c r="Q319" s="10">
        <v>0.58600786956478434</v>
      </c>
      <c r="R319" s="10">
        <v>2.8654949270602876</v>
      </c>
      <c r="S319" s="10">
        <v>3.1096824758731985</v>
      </c>
      <c r="T319" s="10">
        <v>5.3319297257588989</v>
      </c>
      <c r="U319" s="10">
        <v>0.86776662564675167</v>
      </c>
      <c r="V319" s="325">
        <v>22.608475365223228</v>
      </c>
      <c r="W319" s="325">
        <v>30.915188610739051</v>
      </c>
      <c r="X319" s="10">
        <v>3.0805137980117658</v>
      </c>
      <c r="Y319" s="320">
        <v>33.995702408750816</v>
      </c>
    </row>
    <row r="320" spans="1:25" x14ac:dyDescent="0.2">
      <c r="A320" s="7">
        <v>2017</v>
      </c>
      <c r="B320" s="5" t="s">
        <v>466</v>
      </c>
      <c r="C320" s="5" t="s">
        <v>218</v>
      </c>
      <c r="D320" s="5" t="s">
        <v>481</v>
      </c>
      <c r="E320" s="5" t="s">
        <v>249</v>
      </c>
      <c r="F320" s="5" t="s">
        <v>221</v>
      </c>
      <c r="G320" s="5" t="s">
        <v>250</v>
      </c>
      <c r="H320" s="10">
        <v>17.046197231719628</v>
      </c>
      <c r="I320" s="10">
        <v>0</v>
      </c>
      <c r="J320" s="325">
        <v>17.046197231719628</v>
      </c>
      <c r="K320" s="10">
        <v>2.8690430268637708</v>
      </c>
      <c r="L320" s="10">
        <v>3.4243516017267033</v>
      </c>
      <c r="M320" s="325">
        <v>6.293394628590474</v>
      </c>
      <c r="N320" s="10">
        <v>1.1555890928486068</v>
      </c>
      <c r="O320" s="10">
        <v>8.0753088989573367</v>
      </c>
      <c r="P320" s="10">
        <v>2.862059278473069</v>
      </c>
      <c r="Q320" s="10">
        <v>2.1223012850887031</v>
      </c>
      <c r="R320" s="10">
        <v>5.0264477639574778</v>
      </c>
      <c r="S320" s="10">
        <v>6.5401722386297907</v>
      </c>
      <c r="T320" s="10">
        <v>17.110313528024438</v>
      </c>
      <c r="U320" s="10">
        <v>1.7768037052384278</v>
      </c>
      <c r="V320" s="325">
        <v>44.668995791217846</v>
      </c>
      <c r="W320" s="325">
        <v>68.008587651527947</v>
      </c>
      <c r="X320" s="10">
        <v>6.7596473734006155</v>
      </c>
      <c r="Y320" s="320">
        <v>74.768235024928558</v>
      </c>
    </row>
    <row r="321" spans="1:25" x14ac:dyDescent="0.2">
      <c r="A321" s="7">
        <v>2017</v>
      </c>
      <c r="B321" s="5" t="s">
        <v>466</v>
      </c>
      <c r="C321" s="5" t="s">
        <v>218</v>
      </c>
      <c r="D321" s="5" t="s">
        <v>482</v>
      </c>
      <c r="E321" s="5" t="s">
        <v>251</v>
      </c>
      <c r="F321" s="5" t="s">
        <v>221</v>
      </c>
      <c r="G321" s="5" t="s">
        <v>252</v>
      </c>
      <c r="H321" s="10">
        <v>23.554797745867592</v>
      </c>
      <c r="I321" s="10">
        <v>0.66015618752327787</v>
      </c>
      <c r="J321" s="325">
        <v>24.21495393339087</v>
      </c>
      <c r="K321" s="10">
        <v>5.0479608690161433</v>
      </c>
      <c r="L321" s="10">
        <v>2.5193697491480074</v>
      </c>
      <c r="M321" s="325">
        <v>7.5673306181641511</v>
      </c>
      <c r="N321" s="10">
        <v>2.0141909229896275</v>
      </c>
      <c r="O321" s="10">
        <v>6.0872280339771079</v>
      </c>
      <c r="P321" s="10">
        <v>3.0835907737853718</v>
      </c>
      <c r="Q321" s="10">
        <v>2.6039128511768688</v>
      </c>
      <c r="R321" s="10">
        <v>6.9005452644240188</v>
      </c>
      <c r="S321" s="10">
        <v>7.1375875886171158</v>
      </c>
      <c r="T321" s="10">
        <v>18.727874582456156</v>
      </c>
      <c r="U321" s="10">
        <v>2.2894977273618475</v>
      </c>
      <c r="V321" s="325">
        <v>48.844427744788113</v>
      </c>
      <c r="W321" s="325">
        <v>80.626712296343129</v>
      </c>
      <c r="X321" s="10">
        <v>8.0049747814928409</v>
      </c>
      <c r="Y321" s="320">
        <v>88.631687077835977</v>
      </c>
    </row>
    <row r="322" spans="1:25" x14ac:dyDescent="0.2">
      <c r="A322" s="7">
        <v>2017</v>
      </c>
      <c r="B322" s="5" t="s">
        <v>466</v>
      </c>
      <c r="C322" s="5" t="s">
        <v>218</v>
      </c>
      <c r="D322" s="5" t="s">
        <v>482</v>
      </c>
      <c r="E322" s="5" t="s">
        <v>253</v>
      </c>
      <c r="F322" s="5" t="s">
        <v>221</v>
      </c>
      <c r="G322" s="5" t="s">
        <v>254</v>
      </c>
      <c r="H322" s="10">
        <v>14.320472844728128</v>
      </c>
      <c r="I322" s="10">
        <v>0</v>
      </c>
      <c r="J322" s="325">
        <v>14.320472844728128</v>
      </c>
      <c r="K322" s="10">
        <v>2.3760294007072811</v>
      </c>
      <c r="L322" s="10">
        <v>11.820379910118525</v>
      </c>
      <c r="M322" s="325">
        <v>14.196409310825807</v>
      </c>
      <c r="N322" s="10">
        <v>8.6907770369569839</v>
      </c>
      <c r="O322" s="10">
        <v>44.487165673180563</v>
      </c>
      <c r="P322" s="10">
        <v>4.0011467536798344</v>
      </c>
      <c r="Q322" s="10">
        <v>3.6460034844891807</v>
      </c>
      <c r="R322" s="10">
        <v>26.162513236041761</v>
      </c>
      <c r="S322" s="10">
        <v>14.972418521201078</v>
      </c>
      <c r="T322" s="10">
        <v>17.788922293461184</v>
      </c>
      <c r="U322" s="10">
        <v>3.7094614564067085</v>
      </c>
      <c r="V322" s="325">
        <v>123.4584084554173</v>
      </c>
      <c r="W322" s="325">
        <v>151.97529061097123</v>
      </c>
      <c r="X322" s="10">
        <v>15.120007089573384</v>
      </c>
      <c r="Y322" s="320">
        <v>167.09529770054462</v>
      </c>
    </row>
    <row r="323" spans="1:25" x14ac:dyDescent="0.2">
      <c r="A323" s="7">
        <v>2017</v>
      </c>
      <c r="B323" s="5" t="s">
        <v>466</v>
      </c>
      <c r="C323" s="5" t="s">
        <v>218</v>
      </c>
      <c r="D323" s="5" t="s">
        <v>482</v>
      </c>
      <c r="E323" s="5" t="s">
        <v>255</v>
      </c>
      <c r="F323" s="5" t="s">
        <v>221</v>
      </c>
      <c r="G323" s="5" t="s">
        <v>256</v>
      </c>
      <c r="H323" s="10">
        <v>22.849653047105047</v>
      </c>
      <c r="I323" s="10">
        <v>1.2767497081636126</v>
      </c>
      <c r="J323" s="325">
        <v>24.126402755268661</v>
      </c>
      <c r="K323" s="10">
        <v>6.8259622103649384</v>
      </c>
      <c r="L323" s="10">
        <v>17.870366918060874</v>
      </c>
      <c r="M323" s="325">
        <v>24.696329128425813</v>
      </c>
      <c r="N323" s="10">
        <v>14.06719703905611</v>
      </c>
      <c r="O323" s="10">
        <v>79.556529040052965</v>
      </c>
      <c r="P323" s="10">
        <v>6.8938454037639492</v>
      </c>
      <c r="Q323" s="10">
        <v>5.2776578145401194</v>
      </c>
      <c r="R323" s="10">
        <v>25.046476829696054</v>
      </c>
      <c r="S323" s="10">
        <v>27.223405999093345</v>
      </c>
      <c r="T323" s="10">
        <v>54.412165158121852</v>
      </c>
      <c r="U323" s="10">
        <v>8.5181703302018335</v>
      </c>
      <c r="V323" s="325">
        <v>220.99544761452626</v>
      </c>
      <c r="W323" s="325">
        <v>269.81817949822073</v>
      </c>
      <c r="X323" s="10">
        <v>26.908882034079927</v>
      </c>
      <c r="Y323" s="320">
        <v>296.72706153230064</v>
      </c>
    </row>
    <row r="324" spans="1:25" x14ac:dyDescent="0.2">
      <c r="A324" s="7">
        <v>2017</v>
      </c>
      <c r="B324" s="5" t="s">
        <v>466</v>
      </c>
      <c r="C324" s="5" t="s">
        <v>218</v>
      </c>
      <c r="D324" s="5" t="s">
        <v>482</v>
      </c>
      <c r="E324" s="5" t="s">
        <v>257</v>
      </c>
      <c r="F324" s="5" t="s">
        <v>221</v>
      </c>
      <c r="G324" s="5" t="s">
        <v>258</v>
      </c>
      <c r="H324" s="10">
        <v>16.33203786501279</v>
      </c>
      <c r="I324" s="10">
        <v>0.9293055524863183</v>
      </c>
      <c r="J324" s="325">
        <v>17.261343417499109</v>
      </c>
      <c r="K324" s="10">
        <v>3.9390846628701355</v>
      </c>
      <c r="L324" s="10">
        <v>8.6438886422582186</v>
      </c>
      <c r="M324" s="325">
        <v>12.582973305128354</v>
      </c>
      <c r="N324" s="10">
        <v>6.3357642338353681</v>
      </c>
      <c r="O324" s="10">
        <v>31.805473523241591</v>
      </c>
      <c r="P324" s="10">
        <v>7.713622978491701</v>
      </c>
      <c r="Q324" s="10">
        <v>3.4002819857427378</v>
      </c>
      <c r="R324" s="10">
        <v>15.829300312328796</v>
      </c>
      <c r="S324" s="10">
        <v>13.038392238782222</v>
      </c>
      <c r="T324" s="10">
        <v>20.61361750169181</v>
      </c>
      <c r="U324" s="10">
        <v>3.8127842390626925</v>
      </c>
      <c r="V324" s="325">
        <v>102.54923701317691</v>
      </c>
      <c r="W324" s="325">
        <v>132.39355373580437</v>
      </c>
      <c r="X324" s="10">
        <v>13.171450260023164</v>
      </c>
      <c r="Y324" s="320">
        <v>145.56500399582754</v>
      </c>
    </row>
    <row r="325" spans="1:25" x14ac:dyDescent="0.2">
      <c r="A325" s="7">
        <v>2017</v>
      </c>
      <c r="B325" s="5" t="s">
        <v>466</v>
      </c>
      <c r="C325" s="5" t="s">
        <v>218</v>
      </c>
      <c r="D325" s="5" t="s">
        <v>481</v>
      </c>
      <c r="E325" s="5" t="s">
        <v>259</v>
      </c>
      <c r="F325" s="5" t="s">
        <v>221</v>
      </c>
      <c r="G325" s="5" t="s">
        <v>260</v>
      </c>
      <c r="H325" s="10">
        <v>14.732757914112385</v>
      </c>
      <c r="I325" s="10">
        <v>0</v>
      </c>
      <c r="J325" s="325">
        <v>14.732757914112385</v>
      </c>
      <c r="K325" s="10">
        <v>1.6149364785399423</v>
      </c>
      <c r="L325" s="10">
        <v>3.9620792670566134</v>
      </c>
      <c r="M325" s="325">
        <v>5.5770157455965554</v>
      </c>
      <c r="N325" s="10">
        <v>2.1625071786004137</v>
      </c>
      <c r="O325" s="10">
        <v>7.3511588859156571</v>
      </c>
      <c r="P325" s="10">
        <v>3.5363123286174454</v>
      </c>
      <c r="Q325" s="10">
        <v>1.4207575679447586</v>
      </c>
      <c r="R325" s="10">
        <v>3.8470424805043835</v>
      </c>
      <c r="S325" s="10">
        <v>5.0681381346298267</v>
      </c>
      <c r="T325" s="10">
        <v>10.823421667509113</v>
      </c>
      <c r="U325" s="10">
        <v>1.5174539504680176</v>
      </c>
      <c r="V325" s="325">
        <v>35.726792194189613</v>
      </c>
      <c r="W325" s="325">
        <v>56.036565853898551</v>
      </c>
      <c r="X325" s="10">
        <v>5.57412944587524</v>
      </c>
      <c r="Y325" s="320">
        <v>61.610695299773795</v>
      </c>
    </row>
    <row r="326" spans="1:25" x14ac:dyDescent="0.2">
      <c r="A326" s="7">
        <v>2017</v>
      </c>
      <c r="B326" s="5" t="s">
        <v>466</v>
      </c>
      <c r="C326" s="5" t="s">
        <v>261</v>
      </c>
      <c r="D326" s="5" t="s">
        <v>483</v>
      </c>
      <c r="E326" s="5" t="s">
        <v>263</v>
      </c>
      <c r="F326" s="5" t="s">
        <v>264</v>
      </c>
      <c r="G326" s="5" t="s">
        <v>265</v>
      </c>
      <c r="H326" s="10">
        <v>75.573078299574561</v>
      </c>
      <c r="I326" s="10">
        <v>2.2790715472051075</v>
      </c>
      <c r="J326" s="325">
        <v>77.852149846779668</v>
      </c>
      <c r="K326" s="10">
        <v>3.7238946072504309</v>
      </c>
      <c r="L326" s="10">
        <v>16.072584482980368</v>
      </c>
      <c r="M326" s="325">
        <v>19.796479090230797</v>
      </c>
      <c r="N326" s="10">
        <v>4.2387071032952219</v>
      </c>
      <c r="O326" s="10">
        <v>18.348830230973174</v>
      </c>
      <c r="P326" s="10">
        <v>7.2276023783718939</v>
      </c>
      <c r="Q326" s="10">
        <v>6.03538874997479</v>
      </c>
      <c r="R326" s="10">
        <v>22.467407636864003</v>
      </c>
      <c r="S326" s="10">
        <v>15.439369832344646</v>
      </c>
      <c r="T326" s="10">
        <v>34.086055196622354</v>
      </c>
      <c r="U326" s="10">
        <v>5.2433885610992759</v>
      </c>
      <c r="V326" s="325">
        <v>113.08674968954537</v>
      </c>
      <c r="W326" s="325">
        <v>210.73537862655584</v>
      </c>
      <c r="X326" s="10">
        <v>20.940254606814165</v>
      </c>
      <c r="Y326" s="320">
        <v>231.67563323337001</v>
      </c>
    </row>
    <row r="327" spans="1:25" x14ac:dyDescent="0.2">
      <c r="A327" s="7">
        <v>2017</v>
      </c>
      <c r="B327" s="5" t="s">
        <v>466</v>
      </c>
      <c r="C327" s="5" t="s">
        <v>261</v>
      </c>
      <c r="D327" s="5" t="s">
        <v>484</v>
      </c>
      <c r="E327" s="5" t="s">
        <v>266</v>
      </c>
      <c r="F327" s="5" t="s">
        <v>264</v>
      </c>
      <c r="G327" s="5" t="s">
        <v>268</v>
      </c>
      <c r="H327" s="10">
        <v>7.2397075037541878</v>
      </c>
      <c r="I327" s="10">
        <v>0</v>
      </c>
      <c r="J327" s="325">
        <v>7.2397075037541878</v>
      </c>
      <c r="K327" s="10">
        <v>0.73094860641100334</v>
      </c>
      <c r="L327" s="10">
        <v>3.7853148207673004</v>
      </c>
      <c r="M327" s="325">
        <v>4.5162634271783038</v>
      </c>
      <c r="N327" s="10">
        <v>6.6297531901430764</v>
      </c>
      <c r="O327" s="10">
        <v>4.4839437138787783</v>
      </c>
      <c r="P327" s="10">
        <v>1.5969259277325243</v>
      </c>
      <c r="Q327" s="10">
        <v>1.2200907073434073</v>
      </c>
      <c r="R327" s="10">
        <v>6.0515686448060313</v>
      </c>
      <c r="S327" s="10">
        <v>4.2822560811072963</v>
      </c>
      <c r="T327" s="10">
        <v>8.8434943755116606</v>
      </c>
      <c r="U327" s="10">
        <v>1.2346647385085434</v>
      </c>
      <c r="V327" s="325">
        <v>34.342697379031314</v>
      </c>
      <c r="W327" s="325">
        <v>46.098668309963806</v>
      </c>
      <c r="X327" s="10">
        <v>4.5720780651767967</v>
      </c>
      <c r="Y327" s="320">
        <v>50.670746375140602</v>
      </c>
    </row>
    <row r="328" spans="1:25" x14ac:dyDescent="0.2">
      <c r="A328" s="7">
        <v>2017</v>
      </c>
      <c r="B328" s="5" t="s">
        <v>466</v>
      </c>
      <c r="C328" s="5" t="s">
        <v>261</v>
      </c>
      <c r="D328" s="5" t="s">
        <v>483</v>
      </c>
      <c r="E328" s="5" t="s">
        <v>269</v>
      </c>
      <c r="F328" s="5" t="s">
        <v>264</v>
      </c>
      <c r="G328" s="5" t="s">
        <v>271</v>
      </c>
      <c r="H328" s="10">
        <v>19.637125242842224</v>
      </c>
      <c r="I328" s="10">
        <v>0</v>
      </c>
      <c r="J328" s="325">
        <v>19.637125242842224</v>
      </c>
      <c r="K328" s="10">
        <v>1.4782064106799522</v>
      </c>
      <c r="L328" s="10">
        <v>4.6548108504679959</v>
      </c>
      <c r="M328" s="325">
        <v>6.1330172611479483</v>
      </c>
      <c r="N328" s="10">
        <v>1.4736181245898947</v>
      </c>
      <c r="O328" s="10">
        <v>3.9148587405363062</v>
      </c>
      <c r="P328" s="10">
        <v>2.4926529502918719</v>
      </c>
      <c r="Q328" s="10">
        <v>2.1200570227391351</v>
      </c>
      <c r="R328" s="10">
        <v>8.6382850589032056</v>
      </c>
      <c r="S328" s="10">
        <v>5.2577716468212694</v>
      </c>
      <c r="T328" s="10">
        <v>13.872982750598679</v>
      </c>
      <c r="U328" s="10">
        <v>1.8718575025608337</v>
      </c>
      <c r="V328" s="325">
        <v>39.642083797041195</v>
      </c>
      <c r="W328" s="325">
        <v>65.412226301031367</v>
      </c>
      <c r="X328" s="10">
        <v>6.4831270251658983</v>
      </c>
      <c r="Y328" s="320">
        <v>71.895353326197267</v>
      </c>
    </row>
    <row r="329" spans="1:25" x14ac:dyDescent="0.2">
      <c r="A329" s="7">
        <v>2017</v>
      </c>
      <c r="B329" s="5" t="s">
        <v>466</v>
      </c>
      <c r="C329" s="5" t="s">
        <v>261</v>
      </c>
      <c r="D329" s="5" t="s">
        <v>485</v>
      </c>
      <c r="E329" s="5" t="s">
        <v>272</v>
      </c>
      <c r="F329" s="5" t="s">
        <v>264</v>
      </c>
      <c r="G329" s="5" t="s">
        <v>273</v>
      </c>
      <c r="H329" s="10">
        <v>11.441872860693145</v>
      </c>
      <c r="I329" s="10">
        <v>0</v>
      </c>
      <c r="J329" s="325">
        <v>11.441872860693145</v>
      </c>
      <c r="K329" s="10">
        <v>6.3771660183014882</v>
      </c>
      <c r="L329" s="10">
        <v>10.04298245961825</v>
      </c>
      <c r="M329" s="325">
        <v>16.420148477919739</v>
      </c>
      <c r="N329" s="10">
        <v>37.781437183639099</v>
      </c>
      <c r="O329" s="10">
        <v>14.958108203654158</v>
      </c>
      <c r="P329" s="10">
        <v>4.6233180332832102</v>
      </c>
      <c r="Q329" s="10">
        <v>2.4117676505894154</v>
      </c>
      <c r="R329" s="10">
        <v>13.155534653417199</v>
      </c>
      <c r="S329" s="10">
        <v>8.9072398372745099</v>
      </c>
      <c r="T329" s="10">
        <v>15.307570962597207</v>
      </c>
      <c r="U329" s="10">
        <v>2.5673620768748422</v>
      </c>
      <c r="V329" s="325">
        <v>99.712338601329648</v>
      </c>
      <c r="W329" s="325">
        <v>127.57435993994252</v>
      </c>
      <c r="X329" s="10">
        <v>12.663317429839511</v>
      </c>
      <c r="Y329" s="320">
        <v>140.23767736978203</v>
      </c>
    </row>
    <row r="330" spans="1:25" x14ac:dyDescent="0.2">
      <c r="A330" s="7">
        <v>2017</v>
      </c>
      <c r="B330" s="5" t="s">
        <v>466</v>
      </c>
      <c r="C330" s="5" t="s">
        <v>261</v>
      </c>
      <c r="D330" s="5" t="s">
        <v>484</v>
      </c>
      <c r="E330" s="5" t="s">
        <v>274</v>
      </c>
      <c r="F330" s="5" t="s">
        <v>264</v>
      </c>
      <c r="G330" s="5" t="s">
        <v>275</v>
      </c>
      <c r="H330" s="10">
        <v>15.190021979636168</v>
      </c>
      <c r="I330" s="10">
        <v>0</v>
      </c>
      <c r="J330" s="325">
        <v>15.190021979636168</v>
      </c>
      <c r="K330" s="10">
        <v>1.2347604507646965</v>
      </c>
      <c r="L330" s="10">
        <v>3.7438657199176721</v>
      </c>
      <c r="M330" s="325">
        <v>4.9786261706823689</v>
      </c>
      <c r="N330" s="10">
        <v>1.1420057137963924</v>
      </c>
      <c r="O330" s="10">
        <v>3.2415168793773135</v>
      </c>
      <c r="P330" s="10">
        <v>1.3451901940895437</v>
      </c>
      <c r="Q330" s="10">
        <v>0.98941175003492365</v>
      </c>
      <c r="R330" s="10">
        <v>6.6867746222101125</v>
      </c>
      <c r="S330" s="10">
        <v>6.0438151668499236</v>
      </c>
      <c r="T330" s="10">
        <v>6.4823488256671267</v>
      </c>
      <c r="U330" s="10">
        <v>1.0639053282604067</v>
      </c>
      <c r="V330" s="325">
        <v>26.994968480285745</v>
      </c>
      <c r="W330" s="325">
        <v>47.163616630604281</v>
      </c>
      <c r="X330" s="10">
        <v>4.671923492963904</v>
      </c>
      <c r="Y330" s="320">
        <v>51.835540123568187</v>
      </c>
    </row>
    <row r="331" spans="1:25" x14ac:dyDescent="0.2">
      <c r="A331" s="7">
        <v>2017</v>
      </c>
      <c r="B331" s="5" t="s">
        <v>466</v>
      </c>
      <c r="C331" s="5" t="s">
        <v>261</v>
      </c>
      <c r="D331" s="5" t="s">
        <v>486</v>
      </c>
      <c r="E331" s="5" t="s">
        <v>276</v>
      </c>
      <c r="F331" s="5" t="s">
        <v>264</v>
      </c>
      <c r="G331" s="5" t="s">
        <v>277</v>
      </c>
      <c r="H331" s="10">
        <v>41.973024180842586</v>
      </c>
      <c r="I331" s="10">
        <v>0</v>
      </c>
      <c r="J331" s="325">
        <v>41.973024180842586</v>
      </c>
      <c r="K331" s="10">
        <v>25.944544328774196</v>
      </c>
      <c r="L331" s="10">
        <v>25.354507320083624</v>
      </c>
      <c r="M331" s="325">
        <v>51.299051648857819</v>
      </c>
      <c r="N331" s="10">
        <v>22.177510155333607</v>
      </c>
      <c r="O331" s="10">
        <v>120.80605860418066</v>
      </c>
      <c r="P331" s="10">
        <v>15.300763665561501</v>
      </c>
      <c r="Q331" s="10">
        <v>15.678188038720073</v>
      </c>
      <c r="R331" s="10">
        <v>80.5197277461114</v>
      </c>
      <c r="S331" s="10">
        <v>49.860495094997617</v>
      </c>
      <c r="T331" s="10">
        <v>73.534614114825217</v>
      </c>
      <c r="U331" s="10">
        <v>21.61070473326582</v>
      </c>
      <c r="V331" s="325">
        <v>399.48806215299589</v>
      </c>
      <c r="W331" s="325">
        <v>492.76013798269628</v>
      </c>
      <c r="X331" s="10">
        <v>48.855397835780067</v>
      </c>
      <c r="Y331" s="320">
        <v>541.61553581847636</v>
      </c>
    </row>
    <row r="332" spans="1:25" x14ac:dyDescent="0.2">
      <c r="A332" s="7">
        <v>2017</v>
      </c>
      <c r="B332" s="5" t="s">
        <v>466</v>
      </c>
      <c r="C332" s="5" t="s">
        <v>261</v>
      </c>
      <c r="D332" s="5" t="s">
        <v>484</v>
      </c>
      <c r="E332" s="5" t="s">
        <v>278</v>
      </c>
      <c r="F332" s="5" t="s">
        <v>264</v>
      </c>
      <c r="G332" s="5" t="s">
        <v>279</v>
      </c>
      <c r="H332" s="10">
        <v>171.50473818233482</v>
      </c>
      <c r="I332" s="10">
        <v>0</v>
      </c>
      <c r="J332" s="325">
        <v>171.50473818233482</v>
      </c>
      <c r="K332" s="10">
        <v>4.0606942262278549</v>
      </c>
      <c r="L332" s="10">
        <v>27.571581552434033</v>
      </c>
      <c r="M332" s="325">
        <v>31.632275778661889</v>
      </c>
      <c r="N332" s="10">
        <v>5.3080826284701734</v>
      </c>
      <c r="O332" s="10">
        <v>27.116316892143281</v>
      </c>
      <c r="P332" s="10">
        <v>6.4871018227553607</v>
      </c>
      <c r="Q332" s="10">
        <v>2.6916809098637389</v>
      </c>
      <c r="R332" s="10">
        <v>26.831328134879403</v>
      </c>
      <c r="S332" s="10">
        <v>15.988640151286491</v>
      </c>
      <c r="T332" s="10">
        <v>25.582807216303173</v>
      </c>
      <c r="U332" s="10">
        <v>8.9492675017618524</v>
      </c>
      <c r="V332" s="325">
        <v>118.95522525746347</v>
      </c>
      <c r="W332" s="325">
        <v>322.09223921846018</v>
      </c>
      <c r="X332" s="10">
        <v>32.14109824739699</v>
      </c>
      <c r="Y332" s="320">
        <v>354.23333746585718</v>
      </c>
    </row>
    <row r="333" spans="1:25" x14ac:dyDescent="0.2">
      <c r="A333" s="7">
        <v>2017</v>
      </c>
      <c r="B333" s="5" t="s">
        <v>466</v>
      </c>
      <c r="C333" s="5" t="s">
        <v>261</v>
      </c>
      <c r="D333" s="5" t="s">
        <v>486</v>
      </c>
      <c r="E333" s="5" t="s">
        <v>280</v>
      </c>
      <c r="F333" s="5" t="s">
        <v>264</v>
      </c>
      <c r="G333" s="5" t="s">
        <v>281</v>
      </c>
      <c r="H333" s="10">
        <v>39.036471551259801</v>
      </c>
      <c r="I333" s="10">
        <v>0.20571658296082104</v>
      </c>
      <c r="J333" s="325">
        <v>39.242188134220619</v>
      </c>
      <c r="K333" s="10">
        <v>24.681486584140721</v>
      </c>
      <c r="L333" s="10">
        <v>22.567489824167872</v>
      </c>
      <c r="M333" s="325">
        <v>47.248976408308593</v>
      </c>
      <c r="N333" s="10">
        <v>21.624363280355254</v>
      </c>
      <c r="O333" s="10">
        <v>80.298756854345555</v>
      </c>
      <c r="P333" s="10">
        <v>11.263873507842288</v>
      </c>
      <c r="Q333" s="10">
        <v>4.2369419241890851</v>
      </c>
      <c r="R333" s="10">
        <v>72.842159127347514</v>
      </c>
      <c r="S333" s="10">
        <v>42.634741687072186</v>
      </c>
      <c r="T333" s="10">
        <v>48.08931446942934</v>
      </c>
      <c r="U333" s="10">
        <v>13.619648128370981</v>
      </c>
      <c r="V333" s="325">
        <v>294.6097989789522</v>
      </c>
      <c r="W333" s="325">
        <v>381.10096352148139</v>
      </c>
      <c r="X333" s="10">
        <v>37.722943314979211</v>
      </c>
      <c r="Y333" s="320">
        <v>418.82390683646059</v>
      </c>
    </row>
    <row r="334" spans="1:25" x14ac:dyDescent="0.2">
      <c r="A334" s="7">
        <v>2017</v>
      </c>
      <c r="B334" s="5" t="s">
        <v>466</v>
      </c>
      <c r="C334" s="5" t="s">
        <v>261</v>
      </c>
      <c r="D334" s="5" t="s">
        <v>486</v>
      </c>
      <c r="E334" s="5" t="s">
        <v>282</v>
      </c>
      <c r="F334" s="5" t="s">
        <v>264</v>
      </c>
      <c r="G334" s="5" t="s">
        <v>284</v>
      </c>
      <c r="H334" s="10">
        <v>89.766352151504776</v>
      </c>
      <c r="I334" s="10">
        <v>0</v>
      </c>
      <c r="J334" s="325">
        <v>89.766352151504776</v>
      </c>
      <c r="K334" s="10">
        <v>23.183472289431545</v>
      </c>
      <c r="L334" s="10">
        <v>18.679729044322933</v>
      </c>
      <c r="M334" s="325">
        <v>41.863201333754475</v>
      </c>
      <c r="N334" s="10">
        <v>8.5957496363076515</v>
      </c>
      <c r="O334" s="10">
        <v>72.239502247878235</v>
      </c>
      <c r="P334" s="10">
        <v>7.413473517601985</v>
      </c>
      <c r="Q334" s="10">
        <v>11.648160955081478</v>
      </c>
      <c r="R334" s="10">
        <v>40.634079163899166</v>
      </c>
      <c r="S334" s="10">
        <v>24.037259548672235</v>
      </c>
      <c r="T334" s="10">
        <v>31.341954425858351</v>
      </c>
      <c r="U334" s="10">
        <v>8.7421345688017578</v>
      </c>
      <c r="V334" s="325">
        <v>204.65231406410086</v>
      </c>
      <c r="W334" s="325">
        <v>336.28186754936007</v>
      </c>
      <c r="X334" s="10">
        <v>33.384229199761343</v>
      </c>
      <c r="Y334" s="320">
        <v>369.66609674912144</v>
      </c>
    </row>
    <row r="335" spans="1:25" x14ac:dyDescent="0.2">
      <c r="A335" s="7">
        <v>2017</v>
      </c>
      <c r="B335" s="5" t="s">
        <v>466</v>
      </c>
      <c r="C335" s="5" t="s">
        <v>261</v>
      </c>
      <c r="D335" s="5" t="s">
        <v>484</v>
      </c>
      <c r="E335" s="5" t="s">
        <v>285</v>
      </c>
      <c r="F335" s="5" t="s">
        <v>264</v>
      </c>
      <c r="G335" s="5" t="s">
        <v>286</v>
      </c>
      <c r="H335" s="10">
        <v>7.8130223005452164</v>
      </c>
      <c r="I335" s="10">
        <v>0</v>
      </c>
      <c r="J335" s="325">
        <v>7.8130223005452164</v>
      </c>
      <c r="K335" s="10">
        <v>1.7097859103547755</v>
      </c>
      <c r="L335" s="10">
        <v>4.4108600066309425</v>
      </c>
      <c r="M335" s="325">
        <v>6.1206459169857181</v>
      </c>
      <c r="N335" s="10">
        <v>3.609638771520189</v>
      </c>
      <c r="O335" s="10">
        <v>6.6368531439426945</v>
      </c>
      <c r="P335" s="10">
        <v>2.7710714205823401</v>
      </c>
      <c r="Q335" s="10">
        <v>2.2062086769194655</v>
      </c>
      <c r="R335" s="10">
        <v>14.797498291610715</v>
      </c>
      <c r="S335" s="10">
        <v>7.775038165110054</v>
      </c>
      <c r="T335" s="10">
        <v>12.352165344899085</v>
      </c>
      <c r="U335" s="10">
        <v>1.8241785174000706</v>
      </c>
      <c r="V335" s="325">
        <v>51.972652331984612</v>
      </c>
      <c r="W335" s="325">
        <v>65.906320549515542</v>
      </c>
      <c r="X335" s="10">
        <v>6.5065071178000489</v>
      </c>
      <c r="Y335" s="320">
        <v>72.412827667315597</v>
      </c>
    </row>
    <row r="336" spans="1:25" x14ac:dyDescent="0.2">
      <c r="A336" s="7">
        <v>2017</v>
      </c>
      <c r="B336" s="5" t="s">
        <v>466</v>
      </c>
      <c r="C336" s="5" t="s">
        <v>261</v>
      </c>
      <c r="D336" s="5" t="s">
        <v>486</v>
      </c>
      <c r="E336" s="5" t="s">
        <v>287</v>
      </c>
      <c r="F336" s="5" t="s">
        <v>264</v>
      </c>
      <c r="G336" s="5" t="s">
        <v>288</v>
      </c>
      <c r="H336" s="10">
        <v>59.779904204335082</v>
      </c>
      <c r="I336" s="10">
        <v>0</v>
      </c>
      <c r="J336" s="325">
        <v>59.779904204335082</v>
      </c>
      <c r="K336" s="10">
        <v>540.13534438616853</v>
      </c>
      <c r="L336" s="10">
        <v>159.59416807701515</v>
      </c>
      <c r="M336" s="325">
        <v>699.72951246318371</v>
      </c>
      <c r="N336" s="10">
        <v>28.121888703668198</v>
      </c>
      <c r="O336" s="10">
        <v>130.63594259428697</v>
      </c>
      <c r="P336" s="10">
        <v>12.270309481295987</v>
      </c>
      <c r="Q336" s="10">
        <v>15.402541850647413</v>
      </c>
      <c r="R336" s="10">
        <v>82.138343797855043</v>
      </c>
      <c r="S336" s="10">
        <v>72.365607132957322</v>
      </c>
      <c r="T336" s="10">
        <v>41.929007230235129</v>
      </c>
      <c r="U336" s="10">
        <v>14.999880795887773</v>
      </c>
      <c r="V336" s="325">
        <v>397.86352158683383</v>
      </c>
      <c r="W336" s="325">
        <v>1157.3729382543527</v>
      </c>
      <c r="X336" s="10">
        <v>109.48418864658778</v>
      </c>
      <c r="Y336" s="320">
        <v>1266.8571269009406</v>
      </c>
    </row>
    <row r="337" spans="1:25" x14ac:dyDescent="0.2">
      <c r="A337" s="7">
        <v>2017</v>
      </c>
      <c r="B337" s="5" t="s">
        <v>466</v>
      </c>
      <c r="C337" s="5" t="s">
        <v>261</v>
      </c>
      <c r="D337" s="5" t="s">
        <v>484</v>
      </c>
      <c r="E337" s="5" t="s">
        <v>289</v>
      </c>
      <c r="F337" s="5" t="s">
        <v>264</v>
      </c>
      <c r="G337" s="5" t="s">
        <v>290</v>
      </c>
      <c r="H337" s="10">
        <v>5.1388048967441726</v>
      </c>
      <c r="I337" s="10">
        <v>0</v>
      </c>
      <c r="J337" s="325">
        <v>5.1388048967441726</v>
      </c>
      <c r="K337" s="10">
        <v>2.4810971266782813</v>
      </c>
      <c r="L337" s="10">
        <v>23.375843373572128</v>
      </c>
      <c r="M337" s="325">
        <v>25.85694050025041</v>
      </c>
      <c r="N337" s="10">
        <v>11.58771302230333</v>
      </c>
      <c r="O337" s="10">
        <v>80.440397906358243</v>
      </c>
      <c r="P337" s="10">
        <v>9.3866570976015318</v>
      </c>
      <c r="Q337" s="10">
        <v>5.836701876169748</v>
      </c>
      <c r="R337" s="10">
        <v>52.777064599889691</v>
      </c>
      <c r="S337" s="10">
        <v>44.666204381466606</v>
      </c>
      <c r="T337" s="10">
        <v>34.396862906931588</v>
      </c>
      <c r="U337" s="10">
        <v>9.7729620249767066</v>
      </c>
      <c r="V337" s="325">
        <v>248.86456381569747</v>
      </c>
      <c r="W337" s="325">
        <v>279.86030921269202</v>
      </c>
      <c r="X337" s="10">
        <v>27.767596590323389</v>
      </c>
      <c r="Y337" s="320">
        <v>307.62790580301538</v>
      </c>
    </row>
    <row r="338" spans="1:25" x14ac:dyDescent="0.2">
      <c r="A338" s="7">
        <v>2017</v>
      </c>
      <c r="B338" s="5" t="s">
        <v>466</v>
      </c>
      <c r="C338" s="5" t="s">
        <v>261</v>
      </c>
      <c r="D338" s="5" t="s">
        <v>486</v>
      </c>
      <c r="E338" s="5" t="s">
        <v>291</v>
      </c>
      <c r="F338" s="5" t="s">
        <v>264</v>
      </c>
      <c r="G338" s="5" t="s">
        <v>292</v>
      </c>
      <c r="H338" s="10">
        <v>35.411626715804381</v>
      </c>
      <c r="I338" s="10">
        <v>0</v>
      </c>
      <c r="J338" s="325">
        <v>35.411626715804381</v>
      </c>
      <c r="K338" s="10">
        <v>52.35732163035577</v>
      </c>
      <c r="L338" s="10">
        <v>38.279920963884045</v>
      </c>
      <c r="M338" s="325">
        <v>90.637242594239808</v>
      </c>
      <c r="N338" s="10">
        <v>33.74676824263905</v>
      </c>
      <c r="O338" s="10">
        <v>175.16681047261551</v>
      </c>
      <c r="P338" s="10">
        <v>18.025730865221067</v>
      </c>
      <c r="Q338" s="10">
        <v>27.107441256380266</v>
      </c>
      <c r="R338" s="10">
        <v>125.46913504548306</v>
      </c>
      <c r="S338" s="10">
        <v>64.131271020446746</v>
      </c>
      <c r="T338" s="10">
        <v>70.470074885266939</v>
      </c>
      <c r="U338" s="10">
        <v>24.190508380320189</v>
      </c>
      <c r="V338" s="325">
        <v>538.3077401683729</v>
      </c>
      <c r="W338" s="325">
        <v>664.356609478417</v>
      </c>
      <c r="X338" s="10">
        <v>65.606833344574198</v>
      </c>
      <c r="Y338" s="320">
        <v>729.96344282299117</v>
      </c>
    </row>
    <row r="339" spans="1:25" x14ac:dyDescent="0.2">
      <c r="A339" s="7">
        <v>2017</v>
      </c>
      <c r="B339" s="5" t="s">
        <v>466</v>
      </c>
      <c r="C339" s="5" t="s">
        <v>261</v>
      </c>
      <c r="D339" s="5" t="s">
        <v>486</v>
      </c>
      <c r="E339" s="5" t="s">
        <v>293</v>
      </c>
      <c r="F339" s="5" t="s">
        <v>264</v>
      </c>
      <c r="G339" s="5" t="s">
        <v>295</v>
      </c>
      <c r="H339" s="10">
        <v>17.95792276954624</v>
      </c>
      <c r="I339" s="10">
        <v>0.24710476931048245</v>
      </c>
      <c r="J339" s="325">
        <v>18.205027538856722</v>
      </c>
      <c r="K339" s="10">
        <v>22.046954852475974</v>
      </c>
      <c r="L339" s="10">
        <v>7.6329201013895345</v>
      </c>
      <c r="M339" s="325">
        <v>29.679874953865507</v>
      </c>
      <c r="N339" s="10">
        <v>8.9228792781044817</v>
      </c>
      <c r="O339" s="10">
        <v>51.634826771448232</v>
      </c>
      <c r="P339" s="10">
        <v>6.4676683293938533</v>
      </c>
      <c r="Q339" s="10">
        <v>9.4546228210507284</v>
      </c>
      <c r="R339" s="10">
        <v>24.655248029051208</v>
      </c>
      <c r="S339" s="10">
        <v>19.088916229661216</v>
      </c>
      <c r="T339" s="10">
        <v>25.511787615107259</v>
      </c>
      <c r="U339" s="10">
        <v>8.4523800281054591</v>
      </c>
      <c r="V339" s="325">
        <v>154.18832910192245</v>
      </c>
      <c r="W339" s="325">
        <v>202.07323159464465</v>
      </c>
      <c r="X339" s="10">
        <v>19.967756356861777</v>
      </c>
      <c r="Y339" s="320">
        <v>222.04098795150642</v>
      </c>
    </row>
    <row r="340" spans="1:25" x14ac:dyDescent="0.2">
      <c r="A340" s="7">
        <v>2017</v>
      </c>
      <c r="B340" s="5" t="s">
        <v>466</v>
      </c>
      <c r="C340" s="5" t="s">
        <v>261</v>
      </c>
      <c r="D340" s="5" t="s">
        <v>486</v>
      </c>
      <c r="E340" s="5" t="s">
        <v>296</v>
      </c>
      <c r="F340" s="5" t="s">
        <v>264</v>
      </c>
      <c r="G340" s="5" t="s">
        <v>297</v>
      </c>
      <c r="H340" s="10">
        <v>131.72117159251212</v>
      </c>
      <c r="I340" s="10">
        <v>0</v>
      </c>
      <c r="J340" s="325">
        <v>131.72117159251212</v>
      </c>
      <c r="K340" s="10">
        <v>208.59202890024235</v>
      </c>
      <c r="L340" s="10">
        <v>61.777372239347386</v>
      </c>
      <c r="M340" s="325">
        <v>270.36940113958974</v>
      </c>
      <c r="N340" s="10">
        <v>27.317202277460886</v>
      </c>
      <c r="O340" s="10">
        <v>141.66718606325986</v>
      </c>
      <c r="P340" s="10">
        <v>21.905705820705855</v>
      </c>
      <c r="Q340" s="10">
        <v>27.952390534752961</v>
      </c>
      <c r="R340" s="10">
        <v>86.353853354129413</v>
      </c>
      <c r="S340" s="10">
        <v>62.300686102995606</v>
      </c>
      <c r="T340" s="10">
        <v>56.886064579617958</v>
      </c>
      <c r="U340" s="10">
        <v>19.246902049501127</v>
      </c>
      <c r="V340" s="325">
        <v>443.62999078242365</v>
      </c>
      <c r="W340" s="325">
        <v>845.72056351452557</v>
      </c>
      <c r="X340" s="10">
        <v>82.267048787455977</v>
      </c>
      <c r="Y340" s="320">
        <v>927.98761230198159</v>
      </c>
    </row>
    <row r="341" spans="1:25" x14ac:dyDescent="0.2">
      <c r="A341" s="7">
        <v>2017</v>
      </c>
      <c r="B341" s="5" t="s">
        <v>466</v>
      </c>
      <c r="C341" s="5" t="s">
        <v>261</v>
      </c>
      <c r="D341" s="5" t="s">
        <v>483</v>
      </c>
      <c r="E341" s="5" t="s">
        <v>298</v>
      </c>
      <c r="F341" s="5" t="s">
        <v>264</v>
      </c>
      <c r="G341" s="5" t="s">
        <v>299</v>
      </c>
      <c r="H341" s="10">
        <v>19.962591815494864</v>
      </c>
      <c r="I341" s="10">
        <v>0</v>
      </c>
      <c r="J341" s="325">
        <v>19.962591815494864</v>
      </c>
      <c r="K341" s="10">
        <v>0.81877740320539949</v>
      </c>
      <c r="L341" s="10">
        <v>11.851794618187775</v>
      </c>
      <c r="M341" s="325">
        <v>12.670572021393173</v>
      </c>
      <c r="N341" s="10">
        <v>1.2512541694369888</v>
      </c>
      <c r="O341" s="10">
        <v>9.7646134955051078</v>
      </c>
      <c r="P341" s="10">
        <v>7.6080809295039593</v>
      </c>
      <c r="Q341" s="10">
        <v>1.7410430177713676</v>
      </c>
      <c r="R341" s="10">
        <v>6.9415376981946286</v>
      </c>
      <c r="S341" s="10">
        <v>13.370269570763258</v>
      </c>
      <c r="T341" s="10">
        <v>15.03243800248087</v>
      </c>
      <c r="U341" s="10">
        <v>1.5937131698679701</v>
      </c>
      <c r="V341" s="325">
        <v>57.302950053524143</v>
      </c>
      <c r="W341" s="325">
        <v>89.936113890412173</v>
      </c>
      <c r="X341" s="10">
        <v>8.8930266089303434</v>
      </c>
      <c r="Y341" s="320">
        <v>98.829140499342515</v>
      </c>
    </row>
    <row r="342" spans="1:25" x14ac:dyDescent="0.2">
      <c r="A342" s="7">
        <v>2017</v>
      </c>
      <c r="B342" s="5" t="s">
        <v>466</v>
      </c>
      <c r="C342" s="5" t="s">
        <v>261</v>
      </c>
      <c r="D342" s="5" t="s">
        <v>486</v>
      </c>
      <c r="E342" s="5" t="s">
        <v>300</v>
      </c>
      <c r="F342" s="5" t="s">
        <v>264</v>
      </c>
      <c r="G342" s="5" t="s">
        <v>301</v>
      </c>
      <c r="H342" s="10">
        <v>45.157964265986294</v>
      </c>
      <c r="I342" s="10">
        <v>0.38537761377678992</v>
      </c>
      <c r="J342" s="325">
        <v>45.543341879763084</v>
      </c>
      <c r="K342" s="10">
        <v>1367.0110309021197</v>
      </c>
      <c r="L342" s="10">
        <v>242.08849761891724</v>
      </c>
      <c r="M342" s="325">
        <v>1609.099528521037</v>
      </c>
      <c r="N342" s="10">
        <v>86.616236349035347</v>
      </c>
      <c r="O342" s="10">
        <v>457.99172711009527</v>
      </c>
      <c r="P342" s="10">
        <v>26.110737421988464</v>
      </c>
      <c r="Q342" s="10">
        <v>36.561198150671601</v>
      </c>
      <c r="R342" s="10">
        <v>211.24141575530939</v>
      </c>
      <c r="S342" s="10">
        <v>232.67543680915898</v>
      </c>
      <c r="T342" s="10">
        <v>230.20195486943953</v>
      </c>
      <c r="U342" s="10">
        <v>38.828405992857675</v>
      </c>
      <c r="V342" s="325">
        <v>1320.2271124585561</v>
      </c>
      <c r="W342" s="325">
        <v>2974.8699828593562</v>
      </c>
      <c r="X342" s="10">
        <v>283.42941983989442</v>
      </c>
      <c r="Y342" s="320">
        <v>3258.2994026992505</v>
      </c>
    </row>
    <row r="343" spans="1:25" x14ac:dyDescent="0.2">
      <c r="A343" s="7">
        <v>2017</v>
      </c>
      <c r="B343" s="5" t="s">
        <v>466</v>
      </c>
      <c r="C343" s="5" t="s">
        <v>261</v>
      </c>
      <c r="D343" s="5" t="s">
        <v>484</v>
      </c>
      <c r="E343" s="5" t="s">
        <v>302</v>
      </c>
      <c r="F343" s="5" t="s">
        <v>264</v>
      </c>
      <c r="G343" s="5" t="s">
        <v>303</v>
      </c>
      <c r="H343" s="10">
        <v>16.148093886192246</v>
      </c>
      <c r="I343" s="10">
        <v>0.45102502627797197</v>
      </c>
      <c r="J343" s="325">
        <v>16.599118912470217</v>
      </c>
      <c r="K343" s="10">
        <v>26.872376405752206</v>
      </c>
      <c r="L343" s="10">
        <v>29.993105219825146</v>
      </c>
      <c r="M343" s="325">
        <v>56.865481625577353</v>
      </c>
      <c r="N343" s="10">
        <v>460.45955076523592</v>
      </c>
      <c r="O343" s="10">
        <v>18.015573616415725</v>
      </c>
      <c r="P343" s="10">
        <v>10.721789825586146</v>
      </c>
      <c r="Q343" s="10">
        <v>2.4285194301432678</v>
      </c>
      <c r="R343" s="10">
        <v>12.177378137323409</v>
      </c>
      <c r="S343" s="10">
        <v>14.746168730437837</v>
      </c>
      <c r="T343" s="10">
        <v>17.030535104668253</v>
      </c>
      <c r="U343" s="10">
        <v>2.4238455699006791</v>
      </c>
      <c r="V343" s="325">
        <v>538.00336117971119</v>
      </c>
      <c r="W343" s="325">
        <v>611.46796171775873</v>
      </c>
      <c r="X343" s="10">
        <v>61.34730561501015</v>
      </c>
      <c r="Y343" s="320">
        <v>672.81526733276883</v>
      </c>
    </row>
    <row r="344" spans="1:25" x14ac:dyDescent="0.2">
      <c r="A344" s="7">
        <v>2017</v>
      </c>
      <c r="B344" s="5" t="s">
        <v>466</v>
      </c>
      <c r="C344" s="5" t="s">
        <v>261</v>
      </c>
      <c r="D344" s="5" t="s">
        <v>485</v>
      </c>
      <c r="E344" s="5" t="s">
        <v>304</v>
      </c>
      <c r="F344" s="5" t="s">
        <v>264</v>
      </c>
      <c r="G344" s="5" t="s">
        <v>305</v>
      </c>
      <c r="H344" s="10">
        <v>4.3955463626177638</v>
      </c>
      <c r="I344" s="10">
        <v>0.1103015256860241</v>
      </c>
      <c r="J344" s="325">
        <v>4.505847888303788</v>
      </c>
      <c r="K344" s="10">
        <v>1.2289401690648429</v>
      </c>
      <c r="L344" s="10">
        <v>4.6746879518242537</v>
      </c>
      <c r="M344" s="325">
        <v>5.9036281208890964</v>
      </c>
      <c r="N344" s="10">
        <v>1.1489348244126312</v>
      </c>
      <c r="O344" s="10">
        <v>5.7228470057892729</v>
      </c>
      <c r="P344" s="10">
        <v>20.969481846089025</v>
      </c>
      <c r="Q344" s="10">
        <v>1.2766892477542551</v>
      </c>
      <c r="R344" s="10">
        <v>6.2579163515412493</v>
      </c>
      <c r="S344" s="10">
        <v>4.8731410900148466</v>
      </c>
      <c r="T344" s="10">
        <v>11.211403180920151</v>
      </c>
      <c r="U344" s="10">
        <v>1.3580754092532339</v>
      </c>
      <c r="V344" s="325">
        <v>52.818488955774662</v>
      </c>
      <c r="W344" s="325">
        <v>63.227964964967548</v>
      </c>
      <c r="X344" s="10">
        <v>6.2750231022454228</v>
      </c>
      <c r="Y344" s="320">
        <v>69.502988067212968</v>
      </c>
    </row>
    <row r="345" spans="1:25" x14ac:dyDescent="0.2">
      <c r="A345" s="7">
        <v>2017</v>
      </c>
      <c r="B345" s="5" t="s">
        <v>466</v>
      </c>
      <c r="C345" s="5" t="s">
        <v>261</v>
      </c>
      <c r="D345" s="5" t="s">
        <v>485</v>
      </c>
      <c r="E345" s="5" t="s">
        <v>306</v>
      </c>
      <c r="F345" s="5" t="s">
        <v>264</v>
      </c>
      <c r="G345" s="5" t="s">
        <v>307</v>
      </c>
      <c r="H345" s="10">
        <v>6.2285536880721226</v>
      </c>
      <c r="I345" s="10">
        <v>0.67484510505121054</v>
      </c>
      <c r="J345" s="325">
        <v>6.9033987931233334</v>
      </c>
      <c r="K345" s="10">
        <v>2.6811663906158363</v>
      </c>
      <c r="L345" s="10">
        <v>7.9673911571693319</v>
      </c>
      <c r="M345" s="325">
        <v>10.648557547785169</v>
      </c>
      <c r="N345" s="10">
        <v>3.0218318878092756</v>
      </c>
      <c r="O345" s="10">
        <v>15.98816279877253</v>
      </c>
      <c r="P345" s="10">
        <v>5.4829959830099479</v>
      </c>
      <c r="Q345" s="10">
        <v>2.7601223184759576</v>
      </c>
      <c r="R345" s="10">
        <v>9.261804930269399</v>
      </c>
      <c r="S345" s="10">
        <v>23.989863627669713</v>
      </c>
      <c r="T345" s="10">
        <v>17.666686673290847</v>
      </c>
      <c r="U345" s="10">
        <v>3.2972439265736573</v>
      </c>
      <c r="V345" s="325">
        <v>81.468712145871336</v>
      </c>
      <c r="W345" s="325">
        <v>99.02066848677984</v>
      </c>
      <c r="X345" s="10">
        <v>9.7897676628932793</v>
      </c>
      <c r="Y345" s="320">
        <v>108.81043614967312</v>
      </c>
    </row>
    <row r="346" spans="1:25" x14ac:dyDescent="0.2">
      <c r="A346" s="7">
        <v>2017</v>
      </c>
      <c r="B346" s="5" t="s">
        <v>466</v>
      </c>
      <c r="C346" s="5" t="s">
        <v>261</v>
      </c>
      <c r="D346" s="5" t="s">
        <v>484</v>
      </c>
      <c r="E346" s="5" t="s">
        <v>308</v>
      </c>
      <c r="F346" s="5" t="s">
        <v>264</v>
      </c>
      <c r="G346" s="5" t="s">
        <v>309</v>
      </c>
      <c r="H346" s="10">
        <v>7.4473097680992222</v>
      </c>
      <c r="I346" s="10">
        <v>0</v>
      </c>
      <c r="J346" s="325">
        <v>7.4473097680992222</v>
      </c>
      <c r="K346" s="10">
        <v>1.3679943951608295</v>
      </c>
      <c r="L346" s="10">
        <v>15.448657344897185</v>
      </c>
      <c r="M346" s="325">
        <v>16.816651740058013</v>
      </c>
      <c r="N346" s="10">
        <v>108.01136361092809</v>
      </c>
      <c r="O346" s="10">
        <v>7.2226241268646962</v>
      </c>
      <c r="P346" s="10">
        <v>5.5111665166582151</v>
      </c>
      <c r="Q346" s="10">
        <v>1.2411049865040353</v>
      </c>
      <c r="R346" s="10">
        <v>6.7453758867759115</v>
      </c>
      <c r="S346" s="10">
        <v>3.9271379424129225</v>
      </c>
      <c r="T346" s="10">
        <v>7.1373886306461056</v>
      </c>
      <c r="U346" s="10">
        <v>1.2424356458667669</v>
      </c>
      <c r="V346" s="325">
        <v>141.03859734665676</v>
      </c>
      <c r="W346" s="325">
        <v>165.30255885481398</v>
      </c>
      <c r="X346" s="10">
        <v>16.541589649952385</v>
      </c>
      <c r="Y346" s="320">
        <v>181.84414850476637</v>
      </c>
    </row>
    <row r="347" spans="1:25" x14ac:dyDescent="0.2">
      <c r="A347" s="7">
        <v>2017</v>
      </c>
      <c r="B347" s="5" t="s">
        <v>466</v>
      </c>
      <c r="C347" s="5" t="s">
        <v>261</v>
      </c>
      <c r="D347" s="5" t="s">
        <v>486</v>
      </c>
      <c r="E347" s="5" t="s">
        <v>310</v>
      </c>
      <c r="F347" s="5" t="s">
        <v>264</v>
      </c>
      <c r="G347" s="5" t="s">
        <v>311</v>
      </c>
      <c r="H347" s="10">
        <v>59.319917250868691</v>
      </c>
      <c r="I347" s="10">
        <v>0</v>
      </c>
      <c r="J347" s="325">
        <v>59.319917250868691</v>
      </c>
      <c r="K347" s="10">
        <v>4.4188369771062499</v>
      </c>
      <c r="L347" s="10">
        <v>13.620987183753632</v>
      </c>
      <c r="M347" s="325">
        <v>18.039824160859883</v>
      </c>
      <c r="N347" s="10">
        <v>3.2386904849130342</v>
      </c>
      <c r="O347" s="10">
        <v>16.466637561009215</v>
      </c>
      <c r="P347" s="10">
        <v>39.100435534731787</v>
      </c>
      <c r="Q347" s="10">
        <v>1.7517480314482137</v>
      </c>
      <c r="R347" s="10">
        <v>20.370623042783627</v>
      </c>
      <c r="S347" s="10">
        <v>10.489549671166694</v>
      </c>
      <c r="T347" s="10">
        <v>20.492097845793342</v>
      </c>
      <c r="U347" s="10">
        <v>5.4933376173410728</v>
      </c>
      <c r="V347" s="325">
        <v>117.40311978918699</v>
      </c>
      <c r="W347" s="325">
        <v>194.76286120091555</v>
      </c>
      <c r="X347" s="10">
        <v>19.391416023702874</v>
      </c>
      <c r="Y347" s="320">
        <v>214.15427722461843</v>
      </c>
    </row>
    <row r="348" spans="1:25" x14ac:dyDescent="0.2">
      <c r="A348" s="7">
        <v>2017</v>
      </c>
      <c r="B348" s="5" t="s">
        <v>466</v>
      </c>
      <c r="C348" s="5" t="s">
        <v>261</v>
      </c>
      <c r="D348" s="5" t="s">
        <v>483</v>
      </c>
      <c r="E348" s="5" t="s">
        <v>312</v>
      </c>
      <c r="F348" s="5" t="s">
        <v>264</v>
      </c>
      <c r="G348" s="5" t="s">
        <v>313</v>
      </c>
      <c r="H348" s="10">
        <v>126.93851880051774</v>
      </c>
      <c r="I348" s="10">
        <v>8.8736347814333811</v>
      </c>
      <c r="J348" s="325">
        <v>135.81215358195112</v>
      </c>
      <c r="K348" s="10">
        <v>280.87348240777709</v>
      </c>
      <c r="L348" s="10">
        <v>20.158319600360297</v>
      </c>
      <c r="M348" s="325">
        <v>301.03180200813739</v>
      </c>
      <c r="N348" s="10">
        <v>26.308560605180734</v>
      </c>
      <c r="O348" s="10">
        <v>52.702575148405764</v>
      </c>
      <c r="P348" s="10">
        <v>9.2225105186770566</v>
      </c>
      <c r="Q348" s="10">
        <v>10.630781602456526</v>
      </c>
      <c r="R348" s="10">
        <v>36.476271580156016</v>
      </c>
      <c r="S348" s="10">
        <v>49.943246388070271</v>
      </c>
      <c r="T348" s="10">
        <v>56.660600301471952</v>
      </c>
      <c r="U348" s="10">
        <v>7.8058886393796074</v>
      </c>
      <c r="V348" s="325">
        <v>249.75043478379794</v>
      </c>
      <c r="W348" s="325">
        <v>686.59439037388643</v>
      </c>
      <c r="X348" s="10">
        <v>66.107163389940069</v>
      </c>
      <c r="Y348" s="320">
        <v>752.7015537638265</v>
      </c>
    </row>
    <row r="349" spans="1:25" x14ac:dyDescent="0.2">
      <c r="A349" s="7">
        <v>2017</v>
      </c>
      <c r="B349" s="5" t="s">
        <v>466</v>
      </c>
      <c r="C349" s="5" t="s">
        <v>314</v>
      </c>
      <c r="D349" s="5" t="s">
        <v>487</v>
      </c>
      <c r="E349" s="5" t="s">
        <v>316</v>
      </c>
      <c r="F349" s="5" t="s">
        <v>317</v>
      </c>
      <c r="G349" s="5" t="s">
        <v>318</v>
      </c>
      <c r="H349" s="10">
        <v>43.688404920861252</v>
      </c>
      <c r="I349" s="10">
        <v>0.84247022991261344</v>
      </c>
      <c r="J349" s="325">
        <v>44.530875150773866</v>
      </c>
      <c r="K349" s="10">
        <v>141.12731463403654</v>
      </c>
      <c r="L349" s="10">
        <v>46.913946703976222</v>
      </c>
      <c r="M349" s="325">
        <v>188.04126133801276</v>
      </c>
      <c r="N349" s="10">
        <v>18.911733333023196</v>
      </c>
      <c r="O349" s="10">
        <v>47.656145198913173</v>
      </c>
      <c r="P349" s="10">
        <v>11.392547565540404</v>
      </c>
      <c r="Q349" s="10">
        <v>9.4717393518502568</v>
      </c>
      <c r="R349" s="10">
        <v>29.975294884766729</v>
      </c>
      <c r="S349" s="10">
        <v>34.569711567499574</v>
      </c>
      <c r="T349" s="10">
        <v>40.076439087872139</v>
      </c>
      <c r="U349" s="10">
        <v>9.8580127434487395</v>
      </c>
      <c r="V349" s="325">
        <v>201.91162373291422</v>
      </c>
      <c r="W349" s="325">
        <v>434.48376022170083</v>
      </c>
      <c r="X349" s="10">
        <v>41.780863409482407</v>
      </c>
      <c r="Y349" s="320">
        <v>476.26462363118321</v>
      </c>
    </row>
    <row r="350" spans="1:25" x14ac:dyDescent="0.2">
      <c r="A350" s="7">
        <v>2017</v>
      </c>
      <c r="B350" s="5" t="s">
        <v>466</v>
      </c>
      <c r="C350" s="5" t="s">
        <v>314</v>
      </c>
      <c r="D350" s="5" t="s">
        <v>488</v>
      </c>
      <c r="E350" s="5" t="s">
        <v>319</v>
      </c>
      <c r="F350" s="5" t="s">
        <v>317</v>
      </c>
      <c r="G350" s="5" t="s">
        <v>321</v>
      </c>
      <c r="H350" s="10">
        <v>133.00873194802523</v>
      </c>
      <c r="I350" s="10">
        <v>0.79523802965991974</v>
      </c>
      <c r="J350" s="325">
        <v>133.80396997768514</v>
      </c>
      <c r="K350" s="10">
        <v>87.745375378844784</v>
      </c>
      <c r="L350" s="10">
        <v>117.79605744475732</v>
      </c>
      <c r="M350" s="325">
        <v>205.54143282360212</v>
      </c>
      <c r="N350" s="10">
        <v>11.375015611483665</v>
      </c>
      <c r="O350" s="10">
        <v>93.858985854643535</v>
      </c>
      <c r="P350" s="10">
        <v>9.6358363864719561</v>
      </c>
      <c r="Q350" s="10">
        <v>20.832103603606214</v>
      </c>
      <c r="R350" s="10">
        <v>27.932871025590003</v>
      </c>
      <c r="S350" s="10">
        <v>43.655529933897739</v>
      </c>
      <c r="T350" s="10">
        <v>63.105806299310629</v>
      </c>
      <c r="U350" s="10">
        <v>11.131489435330844</v>
      </c>
      <c r="V350" s="325">
        <v>281.52763815033455</v>
      </c>
      <c r="W350" s="325">
        <v>620.87304095162176</v>
      </c>
      <c r="X350" s="10">
        <v>60.402606284159873</v>
      </c>
      <c r="Y350" s="320">
        <v>681.27564723578166</v>
      </c>
    </row>
    <row r="351" spans="1:25" x14ac:dyDescent="0.2">
      <c r="A351" s="7">
        <v>2017</v>
      </c>
      <c r="B351" s="5" t="s">
        <v>466</v>
      </c>
      <c r="C351" s="5" t="s">
        <v>314</v>
      </c>
      <c r="D351" s="5" t="s">
        <v>487</v>
      </c>
      <c r="E351" s="5" t="s">
        <v>322</v>
      </c>
      <c r="F351" s="5" t="s">
        <v>317</v>
      </c>
      <c r="G351" s="5" t="s">
        <v>323</v>
      </c>
      <c r="H351" s="10">
        <v>27.850514389133924</v>
      </c>
      <c r="I351" s="10">
        <v>0.78609383999801252</v>
      </c>
      <c r="J351" s="325">
        <v>28.636608229131937</v>
      </c>
      <c r="K351" s="10">
        <v>5.4794947988512597</v>
      </c>
      <c r="L351" s="10">
        <v>1.4183701619606122</v>
      </c>
      <c r="M351" s="325">
        <v>6.8978649608118721</v>
      </c>
      <c r="N351" s="10">
        <v>2.427640477849164</v>
      </c>
      <c r="O351" s="10">
        <v>10.272542177394286</v>
      </c>
      <c r="P351" s="10">
        <v>3.2797957091750307</v>
      </c>
      <c r="Q351" s="10">
        <v>1.07399238895955</v>
      </c>
      <c r="R351" s="10">
        <v>3.2954458840796379</v>
      </c>
      <c r="S351" s="10">
        <v>5.2795838234753312</v>
      </c>
      <c r="T351" s="10">
        <v>9.6482497650062022</v>
      </c>
      <c r="U351" s="10">
        <v>1.6645130903037582</v>
      </c>
      <c r="V351" s="325">
        <v>36.941763316242955</v>
      </c>
      <c r="W351" s="325">
        <v>72.476236506186765</v>
      </c>
      <c r="X351" s="10">
        <v>7.2395033672471758</v>
      </c>
      <c r="Y351" s="320">
        <v>79.715739873433947</v>
      </c>
    </row>
    <row r="352" spans="1:25" x14ac:dyDescent="0.2">
      <c r="A352" s="7">
        <v>2017</v>
      </c>
      <c r="B352" s="5" t="s">
        <v>466</v>
      </c>
      <c r="C352" s="5" t="s">
        <v>314</v>
      </c>
      <c r="D352" s="5" t="s">
        <v>488</v>
      </c>
      <c r="E352" s="5" t="s">
        <v>324</v>
      </c>
      <c r="F352" s="5" t="s">
        <v>317</v>
      </c>
      <c r="G352" s="5" t="s">
        <v>325</v>
      </c>
      <c r="H352" s="10">
        <v>64.880682947346614</v>
      </c>
      <c r="I352" s="10">
        <v>0</v>
      </c>
      <c r="J352" s="325">
        <v>64.880682947346614</v>
      </c>
      <c r="K352" s="10">
        <v>5.8113049443450366</v>
      </c>
      <c r="L352" s="10">
        <v>7.6904063672017617</v>
      </c>
      <c r="M352" s="325">
        <v>13.501711311546799</v>
      </c>
      <c r="N352" s="10">
        <v>2.406824831988704</v>
      </c>
      <c r="O352" s="10">
        <v>16.762689651862228</v>
      </c>
      <c r="P352" s="10">
        <v>5.1538828582927572</v>
      </c>
      <c r="Q352" s="10">
        <v>3.0953034474435159</v>
      </c>
      <c r="R352" s="10">
        <v>7.9567815588615591</v>
      </c>
      <c r="S352" s="10">
        <v>9.5176840707032504</v>
      </c>
      <c r="T352" s="10">
        <v>16.271675549084982</v>
      </c>
      <c r="U352" s="10">
        <v>3.1267880623092656</v>
      </c>
      <c r="V352" s="325">
        <v>64.291630030546258</v>
      </c>
      <c r="W352" s="325">
        <v>142.67402428943967</v>
      </c>
      <c r="X352" s="10">
        <v>14.240580320523888</v>
      </c>
      <c r="Y352" s="320">
        <v>156.91460460996356</v>
      </c>
    </row>
    <row r="353" spans="1:25" x14ac:dyDescent="0.2">
      <c r="A353" s="7">
        <v>2017</v>
      </c>
      <c r="B353" s="5" t="s">
        <v>466</v>
      </c>
      <c r="C353" s="5" t="s">
        <v>314</v>
      </c>
      <c r="D353" s="5" t="s">
        <v>489</v>
      </c>
      <c r="E353" s="5" t="s">
        <v>326</v>
      </c>
      <c r="F353" s="5" t="s">
        <v>317</v>
      </c>
      <c r="G353" s="5" t="s">
        <v>327</v>
      </c>
      <c r="H353" s="10">
        <v>86.972955979166755</v>
      </c>
      <c r="I353" s="10">
        <v>0</v>
      </c>
      <c r="J353" s="325">
        <v>86.972955979166755</v>
      </c>
      <c r="K353" s="10">
        <v>8.2679437658028778</v>
      </c>
      <c r="L353" s="10">
        <v>10.077812339160163</v>
      </c>
      <c r="M353" s="325">
        <v>18.345756104963041</v>
      </c>
      <c r="N353" s="10">
        <v>4.2140261130653327</v>
      </c>
      <c r="O353" s="10">
        <v>16.21495515413817</v>
      </c>
      <c r="P353" s="10">
        <v>5.5426167683445176</v>
      </c>
      <c r="Q353" s="10">
        <v>5.0660259827717571</v>
      </c>
      <c r="R353" s="10">
        <v>13.179581891588601</v>
      </c>
      <c r="S353" s="10">
        <v>13.298011933765423</v>
      </c>
      <c r="T353" s="10">
        <v>29.69303644741014</v>
      </c>
      <c r="U353" s="10">
        <v>4.6171666881468472</v>
      </c>
      <c r="V353" s="325">
        <v>91.825420979230785</v>
      </c>
      <c r="W353" s="325">
        <v>197.14413306336058</v>
      </c>
      <c r="X353" s="10">
        <v>19.644102303103573</v>
      </c>
      <c r="Y353" s="320">
        <v>216.78823536646416</v>
      </c>
    </row>
    <row r="354" spans="1:25" x14ac:dyDescent="0.2">
      <c r="A354" s="7">
        <v>2017</v>
      </c>
      <c r="B354" s="5" t="s">
        <v>466</v>
      </c>
      <c r="C354" s="5" t="s">
        <v>314</v>
      </c>
      <c r="D354" s="5" t="s">
        <v>490</v>
      </c>
      <c r="E354" s="5" t="s">
        <v>328</v>
      </c>
      <c r="F354" s="5" t="s">
        <v>317</v>
      </c>
      <c r="G354" s="5" t="s">
        <v>330</v>
      </c>
      <c r="H354" s="10">
        <v>15.745409069141617</v>
      </c>
      <c r="I354" s="10">
        <v>0</v>
      </c>
      <c r="J354" s="325">
        <v>15.745409069141617</v>
      </c>
      <c r="K354" s="10">
        <v>0.60695269633046223</v>
      </c>
      <c r="L354" s="10">
        <v>4.7994055692360647</v>
      </c>
      <c r="M354" s="325">
        <v>5.406358265566527</v>
      </c>
      <c r="N354" s="10">
        <v>1.5701050380853523</v>
      </c>
      <c r="O354" s="10">
        <v>6.0921715602772979</v>
      </c>
      <c r="P354" s="10">
        <v>5.5946556298170167</v>
      </c>
      <c r="Q354" s="10">
        <v>1.4674528790387864</v>
      </c>
      <c r="R354" s="10">
        <v>3.1140229090944689</v>
      </c>
      <c r="S354" s="10">
        <v>4.9459019553788908</v>
      </c>
      <c r="T354" s="10">
        <v>9.8706401221097266</v>
      </c>
      <c r="U354" s="10">
        <v>1.2014781357401114</v>
      </c>
      <c r="V354" s="325">
        <v>33.856428229541649</v>
      </c>
      <c r="W354" s="325">
        <v>55.008195564249789</v>
      </c>
      <c r="X354" s="10">
        <v>5.4728884138206144</v>
      </c>
      <c r="Y354" s="320">
        <v>60.481083978070401</v>
      </c>
    </row>
    <row r="355" spans="1:25" x14ac:dyDescent="0.2">
      <c r="A355" s="7">
        <v>2017</v>
      </c>
      <c r="B355" s="5" t="s">
        <v>466</v>
      </c>
      <c r="C355" s="5" t="s">
        <v>314</v>
      </c>
      <c r="D355" s="5" t="s">
        <v>488</v>
      </c>
      <c r="E355" s="5" t="s">
        <v>331</v>
      </c>
      <c r="F355" s="5" t="s">
        <v>317</v>
      </c>
      <c r="G355" s="5" t="s">
        <v>332</v>
      </c>
      <c r="H355" s="10">
        <v>92.293932397511526</v>
      </c>
      <c r="I355" s="10">
        <v>0</v>
      </c>
      <c r="J355" s="325">
        <v>92.293932397511526</v>
      </c>
      <c r="K355" s="10">
        <v>10.503306244507032</v>
      </c>
      <c r="L355" s="10">
        <v>17.423305834645337</v>
      </c>
      <c r="M355" s="325">
        <v>27.92661207915237</v>
      </c>
      <c r="N355" s="10">
        <v>8.0806140324005113</v>
      </c>
      <c r="O355" s="10">
        <v>58.322698770360475</v>
      </c>
      <c r="P355" s="10">
        <v>6.6556956815181021</v>
      </c>
      <c r="Q355" s="10">
        <v>6.4565338825249166</v>
      </c>
      <c r="R355" s="10">
        <v>21.51540555136507</v>
      </c>
      <c r="S355" s="10">
        <v>23.52335326302612</v>
      </c>
      <c r="T355" s="10">
        <v>49.420533476936058</v>
      </c>
      <c r="U355" s="10">
        <v>6.869222647291954</v>
      </c>
      <c r="V355" s="325">
        <v>180.84405730542321</v>
      </c>
      <c r="W355" s="325">
        <v>301.0646017820871</v>
      </c>
      <c r="X355" s="10">
        <v>30.0456236554346</v>
      </c>
      <c r="Y355" s="320">
        <v>331.11022543752171</v>
      </c>
    </row>
    <row r="356" spans="1:25" x14ac:dyDescent="0.2">
      <c r="A356" s="7">
        <v>2017</v>
      </c>
      <c r="B356" s="5" t="s">
        <v>466</v>
      </c>
      <c r="C356" s="5" t="s">
        <v>314</v>
      </c>
      <c r="D356" s="5" t="s">
        <v>489</v>
      </c>
      <c r="E356" s="5" t="s">
        <v>333</v>
      </c>
      <c r="F356" s="5" t="s">
        <v>317</v>
      </c>
      <c r="G356" s="5" t="s">
        <v>334</v>
      </c>
      <c r="H356" s="10">
        <v>108.12496026563625</v>
      </c>
      <c r="I356" s="10">
        <v>0</v>
      </c>
      <c r="J356" s="325">
        <v>108.12496026563625</v>
      </c>
      <c r="K356" s="10">
        <v>10.794620662245952</v>
      </c>
      <c r="L356" s="10">
        <v>12.821100705960713</v>
      </c>
      <c r="M356" s="325">
        <v>23.615721368206664</v>
      </c>
      <c r="N356" s="10">
        <v>7.5414130896526776</v>
      </c>
      <c r="O356" s="10">
        <v>25.398235640312262</v>
      </c>
      <c r="P356" s="10">
        <v>9.4234393534655787</v>
      </c>
      <c r="Q356" s="10">
        <v>6.5336086370597348</v>
      </c>
      <c r="R356" s="10">
        <v>14.276220263070481</v>
      </c>
      <c r="S356" s="10">
        <v>15.836213343326328</v>
      </c>
      <c r="T356" s="10">
        <v>28.621879586413463</v>
      </c>
      <c r="U356" s="10">
        <v>6.0473857363189003</v>
      </c>
      <c r="V356" s="325">
        <v>113.67839564961942</v>
      </c>
      <c r="W356" s="325">
        <v>245.41907728346231</v>
      </c>
      <c r="X356" s="10">
        <v>24.470574763268065</v>
      </c>
      <c r="Y356" s="320">
        <v>269.88965204673036</v>
      </c>
    </row>
    <row r="357" spans="1:25" x14ac:dyDescent="0.2">
      <c r="A357" s="7">
        <v>2017</v>
      </c>
      <c r="B357" s="5" t="s">
        <v>466</v>
      </c>
      <c r="C357" s="5" t="s">
        <v>314</v>
      </c>
      <c r="D357" s="5" t="s">
        <v>487</v>
      </c>
      <c r="E357" s="5" t="s">
        <v>335</v>
      </c>
      <c r="F357" s="5" t="s">
        <v>317</v>
      </c>
      <c r="G357" s="5" t="s">
        <v>336</v>
      </c>
      <c r="H357" s="10">
        <v>100.45837843844879</v>
      </c>
      <c r="I357" s="10">
        <v>1.1219360253915505</v>
      </c>
      <c r="J357" s="325">
        <v>101.58031446384034</v>
      </c>
      <c r="K357" s="10">
        <v>9.2613194431431634</v>
      </c>
      <c r="L357" s="10">
        <v>19.068663097691179</v>
      </c>
      <c r="M357" s="325">
        <v>28.329982540834344</v>
      </c>
      <c r="N357" s="10">
        <v>7.5106488578734139</v>
      </c>
      <c r="O357" s="10">
        <v>39.906190410475176</v>
      </c>
      <c r="P357" s="10">
        <v>6.9342304182223211</v>
      </c>
      <c r="Q357" s="10">
        <v>8.2754911834865688</v>
      </c>
      <c r="R357" s="10">
        <v>21.709426190686614</v>
      </c>
      <c r="S357" s="10">
        <v>22.08902866399794</v>
      </c>
      <c r="T357" s="10">
        <v>33.804529484854832</v>
      </c>
      <c r="U357" s="10">
        <v>8.9073453452566671</v>
      </c>
      <c r="V357" s="325">
        <v>149.13689055485352</v>
      </c>
      <c r="W357" s="325">
        <v>279.0471875595282</v>
      </c>
      <c r="X357" s="10">
        <v>27.771299536823943</v>
      </c>
      <c r="Y357" s="320">
        <v>306.81848709635216</v>
      </c>
    </row>
    <row r="358" spans="1:25" x14ac:dyDescent="0.2">
      <c r="A358" s="7">
        <v>2017</v>
      </c>
      <c r="B358" s="5" t="s">
        <v>466</v>
      </c>
      <c r="C358" s="5" t="s">
        <v>314</v>
      </c>
      <c r="D358" s="5" t="s">
        <v>488</v>
      </c>
      <c r="E358" s="5" t="s">
        <v>337</v>
      </c>
      <c r="F358" s="5" t="s">
        <v>317</v>
      </c>
      <c r="G358" s="5" t="s">
        <v>338</v>
      </c>
      <c r="H358" s="10">
        <v>14.899882799045578</v>
      </c>
      <c r="I358" s="10">
        <v>0</v>
      </c>
      <c r="J358" s="325">
        <v>14.899882799045578</v>
      </c>
      <c r="K358" s="10">
        <v>2.4413075507941295</v>
      </c>
      <c r="L358" s="10">
        <v>3.0647914919453565</v>
      </c>
      <c r="M358" s="325">
        <v>5.5060990427394856</v>
      </c>
      <c r="N358" s="10">
        <v>1.7740021128667312</v>
      </c>
      <c r="O358" s="10">
        <v>9.7319412891836699</v>
      </c>
      <c r="P358" s="10">
        <v>2.7994884298144056</v>
      </c>
      <c r="Q358" s="10">
        <v>1.1495212369404857</v>
      </c>
      <c r="R358" s="10">
        <v>4.8715101366620077</v>
      </c>
      <c r="S358" s="10">
        <v>4.6346042019716833</v>
      </c>
      <c r="T358" s="10">
        <v>8.5927019673727045</v>
      </c>
      <c r="U358" s="10">
        <v>1.4812811993360868</v>
      </c>
      <c r="V358" s="325">
        <v>35.035050574147775</v>
      </c>
      <c r="W358" s="325">
        <v>55.441032415932838</v>
      </c>
      <c r="X358" s="10">
        <v>5.5217199529410852</v>
      </c>
      <c r="Y358" s="320">
        <v>60.962752368873922</v>
      </c>
    </row>
    <row r="359" spans="1:25" x14ac:dyDescent="0.2">
      <c r="A359" s="7">
        <v>2017</v>
      </c>
      <c r="B359" s="5" t="s">
        <v>466</v>
      </c>
      <c r="C359" s="5" t="s">
        <v>314</v>
      </c>
      <c r="D359" s="5" t="s">
        <v>488</v>
      </c>
      <c r="E359" s="5" t="s">
        <v>339</v>
      </c>
      <c r="F359" s="5" t="s">
        <v>317</v>
      </c>
      <c r="G359" s="5" t="s">
        <v>340</v>
      </c>
      <c r="H359" s="10">
        <v>41.547292894268807</v>
      </c>
      <c r="I359" s="10">
        <v>0.32528786803696008</v>
      </c>
      <c r="J359" s="325">
        <v>41.872580762305766</v>
      </c>
      <c r="K359" s="10">
        <v>6.2114195007195692</v>
      </c>
      <c r="L359" s="10">
        <v>9.9933507442002085</v>
      </c>
      <c r="M359" s="325">
        <v>16.204770244919779</v>
      </c>
      <c r="N359" s="10">
        <v>4.4984108759796211</v>
      </c>
      <c r="O359" s="10">
        <v>29.697959312205064</v>
      </c>
      <c r="P359" s="10">
        <v>4.6949983797392516</v>
      </c>
      <c r="Q359" s="10">
        <v>5.4451617926680127</v>
      </c>
      <c r="R359" s="10">
        <v>16.818251739740159</v>
      </c>
      <c r="S359" s="10">
        <v>14.076938968482636</v>
      </c>
      <c r="T359" s="10">
        <v>26.761373602068165</v>
      </c>
      <c r="U359" s="10">
        <v>4.0825212379440909</v>
      </c>
      <c r="V359" s="325">
        <v>106.075615908827</v>
      </c>
      <c r="W359" s="325">
        <v>164.15296691605255</v>
      </c>
      <c r="X359" s="10">
        <v>16.32362445590487</v>
      </c>
      <c r="Y359" s="320">
        <v>180.47659137195743</v>
      </c>
    </row>
    <row r="360" spans="1:25" x14ac:dyDescent="0.2">
      <c r="A360" s="7">
        <v>2017</v>
      </c>
      <c r="B360" s="5" t="s">
        <v>466</v>
      </c>
      <c r="C360" s="5" t="s">
        <v>314</v>
      </c>
      <c r="D360" s="5" t="s">
        <v>490</v>
      </c>
      <c r="E360" s="5" t="s">
        <v>341</v>
      </c>
      <c r="F360" s="5" t="s">
        <v>317</v>
      </c>
      <c r="G360" s="5" t="s">
        <v>342</v>
      </c>
      <c r="H360" s="10">
        <v>51.935207138373819</v>
      </c>
      <c r="I360" s="10">
        <v>0</v>
      </c>
      <c r="J360" s="325">
        <v>51.935207138373819</v>
      </c>
      <c r="K360" s="10">
        <v>1.9251943528040918</v>
      </c>
      <c r="L360" s="10">
        <v>13.529133767878745</v>
      </c>
      <c r="M360" s="325">
        <v>15.454328120682836</v>
      </c>
      <c r="N360" s="10">
        <v>18.918266680195408</v>
      </c>
      <c r="O360" s="10">
        <v>21.925326354398383</v>
      </c>
      <c r="P360" s="10">
        <v>4.0704228368629733</v>
      </c>
      <c r="Q360" s="10">
        <v>3.7960055122876661</v>
      </c>
      <c r="R360" s="10">
        <v>11.940149837441799</v>
      </c>
      <c r="S360" s="10">
        <v>11.178846816127841</v>
      </c>
      <c r="T360" s="10">
        <v>17.014736150382387</v>
      </c>
      <c r="U360" s="10">
        <v>3.1439063937191092</v>
      </c>
      <c r="V360" s="325">
        <v>91.987660581415568</v>
      </c>
      <c r="W360" s="325">
        <v>159.37719584047221</v>
      </c>
      <c r="X360" s="10">
        <v>15.893465126317984</v>
      </c>
      <c r="Y360" s="320">
        <v>175.27066096679019</v>
      </c>
    </row>
    <row r="361" spans="1:25" x14ac:dyDescent="0.2">
      <c r="A361" s="7">
        <v>2017</v>
      </c>
      <c r="B361" s="5" t="s">
        <v>466</v>
      </c>
      <c r="C361" s="5" t="s">
        <v>314</v>
      </c>
      <c r="D361" s="5" t="s">
        <v>490</v>
      </c>
      <c r="E361" s="5" t="s">
        <v>343</v>
      </c>
      <c r="F361" s="5" t="s">
        <v>317</v>
      </c>
      <c r="G361" s="5" t="s">
        <v>344</v>
      </c>
      <c r="H361" s="10">
        <v>3.6909865286397587</v>
      </c>
      <c r="I361" s="10">
        <v>0.71343313472400804</v>
      </c>
      <c r="J361" s="325">
        <v>4.4044196633637664</v>
      </c>
      <c r="K361" s="10">
        <v>8.9808901836520043</v>
      </c>
      <c r="L361" s="10">
        <v>39.632081994051241</v>
      </c>
      <c r="M361" s="325">
        <v>48.612972177703242</v>
      </c>
      <c r="N361" s="10">
        <v>5.913794279067476</v>
      </c>
      <c r="O361" s="10">
        <v>42.678394793580665</v>
      </c>
      <c r="P361" s="10">
        <v>3.2811588765023951</v>
      </c>
      <c r="Q361" s="10">
        <v>2.1666108059877174</v>
      </c>
      <c r="R361" s="10">
        <v>7.5300318901709931</v>
      </c>
      <c r="S361" s="10">
        <v>12.243491740538698</v>
      </c>
      <c r="T361" s="10">
        <v>16.804359078838761</v>
      </c>
      <c r="U361" s="10">
        <v>2.6350801595824556</v>
      </c>
      <c r="V361" s="325">
        <v>93.252921624269163</v>
      </c>
      <c r="W361" s="325">
        <v>146.27031346533616</v>
      </c>
      <c r="X361" s="10">
        <v>14.264204501060284</v>
      </c>
      <c r="Y361" s="320">
        <v>160.53451796639644</v>
      </c>
    </row>
    <row r="362" spans="1:25" x14ac:dyDescent="0.2">
      <c r="A362" s="7">
        <v>2017</v>
      </c>
      <c r="B362" s="5" t="s">
        <v>466</v>
      </c>
      <c r="C362" s="5" t="s">
        <v>314</v>
      </c>
      <c r="D362" s="5" t="s">
        <v>490</v>
      </c>
      <c r="E362" s="5" t="s">
        <v>345</v>
      </c>
      <c r="F362" s="5" t="s">
        <v>317</v>
      </c>
      <c r="G362" s="5" t="s">
        <v>346</v>
      </c>
      <c r="H362" s="10">
        <v>13.471247788867057</v>
      </c>
      <c r="I362" s="10">
        <v>0</v>
      </c>
      <c r="J362" s="325">
        <v>13.471247788867057</v>
      </c>
      <c r="K362" s="10">
        <v>13.456998373646702</v>
      </c>
      <c r="L362" s="10">
        <v>26.767870227163609</v>
      </c>
      <c r="M362" s="325">
        <v>40.224868600810311</v>
      </c>
      <c r="N362" s="10">
        <v>1.2381280783479296</v>
      </c>
      <c r="O362" s="10">
        <v>7.6748195439194857</v>
      </c>
      <c r="P362" s="10">
        <v>4.0117358079474368</v>
      </c>
      <c r="Q362" s="10">
        <v>1.6380000819856657</v>
      </c>
      <c r="R362" s="10">
        <v>5.6398957148879845</v>
      </c>
      <c r="S362" s="10">
        <v>6.3613105435065522</v>
      </c>
      <c r="T362" s="10">
        <v>12.072987486254645</v>
      </c>
      <c r="U362" s="10">
        <v>2.0368839294134826</v>
      </c>
      <c r="V362" s="325">
        <v>40.673761186263185</v>
      </c>
      <c r="W362" s="325">
        <v>94.369877575940563</v>
      </c>
      <c r="X362" s="10">
        <v>9.0733024799989366</v>
      </c>
      <c r="Y362" s="320">
        <v>103.44318005593951</v>
      </c>
    </row>
    <row r="363" spans="1:25" x14ac:dyDescent="0.2">
      <c r="A363" s="7">
        <v>2017</v>
      </c>
      <c r="B363" s="5" t="s">
        <v>466</v>
      </c>
      <c r="C363" s="5" t="s">
        <v>314</v>
      </c>
      <c r="D363" s="5" t="s">
        <v>490</v>
      </c>
      <c r="E363" s="5" t="s">
        <v>347</v>
      </c>
      <c r="F363" s="5" t="s">
        <v>317</v>
      </c>
      <c r="G363" s="5" t="s">
        <v>348</v>
      </c>
      <c r="H363" s="10">
        <v>17.030982915238198</v>
      </c>
      <c r="I363" s="10">
        <v>0</v>
      </c>
      <c r="J363" s="325">
        <v>17.030982915238198</v>
      </c>
      <c r="K363" s="10">
        <v>1.3821182118675461</v>
      </c>
      <c r="L363" s="10">
        <v>6.6712164258491313</v>
      </c>
      <c r="M363" s="325">
        <v>8.0533346377166772</v>
      </c>
      <c r="N363" s="10">
        <v>2.3122942262198767</v>
      </c>
      <c r="O363" s="10">
        <v>8.7169776201155571</v>
      </c>
      <c r="P363" s="10">
        <v>3.2711763110679626</v>
      </c>
      <c r="Q363" s="10">
        <v>2.6549105730240878</v>
      </c>
      <c r="R363" s="10">
        <v>6.9290588405937878</v>
      </c>
      <c r="S363" s="10">
        <v>6.8407700541106751</v>
      </c>
      <c r="T363" s="10">
        <v>16.337334230855639</v>
      </c>
      <c r="U363" s="10">
        <v>1.9205251710510394</v>
      </c>
      <c r="V363" s="325">
        <v>48.983047027038623</v>
      </c>
      <c r="W363" s="325">
        <v>74.067364579993495</v>
      </c>
      <c r="X363" s="10">
        <v>7.3420919924246633</v>
      </c>
      <c r="Y363" s="320">
        <v>81.409456572418151</v>
      </c>
    </row>
    <row r="364" spans="1:25" x14ac:dyDescent="0.2">
      <c r="A364" s="7">
        <v>2017</v>
      </c>
      <c r="B364" s="5" t="s">
        <v>466</v>
      </c>
      <c r="C364" s="5" t="s">
        <v>314</v>
      </c>
      <c r="D364" s="5" t="s">
        <v>489</v>
      </c>
      <c r="E364" s="5" t="s">
        <v>349</v>
      </c>
      <c r="F364" s="5" t="s">
        <v>317</v>
      </c>
      <c r="G364" s="5" t="s">
        <v>350</v>
      </c>
      <c r="H364" s="10">
        <v>94.036101841251948</v>
      </c>
      <c r="I364" s="10">
        <v>0.48994951189979802</v>
      </c>
      <c r="J364" s="325">
        <v>94.526051353151743</v>
      </c>
      <c r="K364" s="10">
        <v>3.9809724346023221</v>
      </c>
      <c r="L364" s="10">
        <v>16.77878711842348</v>
      </c>
      <c r="M364" s="325">
        <v>20.759759553025802</v>
      </c>
      <c r="N364" s="10">
        <v>16.442842288101591</v>
      </c>
      <c r="O364" s="10">
        <v>28.940704486400222</v>
      </c>
      <c r="P364" s="10">
        <v>5.7074502808091978</v>
      </c>
      <c r="Q364" s="10">
        <v>4.6190692175200176</v>
      </c>
      <c r="R364" s="10">
        <v>10.114744757611627</v>
      </c>
      <c r="S364" s="10">
        <v>13.705587255941438</v>
      </c>
      <c r="T364" s="10">
        <v>21.913511367373058</v>
      </c>
      <c r="U364" s="10">
        <v>4.9126568754674853</v>
      </c>
      <c r="V364" s="325">
        <v>106.35656652922465</v>
      </c>
      <c r="W364" s="325">
        <v>221.64237743540218</v>
      </c>
      <c r="X364" s="10">
        <v>22.145620279802952</v>
      </c>
      <c r="Y364" s="320">
        <v>243.78799771520514</v>
      </c>
    </row>
    <row r="365" spans="1:25" x14ac:dyDescent="0.2">
      <c r="A365" s="7">
        <v>2017</v>
      </c>
      <c r="B365" s="5" t="s">
        <v>466</v>
      </c>
      <c r="C365" s="5" t="s">
        <v>314</v>
      </c>
      <c r="D365" s="5" t="s">
        <v>490</v>
      </c>
      <c r="E365" s="5" t="s">
        <v>351</v>
      </c>
      <c r="F365" s="5" t="s">
        <v>317</v>
      </c>
      <c r="G365" s="5" t="s">
        <v>352</v>
      </c>
      <c r="H365" s="10">
        <v>66.956438081845093</v>
      </c>
      <c r="I365" s="10">
        <v>9.1312548030457634</v>
      </c>
      <c r="J365" s="325">
        <v>76.087692884890856</v>
      </c>
      <c r="K365" s="10">
        <v>10.866198478481879</v>
      </c>
      <c r="L365" s="10">
        <v>12.581175485122747</v>
      </c>
      <c r="M365" s="325">
        <v>23.447373963604626</v>
      </c>
      <c r="N365" s="10">
        <v>7.1518503843243444</v>
      </c>
      <c r="O365" s="10">
        <v>37.239295172050006</v>
      </c>
      <c r="P365" s="10">
        <v>7.6009396442989754</v>
      </c>
      <c r="Q365" s="10">
        <v>8.3690963325550509</v>
      </c>
      <c r="R365" s="10">
        <v>27.518068323593599</v>
      </c>
      <c r="S365" s="10">
        <v>21.21311025316616</v>
      </c>
      <c r="T365" s="10">
        <v>36.471572103011788</v>
      </c>
      <c r="U365" s="10">
        <v>8.4075281628714169</v>
      </c>
      <c r="V365" s="325">
        <v>153.97146037587135</v>
      </c>
      <c r="W365" s="325">
        <v>253.50652722436683</v>
      </c>
      <c r="X365" s="10">
        <v>25.184864497501163</v>
      </c>
      <c r="Y365" s="320">
        <v>278.691391721868</v>
      </c>
    </row>
    <row r="366" spans="1:25" x14ac:dyDescent="0.2">
      <c r="A366" s="7">
        <v>2017</v>
      </c>
      <c r="B366" s="5" t="s">
        <v>466</v>
      </c>
      <c r="C366" s="5" t="s">
        <v>314</v>
      </c>
      <c r="D366" s="5" t="s">
        <v>490</v>
      </c>
      <c r="E366" s="5" t="s">
        <v>353</v>
      </c>
      <c r="F366" s="5" t="s">
        <v>317</v>
      </c>
      <c r="G366" s="5" t="s">
        <v>354</v>
      </c>
      <c r="H366" s="10">
        <v>61.226690414207006</v>
      </c>
      <c r="I366" s="10">
        <v>0</v>
      </c>
      <c r="J366" s="325">
        <v>61.226690414207006</v>
      </c>
      <c r="K366" s="10">
        <v>6.0717903283667916</v>
      </c>
      <c r="L366" s="10">
        <v>11.963321985975945</v>
      </c>
      <c r="M366" s="325">
        <v>18.035112314342737</v>
      </c>
      <c r="N366" s="10">
        <v>5.4256997650375025</v>
      </c>
      <c r="O366" s="10">
        <v>23.639794913611677</v>
      </c>
      <c r="P366" s="10">
        <v>4.8591355263729046</v>
      </c>
      <c r="Q366" s="10">
        <v>5.7499675626740281</v>
      </c>
      <c r="R366" s="10">
        <v>15.730755606283543</v>
      </c>
      <c r="S366" s="10">
        <v>15.221201092039104</v>
      </c>
      <c r="T366" s="10">
        <v>30.624606197034712</v>
      </c>
      <c r="U366" s="10">
        <v>5.2899383371444504</v>
      </c>
      <c r="V366" s="325">
        <v>106.54109900019792</v>
      </c>
      <c r="W366" s="325">
        <v>185.80290172874766</v>
      </c>
      <c r="X366" s="10">
        <v>18.480926061078943</v>
      </c>
      <c r="Y366" s="320">
        <v>204.2838277898266</v>
      </c>
    </row>
    <row r="367" spans="1:25" x14ac:dyDescent="0.2">
      <c r="A367" s="7">
        <v>2017</v>
      </c>
      <c r="B367" s="5" t="s">
        <v>466</v>
      </c>
      <c r="C367" s="5" t="s">
        <v>314</v>
      </c>
      <c r="D367" s="5" t="s">
        <v>490</v>
      </c>
      <c r="E367" s="5" t="s">
        <v>355</v>
      </c>
      <c r="F367" s="5" t="s">
        <v>317</v>
      </c>
      <c r="G367" s="5" t="s">
        <v>356</v>
      </c>
      <c r="H367" s="10">
        <v>34.962302892829207</v>
      </c>
      <c r="I367" s="10">
        <v>0</v>
      </c>
      <c r="J367" s="325">
        <v>34.962302892829207</v>
      </c>
      <c r="K367" s="10">
        <v>1.2741156276983552</v>
      </c>
      <c r="L367" s="10">
        <v>7.9115177706032496</v>
      </c>
      <c r="M367" s="325">
        <v>9.1856333983016043</v>
      </c>
      <c r="N367" s="10">
        <v>2.8978374554468256</v>
      </c>
      <c r="O367" s="10">
        <v>14.206094919086038</v>
      </c>
      <c r="P367" s="10">
        <v>2.6900609033021259</v>
      </c>
      <c r="Q367" s="10">
        <v>2.406602557729407</v>
      </c>
      <c r="R367" s="10">
        <v>6.1722688322518167</v>
      </c>
      <c r="S367" s="10">
        <v>8.4620216821154539</v>
      </c>
      <c r="T367" s="10">
        <v>14.995341731331303</v>
      </c>
      <c r="U367" s="10">
        <v>2.122152733155434</v>
      </c>
      <c r="V367" s="325">
        <v>53.952380814418397</v>
      </c>
      <c r="W367" s="325">
        <v>98.100317105549209</v>
      </c>
      <c r="X367" s="10">
        <v>9.7805297006111314</v>
      </c>
      <c r="Y367" s="320">
        <v>107.88084680616033</v>
      </c>
    </row>
    <row r="368" spans="1:25" x14ac:dyDescent="0.2">
      <c r="A368" s="7">
        <v>2017</v>
      </c>
      <c r="B368" s="5" t="s">
        <v>466</v>
      </c>
      <c r="C368" s="5" t="s">
        <v>314</v>
      </c>
      <c r="D368" s="5" t="s">
        <v>487</v>
      </c>
      <c r="E368" s="5" t="s">
        <v>357</v>
      </c>
      <c r="F368" s="5" t="s">
        <v>317</v>
      </c>
      <c r="G368" s="5" t="s">
        <v>358</v>
      </c>
      <c r="H368" s="10">
        <v>28.851398683161626</v>
      </c>
      <c r="I368" s="10">
        <v>1.3908520330626024</v>
      </c>
      <c r="J368" s="325">
        <v>30.24225071622423</v>
      </c>
      <c r="K368" s="10">
        <v>4.1218993654146567</v>
      </c>
      <c r="L368" s="10">
        <v>5.2999107579571128</v>
      </c>
      <c r="M368" s="325">
        <v>9.4218101233717704</v>
      </c>
      <c r="N368" s="10">
        <v>3.3866496552361474</v>
      </c>
      <c r="O368" s="10">
        <v>20.346969975373501</v>
      </c>
      <c r="P368" s="10">
        <v>5.068265542440999</v>
      </c>
      <c r="Q368" s="10">
        <v>2.1753076085692031</v>
      </c>
      <c r="R368" s="10">
        <v>8.1630450442821996</v>
      </c>
      <c r="S368" s="10">
        <v>9.9323326189507615</v>
      </c>
      <c r="T368" s="10">
        <v>19.087127637877451</v>
      </c>
      <c r="U368" s="10">
        <v>3.3045950136299753</v>
      </c>
      <c r="V368" s="325">
        <v>71.464293096360237</v>
      </c>
      <c r="W368" s="325">
        <v>111.12835393595624</v>
      </c>
      <c r="X368" s="10">
        <v>11.085895473316151</v>
      </c>
      <c r="Y368" s="320">
        <v>122.2142494092724</v>
      </c>
    </row>
    <row r="369" spans="1:25" x14ac:dyDescent="0.2">
      <c r="A369" s="7">
        <v>2017</v>
      </c>
      <c r="B369" s="5" t="s">
        <v>466</v>
      </c>
      <c r="C369" s="5" t="s">
        <v>314</v>
      </c>
      <c r="D369" s="5" t="s">
        <v>489</v>
      </c>
      <c r="E369" s="5" t="s">
        <v>359</v>
      </c>
      <c r="F369" s="5" t="s">
        <v>317</v>
      </c>
      <c r="G369" s="5" t="s">
        <v>360</v>
      </c>
      <c r="H369" s="10">
        <v>198.53070789739903</v>
      </c>
      <c r="I369" s="10">
        <v>1.3603731310696636</v>
      </c>
      <c r="J369" s="325">
        <v>199.89108102846868</v>
      </c>
      <c r="K369" s="10">
        <v>27.697419345383825</v>
      </c>
      <c r="L369" s="10">
        <v>20.026997489301099</v>
      </c>
      <c r="M369" s="325">
        <v>47.724416834684924</v>
      </c>
      <c r="N369" s="10">
        <v>10.864580721036033</v>
      </c>
      <c r="O369" s="10">
        <v>42.719754679349755</v>
      </c>
      <c r="P369" s="10">
        <v>10.106690793631708</v>
      </c>
      <c r="Q369" s="10">
        <v>11.0120303367624</v>
      </c>
      <c r="R369" s="10">
        <v>21.451691755727712</v>
      </c>
      <c r="S369" s="10">
        <v>29.469762419395803</v>
      </c>
      <c r="T369" s="10">
        <v>56.800874105812561</v>
      </c>
      <c r="U369" s="10">
        <v>9.5841202089789217</v>
      </c>
      <c r="V369" s="325">
        <v>192.00950502069489</v>
      </c>
      <c r="W369" s="325">
        <v>439.62500288384848</v>
      </c>
      <c r="X369" s="10">
        <v>43.795992718353318</v>
      </c>
      <c r="Y369" s="320">
        <v>483.4209956022018</v>
      </c>
    </row>
    <row r="370" spans="1:25" x14ac:dyDescent="0.2">
      <c r="A370" s="7">
        <v>2017</v>
      </c>
      <c r="B370" s="5" t="s">
        <v>466</v>
      </c>
      <c r="C370" s="5" t="s">
        <v>314</v>
      </c>
      <c r="D370" s="5" t="s">
        <v>490</v>
      </c>
      <c r="E370" s="5" t="s">
        <v>361</v>
      </c>
      <c r="F370" s="5" t="s">
        <v>317</v>
      </c>
      <c r="G370" s="5" t="s">
        <v>362</v>
      </c>
      <c r="H370" s="10">
        <v>42.182510702361107</v>
      </c>
      <c r="I370" s="10">
        <v>2.2087413716992965</v>
      </c>
      <c r="J370" s="325">
        <v>44.391252074060404</v>
      </c>
      <c r="K370" s="10">
        <v>2.0916463593042502</v>
      </c>
      <c r="L370" s="10">
        <v>7.5435313148268648</v>
      </c>
      <c r="M370" s="325">
        <v>9.6351776741311141</v>
      </c>
      <c r="N370" s="10">
        <v>2.1395600025309469</v>
      </c>
      <c r="O370" s="10">
        <v>9.7423858421929168</v>
      </c>
      <c r="P370" s="10">
        <v>2.7546969480204955</v>
      </c>
      <c r="Q370" s="10">
        <v>2.0740429156542968</v>
      </c>
      <c r="R370" s="10">
        <v>8.2299830334020481</v>
      </c>
      <c r="S370" s="10">
        <v>7.8813696390482377</v>
      </c>
      <c r="T370" s="10">
        <v>13.811626104906205</v>
      </c>
      <c r="U370" s="10">
        <v>2.719332152273322</v>
      </c>
      <c r="V370" s="325">
        <v>49.352996638028472</v>
      </c>
      <c r="W370" s="325">
        <v>103.37942638621999</v>
      </c>
      <c r="X370" s="10">
        <v>10.294504731791275</v>
      </c>
      <c r="Y370" s="320">
        <v>113.67393111801127</v>
      </c>
    </row>
    <row r="371" spans="1:25" x14ac:dyDescent="0.2">
      <c r="A371" s="7">
        <v>2017</v>
      </c>
      <c r="B371" s="5" t="s">
        <v>466</v>
      </c>
      <c r="C371" s="5" t="s">
        <v>314</v>
      </c>
      <c r="D371" s="5" t="s">
        <v>487</v>
      </c>
      <c r="E371" s="5" t="s">
        <v>363</v>
      </c>
      <c r="F371" s="5" t="s">
        <v>317</v>
      </c>
      <c r="G371" s="5" t="s">
        <v>364</v>
      </c>
      <c r="H371" s="10">
        <v>41.329688239671235</v>
      </c>
      <c r="I371" s="10">
        <v>1.4303337046681932</v>
      </c>
      <c r="J371" s="325">
        <v>42.760021944339428</v>
      </c>
      <c r="K371" s="10">
        <v>5.6641394650746602</v>
      </c>
      <c r="L371" s="10">
        <v>9.3266337926502434</v>
      </c>
      <c r="M371" s="325">
        <v>14.990773257724904</v>
      </c>
      <c r="N371" s="10">
        <v>5.8416656220012344</v>
      </c>
      <c r="O371" s="10">
        <v>25.775679531698241</v>
      </c>
      <c r="P371" s="10">
        <v>3.868877297931502</v>
      </c>
      <c r="Q371" s="10">
        <v>3.9268185925769061</v>
      </c>
      <c r="R371" s="10">
        <v>14.601610060158754</v>
      </c>
      <c r="S371" s="10">
        <v>14.041476167856462</v>
      </c>
      <c r="T371" s="10">
        <v>23.778147401305102</v>
      </c>
      <c r="U371" s="10">
        <v>4.3051212704898791</v>
      </c>
      <c r="V371" s="325">
        <v>96.139395944018091</v>
      </c>
      <c r="W371" s="325">
        <v>153.89019114608243</v>
      </c>
      <c r="X371" s="10">
        <v>15.312266245020094</v>
      </c>
      <c r="Y371" s="320">
        <v>169.20245739110251</v>
      </c>
    </row>
    <row r="372" spans="1:25" x14ac:dyDescent="0.2">
      <c r="A372" s="7">
        <v>2017</v>
      </c>
      <c r="B372" s="5" t="s">
        <v>466</v>
      </c>
      <c r="C372" s="5" t="s">
        <v>365</v>
      </c>
      <c r="D372" s="5" t="s">
        <v>491</v>
      </c>
      <c r="E372" s="5" t="s">
        <v>367</v>
      </c>
      <c r="F372" s="5" t="s">
        <v>368</v>
      </c>
      <c r="G372" s="5" t="s">
        <v>370</v>
      </c>
      <c r="H372" s="10">
        <v>488.8369240046847</v>
      </c>
      <c r="I372" s="10">
        <v>3.3443069494550595</v>
      </c>
      <c r="J372" s="325">
        <v>492.18123095413978</v>
      </c>
      <c r="K372" s="10">
        <v>83.745046224311096</v>
      </c>
      <c r="L372" s="10">
        <v>168.53381104907064</v>
      </c>
      <c r="M372" s="325">
        <v>252.27885727338173</v>
      </c>
      <c r="N372" s="10">
        <v>66.276286421379098</v>
      </c>
      <c r="O372" s="10">
        <v>486.20002099197052</v>
      </c>
      <c r="P372" s="10">
        <v>51.835147380415592</v>
      </c>
      <c r="Q372" s="10">
        <v>62.054859365574167</v>
      </c>
      <c r="R372" s="10">
        <v>110.98150863476575</v>
      </c>
      <c r="S372" s="10">
        <v>168.11088323255444</v>
      </c>
      <c r="T372" s="10">
        <v>250.98840719414304</v>
      </c>
      <c r="U372" s="10">
        <v>34.278372249952213</v>
      </c>
      <c r="V372" s="325">
        <v>1230.7254854707548</v>
      </c>
      <c r="W372" s="325">
        <v>1975.1855736982761</v>
      </c>
      <c r="X372" s="10">
        <v>196.56714721162331</v>
      </c>
      <c r="Y372" s="320">
        <v>2171.7527209098994</v>
      </c>
    </row>
    <row r="373" spans="1:25" x14ac:dyDescent="0.2">
      <c r="A373" s="7">
        <v>2017</v>
      </c>
      <c r="B373" s="5" t="s">
        <v>466</v>
      </c>
      <c r="C373" s="5" t="s">
        <v>365</v>
      </c>
      <c r="D373" s="5" t="s">
        <v>492</v>
      </c>
      <c r="E373" s="5" t="s">
        <v>371</v>
      </c>
      <c r="F373" s="5" t="s">
        <v>368</v>
      </c>
      <c r="G373" s="5" t="s">
        <v>372</v>
      </c>
      <c r="H373" s="10">
        <v>46.867766152605313</v>
      </c>
      <c r="I373" s="10">
        <v>0</v>
      </c>
      <c r="J373" s="325">
        <v>46.867766152605313</v>
      </c>
      <c r="K373" s="10">
        <v>1.5536469294784012</v>
      </c>
      <c r="L373" s="10">
        <v>21.984527100942422</v>
      </c>
      <c r="M373" s="325">
        <v>23.538174030420823</v>
      </c>
      <c r="N373" s="10">
        <v>8.3973373116352921</v>
      </c>
      <c r="O373" s="10">
        <v>25.673371403352739</v>
      </c>
      <c r="P373" s="10">
        <v>16.006695252026475</v>
      </c>
      <c r="Q373" s="10">
        <v>8.6375133209263915</v>
      </c>
      <c r="R373" s="10">
        <v>15.574794921110049</v>
      </c>
      <c r="S373" s="10">
        <v>24.572243561394956</v>
      </c>
      <c r="T373" s="10">
        <v>69.857994011678073</v>
      </c>
      <c r="U373" s="10">
        <v>9.4931613082730202</v>
      </c>
      <c r="V373" s="325">
        <v>178.21311109039701</v>
      </c>
      <c r="W373" s="325">
        <v>248.61905127342317</v>
      </c>
      <c r="X373" s="10">
        <v>24.668982753582572</v>
      </c>
      <c r="Y373" s="320">
        <v>273.28803402700572</v>
      </c>
    </row>
    <row r="374" spans="1:25" x14ac:dyDescent="0.2">
      <c r="A374" s="7">
        <v>2017</v>
      </c>
      <c r="B374" s="5" t="s">
        <v>466</v>
      </c>
      <c r="C374" s="5" t="s">
        <v>365</v>
      </c>
      <c r="D374" s="5" t="s">
        <v>491</v>
      </c>
      <c r="E374" s="5" t="s">
        <v>373</v>
      </c>
      <c r="F374" s="5" t="s">
        <v>368</v>
      </c>
      <c r="G374" s="5" t="s">
        <v>374</v>
      </c>
      <c r="H374" s="10">
        <v>485.14385748454617</v>
      </c>
      <c r="I374" s="10">
        <v>2.8795492030035761</v>
      </c>
      <c r="J374" s="325">
        <v>488.02340668754977</v>
      </c>
      <c r="K374" s="10">
        <v>23.602755401672962</v>
      </c>
      <c r="L374" s="10">
        <v>60.41278724739059</v>
      </c>
      <c r="M374" s="325">
        <v>84.015542649063548</v>
      </c>
      <c r="N374" s="10">
        <v>18.841188614738517</v>
      </c>
      <c r="O374" s="10">
        <v>122.02940623599299</v>
      </c>
      <c r="P374" s="10">
        <v>16.763663684665133</v>
      </c>
      <c r="Q374" s="10">
        <v>12.249545429422211</v>
      </c>
      <c r="R374" s="10">
        <v>25.526775705486891</v>
      </c>
      <c r="S374" s="10">
        <v>48.591873014826419</v>
      </c>
      <c r="T374" s="10">
        <v>66.875454225948559</v>
      </c>
      <c r="U374" s="10">
        <v>12.207709148752294</v>
      </c>
      <c r="V374" s="325">
        <v>323.08561605983306</v>
      </c>
      <c r="W374" s="325">
        <v>895.12456539644631</v>
      </c>
      <c r="X374" s="10">
        <v>89.651202255401031</v>
      </c>
      <c r="Y374" s="320">
        <v>984.77576765184733</v>
      </c>
    </row>
    <row r="375" spans="1:25" x14ac:dyDescent="0.2">
      <c r="A375" s="7">
        <v>2017</v>
      </c>
      <c r="B375" s="5" t="s">
        <v>466</v>
      </c>
      <c r="C375" s="5" t="s">
        <v>365</v>
      </c>
      <c r="D375" s="5" t="s">
        <v>491</v>
      </c>
      <c r="E375" s="5" t="s">
        <v>375</v>
      </c>
      <c r="F375" s="5" t="s">
        <v>368</v>
      </c>
      <c r="G375" s="5" t="s">
        <v>376</v>
      </c>
      <c r="H375" s="10">
        <v>258.07982606837896</v>
      </c>
      <c r="I375" s="10">
        <v>1.9294370025171794</v>
      </c>
      <c r="J375" s="325">
        <v>260.00926307089617</v>
      </c>
      <c r="K375" s="10">
        <v>26.346847348813448</v>
      </c>
      <c r="L375" s="10">
        <v>43.57935777535311</v>
      </c>
      <c r="M375" s="325">
        <v>69.926205124166557</v>
      </c>
      <c r="N375" s="10">
        <v>23.167608232911679</v>
      </c>
      <c r="O375" s="10">
        <v>149.62171246593698</v>
      </c>
      <c r="P375" s="10">
        <v>15.630812967912718</v>
      </c>
      <c r="Q375" s="10">
        <v>21.319116816559387</v>
      </c>
      <c r="R375" s="10">
        <v>34.876727550590353</v>
      </c>
      <c r="S375" s="10">
        <v>55.514074425705076</v>
      </c>
      <c r="T375" s="10">
        <v>88.251468998158003</v>
      </c>
      <c r="U375" s="10">
        <v>14.254077392829327</v>
      </c>
      <c r="V375" s="325">
        <v>402.63559885060351</v>
      </c>
      <c r="W375" s="325">
        <v>732.57106704566627</v>
      </c>
      <c r="X375" s="10">
        <v>73.175392569583636</v>
      </c>
      <c r="Y375" s="320">
        <v>805.74645961524993</v>
      </c>
    </row>
    <row r="376" spans="1:25" x14ac:dyDescent="0.2">
      <c r="A376" s="7">
        <v>2017</v>
      </c>
      <c r="B376" s="5" t="s">
        <v>466</v>
      </c>
      <c r="C376" s="5" t="s">
        <v>365</v>
      </c>
      <c r="D376" s="5" t="s">
        <v>493</v>
      </c>
      <c r="E376" s="5" t="s">
        <v>377</v>
      </c>
      <c r="F376" s="5" t="s">
        <v>368</v>
      </c>
      <c r="G376" s="5" t="s">
        <v>378</v>
      </c>
      <c r="H376" s="10">
        <v>0.76919540491716853</v>
      </c>
      <c r="I376" s="10">
        <v>0</v>
      </c>
      <c r="J376" s="325">
        <v>0.76919540491716853</v>
      </c>
      <c r="K376" s="10">
        <v>0.37778023801710753</v>
      </c>
      <c r="L376" s="10">
        <v>2.7582374941505594</v>
      </c>
      <c r="M376" s="325">
        <v>3.1360177321676668</v>
      </c>
      <c r="N376" s="10">
        <v>0.73103498395015454</v>
      </c>
      <c r="O376" s="10">
        <v>1.8564522108336032</v>
      </c>
      <c r="P376" s="10">
        <v>13.265047953009752</v>
      </c>
      <c r="Q376" s="10">
        <v>0.56561848932039516</v>
      </c>
      <c r="R376" s="10">
        <v>1.5104628800600863</v>
      </c>
      <c r="S376" s="10">
        <v>2.9028498183718643</v>
      </c>
      <c r="T376" s="10">
        <v>9.0630187340091943</v>
      </c>
      <c r="U376" s="10">
        <v>0.57207387275810551</v>
      </c>
      <c r="V376" s="325">
        <v>30.466558942313156</v>
      </c>
      <c r="W376" s="325">
        <v>34.371772079397992</v>
      </c>
      <c r="X376" s="10">
        <v>3.4136093720826217</v>
      </c>
      <c r="Y376" s="320">
        <v>37.785381451480617</v>
      </c>
    </row>
    <row r="377" spans="1:25" x14ac:dyDescent="0.2">
      <c r="A377" s="7">
        <v>2017</v>
      </c>
      <c r="B377" s="5" t="s">
        <v>466</v>
      </c>
      <c r="C377" s="5" t="s">
        <v>365</v>
      </c>
      <c r="D377" s="5" t="s">
        <v>491</v>
      </c>
      <c r="E377" s="5" t="s">
        <v>379</v>
      </c>
      <c r="F377" s="5" t="s">
        <v>368</v>
      </c>
      <c r="G377" s="5" t="s">
        <v>380</v>
      </c>
      <c r="H377" s="10">
        <v>20.548069224196013</v>
      </c>
      <c r="I377" s="10">
        <v>23.559859591387919</v>
      </c>
      <c r="J377" s="325">
        <v>44.107928815583932</v>
      </c>
      <c r="K377" s="10">
        <v>1.5990721985556042</v>
      </c>
      <c r="L377" s="10">
        <v>11.179805501909998</v>
      </c>
      <c r="M377" s="325">
        <v>12.778877700465602</v>
      </c>
      <c r="N377" s="10">
        <v>6.9413606092555202</v>
      </c>
      <c r="O377" s="10">
        <v>20.001254594053488</v>
      </c>
      <c r="P377" s="10">
        <v>5.0795594885355246</v>
      </c>
      <c r="Q377" s="10">
        <v>4.1284772946596018</v>
      </c>
      <c r="R377" s="10">
        <v>8.1519583900391623</v>
      </c>
      <c r="S377" s="10">
        <v>14.533835383093143</v>
      </c>
      <c r="T377" s="10">
        <v>32.925726746986193</v>
      </c>
      <c r="U377" s="10">
        <v>2.7304631847987757</v>
      </c>
      <c r="V377" s="325">
        <v>94.492635691421413</v>
      </c>
      <c r="W377" s="325">
        <v>151.37944220747096</v>
      </c>
      <c r="X377" s="10">
        <v>15.033963705775372</v>
      </c>
      <c r="Y377" s="320">
        <v>166.41340591324632</v>
      </c>
    </row>
    <row r="378" spans="1:25" x14ac:dyDescent="0.2">
      <c r="A378" s="7">
        <v>2017</v>
      </c>
      <c r="B378" s="5" t="s">
        <v>466</v>
      </c>
      <c r="C378" s="5" t="s">
        <v>365</v>
      </c>
      <c r="D378" s="5" t="s">
        <v>492</v>
      </c>
      <c r="E378" s="5" t="s">
        <v>381</v>
      </c>
      <c r="F378" s="5" t="s">
        <v>368</v>
      </c>
      <c r="G378" s="5" t="s">
        <v>382</v>
      </c>
      <c r="H378" s="10">
        <v>84.385464321340208</v>
      </c>
      <c r="I378" s="10">
        <v>0.9192958070938192</v>
      </c>
      <c r="J378" s="325">
        <v>85.304760128434026</v>
      </c>
      <c r="K378" s="10">
        <v>2.4305502310705709</v>
      </c>
      <c r="L378" s="10">
        <v>36.320273038289692</v>
      </c>
      <c r="M378" s="325">
        <v>38.750823269360261</v>
      </c>
      <c r="N378" s="10">
        <v>23.627674272453724</v>
      </c>
      <c r="O378" s="10">
        <v>77.144422093714567</v>
      </c>
      <c r="P378" s="10">
        <v>12.328997492206673</v>
      </c>
      <c r="Q378" s="10">
        <v>11.220848699423785</v>
      </c>
      <c r="R378" s="10">
        <v>21.654814982746196</v>
      </c>
      <c r="S378" s="10">
        <v>37.715874463621326</v>
      </c>
      <c r="T378" s="10">
        <v>88.704549542200752</v>
      </c>
      <c r="U378" s="10">
        <v>10.742572459349313</v>
      </c>
      <c r="V378" s="325">
        <v>283.13975400571633</v>
      </c>
      <c r="W378" s="325">
        <v>407.19533740351062</v>
      </c>
      <c r="X378" s="10">
        <v>40.569640201987433</v>
      </c>
      <c r="Y378" s="320">
        <v>447.76497760549807</v>
      </c>
    </row>
    <row r="379" spans="1:25" x14ac:dyDescent="0.2">
      <c r="A379" s="7">
        <v>2017</v>
      </c>
      <c r="B379" s="5" t="s">
        <v>466</v>
      </c>
      <c r="C379" s="5" t="s">
        <v>365</v>
      </c>
      <c r="D379" s="5" t="s">
        <v>492</v>
      </c>
      <c r="E379" s="5" t="s">
        <v>383</v>
      </c>
      <c r="F379" s="5" t="s">
        <v>368</v>
      </c>
      <c r="G379" s="5" t="s">
        <v>384</v>
      </c>
      <c r="H379" s="10">
        <v>44.091045127620852</v>
      </c>
      <c r="I379" s="10">
        <v>0.23078352993318088</v>
      </c>
      <c r="J379" s="325">
        <v>44.321828657554036</v>
      </c>
      <c r="K379" s="10">
        <v>1.4051156717901792</v>
      </c>
      <c r="L379" s="10">
        <v>14.27994940579894</v>
      </c>
      <c r="M379" s="325">
        <v>15.685065077589119</v>
      </c>
      <c r="N379" s="10">
        <v>8.9397576801175234</v>
      </c>
      <c r="O379" s="10">
        <v>23.248558837930116</v>
      </c>
      <c r="P379" s="10">
        <v>6.5509142703782022</v>
      </c>
      <c r="Q379" s="10">
        <v>5.2416518837567514</v>
      </c>
      <c r="R379" s="10">
        <v>5.931064167539855</v>
      </c>
      <c r="S379" s="10">
        <v>15.531997170278979</v>
      </c>
      <c r="T379" s="10">
        <v>39.00561703985781</v>
      </c>
      <c r="U379" s="10">
        <v>3.9546424071722432</v>
      </c>
      <c r="V379" s="325">
        <v>108.40420345703149</v>
      </c>
      <c r="W379" s="325">
        <v>168.41109719217462</v>
      </c>
      <c r="X379" s="10">
        <v>16.775087460701471</v>
      </c>
      <c r="Y379" s="320">
        <v>185.18618465287608</v>
      </c>
    </row>
    <row r="380" spans="1:25" x14ac:dyDescent="0.2">
      <c r="A380" s="7">
        <v>2017</v>
      </c>
      <c r="B380" s="5" t="s">
        <v>466</v>
      </c>
      <c r="C380" s="5" t="s">
        <v>365</v>
      </c>
      <c r="D380" s="5" t="s">
        <v>492</v>
      </c>
      <c r="E380" s="5" t="s">
        <v>385</v>
      </c>
      <c r="F380" s="5" t="s">
        <v>368</v>
      </c>
      <c r="G380" s="5" t="s">
        <v>386</v>
      </c>
      <c r="H380" s="10">
        <v>49.301684719358889</v>
      </c>
      <c r="I380" s="10">
        <v>0</v>
      </c>
      <c r="J380" s="325">
        <v>49.301684719358889</v>
      </c>
      <c r="K380" s="10">
        <v>1.8332265819462548</v>
      </c>
      <c r="L380" s="10">
        <v>20.41746235652672</v>
      </c>
      <c r="M380" s="325">
        <v>22.250688938472976</v>
      </c>
      <c r="N380" s="10">
        <v>9.9836457774791949</v>
      </c>
      <c r="O380" s="10">
        <v>34.595418879716767</v>
      </c>
      <c r="P380" s="10">
        <v>10.211037809778</v>
      </c>
      <c r="Q380" s="10">
        <v>7.9324164942498543</v>
      </c>
      <c r="R380" s="10">
        <v>12.681316594762265</v>
      </c>
      <c r="S380" s="10">
        <v>23.016335395934352</v>
      </c>
      <c r="T380" s="10">
        <v>64.314958613044169</v>
      </c>
      <c r="U380" s="10">
        <v>5.8350455745472187</v>
      </c>
      <c r="V380" s="325">
        <v>168.57017513951183</v>
      </c>
      <c r="W380" s="325">
        <v>240.12254879734371</v>
      </c>
      <c r="X380" s="10">
        <v>23.885402814929556</v>
      </c>
      <c r="Y380" s="320">
        <v>264.00795161227325</v>
      </c>
    </row>
    <row r="381" spans="1:25" x14ac:dyDescent="0.2">
      <c r="A381" s="7">
        <v>2017</v>
      </c>
      <c r="B381" s="5" t="s">
        <v>466</v>
      </c>
      <c r="C381" s="5" t="s">
        <v>365</v>
      </c>
      <c r="D381" s="5" t="s">
        <v>491</v>
      </c>
      <c r="E381" s="5" t="s">
        <v>387</v>
      </c>
      <c r="F381" s="5" t="s">
        <v>368</v>
      </c>
      <c r="G381" s="5" t="s">
        <v>494</v>
      </c>
      <c r="H381" s="10">
        <v>630.11067663687572</v>
      </c>
      <c r="I381" s="10">
        <v>3.9348908263401086</v>
      </c>
      <c r="J381" s="325">
        <v>634.04556746321578</v>
      </c>
      <c r="K381" s="10">
        <v>26.280254583287089</v>
      </c>
      <c r="L381" s="10">
        <v>148.97721400661442</v>
      </c>
      <c r="M381" s="325">
        <v>175.25746858990152</v>
      </c>
      <c r="N381" s="10">
        <v>51.928753699137076</v>
      </c>
      <c r="O381" s="10">
        <v>239.07518833933702</v>
      </c>
      <c r="P381" s="10">
        <v>36.357502271266128</v>
      </c>
      <c r="Q381" s="10">
        <v>45.463774900741875</v>
      </c>
      <c r="R381" s="10">
        <v>75.632420980582665</v>
      </c>
      <c r="S381" s="10">
        <v>158.26446861820907</v>
      </c>
      <c r="T381" s="10">
        <v>402.84326781972749</v>
      </c>
      <c r="U381" s="10">
        <v>35.32523613174444</v>
      </c>
      <c r="V381" s="325">
        <v>1044.8906127607459</v>
      </c>
      <c r="W381" s="325">
        <v>1854.1936488138631</v>
      </c>
      <c r="X381" s="10">
        <v>184.84165778842709</v>
      </c>
      <c r="Y381" s="320">
        <v>2039.0353066022901</v>
      </c>
    </row>
    <row r="382" spans="1:25" ht="16" thickBot="1" x14ac:dyDescent="0.25">
      <c r="A382" s="11">
        <v>2017</v>
      </c>
      <c r="B382" s="6" t="s">
        <v>466</v>
      </c>
      <c r="C382" s="6" t="s">
        <v>365</v>
      </c>
      <c r="D382" s="6" t="s">
        <v>493</v>
      </c>
      <c r="E382" s="6" t="s">
        <v>389</v>
      </c>
      <c r="F382" s="6" t="s">
        <v>368</v>
      </c>
      <c r="G382" s="6" t="s">
        <v>390</v>
      </c>
      <c r="H382" s="12">
        <v>9.5447002068576872</v>
      </c>
      <c r="I382" s="12">
        <v>0</v>
      </c>
      <c r="J382" s="337">
        <v>9.5447002068576872</v>
      </c>
      <c r="K382" s="12">
        <v>0</v>
      </c>
      <c r="L382" s="12">
        <v>5.0493038958801213</v>
      </c>
      <c r="M382" s="337">
        <v>5.0493038958801213</v>
      </c>
      <c r="N382" s="12">
        <v>2.1998770350258328</v>
      </c>
      <c r="O382" s="12">
        <v>5.4907911137396512</v>
      </c>
      <c r="P382" s="12">
        <v>2.599750983319522</v>
      </c>
      <c r="Q382" s="12">
        <v>1.7174457457488086</v>
      </c>
      <c r="R382" s="12">
        <v>3.9817341168838856</v>
      </c>
      <c r="S382" s="12">
        <v>5.5965336578850549</v>
      </c>
      <c r="T382" s="12">
        <v>17.223703835976174</v>
      </c>
      <c r="U382" s="12">
        <v>1.9435925200616855</v>
      </c>
      <c r="V382" s="337">
        <v>40.753429008640609</v>
      </c>
      <c r="W382" s="337">
        <v>55.347433111378422</v>
      </c>
      <c r="X382" s="12">
        <v>5.4920682857366563</v>
      </c>
      <c r="Y382" s="321">
        <v>60.839501397115079</v>
      </c>
    </row>
    <row r="383" spans="1:25" ht="16" thickBot="1" x14ac:dyDescent="0.25">
      <c r="A383" s="346">
        <v>2018</v>
      </c>
      <c r="B383" s="347" t="s">
        <v>466</v>
      </c>
      <c r="C383" s="347"/>
      <c r="D383" s="347"/>
      <c r="E383" s="347"/>
      <c r="F383" s="347"/>
      <c r="G383" s="347" t="s">
        <v>467</v>
      </c>
      <c r="H383" s="348">
        <v>6677.5499606925805</v>
      </c>
      <c r="I383" s="348">
        <v>2200.3353050305591</v>
      </c>
      <c r="J383" s="348">
        <v>8877.88526572314</v>
      </c>
      <c r="K383" s="348">
        <v>20196.507781624732</v>
      </c>
      <c r="L383" s="348">
        <v>10345.762322145165</v>
      </c>
      <c r="M383" s="348">
        <v>30542.270103769897</v>
      </c>
      <c r="N383" s="348">
        <v>5288.6990083806932</v>
      </c>
      <c r="O383" s="348">
        <v>20217.535150336647</v>
      </c>
      <c r="P383" s="348">
        <v>3582.1951711465549</v>
      </c>
      <c r="Q383" s="348">
        <v>6236.5780433599721</v>
      </c>
      <c r="R383" s="348">
        <v>11097.039185516975</v>
      </c>
      <c r="S383" s="348">
        <v>11079.518612117246</v>
      </c>
      <c r="T383" s="348">
        <v>14161.509251665897</v>
      </c>
      <c r="U383" s="348">
        <v>2979.5082244406121</v>
      </c>
      <c r="V383" s="348">
        <v>74642.582646964584</v>
      </c>
      <c r="W383" s="348">
        <v>114062.73801645762</v>
      </c>
      <c r="X383" s="348">
        <v>11114.375749816085</v>
      </c>
      <c r="Y383" s="349">
        <v>125172.9567513896</v>
      </c>
    </row>
    <row r="384" spans="1:25" x14ac:dyDescent="0.2">
      <c r="A384" s="8">
        <v>2018</v>
      </c>
      <c r="B384" s="4" t="s">
        <v>466</v>
      </c>
      <c r="C384" s="4" t="s">
        <v>90</v>
      </c>
      <c r="D384" s="4" t="s">
        <v>468</v>
      </c>
      <c r="E384" s="4" t="s">
        <v>93</v>
      </c>
      <c r="F384" s="4" t="s">
        <v>94</v>
      </c>
      <c r="G384" s="4" t="s">
        <v>469</v>
      </c>
      <c r="H384" s="9">
        <v>131.50498283534392</v>
      </c>
      <c r="I384" s="9">
        <v>4.5192643563633164</v>
      </c>
      <c r="J384" s="323">
        <v>136.02424719170725</v>
      </c>
      <c r="K384" s="9">
        <v>7361.8072685699626</v>
      </c>
      <c r="L384" s="9">
        <v>4853.4269759267363</v>
      </c>
      <c r="M384" s="323">
        <v>12215.2342444967</v>
      </c>
      <c r="N384" s="9">
        <v>1754.5888839522165</v>
      </c>
      <c r="O384" s="9">
        <v>9612.9835710147308</v>
      </c>
      <c r="P384" s="9">
        <v>1606.4131181509417</v>
      </c>
      <c r="Q384" s="9">
        <v>4649.506177248767</v>
      </c>
      <c r="R384" s="9">
        <v>5569.958376491024</v>
      </c>
      <c r="S384" s="9">
        <v>5258.3802187983292</v>
      </c>
      <c r="T384" s="9">
        <v>6762.8140671183246</v>
      </c>
      <c r="U384" s="9">
        <v>1356.2739361957988</v>
      </c>
      <c r="V384" s="323">
        <v>36570.918348970132</v>
      </c>
      <c r="W384" s="323">
        <v>48922.17684065854</v>
      </c>
      <c r="X384" s="9">
        <v>4749.0780718651858</v>
      </c>
      <c r="Y384" s="319">
        <v>53671.254912523727</v>
      </c>
    </row>
    <row r="385" spans="1:25" x14ac:dyDescent="0.2">
      <c r="A385" s="7">
        <v>2018</v>
      </c>
      <c r="B385" s="5" t="s">
        <v>466</v>
      </c>
      <c r="C385" s="5" t="s">
        <v>90</v>
      </c>
      <c r="D385" s="5" t="s">
        <v>470</v>
      </c>
      <c r="E385" s="5" t="s">
        <v>98</v>
      </c>
      <c r="F385" s="5" t="s">
        <v>94</v>
      </c>
      <c r="G385" s="5" t="s">
        <v>99</v>
      </c>
      <c r="H385" s="10">
        <v>81.460357383997305</v>
      </c>
      <c r="I385" s="10">
        <v>3.92180939326837</v>
      </c>
      <c r="J385" s="325">
        <v>85.382166777265681</v>
      </c>
      <c r="K385" s="10">
        <v>329.85308887794474</v>
      </c>
      <c r="L385" s="10">
        <v>85.858074453061164</v>
      </c>
      <c r="M385" s="325">
        <v>415.71116333100588</v>
      </c>
      <c r="N385" s="10">
        <v>117.50132847785341</v>
      </c>
      <c r="O385" s="10">
        <v>73.878228926661436</v>
      </c>
      <c r="P385" s="10">
        <v>14.19827537316435</v>
      </c>
      <c r="Q385" s="10">
        <v>7.3056835756930054</v>
      </c>
      <c r="R385" s="10">
        <v>43.744298655958964</v>
      </c>
      <c r="S385" s="10">
        <v>49.688092562467844</v>
      </c>
      <c r="T385" s="10">
        <v>39.403086417178294</v>
      </c>
      <c r="U385" s="10">
        <v>14.457269406358536</v>
      </c>
      <c r="V385" s="325">
        <v>360.17626339533581</v>
      </c>
      <c r="W385" s="325">
        <v>861.26959350360733</v>
      </c>
      <c r="X385" s="10">
        <v>82.567020020053945</v>
      </c>
      <c r="Y385" s="320">
        <v>943.8366135236613</v>
      </c>
    </row>
    <row r="386" spans="1:25" x14ac:dyDescent="0.2">
      <c r="A386" s="7">
        <v>2018</v>
      </c>
      <c r="B386" s="5" t="s">
        <v>466</v>
      </c>
      <c r="C386" s="5" t="s">
        <v>90</v>
      </c>
      <c r="D386" s="5" t="s">
        <v>470</v>
      </c>
      <c r="E386" s="5" t="s">
        <v>101</v>
      </c>
      <c r="F386" s="5" t="s">
        <v>94</v>
      </c>
      <c r="G386" s="5" t="s">
        <v>102</v>
      </c>
      <c r="H386" s="10">
        <v>26.324428959477004</v>
      </c>
      <c r="I386" s="10">
        <v>1.086302783357836</v>
      </c>
      <c r="J386" s="325">
        <v>27.410731742834841</v>
      </c>
      <c r="K386" s="10">
        <v>531.37553940232272</v>
      </c>
      <c r="L386" s="10">
        <v>528.56229779596276</v>
      </c>
      <c r="M386" s="325">
        <v>1059.9378371982855</v>
      </c>
      <c r="N386" s="10">
        <v>193.96978376194213</v>
      </c>
      <c r="O386" s="10">
        <v>1231.2013534351886</v>
      </c>
      <c r="P386" s="10">
        <v>250.45889153483554</v>
      </c>
      <c r="Q386" s="10">
        <v>173.15105863397869</v>
      </c>
      <c r="R386" s="10">
        <v>626.6805140768588</v>
      </c>
      <c r="S386" s="10">
        <v>521.33427443340975</v>
      </c>
      <c r="T386" s="10">
        <v>678.57402121461303</v>
      </c>
      <c r="U386" s="10">
        <v>229.4041470039908</v>
      </c>
      <c r="V386" s="325">
        <v>3904.7740440948169</v>
      </c>
      <c r="W386" s="325">
        <v>4992.1226130359373</v>
      </c>
      <c r="X386" s="10">
        <v>488.63616695141229</v>
      </c>
      <c r="Y386" s="320">
        <v>5480.75877998735</v>
      </c>
    </row>
    <row r="387" spans="1:25" x14ac:dyDescent="0.2">
      <c r="A387" s="7">
        <v>2018</v>
      </c>
      <c r="B387" s="5" t="s">
        <v>466</v>
      </c>
      <c r="C387" s="5" t="s">
        <v>90</v>
      </c>
      <c r="D387" s="5" t="s">
        <v>471</v>
      </c>
      <c r="E387" s="5" t="s">
        <v>104</v>
      </c>
      <c r="F387" s="5" t="s">
        <v>94</v>
      </c>
      <c r="G387" s="5" t="s">
        <v>105</v>
      </c>
      <c r="H387" s="10">
        <v>50.029770960882061</v>
      </c>
      <c r="I387" s="10">
        <v>0</v>
      </c>
      <c r="J387" s="325">
        <v>50.029770960882061</v>
      </c>
      <c r="K387" s="10">
        <v>235.99322084924773</v>
      </c>
      <c r="L387" s="10">
        <v>72.300302266965545</v>
      </c>
      <c r="M387" s="325">
        <v>308.29352311621329</v>
      </c>
      <c r="N387" s="10">
        <v>26.410003963035795</v>
      </c>
      <c r="O387" s="10">
        <v>239.40328339898727</v>
      </c>
      <c r="P387" s="10">
        <v>33.578804963008942</v>
      </c>
      <c r="Q387" s="10">
        <v>25.698157859830758</v>
      </c>
      <c r="R387" s="10">
        <v>88.687312551884858</v>
      </c>
      <c r="S387" s="10">
        <v>79.818259923132587</v>
      </c>
      <c r="T387" s="10">
        <v>91.798088278225251</v>
      </c>
      <c r="U387" s="10">
        <v>22.618819013030716</v>
      </c>
      <c r="V387" s="325">
        <v>608.01272995113618</v>
      </c>
      <c r="W387" s="325">
        <v>966.33602402823146</v>
      </c>
      <c r="X387" s="10">
        <v>93.888561105122307</v>
      </c>
      <c r="Y387" s="320">
        <v>1060.2245851333537</v>
      </c>
    </row>
    <row r="388" spans="1:25" x14ac:dyDescent="0.2">
      <c r="A388" s="7">
        <v>2018</v>
      </c>
      <c r="B388" s="5" t="s">
        <v>466</v>
      </c>
      <c r="C388" s="5" t="s">
        <v>90</v>
      </c>
      <c r="D388" s="5" t="s">
        <v>470</v>
      </c>
      <c r="E388" s="5" t="s">
        <v>106</v>
      </c>
      <c r="F388" s="5" t="s">
        <v>94</v>
      </c>
      <c r="G388" s="5" t="s">
        <v>107</v>
      </c>
      <c r="H388" s="10">
        <v>8.3473927060218465</v>
      </c>
      <c r="I388" s="10">
        <v>0.18565722889335698</v>
      </c>
      <c r="J388" s="325">
        <v>8.5330499349152031</v>
      </c>
      <c r="K388" s="10">
        <v>338.93663447644428</v>
      </c>
      <c r="L388" s="10">
        <v>146.05513629135882</v>
      </c>
      <c r="M388" s="325">
        <v>484.99177076780313</v>
      </c>
      <c r="N388" s="10">
        <v>39.014448552878989</v>
      </c>
      <c r="O388" s="10">
        <v>188.29346166576286</v>
      </c>
      <c r="P388" s="10">
        <v>43.066208536073894</v>
      </c>
      <c r="Q388" s="10">
        <v>24.232717130316836</v>
      </c>
      <c r="R388" s="10">
        <v>124.41101785668661</v>
      </c>
      <c r="S388" s="10">
        <v>92.621325810050251</v>
      </c>
      <c r="T388" s="10">
        <v>78.528010943699542</v>
      </c>
      <c r="U388" s="10">
        <v>31.278418287593798</v>
      </c>
      <c r="V388" s="325">
        <v>621.44560878306277</v>
      </c>
      <c r="W388" s="325">
        <v>1114.9704294857811</v>
      </c>
      <c r="X388" s="10">
        <v>106.48776687044477</v>
      </c>
      <c r="Y388" s="320">
        <v>1221.4581963562259</v>
      </c>
    </row>
    <row r="389" spans="1:25" x14ac:dyDescent="0.2">
      <c r="A389" s="7">
        <v>2018</v>
      </c>
      <c r="B389" s="5" t="s">
        <v>466</v>
      </c>
      <c r="C389" s="5" t="s">
        <v>90</v>
      </c>
      <c r="D389" s="5" t="s">
        <v>471</v>
      </c>
      <c r="E389" s="5" t="s">
        <v>109</v>
      </c>
      <c r="F389" s="5" t="s">
        <v>94</v>
      </c>
      <c r="G389" s="5" t="s">
        <v>110</v>
      </c>
      <c r="H389" s="10">
        <v>15.47326524806083</v>
      </c>
      <c r="I389" s="10">
        <v>0</v>
      </c>
      <c r="J389" s="325">
        <v>15.47326524806083</v>
      </c>
      <c r="K389" s="10">
        <v>2018.4894703082448</v>
      </c>
      <c r="L389" s="10">
        <v>548.38998202777236</v>
      </c>
      <c r="M389" s="325">
        <v>2566.879452336017</v>
      </c>
      <c r="N389" s="10">
        <v>295.74693345826228</v>
      </c>
      <c r="O389" s="10">
        <v>1536.7397859494513</v>
      </c>
      <c r="P389" s="10">
        <v>253.15931441406732</v>
      </c>
      <c r="Q389" s="10">
        <v>331.36193789056085</v>
      </c>
      <c r="R389" s="10">
        <v>1075.4820339834394</v>
      </c>
      <c r="S389" s="10">
        <v>859.51397246699707</v>
      </c>
      <c r="T389" s="10">
        <v>848.41344105765222</v>
      </c>
      <c r="U389" s="10">
        <v>235.21489488947677</v>
      </c>
      <c r="V389" s="325">
        <v>5435.6323141099074</v>
      </c>
      <c r="W389" s="325">
        <v>8017.9850316939855</v>
      </c>
      <c r="X389" s="10">
        <v>774.49885604539134</v>
      </c>
      <c r="Y389" s="320">
        <v>8792.4838877393777</v>
      </c>
    </row>
    <row r="390" spans="1:25" x14ac:dyDescent="0.2">
      <c r="A390" s="7">
        <v>2018</v>
      </c>
      <c r="B390" s="5" t="s">
        <v>466</v>
      </c>
      <c r="C390" s="5" t="s">
        <v>90</v>
      </c>
      <c r="D390" s="5" t="s">
        <v>470</v>
      </c>
      <c r="E390" s="5" t="s">
        <v>112</v>
      </c>
      <c r="F390" s="5" t="s">
        <v>94</v>
      </c>
      <c r="G390" s="5" t="s">
        <v>113</v>
      </c>
      <c r="H390" s="10">
        <v>35.77393739661764</v>
      </c>
      <c r="I390" s="10">
        <v>14.380403713961165</v>
      </c>
      <c r="J390" s="325">
        <v>50.154341110578805</v>
      </c>
      <c r="K390" s="10">
        <v>1089.1995002256742</v>
      </c>
      <c r="L390" s="10">
        <v>174.6954846168214</v>
      </c>
      <c r="M390" s="325">
        <v>1263.8949848424957</v>
      </c>
      <c r="N390" s="10">
        <v>39.935062107506042</v>
      </c>
      <c r="O390" s="10">
        <v>226.17250809634018</v>
      </c>
      <c r="P390" s="10">
        <v>21.718509403217862</v>
      </c>
      <c r="Q390" s="10">
        <v>12.884416036637411</v>
      </c>
      <c r="R390" s="10">
        <v>61.192088134437832</v>
      </c>
      <c r="S390" s="10">
        <v>117.27171163839091</v>
      </c>
      <c r="T390" s="10">
        <v>61.930409248585732</v>
      </c>
      <c r="U390" s="10">
        <v>16.400970275423717</v>
      </c>
      <c r="V390" s="325">
        <v>557.50567494053962</v>
      </c>
      <c r="W390" s="325">
        <v>1871.5550008936141</v>
      </c>
      <c r="X390" s="10">
        <v>174.74507211637862</v>
      </c>
      <c r="Y390" s="320">
        <v>2046.3000730099927</v>
      </c>
    </row>
    <row r="391" spans="1:25" x14ac:dyDescent="0.2">
      <c r="A391" s="7">
        <v>2018</v>
      </c>
      <c r="B391" s="5" t="s">
        <v>466</v>
      </c>
      <c r="C391" s="5" t="s">
        <v>90</v>
      </c>
      <c r="D391" s="5" t="s">
        <v>471</v>
      </c>
      <c r="E391" s="5" t="s">
        <v>115</v>
      </c>
      <c r="F391" s="5" t="s">
        <v>94</v>
      </c>
      <c r="G391" s="5" t="s">
        <v>116</v>
      </c>
      <c r="H391" s="10">
        <v>0.13775175958083166</v>
      </c>
      <c r="I391" s="10">
        <v>0.10908174850106996</v>
      </c>
      <c r="J391" s="325">
        <v>0.24683350808190163</v>
      </c>
      <c r="K391" s="10">
        <v>2267.8315835414996</v>
      </c>
      <c r="L391" s="10">
        <v>580.32625118078431</v>
      </c>
      <c r="M391" s="325">
        <v>2848.157834722284</v>
      </c>
      <c r="N391" s="10">
        <v>268.29945671604548</v>
      </c>
      <c r="O391" s="10">
        <v>1164.4439062322997</v>
      </c>
      <c r="P391" s="10">
        <v>229.74344528498906</v>
      </c>
      <c r="Q391" s="10">
        <v>235.39944597174056</v>
      </c>
      <c r="R391" s="10">
        <v>650.38601479439751</v>
      </c>
      <c r="S391" s="10">
        <v>668.92180293232218</v>
      </c>
      <c r="T391" s="10">
        <v>570.20565029576414</v>
      </c>
      <c r="U391" s="10">
        <v>187.34807853817412</v>
      </c>
      <c r="V391" s="325">
        <v>3974.7478007657323</v>
      </c>
      <c r="W391" s="325">
        <v>6823.1524689960979</v>
      </c>
      <c r="X391" s="10">
        <v>652.93862467008103</v>
      </c>
      <c r="Y391" s="320">
        <v>7476.0910936661785</v>
      </c>
    </row>
    <row r="392" spans="1:25" x14ac:dyDescent="0.2">
      <c r="A392" s="7">
        <v>2018</v>
      </c>
      <c r="B392" s="5" t="s">
        <v>466</v>
      </c>
      <c r="C392" s="5" t="s">
        <v>90</v>
      </c>
      <c r="D392" s="5" t="s">
        <v>471</v>
      </c>
      <c r="E392" s="5" t="s">
        <v>118</v>
      </c>
      <c r="F392" s="5" t="s">
        <v>94</v>
      </c>
      <c r="G392" s="5" t="s">
        <v>119</v>
      </c>
      <c r="H392" s="10">
        <v>5.3103685110378009</v>
      </c>
      <c r="I392" s="10">
        <v>0</v>
      </c>
      <c r="J392" s="325">
        <v>5.3103685110378009</v>
      </c>
      <c r="K392" s="10">
        <v>789.59555506785478</v>
      </c>
      <c r="L392" s="10">
        <v>165.74007363181261</v>
      </c>
      <c r="M392" s="325">
        <v>955.33562869966738</v>
      </c>
      <c r="N392" s="10">
        <v>56.039566753189355</v>
      </c>
      <c r="O392" s="10">
        <v>249.8100274586792</v>
      </c>
      <c r="P392" s="10">
        <v>43.619988943524916</v>
      </c>
      <c r="Q392" s="10">
        <v>21.376324433482555</v>
      </c>
      <c r="R392" s="10">
        <v>122.56893440510942</v>
      </c>
      <c r="S392" s="10">
        <v>131.24982805694447</v>
      </c>
      <c r="T392" s="10">
        <v>80.675511665022924</v>
      </c>
      <c r="U392" s="10">
        <v>27.727398540517861</v>
      </c>
      <c r="V392" s="325">
        <v>733.06758025647071</v>
      </c>
      <c r="W392" s="325">
        <v>1693.7135774671758</v>
      </c>
      <c r="X392" s="10">
        <v>159.80531625712365</v>
      </c>
      <c r="Y392" s="320">
        <v>1853.5188937242995</v>
      </c>
    </row>
    <row r="393" spans="1:25" x14ac:dyDescent="0.2">
      <c r="A393" s="7">
        <v>2018</v>
      </c>
      <c r="B393" s="5" t="s">
        <v>466</v>
      </c>
      <c r="C393" s="5" t="s">
        <v>90</v>
      </c>
      <c r="D393" s="5" t="s">
        <v>471</v>
      </c>
      <c r="E393" s="5" t="s">
        <v>120</v>
      </c>
      <c r="F393" s="5" t="s">
        <v>94</v>
      </c>
      <c r="G393" s="5" t="s">
        <v>121</v>
      </c>
      <c r="H393" s="10">
        <v>6.9037957356522872</v>
      </c>
      <c r="I393" s="10">
        <v>0</v>
      </c>
      <c r="J393" s="325">
        <v>6.9037957356522872</v>
      </c>
      <c r="K393" s="10">
        <v>1022.271017261041</v>
      </c>
      <c r="L393" s="10">
        <v>202.58682944549105</v>
      </c>
      <c r="M393" s="325">
        <v>1224.8578467065322</v>
      </c>
      <c r="N393" s="10">
        <v>101.81277056366686</v>
      </c>
      <c r="O393" s="10">
        <v>426.86986793097014</v>
      </c>
      <c r="P393" s="10">
        <v>77.121402797463787</v>
      </c>
      <c r="Q393" s="10">
        <v>66.648026333342969</v>
      </c>
      <c r="R393" s="10">
        <v>329.34696008866445</v>
      </c>
      <c r="S393" s="10">
        <v>283.25895263039411</v>
      </c>
      <c r="T393" s="10">
        <v>336.30902996611371</v>
      </c>
      <c r="U393" s="10">
        <v>61.457340944860505</v>
      </c>
      <c r="V393" s="325">
        <v>1682.8243512554766</v>
      </c>
      <c r="W393" s="325">
        <v>2914.5859936976613</v>
      </c>
      <c r="X393" s="10">
        <v>278.79566057748826</v>
      </c>
      <c r="Y393" s="320">
        <v>3193.3816542751497</v>
      </c>
    </row>
    <row r="394" spans="1:25" x14ac:dyDescent="0.2">
      <c r="A394" s="7">
        <v>2018</v>
      </c>
      <c r="B394" s="5" t="s">
        <v>466</v>
      </c>
      <c r="C394" s="5" t="s">
        <v>122</v>
      </c>
      <c r="D394" s="5" t="s">
        <v>472</v>
      </c>
      <c r="E394" s="5" t="s">
        <v>125</v>
      </c>
      <c r="F394" s="5" t="s">
        <v>126</v>
      </c>
      <c r="G394" s="5" t="s">
        <v>128</v>
      </c>
      <c r="H394" s="10">
        <v>47.368088314747055</v>
      </c>
      <c r="I394" s="10">
        <v>55.364747617947337</v>
      </c>
      <c r="J394" s="325">
        <v>102.7328359326944</v>
      </c>
      <c r="K394" s="10">
        <v>2.9298869037226978</v>
      </c>
      <c r="L394" s="10">
        <v>25.226044023545047</v>
      </c>
      <c r="M394" s="325">
        <v>28.155930927267743</v>
      </c>
      <c r="N394" s="10">
        <v>21.750837905359244</v>
      </c>
      <c r="O394" s="10">
        <v>62.058448601732458</v>
      </c>
      <c r="P394" s="10">
        <v>13.140522888842463</v>
      </c>
      <c r="Q394" s="10">
        <v>4.1553510036383265</v>
      </c>
      <c r="R394" s="10">
        <v>12.959120561806284</v>
      </c>
      <c r="S394" s="10">
        <v>37.581441013707931</v>
      </c>
      <c r="T394" s="10">
        <v>66.07926305736521</v>
      </c>
      <c r="U394" s="10">
        <v>6.903151539321887</v>
      </c>
      <c r="V394" s="325">
        <v>224.62813657177381</v>
      </c>
      <c r="W394" s="325">
        <v>355.51690343173595</v>
      </c>
      <c r="X394" s="10">
        <v>35.847821448108817</v>
      </c>
      <c r="Y394" s="320">
        <v>391.36472487984474</v>
      </c>
    </row>
    <row r="395" spans="1:25" x14ac:dyDescent="0.2">
      <c r="A395" s="7">
        <v>2018</v>
      </c>
      <c r="B395" s="5" t="s">
        <v>466</v>
      </c>
      <c r="C395" s="5" t="s">
        <v>122</v>
      </c>
      <c r="D395" s="5" t="s">
        <v>472</v>
      </c>
      <c r="E395" s="5" t="s">
        <v>130</v>
      </c>
      <c r="F395" s="5" t="s">
        <v>126</v>
      </c>
      <c r="G395" s="5" t="s">
        <v>131</v>
      </c>
      <c r="H395" s="10">
        <v>74.748659256422783</v>
      </c>
      <c r="I395" s="10">
        <v>150.83178794200686</v>
      </c>
      <c r="J395" s="325">
        <v>225.58044719842962</v>
      </c>
      <c r="K395" s="10">
        <v>20.822036844114109</v>
      </c>
      <c r="L395" s="10">
        <v>60.19908489039085</v>
      </c>
      <c r="M395" s="325">
        <v>81.021121734504959</v>
      </c>
      <c r="N395" s="10">
        <v>39.574197887267381</v>
      </c>
      <c r="O395" s="10">
        <v>293.88554198773863</v>
      </c>
      <c r="P395" s="10">
        <v>26.659973773373448</v>
      </c>
      <c r="Q395" s="10">
        <v>25.495512317745952</v>
      </c>
      <c r="R395" s="10">
        <v>51.09494475170721</v>
      </c>
      <c r="S395" s="10">
        <v>97.84963838662199</v>
      </c>
      <c r="T395" s="10">
        <v>150.6879557785856</v>
      </c>
      <c r="U395" s="10">
        <v>16.932321214745389</v>
      </c>
      <c r="V395" s="325">
        <v>702.18008609778553</v>
      </c>
      <c r="W395" s="325">
        <v>1008.7816550307201</v>
      </c>
      <c r="X395" s="10">
        <v>101.67878030761446</v>
      </c>
      <c r="Y395" s="320">
        <v>1110.4604353383345</v>
      </c>
    </row>
    <row r="396" spans="1:25" x14ac:dyDescent="0.2">
      <c r="A396" s="7">
        <v>2018</v>
      </c>
      <c r="B396" s="5" t="s">
        <v>466</v>
      </c>
      <c r="C396" s="5" t="s">
        <v>122</v>
      </c>
      <c r="D396" s="5" t="s">
        <v>472</v>
      </c>
      <c r="E396" s="5" t="s">
        <v>133</v>
      </c>
      <c r="F396" s="5" t="s">
        <v>126</v>
      </c>
      <c r="G396" s="5" t="s">
        <v>134</v>
      </c>
      <c r="H396" s="10">
        <v>24.351281015367967</v>
      </c>
      <c r="I396" s="10">
        <v>314.73238717753577</v>
      </c>
      <c r="J396" s="325">
        <v>339.08366819290376</v>
      </c>
      <c r="K396" s="10">
        <v>2.8835767718390803</v>
      </c>
      <c r="L396" s="10">
        <v>37.165241131694465</v>
      </c>
      <c r="M396" s="325">
        <v>40.048817903533546</v>
      </c>
      <c r="N396" s="10">
        <v>26.796384160385276</v>
      </c>
      <c r="O396" s="10">
        <v>104.94159176923506</v>
      </c>
      <c r="P396" s="10">
        <v>18.23859975917108</v>
      </c>
      <c r="Q396" s="10">
        <v>11.453775797644473</v>
      </c>
      <c r="R396" s="10">
        <v>22.910350887252889</v>
      </c>
      <c r="S396" s="10">
        <v>68.195649138410857</v>
      </c>
      <c r="T396" s="10">
        <v>76.373157738344759</v>
      </c>
      <c r="U396" s="10">
        <v>9.99254779837832</v>
      </c>
      <c r="V396" s="325">
        <v>338.90205704882277</v>
      </c>
      <c r="W396" s="325">
        <v>718.03454314526016</v>
      </c>
      <c r="X396" s="10">
        <v>73.19134041433729</v>
      </c>
      <c r="Y396" s="320">
        <v>791.22588355959749</v>
      </c>
    </row>
    <row r="397" spans="1:25" x14ac:dyDescent="0.2">
      <c r="A397" s="7">
        <v>2018</v>
      </c>
      <c r="B397" s="5" t="s">
        <v>466</v>
      </c>
      <c r="C397" s="5" t="s">
        <v>122</v>
      </c>
      <c r="D397" s="5" t="s">
        <v>472</v>
      </c>
      <c r="E397" s="5" t="s">
        <v>135</v>
      </c>
      <c r="F397" s="5" t="s">
        <v>126</v>
      </c>
      <c r="G397" s="5" t="s">
        <v>136</v>
      </c>
      <c r="H397" s="10">
        <v>20.567887159805124</v>
      </c>
      <c r="I397" s="10">
        <v>32.489671290369536</v>
      </c>
      <c r="J397" s="325">
        <v>53.05755845017466</v>
      </c>
      <c r="K397" s="10">
        <v>10.086603216386679</v>
      </c>
      <c r="L397" s="10">
        <v>9.5702524741776482</v>
      </c>
      <c r="M397" s="325">
        <v>19.656855690564328</v>
      </c>
      <c r="N397" s="10">
        <v>16.721079162921409</v>
      </c>
      <c r="O397" s="10">
        <v>40.707010083517332</v>
      </c>
      <c r="P397" s="10">
        <v>8.8692678165901082</v>
      </c>
      <c r="Q397" s="10">
        <v>4.4794722979459154</v>
      </c>
      <c r="R397" s="10">
        <v>11.847238822035321</v>
      </c>
      <c r="S397" s="10">
        <v>22.203451887737756</v>
      </c>
      <c r="T397" s="10">
        <v>39.056874319528958</v>
      </c>
      <c r="U397" s="10">
        <v>5.1520187625857545</v>
      </c>
      <c r="V397" s="325">
        <v>149.03641315286256</v>
      </c>
      <c r="W397" s="325">
        <v>221.75082729360156</v>
      </c>
      <c r="X397" s="10">
        <v>22.301454988379994</v>
      </c>
      <c r="Y397" s="320">
        <v>244.05228228198155</v>
      </c>
    </row>
    <row r="398" spans="1:25" x14ac:dyDescent="0.2">
      <c r="A398" s="7">
        <v>2018</v>
      </c>
      <c r="B398" s="5" t="s">
        <v>466</v>
      </c>
      <c r="C398" s="5" t="s">
        <v>122</v>
      </c>
      <c r="D398" s="5" t="s">
        <v>472</v>
      </c>
      <c r="E398" s="5" t="s">
        <v>137</v>
      </c>
      <c r="F398" s="5" t="s">
        <v>126</v>
      </c>
      <c r="G398" s="5" t="s">
        <v>138</v>
      </c>
      <c r="H398" s="10">
        <v>19.01981447672954</v>
      </c>
      <c r="I398" s="10">
        <v>29.291614096046427</v>
      </c>
      <c r="J398" s="325">
        <v>48.311428572775966</v>
      </c>
      <c r="K398" s="10">
        <v>3.6678476048812709</v>
      </c>
      <c r="L398" s="10">
        <v>17.758891973128311</v>
      </c>
      <c r="M398" s="325">
        <v>21.426739578009581</v>
      </c>
      <c r="N398" s="10">
        <v>8.3964304596040709</v>
      </c>
      <c r="O398" s="10">
        <v>39.948944950744888</v>
      </c>
      <c r="P398" s="10">
        <v>11.183587268252589</v>
      </c>
      <c r="Q398" s="10">
        <v>6.3681081845023693</v>
      </c>
      <c r="R398" s="10">
        <v>15.264360179736324</v>
      </c>
      <c r="S398" s="10">
        <v>28.386462900899897</v>
      </c>
      <c r="T398" s="10">
        <v>63.590767710292582</v>
      </c>
      <c r="U398" s="10">
        <v>6.9224818206415542</v>
      </c>
      <c r="V398" s="325">
        <v>180.06114347467428</v>
      </c>
      <c r="W398" s="325">
        <v>249.79931162545984</v>
      </c>
      <c r="X398" s="10">
        <v>24.99906852548035</v>
      </c>
      <c r="Y398" s="320">
        <v>274.7983801509402</v>
      </c>
    </row>
    <row r="399" spans="1:25" x14ac:dyDescent="0.2">
      <c r="A399" s="7">
        <v>2018</v>
      </c>
      <c r="B399" s="5" t="s">
        <v>466</v>
      </c>
      <c r="C399" s="5" t="s">
        <v>122</v>
      </c>
      <c r="D399" s="5" t="s">
        <v>472</v>
      </c>
      <c r="E399" s="5" t="s">
        <v>139</v>
      </c>
      <c r="F399" s="5" t="s">
        <v>126</v>
      </c>
      <c r="G399" s="5" t="s">
        <v>140</v>
      </c>
      <c r="H399" s="10">
        <v>24.220950817635469</v>
      </c>
      <c r="I399" s="10">
        <v>130.8077761095507</v>
      </c>
      <c r="J399" s="325">
        <v>155.02872692718617</v>
      </c>
      <c r="K399" s="10">
        <v>7.9955519204101924</v>
      </c>
      <c r="L399" s="10">
        <v>11.609971065358762</v>
      </c>
      <c r="M399" s="325">
        <v>19.605522985768953</v>
      </c>
      <c r="N399" s="10">
        <v>20.308464150588584</v>
      </c>
      <c r="O399" s="10">
        <v>38.759378457340745</v>
      </c>
      <c r="P399" s="10">
        <v>6.7869601778530084</v>
      </c>
      <c r="Q399" s="10">
        <v>3.1208210467437136</v>
      </c>
      <c r="R399" s="10">
        <v>10.987834815823415</v>
      </c>
      <c r="S399" s="10">
        <v>28.203653755678584</v>
      </c>
      <c r="T399" s="10">
        <v>41.782583017289305</v>
      </c>
      <c r="U399" s="10">
        <v>4.1165452311997335</v>
      </c>
      <c r="V399" s="325">
        <v>154.06624065251708</v>
      </c>
      <c r="W399" s="325">
        <v>328.70049056547219</v>
      </c>
      <c r="X399" s="10">
        <v>33.499581811405648</v>
      </c>
      <c r="Y399" s="320">
        <v>362.20007237687787</v>
      </c>
    </row>
    <row r="400" spans="1:25" x14ac:dyDescent="0.2">
      <c r="A400" s="7">
        <v>2018</v>
      </c>
      <c r="B400" s="5" t="s">
        <v>466</v>
      </c>
      <c r="C400" s="5" t="s">
        <v>141</v>
      </c>
      <c r="D400" s="5" t="s">
        <v>473</v>
      </c>
      <c r="E400" s="5" t="s">
        <v>143</v>
      </c>
      <c r="F400" s="5" t="s">
        <v>144</v>
      </c>
      <c r="G400" s="5" t="s">
        <v>146</v>
      </c>
      <c r="H400" s="10">
        <v>5.953029701398008</v>
      </c>
      <c r="I400" s="10">
        <v>0</v>
      </c>
      <c r="J400" s="325">
        <v>5.953029701398008</v>
      </c>
      <c r="K400" s="10">
        <v>0.82539797365592582</v>
      </c>
      <c r="L400" s="10">
        <v>3.5391432592620231</v>
      </c>
      <c r="M400" s="325">
        <v>4.3645412329179489</v>
      </c>
      <c r="N400" s="10">
        <v>2.8130483925736804</v>
      </c>
      <c r="O400" s="10">
        <v>6.1049582098449608</v>
      </c>
      <c r="P400" s="10">
        <v>1.7179143794456242</v>
      </c>
      <c r="Q400" s="10">
        <v>1.0706304063084642</v>
      </c>
      <c r="R400" s="10">
        <v>3.5045775951026727</v>
      </c>
      <c r="S400" s="10">
        <v>5.1924690163693272</v>
      </c>
      <c r="T400" s="10">
        <v>10.868185264843248</v>
      </c>
      <c r="U400" s="10">
        <v>1.434563443092886</v>
      </c>
      <c r="V400" s="325">
        <v>32.706346707580863</v>
      </c>
      <c r="W400" s="325">
        <v>43.023917641896823</v>
      </c>
      <c r="X400" s="10">
        <v>4.2814253112541731</v>
      </c>
      <c r="Y400" s="320">
        <v>47.305342953150998</v>
      </c>
    </row>
    <row r="401" spans="1:25" x14ac:dyDescent="0.2">
      <c r="A401" s="7">
        <v>2018</v>
      </c>
      <c r="B401" s="5" t="s">
        <v>466</v>
      </c>
      <c r="C401" s="5" t="s">
        <v>141</v>
      </c>
      <c r="D401" s="5" t="s">
        <v>473</v>
      </c>
      <c r="E401" s="5" t="s">
        <v>147</v>
      </c>
      <c r="F401" s="5" t="s">
        <v>144</v>
      </c>
      <c r="G401" s="5" t="s">
        <v>148</v>
      </c>
      <c r="H401" s="10">
        <v>18.689045503637676</v>
      </c>
      <c r="I401" s="10">
        <v>0.41954056111299876</v>
      </c>
      <c r="J401" s="325">
        <v>19.108586064750675</v>
      </c>
      <c r="K401" s="10">
        <v>1.2519349042551045</v>
      </c>
      <c r="L401" s="10">
        <v>7.423715014953312</v>
      </c>
      <c r="M401" s="325">
        <v>8.675649919208416</v>
      </c>
      <c r="N401" s="10">
        <v>2.3704204990387572</v>
      </c>
      <c r="O401" s="10">
        <v>16.156065478625987</v>
      </c>
      <c r="P401" s="10">
        <v>2.8554454520240018</v>
      </c>
      <c r="Q401" s="10">
        <v>1.6048985949409824</v>
      </c>
      <c r="R401" s="10">
        <v>6.7786367464302844</v>
      </c>
      <c r="S401" s="10">
        <v>8.1924785135197595</v>
      </c>
      <c r="T401" s="10">
        <v>16.318333890979556</v>
      </c>
      <c r="U401" s="10">
        <v>3.0391671230114672</v>
      </c>
      <c r="V401" s="325">
        <v>57.315446298570805</v>
      </c>
      <c r="W401" s="325">
        <v>85.099682282529898</v>
      </c>
      <c r="X401" s="10">
        <v>8.4891346697660932</v>
      </c>
      <c r="Y401" s="320">
        <v>93.588816952295986</v>
      </c>
    </row>
    <row r="402" spans="1:25" x14ac:dyDescent="0.2">
      <c r="A402" s="7">
        <v>2018</v>
      </c>
      <c r="B402" s="5" t="s">
        <v>466</v>
      </c>
      <c r="C402" s="5" t="s">
        <v>141</v>
      </c>
      <c r="D402" s="5" t="s">
        <v>474</v>
      </c>
      <c r="E402" s="5" t="s">
        <v>149</v>
      </c>
      <c r="F402" s="5" t="s">
        <v>144</v>
      </c>
      <c r="G402" s="5" t="s">
        <v>150</v>
      </c>
      <c r="H402" s="10">
        <v>24.252743787501196</v>
      </c>
      <c r="I402" s="10">
        <v>39.939943882837753</v>
      </c>
      <c r="J402" s="325">
        <v>64.192687670338955</v>
      </c>
      <c r="K402" s="10">
        <v>43.563690681084765</v>
      </c>
      <c r="L402" s="10">
        <v>12.810504999055144</v>
      </c>
      <c r="M402" s="325">
        <v>56.374195680139906</v>
      </c>
      <c r="N402" s="10">
        <v>34.328995271014449</v>
      </c>
      <c r="O402" s="10">
        <v>139.48420665360814</v>
      </c>
      <c r="P402" s="10">
        <v>16.693135045263382</v>
      </c>
      <c r="Q402" s="10">
        <v>18.819403495798312</v>
      </c>
      <c r="R402" s="10">
        <v>41.33573198945043</v>
      </c>
      <c r="S402" s="10">
        <v>55.500096811132018</v>
      </c>
      <c r="T402" s="10">
        <v>66.109750204642822</v>
      </c>
      <c r="U402" s="10">
        <v>15.403225520126599</v>
      </c>
      <c r="V402" s="325">
        <v>387.67454499103621</v>
      </c>
      <c r="W402" s="325">
        <v>508.24142834151507</v>
      </c>
      <c r="X402" s="10">
        <v>50.773330222921111</v>
      </c>
      <c r="Y402" s="320">
        <v>559.01475856443619</v>
      </c>
    </row>
    <row r="403" spans="1:25" x14ac:dyDescent="0.2">
      <c r="A403" s="7">
        <v>2018</v>
      </c>
      <c r="B403" s="5" t="s">
        <v>466</v>
      </c>
      <c r="C403" s="5" t="s">
        <v>141</v>
      </c>
      <c r="D403" s="5" t="s">
        <v>474</v>
      </c>
      <c r="E403" s="5" t="s">
        <v>151</v>
      </c>
      <c r="F403" s="5" t="s">
        <v>144</v>
      </c>
      <c r="G403" s="5" t="s">
        <v>152</v>
      </c>
      <c r="H403" s="10">
        <v>11.083528707391594</v>
      </c>
      <c r="I403" s="10">
        <v>97.076893499966488</v>
      </c>
      <c r="J403" s="325">
        <v>108.16042220735808</v>
      </c>
      <c r="K403" s="10">
        <v>45.205126659515173</v>
      </c>
      <c r="L403" s="10">
        <v>6.2386762467797618</v>
      </c>
      <c r="M403" s="325">
        <v>51.443802906294934</v>
      </c>
      <c r="N403" s="10">
        <v>97.404637605791365</v>
      </c>
      <c r="O403" s="10">
        <v>21.940138945127959</v>
      </c>
      <c r="P403" s="10">
        <v>5.9934995703152323</v>
      </c>
      <c r="Q403" s="10">
        <v>2.2774214448348435</v>
      </c>
      <c r="R403" s="10">
        <v>12.020261436169612</v>
      </c>
      <c r="S403" s="10">
        <v>35.393062602418077</v>
      </c>
      <c r="T403" s="10">
        <v>37.62724356747848</v>
      </c>
      <c r="U403" s="10">
        <v>9.1232707459497195</v>
      </c>
      <c r="V403" s="325">
        <v>221.77953591808529</v>
      </c>
      <c r="W403" s="325">
        <v>381.38376103173829</v>
      </c>
      <c r="X403" s="10">
        <v>38.524402656975575</v>
      </c>
      <c r="Y403" s="320">
        <v>419.90816368871384</v>
      </c>
    </row>
    <row r="404" spans="1:25" x14ac:dyDescent="0.2">
      <c r="A404" s="7">
        <v>2018</v>
      </c>
      <c r="B404" s="5" t="s">
        <v>466</v>
      </c>
      <c r="C404" s="5" t="s">
        <v>141</v>
      </c>
      <c r="D404" s="5" t="s">
        <v>474</v>
      </c>
      <c r="E404" s="5" t="s">
        <v>153</v>
      </c>
      <c r="F404" s="5" t="s">
        <v>144</v>
      </c>
      <c r="G404" s="5" t="s">
        <v>154</v>
      </c>
      <c r="H404" s="10">
        <v>9.2966738115788985</v>
      </c>
      <c r="I404" s="10">
        <v>11.700072724906898</v>
      </c>
      <c r="J404" s="325">
        <v>20.996746536485794</v>
      </c>
      <c r="K404" s="10">
        <v>23.855794548641828</v>
      </c>
      <c r="L404" s="10">
        <v>7.9344510478498567</v>
      </c>
      <c r="M404" s="325">
        <v>31.790245596491687</v>
      </c>
      <c r="N404" s="10">
        <v>10.393261008293962</v>
      </c>
      <c r="O404" s="10">
        <v>48.645081701061621</v>
      </c>
      <c r="P404" s="10">
        <v>4.351950986628081</v>
      </c>
      <c r="Q404" s="10">
        <v>1.3892735081991638</v>
      </c>
      <c r="R404" s="10">
        <v>12.222163289142753</v>
      </c>
      <c r="S404" s="10">
        <v>15.164240326199277</v>
      </c>
      <c r="T404" s="10">
        <v>19.614397437594672</v>
      </c>
      <c r="U404" s="10">
        <v>3.7745875786993817</v>
      </c>
      <c r="V404" s="325">
        <v>115.55495583581892</v>
      </c>
      <c r="W404" s="325">
        <v>168.3419479687964</v>
      </c>
      <c r="X404" s="10">
        <v>16.724192448034593</v>
      </c>
      <c r="Y404" s="320">
        <v>185.06614041683099</v>
      </c>
    </row>
    <row r="405" spans="1:25" x14ac:dyDescent="0.2">
      <c r="A405" s="7">
        <v>2018</v>
      </c>
      <c r="B405" s="5" t="s">
        <v>466</v>
      </c>
      <c r="C405" s="5" t="s">
        <v>141</v>
      </c>
      <c r="D405" s="5" t="s">
        <v>474</v>
      </c>
      <c r="E405" s="5" t="s">
        <v>155</v>
      </c>
      <c r="F405" s="5" t="s">
        <v>144</v>
      </c>
      <c r="G405" s="5" t="s">
        <v>156</v>
      </c>
      <c r="H405" s="10">
        <v>55.213518541482195</v>
      </c>
      <c r="I405" s="10">
        <v>598.60678940421917</v>
      </c>
      <c r="J405" s="325">
        <v>653.82030794570142</v>
      </c>
      <c r="K405" s="10">
        <v>3.2490598479992236</v>
      </c>
      <c r="L405" s="10">
        <v>20.339241466823545</v>
      </c>
      <c r="M405" s="325">
        <v>23.588301314822768</v>
      </c>
      <c r="N405" s="10">
        <v>11.448585945011315</v>
      </c>
      <c r="O405" s="10">
        <v>17.114002727506683</v>
      </c>
      <c r="P405" s="10">
        <v>4.5585491148713944</v>
      </c>
      <c r="Q405" s="10">
        <v>1.6146870115075935</v>
      </c>
      <c r="R405" s="10">
        <v>9.8484897070106552</v>
      </c>
      <c r="S405" s="10">
        <v>52.03963976871492</v>
      </c>
      <c r="T405" s="10">
        <v>22.227219580210441</v>
      </c>
      <c r="U405" s="10">
        <v>5.8036739184126187</v>
      </c>
      <c r="V405" s="325">
        <v>124.65484777324562</v>
      </c>
      <c r="W405" s="325">
        <v>802.06345703376974</v>
      </c>
      <c r="X405" s="10">
        <v>82.966078329087892</v>
      </c>
      <c r="Y405" s="320">
        <v>885.02953536285759</v>
      </c>
    </row>
    <row r="406" spans="1:25" x14ac:dyDescent="0.2">
      <c r="A406" s="7">
        <v>2018</v>
      </c>
      <c r="B406" s="5" t="s">
        <v>466</v>
      </c>
      <c r="C406" s="5" t="s">
        <v>157</v>
      </c>
      <c r="D406" s="5" t="s">
        <v>475</v>
      </c>
      <c r="E406" s="5" t="s">
        <v>159</v>
      </c>
      <c r="F406" s="5" t="s">
        <v>160</v>
      </c>
      <c r="G406" s="5" t="s">
        <v>161</v>
      </c>
      <c r="H406" s="10">
        <v>28.412014407479688</v>
      </c>
      <c r="I406" s="10">
        <v>26.159853128728138</v>
      </c>
      <c r="J406" s="325">
        <v>54.571867536207826</v>
      </c>
      <c r="K406" s="10">
        <v>12.380534344294912</v>
      </c>
      <c r="L406" s="10">
        <v>47.082933074181099</v>
      </c>
      <c r="M406" s="325">
        <v>59.463467418476014</v>
      </c>
      <c r="N406" s="10">
        <v>349.28365169690898</v>
      </c>
      <c r="O406" s="10">
        <v>32.406032170076728</v>
      </c>
      <c r="P406" s="10">
        <v>7.6639532475112331</v>
      </c>
      <c r="Q406" s="10">
        <v>9.2865009938976009</v>
      </c>
      <c r="R406" s="10">
        <v>15.559522821859536</v>
      </c>
      <c r="S406" s="10">
        <v>45.761823223043976</v>
      </c>
      <c r="T406" s="10">
        <v>46.911111565080283</v>
      </c>
      <c r="U406" s="10">
        <v>7.8834013667388119</v>
      </c>
      <c r="V406" s="325">
        <v>514.7559970851172</v>
      </c>
      <c r="W406" s="325">
        <v>628.79133203980109</v>
      </c>
      <c r="X406" s="10">
        <v>64.038665147469686</v>
      </c>
      <c r="Y406" s="320">
        <v>692.82999718727081</v>
      </c>
    </row>
    <row r="407" spans="1:25" x14ac:dyDescent="0.2">
      <c r="A407" s="7">
        <v>2018</v>
      </c>
      <c r="B407" s="5" t="s">
        <v>466</v>
      </c>
      <c r="C407" s="5" t="s">
        <v>157</v>
      </c>
      <c r="D407" s="5" t="s">
        <v>476</v>
      </c>
      <c r="E407" s="5" t="s">
        <v>162</v>
      </c>
      <c r="F407" s="5" t="s">
        <v>160</v>
      </c>
      <c r="G407" s="5" t="s">
        <v>163</v>
      </c>
      <c r="H407" s="10">
        <v>11.768075128414679</v>
      </c>
      <c r="I407" s="10">
        <v>3.0439008898812898</v>
      </c>
      <c r="J407" s="325">
        <v>14.811976018295969</v>
      </c>
      <c r="K407" s="10">
        <v>1.6498506577992802</v>
      </c>
      <c r="L407" s="10">
        <v>11.178171364825463</v>
      </c>
      <c r="M407" s="325">
        <v>12.828022022624744</v>
      </c>
      <c r="N407" s="10">
        <v>70.635029058562878</v>
      </c>
      <c r="O407" s="10">
        <v>7.8575180103257685</v>
      </c>
      <c r="P407" s="10">
        <v>1.9167424515987705</v>
      </c>
      <c r="Q407" s="10">
        <v>0.82323469730458154</v>
      </c>
      <c r="R407" s="10">
        <v>3.1240813635348506</v>
      </c>
      <c r="S407" s="10">
        <v>9.3665354072021572</v>
      </c>
      <c r="T407" s="10">
        <v>11.831022933199151</v>
      </c>
      <c r="U407" s="10">
        <v>1.8457052569350534</v>
      </c>
      <c r="V407" s="325">
        <v>107.3998691786632</v>
      </c>
      <c r="W407" s="325">
        <v>135.03986721958393</v>
      </c>
      <c r="X407" s="10">
        <v>13.74618225292352</v>
      </c>
      <c r="Y407" s="320">
        <v>148.78604947250744</v>
      </c>
    </row>
    <row r="408" spans="1:25" x14ac:dyDescent="0.2">
      <c r="A408" s="7">
        <v>2018</v>
      </c>
      <c r="B408" s="5" t="s">
        <v>466</v>
      </c>
      <c r="C408" s="5" t="s">
        <v>157</v>
      </c>
      <c r="D408" s="5" t="s">
        <v>473</v>
      </c>
      <c r="E408" s="5" t="s">
        <v>164</v>
      </c>
      <c r="F408" s="5" t="s">
        <v>160</v>
      </c>
      <c r="G408" s="5" t="s">
        <v>165</v>
      </c>
      <c r="H408" s="10">
        <v>3.5590936165177336</v>
      </c>
      <c r="I408" s="10">
        <v>0</v>
      </c>
      <c r="J408" s="325">
        <v>3.5590936165177336</v>
      </c>
      <c r="K408" s="10">
        <v>7.9052552392229334</v>
      </c>
      <c r="L408" s="10">
        <v>4.2845110356335763</v>
      </c>
      <c r="M408" s="325">
        <v>12.18976627485651</v>
      </c>
      <c r="N408" s="10">
        <v>10.39287486925201</v>
      </c>
      <c r="O408" s="10">
        <v>24.958946525327679</v>
      </c>
      <c r="P408" s="10">
        <v>4.8772272552347413</v>
      </c>
      <c r="Q408" s="10">
        <v>3.5541539791083223</v>
      </c>
      <c r="R408" s="10">
        <v>12.898293886388739</v>
      </c>
      <c r="S408" s="10">
        <v>13.140340804980427</v>
      </c>
      <c r="T408" s="10">
        <v>21.354270197913852</v>
      </c>
      <c r="U408" s="10">
        <v>5.2238682756082362</v>
      </c>
      <c r="V408" s="325">
        <v>96.399975793814008</v>
      </c>
      <c r="W408" s="325">
        <v>112.14883568518825</v>
      </c>
      <c r="X408" s="10">
        <v>11.138104051846799</v>
      </c>
      <c r="Y408" s="320">
        <v>123.28693973703504</v>
      </c>
    </row>
    <row r="409" spans="1:25" x14ac:dyDescent="0.2">
      <c r="A409" s="7">
        <v>2018</v>
      </c>
      <c r="B409" s="5" t="s">
        <v>466</v>
      </c>
      <c r="C409" s="5" t="s">
        <v>157</v>
      </c>
      <c r="D409" s="5" t="s">
        <v>477</v>
      </c>
      <c r="E409" s="5" t="s">
        <v>166</v>
      </c>
      <c r="F409" s="5" t="s">
        <v>160</v>
      </c>
      <c r="G409" s="5" t="s">
        <v>168</v>
      </c>
      <c r="H409" s="10">
        <v>66.902585476812405</v>
      </c>
      <c r="I409" s="10">
        <v>223.84609749962215</v>
      </c>
      <c r="J409" s="325">
        <v>290.74868297643457</v>
      </c>
      <c r="K409" s="10">
        <v>12.888065808686543</v>
      </c>
      <c r="L409" s="10">
        <v>8.691982239766725</v>
      </c>
      <c r="M409" s="325">
        <v>21.580048048453268</v>
      </c>
      <c r="N409" s="10">
        <v>10.504078724119355</v>
      </c>
      <c r="O409" s="10">
        <v>50.750953070562275</v>
      </c>
      <c r="P409" s="10">
        <v>7.8733210321390059</v>
      </c>
      <c r="Q409" s="10">
        <v>3.5385978009443124</v>
      </c>
      <c r="R409" s="10">
        <v>17.560131915153292</v>
      </c>
      <c r="S409" s="10">
        <v>34.466758791167848</v>
      </c>
      <c r="T409" s="10">
        <v>33.531709247858409</v>
      </c>
      <c r="U409" s="10">
        <v>9.7500136808794924</v>
      </c>
      <c r="V409" s="325">
        <v>167.97556426282401</v>
      </c>
      <c r="W409" s="325">
        <v>480.30429528771185</v>
      </c>
      <c r="X409" s="10">
        <v>49.134669725724322</v>
      </c>
      <c r="Y409" s="320">
        <v>529.43896501343613</v>
      </c>
    </row>
    <row r="410" spans="1:25" x14ac:dyDescent="0.2">
      <c r="A410" s="7">
        <v>2018</v>
      </c>
      <c r="B410" s="5" t="s">
        <v>466</v>
      </c>
      <c r="C410" s="5" t="s">
        <v>157</v>
      </c>
      <c r="D410" s="5" t="s">
        <v>473</v>
      </c>
      <c r="E410" s="5" t="s">
        <v>169</v>
      </c>
      <c r="F410" s="5" t="s">
        <v>160</v>
      </c>
      <c r="G410" s="5" t="s">
        <v>170</v>
      </c>
      <c r="H410" s="10">
        <v>25.012383230852453</v>
      </c>
      <c r="I410" s="10">
        <v>4.7498610814154043</v>
      </c>
      <c r="J410" s="325">
        <v>29.762244312267857</v>
      </c>
      <c r="K410" s="10">
        <v>3.7781998504387224</v>
      </c>
      <c r="L410" s="10">
        <v>16.035604407212915</v>
      </c>
      <c r="M410" s="325">
        <v>19.813804257651636</v>
      </c>
      <c r="N410" s="10">
        <v>6.5873518424955879</v>
      </c>
      <c r="O410" s="10">
        <v>25.44907704656471</v>
      </c>
      <c r="P410" s="10">
        <v>8.555466776507016</v>
      </c>
      <c r="Q410" s="10">
        <v>3.691325532053277</v>
      </c>
      <c r="R410" s="10">
        <v>13.798403653566806</v>
      </c>
      <c r="S410" s="10">
        <v>19.380073025011175</v>
      </c>
      <c r="T410" s="10">
        <v>37.874516642275857</v>
      </c>
      <c r="U410" s="10">
        <v>6.9818864469077289</v>
      </c>
      <c r="V410" s="325">
        <v>122.31810096538216</v>
      </c>
      <c r="W410" s="325">
        <v>171.89414953530164</v>
      </c>
      <c r="X410" s="10">
        <v>17.082558570911189</v>
      </c>
      <c r="Y410" s="320">
        <v>188.97670810621281</v>
      </c>
    </row>
    <row r="411" spans="1:25" x14ac:dyDescent="0.2">
      <c r="A411" s="7">
        <v>2018</v>
      </c>
      <c r="B411" s="5" t="s">
        <v>466</v>
      </c>
      <c r="C411" s="5" t="s">
        <v>157</v>
      </c>
      <c r="D411" s="5" t="s">
        <v>473</v>
      </c>
      <c r="E411" s="5" t="s">
        <v>171</v>
      </c>
      <c r="F411" s="5" t="s">
        <v>160</v>
      </c>
      <c r="G411" s="5" t="s">
        <v>172</v>
      </c>
      <c r="H411" s="10">
        <v>59.916589082897147</v>
      </c>
      <c r="I411" s="10">
        <v>2.6435239561715327</v>
      </c>
      <c r="J411" s="325">
        <v>62.560113039068682</v>
      </c>
      <c r="K411" s="10">
        <v>5.9017966919554672</v>
      </c>
      <c r="L411" s="10">
        <v>10.670032158048077</v>
      </c>
      <c r="M411" s="325">
        <v>16.571828850003545</v>
      </c>
      <c r="N411" s="10">
        <v>16.587967658473065</v>
      </c>
      <c r="O411" s="10">
        <v>14.000375100295269</v>
      </c>
      <c r="P411" s="10">
        <v>3.248040835884749</v>
      </c>
      <c r="Q411" s="10">
        <v>1.0763876550900557</v>
      </c>
      <c r="R411" s="10">
        <v>6.703579908761145</v>
      </c>
      <c r="S411" s="10">
        <v>10.726056556877129</v>
      </c>
      <c r="T411" s="10">
        <v>18.365189812497029</v>
      </c>
      <c r="U411" s="10">
        <v>3.1695716519547581</v>
      </c>
      <c r="V411" s="325">
        <v>73.877169179833203</v>
      </c>
      <c r="W411" s="325">
        <v>153.00911106890544</v>
      </c>
      <c r="X411" s="10">
        <v>15.38329101910737</v>
      </c>
      <c r="Y411" s="320">
        <v>168.3924020880128</v>
      </c>
    </row>
    <row r="412" spans="1:25" x14ac:dyDescent="0.2">
      <c r="A412" s="7">
        <v>2018</v>
      </c>
      <c r="B412" s="5" t="s">
        <v>466</v>
      </c>
      <c r="C412" s="5" t="s">
        <v>157</v>
      </c>
      <c r="D412" s="5" t="s">
        <v>477</v>
      </c>
      <c r="E412" s="5" t="s">
        <v>173</v>
      </c>
      <c r="F412" s="5" t="s">
        <v>160</v>
      </c>
      <c r="G412" s="5" t="s">
        <v>174</v>
      </c>
      <c r="H412" s="10">
        <v>22.789287687502075</v>
      </c>
      <c r="I412" s="10">
        <v>320.21858108094312</v>
      </c>
      <c r="J412" s="325">
        <v>343.00786876844518</v>
      </c>
      <c r="K412" s="10">
        <v>25.705123390381665</v>
      </c>
      <c r="L412" s="10">
        <v>6.4021617739892491</v>
      </c>
      <c r="M412" s="325">
        <v>32.107285164370914</v>
      </c>
      <c r="N412" s="10">
        <v>18.351008706428139</v>
      </c>
      <c r="O412" s="10">
        <v>81.118326464062648</v>
      </c>
      <c r="P412" s="10">
        <v>12.05801367866354</v>
      </c>
      <c r="Q412" s="10">
        <v>7.65016190185061</v>
      </c>
      <c r="R412" s="10">
        <v>39.82895980506165</v>
      </c>
      <c r="S412" s="10">
        <v>55.714505233251217</v>
      </c>
      <c r="T412" s="10">
        <v>46.555697823128504</v>
      </c>
      <c r="U412" s="10">
        <v>15.651301408506697</v>
      </c>
      <c r="V412" s="325">
        <v>276.927975020953</v>
      </c>
      <c r="W412" s="325">
        <v>652.04312895376916</v>
      </c>
      <c r="X412" s="10">
        <v>66.536382073022295</v>
      </c>
      <c r="Y412" s="320">
        <v>718.57951102679147</v>
      </c>
    </row>
    <row r="413" spans="1:25" x14ac:dyDescent="0.2">
      <c r="A413" s="7">
        <v>2018</v>
      </c>
      <c r="B413" s="5" t="s">
        <v>466</v>
      </c>
      <c r="C413" s="5" t="s">
        <v>157</v>
      </c>
      <c r="D413" s="5" t="s">
        <v>475</v>
      </c>
      <c r="E413" s="5" t="s">
        <v>175</v>
      </c>
      <c r="F413" s="5" t="s">
        <v>160</v>
      </c>
      <c r="G413" s="5" t="s">
        <v>176</v>
      </c>
      <c r="H413" s="10">
        <v>13.938945991922141</v>
      </c>
      <c r="I413" s="10">
        <v>3.8432134183992446</v>
      </c>
      <c r="J413" s="325">
        <v>17.782159410321384</v>
      </c>
      <c r="K413" s="10">
        <v>0.44825316295064621</v>
      </c>
      <c r="L413" s="10">
        <v>11.644295174109358</v>
      </c>
      <c r="M413" s="325">
        <v>12.092548337060004</v>
      </c>
      <c r="N413" s="10">
        <v>3.6830455367613437</v>
      </c>
      <c r="O413" s="10">
        <v>23.751129637185876</v>
      </c>
      <c r="P413" s="10">
        <v>5.5282097173252227</v>
      </c>
      <c r="Q413" s="10">
        <v>3.6182015716788336</v>
      </c>
      <c r="R413" s="10">
        <v>8.0243836628873844</v>
      </c>
      <c r="S413" s="10">
        <v>11.456509808366356</v>
      </c>
      <c r="T413" s="10">
        <v>20.641204742275303</v>
      </c>
      <c r="U413" s="10">
        <v>5.8465852706469397</v>
      </c>
      <c r="V413" s="325">
        <v>82.549269947127257</v>
      </c>
      <c r="W413" s="325">
        <v>112.42397769450865</v>
      </c>
      <c r="X413" s="10">
        <v>11.186411198834877</v>
      </c>
      <c r="Y413" s="320">
        <v>123.61038889334353</v>
      </c>
    </row>
    <row r="414" spans="1:25" x14ac:dyDescent="0.2">
      <c r="A414" s="7">
        <v>2018</v>
      </c>
      <c r="B414" s="5" t="s">
        <v>466</v>
      </c>
      <c r="C414" s="5" t="s">
        <v>157</v>
      </c>
      <c r="D414" s="5" t="s">
        <v>475</v>
      </c>
      <c r="E414" s="5" t="s">
        <v>177</v>
      </c>
      <c r="F414" s="5" t="s">
        <v>160</v>
      </c>
      <c r="G414" s="5" t="s">
        <v>178</v>
      </c>
      <c r="H414" s="10">
        <v>10.865409255711118</v>
      </c>
      <c r="I414" s="10">
        <v>1.5031177881419397</v>
      </c>
      <c r="J414" s="325">
        <v>12.368527043853057</v>
      </c>
      <c r="K414" s="10">
        <v>1.8036125189342276</v>
      </c>
      <c r="L414" s="10">
        <v>4.0899347291691361</v>
      </c>
      <c r="M414" s="325">
        <v>5.8935472481033635</v>
      </c>
      <c r="N414" s="10">
        <v>2.0146563500100121</v>
      </c>
      <c r="O414" s="10">
        <v>11.250268886679068</v>
      </c>
      <c r="P414" s="10">
        <v>3.1702782853120497</v>
      </c>
      <c r="Q414" s="10">
        <v>1.2343065558985864</v>
      </c>
      <c r="R414" s="10">
        <v>4.5838921295772561</v>
      </c>
      <c r="S414" s="10">
        <v>6.9681307235492769</v>
      </c>
      <c r="T414" s="10">
        <v>12.713010897131346</v>
      </c>
      <c r="U414" s="10">
        <v>3.3810194657776922</v>
      </c>
      <c r="V414" s="325">
        <v>45.315563293935284</v>
      </c>
      <c r="W414" s="325">
        <v>63.577637585891701</v>
      </c>
      <c r="X414" s="10">
        <v>6.339597307013582</v>
      </c>
      <c r="Y414" s="320">
        <v>69.917234892905284</v>
      </c>
    </row>
    <row r="415" spans="1:25" x14ac:dyDescent="0.2">
      <c r="A415" s="7">
        <v>2018</v>
      </c>
      <c r="B415" s="5" t="s">
        <v>466</v>
      </c>
      <c r="C415" s="5" t="s">
        <v>157</v>
      </c>
      <c r="D415" s="5" t="s">
        <v>475</v>
      </c>
      <c r="E415" s="5" t="s">
        <v>179</v>
      </c>
      <c r="F415" s="5" t="s">
        <v>160</v>
      </c>
      <c r="G415" s="5" t="s">
        <v>180</v>
      </c>
      <c r="H415" s="10">
        <v>42.91928325571817</v>
      </c>
      <c r="I415" s="10">
        <v>1.5574725253344441</v>
      </c>
      <c r="J415" s="325">
        <v>44.476755781052617</v>
      </c>
      <c r="K415" s="10">
        <v>3.7177319872021721</v>
      </c>
      <c r="L415" s="10">
        <v>19.881515525412713</v>
      </c>
      <c r="M415" s="325">
        <v>23.599247512614884</v>
      </c>
      <c r="N415" s="10">
        <v>3.9835697630675151</v>
      </c>
      <c r="O415" s="10">
        <v>31.082751020529855</v>
      </c>
      <c r="P415" s="10">
        <v>6.7533301929556213</v>
      </c>
      <c r="Q415" s="10">
        <v>3.0043502468116774</v>
      </c>
      <c r="R415" s="10">
        <v>10.473273308324025</v>
      </c>
      <c r="S415" s="10">
        <v>17.599700323453611</v>
      </c>
      <c r="T415" s="10">
        <v>44.178390113289723</v>
      </c>
      <c r="U415" s="10">
        <v>9.7544348411111166</v>
      </c>
      <c r="V415" s="325">
        <v>126.82979980954315</v>
      </c>
      <c r="W415" s="325">
        <v>194.90580310321064</v>
      </c>
      <c r="X415" s="10">
        <v>19.393139823689999</v>
      </c>
      <c r="Y415" s="320">
        <v>214.29894292690065</v>
      </c>
    </row>
    <row r="416" spans="1:25" x14ac:dyDescent="0.2">
      <c r="A416" s="7">
        <v>2018</v>
      </c>
      <c r="B416" s="5" t="s">
        <v>466</v>
      </c>
      <c r="C416" s="5" t="s">
        <v>181</v>
      </c>
      <c r="D416" s="5" t="s">
        <v>478</v>
      </c>
      <c r="E416" s="5" t="s">
        <v>183</v>
      </c>
      <c r="F416" s="5" t="s">
        <v>184</v>
      </c>
      <c r="G416" s="5" t="s">
        <v>185</v>
      </c>
      <c r="H416" s="10">
        <v>27.562583088958906</v>
      </c>
      <c r="I416" s="10">
        <v>0</v>
      </c>
      <c r="J416" s="325">
        <v>27.562583088958906</v>
      </c>
      <c r="K416" s="10">
        <v>1.4342294493967673</v>
      </c>
      <c r="L416" s="10">
        <v>18.489124930221401</v>
      </c>
      <c r="M416" s="325">
        <v>19.923354379618168</v>
      </c>
      <c r="N416" s="10">
        <v>3.6058646735007391</v>
      </c>
      <c r="O416" s="10">
        <v>15.695097287002154</v>
      </c>
      <c r="P416" s="10">
        <v>4.5102207895099795</v>
      </c>
      <c r="Q416" s="10">
        <v>1.9393231573624561</v>
      </c>
      <c r="R416" s="10">
        <v>7.1354853776819134</v>
      </c>
      <c r="S416" s="10">
        <v>9.0624778768282876</v>
      </c>
      <c r="T416" s="10">
        <v>24.117125882371965</v>
      </c>
      <c r="U416" s="10">
        <v>2.6855907212203944</v>
      </c>
      <c r="V416" s="325">
        <v>68.751185765477885</v>
      </c>
      <c r="W416" s="325">
        <v>116.23712323405495</v>
      </c>
      <c r="X416" s="10">
        <v>11.509271644708143</v>
      </c>
      <c r="Y416" s="320">
        <v>127.74639487876308</v>
      </c>
    </row>
    <row r="417" spans="1:25" x14ac:dyDescent="0.2">
      <c r="A417" s="7">
        <v>2018</v>
      </c>
      <c r="B417" s="5" t="s">
        <v>466</v>
      </c>
      <c r="C417" s="5" t="s">
        <v>181</v>
      </c>
      <c r="D417" s="5" t="s">
        <v>479</v>
      </c>
      <c r="E417" s="5" t="s">
        <v>186</v>
      </c>
      <c r="F417" s="5" t="s">
        <v>184</v>
      </c>
      <c r="G417" s="5" t="s">
        <v>187</v>
      </c>
      <c r="H417" s="10">
        <v>14.946768577112799</v>
      </c>
      <c r="I417" s="10">
        <v>0</v>
      </c>
      <c r="J417" s="325">
        <v>14.946768577112799</v>
      </c>
      <c r="K417" s="10">
        <v>2.263696477856691</v>
      </c>
      <c r="L417" s="10">
        <v>3.5770641038929001</v>
      </c>
      <c r="M417" s="325">
        <v>5.8407605817495911</v>
      </c>
      <c r="N417" s="10">
        <v>1.5979094113295056</v>
      </c>
      <c r="O417" s="10">
        <v>4.4049199717805454</v>
      </c>
      <c r="P417" s="10">
        <v>1.3827688956729161</v>
      </c>
      <c r="Q417" s="10">
        <v>0.38170853379894998</v>
      </c>
      <c r="R417" s="10">
        <v>3.9425671828207918</v>
      </c>
      <c r="S417" s="10">
        <v>4.9084111817959215</v>
      </c>
      <c r="T417" s="10">
        <v>21.360857638222086</v>
      </c>
      <c r="U417" s="10">
        <v>1.2947813974683875</v>
      </c>
      <c r="V417" s="325">
        <v>39.273924212889099</v>
      </c>
      <c r="W417" s="325">
        <v>60.06145337175149</v>
      </c>
      <c r="X417" s="10">
        <v>5.9955717606002841</v>
      </c>
      <c r="Y417" s="320">
        <v>66.057025132351768</v>
      </c>
    </row>
    <row r="418" spans="1:25" x14ac:dyDescent="0.2">
      <c r="A418" s="7">
        <v>2018</v>
      </c>
      <c r="B418" s="5" t="s">
        <v>466</v>
      </c>
      <c r="C418" s="5" t="s">
        <v>181</v>
      </c>
      <c r="D418" s="5" t="s">
        <v>478</v>
      </c>
      <c r="E418" s="5" t="s">
        <v>188</v>
      </c>
      <c r="F418" s="5" t="s">
        <v>184</v>
      </c>
      <c r="G418" s="5" t="s">
        <v>189</v>
      </c>
      <c r="H418" s="10">
        <v>12.648867000317491</v>
      </c>
      <c r="I418" s="10">
        <v>5.1416021179126634</v>
      </c>
      <c r="J418" s="325">
        <v>17.790469118230156</v>
      </c>
      <c r="K418" s="10">
        <v>0.52401627631121417</v>
      </c>
      <c r="L418" s="10">
        <v>5.2859987332745453</v>
      </c>
      <c r="M418" s="325">
        <v>5.8100150095857597</v>
      </c>
      <c r="N418" s="10">
        <v>1.6436399587201485</v>
      </c>
      <c r="O418" s="10">
        <v>5.3216597567568478</v>
      </c>
      <c r="P418" s="10">
        <v>2.8339639694372938</v>
      </c>
      <c r="Q418" s="10">
        <v>1.053564615752282</v>
      </c>
      <c r="R418" s="10">
        <v>4.0358876740703513</v>
      </c>
      <c r="S418" s="10">
        <v>8.3972111342037756</v>
      </c>
      <c r="T418" s="10">
        <v>20.131156671776807</v>
      </c>
      <c r="U418" s="10">
        <v>2.0919108588610391</v>
      </c>
      <c r="V418" s="325">
        <v>45.508994639578546</v>
      </c>
      <c r="W418" s="325">
        <v>69.109478767394464</v>
      </c>
      <c r="X418" s="10">
        <v>6.9065943954680726</v>
      </c>
      <c r="Y418" s="320">
        <v>76.01607316286254</v>
      </c>
    </row>
    <row r="419" spans="1:25" x14ac:dyDescent="0.2">
      <c r="A419" s="7">
        <v>2018</v>
      </c>
      <c r="B419" s="5" t="s">
        <v>466</v>
      </c>
      <c r="C419" s="5" t="s">
        <v>181</v>
      </c>
      <c r="D419" s="5" t="s">
        <v>478</v>
      </c>
      <c r="E419" s="5" t="s">
        <v>190</v>
      </c>
      <c r="F419" s="5" t="s">
        <v>184</v>
      </c>
      <c r="G419" s="5" t="s">
        <v>191</v>
      </c>
      <c r="H419" s="10">
        <v>6.029460662577419</v>
      </c>
      <c r="I419" s="10">
        <v>0.14143515013604904</v>
      </c>
      <c r="J419" s="325">
        <v>6.1708958127134679</v>
      </c>
      <c r="K419" s="10">
        <v>1.575595611503892</v>
      </c>
      <c r="L419" s="10">
        <v>4.9579022020364114</v>
      </c>
      <c r="M419" s="325">
        <v>6.5334978135403032</v>
      </c>
      <c r="N419" s="10">
        <v>2.356965344817985</v>
      </c>
      <c r="O419" s="10">
        <v>9.4958825201440717</v>
      </c>
      <c r="P419" s="10">
        <v>3.5786946078222206</v>
      </c>
      <c r="Q419" s="10">
        <v>1.6084362303049791</v>
      </c>
      <c r="R419" s="10">
        <v>4.7287056269623537</v>
      </c>
      <c r="S419" s="10">
        <v>7.5687683273928839</v>
      </c>
      <c r="T419" s="10">
        <v>16.911659900965219</v>
      </c>
      <c r="U419" s="10">
        <v>2.364860658265358</v>
      </c>
      <c r="V419" s="325">
        <v>48.613973216675063</v>
      </c>
      <c r="W419" s="325">
        <v>61.318366842928832</v>
      </c>
      <c r="X419" s="10">
        <v>6.0865434451238629</v>
      </c>
      <c r="Y419" s="320">
        <v>67.40491028805269</v>
      </c>
    </row>
    <row r="420" spans="1:25" x14ac:dyDescent="0.2">
      <c r="A420" s="7">
        <v>2018</v>
      </c>
      <c r="B420" s="5" t="s">
        <v>466</v>
      </c>
      <c r="C420" s="5" t="s">
        <v>181</v>
      </c>
      <c r="D420" s="5" t="s">
        <v>476</v>
      </c>
      <c r="E420" s="5" t="s">
        <v>192</v>
      </c>
      <c r="F420" s="5" t="s">
        <v>184</v>
      </c>
      <c r="G420" s="5" t="s">
        <v>193</v>
      </c>
      <c r="H420" s="10">
        <v>6.3641687280717836</v>
      </c>
      <c r="I420" s="10">
        <v>0</v>
      </c>
      <c r="J420" s="325">
        <v>6.3641687280717836</v>
      </c>
      <c r="K420" s="10">
        <v>0.62214675399621133</v>
      </c>
      <c r="L420" s="10">
        <v>3.1118382385701375</v>
      </c>
      <c r="M420" s="325">
        <v>3.7339849925663486</v>
      </c>
      <c r="N420" s="10">
        <v>19.422931662618289</v>
      </c>
      <c r="O420" s="10">
        <v>1.1917601695013766</v>
      </c>
      <c r="P420" s="10">
        <v>0.43312806182483055</v>
      </c>
      <c r="Q420" s="10">
        <v>0.21682866653349914</v>
      </c>
      <c r="R420" s="10">
        <v>0.83321898897410274</v>
      </c>
      <c r="S420" s="10">
        <v>2.3225653300524916</v>
      </c>
      <c r="T420" s="10">
        <v>2.6561686199188967</v>
      </c>
      <c r="U420" s="10">
        <v>0.32411059230817491</v>
      </c>
      <c r="V420" s="325">
        <v>27.400712091731659</v>
      </c>
      <c r="W420" s="325">
        <v>37.498865812369793</v>
      </c>
      <c r="X420" s="10">
        <v>3.8166918450160372</v>
      </c>
      <c r="Y420" s="320">
        <v>41.315557657385831</v>
      </c>
    </row>
    <row r="421" spans="1:25" x14ac:dyDescent="0.2">
      <c r="A421" s="7">
        <v>2018</v>
      </c>
      <c r="B421" s="5" t="s">
        <v>466</v>
      </c>
      <c r="C421" s="5" t="s">
        <v>181</v>
      </c>
      <c r="D421" s="5" t="s">
        <v>479</v>
      </c>
      <c r="E421" s="5" t="s">
        <v>194</v>
      </c>
      <c r="F421" s="5" t="s">
        <v>184</v>
      </c>
      <c r="G421" s="5" t="s">
        <v>195</v>
      </c>
      <c r="H421" s="10">
        <v>136.49920127124417</v>
      </c>
      <c r="I421" s="10">
        <v>0</v>
      </c>
      <c r="J421" s="325">
        <v>136.49920127124417</v>
      </c>
      <c r="K421" s="10">
        <v>26.711850012432492</v>
      </c>
      <c r="L421" s="10">
        <v>19.592358134900536</v>
      </c>
      <c r="M421" s="325">
        <v>46.304208147333028</v>
      </c>
      <c r="N421" s="10">
        <v>23.056739493319125</v>
      </c>
      <c r="O421" s="10">
        <v>50.441445755447617</v>
      </c>
      <c r="P421" s="10">
        <v>8.8942518409240492</v>
      </c>
      <c r="Q421" s="10">
        <v>9.6698486215818225</v>
      </c>
      <c r="R421" s="10">
        <v>19.825940503847995</v>
      </c>
      <c r="S421" s="10">
        <v>24.005769435051846</v>
      </c>
      <c r="T421" s="10">
        <v>24.329730291753062</v>
      </c>
      <c r="U421" s="10">
        <v>7.6676371220411301</v>
      </c>
      <c r="V421" s="325">
        <v>167.89136306396662</v>
      </c>
      <c r="W421" s="325">
        <v>350.69477248254384</v>
      </c>
      <c r="X421" s="10">
        <v>35.061004096081611</v>
      </c>
      <c r="Y421" s="320">
        <v>385.75577657862544</v>
      </c>
    </row>
    <row r="422" spans="1:25" x14ac:dyDescent="0.2">
      <c r="A422" s="7">
        <v>2018</v>
      </c>
      <c r="B422" s="5" t="s">
        <v>466</v>
      </c>
      <c r="C422" s="5" t="s">
        <v>181</v>
      </c>
      <c r="D422" s="5" t="s">
        <v>479</v>
      </c>
      <c r="E422" s="5" t="s">
        <v>196</v>
      </c>
      <c r="F422" s="5" t="s">
        <v>184</v>
      </c>
      <c r="G422" s="5" t="s">
        <v>197</v>
      </c>
      <c r="H422" s="10">
        <v>53.425503217874017</v>
      </c>
      <c r="I422" s="10">
        <v>0</v>
      </c>
      <c r="J422" s="325">
        <v>53.425503217874017</v>
      </c>
      <c r="K422" s="10">
        <v>133.88979884215132</v>
      </c>
      <c r="L422" s="10">
        <v>48.028649057145223</v>
      </c>
      <c r="M422" s="325">
        <v>181.91844789929655</v>
      </c>
      <c r="N422" s="10">
        <v>8.1427157183418952</v>
      </c>
      <c r="O422" s="10">
        <v>27.173787666762152</v>
      </c>
      <c r="P422" s="10">
        <v>4.1302895471704</v>
      </c>
      <c r="Q422" s="10">
        <v>3.7134642098971815</v>
      </c>
      <c r="R422" s="10">
        <v>11.126951789648508</v>
      </c>
      <c r="S422" s="10">
        <v>18.84481300300649</v>
      </c>
      <c r="T422" s="10">
        <v>13.165223966442108</v>
      </c>
      <c r="U422" s="10">
        <v>4.4917149265448648</v>
      </c>
      <c r="V422" s="325">
        <v>90.788960827813597</v>
      </c>
      <c r="W422" s="325">
        <v>326.13291194498413</v>
      </c>
      <c r="X422" s="10">
        <v>30.89934881326997</v>
      </c>
      <c r="Y422" s="320">
        <v>357.0322607582541</v>
      </c>
    </row>
    <row r="423" spans="1:25" x14ac:dyDescent="0.2">
      <c r="A423" s="7">
        <v>2018</v>
      </c>
      <c r="B423" s="5" t="s">
        <v>466</v>
      </c>
      <c r="C423" s="5" t="s">
        <v>181</v>
      </c>
      <c r="D423" s="5" t="s">
        <v>476</v>
      </c>
      <c r="E423" s="5" t="s">
        <v>198</v>
      </c>
      <c r="F423" s="5" t="s">
        <v>184</v>
      </c>
      <c r="G423" s="5" t="s">
        <v>199</v>
      </c>
      <c r="H423" s="10">
        <v>19.396259314323434</v>
      </c>
      <c r="I423" s="10">
        <v>0.4343551438189599</v>
      </c>
      <c r="J423" s="325">
        <v>19.830614458142392</v>
      </c>
      <c r="K423" s="10">
        <v>13.983310916435398</v>
      </c>
      <c r="L423" s="10">
        <v>13.335913932119208</v>
      </c>
      <c r="M423" s="325">
        <v>27.319224848554605</v>
      </c>
      <c r="N423" s="10">
        <v>21.048164168914177</v>
      </c>
      <c r="O423" s="10">
        <v>50.869466471177169</v>
      </c>
      <c r="P423" s="10">
        <v>12.910894277359525</v>
      </c>
      <c r="Q423" s="10">
        <v>5.2309570567447814</v>
      </c>
      <c r="R423" s="10">
        <v>29.457920468274981</v>
      </c>
      <c r="S423" s="10">
        <v>35.939850092197361</v>
      </c>
      <c r="T423" s="10">
        <v>61.517030508051853</v>
      </c>
      <c r="U423" s="10">
        <v>13.144325649479876</v>
      </c>
      <c r="V423" s="325">
        <v>230.1186086921997</v>
      </c>
      <c r="W423" s="325">
        <v>277.2684479988967</v>
      </c>
      <c r="X423" s="10">
        <v>27.567471909191678</v>
      </c>
      <c r="Y423" s="320">
        <v>304.83591990808839</v>
      </c>
    </row>
    <row r="424" spans="1:25" x14ac:dyDescent="0.2">
      <c r="A424" s="7">
        <v>2018</v>
      </c>
      <c r="B424" s="5" t="s">
        <v>466</v>
      </c>
      <c r="C424" s="5" t="s">
        <v>181</v>
      </c>
      <c r="D424" s="5" t="s">
        <v>476</v>
      </c>
      <c r="E424" s="5" t="s">
        <v>200</v>
      </c>
      <c r="F424" s="5" t="s">
        <v>184</v>
      </c>
      <c r="G424" s="5" t="s">
        <v>201</v>
      </c>
      <c r="H424" s="10">
        <v>6.6374624532035496</v>
      </c>
      <c r="I424" s="10">
        <v>0</v>
      </c>
      <c r="J424" s="325">
        <v>6.6374624532035496</v>
      </c>
      <c r="K424" s="10">
        <v>0.18170665764442306</v>
      </c>
      <c r="L424" s="10">
        <v>5.7339759449837899</v>
      </c>
      <c r="M424" s="325">
        <v>5.9156826026282125</v>
      </c>
      <c r="N424" s="10">
        <v>24.977991019158935</v>
      </c>
      <c r="O424" s="10">
        <v>2.5935684555684833</v>
      </c>
      <c r="P424" s="10">
        <v>1.0310916253654747</v>
      </c>
      <c r="Q424" s="10">
        <v>0.48378221091581003</v>
      </c>
      <c r="R424" s="10">
        <v>1.3008572548641411</v>
      </c>
      <c r="S424" s="10">
        <v>3.9346667119127345</v>
      </c>
      <c r="T424" s="10">
        <v>5.8475751374377598</v>
      </c>
      <c r="U424" s="10">
        <v>0.9310819507604593</v>
      </c>
      <c r="V424" s="325">
        <v>41.100614365983795</v>
      </c>
      <c r="W424" s="325">
        <v>53.653759421815558</v>
      </c>
      <c r="X424" s="10">
        <v>5.4338664477671452</v>
      </c>
      <c r="Y424" s="320">
        <v>59.087625869582702</v>
      </c>
    </row>
    <row r="425" spans="1:25" x14ac:dyDescent="0.2">
      <c r="A425" s="7">
        <v>2018</v>
      </c>
      <c r="B425" s="5" t="s">
        <v>466</v>
      </c>
      <c r="C425" s="5" t="s">
        <v>181</v>
      </c>
      <c r="D425" s="5" t="s">
        <v>480</v>
      </c>
      <c r="E425" s="5" t="s">
        <v>202</v>
      </c>
      <c r="F425" s="5" t="s">
        <v>184</v>
      </c>
      <c r="G425" s="5" t="s">
        <v>203</v>
      </c>
      <c r="H425" s="10">
        <v>38.728229076274381</v>
      </c>
      <c r="I425" s="10">
        <v>0</v>
      </c>
      <c r="J425" s="325">
        <v>38.728229076274381</v>
      </c>
      <c r="K425" s="10">
        <v>7.0223773603233379</v>
      </c>
      <c r="L425" s="10">
        <v>12.733697765503972</v>
      </c>
      <c r="M425" s="325">
        <v>19.756075125827309</v>
      </c>
      <c r="N425" s="10">
        <v>10.957417855909231</v>
      </c>
      <c r="O425" s="10">
        <v>21.596132266531569</v>
      </c>
      <c r="P425" s="10">
        <v>10.418145884401893</v>
      </c>
      <c r="Q425" s="10">
        <v>4.291001416939797</v>
      </c>
      <c r="R425" s="10">
        <v>14.523843492532329</v>
      </c>
      <c r="S425" s="10">
        <v>22.7659254946016</v>
      </c>
      <c r="T425" s="10">
        <v>54.073028857534169</v>
      </c>
      <c r="U425" s="10">
        <v>5.8183923224424916</v>
      </c>
      <c r="V425" s="325">
        <v>144.4438875908931</v>
      </c>
      <c r="W425" s="325">
        <v>202.92819179299477</v>
      </c>
      <c r="X425" s="10">
        <v>20.218332567100976</v>
      </c>
      <c r="Y425" s="320">
        <v>223.14652436009575</v>
      </c>
    </row>
    <row r="426" spans="1:25" x14ac:dyDescent="0.2">
      <c r="A426" s="7">
        <v>2018</v>
      </c>
      <c r="B426" s="5" t="s">
        <v>466</v>
      </c>
      <c r="C426" s="5" t="s">
        <v>181</v>
      </c>
      <c r="D426" s="5" t="s">
        <v>480</v>
      </c>
      <c r="E426" s="5" t="s">
        <v>204</v>
      </c>
      <c r="F426" s="5" t="s">
        <v>184</v>
      </c>
      <c r="G426" s="5" t="s">
        <v>205</v>
      </c>
      <c r="H426" s="10">
        <v>2.1589210249165842</v>
      </c>
      <c r="I426" s="10">
        <v>0</v>
      </c>
      <c r="J426" s="325">
        <v>2.1589210249165842</v>
      </c>
      <c r="K426" s="10">
        <v>0.39877571534397543</v>
      </c>
      <c r="L426" s="10">
        <v>4.3882731142194267</v>
      </c>
      <c r="M426" s="325">
        <v>4.7870488295634024</v>
      </c>
      <c r="N426" s="10">
        <v>1.4642810136713307</v>
      </c>
      <c r="O426" s="10">
        <v>4.8231169070713937</v>
      </c>
      <c r="P426" s="10">
        <v>2.6505175400564376</v>
      </c>
      <c r="Q426" s="10">
        <v>1.9873145133536068</v>
      </c>
      <c r="R426" s="10">
        <v>7.1275951016544088</v>
      </c>
      <c r="S426" s="10">
        <v>6.4128005737424649</v>
      </c>
      <c r="T426" s="10">
        <v>15.500489661375296</v>
      </c>
      <c r="U426" s="10">
        <v>2.3851619463080449</v>
      </c>
      <c r="V426" s="325">
        <v>42.351277257232987</v>
      </c>
      <c r="W426" s="325">
        <v>49.297247111712977</v>
      </c>
      <c r="X426" s="10">
        <v>4.8622115200604439</v>
      </c>
      <c r="Y426" s="320">
        <v>54.159458631773418</v>
      </c>
    </row>
    <row r="427" spans="1:25" x14ac:dyDescent="0.2">
      <c r="A427" s="7">
        <v>2018</v>
      </c>
      <c r="B427" s="5" t="s">
        <v>466</v>
      </c>
      <c r="C427" s="5" t="s">
        <v>181</v>
      </c>
      <c r="D427" s="5" t="s">
        <v>479</v>
      </c>
      <c r="E427" s="5" t="s">
        <v>206</v>
      </c>
      <c r="F427" s="5" t="s">
        <v>184</v>
      </c>
      <c r="G427" s="5" t="s">
        <v>207</v>
      </c>
      <c r="H427" s="10">
        <v>3.7878868525889673</v>
      </c>
      <c r="I427" s="10">
        <v>0</v>
      </c>
      <c r="J427" s="325">
        <v>3.7878868525889673</v>
      </c>
      <c r="K427" s="10">
        <v>1.2759111415868392</v>
      </c>
      <c r="L427" s="10">
        <v>1.9786311472310556</v>
      </c>
      <c r="M427" s="325">
        <v>3.2545422888178948</v>
      </c>
      <c r="N427" s="10">
        <v>2.1463169377019913</v>
      </c>
      <c r="O427" s="10">
        <v>4.8184083122631529</v>
      </c>
      <c r="P427" s="10">
        <v>1.3075763516735308</v>
      </c>
      <c r="Q427" s="10">
        <v>0.83133295831348986</v>
      </c>
      <c r="R427" s="10">
        <v>2.7979157691799683</v>
      </c>
      <c r="S427" s="10">
        <v>3.6710649985564219</v>
      </c>
      <c r="T427" s="10">
        <v>7.5063547525803367</v>
      </c>
      <c r="U427" s="10">
        <v>1.6154335643403561</v>
      </c>
      <c r="V427" s="325">
        <v>24.694403644609249</v>
      </c>
      <c r="W427" s="325">
        <v>31.736832786016112</v>
      </c>
      <c r="X427" s="10">
        <v>3.1542491782384778</v>
      </c>
      <c r="Y427" s="320">
        <v>34.891081964254589</v>
      </c>
    </row>
    <row r="428" spans="1:25" x14ac:dyDescent="0.2">
      <c r="A428" s="7">
        <v>2018</v>
      </c>
      <c r="B428" s="5" t="s">
        <v>466</v>
      </c>
      <c r="C428" s="5" t="s">
        <v>181</v>
      </c>
      <c r="D428" s="5" t="s">
        <v>479</v>
      </c>
      <c r="E428" s="5" t="s">
        <v>208</v>
      </c>
      <c r="F428" s="5" t="s">
        <v>184</v>
      </c>
      <c r="G428" s="5" t="s">
        <v>209</v>
      </c>
      <c r="H428" s="10">
        <v>48.323374794598855</v>
      </c>
      <c r="I428" s="10">
        <v>0</v>
      </c>
      <c r="J428" s="325">
        <v>48.323374794598855</v>
      </c>
      <c r="K428" s="10">
        <v>367.90314385494548</v>
      </c>
      <c r="L428" s="10">
        <v>70.488042516469577</v>
      </c>
      <c r="M428" s="325">
        <v>438.39118637141507</v>
      </c>
      <c r="N428" s="10">
        <v>15.638171532440754</v>
      </c>
      <c r="O428" s="10">
        <v>56.055863686491108</v>
      </c>
      <c r="P428" s="10">
        <v>8.7051943116504464</v>
      </c>
      <c r="Q428" s="10">
        <v>9.931936702185201</v>
      </c>
      <c r="R428" s="10">
        <v>26.048646327033193</v>
      </c>
      <c r="S428" s="10">
        <v>44.22740586706739</v>
      </c>
      <c r="T428" s="10">
        <v>28.606947062119261</v>
      </c>
      <c r="U428" s="10">
        <v>8.0220257375434834</v>
      </c>
      <c r="V428" s="325">
        <v>197.23619122653085</v>
      </c>
      <c r="W428" s="325">
        <v>683.95075239254481</v>
      </c>
      <c r="X428" s="10">
        <v>64.032722652257291</v>
      </c>
      <c r="Y428" s="320">
        <v>747.98347504480216</v>
      </c>
    </row>
    <row r="429" spans="1:25" x14ac:dyDescent="0.2">
      <c r="A429" s="7">
        <v>2018</v>
      </c>
      <c r="B429" s="5" t="s">
        <v>466</v>
      </c>
      <c r="C429" s="5" t="s">
        <v>181</v>
      </c>
      <c r="D429" s="5" t="s">
        <v>479</v>
      </c>
      <c r="E429" s="5" t="s">
        <v>210</v>
      </c>
      <c r="F429" s="5" t="s">
        <v>184</v>
      </c>
      <c r="G429" s="5" t="s">
        <v>211</v>
      </c>
      <c r="H429" s="10">
        <v>241.61747961886601</v>
      </c>
      <c r="I429" s="10">
        <v>20.378556208350346</v>
      </c>
      <c r="J429" s="325">
        <v>261.99603582721636</v>
      </c>
      <c r="K429" s="10">
        <v>180.56695648515097</v>
      </c>
      <c r="L429" s="10">
        <v>89.464653536116955</v>
      </c>
      <c r="M429" s="325">
        <v>270.03161002126791</v>
      </c>
      <c r="N429" s="10">
        <v>39.216154062643511</v>
      </c>
      <c r="O429" s="10">
        <v>89.541505125373007</v>
      </c>
      <c r="P429" s="10">
        <v>14.404998580883159</v>
      </c>
      <c r="Q429" s="10">
        <v>12.790537215741702</v>
      </c>
      <c r="R429" s="10">
        <v>32.348935185562034</v>
      </c>
      <c r="S429" s="10">
        <v>59.385470832848576</v>
      </c>
      <c r="T429" s="10">
        <v>90.373965742485311</v>
      </c>
      <c r="U429" s="10">
        <v>11.420822873443921</v>
      </c>
      <c r="V429" s="325">
        <v>349.48238961898119</v>
      </c>
      <c r="W429" s="325">
        <v>881.5100354674654</v>
      </c>
      <c r="X429" s="10">
        <v>86.325327919169794</v>
      </c>
      <c r="Y429" s="320">
        <v>967.83536338663521</v>
      </c>
    </row>
    <row r="430" spans="1:25" x14ac:dyDescent="0.2">
      <c r="A430" s="7">
        <v>2018</v>
      </c>
      <c r="B430" s="5" t="s">
        <v>466</v>
      </c>
      <c r="C430" s="5" t="s">
        <v>181</v>
      </c>
      <c r="D430" s="5" t="s">
        <v>480</v>
      </c>
      <c r="E430" s="5" t="s">
        <v>212</v>
      </c>
      <c r="F430" s="5" t="s">
        <v>184</v>
      </c>
      <c r="G430" s="5" t="s">
        <v>213</v>
      </c>
      <c r="H430" s="10">
        <v>9.8668878085310698</v>
      </c>
      <c r="I430" s="10">
        <v>0</v>
      </c>
      <c r="J430" s="325">
        <v>9.8668878085310698</v>
      </c>
      <c r="K430" s="10">
        <v>5.5212395249381299</v>
      </c>
      <c r="L430" s="10">
        <v>0.72928093948037587</v>
      </c>
      <c r="M430" s="325">
        <v>6.2505204644185053</v>
      </c>
      <c r="N430" s="10">
        <v>8.0499283819764926</v>
      </c>
      <c r="O430" s="10">
        <v>11.293681722845514</v>
      </c>
      <c r="P430" s="10">
        <v>2.0831950414116505</v>
      </c>
      <c r="Q430" s="10">
        <v>1.1668380100977849</v>
      </c>
      <c r="R430" s="10">
        <v>4.3457186102576966</v>
      </c>
      <c r="S430" s="10">
        <v>6.8205786120797756</v>
      </c>
      <c r="T430" s="10">
        <v>12.004947634474879</v>
      </c>
      <c r="U430" s="10">
        <v>1.6803184780347398</v>
      </c>
      <c r="V430" s="325">
        <v>47.445206491178538</v>
      </c>
      <c r="W430" s="325">
        <v>63.562614764128114</v>
      </c>
      <c r="X430" s="10">
        <v>6.3651311053231314</v>
      </c>
      <c r="Y430" s="320">
        <v>69.927745869451243</v>
      </c>
    </row>
    <row r="431" spans="1:25" x14ac:dyDescent="0.2">
      <c r="A431" s="7">
        <v>2018</v>
      </c>
      <c r="B431" s="5" t="s">
        <v>466</v>
      </c>
      <c r="C431" s="5" t="s">
        <v>181</v>
      </c>
      <c r="D431" s="5" t="s">
        <v>478</v>
      </c>
      <c r="E431" s="5" t="s">
        <v>214</v>
      </c>
      <c r="F431" s="5" t="s">
        <v>184</v>
      </c>
      <c r="G431" s="5" t="s">
        <v>215</v>
      </c>
      <c r="H431" s="10">
        <v>16.05949651430377</v>
      </c>
      <c r="I431" s="10">
        <v>1.7500647200530937</v>
      </c>
      <c r="J431" s="325">
        <v>17.809561234356863</v>
      </c>
      <c r="K431" s="10">
        <v>0.81902734906772878</v>
      </c>
      <c r="L431" s="10">
        <v>10.03754226425907</v>
      </c>
      <c r="M431" s="325">
        <v>10.856569613326799</v>
      </c>
      <c r="N431" s="10">
        <v>4.0450103054664694</v>
      </c>
      <c r="O431" s="10">
        <v>26.270103358320934</v>
      </c>
      <c r="P431" s="10">
        <v>4.305708237304569</v>
      </c>
      <c r="Q431" s="10">
        <v>1.9889258418488251</v>
      </c>
      <c r="R431" s="10">
        <v>6.8801339208231074</v>
      </c>
      <c r="S431" s="10">
        <v>11.868382610297573</v>
      </c>
      <c r="T431" s="10">
        <v>27.495423927047973</v>
      </c>
      <c r="U431" s="10">
        <v>3.1922906565940994</v>
      </c>
      <c r="V431" s="325">
        <v>86.045978857703545</v>
      </c>
      <c r="W431" s="325">
        <v>114.71210970538721</v>
      </c>
      <c r="X431" s="10">
        <v>11.466590726382236</v>
      </c>
      <c r="Y431" s="320">
        <v>126.17870043176944</v>
      </c>
    </row>
    <row r="432" spans="1:25" x14ac:dyDescent="0.2">
      <c r="A432" s="7">
        <v>2018</v>
      </c>
      <c r="B432" s="5" t="s">
        <v>466</v>
      </c>
      <c r="C432" s="5" t="s">
        <v>181</v>
      </c>
      <c r="D432" s="5" t="s">
        <v>478</v>
      </c>
      <c r="E432" s="5" t="s">
        <v>216</v>
      </c>
      <c r="F432" s="5" t="s">
        <v>184</v>
      </c>
      <c r="G432" s="5" t="s">
        <v>217</v>
      </c>
      <c r="H432" s="10">
        <v>42.556555203685953</v>
      </c>
      <c r="I432" s="10">
        <v>1.5070802992383177</v>
      </c>
      <c r="J432" s="325">
        <v>44.063635502924271</v>
      </c>
      <c r="K432" s="10">
        <v>75.705925479713471</v>
      </c>
      <c r="L432" s="10">
        <v>49.145357435577772</v>
      </c>
      <c r="M432" s="325">
        <v>124.85128291529125</v>
      </c>
      <c r="N432" s="10">
        <v>21.754622347417257</v>
      </c>
      <c r="O432" s="10">
        <v>106.49765692453867</v>
      </c>
      <c r="P432" s="10">
        <v>17.077915598871961</v>
      </c>
      <c r="Q432" s="10">
        <v>16.258705640421113</v>
      </c>
      <c r="R432" s="10">
        <v>35.907946322507925</v>
      </c>
      <c r="S432" s="10">
        <v>46.966736362257024</v>
      </c>
      <c r="T432" s="10">
        <v>76.801309774796536</v>
      </c>
      <c r="U432" s="10">
        <v>13.086070405191927</v>
      </c>
      <c r="V432" s="325">
        <v>334.35096337600243</v>
      </c>
      <c r="W432" s="325">
        <v>503.26588179421799</v>
      </c>
      <c r="X432" s="10">
        <v>49.309258059758676</v>
      </c>
      <c r="Y432" s="320">
        <v>552.57513985397668</v>
      </c>
    </row>
    <row r="433" spans="1:25" x14ac:dyDescent="0.2">
      <c r="A433" s="7">
        <v>2018</v>
      </c>
      <c r="B433" s="5" t="s">
        <v>466</v>
      </c>
      <c r="C433" s="5" t="s">
        <v>218</v>
      </c>
      <c r="D433" s="5" t="s">
        <v>481</v>
      </c>
      <c r="E433" s="5" t="s">
        <v>220</v>
      </c>
      <c r="F433" s="5" t="s">
        <v>221</v>
      </c>
      <c r="G433" s="5" t="s">
        <v>223</v>
      </c>
      <c r="H433" s="10">
        <v>6.1592001925155069</v>
      </c>
      <c r="I433" s="10">
        <v>0.92364798392344627</v>
      </c>
      <c r="J433" s="325">
        <v>7.0828481764389535</v>
      </c>
      <c r="K433" s="10">
        <v>0.59488948771795946</v>
      </c>
      <c r="L433" s="10">
        <v>1.8310589534973272</v>
      </c>
      <c r="M433" s="325">
        <v>2.4259484412152865</v>
      </c>
      <c r="N433" s="10">
        <v>2.3597106694387264</v>
      </c>
      <c r="O433" s="10">
        <v>1.5089123206076573</v>
      </c>
      <c r="P433" s="10">
        <v>0.68580358897718563</v>
      </c>
      <c r="Q433" s="10">
        <v>0.1944098055127384</v>
      </c>
      <c r="R433" s="10">
        <v>1.068638141365075</v>
      </c>
      <c r="S433" s="10">
        <v>2.2450011701354509</v>
      </c>
      <c r="T433" s="10">
        <v>6.4013879252849231</v>
      </c>
      <c r="U433" s="10">
        <v>0.59558797580913181</v>
      </c>
      <c r="V433" s="325">
        <v>15.059451597130888</v>
      </c>
      <c r="W433" s="325">
        <v>24.568248214785129</v>
      </c>
      <c r="X433" s="10">
        <v>2.4626115997164799</v>
      </c>
      <c r="Y433" s="320">
        <v>27.030859814501611</v>
      </c>
    </row>
    <row r="434" spans="1:25" x14ac:dyDescent="0.2">
      <c r="A434" s="7">
        <v>2018</v>
      </c>
      <c r="B434" s="5" t="s">
        <v>466</v>
      </c>
      <c r="C434" s="5" t="s">
        <v>218</v>
      </c>
      <c r="D434" s="5" t="s">
        <v>482</v>
      </c>
      <c r="E434" s="5" t="s">
        <v>224</v>
      </c>
      <c r="F434" s="5" t="s">
        <v>221</v>
      </c>
      <c r="G434" s="5" t="s">
        <v>226</v>
      </c>
      <c r="H434" s="10">
        <v>45.532237011253052</v>
      </c>
      <c r="I434" s="10">
        <v>0</v>
      </c>
      <c r="J434" s="325">
        <v>45.532237011253052</v>
      </c>
      <c r="K434" s="10">
        <v>0.68501983140524902</v>
      </c>
      <c r="L434" s="10">
        <v>8.9789461197931324</v>
      </c>
      <c r="M434" s="325">
        <v>9.6639659511983815</v>
      </c>
      <c r="N434" s="10">
        <v>1.3574304400012609</v>
      </c>
      <c r="O434" s="10">
        <v>5.8670983049330383</v>
      </c>
      <c r="P434" s="10">
        <v>2.7023839131361878</v>
      </c>
      <c r="Q434" s="10">
        <v>1.3927831529109216</v>
      </c>
      <c r="R434" s="10">
        <v>4.8328723344043354</v>
      </c>
      <c r="S434" s="10">
        <v>7.7893549350555693</v>
      </c>
      <c r="T434" s="10">
        <v>13.034953461978828</v>
      </c>
      <c r="U434" s="10">
        <v>2.3451322779898924</v>
      </c>
      <c r="V434" s="325">
        <v>39.322008820410034</v>
      </c>
      <c r="W434" s="325">
        <v>94.518211782861471</v>
      </c>
      <c r="X434" s="10">
        <v>9.4619506262072992</v>
      </c>
      <c r="Y434" s="320">
        <v>103.98016240906877</v>
      </c>
    </row>
    <row r="435" spans="1:25" x14ac:dyDescent="0.2">
      <c r="A435" s="7">
        <v>2018</v>
      </c>
      <c r="B435" s="5" t="s">
        <v>466</v>
      </c>
      <c r="C435" s="5" t="s">
        <v>218</v>
      </c>
      <c r="D435" s="5" t="s">
        <v>482</v>
      </c>
      <c r="E435" s="5" t="s">
        <v>227</v>
      </c>
      <c r="F435" s="5" t="s">
        <v>221</v>
      </c>
      <c r="G435" s="5" t="s">
        <v>228</v>
      </c>
      <c r="H435" s="10">
        <v>10.773130740854512</v>
      </c>
      <c r="I435" s="10">
        <v>0</v>
      </c>
      <c r="J435" s="325">
        <v>10.773130740854512</v>
      </c>
      <c r="K435" s="10">
        <v>1.1961215458907402</v>
      </c>
      <c r="L435" s="10">
        <v>3.0896473909455922</v>
      </c>
      <c r="M435" s="325">
        <v>4.2857689368363321</v>
      </c>
      <c r="N435" s="10">
        <v>0.94766669651876767</v>
      </c>
      <c r="O435" s="10">
        <v>4.7279173315361431</v>
      </c>
      <c r="P435" s="10">
        <v>1.8673002150393314</v>
      </c>
      <c r="Q435" s="10">
        <v>0.85525097369554026</v>
      </c>
      <c r="R435" s="10">
        <v>3.8271329245621035</v>
      </c>
      <c r="S435" s="10">
        <v>4.6835722368001669</v>
      </c>
      <c r="T435" s="10">
        <v>10.69188322330784</v>
      </c>
      <c r="U435" s="10">
        <v>1.9653672656492633</v>
      </c>
      <c r="V435" s="325">
        <v>29.566090867109157</v>
      </c>
      <c r="W435" s="325">
        <v>44.624990544799999</v>
      </c>
      <c r="X435" s="10">
        <v>4.4407662079157308</v>
      </c>
      <c r="Y435" s="320">
        <v>49.065756752715728</v>
      </c>
    </row>
    <row r="436" spans="1:25" x14ac:dyDescent="0.2">
      <c r="A436" s="7">
        <v>2018</v>
      </c>
      <c r="B436" s="5" t="s">
        <v>466</v>
      </c>
      <c r="C436" s="5" t="s">
        <v>218</v>
      </c>
      <c r="D436" s="5" t="s">
        <v>482</v>
      </c>
      <c r="E436" s="5" t="s">
        <v>229</v>
      </c>
      <c r="F436" s="5" t="s">
        <v>221</v>
      </c>
      <c r="G436" s="5" t="s">
        <v>230</v>
      </c>
      <c r="H436" s="10">
        <v>5.2457918526271099</v>
      </c>
      <c r="I436" s="10">
        <v>13.35685572209408</v>
      </c>
      <c r="J436" s="325">
        <v>18.602647574721189</v>
      </c>
      <c r="K436" s="10">
        <v>4.1407100053607744</v>
      </c>
      <c r="L436" s="10">
        <v>1.8875790643081121</v>
      </c>
      <c r="M436" s="325">
        <v>6.0282890696688867</v>
      </c>
      <c r="N436" s="10">
        <v>4.3887704343699419</v>
      </c>
      <c r="O436" s="10">
        <v>6.5178733761862322</v>
      </c>
      <c r="P436" s="10">
        <v>3.2437051556596814</v>
      </c>
      <c r="Q436" s="10">
        <v>1.081729447848949</v>
      </c>
      <c r="R436" s="10">
        <v>8.3346148195815246</v>
      </c>
      <c r="S436" s="10">
        <v>8.0137862544012179</v>
      </c>
      <c r="T436" s="10">
        <v>14.584014935811348</v>
      </c>
      <c r="U436" s="10">
        <v>3.1694967150390672</v>
      </c>
      <c r="V436" s="325">
        <v>49.333991138897957</v>
      </c>
      <c r="W436" s="325">
        <v>73.964927783288033</v>
      </c>
      <c r="X436" s="10">
        <v>7.4051292081533351</v>
      </c>
      <c r="Y436" s="320">
        <v>81.370056991441373</v>
      </c>
    </row>
    <row r="437" spans="1:25" x14ac:dyDescent="0.2">
      <c r="A437" s="7">
        <v>2018</v>
      </c>
      <c r="B437" s="5" t="s">
        <v>466</v>
      </c>
      <c r="C437" s="5" t="s">
        <v>218</v>
      </c>
      <c r="D437" s="5" t="s">
        <v>482</v>
      </c>
      <c r="E437" s="5" t="s">
        <v>231</v>
      </c>
      <c r="F437" s="5" t="s">
        <v>221</v>
      </c>
      <c r="G437" s="5" t="s">
        <v>232</v>
      </c>
      <c r="H437" s="10">
        <v>26.915806746686322</v>
      </c>
      <c r="I437" s="10">
        <v>0</v>
      </c>
      <c r="J437" s="325">
        <v>26.915806746686322</v>
      </c>
      <c r="K437" s="10">
        <v>2.4173652989489165</v>
      </c>
      <c r="L437" s="10">
        <v>6.1757610221253314</v>
      </c>
      <c r="M437" s="325">
        <v>8.5931263210742479</v>
      </c>
      <c r="N437" s="10">
        <v>1.3295658843046492</v>
      </c>
      <c r="O437" s="10">
        <v>9.5475774962811766</v>
      </c>
      <c r="P437" s="10">
        <v>3.7861736618235566</v>
      </c>
      <c r="Q437" s="10">
        <v>2.017196811333275</v>
      </c>
      <c r="R437" s="10">
        <v>6.5283208135834343</v>
      </c>
      <c r="S437" s="10">
        <v>8.6613347086881429</v>
      </c>
      <c r="T437" s="10">
        <v>18.967232475714816</v>
      </c>
      <c r="U437" s="10">
        <v>3.0320665738833217</v>
      </c>
      <c r="V437" s="325">
        <v>53.869468425612368</v>
      </c>
      <c r="W437" s="325">
        <v>89.378401493372934</v>
      </c>
      <c r="X437" s="10">
        <v>8.9116704601175076</v>
      </c>
      <c r="Y437" s="320">
        <v>98.29007195349044</v>
      </c>
    </row>
    <row r="438" spans="1:25" x14ac:dyDescent="0.2">
      <c r="A438" s="7">
        <v>2018</v>
      </c>
      <c r="B438" s="5" t="s">
        <v>466</v>
      </c>
      <c r="C438" s="5" t="s">
        <v>218</v>
      </c>
      <c r="D438" s="5" t="s">
        <v>481</v>
      </c>
      <c r="E438" s="5" t="s">
        <v>233</v>
      </c>
      <c r="F438" s="5" t="s">
        <v>221</v>
      </c>
      <c r="G438" s="5" t="s">
        <v>234</v>
      </c>
      <c r="H438" s="10">
        <v>23.979020938748686</v>
      </c>
      <c r="I438" s="10">
        <v>0</v>
      </c>
      <c r="J438" s="325">
        <v>23.979020938748686</v>
      </c>
      <c r="K438" s="10">
        <v>0.68346857362966285</v>
      </c>
      <c r="L438" s="10">
        <v>11.976871193545993</v>
      </c>
      <c r="M438" s="325">
        <v>12.660339767175655</v>
      </c>
      <c r="N438" s="10">
        <v>6.7344579802061162</v>
      </c>
      <c r="O438" s="10">
        <v>19.866810100500221</v>
      </c>
      <c r="P438" s="10">
        <v>4.8613934445972138</v>
      </c>
      <c r="Q438" s="10">
        <v>2.1524975085356126</v>
      </c>
      <c r="R438" s="10">
        <v>9.6521687613309943</v>
      </c>
      <c r="S438" s="10">
        <v>13.578381673847941</v>
      </c>
      <c r="T438" s="10">
        <v>30.822071491761761</v>
      </c>
      <c r="U438" s="10">
        <v>4.1528200624934675</v>
      </c>
      <c r="V438" s="325">
        <v>91.820601023273326</v>
      </c>
      <c r="W438" s="325">
        <v>128.45996172919766</v>
      </c>
      <c r="X438" s="10">
        <v>12.812027144591983</v>
      </c>
      <c r="Y438" s="320">
        <v>141.27198887378964</v>
      </c>
    </row>
    <row r="439" spans="1:25" x14ac:dyDescent="0.2">
      <c r="A439" s="7">
        <v>2018</v>
      </c>
      <c r="B439" s="5" t="s">
        <v>466</v>
      </c>
      <c r="C439" s="5" t="s">
        <v>218</v>
      </c>
      <c r="D439" s="5" t="s">
        <v>481</v>
      </c>
      <c r="E439" s="5" t="s">
        <v>235</v>
      </c>
      <c r="F439" s="5" t="s">
        <v>221</v>
      </c>
      <c r="G439" s="5" t="s">
        <v>236</v>
      </c>
      <c r="H439" s="10">
        <v>53.315933668286803</v>
      </c>
      <c r="I439" s="10">
        <v>4.5628389768809807</v>
      </c>
      <c r="J439" s="325">
        <v>57.878772645167786</v>
      </c>
      <c r="K439" s="10">
        <v>1.9713564020136676</v>
      </c>
      <c r="L439" s="10">
        <v>18.695492262127356</v>
      </c>
      <c r="M439" s="325">
        <v>20.666848664141025</v>
      </c>
      <c r="N439" s="10">
        <v>4.6606499629495826</v>
      </c>
      <c r="O439" s="10">
        <v>35.668728256882424</v>
      </c>
      <c r="P439" s="10">
        <v>9.0089718903277998</v>
      </c>
      <c r="Q439" s="10">
        <v>4.8627747078953023</v>
      </c>
      <c r="R439" s="10">
        <v>14.259908757469933</v>
      </c>
      <c r="S439" s="10">
        <v>21.679006572820573</v>
      </c>
      <c r="T439" s="10">
        <v>40.787649934264707</v>
      </c>
      <c r="U439" s="10">
        <v>5.2016494619257845</v>
      </c>
      <c r="V439" s="325">
        <v>136.12933954453612</v>
      </c>
      <c r="W439" s="325">
        <v>214.67496085384494</v>
      </c>
      <c r="X439" s="10">
        <v>21.451205851872842</v>
      </c>
      <c r="Y439" s="320">
        <v>236.12616670571776</v>
      </c>
    </row>
    <row r="440" spans="1:25" x14ac:dyDescent="0.2">
      <c r="A440" s="7">
        <v>2018</v>
      </c>
      <c r="B440" s="5" t="s">
        <v>466</v>
      </c>
      <c r="C440" s="5" t="s">
        <v>218</v>
      </c>
      <c r="D440" s="5" t="s">
        <v>482</v>
      </c>
      <c r="E440" s="5" t="s">
        <v>237</v>
      </c>
      <c r="F440" s="5" t="s">
        <v>221</v>
      </c>
      <c r="G440" s="5" t="s">
        <v>238</v>
      </c>
      <c r="H440" s="10">
        <v>90.477248100844903</v>
      </c>
      <c r="I440" s="10">
        <v>0</v>
      </c>
      <c r="J440" s="325">
        <v>90.477248100844903</v>
      </c>
      <c r="K440" s="10">
        <v>7.5680152941818148</v>
      </c>
      <c r="L440" s="10">
        <v>11.575635968156792</v>
      </c>
      <c r="M440" s="325">
        <v>19.143651262338608</v>
      </c>
      <c r="N440" s="10">
        <v>3.3574263498652077</v>
      </c>
      <c r="O440" s="10">
        <v>15.53578123349655</v>
      </c>
      <c r="P440" s="10">
        <v>6.0768090855258166</v>
      </c>
      <c r="Q440" s="10">
        <v>1.9892481797499348</v>
      </c>
      <c r="R440" s="10">
        <v>11.547027615889133</v>
      </c>
      <c r="S440" s="10">
        <v>12.47513751877432</v>
      </c>
      <c r="T440" s="10">
        <v>20.723968702857501</v>
      </c>
      <c r="U440" s="10">
        <v>4.8167257215940733</v>
      </c>
      <c r="V440" s="325">
        <v>76.522124407752528</v>
      </c>
      <c r="W440" s="325">
        <v>186.14302377093605</v>
      </c>
      <c r="X440" s="10">
        <v>18.6528182577261</v>
      </c>
      <c r="Y440" s="320">
        <v>204.79584202866215</v>
      </c>
    </row>
    <row r="441" spans="1:25" x14ac:dyDescent="0.2">
      <c r="A441" s="7">
        <v>2018</v>
      </c>
      <c r="B441" s="5" t="s">
        <v>466</v>
      </c>
      <c r="C441" s="5" t="s">
        <v>218</v>
      </c>
      <c r="D441" s="5" t="s">
        <v>481</v>
      </c>
      <c r="E441" s="5" t="s">
        <v>239</v>
      </c>
      <c r="F441" s="5" t="s">
        <v>221</v>
      </c>
      <c r="G441" s="5" t="s">
        <v>240</v>
      </c>
      <c r="H441" s="10">
        <v>23.68929805926799</v>
      </c>
      <c r="I441" s="10">
        <v>1.5382905191713503</v>
      </c>
      <c r="J441" s="325">
        <v>25.227588578439342</v>
      </c>
      <c r="K441" s="10">
        <v>2.5865317243121919</v>
      </c>
      <c r="L441" s="10">
        <v>17.185098500280201</v>
      </c>
      <c r="M441" s="325">
        <v>19.771630224592393</v>
      </c>
      <c r="N441" s="10">
        <v>12.215259435271786</v>
      </c>
      <c r="O441" s="10">
        <v>28.760764557159327</v>
      </c>
      <c r="P441" s="10">
        <v>8.5907608819352408</v>
      </c>
      <c r="Q441" s="10">
        <v>5.1706509749938778</v>
      </c>
      <c r="R441" s="10">
        <v>10.765682650099796</v>
      </c>
      <c r="S441" s="10">
        <v>17.187246877403481</v>
      </c>
      <c r="T441" s="10">
        <v>35.259335953475599</v>
      </c>
      <c r="U441" s="10">
        <v>4.8278022543166736</v>
      </c>
      <c r="V441" s="325">
        <v>122.77750358465578</v>
      </c>
      <c r="W441" s="325">
        <v>167.7767223876875</v>
      </c>
      <c r="X441" s="10">
        <v>16.700828680392569</v>
      </c>
      <c r="Y441" s="320">
        <v>184.47755106808006</v>
      </c>
    </row>
    <row r="442" spans="1:25" x14ac:dyDescent="0.2">
      <c r="A442" s="7">
        <v>2018</v>
      </c>
      <c r="B442" s="5" t="s">
        <v>466</v>
      </c>
      <c r="C442" s="5" t="s">
        <v>218</v>
      </c>
      <c r="D442" s="5" t="s">
        <v>482</v>
      </c>
      <c r="E442" s="5" t="s">
        <v>241</v>
      </c>
      <c r="F442" s="5" t="s">
        <v>221</v>
      </c>
      <c r="G442" s="5" t="s">
        <v>242</v>
      </c>
      <c r="H442" s="10">
        <v>10.156435195680688</v>
      </c>
      <c r="I442" s="10">
        <v>0</v>
      </c>
      <c r="J442" s="325">
        <v>10.156435195680688</v>
      </c>
      <c r="K442" s="10">
        <v>0.63390698314080152</v>
      </c>
      <c r="L442" s="10">
        <v>3.789855699087465</v>
      </c>
      <c r="M442" s="325">
        <v>4.4237626822282667</v>
      </c>
      <c r="N442" s="10">
        <v>1.09733833385504</v>
      </c>
      <c r="O442" s="10">
        <v>7.0853002755987555</v>
      </c>
      <c r="P442" s="10">
        <v>1.6975817046742032</v>
      </c>
      <c r="Q442" s="10">
        <v>0.60486090005638438</v>
      </c>
      <c r="R442" s="10">
        <v>3.8678471096890497</v>
      </c>
      <c r="S442" s="10">
        <v>5.2062215720254059</v>
      </c>
      <c r="T442" s="10">
        <v>10.314820758887626</v>
      </c>
      <c r="U442" s="10">
        <v>2.3151507155649962</v>
      </c>
      <c r="V442" s="325">
        <v>32.189121370351458</v>
      </c>
      <c r="W442" s="325">
        <v>46.769319248260409</v>
      </c>
      <c r="X442" s="10">
        <v>4.6590719444762296</v>
      </c>
      <c r="Y442" s="320">
        <v>51.42839119273664</v>
      </c>
    </row>
    <row r="443" spans="1:25" x14ac:dyDescent="0.2">
      <c r="A443" s="7">
        <v>2018</v>
      </c>
      <c r="B443" s="5" t="s">
        <v>466</v>
      </c>
      <c r="C443" s="5" t="s">
        <v>218</v>
      </c>
      <c r="D443" s="5" t="s">
        <v>482</v>
      </c>
      <c r="E443" s="5" t="s">
        <v>243</v>
      </c>
      <c r="F443" s="5" t="s">
        <v>221</v>
      </c>
      <c r="G443" s="5" t="s">
        <v>244</v>
      </c>
      <c r="H443" s="10">
        <v>11.858869344966035</v>
      </c>
      <c r="I443" s="10">
        <v>0</v>
      </c>
      <c r="J443" s="325">
        <v>11.858869344966035</v>
      </c>
      <c r="K443" s="10">
        <v>0.97202105197803057</v>
      </c>
      <c r="L443" s="10">
        <v>3.7568423312754797</v>
      </c>
      <c r="M443" s="325">
        <v>4.7288633832535103</v>
      </c>
      <c r="N443" s="10">
        <v>1.4587696287455174</v>
      </c>
      <c r="O443" s="10">
        <v>4.9981308003968827</v>
      </c>
      <c r="P443" s="10">
        <v>2.1318437686904885</v>
      </c>
      <c r="Q443" s="10">
        <v>1.09889765478057</v>
      </c>
      <c r="R443" s="10">
        <v>4.2472382477976707</v>
      </c>
      <c r="S443" s="10">
        <v>5.1693336754633874</v>
      </c>
      <c r="T443" s="10">
        <v>11.316610654345844</v>
      </c>
      <c r="U443" s="10">
        <v>1.6889424438635432</v>
      </c>
      <c r="V443" s="325">
        <v>32.109766874083903</v>
      </c>
      <c r="W443" s="325">
        <v>48.697499602303452</v>
      </c>
      <c r="X443" s="10">
        <v>4.8474931391338449</v>
      </c>
      <c r="Y443" s="320">
        <v>53.544992741437298</v>
      </c>
    </row>
    <row r="444" spans="1:25" x14ac:dyDescent="0.2">
      <c r="A444" s="7">
        <v>2018</v>
      </c>
      <c r="B444" s="5" t="s">
        <v>466</v>
      </c>
      <c r="C444" s="5" t="s">
        <v>218</v>
      </c>
      <c r="D444" s="5" t="s">
        <v>482</v>
      </c>
      <c r="E444" s="5" t="s">
        <v>245</v>
      </c>
      <c r="F444" s="5" t="s">
        <v>221</v>
      </c>
      <c r="G444" s="5" t="s">
        <v>246</v>
      </c>
      <c r="H444" s="10">
        <v>15.454239601591782</v>
      </c>
      <c r="I444" s="10">
        <v>0</v>
      </c>
      <c r="J444" s="325">
        <v>15.454239601591782</v>
      </c>
      <c r="K444" s="10">
        <v>0.28285553124198171</v>
      </c>
      <c r="L444" s="10">
        <v>7.8613219278542843</v>
      </c>
      <c r="M444" s="325">
        <v>8.1441774590962659</v>
      </c>
      <c r="N444" s="10">
        <v>2.2002579210944297</v>
      </c>
      <c r="O444" s="10">
        <v>8.1472313724819951</v>
      </c>
      <c r="P444" s="10">
        <v>3.7770440075518126</v>
      </c>
      <c r="Q444" s="10">
        <v>7.1382605578314093</v>
      </c>
      <c r="R444" s="10">
        <v>4.8269947909378077</v>
      </c>
      <c r="S444" s="10">
        <v>9.1074408797286317</v>
      </c>
      <c r="T444" s="10">
        <v>19.069087555801641</v>
      </c>
      <c r="U444" s="10">
        <v>5.2112091843919019</v>
      </c>
      <c r="V444" s="325">
        <v>59.477526269819634</v>
      </c>
      <c r="W444" s="325">
        <v>83.075943330507684</v>
      </c>
      <c r="X444" s="10">
        <v>8.215751713119376</v>
      </c>
      <c r="Y444" s="320">
        <v>91.291695043627058</v>
      </c>
    </row>
    <row r="445" spans="1:25" x14ac:dyDescent="0.2">
      <c r="A445" s="7">
        <v>2018</v>
      </c>
      <c r="B445" s="5" t="s">
        <v>466</v>
      </c>
      <c r="C445" s="5" t="s">
        <v>218</v>
      </c>
      <c r="D445" s="5" t="s">
        <v>482</v>
      </c>
      <c r="E445" s="5" t="s">
        <v>247</v>
      </c>
      <c r="F445" s="5" t="s">
        <v>221</v>
      </c>
      <c r="G445" s="5" t="s">
        <v>248</v>
      </c>
      <c r="H445" s="10">
        <v>5.2207214759566396</v>
      </c>
      <c r="I445" s="10">
        <v>0</v>
      </c>
      <c r="J445" s="325">
        <v>5.2207214759566396</v>
      </c>
      <c r="K445" s="10">
        <v>0.14415708928019624</v>
      </c>
      <c r="L445" s="10">
        <v>2.7961668187651543</v>
      </c>
      <c r="M445" s="325">
        <v>2.9403239080453507</v>
      </c>
      <c r="N445" s="10">
        <v>1.9745097395866662</v>
      </c>
      <c r="O445" s="10">
        <v>5.1360450401849338</v>
      </c>
      <c r="P445" s="10">
        <v>1.4329220204776281</v>
      </c>
      <c r="Q445" s="10">
        <v>0.27638672826738381</v>
      </c>
      <c r="R445" s="10">
        <v>3.0249763613212668</v>
      </c>
      <c r="S445" s="10">
        <v>3.417802202144085</v>
      </c>
      <c r="T445" s="10">
        <v>5.8285753004932603</v>
      </c>
      <c r="U445" s="10">
        <v>1.2928615584484671</v>
      </c>
      <c r="V445" s="325">
        <v>22.384078950923691</v>
      </c>
      <c r="W445" s="325">
        <v>30.545124334925681</v>
      </c>
      <c r="X445" s="10">
        <v>3.0451086745749794</v>
      </c>
      <c r="Y445" s="320">
        <v>33.590233009500658</v>
      </c>
    </row>
    <row r="446" spans="1:25" x14ac:dyDescent="0.2">
      <c r="A446" s="7">
        <v>2018</v>
      </c>
      <c r="B446" s="5" t="s">
        <v>466</v>
      </c>
      <c r="C446" s="5" t="s">
        <v>218</v>
      </c>
      <c r="D446" s="5" t="s">
        <v>481</v>
      </c>
      <c r="E446" s="5" t="s">
        <v>249</v>
      </c>
      <c r="F446" s="5" t="s">
        <v>221</v>
      </c>
      <c r="G446" s="5" t="s">
        <v>250</v>
      </c>
      <c r="H446" s="10">
        <v>10.409693247340586</v>
      </c>
      <c r="I446" s="10">
        <v>0</v>
      </c>
      <c r="J446" s="325">
        <v>10.409693247340586</v>
      </c>
      <c r="K446" s="10">
        <v>0.71942903240930967</v>
      </c>
      <c r="L446" s="10">
        <v>5.1864240866007023</v>
      </c>
      <c r="M446" s="325">
        <v>5.9058531190100121</v>
      </c>
      <c r="N446" s="10">
        <v>1.1284859270620078</v>
      </c>
      <c r="O446" s="10">
        <v>4.2761886119020929</v>
      </c>
      <c r="P446" s="10">
        <v>2.98813299543722</v>
      </c>
      <c r="Q446" s="10">
        <v>1.44358035849105</v>
      </c>
      <c r="R446" s="10">
        <v>4.9607679090267514</v>
      </c>
      <c r="S446" s="10">
        <v>7.9573913727118661</v>
      </c>
      <c r="T446" s="10">
        <v>20.691525972758917</v>
      </c>
      <c r="U446" s="10">
        <v>1.8940160288065708</v>
      </c>
      <c r="V446" s="325">
        <v>45.340089176196479</v>
      </c>
      <c r="W446" s="325">
        <v>61.655635542547074</v>
      </c>
      <c r="X446" s="10">
        <v>6.119921976614461</v>
      </c>
      <c r="Y446" s="320">
        <v>67.775557519161538</v>
      </c>
    </row>
    <row r="447" spans="1:25" x14ac:dyDescent="0.2">
      <c r="A447" s="7">
        <v>2018</v>
      </c>
      <c r="B447" s="5" t="s">
        <v>466</v>
      </c>
      <c r="C447" s="5" t="s">
        <v>218</v>
      </c>
      <c r="D447" s="5" t="s">
        <v>482</v>
      </c>
      <c r="E447" s="5" t="s">
        <v>251</v>
      </c>
      <c r="F447" s="5" t="s">
        <v>221</v>
      </c>
      <c r="G447" s="5" t="s">
        <v>252</v>
      </c>
      <c r="H447" s="10">
        <v>13.37546034295239</v>
      </c>
      <c r="I447" s="10">
        <v>0.49400641373066179</v>
      </c>
      <c r="J447" s="325">
        <v>13.869466756683051</v>
      </c>
      <c r="K447" s="10">
        <v>5.0224922123826889</v>
      </c>
      <c r="L447" s="10">
        <v>1.9206180690497869</v>
      </c>
      <c r="M447" s="325">
        <v>6.9431102814324763</v>
      </c>
      <c r="N447" s="10">
        <v>2.2673246216809715</v>
      </c>
      <c r="O447" s="10">
        <v>5.8227985294073319</v>
      </c>
      <c r="P447" s="10">
        <v>3.6467319366416286</v>
      </c>
      <c r="Q447" s="10">
        <v>1.7045954267538177</v>
      </c>
      <c r="R447" s="10">
        <v>6.6468570292695182</v>
      </c>
      <c r="S447" s="10">
        <v>7.7639757578776321</v>
      </c>
      <c r="T447" s="10">
        <v>20.018382590557401</v>
      </c>
      <c r="U447" s="10">
        <v>2.1369456608656359</v>
      </c>
      <c r="V447" s="325">
        <v>50.007611553053934</v>
      </c>
      <c r="W447" s="325">
        <v>70.820188591169455</v>
      </c>
      <c r="X447" s="10">
        <v>7.0403785481906977</v>
      </c>
      <c r="Y447" s="320">
        <v>77.860567139360157</v>
      </c>
    </row>
    <row r="448" spans="1:25" x14ac:dyDescent="0.2">
      <c r="A448" s="7">
        <v>2018</v>
      </c>
      <c r="B448" s="5" t="s">
        <v>466</v>
      </c>
      <c r="C448" s="5" t="s">
        <v>218</v>
      </c>
      <c r="D448" s="5" t="s">
        <v>482</v>
      </c>
      <c r="E448" s="5" t="s">
        <v>253</v>
      </c>
      <c r="F448" s="5" t="s">
        <v>221</v>
      </c>
      <c r="G448" s="5" t="s">
        <v>254</v>
      </c>
      <c r="H448" s="10">
        <v>18.259644494280554</v>
      </c>
      <c r="I448" s="10">
        <v>0</v>
      </c>
      <c r="J448" s="325">
        <v>18.259644494280554</v>
      </c>
      <c r="K448" s="10">
        <v>1.7176410792143939</v>
      </c>
      <c r="L448" s="10">
        <v>15.291025366139884</v>
      </c>
      <c r="M448" s="325">
        <v>17.00866644535428</v>
      </c>
      <c r="N448" s="10">
        <v>8.7988361491307181</v>
      </c>
      <c r="O448" s="10">
        <v>45.932184807929474</v>
      </c>
      <c r="P448" s="10">
        <v>6.2938125691467732</v>
      </c>
      <c r="Q448" s="10">
        <v>2.599255331807671</v>
      </c>
      <c r="R448" s="10">
        <v>26.590757306223537</v>
      </c>
      <c r="S448" s="10">
        <v>18.84678891608694</v>
      </c>
      <c r="T448" s="10">
        <v>26.89945695525665</v>
      </c>
      <c r="U448" s="10">
        <v>5.1797962192908127</v>
      </c>
      <c r="V448" s="325">
        <v>141.14088825487255</v>
      </c>
      <c r="W448" s="325">
        <v>176.40919919450738</v>
      </c>
      <c r="X448" s="10">
        <v>17.568153279865736</v>
      </c>
      <c r="Y448" s="320">
        <v>193.97735247437311</v>
      </c>
    </row>
    <row r="449" spans="1:25" x14ac:dyDescent="0.2">
      <c r="A449" s="7">
        <v>2018</v>
      </c>
      <c r="B449" s="5" t="s">
        <v>466</v>
      </c>
      <c r="C449" s="5" t="s">
        <v>218</v>
      </c>
      <c r="D449" s="5" t="s">
        <v>482</v>
      </c>
      <c r="E449" s="5" t="s">
        <v>255</v>
      </c>
      <c r="F449" s="5" t="s">
        <v>221</v>
      </c>
      <c r="G449" s="5" t="s">
        <v>256</v>
      </c>
      <c r="H449" s="10">
        <v>23.72236654200098</v>
      </c>
      <c r="I449" s="10">
        <v>0</v>
      </c>
      <c r="J449" s="325">
        <v>23.72236654200098</v>
      </c>
      <c r="K449" s="10">
        <v>5.0973717565825316</v>
      </c>
      <c r="L449" s="10">
        <v>21.00077703335371</v>
      </c>
      <c r="M449" s="325">
        <v>26.098148789936243</v>
      </c>
      <c r="N449" s="10">
        <v>13.810830193468824</v>
      </c>
      <c r="O449" s="10">
        <v>71.499127458614737</v>
      </c>
      <c r="P449" s="10">
        <v>9.4220684563445332</v>
      </c>
      <c r="Q449" s="10">
        <v>7.6733235283949508</v>
      </c>
      <c r="R449" s="10">
        <v>24.991434192002206</v>
      </c>
      <c r="S449" s="10">
        <v>29.631248827830856</v>
      </c>
      <c r="T449" s="10">
        <v>61.102501633223532</v>
      </c>
      <c r="U449" s="10">
        <v>7.7578707929032928</v>
      </c>
      <c r="V449" s="325">
        <v>225.88840508278295</v>
      </c>
      <c r="W449" s="325">
        <v>275.70892041472018</v>
      </c>
      <c r="X449" s="10">
        <v>27.497621412015928</v>
      </c>
      <c r="Y449" s="320">
        <v>303.2065418267361</v>
      </c>
    </row>
    <row r="450" spans="1:25" x14ac:dyDescent="0.2">
      <c r="A450" s="7">
        <v>2018</v>
      </c>
      <c r="B450" s="5" t="s">
        <v>466</v>
      </c>
      <c r="C450" s="5" t="s">
        <v>218</v>
      </c>
      <c r="D450" s="5" t="s">
        <v>482</v>
      </c>
      <c r="E450" s="5" t="s">
        <v>257</v>
      </c>
      <c r="F450" s="5" t="s">
        <v>221</v>
      </c>
      <c r="G450" s="5" t="s">
        <v>258</v>
      </c>
      <c r="H450" s="10">
        <v>15.767540898141956</v>
      </c>
      <c r="I450" s="10">
        <v>0.59437001084377838</v>
      </c>
      <c r="J450" s="325">
        <v>16.361910908985735</v>
      </c>
      <c r="K450" s="10">
        <v>1.1531903874968337</v>
      </c>
      <c r="L450" s="10">
        <v>13.247795531168455</v>
      </c>
      <c r="M450" s="325">
        <v>14.400985918665288</v>
      </c>
      <c r="N450" s="10">
        <v>6.2707365677840512</v>
      </c>
      <c r="O450" s="10">
        <v>30.2222180561267</v>
      </c>
      <c r="P450" s="10">
        <v>5.9158479591399509</v>
      </c>
      <c r="Q450" s="10">
        <v>2.7138710439252405</v>
      </c>
      <c r="R450" s="10">
        <v>17.045455473328289</v>
      </c>
      <c r="S450" s="10">
        <v>17.290769951745332</v>
      </c>
      <c r="T450" s="10">
        <v>31.10256502686746</v>
      </c>
      <c r="U450" s="10">
        <v>5.7230091666850207</v>
      </c>
      <c r="V450" s="325">
        <v>116.28447324560204</v>
      </c>
      <c r="W450" s="325">
        <v>147.04737007325309</v>
      </c>
      <c r="X450" s="10">
        <v>14.624590980690153</v>
      </c>
      <c r="Y450" s="320">
        <v>161.67196105394325</v>
      </c>
    </row>
    <row r="451" spans="1:25" x14ac:dyDescent="0.2">
      <c r="A451" s="7">
        <v>2018</v>
      </c>
      <c r="B451" s="5" t="s">
        <v>466</v>
      </c>
      <c r="C451" s="5" t="s">
        <v>218</v>
      </c>
      <c r="D451" s="5" t="s">
        <v>481</v>
      </c>
      <c r="E451" s="5" t="s">
        <v>259</v>
      </c>
      <c r="F451" s="5" t="s">
        <v>221</v>
      </c>
      <c r="G451" s="5" t="s">
        <v>260</v>
      </c>
      <c r="H451" s="10">
        <v>18.058806706901528</v>
      </c>
      <c r="I451" s="10">
        <v>0</v>
      </c>
      <c r="J451" s="325">
        <v>18.058806706901528</v>
      </c>
      <c r="K451" s="10">
        <v>0.44387725590434912</v>
      </c>
      <c r="L451" s="10">
        <v>5.9633998348990742</v>
      </c>
      <c r="M451" s="325">
        <v>6.4072770908034231</v>
      </c>
      <c r="N451" s="10">
        <v>2.0617131689526174</v>
      </c>
      <c r="O451" s="10">
        <v>7.6445067374509588</v>
      </c>
      <c r="P451" s="10">
        <v>2.5290557091317307</v>
      </c>
      <c r="Q451" s="10">
        <v>0.93615571394957053</v>
      </c>
      <c r="R451" s="10">
        <v>4.003994860801253</v>
      </c>
      <c r="S451" s="10">
        <v>5.7472416126895292</v>
      </c>
      <c r="T451" s="10">
        <v>12.379602312485739</v>
      </c>
      <c r="U451" s="10">
        <v>2.3140542364844912</v>
      </c>
      <c r="V451" s="325">
        <v>37.616324351945892</v>
      </c>
      <c r="W451" s="325">
        <v>62.082408149650846</v>
      </c>
      <c r="X451" s="10">
        <v>6.1948331484270671</v>
      </c>
      <c r="Y451" s="320">
        <v>68.277241298077911</v>
      </c>
    </row>
    <row r="452" spans="1:25" x14ac:dyDescent="0.2">
      <c r="A452" s="7">
        <v>2018</v>
      </c>
      <c r="B452" s="5" t="s">
        <v>466</v>
      </c>
      <c r="C452" s="5" t="s">
        <v>261</v>
      </c>
      <c r="D452" s="5" t="s">
        <v>483</v>
      </c>
      <c r="E452" s="5" t="s">
        <v>263</v>
      </c>
      <c r="F452" s="5" t="s">
        <v>264</v>
      </c>
      <c r="G452" s="5" t="s">
        <v>265</v>
      </c>
      <c r="H452" s="10">
        <v>63.5867741383002</v>
      </c>
      <c r="I452" s="10">
        <v>1.8543111904368916</v>
      </c>
      <c r="J452" s="325">
        <v>65.441085328737088</v>
      </c>
      <c r="K452" s="10">
        <v>4.5239268679519631</v>
      </c>
      <c r="L452" s="10">
        <v>15.076193367884258</v>
      </c>
      <c r="M452" s="325">
        <v>19.600120235836222</v>
      </c>
      <c r="N452" s="10">
        <v>4.5498326137308327</v>
      </c>
      <c r="O452" s="10">
        <v>19.324647609315438</v>
      </c>
      <c r="P452" s="10">
        <v>8.2372942205926272</v>
      </c>
      <c r="Q452" s="10">
        <v>4.3352697650938534</v>
      </c>
      <c r="R452" s="10">
        <v>20.811662420648872</v>
      </c>
      <c r="S452" s="10">
        <v>17.061508552330359</v>
      </c>
      <c r="T452" s="10">
        <v>33.665156244039537</v>
      </c>
      <c r="U452" s="10">
        <v>6.9622543987558405</v>
      </c>
      <c r="V452" s="325">
        <v>114.94762582450736</v>
      </c>
      <c r="W452" s="325">
        <v>199.98883138908064</v>
      </c>
      <c r="X452" s="10">
        <v>19.931159665267391</v>
      </c>
      <c r="Y452" s="320">
        <v>219.91999105434803</v>
      </c>
    </row>
    <row r="453" spans="1:25" x14ac:dyDescent="0.2">
      <c r="A453" s="7">
        <v>2018</v>
      </c>
      <c r="B453" s="5" t="s">
        <v>466</v>
      </c>
      <c r="C453" s="5" t="s">
        <v>261</v>
      </c>
      <c r="D453" s="5" t="s">
        <v>484</v>
      </c>
      <c r="E453" s="5" t="s">
        <v>266</v>
      </c>
      <c r="F453" s="5" t="s">
        <v>264</v>
      </c>
      <c r="G453" s="5" t="s">
        <v>268</v>
      </c>
      <c r="H453" s="10">
        <v>6.4451230106376087</v>
      </c>
      <c r="I453" s="10">
        <v>0</v>
      </c>
      <c r="J453" s="325">
        <v>6.4451230106376087</v>
      </c>
      <c r="K453" s="10">
        <v>0.65113329894626437</v>
      </c>
      <c r="L453" s="10">
        <v>4.0361702129624009</v>
      </c>
      <c r="M453" s="325">
        <v>4.6873035119086648</v>
      </c>
      <c r="N453" s="10">
        <v>6.73566105108989</v>
      </c>
      <c r="O453" s="10">
        <v>5.3031874277603421</v>
      </c>
      <c r="P453" s="10">
        <v>1.4202800200374446</v>
      </c>
      <c r="Q453" s="10">
        <v>0.73337812218661524</v>
      </c>
      <c r="R453" s="10">
        <v>4.723955596094231</v>
      </c>
      <c r="S453" s="10">
        <v>4.4797273075387807</v>
      </c>
      <c r="T453" s="10">
        <v>9.4301328358003058</v>
      </c>
      <c r="U453" s="10">
        <v>1.2453925273267752</v>
      </c>
      <c r="V453" s="325">
        <v>34.071714887834389</v>
      </c>
      <c r="W453" s="325">
        <v>45.204141410380664</v>
      </c>
      <c r="X453" s="10">
        <v>4.5121546474092487</v>
      </c>
      <c r="Y453" s="320">
        <v>49.716296057789911</v>
      </c>
    </row>
    <row r="454" spans="1:25" x14ac:dyDescent="0.2">
      <c r="A454" s="7">
        <v>2018</v>
      </c>
      <c r="B454" s="5" t="s">
        <v>466</v>
      </c>
      <c r="C454" s="5" t="s">
        <v>261</v>
      </c>
      <c r="D454" s="5" t="s">
        <v>483</v>
      </c>
      <c r="E454" s="5" t="s">
        <v>269</v>
      </c>
      <c r="F454" s="5" t="s">
        <v>264</v>
      </c>
      <c r="G454" s="5" t="s">
        <v>271</v>
      </c>
      <c r="H454" s="10">
        <v>17.398134147884768</v>
      </c>
      <c r="I454" s="10">
        <v>0</v>
      </c>
      <c r="J454" s="325">
        <v>17.398134147884768</v>
      </c>
      <c r="K454" s="10">
        <v>2.2160581840100946</v>
      </c>
      <c r="L454" s="10">
        <v>4.0752296003743558</v>
      </c>
      <c r="M454" s="325">
        <v>6.2912877843844504</v>
      </c>
      <c r="N454" s="10">
        <v>1.3905882113106154</v>
      </c>
      <c r="O454" s="10">
        <v>4.9861869877961595</v>
      </c>
      <c r="P454" s="10">
        <v>2.9143668070965578</v>
      </c>
      <c r="Q454" s="10">
        <v>1.5810959968781617</v>
      </c>
      <c r="R454" s="10">
        <v>8.2841255851957296</v>
      </c>
      <c r="S454" s="10">
        <v>5.9495115359378241</v>
      </c>
      <c r="T454" s="10">
        <v>13.814282770703329</v>
      </c>
      <c r="U454" s="10">
        <v>1.6263773911279402</v>
      </c>
      <c r="V454" s="325">
        <v>40.546535286046314</v>
      </c>
      <c r="W454" s="325">
        <v>64.235957218315534</v>
      </c>
      <c r="X454" s="10">
        <v>6.3848285553964628</v>
      </c>
      <c r="Y454" s="320">
        <v>70.620785773712001</v>
      </c>
    </row>
    <row r="455" spans="1:25" x14ac:dyDescent="0.2">
      <c r="A455" s="7">
        <v>2018</v>
      </c>
      <c r="B455" s="5" t="s">
        <v>466</v>
      </c>
      <c r="C455" s="5" t="s">
        <v>261</v>
      </c>
      <c r="D455" s="5" t="s">
        <v>485</v>
      </c>
      <c r="E455" s="5" t="s">
        <v>272</v>
      </c>
      <c r="F455" s="5" t="s">
        <v>264</v>
      </c>
      <c r="G455" s="5" t="s">
        <v>273</v>
      </c>
      <c r="H455" s="10">
        <v>12.956505553644464</v>
      </c>
      <c r="I455" s="10">
        <v>0</v>
      </c>
      <c r="J455" s="325">
        <v>12.956505553644464</v>
      </c>
      <c r="K455" s="10">
        <v>3.2404395420362104</v>
      </c>
      <c r="L455" s="10">
        <v>14.352799574967928</v>
      </c>
      <c r="M455" s="325">
        <v>17.593239117004138</v>
      </c>
      <c r="N455" s="10">
        <v>39.058365510354591</v>
      </c>
      <c r="O455" s="10">
        <v>13.691584985104372</v>
      </c>
      <c r="P455" s="10">
        <v>3.7945864530021978</v>
      </c>
      <c r="Q455" s="10">
        <v>1.8435257552161397</v>
      </c>
      <c r="R455" s="10">
        <v>14.18987263865227</v>
      </c>
      <c r="S455" s="10">
        <v>9.1944585832219161</v>
      </c>
      <c r="T455" s="10">
        <v>15.081758467753696</v>
      </c>
      <c r="U455" s="10">
        <v>2.6823095629158566</v>
      </c>
      <c r="V455" s="325">
        <v>99.536461956221046</v>
      </c>
      <c r="W455" s="325">
        <v>130.08620662686965</v>
      </c>
      <c r="X455" s="10">
        <v>13.013466276226742</v>
      </c>
      <c r="Y455" s="320">
        <v>143.0996729030964</v>
      </c>
    </row>
    <row r="456" spans="1:25" x14ac:dyDescent="0.2">
      <c r="A456" s="7">
        <v>2018</v>
      </c>
      <c r="B456" s="5" t="s">
        <v>466</v>
      </c>
      <c r="C456" s="5" t="s">
        <v>261</v>
      </c>
      <c r="D456" s="5" t="s">
        <v>484</v>
      </c>
      <c r="E456" s="5" t="s">
        <v>274</v>
      </c>
      <c r="F456" s="5" t="s">
        <v>264</v>
      </c>
      <c r="G456" s="5" t="s">
        <v>275</v>
      </c>
      <c r="H456" s="10">
        <v>12.047845267600803</v>
      </c>
      <c r="I456" s="10">
        <v>0</v>
      </c>
      <c r="J456" s="325">
        <v>12.047845267600803</v>
      </c>
      <c r="K456" s="10">
        <v>1.9316237189666301</v>
      </c>
      <c r="L456" s="10">
        <v>3.6462035243497581</v>
      </c>
      <c r="M456" s="325">
        <v>5.5778272433163885</v>
      </c>
      <c r="N456" s="10">
        <v>1.1071397790564399</v>
      </c>
      <c r="O456" s="10">
        <v>3.7401909151928181</v>
      </c>
      <c r="P456" s="10">
        <v>1.5676266725836825</v>
      </c>
      <c r="Q456" s="10">
        <v>0.67013928733409489</v>
      </c>
      <c r="R456" s="10">
        <v>6.6288031735468751</v>
      </c>
      <c r="S456" s="10">
        <v>6.9341886106443233</v>
      </c>
      <c r="T456" s="10">
        <v>8.4341884512950926</v>
      </c>
      <c r="U456" s="10">
        <v>1.5162347030549805</v>
      </c>
      <c r="V456" s="325">
        <v>30.598511592708309</v>
      </c>
      <c r="W456" s="325">
        <v>48.224184103625504</v>
      </c>
      <c r="X456" s="10">
        <v>4.7778021943655222</v>
      </c>
      <c r="Y456" s="320">
        <v>53.001986297991024</v>
      </c>
    </row>
    <row r="457" spans="1:25" x14ac:dyDescent="0.2">
      <c r="A457" s="7">
        <v>2018</v>
      </c>
      <c r="B457" s="5" t="s">
        <v>466</v>
      </c>
      <c r="C457" s="5" t="s">
        <v>261</v>
      </c>
      <c r="D457" s="5" t="s">
        <v>486</v>
      </c>
      <c r="E457" s="5" t="s">
        <v>276</v>
      </c>
      <c r="F457" s="5" t="s">
        <v>264</v>
      </c>
      <c r="G457" s="5" t="s">
        <v>277</v>
      </c>
      <c r="H457" s="10">
        <v>43.039734450352881</v>
      </c>
      <c r="I457" s="10">
        <v>0</v>
      </c>
      <c r="J457" s="325">
        <v>43.039734450352881</v>
      </c>
      <c r="K457" s="10">
        <v>26.070400467179212</v>
      </c>
      <c r="L457" s="10">
        <v>28.537875322610038</v>
      </c>
      <c r="M457" s="325">
        <v>54.608275789789246</v>
      </c>
      <c r="N457" s="10">
        <v>23.224416190228439</v>
      </c>
      <c r="O457" s="10">
        <v>131.34182081600079</v>
      </c>
      <c r="P457" s="10">
        <v>27.096883400918436</v>
      </c>
      <c r="Q457" s="10">
        <v>12.462484213395637</v>
      </c>
      <c r="R457" s="10">
        <v>87.249863776123775</v>
      </c>
      <c r="S457" s="10">
        <v>50.486661189370814</v>
      </c>
      <c r="T457" s="10">
        <v>60.739771050498113</v>
      </c>
      <c r="U457" s="10">
        <v>25.085163655753231</v>
      </c>
      <c r="V457" s="325">
        <v>417.68706429228922</v>
      </c>
      <c r="W457" s="325">
        <v>515.33507453243135</v>
      </c>
      <c r="X457" s="10">
        <v>51.11156431328321</v>
      </c>
      <c r="Y457" s="320">
        <v>566.44663884571457</v>
      </c>
    </row>
    <row r="458" spans="1:25" x14ac:dyDescent="0.2">
      <c r="A458" s="7">
        <v>2018</v>
      </c>
      <c r="B458" s="5" t="s">
        <v>466</v>
      </c>
      <c r="C458" s="5" t="s">
        <v>261</v>
      </c>
      <c r="D458" s="5" t="s">
        <v>484</v>
      </c>
      <c r="E458" s="5" t="s">
        <v>278</v>
      </c>
      <c r="F458" s="5" t="s">
        <v>264</v>
      </c>
      <c r="G458" s="5" t="s">
        <v>279</v>
      </c>
      <c r="H458" s="10">
        <v>277.20699227375991</v>
      </c>
      <c r="I458" s="10">
        <v>0</v>
      </c>
      <c r="J458" s="325">
        <v>277.20699227375991</v>
      </c>
      <c r="K458" s="10">
        <v>5.9076922355845474</v>
      </c>
      <c r="L458" s="10">
        <v>39.275108276172666</v>
      </c>
      <c r="M458" s="325">
        <v>45.182800511757215</v>
      </c>
      <c r="N458" s="10">
        <v>5.2096855881444863</v>
      </c>
      <c r="O458" s="10">
        <v>31.997743537694717</v>
      </c>
      <c r="P458" s="10">
        <v>7.1036610665886588</v>
      </c>
      <c r="Q458" s="10">
        <v>4.5736306074566038</v>
      </c>
      <c r="R458" s="10">
        <v>27.202679020140074</v>
      </c>
      <c r="S458" s="10">
        <v>19.075216642418532</v>
      </c>
      <c r="T458" s="10">
        <v>25.316207870828443</v>
      </c>
      <c r="U458" s="10">
        <v>6.7455523965843467</v>
      </c>
      <c r="V458" s="325">
        <v>127.22437672985583</v>
      </c>
      <c r="W458" s="325">
        <v>449.61416951537296</v>
      </c>
      <c r="X458" s="10">
        <v>45.214109017680336</v>
      </c>
      <c r="Y458" s="320">
        <v>494.82827853305332</v>
      </c>
    </row>
    <row r="459" spans="1:25" x14ac:dyDescent="0.2">
      <c r="A459" s="7">
        <v>2018</v>
      </c>
      <c r="B459" s="5" t="s">
        <v>466</v>
      </c>
      <c r="C459" s="5" t="s">
        <v>261</v>
      </c>
      <c r="D459" s="5" t="s">
        <v>486</v>
      </c>
      <c r="E459" s="5" t="s">
        <v>280</v>
      </c>
      <c r="F459" s="5" t="s">
        <v>264</v>
      </c>
      <c r="G459" s="5" t="s">
        <v>281</v>
      </c>
      <c r="H459" s="10">
        <v>42.245765448891348</v>
      </c>
      <c r="I459" s="10">
        <v>1.1373583572134851</v>
      </c>
      <c r="J459" s="325">
        <v>43.383123806104834</v>
      </c>
      <c r="K459" s="10">
        <v>15.969350873820598</v>
      </c>
      <c r="L459" s="10">
        <v>32.226272589756867</v>
      </c>
      <c r="M459" s="325">
        <v>48.195623463577462</v>
      </c>
      <c r="N459" s="10">
        <v>20.24048981091692</v>
      </c>
      <c r="O459" s="10">
        <v>82.668125705316143</v>
      </c>
      <c r="P459" s="10">
        <v>18.956270556235864</v>
      </c>
      <c r="Q459" s="10">
        <v>10.935930466897704</v>
      </c>
      <c r="R459" s="10">
        <v>66.883338564712133</v>
      </c>
      <c r="S459" s="10">
        <v>42.824512627786682</v>
      </c>
      <c r="T459" s="10">
        <v>49.205715382415711</v>
      </c>
      <c r="U459" s="10">
        <v>12.429452580880017</v>
      </c>
      <c r="V459" s="325">
        <v>304.14383569516116</v>
      </c>
      <c r="W459" s="325">
        <v>395.72258296484347</v>
      </c>
      <c r="X459" s="10">
        <v>39.180478144595689</v>
      </c>
      <c r="Y459" s="320">
        <v>434.90306110943914</v>
      </c>
    </row>
    <row r="460" spans="1:25" x14ac:dyDescent="0.2">
      <c r="A460" s="7">
        <v>2018</v>
      </c>
      <c r="B460" s="5" t="s">
        <v>466</v>
      </c>
      <c r="C460" s="5" t="s">
        <v>261</v>
      </c>
      <c r="D460" s="5" t="s">
        <v>486</v>
      </c>
      <c r="E460" s="5" t="s">
        <v>282</v>
      </c>
      <c r="F460" s="5" t="s">
        <v>264</v>
      </c>
      <c r="G460" s="5" t="s">
        <v>284</v>
      </c>
      <c r="H460" s="10">
        <v>15.106234458832992</v>
      </c>
      <c r="I460" s="10">
        <v>0</v>
      </c>
      <c r="J460" s="325">
        <v>15.106234458832992</v>
      </c>
      <c r="K460" s="10">
        <v>20.973980333192301</v>
      </c>
      <c r="L460" s="10">
        <v>15.955913115750111</v>
      </c>
      <c r="M460" s="325">
        <v>36.929893448942408</v>
      </c>
      <c r="N460" s="10">
        <v>9.0732978308850871</v>
      </c>
      <c r="O460" s="10">
        <v>66.018022631703815</v>
      </c>
      <c r="P460" s="10">
        <v>11.835671181497995</v>
      </c>
      <c r="Q460" s="10">
        <v>10.762802808591118</v>
      </c>
      <c r="R460" s="10">
        <v>43.24352417052161</v>
      </c>
      <c r="S460" s="10">
        <v>27.899205776708918</v>
      </c>
      <c r="T460" s="10">
        <v>42.552145999976659</v>
      </c>
      <c r="U460" s="10">
        <v>8.8652093174818845</v>
      </c>
      <c r="V460" s="325">
        <v>220.24987971736709</v>
      </c>
      <c r="W460" s="325">
        <v>272.28600762514247</v>
      </c>
      <c r="X460" s="10">
        <v>26.886762855909261</v>
      </c>
      <c r="Y460" s="320">
        <v>299.17277048105171</v>
      </c>
    </row>
    <row r="461" spans="1:25" x14ac:dyDescent="0.2">
      <c r="A461" s="7">
        <v>2018</v>
      </c>
      <c r="B461" s="5" t="s">
        <v>466</v>
      </c>
      <c r="C461" s="5" t="s">
        <v>261</v>
      </c>
      <c r="D461" s="5" t="s">
        <v>484</v>
      </c>
      <c r="E461" s="5" t="s">
        <v>285</v>
      </c>
      <c r="F461" s="5" t="s">
        <v>264</v>
      </c>
      <c r="G461" s="5" t="s">
        <v>286</v>
      </c>
      <c r="H461" s="10">
        <v>10.79239587943321</v>
      </c>
      <c r="I461" s="10">
        <v>0</v>
      </c>
      <c r="J461" s="325">
        <v>10.79239587943321</v>
      </c>
      <c r="K461" s="10">
        <v>1.1994486886412175</v>
      </c>
      <c r="L461" s="10">
        <v>5.5536677288995362</v>
      </c>
      <c r="M461" s="325">
        <v>6.7531164175407534</v>
      </c>
      <c r="N461" s="10">
        <v>5.1650240019329186</v>
      </c>
      <c r="O461" s="10">
        <v>6.7361972477905789</v>
      </c>
      <c r="P461" s="10">
        <v>2.7871741446725045</v>
      </c>
      <c r="Q461" s="10">
        <v>1.6512507878062541</v>
      </c>
      <c r="R461" s="10">
        <v>14.672107010680648</v>
      </c>
      <c r="S461" s="10">
        <v>7.8648847383718179</v>
      </c>
      <c r="T461" s="10">
        <v>11.297904078948703</v>
      </c>
      <c r="U461" s="10">
        <v>2.3702647112085331</v>
      </c>
      <c r="V461" s="325">
        <v>52.544806721411966</v>
      </c>
      <c r="W461" s="325">
        <v>70.090319018385927</v>
      </c>
      <c r="X461" s="10">
        <v>6.9410736751918058</v>
      </c>
      <c r="Y461" s="320">
        <v>77.031392693577729</v>
      </c>
    </row>
    <row r="462" spans="1:25" x14ac:dyDescent="0.2">
      <c r="A462" s="7">
        <v>2018</v>
      </c>
      <c r="B462" s="5" t="s">
        <v>466</v>
      </c>
      <c r="C462" s="5" t="s">
        <v>261</v>
      </c>
      <c r="D462" s="5" t="s">
        <v>486</v>
      </c>
      <c r="E462" s="5" t="s">
        <v>287</v>
      </c>
      <c r="F462" s="5" t="s">
        <v>264</v>
      </c>
      <c r="G462" s="5" t="s">
        <v>288</v>
      </c>
      <c r="H462" s="10">
        <v>67.133756662901035</v>
      </c>
      <c r="I462" s="10">
        <v>0</v>
      </c>
      <c r="J462" s="325">
        <v>67.133756662901035</v>
      </c>
      <c r="K462" s="10">
        <v>527.56909832349982</v>
      </c>
      <c r="L462" s="10">
        <v>182.54051846051232</v>
      </c>
      <c r="M462" s="325">
        <v>710.10961678401213</v>
      </c>
      <c r="N462" s="10">
        <v>31.573337216408504</v>
      </c>
      <c r="O462" s="10">
        <v>135.28275164715191</v>
      </c>
      <c r="P462" s="10">
        <v>24.941312244829653</v>
      </c>
      <c r="Q462" s="10">
        <v>12.42743446459049</v>
      </c>
      <c r="R462" s="10">
        <v>92.931509171888138</v>
      </c>
      <c r="S462" s="10">
        <v>79.422832168216431</v>
      </c>
      <c r="T462" s="10">
        <v>56.21284686160341</v>
      </c>
      <c r="U462" s="10">
        <v>18.644826287310615</v>
      </c>
      <c r="V462" s="325">
        <v>451.43685006199911</v>
      </c>
      <c r="W462" s="325">
        <v>1228.6802235089124</v>
      </c>
      <c r="X462" s="10">
        <v>115.72426403478161</v>
      </c>
      <c r="Y462" s="320">
        <v>1344.4044875436939</v>
      </c>
    </row>
    <row r="463" spans="1:25" x14ac:dyDescent="0.2">
      <c r="A463" s="7">
        <v>2018</v>
      </c>
      <c r="B463" s="5" t="s">
        <v>466</v>
      </c>
      <c r="C463" s="5" t="s">
        <v>261</v>
      </c>
      <c r="D463" s="5" t="s">
        <v>484</v>
      </c>
      <c r="E463" s="5" t="s">
        <v>289</v>
      </c>
      <c r="F463" s="5" t="s">
        <v>264</v>
      </c>
      <c r="G463" s="5" t="s">
        <v>290</v>
      </c>
      <c r="H463" s="10">
        <v>3.3749255368360571</v>
      </c>
      <c r="I463" s="10">
        <v>0</v>
      </c>
      <c r="J463" s="325">
        <v>3.3749255368360571</v>
      </c>
      <c r="K463" s="10">
        <v>6.7478114965900451</v>
      </c>
      <c r="L463" s="10">
        <v>21.383312589804419</v>
      </c>
      <c r="M463" s="325">
        <v>28.131124086394465</v>
      </c>
      <c r="N463" s="10">
        <v>11.168669979492</v>
      </c>
      <c r="O463" s="10">
        <v>99.660708826691661</v>
      </c>
      <c r="P463" s="10">
        <v>11.082745835159471</v>
      </c>
      <c r="Q463" s="10">
        <v>4.3869842793042846</v>
      </c>
      <c r="R463" s="10">
        <v>53.07497010468127</v>
      </c>
      <c r="S463" s="10">
        <v>37.424017131904634</v>
      </c>
      <c r="T463" s="10">
        <v>34.085672071253164</v>
      </c>
      <c r="U463" s="10">
        <v>11.280391398031721</v>
      </c>
      <c r="V463" s="325">
        <v>262.1641596265182</v>
      </c>
      <c r="W463" s="325">
        <v>293.67020924974872</v>
      </c>
      <c r="X463" s="10">
        <v>29.178970821773728</v>
      </c>
      <c r="Y463" s="320">
        <v>322.84918007152243</v>
      </c>
    </row>
    <row r="464" spans="1:25" x14ac:dyDescent="0.2">
      <c r="A464" s="7">
        <v>2018</v>
      </c>
      <c r="B464" s="5" t="s">
        <v>466</v>
      </c>
      <c r="C464" s="5" t="s">
        <v>261</v>
      </c>
      <c r="D464" s="5" t="s">
        <v>486</v>
      </c>
      <c r="E464" s="5" t="s">
        <v>291</v>
      </c>
      <c r="F464" s="5" t="s">
        <v>264</v>
      </c>
      <c r="G464" s="5" t="s">
        <v>292</v>
      </c>
      <c r="H464" s="10">
        <v>45.758611051051737</v>
      </c>
      <c r="I464" s="10">
        <v>0</v>
      </c>
      <c r="J464" s="325">
        <v>45.758611051051737</v>
      </c>
      <c r="K464" s="10">
        <v>44.311845376431002</v>
      </c>
      <c r="L464" s="10">
        <v>47.442022178732138</v>
      </c>
      <c r="M464" s="325">
        <v>91.75386755516314</v>
      </c>
      <c r="N464" s="10">
        <v>33.352461625712316</v>
      </c>
      <c r="O464" s="10">
        <v>147.31615170316434</v>
      </c>
      <c r="P464" s="10">
        <v>35.056907854226147</v>
      </c>
      <c r="Q464" s="10">
        <v>40.265463295387747</v>
      </c>
      <c r="R464" s="10">
        <v>119.5055977481796</v>
      </c>
      <c r="S464" s="10">
        <v>71.417572946532744</v>
      </c>
      <c r="T464" s="10">
        <v>83.194042011471979</v>
      </c>
      <c r="U464" s="10">
        <v>26.529973516989141</v>
      </c>
      <c r="V464" s="325">
        <v>556.63817070166397</v>
      </c>
      <c r="W464" s="325">
        <v>694.15064930787889</v>
      </c>
      <c r="X464" s="10">
        <v>68.411972120532013</v>
      </c>
      <c r="Y464" s="320">
        <v>762.56262142841092</v>
      </c>
    </row>
    <row r="465" spans="1:25" x14ac:dyDescent="0.2">
      <c r="A465" s="7">
        <v>2018</v>
      </c>
      <c r="B465" s="5" t="s">
        <v>466</v>
      </c>
      <c r="C465" s="5" t="s">
        <v>261</v>
      </c>
      <c r="D465" s="5" t="s">
        <v>486</v>
      </c>
      <c r="E465" s="5" t="s">
        <v>293</v>
      </c>
      <c r="F465" s="5" t="s">
        <v>264</v>
      </c>
      <c r="G465" s="5" t="s">
        <v>295</v>
      </c>
      <c r="H465" s="10">
        <v>22.074693469821071</v>
      </c>
      <c r="I465" s="10">
        <v>0.50399862147340058</v>
      </c>
      <c r="J465" s="325">
        <v>22.578692091294471</v>
      </c>
      <c r="K465" s="10">
        <v>28.438159663309417</v>
      </c>
      <c r="L465" s="10">
        <v>11.213827470538092</v>
      </c>
      <c r="M465" s="325">
        <v>39.651987133847513</v>
      </c>
      <c r="N465" s="10">
        <v>8.6738970923889855</v>
      </c>
      <c r="O465" s="10">
        <v>48.388380776881803</v>
      </c>
      <c r="P465" s="10">
        <v>9.8949442929365876</v>
      </c>
      <c r="Q465" s="10">
        <v>8.6904241128815016</v>
      </c>
      <c r="R465" s="10">
        <v>25.380519194888659</v>
      </c>
      <c r="S465" s="10">
        <v>20.359037725646481</v>
      </c>
      <c r="T465" s="10">
        <v>25.22395232534425</v>
      </c>
      <c r="U465" s="10">
        <v>7.9951029454070319</v>
      </c>
      <c r="V465" s="325">
        <v>154.60625846637529</v>
      </c>
      <c r="W465" s="325">
        <v>216.83693769151728</v>
      </c>
      <c r="X465" s="10">
        <v>21.350574395030318</v>
      </c>
      <c r="Y465" s="320">
        <v>238.1875120865476</v>
      </c>
    </row>
    <row r="466" spans="1:25" x14ac:dyDescent="0.2">
      <c r="A466" s="7">
        <v>2018</v>
      </c>
      <c r="B466" s="5" t="s">
        <v>466</v>
      </c>
      <c r="C466" s="5" t="s">
        <v>261</v>
      </c>
      <c r="D466" s="5" t="s">
        <v>486</v>
      </c>
      <c r="E466" s="5" t="s">
        <v>296</v>
      </c>
      <c r="F466" s="5" t="s">
        <v>264</v>
      </c>
      <c r="G466" s="5" t="s">
        <v>297</v>
      </c>
      <c r="H466" s="10">
        <v>165.39024504411233</v>
      </c>
      <c r="I466" s="10">
        <v>0</v>
      </c>
      <c r="J466" s="325">
        <v>165.39024504411233</v>
      </c>
      <c r="K466" s="10">
        <v>209.73524571038737</v>
      </c>
      <c r="L466" s="10">
        <v>96.861580100572908</v>
      </c>
      <c r="M466" s="325">
        <v>306.5968258109603</v>
      </c>
      <c r="N466" s="10">
        <v>26.685391429749714</v>
      </c>
      <c r="O466" s="10">
        <v>124.01693596556174</v>
      </c>
      <c r="P466" s="10">
        <v>25.012841743425831</v>
      </c>
      <c r="Q466" s="10">
        <v>22.049238169356048</v>
      </c>
      <c r="R466" s="10">
        <v>81.367670518213615</v>
      </c>
      <c r="S466" s="10">
        <v>73.412047713554742</v>
      </c>
      <c r="T466" s="10">
        <v>94.919553793999142</v>
      </c>
      <c r="U466" s="10">
        <v>21.417017834319477</v>
      </c>
      <c r="V466" s="325">
        <v>468.88069716818029</v>
      </c>
      <c r="W466" s="325">
        <v>940.86776802325289</v>
      </c>
      <c r="X466" s="10">
        <v>91.344939795505738</v>
      </c>
      <c r="Y466" s="320">
        <v>1032.2127078187586</v>
      </c>
    </row>
    <row r="467" spans="1:25" x14ac:dyDescent="0.2">
      <c r="A467" s="7">
        <v>2018</v>
      </c>
      <c r="B467" s="5" t="s">
        <v>466</v>
      </c>
      <c r="C467" s="5" t="s">
        <v>261</v>
      </c>
      <c r="D467" s="5" t="s">
        <v>483</v>
      </c>
      <c r="E467" s="5" t="s">
        <v>298</v>
      </c>
      <c r="F467" s="5" t="s">
        <v>264</v>
      </c>
      <c r="G467" s="5" t="s">
        <v>299</v>
      </c>
      <c r="H467" s="10">
        <v>14.686426594603807</v>
      </c>
      <c r="I467" s="10">
        <v>0</v>
      </c>
      <c r="J467" s="325">
        <v>14.686426594603807</v>
      </c>
      <c r="K467" s="10">
        <v>6.6329408286769755</v>
      </c>
      <c r="L467" s="10">
        <v>5.8968647653780621</v>
      </c>
      <c r="M467" s="325">
        <v>12.529805594055038</v>
      </c>
      <c r="N467" s="10">
        <v>1.5088580844526427</v>
      </c>
      <c r="O467" s="10">
        <v>9.2404584304183466</v>
      </c>
      <c r="P467" s="10">
        <v>3.3163288406596654</v>
      </c>
      <c r="Q467" s="10">
        <v>1.6788613585246104</v>
      </c>
      <c r="R467" s="10">
        <v>9.2623551788417124</v>
      </c>
      <c r="S467" s="10">
        <v>15.837231780738955</v>
      </c>
      <c r="T467" s="10">
        <v>16.853320825158868</v>
      </c>
      <c r="U467" s="10">
        <v>2.2863054400753757</v>
      </c>
      <c r="V467" s="325">
        <v>59.983719938870173</v>
      </c>
      <c r="W467" s="325">
        <v>87.199952127529016</v>
      </c>
      <c r="X467" s="10">
        <v>8.6058177254941164</v>
      </c>
      <c r="Y467" s="320">
        <v>95.805769853023136</v>
      </c>
    </row>
    <row r="468" spans="1:25" x14ac:dyDescent="0.2">
      <c r="A468" s="7">
        <v>2018</v>
      </c>
      <c r="B468" s="5" t="s">
        <v>466</v>
      </c>
      <c r="C468" s="5" t="s">
        <v>261</v>
      </c>
      <c r="D468" s="5" t="s">
        <v>486</v>
      </c>
      <c r="E468" s="5" t="s">
        <v>300</v>
      </c>
      <c r="F468" s="5" t="s">
        <v>264</v>
      </c>
      <c r="G468" s="5" t="s">
        <v>301</v>
      </c>
      <c r="H468" s="10">
        <v>46.804723727808501</v>
      </c>
      <c r="I468" s="10">
        <v>1.0532291246743599</v>
      </c>
      <c r="J468" s="325">
        <v>47.85795285248286</v>
      </c>
      <c r="K468" s="10">
        <v>1323.9498217123435</v>
      </c>
      <c r="L468" s="10">
        <v>436.43367671877451</v>
      </c>
      <c r="M468" s="325">
        <v>1760.3834984311179</v>
      </c>
      <c r="N468" s="10">
        <v>82.489112910646696</v>
      </c>
      <c r="O468" s="10">
        <v>405.71867225324968</v>
      </c>
      <c r="P468" s="10">
        <v>55.675965691908218</v>
      </c>
      <c r="Q468" s="10">
        <v>28.801987513224169</v>
      </c>
      <c r="R468" s="10">
        <v>220.13804811719416</v>
      </c>
      <c r="S468" s="10">
        <v>252.11256294348283</v>
      </c>
      <c r="T468" s="10">
        <v>322.74904409914615</v>
      </c>
      <c r="U468" s="10">
        <v>44.056968883953793</v>
      </c>
      <c r="V468" s="325">
        <v>1411.7423624128055</v>
      </c>
      <c r="W468" s="325">
        <v>3219.9838136964063</v>
      </c>
      <c r="X468" s="10">
        <v>304.35643658102623</v>
      </c>
      <c r="Y468" s="320">
        <v>3524.3402502774325</v>
      </c>
    </row>
    <row r="469" spans="1:25" x14ac:dyDescent="0.2">
      <c r="A469" s="7">
        <v>2018</v>
      </c>
      <c r="B469" s="5" t="s">
        <v>466</v>
      </c>
      <c r="C469" s="5" t="s">
        <v>261</v>
      </c>
      <c r="D469" s="5" t="s">
        <v>484</v>
      </c>
      <c r="E469" s="5" t="s">
        <v>302</v>
      </c>
      <c r="F469" s="5" t="s">
        <v>264</v>
      </c>
      <c r="G469" s="5" t="s">
        <v>303</v>
      </c>
      <c r="H469" s="10">
        <v>12.888584143017964</v>
      </c>
      <c r="I469" s="10">
        <v>0.29673826170689033</v>
      </c>
      <c r="J469" s="325">
        <v>13.185322404724854</v>
      </c>
      <c r="K469" s="10">
        <v>3.968390074728759</v>
      </c>
      <c r="L469" s="10">
        <v>58.926795320198764</v>
      </c>
      <c r="M469" s="325">
        <v>62.895185394927523</v>
      </c>
      <c r="N469" s="10">
        <v>495.54836039961867</v>
      </c>
      <c r="O469" s="10">
        <v>16.698208384678622</v>
      </c>
      <c r="P469" s="10">
        <v>4.0103363523503219</v>
      </c>
      <c r="Q469" s="10">
        <v>1.4023320702089068</v>
      </c>
      <c r="R469" s="10">
        <v>13.108677998164046</v>
      </c>
      <c r="S469" s="10">
        <v>9.1653448195185607</v>
      </c>
      <c r="T469" s="10">
        <v>17.586342580335224</v>
      </c>
      <c r="U469" s="10">
        <v>3.7465127128169655</v>
      </c>
      <c r="V469" s="325">
        <v>561.26611531769129</v>
      </c>
      <c r="W469" s="325">
        <v>637.34662311734371</v>
      </c>
      <c r="X469" s="10">
        <v>65.4296490211986</v>
      </c>
      <c r="Y469" s="320">
        <v>702.77627213854225</v>
      </c>
    </row>
    <row r="470" spans="1:25" x14ac:dyDescent="0.2">
      <c r="A470" s="7">
        <v>2018</v>
      </c>
      <c r="B470" s="5" t="s">
        <v>466</v>
      </c>
      <c r="C470" s="5" t="s">
        <v>261</v>
      </c>
      <c r="D470" s="5" t="s">
        <v>485</v>
      </c>
      <c r="E470" s="5" t="s">
        <v>304</v>
      </c>
      <c r="F470" s="5" t="s">
        <v>264</v>
      </c>
      <c r="G470" s="5" t="s">
        <v>305</v>
      </c>
      <c r="H470" s="10">
        <v>4.5992776372649402</v>
      </c>
      <c r="I470" s="10">
        <v>0</v>
      </c>
      <c r="J470" s="325">
        <v>4.5992776372649402</v>
      </c>
      <c r="K470" s="10">
        <v>4.923556918241262E-2</v>
      </c>
      <c r="L470" s="10">
        <v>5.522014576452472</v>
      </c>
      <c r="M470" s="325">
        <v>5.5712501456348846</v>
      </c>
      <c r="N470" s="10">
        <v>1.4022207917996692</v>
      </c>
      <c r="O470" s="10">
        <v>10.145545581571099</v>
      </c>
      <c r="P470" s="10">
        <v>2.6915340130640204</v>
      </c>
      <c r="Q470" s="10">
        <v>1.1808956772785528</v>
      </c>
      <c r="R470" s="10">
        <v>8.4198855266879118</v>
      </c>
      <c r="S470" s="10">
        <v>6.3894985905548571</v>
      </c>
      <c r="T470" s="10">
        <v>14.365178293139181</v>
      </c>
      <c r="U470" s="10">
        <v>2.0700883112603017</v>
      </c>
      <c r="V470" s="325">
        <v>46.664846785355593</v>
      </c>
      <c r="W470" s="325">
        <v>56.835374568255418</v>
      </c>
      <c r="X470" s="10">
        <v>5.6328579435773527</v>
      </c>
      <c r="Y470" s="320">
        <v>62.468232511832767</v>
      </c>
    </row>
    <row r="471" spans="1:25" x14ac:dyDescent="0.2">
      <c r="A471" s="7">
        <v>2018</v>
      </c>
      <c r="B471" s="5" t="s">
        <v>466</v>
      </c>
      <c r="C471" s="5" t="s">
        <v>261</v>
      </c>
      <c r="D471" s="5" t="s">
        <v>485</v>
      </c>
      <c r="E471" s="5" t="s">
        <v>306</v>
      </c>
      <c r="F471" s="5" t="s">
        <v>264</v>
      </c>
      <c r="G471" s="5" t="s">
        <v>307</v>
      </c>
      <c r="H471" s="10">
        <v>5.7089534251969178</v>
      </c>
      <c r="I471" s="10">
        <v>0.37730854266040104</v>
      </c>
      <c r="J471" s="325">
        <v>6.0862619678573191</v>
      </c>
      <c r="K471" s="10">
        <v>2.7099242622796633</v>
      </c>
      <c r="L471" s="10">
        <v>8.5144281026727402</v>
      </c>
      <c r="M471" s="325">
        <v>11.224352364952404</v>
      </c>
      <c r="N471" s="10">
        <v>3.0928075537421873</v>
      </c>
      <c r="O471" s="10">
        <v>17.477587586265713</v>
      </c>
      <c r="P471" s="10">
        <v>4.1795769055341534</v>
      </c>
      <c r="Q471" s="10">
        <v>2.5283514695983991</v>
      </c>
      <c r="R471" s="10">
        <v>10.129505051442527</v>
      </c>
      <c r="S471" s="10">
        <v>21.501258378598525</v>
      </c>
      <c r="T471" s="10">
        <v>20.667738871189975</v>
      </c>
      <c r="U471" s="10">
        <v>3.150577010411904</v>
      </c>
      <c r="V471" s="325">
        <v>82.727402826783376</v>
      </c>
      <c r="W471" s="325">
        <v>100.03801715959311</v>
      </c>
      <c r="X471" s="10">
        <v>9.8960998757582903</v>
      </c>
      <c r="Y471" s="320">
        <v>109.93411703535141</v>
      </c>
    </row>
    <row r="472" spans="1:25" x14ac:dyDescent="0.2">
      <c r="A472" s="7">
        <v>2018</v>
      </c>
      <c r="B472" s="5" t="s">
        <v>466</v>
      </c>
      <c r="C472" s="5" t="s">
        <v>261</v>
      </c>
      <c r="D472" s="5" t="s">
        <v>484</v>
      </c>
      <c r="E472" s="5" t="s">
        <v>308</v>
      </c>
      <c r="F472" s="5" t="s">
        <v>264</v>
      </c>
      <c r="G472" s="5" t="s">
        <v>309</v>
      </c>
      <c r="H472" s="10">
        <v>10.009030714931191</v>
      </c>
      <c r="I472" s="10">
        <v>0</v>
      </c>
      <c r="J472" s="325">
        <v>10.009030714931191</v>
      </c>
      <c r="K472" s="10">
        <v>3.4678633748293626</v>
      </c>
      <c r="L472" s="10">
        <v>15.221685415467226</v>
      </c>
      <c r="M472" s="325">
        <v>18.689548790296588</v>
      </c>
      <c r="N472" s="10">
        <v>102.86113722134884</v>
      </c>
      <c r="O472" s="10">
        <v>9.8775337156464751</v>
      </c>
      <c r="P472" s="10">
        <v>2.5327603872232749</v>
      </c>
      <c r="Q472" s="10">
        <v>1.1935846827712613</v>
      </c>
      <c r="R472" s="10">
        <v>8.7179637472044291</v>
      </c>
      <c r="S472" s="10">
        <v>6.1449786370924073</v>
      </c>
      <c r="T472" s="10">
        <v>11.927557638149086</v>
      </c>
      <c r="U472" s="10">
        <v>2.3089917180801147</v>
      </c>
      <c r="V472" s="325">
        <v>145.5645077475159</v>
      </c>
      <c r="W472" s="325">
        <v>174.26308725274367</v>
      </c>
      <c r="X472" s="10">
        <v>17.727524718676076</v>
      </c>
      <c r="Y472" s="320">
        <v>191.99061197141975</v>
      </c>
    </row>
    <row r="473" spans="1:25" x14ac:dyDescent="0.2">
      <c r="A473" s="7">
        <v>2018</v>
      </c>
      <c r="B473" s="5" t="s">
        <v>466</v>
      </c>
      <c r="C473" s="5" t="s">
        <v>261</v>
      </c>
      <c r="D473" s="5" t="s">
        <v>486</v>
      </c>
      <c r="E473" s="5" t="s">
        <v>310</v>
      </c>
      <c r="F473" s="5" t="s">
        <v>264</v>
      </c>
      <c r="G473" s="5" t="s">
        <v>311</v>
      </c>
      <c r="H473" s="10">
        <v>75.875899056157436</v>
      </c>
      <c r="I473" s="10">
        <v>0</v>
      </c>
      <c r="J473" s="325">
        <v>75.875899056157436</v>
      </c>
      <c r="K473" s="10">
        <v>4.3641343835811908</v>
      </c>
      <c r="L473" s="10">
        <v>17.024844254039575</v>
      </c>
      <c r="M473" s="325">
        <v>21.388978637620767</v>
      </c>
      <c r="N473" s="10">
        <v>4.6039444156473248</v>
      </c>
      <c r="O473" s="10">
        <v>25.214175300169515</v>
      </c>
      <c r="P473" s="10">
        <v>7.9310020163293631</v>
      </c>
      <c r="Q473" s="10">
        <v>3.2371922300387888</v>
      </c>
      <c r="R473" s="10">
        <v>27.903448333952824</v>
      </c>
      <c r="S473" s="10">
        <v>17.593432724051901</v>
      </c>
      <c r="T473" s="10">
        <v>32.168282118608559</v>
      </c>
      <c r="U473" s="10">
        <v>6.6681127719180138</v>
      </c>
      <c r="V473" s="325">
        <v>125.3195899107163</v>
      </c>
      <c r="W473" s="325">
        <v>222.58446760449451</v>
      </c>
      <c r="X473" s="10">
        <v>22.19969627266665</v>
      </c>
      <c r="Y473" s="320">
        <v>244.78416387716115</v>
      </c>
    </row>
    <row r="474" spans="1:25" x14ac:dyDescent="0.2">
      <c r="A474" s="7">
        <v>2018</v>
      </c>
      <c r="B474" s="5" t="s">
        <v>466</v>
      </c>
      <c r="C474" s="5" t="s">
        <v>261</v>
      </c>
      <c r="D474" s="5" t="s">
        <v>483</v>
      </c>
      <c r="E474" s="5" t="s">
        <v>312</v>
      </c>
      <c r="F474" s="5" t="s">
        <v>264</v>
      </c>
      <c r="G474" s="5" t="s">
        <v>313</v>
      </c>
      <c r="H474" s="10">
        <v>138.1409837894754</v>
      </c>
      <c r="I474" s="10">
        <v>6.4288903495446172</v>
      </c>
      <c r="J474" s="325">
        <v>144.56987413902002</v>
      </c>
      <c r="K474" s="10">
        <v>269.50645157785476</v>
      </c>
      <c r="L474" s="10">
        <v>36.406299238722383</v>
      </c>
      <c r="M474" s="325">
        <v>305.91275081657716</v>
      </c>
      <c r="N474" s="10">
        <v>32.860374974920276</v>
      </c>
      <c r="O474" s="10">
        <v>52.176860202221718</v>
      </c>
      <c r="P474" s="10">
        <v>12.83697846662302</v>
      </c>
      <c r="Q474" s="10">
        <v>8.6340005373895838</v>
      </c>
      <c r="R474" s="10">
        <v>37.125228792577197</v>
      </c>
      <c r="S474" s="10">
        <v>49.435261566267819</v>
      </c>
      <c r="T474" s="10">
        <v>57.955949777313627</v>
      </c>
      <c r="U474" s="10">
        <v>9.5687862494654006</v>
      </c>
      <c r="V474" s="325">
        <v>260.59344056677867</v>
      </c>
      <c r="W474" s="325">
        <v>711.07606552237587</v>
      </c>
      <c r="X474" s="10">
        <v>68.451301244894125</v>
      </c>
      <c r="Y474" s="320">
        <v>779.52736676727</v>
      </c>
    </row>
    <row r="475" spans="1:25" x14ac:dyDescent="0.2">
      <c r="A475" s="7">
        <v>2018</v>
      </c>
      <c r="B475" s="5" t="s">
        <v>466</v>
      </c>
      <c r="C475" s="5" t="s">
        <v>314</v>
      </c>
      <c r="D475" s="5" t="s">
        <v>487</v>
      </c>
      <c r="E475" s="5" t="s">
        <v>316</v>
      </c>
      <c r="F475" s="5" t="s">
        <v>317</v>
      </c>
      <c r="G475" s="5" t="s">
        <v>318</v>
      </c>
      <c r="H475" s="10">
        <v>46.153366589845312</v>
      </c>
      <c r="I475" s="10">
        <v>1.6259100839581804</v>
      </c>
      <c r="J475" s="325">
        <v>47.779276673803494</v>
      </c>
      <c r="K475" s="10">
        <v>135.83896168201704</v>
      </c>
      <c r="L475" s="10">
        <v>48.80087020820757</v>
      </c>
      <c r="M475" s="325">
        <v>184.63983189022463</v>
      </c>
      <c r="N475" s="10">
        <v>18.706063575108821</v>
      </c>
      <c r="O475" s="10">
        <v>48.540764213374047</v>
      </c>
      <c r="P475" s="10">
        <v>11.444777892662543</v>
      </c>
      <c r="Q475" s="10">
        <v>7.2796379429475424</v>
      </c>
      <c r="R475" s="10">
        <v>27.832723248259768</v>
      </c>
      <c r="S475" s="10">
        <v>36.238072756460561</v>
      </c>
      <c r="T475" s="10">
        <v>47.738960891185535</v>
      </c>
      <c r="U475" s="10">
        <v>11.500893629154335</v>
      </c>
      <c r="V475" s="325">
        <v>209.28189414915317</v>
      </c>
      <c r="W475" s="325">
        <v>441.70100271318131</v>
      </c>
      <c r="X475" s="10">
        <v>42.42769661005368</v>
      </c>
      <c r="Y475" s="320">
        <v>484.12869932323497</v>
      </c>
    </row>
    <row r="476" spans="1:25" x14ac:dyDescent="0.2">
      <c r="A476" s="7">
        <v>2018</v>
      </c>
      <c r="B476" s="5" t="s">
        <v>466</v>
      </c>
      <c r="C476" s="5" t="s">
        <v>314</v>
      </c>
      <c r="D476" s="5" t="s">
        <v>488</v>
      </c>
      <c r="E476" s="5" t="s">
        <v>319</v>
      </c>
      <c r="F476" s="5" t="s">
        <v>317</v>
      </c>
      <c r="G476" s="5" t="s">
        <v>321</v>
      </c>
      <c r="H476" s="10">
        <v>112.2998821416052</v>
      </c>
      <c r="I476" s="10">
        <v>0</v>
      </c>
      <c r="J476" s="325">
        <v>112.2998821416052</v>
      </c>
      <c r="K476" s="10">
        <v>93.190857291673794</v>
      </c>
      <c r="L476" s="10">
        <v>107.38383675428705</v>
      </c>
      <c r="M476" s="325">
        <v>200.57469404596083</v>
      </c>
      <c r="N476" s="10">
        <v>10.82982236888434</v>
      </c>
      <c r="O476" s="10">
        <v>87.973564778985292</v>
      </c>
      <c r="P476" s="10">
        <v>17.16962583945994</v>
      </c>
      <c r="Q476" s="10">
        <v>20.362199709513362</v>
      </c>
      <c r="R476" s="10">
        <v>29.826459691969724</v>
      </c>
      <c r="S476" s="10">
        <v>47.410705979504506</v>
      </c>
      <c r="T476" s="10">
        <v>66.159763880127684</v>
      </c>
      <c r="U476" s="10">
        <v>11.564269821355904</v>
      </c>
      <c r="V476" s="325">
        <v>291.29641206980068</v>
      </c>
      <c r="W476" s="325">
        <v>604.17098825736673</v>
      </c>
      <c r="X476" s="10">
        <v>58.64926035269616</v>
      </c>
      <c r="Y476" s="320">
        <v>662.82024861006289</v>
      </c>
    </row>
    <row r="477" spans="1:25" x14ac:dyDescent="0.2">
      <c r="A477" s="7">
        <v>2018</v>
      </c>
      <c r="B477" s="5" t="s">
        <v>466</v>
      </c>
      <c r="C477" s="5" t="s">
        <v>314</v>
      </c>
      <c r="D477" s="5" t="s">
        <v>487</v>
      </c>
      <c r="E477" s="5" t="s">
        <v>322</v>
      </c>
      <c r="F477" s="5" t="s">
        <v>317</v>
      </c>
      <c r="G477" s="5" t="s">
        <v>323</v>
      </c>
      <c r="H477" s="10">
        <v>25.854741909582561</v>
      </c>
      <c r="I477" s="10">
        <v>0.90257860304475834</v>
      </c>
      <c r="J477" s="325">
        <v>26.75732051262732</v>
      </c>
      <c r="K477" s="10">
        <v>4.768657612579859</v>
      </c>
      <c r="L477" s="10">
        <v>2.2197626625112643</v>
      </c>
      <c r="M477" s="325">
        <v>6.9884202750911228</v>
      </c>
      <c r="N477" s="10">
        <v>2.6965051099746149</v>
      </c>
      <c r="O477" s="10">
        <v>10.088899421600729</v>
      </c>
      <c r="P477" s="10">
        <v>2.1975313970192656</v>
      </c>
      <c r="Q477" s="10">
        <v>0.9744027858650427</v>
      </c>
      <c r="R477" s="10">
        <v>4.7974650702126702</v>
      </c>
      <c r="S477" s="10">
        <v>5.4957438007128268</v>
      </c>
      <c r="T477" s="10">
        <v>8.5476845169412226</v>
      </c>
      <c r="U477" s="10">
        <v>2.1565552848321987</v>
      </c>
      <c r="V477" s="325">
        <v>36.954787387158568</v>
      </c>
      <c r="W477" s="325">
        <v>70.700528174877007</v>
      </c>
      <c r="X477" s="10">
        <v>7.0859782852295341</v>
      </c>
      <c r="Y477" s="320">
        <v>77.786506460106537</v>
      </c>
    </row>
    <row r="478" spans="1:25" x14ac:dyDescent="0.2">
      <c r="A478" s="7">
        <v>2018</v>
      </c>
      <c r="B478" s="5" t="s">
        <v>466</v>
      </c>
      <c r="C478" s="5" t="s">
        <v>314</v>
      </c>
      <c r="D478" s="5" t="s">
        <v>488</v>
      </c>
      <c r="E478" s="5" t="s">
        <v>324</v>
      </c>
      <c r="F478" s="5" t="s">
        <v>317</v>
      </c>
      <c r="G478" s="5" t="s">
        <v>325</v>
      </c>
      <c r="H478" s="10">
        <v>50.541207198112424</v>
      </c>
      <c r="I478" s="10">
        <v>0</v>
      </c>
      <c r="J478" s="325">
        <v>50.541207198112424</v>
      </c>
      <c r="K478" s="10">
        <v>8.7173043678141102</v>
      </c>
      <c r="L478" s="10">
        <v>3.9509180618102957</v>
      </c>
      <c r="M478" s="325">
        <v>12.668222429624405</v>
      </c>
      <c r="N478" s="10">
        <v>2.4426016001251392</v>
      </c>
      <c r="O478" s="10">
        <v>14.548341839897301</v>
      </c>
      <c r="P478" s="10">
        <v>4.2212728324546065</v>
      </c>
      <c r="Q478" s="10">
        <v>2.0507616486656906</v>
      </c>
      <c r="R478" s="10">
        <v>7.42178858616382</v>
      </c>
      <c r="S478" s="10">
        <v>10.694993380698977</v>
      </c>
      <c r="T478" s="10">
        <v>20.033682846991987</v>
      </c>
      <c r="U478" s="10">
        <v>3.1359537865761382</v>
      </c>
      <c r="V478" s="325">
        <v>64.549396521573669</v>
      </c>
      <c r="W478" s="325">
        <v>127.75882614931049</v>
      </c>
      <c r="X478" s="10">
        <v>12.791397748476824</v>
      </c>
      <c r="Y478" s="320">
        <v>140.5502238977873</v>
      </c>
    </row>
    <row r="479" spans="1:25" x14ac:dyDescent="0.2">
      <c r="A479" s="7">
        <v>2018</v>
      </c>
      <c r="B479" s="5" t="s">
        <v>466</v>
      </c>
      <c r="C479" s="5" t="s">
        <v>314</v>
      </c>
      <c r="D479" s="5" t="s">
        <v>489</v>
      </c>
      <c r="E479" s="5" t="s">
        <v>326</v>
      </c>
      <c r="F479" s="5" t="s">
        <v>317</v>
      </c>
      <c r="G479" s="5" t="s">
        <v>327</v>
      </c>
      <c r="H479" s="10">
        <v>80.750099643094572</v>
      </c>
      <c r="I479" s="10">
        <v>0</v>
      </c>
      <c r="J479" s="325">
        <v>80.750099643094572</v>
      </c>
      <c r="K479" s="10">
        <v>7.4298873890479928</v>
      </c>
      <c r="L479" s="10">
        <v>11.248224594115012</v>
      </c>
      <c r="M479" s="325">
        <v>18.678111983163006</v>
      </c>
      <c r="N479" s="10">
        <v>3.6634348198367741</v>
      </c>
      <c r="O479" s="10">
        <v>18.736486438667601</v>
      </c>
      <c r="P479" s="10">
        <v>6.1981586730881144</v>
      </c>
      <c r="Q479" s="10">
        <v>3.355478683893605</v>
      </c>
      <c r="R479" s="10">
        <v>11.645348930853196</v>
      </c>
      <c r="S479" s="10">
        <v>14.734745725812493</v>
      </c>
      <c r="T479" s="10">
        <v>30.742571110357705</v>
      </c>
      <c r="U479" s="10">
        <v>4.5022884295319114</v>
      </c>
      <c r="V479" s="325">
        <v>93.57851281204141</v>
      </c>
      <c r="W479" s="325">
        <v>193.00672443829899</v>
      </c>
      <c r="X479" s="10">
        <v>19.326768589689589</v>
      </c>
      <c r="Y479" s="320">
        <v>212.33349302798857</v>
      </c>
    </row>
    <row r="480" spans="1:25" x14ac:dyDescent="0.2">
      <c r="A480" s="7">
        <v>2018</v>
      </c>
      <c r="B480" s="5" t="s">
        <v>466</v>
      </c>
      <c r="C480" s="5" t="s">
        <v>314</v>
      </c>
      <c r="D480" s="5" t="s">
        <v>490</v>
      </c>
      <c r="E480" s="5" t="s">
        <v>328</v>
      </c>
      <c r="F480" s="5" t="s">
        <v>317</v>
      </c>
      <c r="G480" s="5" t="s">
        <v>330</v>
      </c>
      <c r="H480" s="10">
        <v>12.570756315656718</v>
      </c>
      <c r="I480" s="10">
        <v>0</v>
      </c>
      <c r="J480" s="325">
        <v>12.570756315656718</v>
      </c>
      <c r="K480" s="10">
        <v>2.2741598679986752</v>
      </c>
      <c r="L480" s="10">
        <v>3.4633257294298421</v>
      </c>
      <c r="M480" s="325">
        <v>5.7374855974285168</v>
      </c>
      <c r="N480" s="10">
        <v>1.4779724791882958</v>
      </c>
      <c r="O480" s="10">
        <v>7.9959167443387464</v>
      </c>
      <c r="P480" s="10">
        <v>2.271683401242631</v>
      </c>
      <c r="Q480" s="10">
        <v>1.4705136292672267</v>
      </c>
      <c r="R480" s="10">
        <v>4.0853415860862308</v>
      </c>
      <c r="S480" s="10">
        <v>6.5501755765116352</v>
      </c>
      <c r="T480" s="10">
        <v>12.319883940657922</v>
      </c>
      <c r="U480" s="10">
        <v>1.7098022695703963</v>
      </c>
      <c r="V480" s="325">
        <v>37.881289626863087</v>
      </c>
      <c r="W480" s="325">
        <v>56.18953153994832</v>
      </c>
      <c r="X480" s="10">
        <v>5.5956957505990035</v>
      </c>
      <c r="Y480" s="320">
        <v>61.785227290547326</v>
      </c>
    </row>
    <row r="481" spans="1:25" x14ac:dyDescent="0.2">
      <c r="A481" s="7">
        <v>2018</v>
      </c>
      <c r="B481" s="5" t="s">
        <v>466</v>
      </c>
      <c r="C481" s="5" t="s">
        <v>314</v>
      </c>
      <c r="D481" s="5" t="s">
        <v>488</v>
      </c>
      <c r="E481" s="5" t="s">
        <v>331</v>
      </c>
      <c r="F481" s="5" t="s">
        <v>317</v>
      </c>
      <c r="G481" s="5" t="s">
        <v>332</v>
      </c>
      <c r="H481" s="10">
        <v>77.105463146982373</v>
      </c>
      <c r="I481" s="10">
        <v>0</v>
      </c>
      <c r="J481" s="325">
        <v>77.105463146982373</v>
      </c>
      <c r="K481" s="10">
        <v>8.6419684794799476</v>
      </c>
      <c r="L481" s="10">
        <v>19.161800550270584</v>
      </c>
      <c r="M481" s="325">
        <v>27.803769029750534</v>
      </c>
      <c r="N481" s="10">
        <v>7.5839907090195231</v>
      </c>
      <c r="O481" s="10">
        <v>52.34656431860536</v>
      </c>
      <c r="P481" s="10">
        <v>10.368439462626041</v>
      </c>
      <c r="Q481" s="10">
        <v>5.0590369625886158</v>
      </c>
      <c r="R481" s="10">
        <v>23.18360777677924</v>
      </c>
      <c r="S481" s="10">
        <v>25.392585645540699</v>
      </c>
      <c r="T481" s="10">
        <v>52.704906486996784</v>
      </c>
      <c r="U481" s="10">
        <v>8.1289222144478561</v>
      </c>
      <c r="V481" s="325">
        <v>184.76805357660413</v>
      </c>
      <c r="W481" s="325">
        <v>289.67728575333706</v>
      </c>
      <c r="X481" s="10">
        <v>28.951390954136112</v>
      </c>
      <c r="Y481" s="320">
        <v>318.62867670747318</v>
      </c>
    </row>
    <row r="482" spans="1:25" x14ac:dyDescent="0.2">
      <c r="A482" s="7">
        <v>2018</v>
      </c>
      <c r="B482" s="5" t="s">
        <v>466</v>
      </c>
      <c r="C482" s="5" t="s">
        <v>314</v>
      </c>
      <c r="D482" s="5" t="s">
        <v>489</v>
      </c>
      <c r="E482" s="5" t="s">
        <v>333</v>
      </c>
      <c r="F482" s="5" t="s">
        <v>317</v>
      </c>
      <c r="G482" s="5" t="s">
        <v>334</v>
      </c>
      <c r="H482" s="10">
        <v>92.975239143044206</v>
      </c>
      <c r="I482" s="10">
        <v>0</v>
      </c>
      <c r="J482" s="325">
        <v>92.975239143044206</v>
      </c>
      <c r="K482" s="10">
        <v>9.1769613309829818</v>
      </c>
      <c r="L482" s="10">
        <v>15.755696277139345</v>
      </c>
      <c r="M482" s="325">
        <v>24.932657608122327</v>
      </c>
      <c r="N482" s="10">
        <v>8.037782818551177</v>
      </c>
      <c r="O482" s="10">
        <v>30.855959518688135</v>
      </c>
      <c r="P482" s="10">
        <v>9.6618788071469286</v>
      </c>
      <c r="Q482" s="10">
        <v>5.2719737117501335</v>
      </c>
      <c r="R482" s="10">
        <v>15.719728528212078</v>
      </c>
      <c r="S482" s="10">
        <v>19.928840784842158</v>
      </c>
      <c r="T482" s="10">
        <v>34.106589993227644</v>
      </c>
      <c r="U482" s="10">
        <v>6.5495108565052549</v>
      </c>
      <c r="V482" s="325">
        <v>130.1322650189235</v>
      </c>
      <c r="W482" s="325">
        <v>248.04016177009004</v>
      </c>
      <c r="X482" s="10">
        <v>24.81734535889851</v>
      </c>
      <c r="Y482" s="320">
        <v>272.85750712898857</v>
      </c>
    </row>
    <row r="483" spans="1:25" x14ac:dyDescent="0.2">
      <c r="A483" s="7">
        <v>2018</v>
      </c>
      <c r="B483" s="5" t="s">
        <v>466</v>
      </c>
      <c r="C483" s="5" t="s">
        <v>314</v>
      </c>
      <c r="D483" s="5" t="s">
        <v>487</v>
      </c>
      <c r="E483" s="5" t="s">
        <v>335</v>
      </c>
      <c r="F483" s="5" t="s">
        <v>317</v>
      </c>
      <c r="G483" s="5" t="s">
        <v>336</v>
      </c>
      <c r="H483" s="10">
        <v>110.90862872988947</v>
      </c>
      <c r="I483" s="10">
        <v>0</v>
      </c>
      <c r="J483" s="325">
        <v>110.90862872988947</v>
      </c>
      <c r="K483" s="10">
        <v>10.797681264057404</v>
      </c>
      <c r="L483" s="10">
        <v>20.864989034595951</v>
      </c>
      <c r="M483" s="325">
        <v>31.662670298653353</v>
      </c>
      <c r="N483" s="10">
        <v>7.3190258677774054</v>
      </c>
      <c r="O483" s="10">
        <v>39.34365673220654</v>
      </c>
      <c r="P483" s="10">
        <v>10.500260805240552</v>
      </c>
      <c r="Q483" s="10">
        <v>5.6479389095060668</v>
      </c>
      <c r="R483" s="10">
        <v>21.417040903386638</v>
      </c>
      <c r="S483" s="10">
        <v>26.054532263572721</v>
      </c>
      <c r="T483" s="10">
        <v>40.207840774613629</v>
      </c>
      <c r="U483" s="10">
        <v>9.4301678764910406</v>
      </c>
      <c r="V483" s="325">
        <v>159.92046413279462</v>
      </c>
      <c r="W483" s="325">
        <v>302.49176316133742</v>
      </c>
      <c r="X483" s="10">
        <v>30.226654007517006</v>
      </c>
      <c r="Y483" s="320">
        <v>332.71841716885444</v>
      </c>
    </row>
    <row r="484" spans="1:25" x14ac:dyDescent="0.2">
      <c r="A484" s="7">
        <v>2018</v>
      </c>
      <c r="B484" s="5" t="s">
        <v>466</v>
      </c>
      <c r="C484" s="5" t="s">
        <v>314</v>
      </c>
      <c r="D484" s="5" t="s">
        <v>488</v>
      </c>
      <c r="E484" s="5" t="s">
        <v>337</v>
      </c>
      <c r="F484" s="5" t="s">
        <v>317</v>
      </c>
      <c r="G484" s="5" t="s">
        <v>338</v>
      </c>
      <c r="H484" s="10">
        <v>13.7337676822766</v>
      </c>
      <c r="I484" s="10">
        <v>0</v>
      </c>
      <c r="J484" s="325">
        <v>13.7337676822766</v>
      </c>
      <c r="K484" s="10">
        <v>2.4901144635567025</v>
      </c>
      <c r="L484" s="10">
        <v>3.3232111314186663</v>
      </c>
      <c r="M484" s="325">
        <v>5.8133255949753693</v>
      </c>
      <c r="N484" s="10">
        <v>1.9898298629488778</v>
      </c>
      <c r="O484" s="10">
        <v>9.9280240118645704</v>
      </c>
      <c r="P484" s="10">
        <v>2.0874168355388387</v>
      </c>
      <c r="Q484" s="10">
        <v>1.0212722957961606</v>
      </c>
      <c r="R484" s="10">
        <v>5.3611026893739391</v>
      </c>
      <c r="S484" s="10">
        <v>5.3620322527338047</v>
      </c>
      <c r="T484" s="10">
        <v>9.4632402782741565</v>
      </c>
      <c r="U484" s="10">
        <v>1.5839768243753671</v>
      </c>
      <c r="V484" s="325">
        <v>36.796895050905718</v>
      </c>
      <c r="W484" s="325">
        <v>56.343988328157685</v>
      </c>
      <c r="X484" s="10">
        <v>5.6212690065555027</v>
      </c>
      <c r="Y484" s="320">
        <v>61.965257334713186</v>
      </c>
    </row>
    <row r="485" spans="1:25" x14ac:dyDescent="0.2">
      <c r="A485" s="7">
        <v>2018</v>
      </c>
      <c r="B485" s="5" t="s">
        <v>466</v>
      </c>
      <c r="C485" s="5" t="s">
        <v>314</v>
      </c>
      <c r="D485" s="5" t="s">
        <v>488</v>
      </c>
      <c r="E485" s="5" t="s">
        <v>339</v>
      </c>
      <c r="F485" s="5" t="s">
        <v>317</v>
      </c>
      <c r="G485" s="5" t="s">
        <v>340</v>
      </c>
      <c r="H485" s="10">
        <v>44.815943194196279</v>
      </c>
      <c r="I485" s="10">
        <v>0</v>
      </c>
      <c r="J485" s="325">
        <v>44.815943194196279</v>
      </c>
      <c r="K485" s="10">
        <v>10.453995757877259</v>
      </c>
      <c r="L485" s="10">
        <v>6.7187639880600241</v>
      </c>
      <c r="M485" s="325">
        <v>17.172759745937284</v>
      </c>
      <c r="N485" s="10">
        <v>4.3258249920739704</v>
      </c>
      <c r="O485" s="10">
        <v>30.18953931453915</v>
      </c>
      <c r="P485" s="10">
        <v>6.1529963189343686</v>
      </c>
      <c r="Q485" s="10">
        <v>4.7221945827888376</v>
      </c>
      <c r="R485" s="10">
        <v>16.766180529130189</v>
      </c>
      <c r="S485" s="10">
        <v>14.304331356982082</v>
      </c>
      <c r="T485" s="10">
        <v>23.095243550130029</v>
      </c>
      <c r="U485" s="10">
        <v>4.6141944403358002</v>
      </c>
      <c r="V485" s="325">
        <v>104.17050508491441</v>
      </c>
      <c r="W485" s="325">
        <v>166.15920802504797</v>
      </c>
      <c r="X485" s="10">
        <v>16.571653991429137</v>
      </c>
      <c r="Y485" s="320">
        <v>182.73086201647712</v>
      </c>
    </row>
    <row r="486" spans="1:25" x14ac:dyDescent="0.2">
      <c r="A486" s="7">
        <v>2018</v>
      </c>
      <c r="B486" s="5" t="s">
        <v>466</v>
      </c>
      <c r="C486" s="5" t="s">
        <v>314</v>
      </c>
      <c r="D486" s="5" t="s">
        <v>490</v>
      </c>
      <c r="E486" s="5" t="s">
        <v>341</v>
      </c>
      <c r="F486" s="5" t="s">
        <v>317</v>
      </c>
      <c r="G486" s="5" t="s">
        <v>342</v>
      </c>
      <c r="H486" s="10">
        <v>53.43970743748811</v>
      </c>
      <c r="I486" s="10">
        <v>0</v>
      </c>
      <c r="J486" s="325">
        <v>53.43970743748811</v>
      </c>
      <c r="K486" s="10">
        <v>4.0257027054695342</v>
      </c>
      <c r="L486" s="10">
        <v>13.242124802645238</v>
      </c>
      <c r="M486" s="325">
        <v>17.26782750811477</v>
      </c>
      <c r="N486" s="10">
        <v>17.506606073831851</v>
      </c>
      <c r="O486" s="10">
        <v>20.712000945295266</v>
      </c>
      <c r="P486" s="10">
        <v>4.672915685454786</v>
      </c>
      <c r="Q486" s="10">
        <v>2.933258610415304</v>
      </c>
      <c r="R486" s="10">
        <v>11.019653286745347</v>
      </c>
      <c r="S486" s="10">
        <v>14.146195267416797</v>
      </c>
      <c r="T486" s="10">
        <v>24.412517812856777</v>
      </c>
      <c r="U486" s="10">
        <v>4.6361481470618484</v>
      </c>
      <c r="V486" s="325">
        <v>100.03929582907797</v>
      </c>
      <c r="W486" s="325">
        <v>170.74683077468086</v>
      </c>
      <c r="X486" s="10">
        <v>17.111355263716323</v>
      </c>
      <c r="Y486" s="320">
        <v>187.85818603839718</v>
      </c>
    </row>
    <row r="487" spans="1:25" x14ac:dyDescent="0.2">
      <c r="A487" s="7">
        <v>2018</v>
      </c>
      <c r="B487" s="5" t="s">
        <v>466</v>
      </c>
      <c r="C487" s="5" t="s">
        <v>314</v>
      </c>
      <c r="D487" s="5" t="s">
        <v>490</v>
      </c>
      <c r="E487" s="5" t="s">
        <v>343</v>
      </c>
      <c r="F487" s="5" t="s">
        <v>317</v>
      </c>
      <c r="G487" s="5" t="s">
        <v>344</v>
      </c>
      <c r="H487" s="10">
        <v>6.0481950325473797</v>
      </c>
      <c r="I487" s="10">
        <v>6.8713394588872276</v>
      </c>
      <c r="J487" s="325">
        <v>12.919534491434607</v>
      </c>
      <c r="K487" s="10">
        <v>21.30717261717729</v>
      </c>
      <c r="L487" s="10">
        <v>48.971989614875248</v>
      </c>
      <c r="M487" s="325">
        <v>70.279162232052542</v>
      </c>
      <c r="N487" s="10">
        <v>5.6556467302077742</v>
      </c>
      <c r="O487" s="10">
        <v>41.335594235878553</v>
      </c>
      <c r="P487" s="10">
        <v>3.3717825198990341</v>
      </c>
      <c r="Q487" s="10">
        <v>1.8749652422517455</v>
      </c>
      <c r="R487" s="10">
        <v>7.5252561786682053</v>
      </c>
      <c r="S487" s="10">
        <v>12.872961462426293</v>
      </c>
      <c r="T487" s="10">
        <v>15.295897760752803</v>
      </c>
      <c r="U487" s="10">
        <v>2.9477476129799873</v>
      </c>
      <c r="V487" s="325">
        <v>90.879851743064393</v>
      </c>
      <c r="W487" s="325">
        <v>174.07854846655152</v>
      </c>
      <c r="X487" s="10">
        <v>16.812507675503614</v>
      </c>
      <c r="Y487" s="320">
        <v>190.89105614205513</v>
      </c>
    </row>
    <row r="488" spans="1:25" x14ac:dyDescent="0.2">
      <c r="A488" s="7">
        <v>2018</v>
      </c>
      <c r="B488" s="5" t="s">
        <v>466</v>
      </c>
      <c r="C488" s="5" t="s">
        <v>314</v>
      </c>
      <c r="D488" s="5" t="s">
        <v>490</v>
      </c>
      <c r="E488" s="5" t="s">
        <v>345</v>
      </c>
      <c r="F488" s="5" t="s">
        <v>317</v>
      </c>
      <c r="G488" s="5" t="s">
        <v>346</v>
      </c>
      <c r="H488" s="10">
        <v>13.1743653628528</v>
      </c>
      <c r="I488" s="10">
        <v>0</v>
      </c>
      <c r="J488" s="325">
        <v>13.1743653628528</v>
      </c>
      <c r="K488" s="10">
        <v>8.1371972062690077</v>
      </c>
      <c r="L488" s="10">
        <v>24.808041685655713</v>
      </c>
      <c r="M488" s="325">
        <v>32.945238891924717</v>
      </c>
      <c r="N488" s="10">
        <v>1.2924440969411874</v>
      </c>
      <c r="O488" s="10">
        <v>7.3464867039270452</v>
      </c>
      <c r="P488" s="10">
        <v>2.6683386903350326</v>
      </c>
      <c r="Q488" s="10">
        <v>1.2474158388197667</v>
      </c>
      <c r="R488" s="10">
        <v>6.2681674777308096</v>
      </c>
      <c r="S488" s="10">
        <v>7.3272740041552682</v>
      </c>
      <c r="T488" s="10">
        <v>14.034376833864304</v>
      </c>
      <c r="U488" s="10">
        <v>2.0680228283913187</v>
      </c>
      <c r="V488" s="325">
        <v>42.252526474164732</v>
      </c>
      <c r="W488" s="325">
        <v>88.372130728942238</v>
      </c>
      <c r="X488" s="10">
        <v>8.5119568969741337</v>
      </c>
      <c r="Y488" s="320">
        <v>96.884087625916379</v>
      </c>
    </row>
    <row r="489" spans="1:25" x14ac:dyDescent="0.2">
      <c r="A489" s="7">
        <v>2018</v>
      </c>
      <c r="B489" s="5" t="s">
        <v>466</v>
      </c>
      <c r="C489" s="5" t="s">
        <v>314</v>
      </c>
      <c r="D489" s="5" t="s">
        <v>490</v>
      </c>
      <c r="E489" s="5" t="s">
        <v>347</v>
      </c>
      <c r="F489" s="5" t="s">
        <v>317</v>
      </c>
      <c r="G489" s="5" t="s">
        <v>348</v>
      </c>
      <c r="H489" s="10">
        <v>0.95929175018712598</v>
      </c>
      <c r="I489" s="10">
        <v>0</v>
      </c>
      <c r="J489" s="325">
        <v>0.95929175018712598</v>
      </c>
      <c r="K489" s="10">
        <v>1.3006184279804236</v>
      </c>
      <c r="L489" s="10">
        <v>6.3613738428875211</v>
      </c>
      <c r="M489" s="325">
        <v>7.6619922708679447</v>
      </c>
      <c r="N489" s="10">
        <v>1.9969274329874214</v>
      </c>
      <c r="O489" s="10">
        <v>7.5565578003608591</v>
      </c>
      <c r="P489" s="10">
        <v>3.8589121122273542</v>
      </c>
      <c r="Q489" s="10">
        <v>1.7892463559683007</v>
      </c>
      <c r="R489" s="10">
        <v>5.9826158025098888</v>
      </c>
      <c r="S489" s="10">
        <v>8.635701464353355</v>
      </c>
      <c r="T489" s="10">
        <v>21.405419745049876</v>
      </c>
      <c r="U489" s="10">
        <v>2.7791418448409213</v>
      </c>
      <c r="V489" s="325">
        <v>54.004522558297978</v>
      </c>
      <c r="W489" s="325">
        <v>62.625806579353046</v>
      </c>
      <c r="X489" s="10">
        <v>6.1766088998210904</v>
      </c>
      <c r="Y489" s="320">
        <v>68.80241547917413</v>
      </c>
    </row>
    <row r="490" spans="1:25" x14ac:dyDescent="0.2">
      <c r="A490" s="7">
        <v>2018</v>
      </c>
      <c r="B490" s="5" t="s">
        <v>466</v>
      </c>
      <c r="C490" s="5" t="s">
        <v>314</v>
      </c>
      <c r="D490" s="5" t="s">
        <v>489</v>
      </c>
      <c r="E490" s="5" t="s">
        <v>349</v>
      </c>
      <c r="F490" s="5" t="s">
        <v>317</v>
      </c>
      <c r="G490" s="5" t="s">
        <v>350</v>
      </c>
      <c r="H490" s="10">
        <v>69.005488419843772</v>
      </c>
      <c r="I490" s="10">
        <v>0</v>
      </c>
      <c r="J490" s="325">
        <v>69.005488419843772</v>
      </c>
      <c r="K490" s="10">
        <v>5.8913435627222395</v>
      </c>
      <c r="L490" s="10">
        <v>13.617304467178366</v>
      </c>
      <c r="M490" s="325">
        <v>19.508648029900606</v>
      </c>
      <c r="N490" s="10">
        <v>15.350701299781749</v>
      </c>
      <c r="O490" s="10">
        <v>27.659121970481181</v>
      </c>
      <c r="P490" s="10">
        <v>6.0200897033101066</v>
      </c>
      <c r="Q490" s="10">
        <v>3.5255853502477752</v>
      </c>
      <c r="R490" s="10">
        <v>9.8405364732830645</v>
      </c>
      <c r="S490" s="10">
        <v>15.876635215262857</v>
      </c>
      <c r="T490" s="10">
        <v>27.801852808265089</v>
      </c>
      <c r="U490" s="10">
        <v>5.1648014263058766</v>
      </c>
      <c r="V490" s="325">
        <v>111.23932424693768</v>
      </c>
      <c r="W490" s="325">
        <v>199.75346069668205</v>
      </c>
      <c r="X490" s="10">
        <v>20.042162802350017</v>
      </c>
      <c r="Y490" s="320">
        <v>219.79562349903208</v>
      </c>
    </row>
    <row r="491" spans="1:25" x14ac:dyDescent="0.2">
      <c r="A491" s="7">
        <v>2018</v>
      </c>
      <c r="B491" s="5" t="s">
        <v>466</v>
      </c>
      <c r="C491" s="5" t="s">
        <v>314</v>
      </c>
      <c r="D491" s="5" t="s">
        <v>490</v>
      </c>
      <c r="E491" s="5" t="s">
        <v>351</v>
      </c>
      <c r="F491" s="5" t="s">
        <v>317</v>
      </c>
      <c r="G491" s="5" t="s">
        <v>352</v>
      </c>
      <c r="H491" s="10">
        <v>63.34802827996959</v>
      </c>
      <c r="I491" s="10">
        <v>0</v>
      </c>
      <c r="J491" s="325">
        <v>63.34802827996959</v>
      </c>
      <c r="K491" s="10">
        <v>9.6725306855460467</v>
      </c>
      <c r="L491" s="10">
        <v>15.827910132386183</v>
      </c>
      <c r="M491" s="325">
        <v>25.50044081793223</v>
      </c>
      <c r="N491" s="10">
        <v>7.5533157081864228</v>
      </c>
      <c r="O491" s="10">
        <v>48.016328310970117</v>
      </c>
      <c r="P491" s="10">
        <v>11.27460307726999</v>
      </c>
      <c r="Q491" s="10">
        <v>7.1785993876320768</v>
      </c>
      <c r="R491" s="10">
        <v>28.597072141172355</v>
      </c>
      <c r="S491" s="10">
        <v>22.512145325118336</v>
      </c>
      <c r="T491" s="10">
        <v>33.158259863627862</v>
      </c>
      <c r="U491" s="10">
        <v>8.6951845592496184</v>
      </c>
      <c r="V491" s="325">
        <v>166.98550837322676</v>
      </c>
      <c r="W491" s="325">
        <v>255.83397747112858</v>
      </c>
      <c r="X491" s="10">
        <v>25.495284880725112</v>
      </c>
      <c r="Y491" s="320">
        <v>281.32926235185369</v>
      </c>
    </row>
    <row r="492" spans="1:25" x14ac:dyDescent="0.2">
      <c r="A492" s="7">
        <v>2018</v>
      </c>
      <c r="B492" s="5" t="s">
        <v>466</v>
      </c>
      <c r="C492" s="5" t="s">
        <v>314</v>
      </c>
      <c r="D492" s="5" t="s">
        <v>490</v>
      </c>
      <c r="E492" s="5" t="s">
        <v>353</v>
      </c>
      <c r="F492" s="5" t="s">
        <v>317</v>
      </c>
      <c r="G492" s="5" t="s">
        <v>354</v>
      </c>
      <c r="H492" s="10">
        <v>63.30107025300741</v>
      </c>
      <c r="I492" s="10">
        <v>0</v>
      </c>
      <c r="J492" s="325">
        <v>63.30107025300741</v>
      </c>
      <c r="K492" s="10">
        <v>6.6932173619826925</v>
      </c>
      <c r="L492" s="10">
        <v>24.880038715042001</v>
      </c>
      <c r="M492" s="325">
        <v>31.573256077024695</v>
      </c>
      <c r="N492" s="10">
        <v>5.2669826842221292</v>
      </c>
      <c r="O492" s="10">
        <v>23.366691560755967</v>
      </c>
      <c r="P492" s="10">
        <v>6.9306156138280537</v>
      </c>
      <c r="Q492" s="10">
        <v>3.9653850717172792</v>
      </c>
      <c r="R492" s="10">
        <v>13.927962272813838</v>
      </c>
      <c r="S492" s="10">
        <v>15.658751288084465</v>
      </c>
      <c r="T492" s="10">
        <v>28.779496148019348</v>
      </c>
      <c r="U492" s="10">
        <v>5.63430934050169</v>
      </c>
      <c r="V492" s="325">
        <v>103.53019397994277</v>
      </c>
      <c r="W492" s="325">
        <v>198.40452030997488</v>
      </c>
      <c r="X492" s="10">
        <v>19.680210365950789</v>
      </c>
      <c r="Y492" s="320">
        <v>218.08473067592567</v>
      </c>
    </row>
    <row r="493" spans="1:25" x14ac:dyDescent="0.2">
      <c r="A493" s="7">
        <v>2018</v>
      </c>
      <c r="B493" s="5" t="s">
        <v>466</v>
      </c>
      <c r="C493" s="5" t="s">
        <v>314</v>
      </c>
      <c r="D493" s="5" t="s">
        <v>490</v>
      </c>
      <c r="E493" s="5" t="s">
        <v>355</v>
      </c>
      <c r="F493" s="5" t="s">
        <v>317</v>
      </c>
      <c r="G493" s="5" t="s">
        <v>356</v>
      </c>
      <c r="H493" s="10">
        <v>37.801273326620674</v>
      </c>
      <c r="I493" s="10">
        <v>0</v>
      </c>
      <c r="J493" s="325">
        <v>37.801273326620674</v>
      </c>
      <c r="K493" s="10">
        <v>5.4296046943105596</v>
      </c>
      <c r="L493" s="10">
        <v>4.0130530679532495</v>
      </c>
      <c r="M493" s="325">
        <v>9.4426577622638099</v>
      </c>
      <c r="N493" s="10">
        <v>3.2675406707969867</v>
      </c>
      <c r="O493" s="10">
        <v>9.6297070328435268</v>
      </c>
      <c r="P493" s="10">
        <v>2.7655271439618416</v>
      </c>
      <c r="Q493" s="10">
        <v>1.8434132541415933</v>
      </c>
      <c r="R493" s="10">
        <v>6.3497218673856768</v>
      </c>
      <c r="S493" s="10">
        <v>8.4652545762581912</v>
      </c>
      <c r="T493" s="10">
        <v>15.735374302580272</v>
      </c>
      <c r="U493" s="10">
        <v>2.2429721865143044</v>
      </c>
      <c r="V493" s="325">
        <v>50.299511034482393</v>
      </c>
      <c r="W493" s="325">
        <v>97.543442123366873</v>
      </c>
      <c r="X493" s="10">
        <v>9.7643971062983344</v>
      </c>
      <c r="Y493" s="320">
        <v>107.30783922966521</v>
      </c>
    </row>
    <row r="494" spans="1:25" x14ac:dyDescent="0.2">
      <c r="A494" s="7">
        <v>2018</v>
      </c>
      <c r="B494" s="5" t="s">
        <v>466</v>
      </c>
      <c r="C494" s="5" t="s">
        <v>314</v>
      </c>
      <c r="D494" s="5" t="s">
        <v>487</v>
      </c>
      <c r="E494" s="5" t="s">
        <v>357</v>
      </c>
      <c r="F494" s="5" t="s">
        <v>317</v>
      </c>
      <c r="G494" s="5" t="s">
        <v>358</v>
      </c>
      <c r="H494" s="10">
        <v>23.304013749628449</v>
      </c>
      <c r="I494" s="10">
        <v>1.1278502008131615</v>
      </c>
      <c r="J494" s="325">
        <v>24.43186395044161</v>
      </c>
      <c r="K494" s="10">
        <v>3.9429992977740214</v>
      </c>
      <c r="L494" s="10">
        <v>5.698439269465748</v>
      </c>
      <c r="M494" s="325">
        <v>9.6414385672397689</v>
      </c>
      <c r="N494" s="10">
        <v>3.6973481610823575</v>
      </c>
      <c r="O494" s="10">
        <v>18.453931413123247</v>
      </c>
      <c r="P494" s="10">
        <v>4.3366247680762147</v>
      </c>
      <c r="Q494" s="10">
        <v>1.7380897841830378</v>
      </c>
      <c r="R494" s="10">
        <v>9.423460810347061</v>
      </c>
      <c r="S494" s="10">
        <v>10.929442846890648</v>
      </c>
      <c r="T494" s="10">
        <v>18.715258785814822</v>
      </c>
      <c r="U494" s="10">
        <v>3.8424780628992989</v>
      </c>
      <c r="V494" s="325">
        <v>71.136634632416687</v>
      </c>
      <c r="W494" s="325">
        <v>105.20993715009807</v>
      </c>
      <c r="X494" s="10">
        <v>10.505940610860408</v>
      </c>
      <c r="Y494" s="320">
        <v>115.71587776095848</v>
      </c>
    </row>
    <row r="495" spans="1:25" x14ac:dyDescent="0.2">
      <c r="A495" s="7">
        <v>2018</v>
      </c>
      <c r="B495" s="5" t="s">
        <v>466</v>
      </c>
      <c r="C495" s="5" t="s">
        <v>314</v>
      </c>
      <c r="D495" s="5" t="s">
        <v>489</v>
      </c>
      <c r="E495" s="5" t="s">
        <v>359</v>
      </c>
      <c r="F495" s="5" t="s">
        <v>317</v>
      </c>
      <c r="G495" s="5" t="s">
        <v>360</v>
      </c>
      <c r="H495" s="10">
        <v>202.92428916892047</v>
      </c>
      <c r="I495" s="10">
        <v>0</v>
      </c>
      <c r="J495" s="325">
        <v>202.92428916892047</v>
      </c>
      <c r="K495" s="10">
        <v>24.915755921763584</v>
      </c>
      <c r="L495" s="10">
        <v>25.422041189135506</v>
      </c>
      <c r="M495" s="325">
        <v>50.337797110899089</v>
      </c>
      <c r="N495" s="10">
        <v>8.5245484098748818</v>
      </c>
      <c r="O495" s="10">
        <v>42.585258035286508</v>
      </c>
      <c r="P495" s="10">
        <v>12.287085677131975</v>
      </c>
      <c r="Q495" s="10">
        <v>9.2288768526527694</v>
      </c>
      <c r="R495" s="10">
        <v>23.255356117921508</v>
      </c>
      <c r="S495" s="10">
        <v>31.092525461401017</v>
      </c>
      <c r="T495" s="10">
        <v>59.418732692382719</v>
      </c>
      <c r="U495" s="10">
        <v>8.7922174479608337</v>
      </c>
      <c r="V495" s="325">
        <v>195.18460069461221</v>
      </c>
      <c r="W495" s="325">
        <v>448.44668697443177</v>
      </c>
      <c r="X495" s="10">
        <v>44.881560809743668</v>
      </c>
      <c r="Y495" s="320">
        <v>493.32824778417546</v>
      </c>
    </row>
    <row r="496" spans="1:25" x14ac:dyDescent="0.2">
      <c r="A496" s="7">
        <v>2018</v>
      </c>
      <c r="B496" s="5" t="s">
        <v>466</v>
      </c>
      <c r="C496" s="5" t="s">
        <v>314</v>
      </c>
      <c r="D496" s="5" t="s">
        <v>490</v>
      </c>
      <c r="E496" s="5" t="s">
        <v>361</v>
      </c>
      <c r="F496" s="5" t="s">
        <v>317</v>
      </c>
      <c r="G496" s="5" t="s">
        <v>362</v>
      </c>
      <c r="H496" s="10">
        <v>79.754892649556325</v>
      </c>
      <c r="I496" s="10">
        <v>3.5408943180808548</v>
      </c>
      <c r="J496" s="325">
        <v>83.295786967637184</v>
      </c>
      <c r="K496" s="10">
        <v>1.5091046626141225</v>
      </c>
      <c r="L496" s="10">
        <v>12.578627403092495</v>
      </c>
      <c r="M496" s="325">
        <v>14.087732065706618</v>
      </c>
      <c r="N496" s="10">
        <v>2.2247099491194207</v>
      </c>
      <c r="O496" s="10">
        <v>9.577292793545471</v>
      </c>
      <c r="P496" s="10">
        <v>3.2513811500518055</v>
      </c>
      <c r="Q496" s="10">
        <v>1.5807962557522053</v>
      </c>
      <c r="R496" s="10">
        <v>8.2692601235144565</v>
      </c>
      <c r="S496" s="10">
        <v>8.2925892714570111</v>
      </c>
      <c r="T496" s="10">
        <v>11.877735214856921</v>
      </c>
      <c r="U496" s="10">
        <v>2.9030314347372643</v>
      </c>
      <c r="V496" s="325">
        <v>47.976796193034559</v>
      </c>
      <c r="W496" s="325">
        <v>145.36031522637836</v>
      </c>
      <c r="X496" s="10">
        <v>14.609975663591547</v>
      </c>
      <c r="Y496" s="320">
        <v>159.9702908899699</v>
      </c>
    </row>
    <row r="497" spans="1:25" x14ac:dyDescent="0.2">
      <c r="A497" s="7">
        <v>2018</v>
      </c>
      <c r="B497" s="5" t="s">
        <v>466</v>
      </c>
      <c r="C497" s="5" t="s">
        <v>314</v>
      </c>
      <c r="D497" s="5" t="s">
        <v>487</v>
      </c>
      <c r="E497" s="5" t="s">
        <v>363</v>
      </c>
      <c r="F497" s="5" t="s">
        <v>317</v>
      </c>
      <c r="G497" s="5" t="s">
        <v>364</v>
      </c>
      <c r="H497" s="10">
        <v>41.459987683746185</v>
      </c>
      <c r="I497" s="10">
        <v>0</v>
      </c>
      <c r="J497" s="325">
        <v>41.459987683746185</v>
      </c>
      <c r="K497" s="10">
        <v>5.6351267022546496</v>
      </c>
      <c r="L497" s="10">
        <v>13.659846863989843</v>
      </c>
      <c r="M497" s="325">
        <v>19.294973566244494</v>
      </c>
      <c r="N497" s="10">
        <v>5.4594968042776513</v>
      </c>
      <c r="O497" s="10">
        <v>24.657357743282567</v>
      </c>
      <c r="P497" s="10">
        <v>5.3020014070457027</v>
      </c>
      <c r="Q497" s="10">
        <v>2.5288255580207606</v>
      </c>
      <c r="R497" s="10">
        <v>13.323217863143103</v>
      </c>
      <c r="S497" s="10">
        <v>15.336311822049307</v>
      </c>
      <c r="T497" s="10">
        <v>27.139102831933567</v>
      </c>
      <c r="U497" s="10">
        <v>4.9754893223860233</v>
      </c>
      <c r="V497" s="325">
        <v>98.721803352138693</v>
      </c>
      <c r="W497" s="325">
        <v>159.47676460212938</v>
      </c>
      <c r="X497" s="10">
        <v>15.879633391206346</v>
      </c>
      <c r="Y497" s="320">
        <v>175.35639799333572</v>
      </c>
    </row>
    <row r="498" spans="1:25" x14ac:dyDescent="0.2">
      <c r="A498" s="7">
        <v>2018</v>
      </c>
      <c r="B498" s="5" t="s">
        <v>466</v>
      </c>
      <c r="C498" s="5" t="s">
        <v>365</v>
      </c>
      <c r="D498" s="5" t="s">
        <v>491</v>
      </c>
      <c r="E498" s="5" t="s">
        <v>367</v>
      </c>
      <c r="F498" s="5" t="s">
        <v>368</v>
      </c>
      <c r="G498" s="5" t="s">
        <v>370</v>
      </c>
      <c r="H498" s="10">
        <v>500.57768901898379</v>
      </c>
      <c r="I498" s="10">
        <v>11.341961821069589</v>
      </c>
      <c r="J498" s="325">
        <v>511.91965084005335</v>
      </c>
      <c r="K498" s="10">
        <v>94.119045149812536</v>
      </c>
      <c r="L498" s="10">
        <v>177.65475071936112</v>
      </c>
      <c r="M498" s="325">
        <v>271.77379586917368</v>
      </c>
      <c r="N498" s="10">
        <v>67.37750740438446</v>
      </c>
      <c r="O498" s="10">
        <v>462.02724993561355</v>
      </c>
      <c r="P498" s="10">
        <v>55.082181935821538</v>
      </c>
      <c r="Q498" s="10">
        <v>67.742669945374871</v>
      </c>
      <c r="R498" s="10">
        <v>133.34085264221918</v>
      </c>
      <c r="S498" s="10">
        <v>172.55134221734318</v>
      </c>
      <c r="T498" s="10">
        <v>241.73523483649262</v>
      </c>
      <c r="U498" s="10">
        <v>45.434347105953243</v>
      </c>
      <c r="V498" s="325">
        <v>1245.2913860232024</v>
      </c>
      <c r="W498" s="325">
        <v>2028.9848327324294</v>
      </c>
      <c r="X498" s="10">
        <v>202.16571537441095</v>
      </c>
      <c r="Y498" s="320">
        <v>2231.1505481068402</v>
      </c>
    </row>
    <row r="499" spans="1:25" x14ac:dyDescent="0.2">
      <c r="A499" s="7">
        <v>2018</v>
      </c>
      <c r="B499" s="5" t="s">
        <v>466</v>
      </c>
      <c r="C499" s="5" t="s">
        <v>365</v>
      </c>
      <c r="D499" s="5" t="s">
        <v>492</v>
      </c>
      <c r="E499" s="5" t="s">
        <v>371</v>
      </c>
      <c r="F499" s="5" t="s">
        <v>368</v>
      </c>
      <c r="G499" s="5" t="s">
        <v>372</v>
      </c>
      <c r="H499" s="10">
        <v>51.176597901489664</v>
      </c>
      <c r="I499" s="10">
        <v>0</v>
      </c>
      <c r="J499" s="325">
        <v>51.176597901489664</v>
      </c>
      <c r="K499" s="10">
        <v>2.8902456913124066</v>
      </c>
      <c r="L499" s="10">
        <v>21.239682458457455</v>
      </c>
      <c r="M499" s="325">
        <v>24.12992814976986</v>
      </c>
      <c r="N499" s="10">
        <v>7.6927163534102529</v>
      </c>
      <c r="O499" s="10">
        <v>43.361676573231307</v>
      </c>
      <c r="P499" s="10">
        <v>11.90928100171965</v>
      </c>
      <c r="Q499" s="10">
        <v>5.9863957721350376</v>
      </c>
      <c r="R499" s="10">
        <v>15.92158369599113</v>
      </c>
      <c r="S499" s="10">
        <v>24.407136679160484</v>
      </c>
      <c r="T499" s="10">
        <v>56.061995290428669</v>
      </c>
      <c r="U499" s="10">
        <v>6.5293588302415078</v>
      </c>
      <c r="V499" s="325">
        <v>171.87014419631805</v>
      </c>
      <c r="W499" s="325">
        <v>247.17667024757756</v>
      </c>
      <c r="X499" s="10">
        <v>24.664350055465</v>
      </c>
      <c r="Y499" s="320">
        <v>271.84102030304257</v>
      </c>
    </row>
    <row r="500" spans="1:25" x14ac:dyDescent="0.2">
      <c r="A500" s="7">
        <v>2018</v>
      </c>
      <c r="B500" s="5" t="s">
        <v>466</v>
      </c>
      <c r="C500" s="5" t="s">
        <v>365</v>
      </c>
      <c r="D500" s="5" t="s">
        <v>491</v>
      </c>
      <c r="E500" s="5" t="s">
        <v>373</v>
      </c>
      <c r="F500" s="5" t="s">
        <v>368</v>
      </c>
      <c r="G500" s="5" t="s">
        <v>374</v>
      </c>
      <c r="H500" s="10">
        <v>494.89666878134562</v>
      </c>
      <c r="I500" s="10">
        <v>0</v>
      </c>
      <c r="J500" s="325">
        <v>494.89666878134562</v>
      </c>
      <c r="K500" s="10">
        <v>45.411487774062756</v>
      </c>
      <c r="L500" s="10">
        <v>43.568430076118936</v>
      </c>
      <c r="M500" s="325">
        <v>88.979917850181693</v>
      </c>
      <c r="N500" s="10">
        <v>21.961416409639209</v>
      </c>
      <c r="O500" s="10">
        <v>116.10600578779216</v>
      </c>
      <c r="P500" s="10">
        <v>20.499839637305765</v>
      </c>
      <c r="Q500" s="10">
        <v>14.236562066640444</v>
      </c>
      <c r="R500" s="10">
        <v>34.94741045402246</v>
      </c>
      <c r="S500" s="10">
        <v>50.379590602112572</v>
      </c>
      <c r="T500" s="10">
        <v>62.750544874540921</v>
      </c>
      <c r="U500" s="10">
        <v>13.58017831769579</v>
      </c>
      <c r="V500" s="325">
        <v>334.46154814974932</v>
      </c>
      <c r="W500" s="325">
        <v>918.33813478127661</v>
      </c>
      <c r="X500" s="10">
        <v>92.462859058123314</v>
      </c>
      <c r="Y500" s="320">
        <v>1010.8009938393999</v>
      </c>
    </row>
    <row r="501" spans="1:25" x14ac:dyDescent="0.2">
      <c r="A501" s="7">
        <v>2018</v>
      </c>
      <c r="B501" s="5" t="s">
        <v>466</v>
      </c>
      <c r="C501" s="5" t="s">
        <v>365</v>
      </c>
      <c r="D501" s="5" t="s">
        <v>491</v>
      </c>
      <c r="E501" s="5" t="s">
        <v>375</v>
      </c>
      <c r="F501" s="5" t="s">
        <v>368</v>
      </c>
      <c r="G501" s="5" t="s">
        <v>376</v>
      </c>
      <c r="H501" s="10">
        <v>274.35316699217304</v>
      </c>
      <c r="I501" s="10">
        <v>0</v>
      </c>
      <c r="J501" s="325">
        <v>274.35316699217304</v>
      </c>
      <c r="K501" s="10">
        <v>21.407359255246131</v>
      </c>
      <c r="L501" s="10">
        <v>52.828332617527963</v>
      </c>
      <c r="M501" s="325">
        <v>74.235691872774098</v>
      </c>
      <c r="N501" s="10">
        <v>24.725824067798055</v>
      </c>
      <c r="O501" s="10">
        <v>126.54494304740459</v>
      </c>
      <c r="P501" s="10">
        <v>24.154237402574914</v>
      </c>
      <c r="Q501" s="10">
        <v>21.897893768909682</v>
      </c>
      <c r="R501" s="10">
        <v>41.005787995539357</v>
      </c>
      <c r="S501" s="10">
        <v>56.952106567434242</v>
      </c>
      <c r="T501" s="10">
        <v>94.051046813757452</v>
      </c>
      <c r="U501" s="10">
        <v>19.749866502733283</v>
      </c>
      <c r="V501" s="325">
        <v>409.08170616615155</v>
      </c>
      <c r="W501" s="325">
        <v>757.6705650310987</v>
      </c>
      <c r="X501" s="10">
        <v>75.894730512929613</v>
      </c>
      <c r="Y501" s="320">
        <v>833.56529554402834</v>
      </c>
    </row>
    <row r="502" spans="1:25" x14ac:dyDescent="0.2">
      <c r="A502" s="7">
        <v>2018</v>
      </c>
      <c r="B502" s="5" t="s">
        <v>466</v>
      </c>
      <c r="C502" s="5" t="s">
        <v>365</v>
      </c>
      <c r="D502" s="5" t="s">
        <v>493</v>
      </c>
      <c r="E502" s="5" t="s">
        <v>377</v>
      </c>
      <c r="F502" s="5" t="s">
        <v>368</v>
      </c>
      <c r="G502" s="5" t="s">
        <v>378</v>
      </c>
      <c r="H502" s="10">
        <v>1.3154583780143319</v>
      </c>
      <c r="I502" s="10">
        <v>0</v>
      </c>
      <c r="J502" s="325">
        <v>1.3154583780143319</v>
      </c>
      <c r="K502" s="10">
        <v>0.29837978194668319</v>
      </c>
      <c r="L502" s="10">
        <v>2.87763150296575</v>
      </c>
      <c r="M502" s="325">
        <v>3.1760112849124331</v>
      </c>
      <c r="N502" s="10">
        <v>0.8036650382859174</v>
      </c>
      <c r="O502" s="10">
        <v>2.6652927043161201</v>
      </c>
      <c r="P502" s="10">
        <v>2.0215650288295501</v>
      </c>
      <c r="Q502" s="10">
        <v>0.66483849194551281</v>
      </c>
      <c r="R502" s="10">
        <v>2.1785341018008708</v>
      </c>
      <c r="S502" s="10">
        <v>4.9689989839945845</v>
      </c>
      <c r="T502" s="10">
        <v>14.809774955414195</v>
      </c>
      <c r="U502" s="10">
        <v>1.1418812272743661</v>
      </c>
      <c r="V502" s="325">
        <v>29.254550531861121</v>
      </c>
      <c r="W502" s="325">
        <v>33.746020194787889</v>
      </c>
      <c r="X502" s="10">
        <v>3.3436504492205308</v>
      </c>
      <c r="Y502" s="320">
        <v>37.089670644008422</v>
      </c>
    </row>
    <row r="503" spans="1:25" x14ac:dyDescent="0.2">
      <c r="A503" s="7">
        <v>2018</v>
      </c>
      <c r="B503" s="5" t="s">
        <v>466</v>
      </c>
      <c r="C503" s="5" t="s">
        <v>365</v>
      </c>
      <c r="D503" s="5" t="s">
        <v>491</v>
      </c>
      <c r="E503" s="5" t="s">
        <v>379</v>
      </c>
      <c r="F503" s="5" t="s">
        <v>368</v>
      </c>
      <c r="G503" s="5" t="s">
        <v>380</v>
      </c>
      <c r="H503" s="10">
        <v>39.761511964856425</v>
      </c>
      <c r="I503" s="10">
        <v>25.323087647374287</v>
      </c>
      <c r="J503" s="325">
        <v>65.084599612230704</v>
      </c>
      <c r="K503" s="10">
        <v>1.4564405011117285</v>
      </c>
      <c r="L503" s="10">
        <v>14.662038512577091</v>
      </c>
      <c r="M503" s="325">
        <v>16.11847901368882</v>
      </c>
      <c r="N503" s="10">
        <v>6.817427445292223</v>
      </c>
      <c r="O503" s="10">
        <v>23.487136708441181</v>
      </c>
      <c r="P503" s="10">
        <v>4.8915564216463903</v>
      </c>
      <c r="Q503" s="10">
        <v>3.170841288538965</v>
      </c>
      <c r="R503" s="10">
        <v>8.5803001561579393</v>
      </c>
      <c r="S503" s="10">
        <v>16.663544875060548</v>
      </c>
      <c r="T503" s="10">
        <v>37.451734537203237</v>
      </c>
      <c r="U503" s="10">
        <v>3.1160853279812857</v>
      </c>
      <c r="V503" s="325">
        <v>104.17862676032176</v>
      </c>
      <c r="W503" s="325">
        <v>185.38170538624129</v>
      </c>
      <c r="X503" s="10">
        <v>18.64781372332784</v>
      </c>
      <c r="Y503" s="320">
        <v>204.02951910956912</v>
      </c>
    </row>
    <row r="504" spans="1:25" x14ac:dyDescent="0.2">
      <c r="A504" s="7">
        <v>2018</v>
      </c>
      <c r="B504" s="5" t="s">
        <v>466</v>
      </c>
      <c r="C504" s="5" t="s">
        <v>365</v>
      </c>
      <c r="D504" s="5" t="s">
        <v>492</v>
      </c>
      <c r="E504" s="5" t="s">
        <v>381</v>
      </c>
      <c r="F504" s="5" t="s">
        <v>368</v>
      </c>
      <c r="G504" s="5" t="s">
        <v>382</v>
      </c>
      <c r="H504" s="10">
        <v>82.200555306489093</v>
      </c>
      <c r="I504" s="10">
        <v>0</v>
      </c>
      <c r="J504" s="325">
        <v>82.200555306489093</v>
      </c>
      <c r="K504" s="10">
        <v>6.7755571234454974</v>
      </c>
      <c r="L504" s="10">
        <v>33.526820078355577</v>
      </c>
      <c r="M504" s="325">
        <v>40.302377201801072</v>
      </c>
      <c r="N504" s="10">
        <v>24.698157452447184</v>
      </c>
      <c r="O504" s="10">
        <v>78.65592752507105</v>
      </c>
      <c r="P504" s="10">
        <v>15.96414901145552</v>
      </c>
      <c r="Q504" s="10">
        <v>8.7776274654091626</v>
      </c>
      <c r="R504" s="10">
        <v>25.116338959662244</v>
      </c>
      <c r="S504" s="10">
        <v>39.846877324553731</v>
      </c>
      <c r="T504" s="10">
        <v>87.091214872131147</v>
      </c>
      <c r="U504" s="10">
        <v>9.3108524302470794</v>
      </c>
      <c r="V504" s="325">
        <v>289.4611450409771</v>
      </c>
      <c r="W504" s="325">
        <v>411.96407754926724</v>
      </c>
      <c r="X504" s="10">
        <v>41.19507378868235</v>
      </c>
      <c r="Y504" s="320">
        <v>453.1591513379496</v>
      </c>
    </row>
    <row r="505" spans="1:25" x14ac:dyDescent="0.2">
      <c r="A505" s="7">
        <v>2018</v>
      </c>
      <c r="B505" s="5" t="s">
        <v>466</v>
      </c>
      <c r="C505" s="5" t="s">
        <v>365</v>
      </c>
      <c r="D505" s="5" t="s">
        <v>492</v>
      </c>
      <c r="E505" s="5" t="s">
        <v>383</v>
      </c>
      <c r="F505" s="5" t="s">
        <v>368</v>
      </c>
      <c r="G505" s="5" t="s">
        <v>384</v>
      </c>
      <c r="H505" s="10">
        <v>43.163335722932977</v>
      </c>
      <c r="I505" s="10">
        <v>0</v>
      </c>
      <c r="J505" s="325">
        <v>43.163335722932977</v>
      </c>
      <c r="K505" s="10">
        <v>3.0364742457812715</v>
      </c>
      <c r="L505" s="10">
        <v>13.789743540475055</v>
      </c>
      <c r="M505" s="325">
        <v>16.826217786256326</v>
      </c>
      <c r="N505" s="10">
        <v>8.5998593704105044</v>
      </c>
      <c r="O505" s="10">
        <v>25.553374075504273</v>
      </c>
      <c r="P505" s="10">
        <v>8.0684667319103056</v>
      </c>
      <c r="Q505" s="10">
        <v>3.6057455321062228</v>
      </c>
      <c r="R505" s="10">
        <v>6.4148382462233906</v>
      </c>
      <c r="S505" s="10">
        <v>16.446070633584224</v>
      </c>
      <c r="T505" s="10">
        <v>41.823759753272711</v>
      </c>
      <c r="U505" s="10">
        <v>4.104372850952533</v>
      </c>
      <c r="V505" s="325">
        <v>114.61648719396416</v>
      </c>
      <c r="W505" s="325">
        <v>174.60604070315347</v>
      </c>
      <c r="X505" s="10">
        <v>17.468342565062148</v>
      </c>
      <c r="Y505" s="320">
        <v>192.07438326821563</v>
      </c>
    </row>
    <row r="506" spans="1:25" x14ac:dyDescent="0.2">
      <c r="A506" s="7">
        <v>2018</v>
      </c>
      <c r="B506" s="5" t="s">
        <v>466</v>
      </c>
      <c r="C506" s="5" t="s">
        <v>365</v>
      </c>
      <c r="D506" s="5" t="s">
        <v>492</v>
      </c>
      <c r="E506" s="5" t="s">
        <v>385</v>
      </c>
      <c r="F506" s="5" t="s">
        <v>368</v>
      </c>
      <c r="G506" s="5" t="s">
        <v>386</v>
      </c>
      <c r="H506" s="10">
        <v>38.150260152714608</v>
      </c>
      <c r="I506" s="10">
        <v>0</v>
      </c>
      <c r="J506" s="325">
        <v>38.150260152714608</v>
      </c>
      <c r="K506" s="10">
        <v>2.8202526430734882</v>
      </c>
      <c r="L506" s="10">
        <v>19.215031538975303</v>
      </c>
      <c r="M506" s="325">
        <v>22.035284182048791</v>
      </c>
      <c r="N506" s="10">
        <v>8.421258579339737</v>
      </c>
      <c r="O506" s="10">
        <v>43.888045672596753</v>
      </c>
      <c r="P506" s="10">
        <v>10.467751169122849</v>
      </c>
      <c r="Q506" s="10">
        <v>4.8350516016697922</v>
      </c>
      <c r="R506" s="10">
        <v>11.269897168275763</v>
      </c>
      <c r="S506" s="10">
        <v>24.91625128293742</v>
      </c>
      <c r="T506" s="10">
        <v>60.210855945323623</v>
      </c>
      <c r="U506" s="10">
        <v>4.8573929554520578</v>
      </c>
      <c r="V506" s="325">
        <v>168.86650437471801</v>
      </c>
      <c r="W506" s="325">
        <v>229.05204870948143</v>
      </c>
      <c r="X506" s="10">
        <v>22.877207065727514</v>
      </c>
      <c r="Y506" s="320">
        <v>251.92925577520893</v>
      </c>
    </row>
    <row r="507" spans="1:25" x14ac:dyDescent="0.2">
      <c r="A507" s="7">
        <v>2018</v>
      </c>
      <c r="B507" s="5" t="s">
        <v>466</v>
      </c>
      <c r="C507" s="5" t="s">
        <v>365</v>
      </c>
      <c r="D507" s="5" t="s">
        <v>491</v>
      </c>
      <c r="E507" s="5" t="s">
        <v>387</v>
      </c>
      <c r="F507" s="5" t="s">
        <v>368</v>
      </c>
      <c r="G507" s="5" t="s">
        <v>494</v>
      </c>
      <c r="H507" s="10">
        <v>612.61597353327556</v>
      </c>
      <c r="I507" s="10">
        <v>13.941151365241801</v>
      </c>
      <c r="J507" s="325">
        <v>626.55712489851737</v>
      </c>
      <c r="K507" s="10">
        <v>24.96146087721608</v>
      </c>
      <c r="L507" s="10">
        <v>162.28592536209814</v>
      </c>
      <c r="M507" s="325">
        <v>187.24738623931421</v>
      </c>
      <c r="N507" s="10">
        <v>51.721170900578898</v>
      </c>
      <c r="O507" s="10">
        <v>301.90362375948291</v>
      </c>
      <c r="P507" s="10">
        <v>55.45999333209619</v>
      </c>
      <c r="Q507" s="10">
        <v>35.74903912311899</v>
      </c>
      <c r="R507" s="10">
        <v>82.687237167717541</v>
      </c>
      <c r="S507" s="10">
        <v>165.02381432104119</v>
      </c>
      <c r="T507" s="10">
        <v>377.64691192991052</v>
      </c>
      <c r="U507" s="10">
        <v>32.767150308888802</v>
      </c>
      <c r="V507" s="325">
        <v>1102.9589408428351</v>
      </c>
      <c r="W507" s="325">
        <v>1916.7634519806666</v>
      </c>
      <c r="X507" s="10">
        <v>192.06653241612003</v>
      </c>
      <c r="Y507" s="320">
        <v>2108.8299843967866</v>
      </c>
    </row>
    <row r="508" spans="1:25" ht="16" thickBot="1" x14ac:dyDescent="0.25">
      <c r="A508" s="11">
        <v>2018</v>
      </c>
      <c r="B508" s="6" t="s">
        <v>466</v>
      </c>
      <c r="C508" s="6" t="s">
        <v>365</v>
      </c>
      <c r="D508" s="6" t="s">
        <v>493</v>
      </c>
      <c r="E508" s="6" t="s">
        <v>389</v>
      </c>
      <c r="F508" s="6" t="s">
        <v>368</v>
      </c>
      <c r="G508" s="6" t="s">
        <v>390</v>
      </c>
      <c r="H508" s="12">
        <v>6.7419385565945698</v>
      </c>
      <c r="I508" s="12">
        <v>0.15622891874114675</v>
      </c>
      <c r="J508" s="337">
        <v>6.8981674753357165</v>
      </c>
      <c r="K508" s="12">
        <v>0.65724010425424617</v>
      </c>
      <c r="L508" s="12">
        <v>5.0120553053912529</v>
      </c>
      <c r="M508" s="337">
        <v>5.6692954096454988</v>
      </c>
      <c r="N508" s="12">
        <v>2.2434298979724208</v>
      </c>
      <c r="O508" s="12">
        <v>5.8601577993143881</v>
      </c>
      <c r="P508" s="12">
        <v>2.6963332599246934</v>
      </c>
      <c r="Q508" s="12">
        <v>0.89449664099708703</v>
      </c>
      <c r="R508" s="12">
        <v>3.6052815628519417</v>
      </c>
      <c r="S508" s="12">
        <v>7.9702859804306172</v>
      </c>
      <c r="T508" s="12">
        <v>22.197245727466846</v>
      </c>
      <c r="U508" s="12">
        <v>2.0031429777504091</v>
      </c>
      <c r="V508" s="337">
        <v>47.470373846708405</v>
      </c>
      <c r="W508" s="337">
        <v>60.037836731689623</v>
      </c>
      <c r="X508" s="12">
        <v>5.9704161668461282</v>
      </c>
      <c r="Y508" s="321">
        <v>66.008252898535744</v>
      </c>
    </row>
    <row r="509" spans="1:25" ht="16" thickBot="1" x14ac:dyDescent="0.25">
      <c r="A509" s="342">
        <v>2019</v>
      </c>
      <c r="B509" s="343" t="s">
        <v>466</v>
      </c>
      <c r="C509" s="343"/>
      <c r="D509" s="343"/>
      <c r="E509" s="343"/>
      <c r="F509" s="343"/>
      <c r="G509" s="343" t="s">
        <v>467</v>
      </c>
      <c r="H509" s="344">
        <v>6897.452257135109</v>
      </c>
      <c r="I509" s="344">
        <v>2187.8527619593683</v>
      </c>
      <c r="J509" s="344">
        <v>9085.3050190944778</v>
      </c>
      <c r="K509" s="344">
        <v>20460.327130068847</v>
      </c>
      <c r="L509" s="344">
        <v>10188.887812802112</v>
      </c>
      <c r="M509" s="344">
        <v>30649.21494287096</v>
      </c>
      <c r="N509" s="344">
        <v>5371.1951455480703</v>
      </c>
      <c r="O509" s="344">
        <v>21038.067454348049</v>
      </c>
      <c r="P509" s="344">
        <v>3618.7786953601099</v>
      </c>
      <c r="Q509" s="344">
        <v>6659.7494041437303</v>
      </c>
      <c r="R509" s="344">
        <v>11612.688096244521</v>
      </c>
      <c r="S509" s="344">
        <v>11564.039358616921</v>
      </c>
      <c r="T509" s="344">
        <v>14975.310685405777</v>
      </c>
      <c r="U509" s="344">
        <v>3372.6219126747169</v>
      </c>
      <c r="V509" s="344">
        <v>78212.450752341887</v>
      </c>
      <c r="W509" s="344">
        <v>117946.97071430732</v>
      </c>
      <c r="X509" s="344">
        <v>11660.296372050496</v>
      </c>
      <c r="Y509" s="345">
        <v>129671.98068228063</v>
      </c>
    </row>
    <row r="510" spans="1:25" x14ac:dyDescent="0.2">
      <c r="A510" s="8">
        <v>2019</v>
      </c>
      <c r="B510" s="4" t="s">
        <v>466</v>
      </c>
      <c r="C510" s="4" t="s">
        <v>90</v>
      </c>
      <c r="D510" s="4" t="s">
        <v>468</v>
      </c>
      <c r="E510" s="4" t="s">
        <v>93</v>
      </c>
      <c r="F510" s="4" t="s">
        <v>94</v>
      </c>
      <c r="G510" s="4" t="s">
        <v>469</v>
      </c>
      <c r="H510" s="9">
        <v>121.12342887160226</v>
      </c>
      <c r="I510" s="9">
        <v>1.570254180823401</v>
      </c>
      <c r="J510" s="323">
        <v>122.69368305242565</v>
      </c>
      <c r="K510" s="9">
        <v>7283.4615432972305</v>
      </c>
      <c r="L510" s="9">
        <v>4739.0105225023117</v>
      </c>
      <c r="M510" s="323">
        <v>12022.472065799542</v>
      </c>
      <c r="N510" s="9">
        <v>1812.6303668521348</v>
      </c>
      <c r="O510" s="9">
        <v>10160.935138956178</v>
      </c>
      <c r="P510" s="9">
        <v>1656.2921679404449</v>
      </c>
      <c r="Q510" s="9">
        <v>4925.0093930040002</v>
      </c>
      <c r="R510" s="9">
        <v>5878.0704152494873</v>
      </c>
      <c r="S510" s="9">
        <v>5456.2487395023218</v>
      </c>
      <c r="T510" s="9">
        <v>7155.2407946558687</v>
      </c>
      <c r="U510" s="9">
        <v>1548.8656621146104</v>
      </c>
      <c r="V510" s="323">
        <v>38593.292678275036</v>
      </c>
      <c r="W510" s="323">
        <v>50738.458427127007</v>
      </c>
      <c r="X510" s="9">
        <v>4969.1911431932594</v>
      </c>
      <c r="Y510" s="319">
        <v>55707.649570320267</v>
      </c>
    </row>
    <row r="511" spans="1:25" x14ac:dyDescent="0.2">
      <c r="A511" s="7">
        <v>2019</v>
      </c>
      <c r="B511" s="5" t="s">
        <v>466</v>
      </c>
      <c r="C511" s="5" t="s">
        <v>90</v>
      </c>
      <c r="D511" s="5" t="s">
        <v>470</v>
      </c>
      <c r="E511" s="5" t="s">
        <v>98</v>
      </c>
      <c r="F511" s="5" t="s">
        <v>94</v>
      </c>
      <c r="G511" s="5" t="s">
        <v>99</v>
      </c>
      <c r="H511" s="10">
        <v>73.303798555067559</v>
      </c>
      <c r="I511" s="10">
        <v>2.3123862967487172</v>
      </c>
      <c r="J511" s="325">
        <v>75.616184851816271</v>
      </c>
      <c r="K511" s="10">
        <v>341.04528383893154</v>
      </c>
      <c r="L511" s="10">
        <v>86.657027055880974</v>
      </c>
      <c r="M511" s="325">
        <v>427.70231089481251</v>
      </c>
      <c r="N511" s="10">
        <v>106.95896448705641</v>
      </c>
      <c r="O511" s="10">
        <v>81.291397779666411</v>
      </c>
      <c r="P511" s="10">
        <v>13.834280625392328</v>
      </c>
      <c r="Q511" s="10">
        <v>9.023599337448136</v>
      </c>
      <c r="R511" s="10">
        <v>48.951662478860641</v>
      </c>
      <c r="S511" s="10">
        <v>53.268083666587899</v>
      </c>
      <c r="T511" s="10">
        <v>48.487196857040651</v>
      </c>
      <c r="U511" s="10">
        <v>17.704936443806194</v>
      </c>
      <c r="V511" s="325">
        <v>379.52012167585872</v>
      </c>
      <c r="W511" s="325">
        <v>882.83861742248746</v>
      </c>
      <c r="X511" s="10">
        <v>85.947850558079892</v>
      </c>
      <c r="Y511" s="320">
        <v>968.78646798056729</v>
      </c>
    </row>
    <row r="512" spans="1:25" x14ac:dyDescent="0.2">
      <c r="A512" s="7">
        <v>2019</v>
      </c>
      <c r="B512" s="5" t="s">
        <v>466</v>
      </c>
      <c r="C512" s="5" t="s">
        <v>90</v>
      </c>
      <c r="D512" s="5" t="s">
        <v>470</v>
      </c>
      <c r="E512" s="5" t="s">
        <v>101</v>
      </c>
      <c r="F512" s="5" t="s">
        <v>94</v>
      </c>
      <c r="G512" s="5" t="s">
        <v>102</v>
      </c>
      <c r="H512" s="10">
        <v>25.340641580586645</v>
      </c>
      <c r="I512" s="10">
        <v>0.74090854251411487</v>
      </c>
      <c r="J512" s="325">
        <v>26.081550123100762</v>
      </c>
      <c r="K512" s="10">
        <v>629.60709893260855</v>
      </c>
      <c r="L512" s="10">
        <v>487.74432742651265</v>
      </c>
      <c r="M512" s="325">
        <v>1117.3514263591212</v>
      </c>
      <c r="N512" s="10">
        <v>209.50456194188271</v>
      </c>
      <c r="O512" s="10">
        <v>1319.2397168956413</v>
      </c>
      <c r="P512" s="10">
        <v>257.28962840344161</v>
      </c>
      <c r="Q512" s="10">
        <v>188.18183432505137</v>
      </c>
      <c r="R512" s="10">
        <v>653.1114826498532</v>
      </c>
      <c r="S512" s="10">
        <v>543.82931294740399</v>
      </c>
      <c r="T512" s="10">
        <v>691.64681501598272</v>
      </c>
      <c r="U512" s="10">
        <v>256.71170334900739</v>
      </c>
      <c r="V512" s="325">
        <v>4119.5150555282644</v>
      </c>
      <c r="W512" s="325">
        <v>5262.9480320104867</v>
      </c>
      <c r="X512" s="10">
        <v>519.36603085486684</v>
      </c>
      <c r="Y512" s="320">
        <v>5782.3140628653537</v>
      </c>
    </row>
    <row r="513" spans="1:25" x14ac:dyDescent="0.2">
      <c r="A513" s="7">
        <v>2019</v>
      </c>
      <c r="B513" s="5" t="s">
        <v>466</v>
      </c>
      <c r="C513" s="5" t="s">
        <v>90</v>
      </c>
      <c r="D513" s="5" t="s">
        <v>471</v>
      </c>
      <c r="E513" s="5" t="s">
        <v>104</v>
      </c>
      <c r="F513" s="5" t="s">
        <v>94</v>
      </c>
      <c r="G513" s="5" t="s">
        <v>105</v>
      </c>
      <c r="H513" s="10">
        <v>50.441606063831543</v>
      </c>
      <c r="I513" s="10">
        <v>0</v>
      </c>
      <c r="J513" s="325">
        <v>50.441606063831543</v>
      </c>
      <c r="K513" s="10">
        <v>242.77187593891975</v>
      </c>
      <c r="L513" s="10">
        <v>70.519474957818488</v>
      </c>
      <c r="M513" s="325">
        <v>313.29135089673821</v>
      </c>
      <c r="N513" s="10">
        <v>30.928813390017595</v>
      </c>
      <c r="O513" s="10">
        <v>195.09910832828731</v>
      </c>
      <c r="P513" s="10">
        <v>41.342153760590385</v>
      </c>
      <c r="Q513" s="10">
        <v>33.033385074607779</v>
      </c>
      <c r="R513" s="10">
        <v>110.95859863412635</v>
      </c>
      <c r="S513" s="10">
        <v>91.369884549630257</v>
      </c>
      <c r="T513" s="10">
        <v>113.98543165288237</v>
      </c>
      <c r="U513" s="10">
        <v>30.600386550642668</v>
      </c>
      <c r="V513" s="325">
        <v>647.31776194078475</v>
      </c>
      <c r="W513" s="325">
        <v>1011.0507189013545</v>
      </c>
      <c r="X513" s="10">
        <v>98.985785812734875</v>
      </c>
      <c r="Y513" s="320">
        <v>1110.0365047140892</v>
      </c>
    </row>
    <row r="514" spans="1:25" x14ac:dyDescent="0.2">
      <c r="A514" s="7">
        <v>2019</v>
      </c>
      <c r="B514" s="5" t="s">
        <v>466</v>
      </c>
      <c r="C514" s="5" t="s">
        <v>90</v>
      </c>
      <c r="D514" s="5" t="s">
        <v>470</v>
      </c>
      <c r="E514" s="5" t="s">
        <v>106</v>
      </c>
      <c r="F514" s="5" t="s">
        <v>94</v>
      </c>
      <c r="G514" s="5" t="s">
        <v>107</v>
      </c>
      <c r="H514" s="10">
        <v>7.8227358504172386</v>
      </c>
      <c r="I514" s="10">
        <v>8.3322950184417266E-2</v>
      </c>
      <c r="J514" s="325">
        <v>7.9060588006016559</v>
      </c>
      <c r="K514" s="10">
        <v>381.06658362056191</v>
      </c>
      <c r="L514" s="10">
        <v>152.5084638622566</v>
      </c>
      <c r="M514" s="325">
        <v>533.57504748281849</v>
      </c>
      <c r="N514" s="10">
        <v>39.707596020218709</v>
      </c>
      <c r="O514" s="10">
        <v>199.65195737027227</v>
      </c>
      <c r="P514" s="10">
        <v>44.316766754225576</v>
      </c>
      <c r="Q514" s="10">
        <v>26.990157952143157</v>
      </c>
      <c r="R514" s="10">
        <v>130.74913528590827</v>
      </c>
      <c r="S514" s="10">
        <v>96.79731300463483</v>
      </c>
      <c r="T514" s="10">
        <v>83.872795159780139</v>
      </c>
      <c r="U514" s="10">
        <v>35.631771859806214</v>
      </c>
      <c r="V514" s="325">
        <v>657.71749340698921</v>
      </c>
      <c r="W514" s="325">
        <v>1199.1985996904093</v>
      </c>
      <c r="X514" s="10">
        <v>115.37985718104132</v>
      </c>
      <c r="Y514" s="320">
        <v>1314.5784568714507</v>
      </c>
    </row>
    <row r="515" spans="1:25" x14ac:dyDescent="0.2">
      <c r="A515" s="7">
        <v>2019</v>
      </c>
      <c r="B515" s="5" t="s">
        <v>466</v>
      </c>
      <c r="C515" s="5" t="s">
        <v>90</v>
      </c>
      <c r="D515" s="5" t="s">
        <v>471</v>
      </c>
      <c r="E515" s="5" t="s">
        <v>109</v>
      </c>
      <c r="F515" s="5" t="s">
        <v>94</v>
      </c>
      <c r="G515" s="5" t="s">
        <v>110</v>
      </c>
      <c r="H515" s="10">
        <v>14.831604256731493</v>
      </c>
      <c r="I515" s="10">
        <v>0</v>
      </c>
      <c r="J515" s="325">
        <v>14.831604256731493</v>
      </c>
      <c r="K515" s="10">
        <v>1952.6526931543794</v>
      </c>
      <c r="L515" s="10">
        <v>540.73068402211652</v>
      </c>
      <c r="M515" s="325">
        <v>2493.3833771764957</v>
      </c>
      <c r="N515" s="10">
        <v>283.00993162989397</v>
      </c>
      <c r="O515" s="10">
        <v>1377.5443754826524</v>
      </c>
      <c r="P515" s="10">
        <v>272.8520732142764</v>
      </c>
      <c r="Q515" s="10">
        <v>387.33205069873617</v>
      </c>
      <c r="R515" s="10">
        <v>1113.179685927028</v>
      </c>
      <c r="S515" s="10">
        <v>876.27884693414876</v>
      </c>
      <c r="T515" s="10">
        <v>858.33209861553144</v>
      </c>
      <c r="U515" s="10">
        <v>261.6294125742877</v>
      </c>
      <c r="V515" s="325">
        <v>5430.1584750765551</v>
      </c>
      <c r="W515" s="325">
        <v>7938.373456509782</v>
      </c>
      <c r="X515" s="10">
        <v>771.62465130918622</v>
      </c>
      <c r="Y515" s="320">
        <v>8709.9981078189685</v>
      </c>
    </row>
    <row r="516" spans="1:25" x14ac:dyDescent="0.2">
      <c r="A516" s="7">
        <v>2019</v>
      </c>
      <c r="B516" s="5" t="s">
        <v>466</v>
      </c>
      <c r="C516" s="5" t="s">
        <v>90</v>
      </c>
      <c r="D516" s="5" t="s">
        <v>470</v>
      </c>
      <c r="E516" s="5" t="s">
        <v>112</v>
      </c>
      <c r="F516" s="5" t="s">
        <v>94</v>
      </c>
      <c r="G516" s="5" t="s">
        <v>113</v>
      </c>
      <c r="H516" s="10">
        <v>44.48356455532565</v>
      </c>
      <c r="I516" s="10">
        <v>32.005799574541435</v>
      </c>
      <c r="J516" s="325">
        <v>76.489364129867084</v>
      </c>
      <c r="K516" s="10">
        <v>1171.7946950107178</v>
      </c>
      <c r="L516" s="10">
        <v>184.93332201474635</v>
      </c>
      <c r="M516" s="325">
        <v>1356.7280170254642</v>
      </c>
      <c r="N516" s="10">
        <v>47.995231289699397</v>
      </c>
      <c r="O516" s="10">
        <v>175.84667363175754</v>
      </c>
      <c r="P516" s="10">
        <v>24.974249100365121</v>
      </c>
      <c r="Q516" s="10">
        <v>17.272256534745495</v>
      </c>
      <c r="R516" s="10">
        <v>76.747662297330848</v>
      </c>
      <c r="S516" s="10">
        <v>139.68191792768161</v>
      </c>
      <c r="T516" s="10">
        <v>83.84327990602344</v>
      </c>
      <c r="U516" s="10">
        <v>22.383269184225078</v>
      </c>
      <c r="V516" s="325">
        <v>588.74453987182858</v>
      </c>
      <c r="W516" s="325">
        <v>2021.9619210271596</v>
      </c>
      <c r="X516" s="10">
        <v>191.02391269362656</v>
      </c>
      <c r="Y516" s="320">
        <v>2212.9858337207861</v>
      </c>
    </row>
    <row r="517" spans="1:25" x14ac:dyDescent="0.2">
      <c r="A517" s="7">
        <v>2019</v>
      </c>
      <c r="B517" s="5" t="s">
        <v>466</v>
      </c>
      <c r="C517" s="5" t="s">
        <v>90</v>
      </c>
      <c r="D517" s="5" t="s">
        <v>471</v>
      </c>
      <c r="E517" s="5" t="s">
        <v>115</v>
      </c>
      <c r="F517" s="5" t="s">
        <v>94</v>
      </c>
      <c r="G517" s="5" t="s">
        <v>116</v>
      </c>
      <c r="H517" s="10">
        <v>0.22403310947678817</v>
      </c>
      <c r="I517" s="10">
        <v>0.19793344128373053</v>
      </c>
      <c r="J517" s="325">
        <v>0.4219665507605187</v>
      </c>
      <c r="K517" s="10">
        <v>2344.0104113808134</v>
      </c>
      <c r="L517" s="10">
        <v>581.54728521556729</v>
      </c>
      <c r="M517" s="325">
        <v>2925.5576965963805</v>
      </c>
      <c r="N517" s="10">
        <v>273.71847217846874</v>
      </c>
      <c r="O517" s="10">
        <v>1346.4973874244208</v>
      </c>
      <c r="P517" s="10">
        <v>228.07470601761767</v>
      </c>
      <c r="Q517" s="10">
        <v>237.76441699855832</v>
      </c>
      <c r="R517" s="10">
        <v>651.16246086401122</v>
      </c>
      <c r="S517" s="10">
        <v>680.57346505141629</v>
      </c>
      <c r="T517" s="10">
        <v>572.35471734808289</v>
      </c>
      <c r="U517" s="10">
        <v>201.92580482297996</v>
      </c>
      <c r="V517" s="325">
        <v>4192.0714307055559</v>
      </c>
      <c r="W517" s="325">
        <v>7118.0510938526968</v>
      </c>
      <c r="X517" s="10">
        <v>687.91370978528789</v>
      </c>
      <c r="Y517" s="320">
        <v>7805.9648036379849</v>
      </c>
    </row>
    <row r="518" spans="1:25" x14ac:dyDescent="0.2">
      <c r="A518" s="7">
        <v>2019</v>
      </c>
      <c r="B518" s="5" t="s">
        <v>466</v>
      </c>
      <c r="C518" s="5" t="s">
        <v>90</v>
      </c>
      <c r="D518" s="5" t="s">
        <v>471</v>
      </c>
      <c r="E518" s="5" t="s">
        <v>118</v>
      </c>
      <c r="F518" s="5" t="s">
        <v>94</v>
      </c>
      <c r="G518" s="5" t="s">
        <v>119</v>
      </c>
      <c r="H518" s="10">
        <v>5.3712962714317403</v>
      </c>
      <c r="I518" s="10">
        <v>0</v>
      </c>
      <c r="J518" s="325">
        <v>5.3712962714317403</v>
      </c>
      <c r="K518" s="10">
        <v>793.92413545124566</v>
      </c>
      <c r="L518" s="10">
        <v>163.42712633539139</v>
      </c>
      <c r="M518" s="325">
        <v>957.351261786637</v>
      </c>
      <c r="N518" s="10">
        <v>64.529117806391596</v>
      </c>
      <c r="O518" s="10">
        <v>207.32500318509292</v>
      </c>
      <c r="P518" s="10">
        <v>51.4692763661307</v>
      </c>
      <c r="Q518" s="10">
        <v>26.959028042939099</v>
      </c>
      <c r="R518" s="10">
        <v>142.31654612614398</v>
      </c>
      <c r="S518" s="10">
        <v>144.10794260938053</v>
      </c>
      <c r="T518" s="10">
        <v>95.713145837663319</v>
      </c>
      <c r="U518" s="10">
        <v>34.967229407392445</v>
      </c>
      <c r="V518" s="325">
        <v>767.38728938113468</v>
      </c>
      <c r="W518" s="325">
        <v>1730.1098474392033</v>
      </c>
      <c r="X518" s="10">
        <v>164.59475971530367</v>
      </c>
      <c r="Y518" s="320">
        <v>1894.7046071545069</v>
      </c>
    </row>
    <row r="519" spans="1:25" x14ac:dyDescent="0.2">
      <c r="A519" s="7">
        <v>2019</v>
      </c>
      <c r="B519" s="5" t="s">
        <v>466</v>
      </c>
      <c r="C519" s="5" t="s">
        <v>90</v>
      </c>
      <c r="D519" s="5" t="s">
        <v>471</v>
      </c>
      <c r="E519" s="5" t="s">
        <v>120</v>
      </c>
      <c r="F519" s="5" t="s">
        <v>94</v>
      </c>
      <c r="G519" s="5" t="s">
        <v>121</v>
      </c>
      <c r="H519" s="10">
        <v>6.6381837225307194</v>
      </c>
      <c r="I519" s="10">
        <v>0</v>
      </c>
      <c r="J519" s="325">
        <v>6.6381837225307194</v>
      </c>
      <c r="K519" s="10">
        <v>1007.2811758865705</v>
      </c>
      <c r="L519" s="10">
        <v>206.66276731275909</v>
      </c>
      <c r="M519" s="325">
        <v>1213.9439431993296</v>
      </c>
      <c r="N519" s="10">
        <v>94.348153328075568</v>
      </c>
      <c r="O519" s="10">
        <v>512.09192598522941</v>
      </c>
      <c r="P519" s="10">
        <v>79.988406543945473</v>
      </c>
      <c r="Q519" s="10">
        <v>65.41020076538139</v>
      </c>
      <c r="R519" s="10">
        <v>308.48768210087081</v>
      </c>
      <c r="S519" s="10">
        <v>278.26713760887901</v>
      </c>
      <c r="T519" s="10">
        <v>320.81606936603549</v>
      </c>
      <c r="U519" s="10">
        <v>61.991657797345077</v>
      </c>
      <c r="V519" s="325">
        <v>1721.4012334957624</v>
      </c>
      <c r="W519" s="325">
        <v>2941.9833604176229</v>
      </c>
      <c r="X519" s="10">
        <v>284.15223479956842</v>
      </c>
      <c r="Y519" s="320">
        <v>3226.1355952171912</v>
      </c>
    </row>
    <row r="520" spans="1:25" x14ac:dyDescent="0.2">
      <c r="A520" s="7">
        <v>2019</v>
      </c>
      <c r="B520" s="5" t="s">
        <v>466</v>
      </c>
      <c r="C520" s="5" t="s">
        <v>122</v>
      </c>
      <c r="D520" s="5" t="s">
        <v>472</v>
      </c>
      <c r="E520" s="5" t="s">
        <v>125</v>
      </c>
      <c r="F520" s="5" t="s">
        <v>126</v>
      </c>
      <c r="G520" s="5" t="s">
        <v>128</v>
      </c>
      <c r="H520" s="10">
        <v>36.001204104692441</v>
      </c>
      <c r="I520" s="10">
        <v>38.684116081204316</v>
      </c>
      <c r="J520" s="325">
        <v>74.685320185896757</v>
      </c>
      <c r="K520" s="10">
        <v>2.5362184793114326</v>
      </c>
      <c r="L520" s="10">
        <v>24.236424590852518</v>
      </c>
      <c r="M520" s="325">
        <v>26.772643070163952</v>
      </c>
      <c r="N520" s="10">
        <v>20.43893453678724</v>
      </c>
      <c r="O520" s="10">
        <v>70.250447370971656</v>
      </c>
      <c r="P520" s="10">
        <v>11.050430801170428</v>
      </c>
      <c r="Q520" s="10">
        <v>4.5148997743981427</v>
      </c>
      <c r="R520" s="10">
        <v>14.103728324780816</v>
      </c>
      <c r="S520" s="10">
        <v>37.968269363088325</v>
      </c>
      <c r="T520" s="10">
        <v>64.424322479478363</v>
      </c>
      <c r="U520" s="10">
        <v>8.1803865281058492</v>
      </c>
      <c r="V520" s="325">
        <v>230.93141917878083</v>
      </c>
      <c r="W520" s="325">
        <v>332.38938243484154</v>
      </c>
      <c r="X520" s="10">
        <v>34.529764497637153</v>
      </c>
      <c r="Y520" s="320">
        <v>366.91914693247867</v>
      </c>
    </row>
    <row r="521" spans="1:25" x14ac:dyDescent="0.2">
      <c r="A521" s="7">
        <v>2019</v>
      </c>
      <c r="B521" s="5" t="s">
        <v>466</v>
      </c>
      <c r="C521" s="5" t="s">
        <v>122</v>
      </c>
      <c r="D521" s="5" t="s">
        <v>472</v>
      </c>
      <c r="E521" s="5" t="s">
        <v>130</v>
      </c>
      <c r="F521" s="5" t="s">
        <v>126</v>
      </c>
      <c r="G521" s="5" t="s">
        <v>131</v>
      </c>
      <c r="H521" s="10">
        <v>28.706962499909398</v>
      </c>
      <c r="I521" s="10">
        <v>234.77976377640434</v>
      </c>
      <c r="J521" s="325">
        <v>263.48672627631373</v>
      </c>
      <c r="K521" s="10">
        <v>18.96467962065374</v>
      </c>
      <c r="L521" s="10">
        <v>60.452155459193428</v>
      </c>
      <c r="M521" s="325">
        <v>79.416835079847175</v>
      </c>
      <c r="N521" s="10">
        <v>46.232308364924826</v>
      </c>
      <c r="O521" s="10">
        <v>237.94942004494266</v>
      </c>
      <c r="P521" s="10">
        <v>30.948259018234101</v>
      </c>
      <c r="Q521" s="10">
        <v>30.180372329580361</v>
      </c>
      <c r="R521" s="10">
        <v>61.393732291656981</v>
      </c>
      <c r="S521" s="10">
        <v>117.45641771650345</v>
      </c>
      <c r="T521" s="10">
        <v>186.28735921746275</v>
      </c>
      <c r="U521" s="10">
        <v>21.686714642796399</v>
      </c>
      <c r="V521" s="325">
        <v>732.13458362610152</v>
      </c>
      <c r="W521" s="325">
        <v>1075.0381449822623</v>
      </c>
      <c r="X521" s="10">
        <v>113.09491420602652</v>
      </c>
      <c r="Y521" s="320">
        <v>1188.1330591882888</v>
      </c>
    </row>
    <row r="522" spans="1:25" x14ac:dyDescent="0.2">
      <c r="A522" s="7">
        <v>2019</v>
      </c>
      <c r="B522" s="5" t="s">
        <v>466</v>
      </c>
      <c r="C522" s="5" t="s">
        <v>122</v>
      </c>
      <c r="D522" s="5" t="s">
        <v>472</v>
      </c>
      <c r="E522" s="5" t="s">
        <v>133</v>
      </c>
      <c r="F522" s="5" t="s">
        <v>126</v>
      </c>
      <c r="G522" s="5" t="s">
        <v>134</v>
      </c>
      <c r="H522" s="10">
        <v>20.068695669315055</v>
      </c>
      <c r="I522" s="10">
        <v>211.55465300287008</v>
      </c>
      <c r="J522" s="325">
        <v>231.62334867218513</v>
      </c>
      <c r="K522" s="10">
        <v>2.5150772033792284</v>
      </c>
      <c r="L522" s="10">
        <v>34.291887713425055</v>
      </c>
      <c r="M522" s="325">
        <v>36.806964916804283</v>
      </c>
      <c r="N522" s="10">
        <v>21.74320837606701</v>
      </c>
      <c r="O522" s="10">
        <v>106.43763398975675</v>
      </c>
      <c r="P522" s="10">
        <v>17.603648394055664</v>
      </c>
      <c r="Q522" s="10">
        <v>12.229918991477675</v>
      </c>
      <c r="R522" s="10">
        <v>24.474408712333563</v>
      </c>
      <c r="S522" s="10">
        <v>63.63782325804803</v>
      </c>
      <c r="T522" s="10">
        <v>81.306829533453964</v>
      </c>
      <c r="U522" s="10">
        <v>11.537837789593922</v>
      </c>
      <c r="V522" s="325">
        <v>338.97130904478661</v>
      </c>
      <c r="W522" s="325">
        <v>607.40162263377601</v>
      </c>
      <c r="X522" s="10">
        <v>65.568425010433558</v>
      </c>
      <c r="Y522" s="320">
        <v>672.97004764420956</v>
      </c>
    </row>
    <row r="523" spans="1:25" x14ac:dyDescent="0.2">
      <c r="A523" s="7">
        <v>2019</v>
      </c>
      <c r="B523" s="5" t="s">
        <v>466</v>
      </c>
      <c r="C523" s="5" t="s">
        <v>122</v>
      </c>
      <c r="D523" s="5" t="s">
        <v>472</v>
      </c>
      <c r="E523" s="5" t="s">
        <v>135</v>
      </c>
      <c r="F523" s="5" t="s">
        <v>126</v>
      </c>
      <c r="G523" s="5" t="s">
        <v>136</v>
      </c>
      <c r="H523" s="10">
        <v>34.861173450927879</v>
      </c>
      <c r="I523" s="10">
        <v>28.55360612610335</v>
      </c>
      <c r="J523" s="325">
        <v>63.414779577031226</v>
      </c>
      <c r="K523" s="10">
        <v>9.4956240199208963</v>
      </c>
      <c r="L523" s="10">
        <v>10.907665375401482</v>
      </c>
      <c r="M523" s="325">
        <v>20.403289395322378</v>
      </c>
      <c r="N523" s="10">
        <v>15.780424854244025</v>
      </c>
      <c r="O523" s="10">
        <v>45.413479139741078</v>
      </c>
      <c r="P523" s="10">
        <v>7.1125924247388399</v>
      </c>
      <c r="Q523" s="10">
        <v>4.6914995997044047</v>
      </c>
      <c r="R523" s="10">
        <v>12.603593893803007</v>
      </c>
      <c r="S523" s="10">
        <v>25.284691583945552</v>
      </c>
      <c r="T523" s="10">
        <v>44.822048348142047</v>
      </c>
      <c r="U523" s="10">
        <v>5.9615137303718377</v>
      </c>
      <c r="V523" s="325">
        <v>161.66984357469079</v>
      </c>
      <c r="W523" s="325">
        <v>245.4879125470444</v>
      </c>
      <c r="X523" s="10">
        <v>25.523167902341452</v>
      </c>
      <c r="Y523" s="320">
        <v>271.01108044938587</v>
      </c>
    </row>
    <row r="524" spans="1:25" x14ac:dyDescent="0.2">
      <c r="A524" s="7">
        <v>2019</v>
      </c>
      <c r="B524" s="5" t="s">
        <v>466</v>
      </c>
      <c r="C524" s="5" t="s">
        <v>122</v>
      </c>
      <c r="D524" s="5" t="s">
        <v>472</v>
      </c>
      <c r="E524" s="5" t="s">
        <v>137</v>
      </c>
      <c r="F524" s="5" t="s">
        <v>126</v>
      </c>
      <c r="G524" s="5" t="s">
        <v>138</v>
      </c>
      <c r="H524" s="10">
        <v>16.369311221068308</v>
      </c>
      <c r="I524" s="10">
        <v>30.539921253543955</v>
      </c>
      <c r="J524" s="325">
        <v>46.909232474612267</v>
      </c>
      <c r="K524" s="10">
        <v>3.5821003858236713</v>
      </c>
      <c r="L524" s="10">
        <v>17.940247529224138</v>
      </c>
      <c r="M524" s="325">
        <v>21.52234791504781</v>
      </c>
      <c r="N524" s="10">
        <v>7.7328583487247782</v>
      </c>
      <c r="O524" s="10">
        <v>43.304078820705065</v>
      </c>
      <c r="P524" s="10">
        <v>9.9086443526760331</v>
      </c>
      <c r="Q524" s="10">
        <v>6.7053152424864138</v>
      </c>
      <c r="R524" s="10">
        <v>16.452486552819963</v>
      </c>
      <c r="S524" s="10">
        <v>31.00128186103295</v>
      </c>
      <c r="T524" s="10">
        <v>69.574673638372317</v>
      </c>
      <c r="U524" s="10">
        <v>8.0967269526143664</v>
      </c>
      <c r="V524" s="325">
        <v>192.77606576943188</v>
      </c>
      <c r="W524" s="325">
        <v>261.20764615909195</v>
      </c>
      <c r="X524" s="10">
        <v>26.867070601121402</v>
      </c>
      <c r="Y524" s="320">
        <v>288.07471676021333</v>
      </c>
    </row>
    <row r="525" spans="1:25" x14ac:dyDescent="0.2">
      <c r="A525" s="7">
        <v>2019</v>
      </c>
      <c r="B525" s="5" t="s">
        <v>466</v>
      </c>
      <c r="C525" s="5" t="s">
        <v>122</v>
      </c>
      <c r="D525" s="5" t="s">
        <v>472</v>
      </c>
      <c r="E525" s="5" t="s">
        <v>139</v>
      </c>
      <c r="F525" s="5" t="s">
        <v>126</v>
      </c>
      <c r="G525" s="5" t="s">
        <v>140</v>
      </c>
      <c r="H525" s="10">
        <v>34.429921812380925</v>
      </c>
      <c r="I525" s="10">
        <v>117.4250985311855</v>
      </c>
      <c r="J525" s="325">
        <v>151.85502034356642</v>
      </c>
      <c r="K525" s="10">
        <v>7.6247601048756302</v>
      </c>
      <c r="L525" s="10">
        <v>11.303823788347467</v>
      </c>
      <c r="M525" s="325">
        <v>18.928583893223099</v>
      </c>
      <c r="N525" s="10">
        <v>27.049709812229384</v>
      </c>
      <c r="O525" s="10">
        <v>34.064430785467529</v>
      </c>
      <c r="P525" s="10">
        <v>5.5110390196548753</v>
      </c>
      <c r="Q525" s="10">
        <v>3.2565501439244486</v>
      </c>
      <c r="R525" s="10">
        <v>11.26945747549005</v>
      </c>
      <c r="S525" s="10">
        <v>30.512705746601668</v>
      </c>
      <c r="T525" s="10">
        <v>43.183746000236013</v>
      </c>
      <c r="U525" s="10">
        <v>4.5990302869211428</v>
      </c>
      <c r="V525" s="325">
        <v>159.44666927052509</v>
      </c>
      <c r="W525" s="325">
        <v>330.23027350731462</v>
      </c>
      <c r="X525" s="10">
        <v>35.97713261681362</v>
      </c>
      <c r="Y525" s="320">
        <v>366.20740612412823</v>
      </c>
    </row>
    <row r="526" spans="1:25" x14ac:dyDescent="0.2">
      <c r="A526" s="7">
        <v>2019</v>
      </c>
      <c r="B526" s="5" t="s">
        <v>466</v>
      </c>
      <c r="C526" s="5" t="s">
        <v>141</v>
      </c>
      <c r="D526" s="5" t="s">
        <v>473</v>
      </c>
      <c r="E526" s="5" t="s">
        <v>143</v>
      </c>
      <c r="F526" s="5" t="s">
        <v>144</v>
      </c>
      <c r="G526" s="5" t="s">
        <v>146</v>
      </c>
      <c r="H526" s="10">
        <v>5.7487556453668587</v>
      </c>
      <c r="I526" s="10">
        <v>0.16652000135104456</v>
      </c>
      <c r="J526" s="325">
        <v>5.9152756467179035</v>
      </c>
      <c r="K526" s="10">
        <v>0.77158034774547102</v>
      </c>
      <c r="L526" s="10">
        <v>3.4958527765761462</v>
      </c>
      <c r="M526" s="325">
        <v>4.2674331243216175</v>
      </c>
      <c r="N526" s="10">
        <v>2.6249274355522827</v>
      </c>
      <c r="O526" s="10">
        <v>6.1043812301239848</v>
      </c>
      <c r="P526" s="10">
        <v>1.4533038564014522</v>
      </c>
      <c r="Q526" s="10">
        <v>1.123757428623811</v>
      </c>
      <c r="R526" s="10">
        <v>3.5222951583653854</v>
      </c>
      <c r="S526" s="10">
        <v>5.5502072619512486</v>
      </c>
      <c r="T526" s="10">
        <v>11.984648095306353</v>
      </c>
      <c r="U526" s="10">
        <v>1.5693095236165153</v>
      </c>
      <c r="V526" s="325">
        <v>33.932829989941041</v>
      </c>
      <c r="W526" s="325">
        <v>44.115538760980563</v>
      </c>
      <c r="X526" s="10">
        <v>4.4530751910390425</v>
      </c>
      <c r="Y526" s="320">
        <v>48.568613952019604</v>
      </c>
    </row>
    <row r="527" spans="1:25" x14ac:dyDescent="0.2">
      <c r="A527" s="7">
        <v>2019</v>
      </c>
      <c r="B527" s="5" t="s">
        <v>466</v>
      </c>
      <c r="C527" s="5" t="s">
        <v>141</v>
      </c>
      <c r="D527" s="5" t="s">
        <v>473</v>
      </c>
      <c r="E527" s="5" t="s">
        <v>147</v>
      </c>
      <c r="F527" s="5" t="s">
        <v>144</v>
      </c>
      <c r="G527" s="5" t="s">
        <v>148</v>
      </c>
      <c r="H527" s="10">
        <v>17.37537894986351</v>
      </c>
      <c r="I527" s="10">
        <v>0</v>
      </c>
      <c r="J527" s="325">
        <v>17.37537894986351</v>
      </c>
      <c r="K527" s="10">
        <v>1.074796877457413</v>
      </c>
      <c r="L527" s="10">
        <v>7.3230477354323869</v>
      </c>
      <c r="M527" s="325">
        <v>8.3978446128898003</v>
      </c>
      <c r="N527" s="10">
        <v>2.4139549944591749</v>
      </c>
      <c r="O527" s="10">
        <v>18.288002235184479</v>
      </c>
      <c r="P527" s="10">
        <v>2.3273087937021373</v>
      </c>
      <c r="Q527" s="10">
        <v>1.6148123322820567</v>
      </c>
      <c r="R527" s="10">
        <v>6.5318210800655505</v>
      </c>
      <c r="S527" s="10">
        <v>8.6787766941948536</v>
      </c>
      <c r="T527" s="10">
        <v>17.059224469989381</v>
      </c>
      <c r="U527" s="10">
        <v>3.176664550108812</v>
      </c>
      <c r="V527" s="325">
        <v>60.090565149986446</v>
      </c>
      <c r="W527" s="325">
        <v>85.863788712739762</v>
      </c>
      <c r="X527" s="10">
        <v>8.7143343581977479</v>
      </c>
      <c r="Y527" s="320">
        <v>94.578123070937508</v>
      </c>
    </row>
    <row r="528" spans="1:25" x14ac:dyDescent="0.2">
      <c r="A528" s="7">
        <v>2019</v>
      </c>
      <c r="B528" s="5" t="s">
        <v>466</v>
      </c>
      <c r="C528" s="5" t="s">
        <v>141</v>
      </c>
      <c r="D528" s="5" t="s">
        <v>474</v>
      </c>
      <c r="E528" s="5" t="s">
        <v>149</v>
      </c>
      <c r="F528" s="5" t="s">
        <v>144</v>
      </c>
      <c r="G528" s="5" t="s">
        <v>150</v>
      </c>
      <c r="H528" s="10">
        <v>21.453630543292729</v>
      </c>
      <c r="I528" s="10">
        <v>51.673640056965972</v>
      </c>
      <c r="J528" s="325">
        <v>73.127270600258697</v>
      </c>
      <c r="K528" s="10">
        <v>47.547738083038048</v>
      </c>
      <c r="L528" s="10">
        <v>12.90680528487759</v>
      </c>
      <c r="M528" s="325">
        <v>60.45454336791564</v>
      </c>
      <c r="N528" s="10">
        <v>36.792059668009735</v>
      </c>
      <c r="O528" s="10">
        <v>135.92034917213974</v>
      </c>
      <c r="P528" s="10">
        <v>15.636846668487838</v>
      </c>
      <c r="Q528" s="10">
        <v>21.185559933695242</v>
      </c>
      <c r="R528" s="10">
        <v>45.187605731398477</v>
      </c>
      <c r="S528" s="10">
        <v>61.014647247932622</v>
      </c>
      <c r="T528" s="10">
        <v>74.509634404239833</v>
      </c>
      <c r="U528" s="10">
        <v>18.028705796439848</v>
      </c>
      <c r="V528" s="325">
        <v>408.27540862234326</v>
      </c>
      <c r="W528" s="325">
        <v>541.85722259051761</v>
      </c>
      <c r="X528" s="10">
        <v>55.508524662319509</v>
      </c>
      <c r="Y528" s="320">
        <v>597.36574725283708</v>
      </c>
    </row>
    <row r="529" spans="1:25" x14ac:dyDescent="0.2">
      <c r="A529" s="7">
        <v>2019</v>
      </c>
      <c r="B529" s="5" t="s">
        <v>466</v>
      </c>
      <c r="C529" s="5" t="s">
        <v>141</v>
      </c>
      <c r="D529" s="5" t="s">
        <v>474</v>
      </c>
      <c r="E529" s="5" t="s">
        <v>151</v>
      </c>
      <c r="F529" s="5" t="s">
        <v>144</v>
      </c>
      <c r="G529" s="5" t="s">
        <v>152</v>
      </c>
      <c r="H529" s="10">
        <v>6.0753722555091629</v>
      </c>
      <c r="I529" s="10">
        <v>85.501304919542207</v>
      </c>
      <c r="J529" s="325">
        <v>91.576677175051373</v>
      </c>
      <c r="K529" s="10">
        <v>51.545112638710307</v>
      </c>
      <c r="L529" s="10">
        <v>6.7399265732181739</v>
      </c>
      <c r="M529" s="325">
        <v>58.285039211928478</v>
      </c>
      <c r="N529" s="10">
        <v>50.069130226509358</v>
      </c>
      <c r="O529" s="10">
        <v>34.049800948026366</v>
      </c>
      <c r="P529" s="10">
        <v>7.8666338544615133</v>
      </c>
      <c r="Q529" s="10">
        <v>3.5811220682708611</v>
      </c>
      <c r="R529" s="10">
        <v>17.971019869992237</v>
      </c>
      <c r="S529" s="10">
        <v>48.501988229696224</v>
      </c>
      <c r="T529" s="10">
        <v>57.696819538455237</v>
      </c>
      <c r="U529" s="10">
        <v>14.744881612619155</v>
      </c>
      <c r="V529" s="325">
        <v>234.48139634803096</v>
      </c>
      <c r="W529" s="325">
        <v>384.34311273501078</v>
      </c>
      <c r="X529" s="10">
        <v>40.245687279764745</v>
      </c>
      <c r="Y529" s="320">
        <v>424.58880001477553</v>
      </c>
    </row>
    <row r="530" spans="1:25" x14ac:dyDescent="0.2">
      <c r="A530" s="7">
        <v>2019</v>
      </c>
      <c r="B530" s="5" t="s">
        <v>466</v>
      </c>
      <c r="C530" s="5" t="s">
        <v>141</v>
      </c>
      <c r="D530" s="5" t="s">
        <v>474</v>
      </c>
      <c r="E530" s="5" t="s">
        <v>153</v>
      </c>
      <c r="F530" s="5" t="s">
        <v>144</v>
      </c>
      <c r="G530" s="5" t="s">
        <v>154</v>
      </c>
      <c r="H530" s="10">
        <v>8.9867625062357721</v>
      </c>
      <c r="I530" s="10">
        <v>6.1661455288364095</v>
      </c>
      <c r="J530" s="325">
        <v>15.152908035072182</v>
      </c>
      <c r="K530" s="10">
        <v>19.681713980882037</v>
      </c>
      <c r="L530" s="10">
        <v>6.5129381856284638</v>
      </c>
      <c r="M530" s="325">
        <v>26.194652166510501</v>
      </c>
      <c r="N530" s="10">
        <v>11.321837296518247</v>
      </c>
      <c r="O530" s="10">
        <v>51.934739382810172</v>
      </c>
      <c r="P530" s="10">
        <v>4.5303940414091395</v>
      </c>
      <c r="Q530" s="10">
        <v>1.5251646730841029</v>
      </c>
      <c r="R530" s="10">
        <v>12.673766464518968</v>
      </c>
      <c r="S530" s="10">
        <v>15.623236267940566</v>
      </c>
      <c r="T530" s="10">
        <v>21.00218850228633</v>
      </c>
      <c r="U530" s="10">
        <v>4.3387651146286395</v>
      </c>
      <c r="V530" s="325">
        <v>122.95009174319617</v>
      </c>
      <c r="W530" s="325">
        <v>164.29765194477886</v>
      </c>
      <c r="X530" s="10">
        <v>16.663346079780322</v>
      </c>
      <c r="Y530" s="320">
        <v>180.96099802455919</v>
      </c>
    </row>
    <row r="531" spans="1:25" x14ac:dyDescent="0.2">
      <c r="A531" s="7">
        <v>2019</v>
      </c>
      <c r="B531" s="5" t="s">
        <v>466</v>
      </c>
      <c r="C531" s="5" t="s">
        <v>141</v>
      </c>
      <c r="D531" s="5" t="s">
        <v>474</v>
      </c>
      <c r="E531" s="5" t="s">
        <v>155</v>
      </c>
      <c r="F531" s="5" t="s">
        <v>144</v>
      </c>
      <c r="G531" s="5" t="s">
        <v>156</v>
      </c>
      <c r="H531" s="10">
        <v>33.069320642217761</v>
      </c>
      <c r="I531" s="10">
        <v>492.36916025883846</v>
      </c>
      <c r="J531" s="325">
        <v>525.43848090105621</v>
      </c>
      <c r="K531" s="10">
        <v>2.9066203541754989</v>
      </c>
      <c r="L531" s="10">
        <v>17.752054343129124</v>
      </c>
      <c r="M531" s="325">
        <v>20.658674697304622</v>
      </c>
      <c r="N531" s="10">
        <v>12.576915083658777</v>
      </c>
      <c r="O531" s="10">
        <v>20.088244782415021</v>
      </c>
      <c r="P531" s="10">
        <v>3.8830893168180003</v>
      </c>
      <c r="Q531" s="10">
        <v>1.5750693160536255</v>
      </c>
      <c r="R531" s="10">
        <v>9.9323894383950098</v>
      </c>
      <c r="S531" s="10">
        <v>50.592991713697508</v>
      </c>
      <c r="T531" s="10">
        <v>24.276671040452833</v>
      </c>
      <c r="U531" s="10">
        <v>6.3675417291915046</v>
      </c>
      <c r="V531" s="325">
        <v>129.29291242068231</v>
      </c>
      <c r="W531" s="325">
        <v>675.39006801904316</v>
      </c>
      <c r="X531" s="10">
        <v>78.237310659888479</v>
      </c>
      <c r="Y531" s="320">
        <v>753.62737867893168</v>
      </c>
    </row>
    <row r="532" spans="1:25" x14ac:dyDescent="0.2">
      <c r="A532" s="7">
        <v>2019</v>
      </c>
      <c r="B532" s="5" t="s">
        <v>466</v>
      </c>
      <c r="C532" s="5" t="s">
        <v>157</v>
      </c>
      <c r="D532" s="5" t="s">
        <v>475</v>
      </c>
      <c r="E532" s="5" t="s">
        <v>159</v>
      </c>
      <c r="F532" s="5" t="s">
        <v>160</v>
      </c>
      <c r="G532" s="5" t="s">
        <v>161</v>
      </c>
      <c r="H532" s="10">
        <v>31.505987924827235</v>
      </c>
      <c r="I532" s="10">
        <v>12.242667102262091</v>
      </c>
      <c r="J532" s="325">
        <v>43.748655027089328</v>
      </c>
      <c r="K532" s="10">
        <v>11.365098285885919</v>
      </c>
      <c r="L532" s="10">
        <v>47.454822402618333</v>
      </c>
      <c r="M532" s="325">
        <v>58.819920688504254</v>
      </c>
      <c r="N532" s="10">
        <v>340.70154173727371</v>
      </c>
      <c r="O532" s="10">
        <v>40.029478264380998</v>
      </c>
      <c r="P532" s="10">
        <v>7.5225291941770234</v>
      </c>
      <c r="Q532" s="10">
        <v>4.2784216483241622</v>
      </c>
      <c r="R532" s="10">
        <v>19.042129434406661</v>
      </c>
      <c r="S532" s="10">
        <v>49.623627098267228</v>
      </c>
      <c r="T532" s="10">
        <v>58.792065817299907</v>
      </c>
      <c r="U532" s="10">
        <v>10.337654554145789</v>
      </c>
      <c r="V532" s="325">
        <v>530.32744774827552</v>
      </c>
      <c r="W532" s="325">
        <v>632.89602346386903</v>
      </c>
      <c r="X532" s="10">
        <v>66.636803170751747</v>
      </c>
      <c r="Y532" s="320">
        <v>699.53282663462073</v>
      </c>
    </row>
    <row r="533" spans="1:25" x14ac:dyDescent="0.2">
      <c r="A533" s="7">
        <v>2019</v>
      </c>
      <c r="B533" s="5" t="s">
        <v>466</v>
      </c>
      <c r="C533" s="5" t="s">
        <v>157</v>
      </c>
      <c r="D533" s="5" t="s">
        <v>476</v>
      </c>
      <c r="E533" s="5" t="s">
        <v>162</v>
      </c>
      <c r="F533" s="5" t="s">
        <v>160</v>
      </c>
      <c r="G533" s="5" t="s">
        <v>163</v>
      </c>
      <c r="H533" s="10">
        <v>10.864615478749212</v>
      </c>
      <c r="I533" s="10">
        <v>0.79900058757118864</v>
      </c>
      <c r="J533" s="325">
        <v>11.663616066320401</v>
      </c>
      <c r="K533" s="10">
        <v>1.1069129361213774</v>
      </c>
      <c r="L533" s="10">
        <v>11.027843944467145</v>
      </c>
      <c r="M533" s="325">
        <v>12.134756880588522</v>
      </c>
      <c r="N533" s="10">
        <v>65.670985288177818</v>
      </c>
      <c r="O533" s="10">
        <v>9.0342551072147206</v>
      </c>
      <c r="P533" s="10">
        <v>1.8000975563860497</v>
      </c>
      <c r="Q533" s="10">
        <v>0.91573304169252445</v>
      </c>
      <c r="R533" s="10">
        <v>3.5265699982240326</v>
      </c>
      <c r="S533" s="10">
        <v>9.8505695170116816</v>
      </c>
      <c r="T533" s="10">
        <v>13.476766443453082</v>
      </c>
      <c r="U533" s="10">
        <v>2.2396907774813486</v>
      </c>
      <c r="V533" s="325">
        <v>106.51466772964125</v>
      </c>
      <c r="W533" s="325">
        <v>130.31304067655017</v>
      </c>
      <c r="X533" s="10">
        <v>13.681056411300963</v>
      </c>
      <c r="Y533" s="320">
        <v>143.99409708785115</v>
      </c>
    </row>
    <row r="534" spans="1:25" x14ac:dyDescent="0.2">
      <c r="A534" s="7">
        <v>2019</v>
      </c>
      <c r="B534" s="5" t="s">
        <v>466</v>
      </c>
      <c r="C534" s="5" t="s">
        <v>157</v>
      </c>
      <c r="D534" s="5" t="s">
        <v>473</v>
      </c>
      <c r="E534" s="5" t="s">
        <v>164</v>
      </c>
      <c r="F534" s="5" t="s">
        <v>160</v>
      </c>
      <c r="G534" s="5" t="s">
        <v>165</v>
      </c>
      <c r="H534" s="10">
        <v>3.5221558737848495</v>
      </c>
      <c r="I534" s="10">
        <v>3.9724779609282959E-2</v>
      </c>
      <c r="J534" s="325">
        <v>3.5618806533941325</v>
      </c>
      <c r="K534" s="10">
        <v>6.9907149132874533</v>
      </c>
      <c r="L534" s="10">
        <v>3.6905927853750322</v>
      </c>
      <c r="M534" s="325">
        <v>10.681307698662486</v>
      </c>
      <c r="N534" s="10">
        <v>9.0099592111279474</v>
      </c>
      <c r="O534" s="10">
        <v>22.934815782352999</v>
      </c>
      <c r="P534" s="10">
        <v>4.1801932191464672</v>
      </c>
      <c r="Q534" s="10">
        <v>3.1080600623396499</v>
      </c>
      <c r="R534" s="10">
        <v>11.030866582890708</v>
      </c>
      <c r="S534" s="10">
        <v>11.780361609573717</v>
      </c>
      <c r="T534" s="10">
        <v>19.157046930595378</v>
      </c>
      <c r="U534" s="10">
        <v>4.8199507279807303</v>
      </c>
      <c r="V534" s="325">
        <v>86.021254126007605</v>
      </c>
      <c r="W534" s="325">
        <v>100.26444247806421</v>
      </c>
      <c r="X534" s="10">
        <v>10.071314244445329</v>
      </c>
      <c r="Y534" s="320">
        <v>110.33575672250954</v>
      </c>
    </row>
    <row r="535" spans="1:25" x14ac:dyDescent="0.2">
      <c r="A535" s="7">
        <v>2019</v>
      </c>
      <c r="B535" s="5" t="s">
        <v>466</v>
      </c>
      <c r="C535" s="5" t="s">
        <v>157</v>
      </c>
      <c r="D535" s="5" t="s">
        <v>477</v>
      </c>
      <c r="E535" s="5" t="s">
        <v>166</v>
      </c>
      <c r="F535" s="5" t="s">
        <v>160</v>
      </c>
      <c r="G535" s="5" t="s">
        <v>168</v>
      </c>
      <c r="H535" s="10">
        <v>48.013277272982073</v>
      </c>
      <c r="I535" s="10">
        <v>328.75302233493915</v>
      </c>
      <c r="J535" s="325">
        <v>376.76629960792121</v>
      </c>
      <c r="K535" s="10">
        <v>15.037186517930081</v>
      </c>
      <c r="L535" s="10">
        <v>6.7665500954904187</v>
      </c>
      <c r="M535" s="325">
        <v>21.803736613420501</v>
      </c>
      <c r="N535" s="10">
        <v>11.718762326857849</v>
      </c>
      <c r="O535" s="10">
        <v>46.942758382587421</v>
      </c>
      <c r="P535" s="10">
        <v>6.7552141815297331</v>
      </c>
      <c r="Q535" s="10">
        <v>3.7747721715448725</v>
      </c>
      <c r="R535" s="10">
        <v>17.95090868233704</v>
      </c>
      <c r="S535" s="10">
        <v>46.662484262912905</v>
      </c>
      <c r="T535" s="10">
        <v>37.513552693017864</v>
      </c>
      <c r="U535" s="10">
        <v>10.884306791462487</v>
      </c>
      <c r="V535" s="325">
        <v>182.20275949225015</v>
      </c>
      <c r="W535" s="325">
        <v>580.7727957135919</v>
      </c>
      <c r="X535" s="10">
        <v>65.457122130377812</v>
      </c>
      <c r="Y535" s="320">
        <v>646.2299178439697</v>
      </c>
    </row>
    <row r="536" spans="1:25" x14ac:dyDescent="0.2">
      <c r="A536" s="7">
        <v>2019</v>
      </c>
      <c r="B536" s="5" t="s">
        <v>466</v>
      </c>
      <c r="C536" s="5" t="s">
        <v>157</v>
      </c>
      <c r="D536" s="5" t="s">
        <v>473</v>
      </c>
      <c r="E536" s="5" t="s">
        <v>169</v>
      </c>
      <c r="F536" s="5" t="s">
        <v>160</v>
      </c>
      <c r="G536" s="5" t="s">
        <v>170</v>
      </c>
      <c r="H536" s="10">
        <v>22.486337374984416</v>
      </c>
      <c r="I536" s="10">
        <v>0.41528901947846975</v>
      </c>
      <c r="J536" s="325">
        <v>22.901626394462884</v>
      </c>
      <c r="K536" s="10">
        <v>3.590746376624887</v>
      </c>
      <c r="L536" s="10">
        <v>15.437696421902961</v>
      </c>
      <c r="M536" s="325">
        <v>19.028442798527848</v>
      </c>
      <c r="N536" s="10">
        <v>17.431941194511939</v>
      </c>
      <c r="O536" s="10">
        <v>27.432736122545499</v>
      </c>
      <c r="P536" s="10">
        <v>6.1678890805171003</v>
      </c>
      <c r="Q536" s="10">
        <v>3.0550564355715477</v>
      </c>
      <c r="R536" s="10">
        <v>11.425296578425506</v>
      </c>
      <c r="S536" s="10">
        <v>17.750272766866352</v>
      </c>
      <c r="T536" s="10">
        <v>34.136838491138626</v>
      </c>
      <c r="U536" s="10">
        <v>6.2840076507082943</v>
      </c>
      <c r="V536" s="325">
        <v>123.68403832028487</v>
      </c>
      <c r="W536" s="325">
        <v>165.6141075132756</v>
      </c>
      <c r="X536" s="10">
        <v>16.791823097336344</v>
      </c>
      <c r="Y536" s="320">
        <v>182.40593061061193</v>
      </c>
    </row>
    <row r="537" spans="1:25" x14ac:dyDescent="0.2">
      <c r="A537" s="7">
        <v>2019</v>
      </c>
      <c r="B537" s="5" t="s">
        <v>466</v>
      </c>
      <c r="C537" s="5" t="s">
        <v>157</v>
      </c>
      <c r="D537" s="5" t="s">
        <v>473</v>
      </c>
      <c r="E537" s="5" t="s">
        <v>171</v>
      </c>
      <c r="F537" s="5" t="s">
        <v>160</v>
      </c>
      <c r="G537" s="5" t="s">
        <v>172</v>
      </c>
      <c r="H537" s="10">
        <v>45.111004612817176</v>
      </c>
      <c r="I537" s="10">
        <v>13.320778072698516</v>
      </c>
      <c r="J537" s="325">
        <v>58.431782685515692</v>
      </c>
      <c r="K537" s="10">
        <v>7.8821854506848306</v>
      </c>
      <c r="L537" s="10">
        <v>4.5512430409101521</v>
      </c>
      <c r="M537" s="325">
        <v>12.433428491594983</v>
      </c>
      <c r="N537" s="10">
        <v>23.249259856825812</v>
      </c>
      <c r="O537" s="10">
        <v>11.622727239685124</v>
      </c>
      <c r="P537" s="10">
        <v>2.0069069427621304</v>
      </c>
      <c r="Q537" s="10">
        <v>0.86450501487404696</v>
      </c>
      <c r="R537" s="10">
        <v>5.392703869591144</v>
      </c>
      <c r="S537" s="10">
        <v>10.292790092057214</v>
      </c>
      <c r="T537" s="10">
        <v>15.831180069997432</v>
      </c>
      <c r="U537" s="10">
        <v>2.7834326610783697</v>
      </c>
      <c r="V537" s="325">
        <v>72.043505746871261</v>
      </c>
      <c r="W537" s="325">
        <v>142.90871692398193</v>
      </c>
      <c r="X537" s="10">
        <v>15.069685431653509</v>
      </c>
      <c r="Y537" s="320">
        <v>157.97840235563544</v>
      </c>
    </row>
    <row r="538" spans="1:25" x14ac:dyDescent="0.2">
      <c r="A538" s="7">
        <v>2019</v>
      </c>
      <c r="B538" s="5" t="s">
        <v>466</v>
      </c>
      <c r="C538" s="5" t="s">
        <v>157</v>
      </c>
      <c r="D538" s="5" t="s">
        <v>477</v>
      </c>
      <c r="E538" s="5" t="s">
        <v>173</v>
      </c>
      <c r="F538" s="5" t="s">
        <v>160</v>
      </c>
      <c r="G538" s="5" t="s">
        <v>174</v>
      </c>
      <c r="H538" s="10">
        <v>19.188648982470518</v>
      </c>
      <c r="I538" s="10">
        <v>390.85551213921048</v>
      </c>
      <c r="J538" s="325">
        <v>410.04416112168099</v>
      </c>
      <c r="K538" s="10">
        <v>26.614394914598485</v>
      </c>
      <c r="L538" s="10">
        <v>5.9246405371821709</v>
      </c>
      <c r="M538" s="325">
        <v>32.539035451780656</v>
      </c>
      <c r="N538" s="10">
        <v>21.076790602868471</v>
      </c>
      <c r="O538" s="10">
        <v>78.117332329125801</v>
      </c>
      <c r="P538" s="10">
        <v>14.545277413777548</v>
      </c>
      <c r="Q538" s="10">
        <v>7.7901094082131168</v>
      </c>
      <c r="R538" s="10">
        <v>40.51029128554957</v>
      </c>
      <c r="S538" s="10">
        <v>68.104907565079117</v>
      </c>
      <c r="T538" s="10">
        <v>49.336839630089656</v>
      </c>
      <c r="U538" s="10">
        <v>17.141729712199535</v>
      </c>
      <c r="V538" s="325">
        <v>296.62327794690282</v>
      </c>
      <c r="W538" s="325">
        <v>739.20647452036451</v>
      </c>
      <c r="X538" s="10">
        <v>82.37626909017564</v>
      </c>
      <c r="Y538" s="320">
        <v>821.58274361054009</v>
      </c>
    </row>
    <row r="539" spans="1:25" x14ac:dyDescent="0.2">
      <c r="A539" s="7">
        <v>2019</v>
      </c>
      <c r="B539" s="5" t="s">
        <v>466</v>
      </c>
      <c r="C539" s="5" t="s">
        <v>157</v>
      </c>
      <c r="D539" s="5" t="s">
        <v>475</v>
      </c>
      <c r="E539" s="5" t="s">
        <v>175</v>
      </c>
      <c r="F539" s="5" t="s">
        <v>160</v>
      </c>
      <c r="G539" s="5" t="s">
        <v>176</v>
      </c>
      <c r="H539" s="10">
        <v>12.555143707536951</v>
      </c>
      <c r="I539" s="10">
        <v>0.82754154614549935</v>
      </c>
      <c r="J539" s="325">
        <v>13.38268525368245</v>
      </c>
      <c r="K539" s="10">
        <v>0.47295612486395372</v>
      </c>
      <c r="L539" s="10">
        <v>11.012863596539887</v>
      </c>
      <c r="M539" s="325">
        <v>11.485819721403841</v>
      </c>
      <c r="N539" s="10">
        <v>4.2118357683758028</v>
      </c>
      <c r="O539" s="10">
        <v>20.853017623938261</v>
      </c>
      <c r="P539" s="10">
        <v>4.6550893550044519</v>
      </c>
      <c r="Q539" s="10">
        <v>3.8756262778105728</v>
      </c>
      <c r="R539" s="10">
        <v>8.5931372459544431</v>
      </c>
      <c r="S539" s="10">
        <v>11.466209623544563</v>
      </c>
      <c r="T539" s="10">
        <v>23.544581729017612</v>
      </c>
      <c r="U539" s="10">
        <v>6.7220376166793789</v>
      </c>
      <c r="V539" s="325">
        <v>83.921535240325085</v>
      </c>
      <c r="W539" s="325">
        <v>108.79004021541138</v>
      </c>
      <c r="X539" s="10">
        <v>10.950480511367774</v>
      </c>
      <c r="Y539" s="320">
        <v>119.74052072677915</v>
      </c>
    </row>
    <row r="540" spans="1:25" x14ac:dyDescent="0.2">
      <c r="A540" s="7">
        <v>2019</v>
      </c>
      <c r="B540" s="5" t="s">
        <v>466</v>
      </c>
      <c r="C540" s="5" t="s">
        <v>157</v>
      </c>
      <c r="D540" s="5" t="s">
        <v>475</v>
      </c>
      <c r="E540" s="5" t="s">
        <v>177</v>
      </c>
      <c r="F540" s="5" t="s">
        <v>160</v>
      </c>
      <c r="G540" s="5" t="s">
        <v>178</v>
      </c>
      <c r="H540" s="10">
        <v>11.138017909916684</v>
      </c>
      <c r="I540" s="10">
        <v>0.58059700983487461</v>
      </c>
      <c r="J540" s="325">
        <v>11.718614919751559</v>
      </c>
      <c r="K540" s="10">
        <v>1.7752792339678021</v>
      </c>
      <c r="L540" s="10">
        <v>3.8733159907971344</v>
      </c>
      <c r="M540" s="325">
        <v>5.6485952247649367</v>
      </c>
      <c r="N540" s="10">
        <v>3.5009099736153901</v>
      </c>
      <c r="O540" s="10">
        <v>8.9665068548951101</v>
      </c>
      <c r="P540" s="10">
        <v>2.2593549895256948</v>
      </c>
      <c r="Q540" s="10">
        <v>1.1821224489487396</v>
      </c>
      <c r="R540" s="10">
        <v>4.3037903367704331</v>
      </c>
      <c r="S540" s="10">
        <v>7.154324802539791</v>
      </c>
      <c r="T540" s="10">
        <v>15.68354631241743</v>
      </c>
      <c r="U540" s="10">
        <v>3.4478577691717565</v>
      </c>
      <c r="V540" s="325">
        <v>46.498413487884342</v>
      </c>
      <c r="W540" s="325">
        <v>63.86562363240084</v>
      </c>
      <c r="X540" s="10">
        <v>6.4784670216447067</v>
      </c>
      <c r="Y540" s="320">
        <v>70.344090654045544</v>
      </c>
    </row>
    <row r="541" spans="1:25" x14ac:dyDescent="0.2">
      <c r="A541" s="7">
        <v>2019</v>
      </c>
      <c r="B541" s="5" t="s">
        <v>466</v>
      </c>
      <c r="C541" s="5" t="s">
        <v>157</v>
      </c>
      <c r="D541" s="5" t="s">
        <v>475</v>
      </c>
      <c r="E541" s="5" t="s">
        <v>179</v>
      </c>
      <c r="F541" s="5" t="s">
        <v>160</v>
      </c>
      <c r="G541" s="5" t="s">
        <v>180</v>
      </c>
      <c r="H541" s="10">
        <v>37.116660979472037</v>
      </c>
      <c r="I541" s="10">
        <v>0.67404283642810547</v>
      </c>
      <c r="J541" s="325">
        <v>37.790703815900144</v>
      </c>
      <c r="K541" s="10">
        <v>3.6641349066746738</v>
      </c>
      <c r="L541" s="10">
        <v>18.922613580232863</v>
      </c>
      <c r="M541" s="325">
        <v>22.586748486907538</v>
      </c>
      <c r="N541" s="10">
        <v>4.731251707886468</v>
      </c>
      <c r="O541" s="10">
        <v>25.733795130989403</v>
      </c>
      <c r="P541" s="10">
        <v>5.8689823275968918</v>
      </c>
      <c r="Q541" s="10">
        <v>3.3909225724295191</v>
      </c>
      <c r="R541" s="10">
        <v>11.762614400398457</v>
      </c>
      <c r="S541" s="10">
        <v>18.969116767337514</v>
      </c>
      <c r="T541" s="10">
        <v>51.644504458220595</v>
      </c>
      <c r="U541" s="10">
        <v>11.924913020109143</v>
      </c>
      <c r="V541" s="325">
        <v>134.02610038496798</v>
      </c>
      <c r="W541" s="325">
        <v>194.40355268777566</v>
      </c>
      <c r="X541" s="10">
        <v>19.613533989224269</v>
      </c>
      <c r="Y541" s="320">
        <v>214.01708667699992</v>
      </c>
    </row>
    <row r="542" spans="1:25" x14ac:dyDescent="0.2">
      <c r="A542" s="7">
        <v>2019</v>
      </c>
      <c r="B542" s="5" t="s">
        <v>466</v>
      </c>
      <c r="C542" s="5" t="s">
        <v>181</v>
      </c>
      <c r="D542" s="5" t="s">
        <v>478</v>
      </c>
      <c r="E542" s="5" t="s">
        <v>183</v>
      </c>
      <c r="F542" s="5" t="s">
        <v>184</v>
      </c>
      <c r="G542" s="5" t="s">
        <v>185</v>
      </c>
      <c r="H542" s="10">
        <v>23.566646257728166</v>
      </c>
      <c r="I542" s="10">
        <v>0</v>
      </c>
      <c r="J542" s="325">
        <v>23.566646257728166</v>
      </c>
      <c r="K542" s="10">
        <v>1.1236180434856153</v>
      </c>
      <c r="L542" s="10">
        <v>17.864192972709681</v>
      </c>
      <c r="M542" s="325">
        <v>18.987811016195295</v>
      </c>
      <c r="N542" s="10">
        <v>4.7590811909746664</v>
      </c>
      <c r="O542" s="10">
        <v>16.655882453490488</v>
      </c>
      <c r="P542" s="10">
        <v>3.872892356500699</v>
      </c>
      <c r="Q542" s="10">
        <v>2.2432469934648793</v>
      </c>
      <c r="R542" s="10">
        <v>7.9035264785719361</v>
      </c>
      <c r="S542" s="10">
        <v>9.5144669838606326</v>
      </c>
      <c r="T542" s="10">
        <v>22.173654551702583</v>
      </c>
      <c r="U542" s="10">
        <v>3.2514808162582125</v>
      </c>
      <c r="V542" s="325">
        <v>70.374231824824093</v>
      </c>
      <c r="W542" s="325">
        <v>112.92868909874755</v>
      </c>
      <c r="X542" s="10">
        <v>11.380447616760726</v>
      </c>
      <c r="Y542" s="320">
        <v>124.30913671550829</v>
      </c>
    </row>
    <row r="543" spans="1:25" x14ac:dyDescent="0.2">
      <c r="A543" s="7">
        <v>2019</v>
      </c>
      <c r="B543" s="5" t="s">
        <v>466</v>
      </c>
      <c r="C543" s="5" t="s">
        <v>181</v>
      </c>
      <c r="D543" s="5" t="s">
        <v>479</v>
      </c>
      <c r="E543" s="5" t="s">
        <v>186</v>
      </c>
      <c r="F543" s="5" t="s">
        <v>184</v>
      </c>
      <c r="G543" s="5" t="s">
        <v>187</v>
      </c>
      <c r="H543" s="10">
        <v>17.840241730116606</v>
      </c>
      <c r="I543" s="10">
        <v>0.18762819020128055</v>
      </c>
      <c r="J543" s="325">
        <v>18.027869920317887</v>
      </c>
      <c r="K543" s="10">
        <v>2.366732386087508</v>
      </c>
      <c r="L543" s="10">
        <v>3.8842574971144224</v>
      </c>
      <c r="M543" s="325">
        <v>6.2509898832019299</v>
      </c>
      <c r="N543" s="10">
        <v>1.7715585645710263</v>
      </c>
      <c r="O543" s="10">
        <v>5.4757573393384957</v>
      </c>
      <c r="P543" s="10">
        <v>1.1310051001130919</v>
      </c>
      <c r="Q543" s="10">
        <v>0.37948281679270807</v>
      </c>
      <c r="R543" s="10">
        <v>3.9081802179317706</v>
      </c>
      <c r="S543" s="10">
        <v>5.5433457353984821</v>
      </c>
      <c r="T543" s="10">
        <v>22.977074718248687</v>
      </c>
      <c r="U543" s="10">
        <v>1.4077010642419738</v>
      </c>
      <c r="V543" s="325">
        <v>42.594105556636237</v>
      </c>
      <c r="W543" s="325">
        <v>66.872965360156059</v>
      </c>
      <c r="X543" s="10">
        <v>6.809793993311712</v>
      </c>
      <c r="Y543" s="320">
        <v>73.682759353467773</v>
      </c>
    </row>
    <row r="544" spans="1:25" x14ac:dyDescent="0.2">
      <c r="A544" s="7">
        <v>2019</v>
      </c>
      <c r="B544" s="5" t="s">
        <v>466</v>
      </c>
      <c r="C544" s="5" t="s">
        <v>181</v>
      </c>
      <c r="D544" s="5" t="s">
        <v>478</v>
      </c>
      <c r="E544" s="5" t="s">
        <v>188</v>
      </c>
      <c r="F544" s="5" t="s">
        <v>184</v>
      </c>
      <c r="G544" s="5" t="s">
        <v>189</v>
      </c>
      <c r="H544" s="10">
        <v>7.8343025832860134</v>
      </c>
      <c r="I544" s="10">
        <v>0.6388052349513903</v>
      </c>
      <c r="J544" s="325">
        <v>8.4731078182374038</v>
      </c>
      <c r="K544" s="10">
        <v>0.52110494111851846</v>
      </c>
      <c r="L544" s="10">
        <v>5.0368804489859329</v>
      </c>
      <c r="M544" s="325">
        <v>5.5579853901044514</v>
      </c>
      <c r="N544" s="10">
        <v>1.7581787459681131</v>
      </c>
      <c r="O544" s="10">
        <v>5.4547373769207761</v>
      </c>
      <c r="P544" s="10">
        <v>2.3847779754129226</v>
      </c>
      <c r="Q544" s="10">
        <v>1.0831727277761838</v>
      </c>
      <c r="R544" s="10">
        <v>4.2289024930589809</v>
      </c>
      <c r="S544" s="10">
        <v>8.3412502243495545</v>
      </c>
      <c r="T544" s="10">
        <v>21.11553285914195</v>
      </c>
      <c r="U544" s="10">
        <v>2.3667423752656398</v>
      </c>
      <c r="V544" s="325">
        <v>46.733294777894123</v>
      </c>
      <c r="W544" s="325">
        <v>60.764387986235974</v>
      </c>
      <c r="X544" s="10">
        <v>6.1195279723412837</v>
      </c>
      <c r="Y544" s="320">
        <v>66.883915958577262</v>
      </c>
    </row>
    <row r="545" spans="1:25" x14ac:dyDescent="0.2">
      <c r="A545" s="7">
        <v>2019</v>
      </c>
      <c r="B545" s="5" t="s">
        <v>466</v>
      </c>
      <c r="C545" s="5" t="s">
        <v>181</v>
      </c>
      <c r="D545" s="5" t="s">
        <v>478</v>
      </c>
      <c r="E545" s="5" t="s">
        <v>190</v>
      </c>
      <c r="F545" s="5" t="s">
        <v>184</v>
      </c>
      <c r="G545" s="5" t="s">
        <v>191</v>
      </c>
      <c r="H545" s="10">
        <v>4.4085656947581633</v>
      </c>
      <c r="I545" s="10">
        <v>0</v>
      </c>
      <c r="J545" s="325">
        <v>4.4085656947581633</v>
      </c>
      <c r="K545" s="10">
        <v>1.0662893099771782</v>
      </c>
      <c r="L545" s="10">
        <v>5.2505579875485848</v>
      </c>
      <c r="M545" s="325">
        <v>6.3168472975257632</v>
      </c>
      <c r="N545" s="10">
        <v>3.1919042520070326</v>
      </c>
      <c r="O545" s="10">
        <v>9.6114234043329017</v>
      </c>
      <c r="P545" s="10">
        <v>2.9440656669660901</v>
      </c>
      <c r="Q545" s="10">
        <v>1.6814571377785275</v>
      </c>
      <c r="R545" s="10">
        <v>4.9790863880466008</v>
      </c>
      <c r="S545" s="10">
        <v>8.024951230253027</v>
      </c>
      <c r="T545" s="10">
        <v>18.297879871444387</v>
      </c>
      <c r="U545" s="10">
        <v>2.6874741050804598</v>
      </c>
      <c r="V545" s="325">
        <v>51.418242055909026</v>
      </c>
      <c r="W545" s="325">
        <v>62.143655048192954</v>
      </c>
      <c r="X545" s="10">
        <v>6.2321897366585546</v>
      </c>
      <c r="Y545" s="320">
        <v>68.375844784851509</v>
      </c>
    </row>
    <row r="546" spans="1:25" x14ac:dyDescent="0.2">
      <c r="A546" s="7">
        <v>2019</v>
      </c>
      <c r="B546" s="5" t="s">
        <v>466</v>
      </c>
      <c r="C546" s="5" t="s">
        <v>181</v>
      </c>
      <c r="D546" s="5" t="s">
        <v>476</v>
      </c>
      <c r="E546" s="5" t="s">
        <v>192</v>
      </c>
      <c r="F546" s="5" t="s">
        <v>184</v>
      </c>
      <c r="G546" s="5" t="s">
        <v>193</v>
      </c>
      <c r="H546" s="10">
        <v>5.4187868992140649</v>
      </c>
      <c r="I546" s="10">
        <v>0</v>
      </c>
      <c r="J546" s="325">
        <v>5.4187868992140649</v>
      </c>
      <c r="K546" s="10">
        <v>0.56658792095392063</v>
      </c>
      <c r="L546" s="10">
        <v>2.8503946847840038</v>
      </c>
      <c r="M546" s="325">
        <v>3.4169826057379247</v>
      </c>
      <c r="N546" s="10">
        <v>18.019155571445019</v>
      </c>
      <c r="O546" s="10">
        <v>1.2735921007633029</v>
      </c>
      <c r="P546" s="10">
        <v>0.39610667720882997</v>
      </c>
      <c r="Q546" s="10">
        <v>0.21405258654447962</v>
      </c>
      <c r="R546" s="10">
        <v>0.85414420722569417</v>
      </c>
      <c r="S546" s="10">
        <v>2.3094348944356438</v>
      </c>
      <c r="T546" s="10">
        <v>2.8293776217984949</v>
      </c>
      <c r="U546" s="10">
        <v>0.35631305076286585</v>
      </c>
      <c r="V546" s="325">
        <v>26.25217671018433</v>
      </c>
      <c r="W546" s="325">
        <v>35.08794621513632</v>
      </c>
      <c r="X546" s="10">
        <v>3.6971648400413648</v>
      </c>
      <c r="Y546" s="320">
        <v>38.785111055177687</v>
      </c>
    </row>
    <row r="547" spans="1:25" x14ac:dyDescent="0.2">
      <c r="A547" s="7">
        <v>2019</v>
      </c>
      <c r="B547" s="5" t="s">
        <v>466</v>
      </c>
      <c r="C547" s="5" t="s">
        <v>181</v>
      </c>
      <c r="D547" s="5" t="s">
        <v>479</v>
      </c>
      <c r="E547" s="5" t="s">
        <v>194</v>
      </c>
      <c r="F547" s="5" t="s">
        <v>184</v>
      </c>
      <c r="G547" s="5" t="s">
        <v>195</v>
      </c>
      <c r="H547" s="10">
        <v>128.16574400844564</v>
      </c>
      <c r="I547" s="10">
        <v>0</v>
      </c>
      <c r="J547" s="325">
        <v>128.16574400844564</v>
      </c>
      <c r="K547" s="10">
        <v>25.993055362488246</v>
      </c>
      <c r="L547" s="10">
        <v>19.159530359798101</v>
      </c>
      <c r="M547" s="325">
        <v>45.152585722286346</v>
      </c>
      <c r="N547" s="10">
        <v>21.744231243775381</v>
      </c>
      <c r="O547" s="10">
        <v>61.56775453858193</v>
      </c>
      <c r="P547" s="10">
        <v>8.2261581561108361</v>
      </c>
      <c r="Q547" s="10">
        <v>10.044814523636399</v>
      </c>
      <c r="R547" s="10">
        <v>19.14526292550892</v>
      </c>
      <c r="S547" s="10">
        <v>25.339646761479507</v>
      </c>
      <c r="T547" s="10">
        <v>23.814978663054994</v>
      </c>
      <c r="U547" s="10">
        <v>8.0471498458735802</v>
      </c>
      <c r="V547" s="325">
        <v>177.92999665802157</v>
      </c>
      <c r="W547" s="325">
        <v>351.24832638875353</v>
      </c>
      <c r="X547" s="10">
        <v>36.062956147101602</v>
      </c>
      <c r="Y547" s="320">
        <v>387.31128253585513</v>
      </c>
    </row>
    <row r="548" spans="1:25" x14ac:dyDescent="0.2">
      <c r="A548" s="7">
        <v>2019</v>
      </c>
      <c r="B548" s="5" t="s">
        <v>466</v>
      </c>
      <c r="C548" s="5" t="s">
        <v>181</v>
      </c>
      <c r="D548" s="5" t="s">
        <v>479</v>
      </c>
      <c r="E548" s="5" t="s">
        <v>196</v>
      </c>
      <c r="F548" s="5" t="s">
        <v>184</v>
      </c>
      <c r="G548" s="5" t="s">
        <v>197</v>
      </c>
      <c r="H548" s="10">
        <v>57.695394944946152</v>
      </c>
      <c r="I548" s="10">
        <v>0</v>
      </c>
      <c r="J548" s="325">
        <v>57.695394944946152</v>
      </c>
      <c r="K548" s="10">
        <v>139.19094646636853</v>
      </c>
      <c r="L548" s="10">
        <v>48.324696605612644</v>
      </c>
      <c r="M548" s="325">
        <v>187.51564307198117</v>
      </c>
      <c r="N548" s="10">
        <v>8.8574575527276291</v>
      </c>
      <c r="O548" s="10">
        <v>30.949218404450825</v>
      </c>
      <c r="P548" s="10">
        <v>4.2489196537995193</v>
      </c>
      <c r="Q548" s="10">
        <v>4.1876133213812681</v>
      </c>
      <c r="R548" s="10">
        <v>11.078719967227217</v>
      </c>
      <c r="S548" s="10">
        <v>20.053877080573191</v>
      </c>
      <c r="T548" s="10">
        <v>15.448399358670468</v>
      </c>
      <c r="U548" s="10">
        <v>4.8897020471891608</v>
      </c>
      <c r="V548" s="325">
        <v>99.713907386019287</v>
      </c>
      <c r="W548" s="325">
        <v>344.92494540294661</v>
      </c>
      <c r="X548" s="10">
        <v>33.311773494064859</v>
      </c>
      <c r="Y548" s="320">
        <v>378.23671889701149</v>
      </c>
    </row>
    <row r="549" spans="1:25" x14ac:dyDescent="0.2">
      <c r="A549" s="7">
        <v>2019</v>
      </c>
      <c r="B549" s="5" t="s">
        <v>466</v>
      </c>
      <c r="C549" s="5" t="s">
        <v>181</v>
      </c>
      <c r="D549" s="5" t="s">
        <v>476</v>
      </c>
      <c r="E549" s="5" t="s">
        <v>198</v>
      </c>
      <c r="F549" s="5" t="s">
        <v>184</v>
      </c>
      <c r="G549" s="5" t="s">
        <v>199</v>
      </c>
      <c r="H549" s="10">
        <v>20.348391657640267</v>
      </c>
      <c r="I549" s="10">
        <v>0.80036765555762135</v>
      </c>
      <c r="J549" s="325">
        <v>21.148759313197889</v>
      </c>
      <c r="K549" s="10">
        <v>13.604770551880204</v>
      </c>
      <c r="L549" s="10">
        <v>13.65581751445472</v>
      </c>
      <c r="M549" s="325">
        <v>27.260588066334925</v>
      </c>
      <c r="N549" s="10">
        <v>22.475431113197232</v>
      </c>
      <c r="O549" s="10">
        <v>43.960385337783592</v>
      </c>
      <c r="P549" s="10">
        <v>11.976026752424911</v>
      </c>
      <c r="Q549" s="10">
        <v>5.7572844960760863</v>
      </c>
      <c r="R549" s="10">
        <v>31.211130355090152</v>
      </c>
      <c r="S549" s="10">
        <v>39.475561786385221</v>
      </c>
      <c r="T549" s="10">
        <v>72.850192689570861</v>
      </c>
      <c r="U549" s="10">
        <v>15.104690156989571</v>
      </c>
      <c r="V549" s="325">
        <v>242.81070268751762</v>
      </c>
      <c r="W549" s="325">
        <v>291.22005006705047</v>
      </c>
      <c r="X549" s="10">
        <v>29.269465735153183</v>
      </c>
      <c r="Y549" s="320">
        <v>320.48951580220364</v>
      </c>
    </row>
    <row r="550" spans="1:25" x14ac:dyDescent="0.2">
      <c r="A550" s="7">
        <v>2019</v>
      </c>
      <c r="B550" s="5" t="s">
        <v>466</v>
      </c>
      <c r="C550" s="5" t="s">
        <v>181</v>
      </c>
      <c r="D550" s="5" t="s">
        <v>476</v>
      </c>
      <c r="E550" s="5" t="s">
        <v>200</v>
      </c>
      <c r="F550" s="5" t="s">
        <v>184</v>
      </c>
      <c r="G550" s="5" t="s">
        <v>201</v>
      </c>
      <c r="H550" s="10">
        <v>5.835433738230396</v>
      </c>
      <c r="I550" s="10">
        <v>0</v>
      </c>
      <c r="J550" s="325">
        <v>5.835433738230396</v>
      </c>
      <c r="K550" s="10">
        <v>0.18781728279736026</v>
      </c>
      <c r="L550" s="10">
        <v>5.6604319066888813</v>
      </c>
      <c r="M550" s="325">
        <v>5.8482491894862418</v>
      </c>
      <c r="N550" s="10">
        <v>24.879080017348585</v>
      </c>
      <c r="O550" s="10">
        <v>2.9194839490705338</v>
      </c>
      <c r="P550" s="10">
        <v>0.91776657799315642</v>
      </c>
      <c r="Q550" s="10">
        <v>0.55756244235666175</v>
      </c>
      <c r="R550" s="10">
        <v>1.4134492409988353</v>
      </c>
      <c r="S550" s="10">
        <v>4.3278606801256627</v>
      </c>
      <c r="T550" s="10">
        <v>6.9980783471506269</v>
      </c>
      <c r="U550" s="10">
        <v>1.0907868927157136</v>
      </c>
      <c r="V550" s="325">
        <v>43.104068147759769</v>
      </c>
      <c r="W550" s="325">
        <v>54.787751075476407</v>
      </c>
      <c r="X550" s="10">
        <v>5.7166394427508695</v>
      </c>
      <c r="Y550" s="320">
        <v>60.504390518227275</v>
      </c>
    </row>
    <row r="551" spans="1:25" x14ac:dyDescent="0.2">
      <c r="A551" s="7">
        <v>2019</v>
      </c>
      <c r="B551" s="5" t="s">
        <v>466</v>
      </c>
      <c r="C551" s="5" t="s">
        <v>181</v>
      </c>
      <c r="D551" s="5" t="s">
        <v>480</v>
      </c>
      <c r="E551" s="5" t="s">
        <v>202</v>
      </c>
      <c r="F551" s="5" t="s">
        <v>184</v>
      </c>
      <c r="G551" s="5" t="s">
        <v>203</v>
      </c>
      <c r="H551" s="10">
        <v>33.947055513500445</v>
      </c>
      <c r="I551" s="10">
        <v>0</v>
      </c>
      <c r="J551" s="325">
        <v>33.947055513500445</v>
      </c>
      <c r="K551" s="10">
        <v>5.5767939735784617</v>
      </c>
      <c r="L551" s="10">
        <v>13.778749315931769</v>
      </c>
      <c r="M551" s="325">
        <v>19.35554328951023</v>
      </c>
      <c r="N551" s="10">
        <v>7.8554154781557672</v>
      </c>
      <c r="O551" s="10">
        <v>26.406436829379391</v>
      </c>
      <c r="P551" s="10">
        <v>8.606239580103388</v>
      </c>
      <c r="Q551" s="10">
        <v>4.5668603515872093</v>
      </c>
      <c r="R551" s="10">
        <v>15.239403285269317</v>
      </c>
      <c r="S551" s="10">
        <v>25.054988589964395</v>
      </c>
      <c r="T551" s="10">
        <v>60.084952946911017</v>
      </c>
      <c r="U551" s="10">
        <v>6.6613162030370781</v>
      </c>
      <c r="V551" s="325">
        <v>154.47561326440757</v>
      </c>
      <c r="W551" s="325">
        <v>207.77821206741822</v>
      </c>
      <c r="X551" s="10">
        <v>20.978275882119735</v>
      </c>
      <c r="Y551" s="320">
        <v>228.75648794953796</v>
      </c>
    </row>
    <row r="552" spans="1:25" x14ac:dyDescent="0.2">
      <c r="A552" s="7">
        <v>2019</v>
      </c>
      <c r="B552" s="5" t="s">
        <v>466</v>
      </c>
      <c r="C552" s="5" t="s">
        <v>181</v>
      </c>
      <c r="D552" s="5" t="s">
        <v>480</v>
      </c>
      <c r="E552" s="5" t="s">
        <v>204</v>
      </c>
      <c r="F552" s="5" t="s">
        <v>184</v>
      </c>
      <c r="G552" s="5" t="s">
        <v>205</v>
      </c>
      <c r="H552" s="10">
        <v>12.922467026095632</v>
      </c>
      <c r="I552" s="10">
        <v>0</v>
      </c>
      <c r="J552" s="325">
        <v>12.922467026095632</v>
      </c>
      <c r="K552" s="10">
        <v>0.61306755846604244</v>
      </c>
      <c r="L552" s="10">
        <v>5.2266920279113913</v>
      </c>
      <c r="M552" s="325">
        <v>5.8397595863774336</v>
      </c>
      <c r="N552" s="10">
        <v>1.6750375273908862</v>
      </c>
      <c r="O552" s="10">
        <v>6.1120528702066519</v>
      </c>
      <c r="P552" s="10">
        <v>2.2374529097507851</v>
      </c>
      <c r="Q552" s="10">
        <v>1.9369914698015986</v>
      </c>
      <c r="R552" s="10">
        <v>7.1203552861704313</v>
      </c>
      <c r="S552" s="10">
        <v>6.848405657551262</v>
      </c>
      <c r="T552" s="10">
        <v>15.670168795384159</v>
      </c>
      <c r="U552" s="10">
        <v>2.5748812827628846</v>
      </c>
      <c r="V552" s="325">
        <v>44.175345799018658</v>
      </c>
      <c r="W552" s="325">
        <v>62.937572411491722</v>
      </c>
      <c r="X552" s="10">
        <v>6.3445781360760538</v>
      </c>
      <c r="Y552" s="320">
        <v>69.282150547567781</v>
      </c>
    </row>
    <row r="553" spans="1:25" x14ac:dyDescent="0.2">
      <c r="A553" s="7">
        <v>2019</v>
      </c>
      <c r="B553" s="5" t="s">
        <v>466</v>
      </c>
      <c r="C553" s="5" t="s">
        <v>181</v>
      </c>
      <c r="D553" s="5" t="s">
        <v>479</v>
      </c>
      <c r="E553" s="5" t="s">
        <v>206</v>
      </c>
      <c r="F553" s="5" t="s">
        <v>184</v>
      </c>
      <c r="G553" s="5" t="s">
        <v>207</v>
      </c>
      <c r="H553" s="10">
        <v>3.2841137979277812</v>
      </c>
      <c r="I553" s="10">
        <v>0</v>
      </c>
      <c r="J553" s="325">
        <v>3.2841137979277812</v>
      </c>
      <c r="K553" s="10">
        <v>1.2694722968396175</v>
      </c>
      <c r="L553" s="10">
        <v>1.8919746810257705</v>
      </c>
      <c r="M553" s="325">
        <v>3.161446977865388</v>
      </c>
      <c r="N553" s="10">
        <v>2.550606414651261</v>
      </c>
      <c r="O553" s="10">
        <v>5.0930662229456862</v>
      </c>
      <c r="P553" s="10">
        <v>1.2003469530668973</v>
      </c>
      <c r="Q553" s="10">
        <v>0.80627433306263541</v>
      </c>
      <c r="R553" s="10">
        <v>2.7248664271976315</v>
      </c>
      <c r="S553" s="10">
        <v>3.8809595316333869</v>
      </c>
      <c r="T553" s="10">
        <v>7.7541197153239825</v>
      </c>
      <c r="U553" s="10">
        <v>1.7099284970090489</v>
      </c>
      <c r="V553" s="325">
        <v>25.720168094890528</v>
      </c>
      <c r="W553" s="325">
        <v>32.165728870683701</v>
      </c>
      <c r="X553" s="10">
        <v>3.2416068268968621</v>
      </c>
      <c r="Y553" s="320">
        <v>35.407335697580564</v>
      </c>
    </row>
    <row r="554" spans="1:25" x14ac:dyDescent="0.2">
      <c r="A554" s="7">
        <v>2019</v>
      </c>
      <c r="B554" s="5" t="s">
        <v>466</v>
      </c>
      <c r="C554" s="5" t="s">
        <v>181</v>
      </c>
      <c r="D554" s="5" t="s">
        <v>479</v>
      </c>
      <c r="E554" s="5" t="s">
        <v>208</v>
      </c>
      <c r="F554" s="5" t="s">
        <v>184</v>
      </c>
      <c r="G554" s="5" t="s">
        <v>209</v>
      </c>
      <c r="H554" s="10">
        <v>81.046868512033043</v>
      </c>
      <c r="I554" s="10">
        <v>0.84788907576663164</v>
      </c>
      <c r="J554" s="325">
        <v>81.894757587799674</v>
      </c>
      <c r="K554" s="10">
        <v>365.68301622801357</v>
      </c>
      <c r="L554" s="10">
        <v>65.87875763406052</v>
      </c>
      <c r="M554" s="325">
        <v>431.56177386207412</v>
      </c>
      <c r="N554" s="10">
        <v>15.899574294794981</v>
      </c>
      <c r="O554" s="10">
        <v>60.242042512329604</v>
      </c>
      <c r="P554" s="10">
        <v>9.2335649825162687</v>
      </c>
      <c r="Q554" s="10">
        <v>10.94340095667102</v>
      </c>
      <c r="R554" s="10">
        <v>26.490116725014204</v>
      </c>
      <c r="S554" s="10">
        <v>45.345257726358767</v>
      </c>
      <c r="T554" s="10">
        <v>30.059381325168516</v>
      </c>
      <c r="U554" s="10">
        <v>8.8898903443785215</v>
      </c>
      <c r="V554" s="325">
        <v>207.10322886723191</v>
      </c>
      <c r="W554" s="325">
        <v>720.55976031710566</v>
      </c>
      <c r="X554" s="10">
        <v>68.827446851274146</v>
      </c>
      <c r="Y554" s="320">
        <v>789.38720716837975</v>
      </c>
    </row>
    <row r="555" spans="1:25" x14ac:dyDescent="0.2">
      <c r="A555" s="7">
        <v>2019</v>
      </c>
      <c r="B555" s="5" t="s">
        <v>466</v>
      </c>
      <c r="C555" s="5" t="s">
        <v>181</v>
      </c>
      <c r="D555" s="5" t="s">
        <v>479</v>
      </c>
      <c r="E555" s="5" t="s">
        <v>210</v>
      </c>
      <c r="F555" s="5" t="s">
        <v>184</v>
      </c>
      <c r="G555" s="5" t="s">
        <v>211</v>
      </c>
      <c r="H555" s="10">
        <v>198.40853455053249</v>
      </c>
      <c r="I555" s="10">
        <v>4.0680020593445443</v>
      </c>
      <c r="J555" s="325">
        <v>202.47653660987703</v>
      </c>
      <c r="K555" s="10">
        <v>152.49639022617941</v>
      </c>
      <c r="L555" s="10">
        <v>103.78669539819052</v>
      </c>
      <c r="M555" s="325">
        <v>256.28308562436996</v>
      </c>
      <c r="N555" s="10">
        <v>35.660949859518276</v>
      </c>
      <c r="O555" s="10">
        <v>84.667637089948272</v>
      </c>
      <c r="P555" s="10">
        <v>13.298100835619882</v>
      </c>
      <c r="Q555" s="10">
        <v>13.588960468105498</v>
      </c>
      <c r="R555" s="10">
        <v>31.63543053171605</v>
      </c>
      <c r="S555" s="10">
        <v>58.627478005682939</v>
      </c>
      <c r="T555" s="10">
        <v>92.953704689243452</v>
      </c>
      <c r="U555" s="10">
        <v>12.201890930120999</v>
      </c>
      <c r="V555" s="325">
        <v>342.63415240995539</v>
      </c>
      <c r="W555" s="325">
        <v>801.39377464420238</v>
      </c>
      <c r="X555" s="10">
        <v>79.914101128508761</v>
      </c>
      <c r="Y555" s="320">
        <v>881.3078757727111</v>
      </c>
    </row>
    <row r="556" spans="1:25" x14ac:dyDescent="0.2">
      <c r="A556" s="7">
        <v>2019</v>
      </c>
      <c r="B556" s="5" t="s">
        <v>466</v>
      </c>
      <c r="C556" s="5" t="s">
        <v>181</v>
      </c>
      <c r="D556" s="5" t="s">
        <v>480</v>
      </c>
      <c r="E556" s="5" t="s">
        <v>212</v>
      </c>
      <c r="F556" s="5" t="s">
        <v>184</v>
      </c>
      <c r="G556" s="5" t="s">
        <v>213</v>
      </c>
      <c r="H556" s="10">
        <v>7.8325242352594771</v>
      </c>
      <c r="I556" s="10">
        <v>0.44477652576341742</v>
      </c>
      <c r="J556" s="325">
        <v>8.2773007610228948</v>
      </c>
      <c r="K556" s="10">
        <v>5.6726331967841155</v>
      </c>
      <c r="L556" s="10">
        <v>0.69112315115474232</v>
      </c>
      <c r="M556" s="325">
        <v>6.3637563479388577</v>
      </c>
      <c r="N556" s="10">
        <v>7.6276891241182003</v>
      </c>
      <c r="O556" s="10">
        <v>11.382617740411602</v>
      </c>
      <c r="P556" s="10">
        <v>1.8888415104339125</v>
      </c>
      <c r="Q556" s="10">
        <v>1.3762364957927435</v>
      </c>
      <c r="R556" s="10">
        <v>4.9896534419093381</v>
      </c>
      <c r="S556" s="10">
        <v>7.7974226064695076</v>
      </c>
      <c r="T556" s="10">
        <v>15.451355916568282</v>
      </c>
      <c r="U556" s="10">
        <v>2.0880246028861702</v>
      </c>
      <c r="V556" s="325">
        <v>52.601841438589759</v>
      </c>
      <c r="W556" s="325">
        <v>67.242898547551519</v>
      </c>
      <c r="X556" s="10">
        <v>6.8328994307271875</v>
      </c>
      <c r="Y556" s="320">
        <v>74.0757979782787</v>
      </c>
    </row>
    <row r="557" spans="1:25" x14ac:dyDescent="0.2">
      <c r="A557" s="7">
        <v>2019</v>
      </c>
      <c r="B557" s="5" t="s">
        <v>466</v>
      </c>
      <c r="C557" s="5" t="s">
        <v>181</v>
      </c>
      <c r="D557" s="5" t="s">
        <v>478</v>
      </c>
      <c r="E557" s="5" t="s">
        <v>214</v>
      </c>
      <c r="F557" s="5" t="s">
        <v>184</v>
      </c>
      <c r="G557" s="5" t="s">
        <v>215</v>
      </c>
      <c r="H557" s="10">
        <v>10.911279822995054</v>
      </c>
      <c r="I557" s="10">
        <v>0.41509313674337328</v>
      </c>
      <c r="J557" s="325">
        <v>11.326372959738427</v>
      </c>
      <c r="K557" s="10">
        <v>0.36875695116952473</v>
      </c>
      <c r="L557" s="10">
        <v>9.5651422646766679</v>
      </c>
      <c r="M557" s="325">
        <v>9.9338992158461927</v>
      </c>
      <c r="N557" s="10">
        <v>4.1343676653954073</v>
      </c>
      <c r="O557" s="10">
        <v>21.978826625428884</v>
      </c>
      <c r="P557" s="10">
        <v>3.9977120593528808</v>
      </c>
      <c r="Q557" s="10">
        <v>2.3697458561196352</v>
      </c>
      <c r="R557" s="10">
        <v>7.9695231239524178</v>
      </c>
      <c r="S557" s="10">
        <v>12.405028252056965</v>
      </c>
      <c r="T557" s="10">
        <v>30.017608034702654</v>
      </c>
      <c r="U557" s="10">
        <v>4.0203182931391774</v>
      </c>
      <c r="V557" s="325">
        <v>86.893129910148019</v>
      </c>
      <c r="W557" s="325">
        <v>108.15340208573264</v>
      </c>
      <c r="X557" s="10">
        <v>10.912068141878992</v>
      </c>
      <c r="Y557" s="320">
        <v>119.06547022761163</v>
      </c>
    </row>
    <row r="558" spans="1:25" x14ac:dyDescent="0.2">
      <c r="A558" s="7">
        <v>2019</v>
      </c>
      <c r="B558" s="5" t="s">
        <v>466</v>
      </c>
      <c r="C558" s="5" t="s">
        <v>181</v>
      </c>
      <c r="D558" s="5" t="s">
        <v>478</v>
      </c>
      <c r="E558" s="5" t="s">
        <v>216</v>
      </c>
      <c r="F558" s="5" t="s">
        <v>184</v>
      </c>
      <c r="G558" s="5" t="s">
        <v>217</v>
      </c>
      <c r="H558" s="10">
        <v>40.237842350589773</v>
      </c>
      <c r="I558" s="10">
        <v>0.88593965209904835</v>
      </c>
      <c r="J558" s="325">
        <v>41.12378200268882</v>
      </c>
      <c r="K558" s="10">
        <v>76.06782140549096</v>
      </c>
      <c r="L558" s="10">
        <v>49.376063316065334</v>
      </c>
      <c r="M558" s="325">
        <v>125.44388472155629</v>
      </c>
      <c r="N558" s="10">
        <v>21.263650360042952</v>
      </c>
      <c r="O558" s="10">
        <v>98.417097626275662</v>
      </c>
      <c r="P558" s="10">
        <v>17.375573764647925</v>
      </c>
      <c r="Q558" s="10">
        <v>19.112010194197634</v>
      </c>
      <c r="R558" s="10">
        <v>38.797710544253697</v>
      </c>
      <c r="S558" s="10">
        <v>50.845473603144974</v>
      </c>
      <c r="T558" s="10">
        <v>88.312324966988044</v>
      </c>
      <c r="U558" s="10">
        <v>15.244149989459007</v>
      </c>
      <c r="V558" s="325">
        <v>349.3679910490099</v>
      </c>
      <c r="W558" s="325">
        <v>515.935657773255</v>
      </c>
      <c r="X558" s="10">
        <v>51.109252179302416</v>
      </c>
      <c r="Y558" s="320">
        <v>567.04490995255742</v>
      </c>
    </row>
    <row r="559" spans="1:25" x14ac:dyDescent="0.2">
      <c r="A559" s="7">
        <v>2019</v>
      </c>
      <c r="B559" s="5" t="s">
        <v>466</v>
      </c>
      <c r="C559" s="5" t="s">
        <v>218</v>
      </c>
      <c r="D559" s="5" t="s">
        <v>481</v>
      </c>
      <c r="E559" s="5" t="s">
        <v>220</v>
      </c>
      <c r="F559" s="5" t="s">
        <v>221</v>
      </c>
      <c r="G559" s="5" t="s">
        <v>223</v>
      </c>
      <c r="H559" s="10">
        <v>6.6139997137094202</v>
      </c>
      <c r="I559" s="10">
        <v>0.33642912233509742</v>
      </c>
      <c r="J559" s="325">
        <v>6.9504288360445177</v>
      </c>
      <c r="K559" s="10">
        <v>0.34497173499168193</v>
      </c>
      <c r="L559" s="10">
        <v>2.1463395974054946</v>
      </c>
      <c r="M559" s="325">
        <v>2.4913113323971765</v>
      </c>
      <c r="N559" s="10">
        <v>2.3577458679326488</v>
      </c>
      <c r="O559" s="10">
        <v>1.6664640166666063</v>
      </c>
      <c r="P559" s="10">
        <v>0.57902727320082958</v>
      </c>
      <c r="Q559" s="10">
        <v>0.21760790622598025</v>
      </c>
      <c r="R559" s="10">
        <v>1.1885292816623516</v>
      </c>
      <c r="S559" s="10">
        <v>2.5003591909709839</v>
      </c>
      <c r="T559" s="10">
        <v>7.3027598921803003</v>
      </c>
      <c r="U559" s="10">
        <v>0.72051188618915152</v>
      </c>
      <c r="V559" s="325">
        <v>16.533005315028852</v>
      </c>
      <c r="W559" s="325">
        <v>25.974745483470549</v>
      </c>
      <c r="X559" s="10">
        <v>2.6601539970482149</v>
      </c>
      <c r="Y559" s="320">
        <v>28.634899480518765</v>
      </c>
    </row>
    <row r="560" spans="1:25" x14ac:dyDescent="0.2">
      <c r="A560" s="7">
        <v>2019</v>
      </c>
      <c r="B560" s="5" t="s">
        <v>466</v>
      </c>
      <c r="C560" s="5" t="s">
        <v>218</v>
      </c>
      <c r="D560" s="5" t="s">
        <v>482</v>
      </c>
      <c r="E560" s="5" t="s">
        <v>224</v>
      </c>
      <c r="F560" s="5" t="s">
        <v>221</v>
      </c>
      <c r="G560" s="5" t="s">
        <v>226</v>
      </c>
      <c r="H560" s="10">
        <v>39.026773987837238</v>
      </c>
      <c r="I560" s="10">
        <v>0.47533795222438507</v>
      </c>
      <c r="J560" s="325">
        <v>39.502111940061624</v>
      </c>
      <c r="K560" s="10">
        <v>0.64805014456226662</v>
      </c>
      <c r="L560" s="10">
        <v>8.2639166901768295</v>
      </c>
      <c r="M560" s="325">
        <v>8.911966834739097</v>
      </c>
      <c r="N560" s="10">
        <v>1.3626700883346052</v>
      </c>
      <c r="O560" s="10">
        <v>7.5738029655869514</v>
      </c>
      <c r="P560" s="10">
        <v>2.0019762032757322</v>
      </c>
      <c r="Q560" s="10">
        <v>1.4076607707616087</v>
      </c>
      <c r="R560" s="10">
        <v>4.7450062690542056</v>
      </c>
      <c r="S560" s="10">
        <v>7.9870712375090012</v>
      </c>
      <c r="T560" s="10">
        <v>13.66553030594452</v>
      </c>
      <c r="U560" s="10">
        <v>2.5227613533675108</v>
      </c>
      <c r="V560" s="325">
        <v>41.266479193834137</v>
      </c>
      <c r="W560" s="325">
        <v>89.680557968634858</v>
      </c>
      <c r="X560" s="10">
        <v>9.2253438277950757</v>
      </c>
      <c r="Y560" s="320">
        <v>98.90590179642993</v>
      </c>
    </row>
    <row r="561" spans="1:25" x14ac:dyDescent="0.2">
      <c r="A561" s="7">
        <v>2019</v>
      </c>
      <c r="B561" s="5" t="s">
        <v>466</v>
      </c>
      <c r="C561" s="5" t="s">
        <v>218</v>
      </c>
      <c r="D561" s="5" t="s">
        <v>482</v>
      </c>
      <c r="E561" s="5" t="s">
        <v>227</v>
      </c>
      <c r="F561" s="5" t="s">
        <v>221</v>
      </c>
      <c r="G561" s="5" t="s">
        <v>228</v>
      </c>
      <c r="H561" s="10">
        <v>10.682143578519266</v>
      </c>
      <c r="I561" s="10">
        <v>0</v>
      </c>
      <c r="J561" s="325">
        <v>10.682143578519266</v>
      </c>
      <c r="K561" s="10">
        <v>1.2678489477429631</v>
      </c>
      <c r="L561" s="10">
        <v>2.9991994246016511</v>
      </c>
      <c r="M561" s="325">
        <v>4.2670483723446146</v>
      </c>
      <c r="N561" s="10">
        <v>1.0159728065016822</v>
      </c>
      <c r="O561" s="10">
        <v>5.9498321803076806</v>
      </c>
      <c r="P561" s="10">
        <v>1.4792997841294404</v>
      </c>
      <c r="Q561" s="10">
        <v>0.89162014870105122</v>
      </c>
      <c r="R561" s="10">
        <v>4.1978800516813726</v>
      </c>
      <c r="S561" s="10">
        <v>4.8090525929253047</v>
      </c>
      <c r="T561" s="10">
        <v>10.68819861554767</v>
      </c>
      <c r="U561" s="10">
        <v>2.3281109102736948</v>
      </c>
      <c r="V561" s="325">
        <v>31.359967090067894</v>
      </c>
      <c r="W561" s="325">
        <v>46.309159040931775</v>
      </c>
      <c r="X561" s="10">
        <v>4.687124983739297</v>
      </c>
      <c r="Y561" s="320">
        <v>50.99628402467107</v>
      </c>
    </row>
    <row r="562" spans="1:25" x14ac:dyDescent="0.2">
      <c r="A562" s="7">
        <v>2019</v>
      </c>
      <c r="B562" s="5" t="s">
        <v>466</v>
      </c>
      <c r="C562" s="5" t="s">
        <v>218</v>
      </c>
      <c r="D562" s="5" t="s">
        <v>482</v>
      </c>
      <c r="E562" s="5" t="s">
        <v>229</v>
      </c>
      <c r="F562" s="5" t="s">
        <v>221</v>
      </c>
      <c r="G562" s="5" t="s">
        <v>230</v>
      </c>
      <c r="H562" s="10">
        <v>4.7545647460025613</v>
      </c>
      <c r="I562" s="10">
        <v>7.5780572851639931</v>
      </c>
      <c r="J562" s="325">
        <v>12.332622031166554</v>
      </c>
      <c r="K562" s="10">
        <v>4.9331970353538521</v>
      </c>
      <c r="L562" s="10">
        <v>1.2008265100622892</v>
      </c>
      <c r="M562" s="325">
        <v>6.1340235454161416</v>
      </c>
      <c r="N562" s="10">
        <v>6.2808074212841536</v>
      </c>
      <c r="O562" s="10">
        <v>9.6108404836192474</v>
      </c>
      <c r="P562" s="10">
        <v>2.4445184064431258</v>
      </c>
      <c r="Q562" s="10">
        <v>1.0529851377636827</v>
      </c>
      <c r="R562" s="10">
        <v>7.7553153082249198</v>
      </c>
      <c r="S562" s="10">
        <v>7.5833342868632023</v>
      </c>
      <c r="T562" s="10">
        <v>14.286701357319002</v>
      </c>
      <c r="U562" s="10">
        <v>3.2307223656137554</v>
      </c>
      <c r="V562" s="325">
        <v>52.245224767131091</v>
      </c>
      <c r="W562" s="325">
        <v>70.711870343713784</v>
      </c>
      <c r="X562" s="10">
        <v>7.2729518064417746</v>
      </c>
      <c r="Y562" s="320">
        <v>77.984822150155566</v>
      </c>
    </row>
    <row r="563" spans="1:25" x14ac:dyDescent="0.2">
      <c r="A563" s="7">
        <v>2019</v>
      </c>
      <c r="B563" s="5" t="s">
        <v>466</v>
      </c>
      <c r="C563" s="5" t="s">
        <v>218</v>
      </c>
      <c r="D563" s="5" t="s">
        <v>482</v>
      </c>
      <c r="E563" s="5" t="s">
        <v>231</v>
      </c>
      <c r="F563" s="5" t="s">
        <v>221</v>
      </c>
      <c r="G563" s="5" t="s">
        <v>232</v>
      </c>
      <c r="H563" s="10">
        <v>23.750947694442086</v>
      </c>
      <c r="I563" s="10">
        <v>0</v>
      </c>
      <c r="J563" s="325">
        <v>23.750947694442086</v>
      </c>
      <c r="K563" s="10">
        <v>2.1591393431387069</v>
      </c>
      <c r="L563" s="10">
        <v>5.3869225088802191</v>
      </c>
      <c r="M563" s="325">
        <v>7.5460618520189264</v>
      </c>
      <c r="N563" s="10">
        <v>1.37904585004053</v>
      </c>
      <c r="O563" s="10">
        <v>8.1445136845793389</v>
      </c>
      <c r="P563" s="10">
        <v>2.7102145096106516</v>
      </c>
      <c r="Q563" s="10">
        <v>1.8921325027354354</v>
      </c>
      <c r="R563" s="10">
        <v>6.0708384769997776</v>
      </c>
      <c r="S563" s="10">
        <v>8.282035303037798</v>
      </c>
      <c r="T563" s="10">
        <v>18.599217355784909</v>
      </c>
      <c r="U563" s="10">
        <v>3.0828292416787462</v>
      </c>
      <c r="V563" s="325">
        <v>50.16082692446718</v>
      </c>
      <c r="W563" s="325">
        <v>81.4578364709282</v>
      </c>
      <c r="X563" s="10">
        <v>8.277197691564913</v>
      </c>
      <c r="Y563" s="320">
        <v>89.735034162493108</v>
      </c>
    </row>
    <row r="564" spans="1:25" x14ac:dyDescent="0.2">
      <c r="A564" s="7">
        <v>2019</v>
      </c>
      <c r="B564" s="5" t="s">
        <v>466</v>
      </c>
      <c r="C564" s="5" t="s">
        <v>218</v>
      </c>
      <c r="D564" s="5" t="s">
        <v>481</v>
      </c>
      <c r="E564" s="5" t="s">
        <v>233</v>
      </c>
      <c r="F564" s="5" t="s">
        <v>221</v>
      </c>
      <c r="G564" s="5" t="s">
        <v>234</v>
      </c>
      <c r="H564" s="10">
        <v>25.70202869699709</v>
      </c>
      <c r="I564" s="10">
        <v>0</v>
      </c>
      <c r="J564" s="325">
        <v>25.70202869699709</v>
      </c>
      <c r="K564" s="10">
        <v>1.7078039772459976</v>
      </c>
      <c r="L564" s="10">
        <v>16.552365410216769</v>
      </c>
      <c r="M564" s="325">
        <v>18.260169387462767</v>
      </c>
      <c r="N564" s="10">
        <v>6.8581460472775051</v>
      </c>
      <c r="O564" s="10">
        <v>19.885571250668974</v>
      </c>
      <c r="P564" s="10">
        <v>4.027344904972793</v>
      </c>
      <c r="Q564" s="10">
        <v>2.2836637155891086</v>
      </c>
      <c r="R564" s="10">
        <v>9.9561332535437472</v>
      </c>
      <c r="S564" s="10">
        <v>14.412287049570375</v>
      </c>
      <c r="T564" s="10">
        <v>33.422725020258618</v>
      </c>
      <c r="U564" s="10">
        <v>4.6387430441444177</v>
      </c>
      <c r="V564" s="325">
        <v>95.484614286025547</v>
      </c>
      <c r="W564" s="325">
        <v>139.44681237048542</v>
      </c>
      <c r="X564" s="10">
        <v>14.082577256096735</v>
      </c>
      <c r="Y564" s="320">
        <v>153.52938962658214</v>
      </c>
    </row>
    <row r="565" spans="1:25" x14ac:dyDescent="0.2">
      <c r="A565" s="7">
        <v>2019</v>
      </c>
      <c r="B565" s="5" t="s">
        <v>466</v>
      </c>
      <c r="C565" s="5" t="s">
        <v>218</v>
      </c>
      <c r="D565" s="5" t="s">
        <v>481</v>
      </c>
      <c r="E565" s="5" t="s">
        <v>235</v>
      </c>
      <c r="F565" s="5" t="s">
        <v>221</v>
      </c>
      <c r="G565" s="5" t="s">
        <v>236</v>
      </c>
      <c r="H565" s="10">
        <v>56.497757998079145</v>
      </c>
      <c r="I565" s="10">
        <v>19.012523552560666</v>
      </c>
      <c r="J565" s="325">
        <v>75.510281550639803</v>
      </c>
      <c r="K565" s="10">
        <v>2.0947622863791033</v>
      </c>
      <c r="L565" s="10">
        <v>19.41531436995102</v>
      </c>
      <c r="M565" s="325">
        <v>21.510076656330124</v>
      </c>
      <c r="N565" s="10">
        <v>5.0204650356489191</v>
      </c>
      <c r="O565" s="10">
        <v>39.19416033159505</v>
      </c>
      <c r="P565" s="10">
        <v>7.468856962582259</v>
      </c>
      <c r="Q565" s="10">
        <v>5.1742923956299736</v>
      </c>
      <c r="R565" s="10">
        <v>14.179319221003084</v>
      </c>
      <c r="S565" s="10">
        <v>24.447064468155215</v>
      </c>
      <c r="T565" s="10">
        <v>43.397614829818082</v>
      </c>
      <c r="U565" s="10">
        <v>5.6530371972774898</v>
      </c>
      <c r="V565" s="325">
        <v>144.53481044171008</v>
      </c>
      <c r="W565" s="325">
        <v>241.55516864868</v>
      </c>
      <c r="X565" s="10">
        <v>24.950601645663479</v>
      </c>
      <c r="Y565" s="320">
        <v>266.50577029434345</v>
      </c>
    </row>
    <row r="566" spans="1:25" x14ac:dyDescent="0.2">
      <c r="A566" s="7">
        <v>2019</v>
      </c>
      <c r="B566" s="5" t="s">
        <v>466</v>
      </c>
      <c r="C566" s="5" t="s">
        <v>218</v>
      </c>
      <c r="D566" s="5" t="s">
        <v>482</v>
      </c>
      <c r="E566" s="5" t="s">
        <v>237</v>
      </c>
      <c r="F566" s="5" t="s">
        <v>221</v>
      </c>
      <c r="G566" s="5" t="s">
        <v>238</v>
      </c>
      <c r="H566" s="10">
        <v>96.544281783534842</v>
      </c>
      <c r="I566" s="10">
        <v>0</v>
      </c>
      <c r="J566" s="325">
        <v>96.544281783534842</v>
      </c>
      <c r="K566" s="10">
        <v>7.9309665451597473</v>
      </c>
      <c r="L566" s="10">
        <v>11.377200048333657</v>
      </c>
      <c r="M566" s="325">
        <v>19.308166593493404</v>
      </c>
      <c r="N566" s="10">
        <v>3.2257436267265884</v>
      </c>
      <c r="O566" s="10">
        <v>15.42770351918386</v>
      </c>
      <c r="P566" s="10">
        <v>4.7634134068308382</v>
      </c>
      <c r="Q566" s="10">
        <v>2.0834306615822671</v>
      </c>
      <c r="R566" s="10">
        <v>11.739691952793338</v>
      </c>
      <c r="S566" s="10">
        <v>12.880168970469558</v>
      </c>
      <c r="T566" s="10">
        <v>22.029267410837434</v>
      </c>
      <c r="U566" s="10">
        <v>5.3201114519988009</v>
      </c>
      <c r="V566" s="325">
        <v>77.469531000422677</v>
      </c>
      <c r="W566" s="325">
        <v>193.32197937745093</v>
      </c>
      <c r="X566" s="10">
        <v>19.959217178821834</v>
      </c>
      <c r="Y566" s="320">
        <v>213.28119655627276</v>
      </c>
    </row>
    <row r="567" spans="1:25" x14ac:dyDescent="0.2">
      <c r="A567" s="7">
        <v>2019</v>
      </c>
      <c r="B567" s="5" t="s">
        <v>466</v>
      </c>
      <c r="C567" s="5" t="s">
        <v>218</v>
      </c>
      <c r="D567" s="5" t="s">
        <v>481</v>
      </c>
      <c r="E567" s="5" t="s">
        <v>239</v>
      </c>
      <c r="F567" s="5" t="s">
        <v>221</v>
      </c>
      <c r="G567" s="5" t="s">
        <v>240</v>
      </c>
      <c r="H567" s="10">
        <v>26.152193712692352</v>
      </c>
      <c r="I567" s="10">
        <v>3.0012179895791502</v>
      </c>
      <c r="J567" s="325">
        <v>29.153411702271502</v>
      </c>
      <c r="K567" s="10">
        <v>2.7705922754614898</v>
      </c>
      <c r="L567" s="10">
        <v>17.026280891132942</v>
      </c>
      <c r="M567" s="325">
        <v>19.79687316659443</v>
      </c>
      <c r="N567" s="10">
        <v>11.604140976030271</v>
      </c>
      <c r="O567" s="10">
        <v>35.631449391084551</v>
      </c>
      <c r="P567" s="10">
        <v>7.0249883903606518</v>
      </c>
      <c r="Q567" s="10">
        <v>5.3601785316377688</v>
      </c>
      <c r="R567" s="10">
        <v>10.831589535130625</v>
      </c>
      <c r="S567" s="10">
        <v>18.002457891511369</v>
      </c>
      <c r="T567" s="10">
        <v>37.579957740537054</v>
      </c>
      <c r="U567" s="10">
        <v>5.2276281484117568</v>
      </c>
      <c r="V567" s="325">
        <v>131.26239060470405</v>
      </c>
      <c r="W567" s="325">
        <v>180.21267547356999</v>
      </c>
      <c r="X567" s="10">
        <v>18.306739340386173</v>
      </c>
      <c r="Y567" s="320">
        <v>198.51941481395616</v>
      </c>
    </row>
    <row r="568" spans="1:25" x14ac:dyDescent="0.2">
      <c r="A568" s="7">
        <v>2019</v>
      </c>
      <c r="B568" s="5" t="s">
        <v>466</v>
      </c>
      <c r="C568" s="5" t="s">
        <v>218</v>
      </c>
      <c r="D568" s="5" t="s">
        <v>482</v>
      </c>
      <c r="E568" s="5" t="s">
        <v>241</v>
      </c>
      <c r="F568" s="5" t="s">
        <v>221</v>
      </c>
      <c r="G568" s="5" t="s">
        <v>242</v>
      </c>
      <c r="H568" s="10">
        <v>9.0418876361680525</v>
      </c>
      <c r="I568" s="10">
        <v>0</v>
      </c>
      <c r="J568" s="325">
        <v>9.0418876361680525</v>
      </c>
      <c r="K568" s="10">
        <v>0.79460349705397515</v>
      </c>
      <c r="L568" s="10">
        <v>3.5361864874696916</v>
      </c>
      <c r="M568" s="325">
        <v>4.3307899845236664</v>
      </c>
      <c r="N568" s="10">
        <v>1.28401693054054</v>
      </c>
      <c r="O568" s="10">
        <v>8.0174075930491568</v>
      </c>
      <c r="P568" s="10">
        <v>1.3610304232219184</v>
      </c>
      <c r="Q568" s="10">
        <v>0.63860908393201987</v>
      </c>
      <c r="R568" s="10">
        <v>3.9336306783396373</v>
      </c>
      <c r="S568" s="10">
        <v>5.6347897571066667</v>
      </c>
      <c r="T568" s="10">
        <v>11.03365145135888</v>
      </c>
      <c r="U568" s="10">
        <v>2.5768841791114991</v>
      </c>
      <c r="V568" s="325">
        <v>34.480020096660319</v>
      </c>
      <c r="W568" s="325">
        <v>47.852697717352044</v>
      </c>
      <c r="X568" s="10">
        <v>4.8409825056366236</v>
      </c>
      <c r="Y568" s="320">
        <v>52.693680222988668</v>
      </c>
    </row>
    <row r="569" spans="1:25" x14ac:dyDescent="0.2">
      <c r="A569" s="7">
        <v>2019</v>
      </c>
      <c r="B569" s="5" t="s">
        <v>466</v>
      </c>
      <c r="C569" s="5" t="s">
        <v>218</v>
      </c>
      <c r="D569" s="5" t="s">
        <v>482</v>
      </c>
      <c r="E569" s="5" t="s">
        <v>243</v>
      </c>
      <c r="F569" s="5" t="s">
        <v>221</v>
      </c>
      <c r="G569" s="5" t="s">
        <v>244</v>
      </c>
      <c r="H569" s="10">
        <v>11.354446434040739</v>
      </c>
      <c r="I569" s="10">
        <v>0</v>
      </c>
      <c r="J569" s="325">
        <v>11.354446434040739</v>
      </c>
      <c r="K569" s="10">
        <v>0.98707910401428556</v>
      </c>
      <c r="L569" s="10">
        <v>3.483184150815076</v>
      </c>
      <c r="M569" s="325">
        <v>4.4702632548293613</v>
      </c>
      <c r="N569" s="10">
        <v>1.4605992192324146</v>
      </c>
      <c r="O569" s="10">
        <v>6.2131001259329697</v>
      </c>
      <c r="P569" s="10">
        <v>1.5059771829493558</v>
      </c>
      <c r="Q569" s="10">
        <v>1.0261058080453334</v>
      </c>
      <c r="R569" s="10">
        <v>3.9638760419318717</v>
      </c>
      <c r="S569" s="10">
        <v>5.1113249930054172</v>
      </c>
      <c r="T569" s="10">
        <v>11.057397148496118</v>
      </c>
      <c r="U569" s="10">
        <v>1.6945839110986205</v>
      </c>
      <c r="V569" s="325">
        <v>32.032964430692104</v>
      </c>
      <c r="W569" s="325">
        <v>47.857674119562205</v>
      </c>
      <c r="X569" s="10">
        <v>4.8542317509147441</v>
      </c>
      <c r="Y569" s="320">
        <v>52.711905870476947</v>
      </c>
    </row>
    <row r="570" spans="1:25" x14ac:dyDescent="0.2">
      <c r="A570" s="7">
        <v>2019</v>
      </c>
      <c r="B570" s="5" t="s">
        <v>466</v>
      </c>
      <c r="C570" s="5" t="s">
        <v>218</v>
      </c>
      <c r="D570" s="5" t="s">
        <v>482</v>
      </c>
      <c r="E570" s="5" t="s">
        <v>245</v>
      </c>
      <c r="F570" s="5" t="s">
        <v>221</v>
      </c>
      <c r="G570" s="5" t="s">
        <v>246</v>
      </c>
      <c r="H570" s="10">
        <v>18.227489660658716</v>
      </c>
      <c r="I570" s="10">
        <v>0</v>
      </c>
      <c r="J570" s="325">
        <v>18.227489660658716</v>
      </c>
      <c r="K570" s="10">
        <v>0.29278193259739821</v>
      </c>
      <c r="L570" s="10">
        <v>8.1038372594203203</v>
      </c>
      <c r="M570" s="325">
        <v>8.3966191920177184</v>
      </c>
      <c r="N570" s="10">
        <v>2.1713103782930254</v>
      </c>
      <c r="O570" s="10">
        <v>11.738510610798206</v>
      </c>
      <c r="P570" s="10">
        <v>2.8493641723058558</v>
      </c>
      <c r="Q570" s="10">
        <v>7.633410514753237</v>
      </c>
      <c r="R570" s="10">
        <v>4.6799816433111054</v>
      </c>
      <c r="S570" s="10">
        <v>9.4522799675953646</v>
      </c>
      <c r="T570" s="10">
        <v>18.902862214646685</v>
      </c>
      <c r="U570" s="10">
        <v>5.5154495331935625</v>
      </c>
      <c r="V570" s="325">
        <v>62.943169034897039</v>
      </c>
      <c r="W570" s="325">
        <v>89.567277887573482</v>
      </c>
      <c r="X570" s="10">
        <v>9.0211400281653216</v>
      </c>
      <c r="Y570" s="320">
        <v>98.588417915738802</v>
      </c>
    </row>
    <row r="571" spans="1:25" x14ac:dyDescent="0.2">
      <c r="A571" s="7">
        <v>2019</v>
      </c>
      <c r="B571" s="5" t="s">
        <v>466</v>
      </c>
      <c r="C571" s="5" t="s">
        <v>218</v>
      </c>
      <c r="D571" s="5" t="s">
        <v>482</v>
      </c>
      <c r="E571" s="5" t="s">
        <v>247</v>
      </c>
      <c r="F571" s="5" t="s">
        <v>221</v>
      </c>
      <c r="G571" s="5" t="s">
        <v>248</v>
      </c>
      <c r="H571" s="10">
        <v>4.9445720276414109</v>
      </c>
      <c r="I571" s="10">
        <v>5.2275207460749547E-2</v>
      </c>
      <c r="J571" s="325">
        <v>4.9968472351021607</v>
      </c>
      <c r="K571" s="10">
        <v>0.14231903958326739</v>
      </c>
      <c r="L571" s="10">
        <v>2.7825785995686534</v>
      </c>
      <c r="M571" s="325">
        <v>2.9248976391519208</v>
      </c>
      <c r="N571" s="10">
        <v>2.1965140854993086</v>
      </c>
      <c r="O571" s="10">
        <v>5.3436053887276627</v>
      </c>
      <c r="P571" s="10">
        <v>1.1980668575752376</v>
      </c>
      <c r="Q571" s="10">
        <v>0.29611528920087388</v>
      </c>
      <c r="R571" s="10">
        <v>3.1192041556978998</v>
      </c>
      <c r="S571" s="10">
        <v>3.6615743906999376</v>
      </c>
      <c r="T571" s="10">
        <v>6.575765555538144</v>
      </c>
      <c r="U571" s="10">
        <v>1.4637224616727691</v>
      </c>
      <c r="V571" s="325">
        <v>23.854568184611832</v>
      </c>
      <c r="W571" s="325">
        <v>31.776313058865917</v>
      </c>
      <c r="X571" s="10">
        <v>3.2192160736286435</v>
      </c>
      <c r="Y571" s="320">
        <v>34.995529132494561</v>
      </c>
    </row>
    <row r="572" spans="1:25" x14ac:dyDescent="0.2">
      <c r="A572" s="7">
        <v>2019</v>
      </c>
      <c r="B572" s="5" t="s">
        <v>466</v>
      </c>
      <c r="C572" s="5" t="s">
        <v>218</v>
      </c>
      <c r="D572" s="5" t="s">
        <v>481</v>
      </c>
      <c r="E572" s="5" t="s">
        <v>249</v>
      </c>
      <c r="F572" s="5" t="s">
        <v>221</v>
      </c>
      <c r="G572" s="5" t="s">
        <v>250</v>
      </c>
      <c r="H572" s="10">
        <v>11.976301877028073</v>
      </c>
      <c r="I572" s="10">
        <v>0</v>
      </c>
      <c r="J572" s="325">
        <v>11.976301877028073</v>
      </c>
      <c r="K572" s="10">
        <v>0.72459068929797321</v>
      </c>
      <c r="L572" s="10">
        <v>5.1715076673601121</v>
      </c>
      <c r="M572" s="325">
        <v>5.8960983566580856</v>
      </c>
      <c r="N572" s="10">
        <v>1.103920406820744</v>
      </c>
      <c r="O572" s="10">
        <v>4.1373992446116787</v>
      </c>
      <c r="P572" s="10">
        <v>2.2888494841653073</v>
      </c>
      <c r="Q572" s="10">
        <v>1.4497195902645663</v>
      </c>
      <c r="R572" s="10">
        <v>4.9282706995706604</v>
      </c>
      <c r="S572" s="10">
        <v>8.4296101969129182</v>
      </c>
      <c r="T572" s="10">
        <v>22.173865951701551</v>
      </c>
      <c r="U572" s="10">
        <v>2.0512306399691775</v>
      </c>
      <c r="V572" s="325">
        <v>46.562866214016601</v>
      </c>
      <c r="W572" s="325">
        <v>64.435266447702759</v>
      </c>
      <c r="X572" s="10">
        <v>6.4884350561591457</v>
      </c>
      <c r="Y572" s="320">
        <v>70.923701503861906</v>
      </c>
    </row>
    <row r="573" spans="1:25" x14ac:dyDescent="0.2">
      <c r="A573" s="7">
        <v>2019</v>
      </c>
      <c r="B573" s="5" t="s">
        <v>466</v>
      </c>
      <c r="C573" s="5" t="s">
        <v>218</v>
      </c>
      <c r="D573" s="5" t="s">
        <v>482</v>
      </c>
      <c r="E573" s="5" t="s">
        <v>251</v>
      </c>
      <c r="F573" s="5" t="s">
        <v>221</v>
      </c>
      <c r="G573" s="5" t="s">
        <v>252</v>
      </c>
      <c r="H573" s="10">
        <v>12.119988639777645</v>
      </c>
      <c r="I573" s="10">
        <v>0</v>
      </c>
      <c r="J573" s="325">
        <v>12.119988639777645</v>
      </c>
      <c r="K573" s="10">
        <v>4.8064482537070372</v>
      </c>
      <c r="L573" s="10">
        <v>1.9350355940499064</v>
      </c>
      <c r="M573" s="325">
        <v>6.7414838477569434</v>
      </c>
      <c r="N573" s="10">
        <v>2.3182647880549458</v>
      </c>
      <c r="O573" s="10">
        <v>7.0096373298285872</v>
      </c>
      <c r="P573" s="10">
        <v>2.8814884083137415</v>
      </c>
      <c r="Q573" s="10">
        <v>1.7122637467905393</v>
      </c>
      <c r="R573" s="10">
        <v>6.607705731528446</v>
      </c>
      <c r="S573" s="10">
        <v>7.9957519309965432</v>
      </c>
      <c r="T573" s="10">
        <v>21.586570416115865</v>
      </c>
      <c r="U573" s="10">
        <v>2.3315057972257227</v>
      </c>
      <c r="V573" s="325">
        <v>52.443188148854389</v>
      </c>
      <c r="W573" s="325">
        <v>71.304660636388974</v>
      </c>
      <c r="X573" s="10">
        <v>7.1833540259245394</v>
      </c>
      <c r="Y573" s="320">
        <v>78.488014662313518</v>
      </c>
    </row>
    <row r="574" spans="1:25" x14ac:dyDescent="0.2">
      <c r="A574" s="7">
        <v>2019</v>
      </c>
      <c r="B574" s="5" t="s">
        <v>466</v>
      </c>
      <c r="C574" s="5" t="s">
        <v>218</v>
      </c>
      <c r="D574" s="5" t="s">
        <v>482</v>
      </c>
      <c r="E574" s="5" t="s">
        <v>253</v>
      </c>
      <c r="F574" s="5" t="s">
        <v>221</v>
      </c>
      <c r="G574" s="5" t="s">
        <v>254</v>
      </c>
      <c r="H574" s="10">
        <v>12.236161237471052</v>
      </c>
      <c r="I574" s="10">
        <v>0</v>
      </c>
      <c r="J574" s="325">
        <v>12.236161237471052</v>
      </c>
      <c r="K574" s="10">
        <v>1.8217081557767429</v>
      </c>
      <c r="L574" s="10">
        <v>14.362341106099992</v>
      </c>
      <c r="M574" s="325">
        <v>16.184049261876734</v>
      </c>
      <c r="N574" s="10">
        <v>9.6492347158864842</v>
      </c>
      <c r="O574" s="10">
        <v>47.987006524288404</v>
      </c>
      <c r="P574" s="10">
        <v>5.6238568788158458</v>
      </c>
      <c r="Q574" s="10">
        <v>2.8060572644809167</v>
      </c>
      <c r="R574" s="10">
        <v>27.710615760126789</v>
      </c>
      <c r="S574" s="10">
        <v>19.654842860974764</v>
      </c>
      <c r="T574" s="10">
        <v>28.437195607964725</v>
      </c>
      <c r="U574" s="10">
        <v>5.874070286397278</v>
      </c>
      <c r="V574" s="325">
        <v>147.7428798989352</v>
      </c>
      <c r="W574" s="325">
        <v>176.16309039828298</v>
      </c>
      <c r="X574" s="10">
        <v>17.739271881190302</v>
      </c>
      <c r="Y574" s="320">
        <v>193.90236227947327</v>
      </c>
    </row>
    <row r="575" spans="1:25" x14ac:dyDescent="0.2">
      <c r="A575" s="7">
        <v>2019</v>
      </c>
      <c r="B575" s="5" t="s">
        <v>466</v>
      </c>
      <c r="C575" s="5" t="s">
        <v>218</v>
      </c>
      <c r="D575" s="5" t="s">
        <v>482</v>
      </c>
      <c r="E575" s="5" t="s">
        <v>255</v>
      </c>
      <c r="F575" s="5" t="s">
        <v>221</v>
      </c>
      <c r="G575" s="5" t="s">
        <v>256</v>
      </c>
      <c r="H575" s="10">
        <v>69.356990440331884</v>
      </c>
      <c r="I575" s="10">
        <v>1.7082062230619852</v>
      </c>
      <c r="J575" s="325">
        <v>71.065196663393863</v>
      </c>
      <c r="K575" s="10">
        <v>6.3948463965583278</v>
      </c>
      <c r="L575" s="10">
        <v>23.89646539140379</v>
      </c>
      <c r="M575" s="325">
        <v>30.291311787962119</v>
      </c>
      <c r="N575" s="10">
        <v>14.572136257061413</v>
      </c>
      <c r="O575" s="10">
        <v>67.450516653418916</v>
      </c>
      <c r="P575" s="10">
        <v>8.5960708865970208</v>
      </c>
      <c r="Q575" s="10">
        <v>9.1000849195462798</v>
      </c>
      <c r="R575" s="10">
        <v>26.659851532513763</v>
      </c>
      <c r="S575" s="10">
        <v>31.567784557681435</v>
      </c>
      <c r="T575" s="10">
        <v>65.279734734628207</v>
      </c>
      <c r="U575" s="10">
        <v>8.9309415994136145</v>
      </c>
      <c r="V575" s="325">
        <v>232.15712114086065</v>
      </c>
      <c r="W575" s="325">
        <v>333.51362959221666</v>
      </c>
      <c r="X575" s="10">
        <v>33.951656404566677</v>
      </c>
      <c r="Y575" s="320">
        <v>367.46528599678334</v>
      </c>
    </row>
    <row r="576" spans="1:25" x14ac:dyDescent="0.2">
      <c r="A576" s="7">
        <v>2019</v>
      </c>
      <c r="B576" s="5" t="s">
        <v>466</v>
      </c>
      <c r="C576" s="5" t="s">
        <v>218</v>
      </c>
      <c r="D576" s="5" t="s">
        <v>482</v>
      </c>
      <c r="E576" s="5" t="s">
        <v>257</v>
      </c>
      <c r="F576" s="5" t="s">
        <v>221</v>
      </c>
      <c r="G576" s="5" t="s">
        <v>258</v>
      </c>
      <c r="H576" s="10">
        <v>15.495655280973883</v>
      </c>
      <c r="I576" s="10">
        <v>0.16517069629395989</v>
      </c>
      <c r="J576" s="325">
        <v>15.660825977267843</v>
      </c>
      <c r="K576" s="10">
        <v>0.97857873860655487</v>
      </c>
      <c r="L576" s="10">
        <v>12.770270660361588</v>
      </c>
      <c r="M576" s="325">
        <v>13.748849398968142</v>
      </c>
      <c r="N576" s="10">
        <v>6.7290551926254309</v>
      </c>
      <c r="O576" s="10">
        <v>29.722359287001677</v>
      </c>
      <c r="P576" s="10">
        <v>5.3859136264741325</v>
      </c>
      <c r="Q576" s="10">
        <v>2.8916305981878825</v>
      </c>
      <c r="R576" s="10">
        <v>17.771835270355925</v>
      </c>
      <c r="S576" s="10">
        <v>17.98127988947725</v>
      </c>
      <c r="T576" s="10">
        <v>30.758353136446679</v>
      </c>
      <c r="U576" s="10">
        <v>6.5213507769559893</v>
      </c>
      <c r="V576" s="325">
        <v>117.76177777752497</v>
      </c>
      <c r="W576" s="325">
        <v>147.17145315376095</v>
      </c>
      <c r="X576" s="10">
        <v>14.8155444878591</v>
      </c>
      <c r="Y576" s="320">
        <v>161.98699764162006</v>
      </c>
    </row>
    <row r="577" spans="1:25" x14ac:dyDescent="0.2">
      <c r="A577" s="7">
        <v>2019</v>
      </c>
      <c r="B577" s="5" t="s">
        <v>466</v>
      </c>
      <c r="C577" s="5" t="s">
        <v>218</v>
      </c>
      <c r="D577" s="5" t="s">
        <v>481</v>
      </c>
      <c r="E577" s="5" t="s">
        <v>259</v>
      </c>
      <c r="F577" s="5" t="s">
        <v>221</v>
      </c>
      <c r="G577" s="5" t="s">
        <v>260</v>
      </c>
      <c r="H577" s="10">
        <v>27.576488448316219</v>
      </c>
      <c r="I577" s="10">
        <v>0</v>
      </c>
      <c r="J577" s="325">
        <v>27.576488448316219</v>
      </c>
      <c r="K577" s="10">
        <v>0.57110248987427303</v>
      </c>
      <c r="L577" s="10">
        <v>6.6270350603424975</v>
      </c>
      <c r="M577" s="325">
        <v>7.1981375502167708</v>
      </c>
      <c r="N577" s="10">
        <v>2.3929748951417245</v>
      </c>
      <c r="O577" s="10">
        <v>8.6351322488072402</v>
      </c>
      <c r="P577" s="10">
        <v>2.0667721874466847</v>
      </c>
      <c r="Q577" s="10">
        <v>1.0439928240841279</v>
      </c>
      <c r="R577" s="10">
        <v>4.1725109760222816</v>
      </c>
      <c r="S577" s="10">
        <v>5.9946945334420754</v>
      </c>
      <c r="T577" s="10">
        <v>11.178439317773197</v>
      </c>
      <c r="U577" s="10">
        <v>2.6116781328472425</v>
      </c>
      <c r="V577" s="325">
        <v>38.096195115564576</v>
      </c>
      <c r="W577" s="325">
        <v>72.870821114097566</v>
      </c>
      <c r="X577" s="10">
        <v>7.4758676017933663</v>
      </c>
      <c r="Y577" s="320">
        <v>80.346688715890934</v>
      </c>
    </row>
    <row r="578" spans="1:25" x14ac:dyDescent="0.2">
      <c r="A578" s="7">
        <v>2019</v>
      </c>
      <c r="B578" s="5" t="s">
        <v>466</v>
      </c>
      <c r="C578" s="5" t="s">
        <v>261</v>
      </c>
      <c r="D578" s="5" t="s">
        <v>483</v>
      </c>
      <c r="E578" s="5" t="s">
        <v>263</v>
      </c>
      <c r="F578" s="5" t="s">
        <v>264</v>
      </c>
      <c r="G578" s="5" t="s">
        <v>265</v>
      </c>
      <c r="H578" s="10">
        <v>59.586309559492463</v>
      </c>
      <c r="I578" s="10">
        <v>0.86554000952102539</v>
      </c>
      <c r="J578" s="325">
        <v>60.45184956901349</v>
      </c>
      <c r="K578" s="10">
        <v>4.4191637117973359</v>
      </c>
      <c r="L578" s="10">
        <v>14.545205757219783</v>
      </c>
      <c r="M578" s="325">
        <v>18.964369469017118</v>
      </c>
      <c r="N578" s="10">
        <v>4.6722415387345189</v>
      </c>
      <c r="O578" s="10">
        <v>23.287956874102186</v>
      </c>
      <c r="P578" s="10">
        <v>6.7654750341118062</v>
      </c>
      <c r="Q578" s="10">
        <v>4.8471283222422539</v>
      </c>
      <c r="R578" s="10">
        <v>21.435398940534657</v>
      </c>
      <c r="S578" s="10">
        <v>17.585951975418066</v>
      </c>
      <c r="T578" s="10">
        <v>35.215479673896375</v>
      </c>
      <c r="U578" s="10">
        <v>7.7596436683491303</v>
      </c>
      <c r="V578" s="325">
        <v>121.56927602738901</v>
      </c>
      <c r="W578" s="325">
        <v>200.98549506541963</v>
      </c>
      <c r="X578" s="10">
        <v>20.441730857812225</v>
      </c>
      <c r="Y578" s="320">
        <v>221.42722592323184</v>
      </c>
    </row>
    <row r="579" spans="1:25" x14ac:dyDescent="0.2">
      <c r="A579" s="7">
        <v>2019</v>
      </c>
      <c r="B579" s="5" t="s">
        <v>466</v>
      </c>
      <c r="C579" s="5" t="s">
        <v>261</v>
      </c>
      <c r="D579" s="5" t="s">
        <v>484</v>
      </c>
      <c r="E579" s="5" t="s">
        <v>266</v>
      </c>
      <c r="F579" s="5" t="s">
        <v>264</v>
      </c>
      <c r="G579" s="5" t="s">
        <v>268</v>
      </c>
      <c r="H579" s="10">
        <v>5.7243069379681666</v>
      </c>
      <c r="I579" s="10">
        <v>0</v>
      </c>
      <c r="J579" s="325">
        <v>5.7243069379681666</v>
      </c>
      <c r="K579" s="10">
        <v>0.69469213355637416</v>
      </c>
      <c r="L579" s="10">
        <v>3.9513972187568407</v>
      </c>
      <c r="M579" s="325">
        <v>4.646089352313215</v>
      </c>
      <c r="N579" s="10">
        <v>13.118780328058465</v>
      </c>
      <c r="O579" s="10">
        <v>5.6081527307110592</v>
      </c>
      <c r="P579" s="10">
        <v>0.89046528674791969</v>
      </c>
      <c r="Q579" s="10">
        <v>0.57637905163057035</v>
      </c>
      <c r="R579" s="10">
        <v>3.5477562556914766</v>
      </c>
      <c r="S579" s="10">
        <v>4.0536192446880595</v>
      </c>
      <c r="T579" s="10">
        <v>6.9778483876023909</v>
      </c>
      <c r="U579" s="10">
        <v>1.0118190925105233</v>
      </c>
      <c r="V579" s="325">
        <v>35.784820377640465</v>
      </c>
      <c r="W579" s="325">
        <v>46.155216667921849</v>
      </c>
      <c r="X579" s="10">
        <v>4.7535695430556597</v>
      </c>
      <c r="Y579" s="320">
        <v>50.90878621097751</v>
      </c>
    </row>
    <row r="580" spans="1:25" x14ac:dyDescent="0.2">
      <c r="A580" s="7">
        <v>2019</v>
      </c>
      <c r="B580" s="5" t="s">
        <v>466</v>
      </c>
      <c r="C580" s="5" t="s">
        <v>261</v>
      </c>
      <c r="D580" s="5" t="s">
        <v>483</v>
      </c>
      <c r="E580" s="5" t="s">
        <v>269</v>
      </c>
      <c r="F580" s="5" t="s">
        <v>264</v>
      </c>
      <c r="G580" s="5" t="s">
        <v>271</v>
      </c>
      <c r="H580" s="10">
        <v>11.372000738256528</v>
      </c>
      <c r="I580" s="10">
        <v>0</v>
      </c>
      <c r="J580" s="325">
        <v>11.372000738256528</v>
      </c>
      <c r="K580" s="10">
        <v>1.8968792952501872</v>
      </c>
      <c r="L580" s="10">
        <v>3.5571471044097369</v>
      </c>
      <c r="M580" s="325">
        <v>5.4540263996599236</v>
      </c>
      <c r="N580" s="10">
        <v>1.2979947542863626</v>
      </c>
      <c r="O580" s="10">
        <v>6.3819038652736237</v>
      </c>
      <c r="P580" s="10">
        <v>2.225262789179816</v>
      </c>
      <c r="Q580" s="10">
        <v>1.578785974380853</v>
      </c>
      <c r="R580" s="10">
        <v>8.0663569744557897</v>
      </c>
      <c r="S580" s="10">
        <v>5.7906612538149052</v>
      </c>
      <c r="T580" s="10">
        <v>14.041446160977895</v>
      </c>
      <c r="U580" s="10">
        <v>1.6896874043478565</v>
      </c>
      <c r="V580" s="325">
        <v>41.072099176717096</v>
      </c>
      <c r="W580" s="325">
        <v>57.898126314633544</v>
      </c>
      <c r="X580" s="10">
        <v>5.8311108351839014</v>
      </c>
      <c r="Y580" s="320">
        <v>63.729237149817443</v>
      </c>
    </row>
    <row r="581" spans="1:25" x14ac:dyDescent="0.2">
      <c r="A581" s="7">
        <v>2019</v>
      </c>
      <c r="B581" s="5" t="s">
        <v>466</v>
      </c>
      <c r="C581" s="5" t="s">
        <v>261</v>
      </c>
      <c r="D581" s="5" t="s">
        <v>485</v>
      </c>
      <c r="E581" s="5" t="s">
        <v>272</v>
      </c>
      <c r="F581" s="5" t="s">
        <v>264</v>
      </c>
      <c r="G581" s="5" t="s">
        <v>273</v>
      </c>
      <c r="H581" s="10">
        <v>11.361403838935605</v>
      </c>
      <c r="I581" s="10">
        <v>0</v>
      </c>
      <c r="J581" s="325">
        <v>11.361403838935605</v>
      </c>
      <c r="K581" s="10">
        <v>3.1695257316496206</v>
      </c>
      <c r="L581" s="10">
        <v>13.841529721172655</v>
      </c>
      <c r="M581" s="325">
        <v>17.011055452822276</v>
      </c>
      <c r="N581" s="10">
        <v>39.001559507448647</v>
      </c>
      <c r="O581" s="10">
        <v>14.242294571414554</v>
      </c>
      <c r="P581" s="10">
        <v>3.0050842986893498</v>
      </c>
      <c r="Q581" s="10">
        <v>1.9832774185361774</v>
      </c>
      <c r="R581" s="10">
        <v>14.317875943701699</v>
      </c>
      <c r="S581" s="10">
        <v>9.3526162373808841</v>
      </c>
      <c r="T581" s="10">
        <v>15.859981625357269</v>
      </c>
      <c r="U581" s="10">
        <v>2.8474436930229312</v>
      </c>
      <c r="V581" s="325">
        <v>100.61013329555149</v>
      </c>
      <c r="W581" s="325">
        <v>128.98259258730937</v>
      </c>
      <c r="X581" s="10">
        <v>13.204542791216431</v>
      </c>
      <c r="Y581" s="320">
        <v>142.1871353785258</v>
      </c>
    </row>
    <row r="582" spans="1:25" x14ac:dyDescent="0.2">
      <c r="A582" s="7">
        <v>2019</v>
      </c>
      <c r="B582" s="5" t="s">
        <v>466</v>
      </c>
      <c r="C582" s="5" t="s">
        <v>261</v>
      </c>
      <c r="D582" s="5" t="s">
        <v>484</v>
      </c>
      <c r="E582" s="5" t="s">
        <v>274</v>
      </c>
      <c r="F582" s="5" t="s">
        <v>264</v>
      </c>
      <c r="G582" s="5" t="s">
        <v>275</v>
      </c>
      <c r="H582" s="10">
        <v>12.297002492871151</v>
      </c>
      <c r="I582" s="10">
        <v>0</v>
      </c>
      <c r="J582" s="325">
        <v>12.297002492871151</v>
      </c>
      <c r="K582" s="10">
        <v>1.8916672136895998</v>
      </c>
      <c r="L582" s="10">
        <v>3.4714351034404545</v>
      </c>
      <c r="M582" s="325">
        <v>5.3631023171300543</v>
      </c>
      <c r="N582" s="10">
        <v>8.5569578868498564</v>
      </c>
      <c r="O582" s="10">
        <v>3.5304043168520853</v>
      </c>
      <c r="P582" s="10">
        <v>0.84147583670172266</v>
      </c>
      <c r="Q582" s="10">
        <v>0.4484969267695223</v>
      </c>
      <c r="R582" s="10">
        <v>4.4446018004379155</v>
      </c>
      <c r="S582" s="10">
        <v>4.7466357319252968</v>
      </c>
      <c r="T582" s="10">
        <v>5.747258250718513</v>
      </c>
      <c r="U582" s="10">
        <v>1.0933062080401481</v>
      </c>
      <c r="V582" s="325">
        <v>29.409136958295054</v>
      </c>
      <c r="W582" s="325">
        <v>47.069241768296258</v>
      </c>
      <c r="X582" s="10">
        <v>4.8323195268033441</v>
      </c>
      <c r="Y582" s="320">
        <v>51.901561295099604</v>
      </c>
    </row>
    <row r="583" spans="1:25" x14ac:dyDescent="0.2">
      <c r="A583" s="7">
        <v>2019</v>
      </c>
      <c r="B583" s="5" t="s">
        <v>466</v>
      </c>
      <c r="C583" s="5" t="s">
        <v>261</v>
      </c>
      <c r="D583" s="5" t="s">
        <v>486</v>
      </c>
      <c r="E583" s="5" t="s">
        <v>276</v>
      </c>
      <c r="F583" s="5" t="s">
        <v>264</v>
      </c>
      <c r="G583" s="5" t="s">
        <v>277</v>
      </c>
      <c r="H583" s="10">
        <v>104.46372084510722</v>
      </c>
      <c r="I583" s="10">
        <v>0</v>
      </c>
      <c r="J583" s="325">
        <v>104.46372084510722</v>
      </c>
      <c r="K583" s="10">
        <v>30.377547342943455</v>
      </c>
      <c r="L583" s="10">
        <v>33.203702212505071</v>
      </c>
      <c r="M583" s="325">
        <v>63.581249555448522</v>
      </c>
      <c r="N583" s="10">
        <v>24.487983269875475</v>
      </c>
      <c r="O583" s="10">
        <v>149.41168266665773</v>
      </c>
      <c r="P583" s="10">
        <v>25.250178304368788</v>
      </c>
      <c r="Q583" s="10">
        <v>13.948954519979539</v>
      </c>
      <c r="R583" s="10">
        <v>90.062186504714532</v>
      </c>
      <c r="S583" s="10">
        <v>55.709306656237509</v>
      </c>
      <c r="T583" s="10">
        <v>64.888167933005903</v>
      </c>
      <c r="U583" s="10">
        <v>28.294626402191145</v>
      </c>
      <c r="V583" s="325">
        <v>452.05308625703066</v>
      </c>
      <c r="W583" s="325">
        <v>620.09805665758643</v>
      </c>
      <c r="X583" s="10">
        <v>62.635453055689119</v>
      </c>
      <c r="Y583" s="320">
        <v>682.73350971327557</v>
      </c>
    </row>
    <row r="584" spans="1:25" x14ac:dyDescent="0.2">
      <c r="A584" s="7">
        <v>2019</v>
      </c>
      <c r="B584" s="5" t="s">
        <v>466</v>
      </c>
      <c r="C584" s="5" t="s">
        <v>261</v>
      </c>
      <c r="D584" s="5" t="s">
        <v>484</v>
      </c>
      <c r="E584" s="5" t="s">
        <v>278</v>
      </c>
      <c r="F584" s="5" t="s">
        <v>264</v>
      </c>
      <c r="G584" s="5" t="s">
        <v>279</v>
      </c>
      <c r="H584" s="10">
        <v>202.24767600249359</v>
      </c>
      <c r="I584" s="10">
        <v>0</v>
      </c>
      <c r="J584" s="325">
        <v>202.24767600249359</v>
      </c>
      <c r="K584" s="10">
        <v>4.8624266116227304</v>
      </c>
      <c r="L584" s="10">
        <v>32.211507526087459</v>
      </c>
      <c r="M584" s="325">
        <v>37.073934137710189</v>
      </c>
      <c r="N584" s="10">
        <v>5.3174639041239233</v>
      </c>
      <c r="O584" s="10">
        <v>38.052268087080023</v>
      </c>
      <c r="P584" s="10">
        <v>7.5056926850502617</v>
      </c>
      <c r="Q584" s="10">
        <v>4.7296682548405027</v>
      </c>
      <c r="R584" s="10">
        <v>26.037809207439203</v>
      </c>
      <c r="S584" s="10">
        <v>19.650866033197772</v>
      </c>
      <c r="T584" s="10">
        <v>26.851162234062688</v>
      </c>
      <c r="U584" s="10">
        <v>7.0703571079318426</v>
      </c>
      <c r="V584" s="325">
        <v>135.21528751372622</v>
      </c>
      <c r="W584" s="325">
        <v>374.53689765393</v>
      </c>
      <c r="X584" s="10">
        <v>38.818593149045228</v>
      </c>
      <c r="Y584" s="320">
        <v>413.35549080297523</v>
      </c>
    </row>
    <row r="585" spans="1:25" x14ac:dyDescent="0.2">
      <c r="A585" s="7">
        <v>2019</v>
      </c>
      <c r="B585" s="5" t="s">
        <v>466</v>
      </c>
      <c r="C585" s="5" t="s">
        <v>261</v>
      </c>
      <c r="D585" s="5" t="s">
        <v>486</v>
      </c>
      <c r="E585" s="5" t="s">
        <v>280</v>
      </c>
      <c r="F585" s="5" t="s">
        <v>264</v>
      </c>
      <c r="G585" s="5" t="s">
        <v>281</v>
      </c>
      <c r="H585" s="10">
        <v>43.176755760130249</v>
      </c>
      <c r="I585" s="10">
        <v>0</v>
      </c>
      <c r="J585" s="325">
        <v>43.176755760130249</v>
      </c>
      <c r="K585" s="10">
        <v>16.563602714045754</v>
      </c>
      <c r="L585" s="10">
        <v>32.353944962961187</v>
      </c>
      <c r="M585" s="325">
        <v>48.917547677006937</v>
      </c>
      <c r="N585" s="10">
        <v>21.698503257536618</v>
      </c>
      <c r="O585" s="10">
        <v>94.902773352984482</v>
      </c>
      <c r="P585" s="10">
        <v>20.873907670740937</v>
      </c>
      <c r="Q585" s="10">
        <v>11.543338645532593</v>
      </c>
      <c r="R585" s="10">
        <v>67.960139539659451</v>
      </c>
      <c r="S585" s="10">
        <v>47.866082101405532</v>
      </c>
      <c r="T585" s="10">
        <v>54.362459159446409</v>
      </c>
      <c r="U585" s="10">
        <v>13.813469838223233</v>
      </c>
      <c r="V585" s="325">
        <v>333.02067356552925</v>
      </c>
      <c r="W585" s="325">
        <v>425.11497700266648</v>
      </c>
      <c r="X585" s="10">
        <v>42.662087061669425</v>
      </c>
      <c r="Y585" s="320">
        <v>467.77706406433589</v>
      </c>
    </row>
    <row r="586" spans="1:25" x14ac:dyDescent="0.2">
      <c r="A586" s="7">
        <v>2019</v>
      </c>
      <c r="B586" s="5" t="s">
        <v>466</v>
      </c>
      <c r="C586" s="5" t="s">
        <v>261</v>
      </c>
      <c r="D586" s="5" t="s">
        <v>486</v>
      </c>
      <c r="E586" s="5" t="s">
        <v>282</v>
      </c>
      <c r="F586" s="5" t="s">
        <v>264</v>
      </c>
      <c r="G586" s="5" t="s">
        <v>284</v>
      </c>
      <c r="H586" s="10">
        <v>95.804537144640847</v>
      </c>
      <c r="I586" s="10">
        <v>0</v>
      </c>
      <c r="J586" s="325">
        <v>95.804537144640847</v>
      </c>
      <c r="K586" s="10">
        <v>25.783392051000547</v>
      </c>
      <c r="L586" s="10">
        <v>19.033958585994949</v>
      </c>
      <c r="M586" s="325">
        <v>44.817350636995499</v>
      </c>
      <c r="N586" s="10">
        <v>10.190886709896612</v>
      </c>
      <c r="O586" s="10">
        <v>67.262156300738184</v>
      </c>
      <c r="P586" s="10">
        <v>10.3931918562803</v>
      </c>
      <c r="Q586" s="10">
        <v>11.594183035657586</v>
      </c>
      <c r="R586" s="10">
        <v>46.602016432125751</v>
      </c>
      <c r="S586" s="10">
        <v>30.603052148246078</v>
      </c>
      <c r="T586" s="10">
        <v>48.048471377885399</v>
      </c>
      <c r="U586" s="10">
        <v>10.308255607961046</v>
      </c>
      <c r="V586" s="325">
        <v>235.00221346879098</v>
      </c>
      <c r="W586" s="325">
        <v>375.62410125042732</v>
      </c>
      <c r="X586" s="10">
        <v>38.047431099394281</v>
      </c>
      <c r="Y586" s="320">
        <v>413.67153234982158</v>
      </c>
    </row>
    <row r="587" spans="1:25" x14ac:dyDescent="0.2">
      <c r="A587" s="7">
        <v>2019</v>
      </c>
      <c r="B587" s="5" t="s">
        <v>466</v>
      </c>
      <c r="C587" s="5" t="s">
        <v>261</v>
      </c>
      <c r="D587" s="5" t="s">
        <v>484</v>
      </c>
      <c r="E587" s="5" t="s">
        <v>285</v>
      </c>
      <c r="F587" s="5" t="s">
        <v>264</v>
      </c>
      <c r="G587" s="5" t="s">
        <v>286</v>
      </c>
      <c r="H587" s="10">
        <v>14.86928948310957</v>
      </c>
      <c r="I587" s="10">
        <v>0</v>
      </c>
      <c r="J587" s="325">
        <v>14.86928948310957</v>
      </c>
      <c r="K587" s="10">
        <v>1.2473863387100892</v>
      </c>
      <c r="L587" s="10">
        <v>5.8009498833596567</v>
      </c>
      <c r="M587" s="325">
        <v>7.0483362220697456</v>
      </c>
      <c r="N587" s="10">
        <v>7.7167338628056079</v>
      </c>
      <c r="O587" s="10">
        <v>7.2134148434830658</v>
      </c>
      <c r="P587" s="10">
        <v>2.2877341868421563</v>
      </c>
      <c r="Q587" s="10">
        <v>1.5694513831645374</v>
      </c>
      <c r="R587" s="10">
        <v>13.728925283152936</v>
      </c>
      <c r="S587" s="10">
        <v>7.6842830482295961</v>
      </c>
      <c r="T587" s="10">
        <v>11.548254182458288</v>
      </c>
      <c r="U587" s="10">
        <v>2.3751158275663928</v>
      </c>
      <c r="V587" s="325">
        <v>54.123912617702572</v>
      </c>
      <c r="W587" s="325">
        <v>76.041538322881891</v>
      </c>
      <c r="X587" s="10">
        <v>7.6981557579612172</v>
      </c>
      <c r="Y587" s="320">
        <v>83.739694080843108</v>
      </c>
    </row>
    <row r="588" spans="1:25" x14ac:dyDescent="0.2">
      <c r="A588" s="7">
        <v>2019</v>
      </c>
      <c r="B588" s="5" t="s">
        <v>466</v>
      </c>
      <c r="C588" s="5" t="s">
        <v>261</v>
      </c>
      <c r="D588" s="5" t="s">
        <v>486</v>
      </c>
      <c r="E588" s="5" t="s">
        <v>287</v>
      </c>
      <c r="F588" s="5" t="s">
        <v>264</v>
      </c>
      <c r="G588" s="5" t="s">
        <v>288</v>
      </c>
      <c r="H588" s="10">
        <v>76.018446454583099</v>
      </c>
      <c r="I588" s="10">
        <v>0</v>
      </c>
      <c r="J588" s="325">
        <v>76.018446454583099</v>
      </c>
      <c r="K588" s="10">
        <v>529.83706251906642</v>
      </c>
      <c r="L588" s="10">
        <v>186.63739201746694</v>
      </c>
      <c r="M588" s="325">
        <v>716.47445453653336</v>
      </c>
      <c r="N588" s="10">
        <v>33.584912055772243</v>
      </c>
      <c r="O588" s="10">
        <v>136.49658745251355</v>
      </c>
      <c r="P588" s="10">
        <v>24.483038623311149</v>
      </c>
      <c r="Q588" s="10">
        <v>14.075088596771735</v>
      </c>
      <c r="R588" s="10">
        <v>98.477809275602525</v>
      </c>
      <c r="S588" s="10">
        <v>83.61614395939543</v>
      </c>
      <c r="T588" s="10">
        <v>62.969104485786417</v>
      </c>
      <c r="U588" s="10">
        <v>21.65965486967011</v>
      </c>
      <c r="V588" s="325">
        <v>475.36233931882322</v>
      </c>
      <c r="W588" s="325">
        <v>1267.8552403099395</v>
      </c>
      <c r="X588" s="10">
        <v>120.96612544469269</v>
      </c>
      <c r="Y588" s="320">
        <v>1388.8213657546321</v>
      </c>
    </row>
    <row r="589" spans="1:25" x14ac:dyDescent="0.2">
      <c r="A589" s="7">
        <v>2019</v>
      </c>
      <c r="B589" s="5" t="s">
        <v>466</v>
      </c>
      <c r="C589" s="5" t="s">
        <v>261</v>
      </c>
      <c r="D589" s="5" t="s">
        <v>484</v>
      </c>
      <c r="E589" s="5" t="s">
        <v>289</v>
      </c>
      <c r="F589" s="5" t="s">
        <v>264</v>
      </c>
      <c r="G589" s="5" t="s">
        <v>290</v>
      </c>
      <c r="H589" s="10">
        <v>2.8330459163141515</v>
      </c>
      <c r="I589" s="10">
        <v>0</v>
      </c>
      <c r="J589" s="325">
        <v>2.8330459163141515</v>
      </c>
      <c r="K589" s="10">
        <v>6.9600172723774794</v>
      </c>
      <c r="L589" s="10">
        <v>21.386924775560487</v>
      </c>
      <c r="M589" s="325">
        <v>28.346942047937965</v>
      </c>
      <c r="N589" s="10">
        <v>12.008112494611829</v>
      </c>
      <c r="O589" s="10">
        <v>121.82228994234993</v>
      </c>
      <c r="P589" s="10">
        <v>10.586648775823431</v>
      </c>
      <c r="Q589" s="10">
        <v>5.9576121345030382</v>
      </c>
      <c r="R589" s="10">
        <v>49.883886231542839</v>
      </c>
      <c r="S589" s="10">
        <v>37.209555420563561</v>
      </c>
      <c r="T589" s="10">
        <v>30.107611227340708</v>
      </c>
      <c r="U589" s="10">
        <v>11.585820454682096</v>
      </c>
      <c r="V589" s="325">
        <v>279.16153668141743</v>
      </c>
      <c r="W589" s="325">
        <v>310.34152464566955</v>
      </c>
      <c r="X589" s="10">
        <v>31.191129114406174</v>
      </c>
      <c r="Y589" s="320">
        <v>341.53265376007573</v>
      </c>
    </row>
    <row r="590" spans="1:25" x14ac:dyDescent="0.2">
      <c r="A590" s="7">
        <v>2019</v>
      </c>
      <c r="B590" s="5" t="s">
        <v>466</v>
      </c>
      <c r="C590" s="5" t="s">
        <v>261</v>
      </c>
      <c r="D590" s="5" t="s">
        <v>486</v>
      </c>
      <c r="E590" s="5" t="s">
        <v>291</v>
      </c>
      <c r="F590" s="5" t="s">
        <v>264</v>
      </c>
      <c r="G590" s="5" t="s">
        <v>292</v>
      </c>
      <c r="H590" s="10">
        <v>42.669513544576866</v>
      </c>
      <c r="I590" s="10">
        <v>0</v>
      </c>
      <c r="J590" s="325">
        <v>42.669513544576866</v>
      </c>
      <c r="K590" s="10">
        <v>47.086586660997241</v>
      </c>
      <c r="L590" s="10">
        <v>49.534521558816316</v>
      </c>
      <c r="M590" s="325">
        <v>96.62110821981355</v>
      </c>
      <c r="N590" s="10">
        <v>36.052065063947069</v>
      </c>
      <c r="O590" s="10">
        <v>153.50885475279972</v>
      </c>
      <c r="P590" s="10">
        <v>40.251225636113681</v>
      </c>
      <c r="Q590" s="10">
        <v>46.119762088050912</v>
      </c>
      <c r="R590" s="10">
        <v>132.12552105369355</v>
      </c>
      <c r="S590" s="10">
        <v>82.31443603007888</v>
      </c>
      <c r="T590" s="10">
        <v>98.246901982648566</v>
      </c>
      <c r="U590" s="10">
        <v>31.578548888062862</v>
      </c>
      <c r="V590" s="325">
        <v>620.19731549539517</v>
      </c>
      <c r="W590" s="325">
        <v>759.48793725978555</v>
      </c>
      <c r="X590" s="10">
        <v>75.53168785183685</v>
      </c>
      <c r="Y590" s="320">
        <v>835.01962511162242</v>
      </c>
    </row>
    <row r="591" spans="1:25" x14ac:dyDescent="0.2">
      <c r="A591" s="7">
        <v>2019</v>
      </c>
      <c r="B591" s="5" t="s">
        <v>466</v>
      </c>
      <c r="C591" s="5" t="s">
        <v>261</v>
      </c>
      <c r="D591" s="5" t="s">
        <v>486</v>
      </c>
      <c r="E591" s="5" t="s">
        <v>293</v>
      </c>
      <c r="F591" s="5" t="s">
        <v>264</v>
      </c>
      <c r="G591" s="5" t="s">
        <v>295</v>
      </c>
      <c r="H591" s="10">
        <v>26.511466832071136</v>
      </c>
      <c r="I591" s="10">
        <v>0.28190327997700232</v>
      </c>
      <c r="J591" s="325">
        <v>26.793370112048137</v>
      </c>
      <c r="K591" s="10">
        <v>24.879271138480281</v>
      </c>
      <c r="L591" s="10">
        <v>10.813408623893714</v>
      </c>
      <c r="M591" s="325">
        <v>35.692679762373999</v>
      </c>
      <c r="N591" s="10">
        <v>9.9690893216368615</v>
      </c>
      <c r="O591" s="10">
        <v>52.856727333680297</v>
      </c>
      <c r="P591" s="10">
        <v>9.6063238688125168</v>
      </c>
      <c r="Q591" s="10">
        <v>9.7603174801398591</v>
      </c>
      <c r="R591" s="10">
        <v>28.193789391731361</v>
      </c>
      <c r="S591" s="10">
        <v>21.779921887290193</v>
      </c>
      <c r="T591" s="10">
        <v>29.556039939261478</v>
      </c>
      <c r="U591" s="10">
        <v>9.6376055105377514</v>
      </c>
      <c r="V591" s="325">
        <v>171.3598147330903</v>
      </c>
      <c r="W591" s="325">
        <v>233.84586460751245</v>
      </c>
      <c r="X591" s="10">
        <v>23.404381448092813</v>
      </c>
      <c r="Y591" s="320">
        <v>257.25024605560526</v>
      </c>
    </row>
    <row r="592" spans="1:25" x14ac:dyDescent="0.2">
      <c r="A592" s="7">
        <v>2019</v>
      </c>
      <c r="B592" s="5" t="s">
        <v>466</v>
      </c>
      <c r="C592" s="5" t="s">
        <v>261</v>
      </c>
      <c r="D592" s="5" t="s">
        <v>486</v>
      </c>
      <c r="E592" s="5" t="s">
        <v>296</v>
      </c>
      <c r="F592" s="5" t="s">
        <v>264</v>
      </c>
      <c r="G592" s="5" t="s">
        <v>297</v>
      </c>
      <c r="H592" s="10">
        <v>130.61898225087828</v>
      </c>
      <c r="I592" s="10">
        <v>0</v>
      </c>
      <c r="J592" s="325">
        <v>130.61898225087828</v>
      </c>
      <c r="K592" s="10">
        <v>222.68730490422953</v>
      </c>
      <c r="L592" s="10">
        <v>102.25238392581863</v>
      </c>
      <c r="M592" s="325">
        <v>324.93968883004817</v>
      </c>
      <c r="N592" s="10">
        <v>27.606246753257555</v>
      </c>
      <c r="O592" s="10">
        <v>131.38948514484471</v>
      </c>
      <c r="P592" s="10">
        <v>25.365183675115311</v>
      </c>
      <c r="Q592" s="10">
        <v>25.502190402841347</v>
      </c>
      <c r="R592" s="10">
        <v>90.417920159917031</v>
      </c>
      <c r="S592" s="10">
        <v>82.612407313830829</v>
      </c>
      <c r="T592" s="10">
        <v>113.00170308491757</v>
      </c>
      <c r="U592" s="10">
        <v>25.903076955605247</v>
      </c>
      <c r="V592" s="325">
        <v>521.79821349032954</v>
      </c>
      <c r="W592" s="325">
        <v>977.35688457125605</v>
      </c>
      <c r="X592" s="10">
        <v>95.993063820759758</v>
      </c>
      <c r="Y592" s="320">
        <v>1073.3499483920159</v>
      </c>
    </row>
    <row r="593" spans="1:25" x14ac:dyDescent="0.2">
      <c r="A593" s="7">
        <v>2019</v>
      </c>
      <c r="B593" s="5" t="s">
        <v>466</v>
      </c>
      <c r="C593" s="5" t="s">
        <v>261</v>
      </c>
      <c r="D593" s="5" t="s">
        <v>483</v>
      </c>
      <c r="E593" s="5" t="s">
        <v>298</v>
      </c>
      <c r="F593" s="5" t="s">
        <v>264</v>
      </c>
      <c r="G593" s="5" t="s">
        <v>299</v>
      </c>
      <c r="H593" s="10">
        <v>14.620107379163048</v>
      </c>
      <c r="I593" s="10">
        <v>0</v>
      </c>
      <c r="J593" s="325">
        <v>14.620107379163048</v>
      </c>
      <c r="K593" s="10">
        <v>6.447784724650508</v>
      </c>
      <c r="L593" s="10">
        <v>5.5375418892129797</v>
      </c>
      <c r="M593" s="325">
        <v>11.985326613863489</v>
      </c>
      <c r="N593" s="10">
        <v>1.5334658276407958</v>
      </c>
      <c r="O593" s="10">
        <v>5.8537747716960125</v>
      </c>
      <c r="P593" s="10">
        <v>2.7554529684261704</v>
      </c>
      <c r="Q593" s="10">
        <v>1.8551160508698816</v>
      </c>
      <c r="R593" s="10">
        <v>10.037033137990473</v>
      </c>
      <c r="S593" s="10">
        <v>16.23199588193237</v>
      </c>
      <c r="T593" s="10">
        <v>18.325780107470798</v>
      </c>
      <c r="U593" s="10">
        <v>2.6560255598405194</v>
      </c>
      <c r="V593" s="325">
        <v>59.248644305867025</v>
      </c>
      <c r="W593" s="325">
        <v>85.854078298893555</v>
      </c>
      <c r="X593" s="10">
        <v>8.5716818944181998</v>
      </c>
      <c r="Y593" s="320">
        <v>94.42576019331176</v>
      </c>
    </row>
    <row r="594" spans="1:25" x14ac:dyDescent="0.2">
      <c r="A594" s="7">
        <v>2019</v>
      </c>
      <c r="B594" s="5" t="s">
        <v>466</v>
      </c>
      <c r="C594" s="5" t="s">
        <v>261</v>
      </c>
      <c r="D594" s="5" t="s">
        <v>486</v>
      </c>
      <c r="E594" s="5" t="s">
        <v>300</v>
      </c>
      <c r="F594" s="5" t="s">
        <v>264</v>
      </c>
      <c r="G594" s="5" t="s">
        <v>301</v>
      </c>
      <c r="H594" s="10">
        <v>45.952197121306831</v>
      </c>
      <c r="I594" s="10">
        <v>0.49092475742707775</v>
      </c>
      <c r="J594" s="325">
        <v>46.443121878733912</v>
      </c>
      <c r="K594" s="10">
        <v>1415.6793896634913</v>
      </c>
      <c r="L594" s="10">
        <v>462.33613770055638</v>
      </c>
      <c r="M594" s="325">
        <v>1878.0155273640476</v>
      </c>
      <c r="N594" s="10">
        <v>86.844188014100268</v>
      </c>
      <c r="O594" s="10">
        <v>461.61749017431924</v>
      </c>
      <c r="P594" s="10">
        <v>60.561679444979852</v>
      </c>
      <c r="Q594" s="10">
        <v>31.060849708908805</v>
      </c>
      <c r="R594" s="10">
        <v>228.93777056489211</v>
      </c>
      <c r="S594" s="10">
        <v>271.1569807671645</v>
      </c>
      <c r="T594" s="10">
        <v>338.03230321069896</v>
      </c>
      <c r="U594" s="10">
        <v>49.951600356502688</v>
      </c>
      <c r="V594" s="325">
        <v>1528.1628622415662</v>
      </c>
      <c r="W594" s="325">
        <v>3452.621511484348</v>
      </c>
      <c r="X594" s="10">
        <v>329.5171751712428</v>
      </c>
      <c r="Y594" s="320">
        <v>3782.1386866555908</v>
      </c>
    </row>
    <row r="595" spans="1:25" x14ac:dyDescent="0.2">
      <c r="A595" s="7">
        <v>2019</v>
      </c>
      <c r="B595" s="5" t="s">
        <v>466</v>
      </c>
      <c r="C595" s="5" t="s">
        <v>261</v>
      </c>
      <c r="D595" s="5" t="s">
        <v>484</v>
      </c>
      <c r="E595" s="5" t="s">
        <v>302</v>
      </c>
      <c r="F595" s="5" t="s">
        <v>264</v>
      </c>
      <c r="G595" s="5" t="s">
        <v>303</v>
      </c>
      <c r="H595" s="10">
        <v>11.709002378858477</v>
      </c>
      <c r="I595" s="10">
        <v>0.12259345158156031</v>
      </c>
      <c r="J595" s="325">
        <v>11.831595830440037</v>
      </c>
      <c r="K595" s="10">
        <v>4.172289653498324</v>
      </c>
      <c r="L595" s="10">
        <v>57.887898787871336</v>
      </c>
      <c r="M595" s="325">
        <v>62.060188441369661</v>
      </c>
      <c r="N595" s="10">
        <v>498.94650161456673</v>
      </c>
      <c r="O595" s="10">
        <v>15.97142699569957</v>
      </c>
      <c r="P595" s="10">
        <v>3.8819947858206412</v>
      </c>
      <c r="Q595" s="10">
        <v>1.4096342775223916</v>
      </c>
      <c r="R595" s="10">
        <v>13.761207623832497</v>
      </c>
      <c r="S595" s="10">
        <v>10.697297944875269</v>
      </c>
      <c r="T595" s="10">
        <v>19.144498386247115</v>
      </c>
      <c r="U595" s="10">
        <v>4.2183724597302366</v>
      </c>
      <c r="V595" s="325">
        <v>568.03093408829454</v>
      </c>
      <c r="W595" s="325">
        <v>641.92271836010423</v>
      </c>
      <c r="X595" s="10">
        <v>68.597508125460863</v>
      </c>
      <c r="Y595" s="320">
        <v>710.5202264855651</v>
      </c>
    </row>
    <row r="596" spans="1:25" x14ac:dyDescent="0.2">
      <c r="A596" s="7">
        <v>2019</v>
      </c>
      <c r="B596" s="5" t="s">
        <v>466</v>
      </c>
      <c r="C596" s="5" t="s">
        <v>261</v>
      </c>
      <c r="D596" s="5" t="s">
        <v>485</v>
      </c>
      <c r="E596" s="5" t="s">
        <v>304</v>
      </c>
      <c r="F596" s="5" t="s">
        <v>264</v>
      </c>
      <c r="G596" s="5" t="s">
        <v>305</v>
      </c>
      <c r="H596" s="10">
        <v>4.0533478917009864</v>
      </c>
      <c r="I596" s="10">
        <v>0</v>
      </c>
      <c r="J596" s="325">
        <v>4.0533478917009864</v>
      </c>
      <c r="K596" s="10">
        <v>4.5978731177849862E-2</v>
      </c>
      <c r="L596" s="10">
        <v>5.431775910770547</v>
      </c>
      <c r="M596" s="325">
        <v>5.4777546419483967</v>
      </c>
      <c r="N596" s="10">
        <v>1.4973713653145533</v>
      </c>
      <c r="O596" s="10">
        <v>13.149747076019363</v>
      </c>
      <c r="P596" s="10">
        <v>2.0370515530993814</v>
      </c>
      <c r="Q596" s="10">
        <v>1.1215509169582283</v>
      </c>
      <c r="R596" s="10">
        <v>7.9607629551616617</v>
      </c>
      <c r="S596" s="10">
        <v>6.6849930913713056</v>
      </c>
      <c r="T596" s="10">
        <v>14.564985078186735</v>
      </c>
      <c r="U596" s="10">
        <v>2.1403706510614602</v>
      </c>
      <c r="V596" s="325">
        <v>49.156832687172688</v>
      </c>
      <c r="W596" s="325">
        <v>58.687935220822069</v>
      </c>
      <c r="X596" s="10">
        <v>5.8854323401243915</v>
      </c>
      <c r="Y596" s="320">
        <v>64.573367560946465</v>
      </c>
    </row>
    <row r="597" spans="1:25" x14ac:dyDescent="0.2">
      <c r="A597" s="7">
        <v>2019</v>
      </c>
      <c r="B597" s="5" t="s">
        <v>466</v>
      </c>
      <c r="C597" s="5" t="s">
        <v>261</v>
      </c>
      <c r="D597" s="5" t="s">
        <v>485</v>
      </c>
      <c r="E597" s="5" t="s">
        <v>306</v>
      </c>
      <c r="F597" s="5" t="s">
        <v>264</v>
      </c>
      <c r="G597" s="5" t="s">
        <v>307</v>
      </c>
      <c r="H597" s="10">
        <v>5.3039399323584977</v>
      </c>
      <c r="I597" s="10">
        <v>0.15680974630131761</v>
      </c>
      <c r="J597" s="325">
        <v>5.4607496786598153</v>
      </c>
      <c r="K597" s="10">
        <v>2.5130230342055548</v>
      </c>
      <c r="L597" s="10">
        <v>8.5268002913766274</v>
      </c>
      <c r="M597" s="325">
        <v>11.039823325582182</v>
      </c>
      <c r="N597" s="10">
        <v>3.1265915617184565</v>
      </c>
      <c r="O597" s="10">
        <v>19.25897215360115</v>
      </c>
      <c r="P597" s="10">
        <v>3.6891499712220939</v>
      </c>
      <c r="Q597" s="10">
        <v>2.6119536612452712</v>
      </c>
      <c r="R597" s="10">
        <v>10.233327254434917</v>
      </c>
      <c r="S597" s="10">
        <v>22.185081325543877</v>
      </c>
      <c r="T597" s="10">
        <v>21.981027357403605</v>
      </c>
      <c r="U597" s="10">
        <v>3.4103723924897813</v>
      </c>
      <c r="V597" s="325">
        <v>86.496475677659149</v>
      </c>
      <c r="W597" s="325">
        <v>102.99704868190113</v>
      </c>
      <c r="X597" s="10">
        <v>10.290654557169811</v>
      </c>
      <c r="Y597" s="320">
        <v>113.28770323907095</v>
      </c>
    </row>
    <row r="598" spans="1:25" x14ac:dyDescent="0.2">
      <c r="A598" s="7">
        <v>2019</v>
      </c>
      <c r="B598" s="5" t="s">
        <v>466</v>
      </c>
      <c r="C598" s="5" t="s">
        <v>261</v>
      </c>
      <c r="D598" s="5" t="s">
        <v>484</v>
      </c>
      <c r="E598" s="5" t="s">
        <v>308</v>
      </c>
      <c r="F598" s="5" t="s">
        <v>264</v>
      </c>
      <c r="G598" s="5" t="s">
        <v>309</v>
      </c>
      <c r="H598" s="10">
        <v>9.6167000837899881</v>
      </c>
      <c r="I598" s="10">
        <v>0</v>
      </c>
      <c r="J598" s="325">
        <v>9.6167000837899881</v>
      </c>
      <c r="K598" s="10">
        <v>3.5584923390866376</v>
      </c>
      <c r="L598" s="10">
        <v>14.985836261102831</v>
      </c>
      <c r="M598" s="325">
        <v>18.54432860018947</v>
      </c>
      <c r="N598" s="10">
        <v>104.72068307405613</v>
      </c>
      <c r="O598" s="10">
        <v>11.359107861682427</v>
      </c>
      <c r="P598" s="10">
        <v>2.1997963198879815</v>
      </c>
      <c r="Q598" s="10">
        <v>1.1998946206103438</v>
      </c>
      <c r="R598" s="10">
        <v>8.6926342055605499</v>
      </c>
      <c r="S598" s="10">
        <v>6.2600443943185997</v>
      </c>
      <c r="T598" s="10">
        <v>12.441917048937169</v>
      </c>
      <c r="U598" s="10">
        <v>2.4936097964313477</v>
      </c>
      <c r="V598" s="325">
        <v>149.36768732148454</v>
      </c>
      <c r="W598" s="325">
        <v>177.52871600546399</v>
      </c>
      <c r="X598" s="10">
        <v>18.688450995766136</v>
      </c>
      <c r="Y598" s="320">
        <v>196.21716700123014</v>
      </c>
    </row>
    <row r="599" spans="1:25" x14ac:dyDescent="0.2">
      <c r="A599" s="7">
        <v>2019</v>
      </c>
      <c r="B599" s="5" t="s">
        <v>466</v>
      </c>
      <c r="C599" s="5" t="s">
        <v>261</v>
      </c>
      <c r="D599" s="5" t="s">
        <v>486</v>
      </c>
      <c r="E599" s="5" t="s">
        <v>310</v>
      </c>
      <c r="F599" s="5" t="s">
        <v>264</v>
      </c>
      <c r="G599" s="5" t="s">
        <v>311</v>
      </c>
      <c r="H599" s="10">
        <v>77.977532384467153</v>
      </c>
      <c r="I599" s="10">
        <v>0.82333061805505303</v>
      </c>
      <c r="J599" s="325">
        <v>78.800863002522206</v>
      </c>
      <c r="K599" s="10">
        <v>4.4455445264041771</v>
      </c>
      <c r="L599" s="10">
        <v>16.946477288291934</v>
      </c>
      <c r="M599" s="325">
        <v>21.392021814696111</v>
      </c>
      <c r="N599" s="10">
        <v>4.3881312594351272</v>
      </c>
      <c r="O599" s="10">
        <v>29.747571350770691</v>
      </c>
      <c r="P599" s="10">
        <v>6.0403886048372213</v>
      </c>
      <c r="Q599" s="10">
        <v>3.2933289426325727</v>
      </c>
      <c r="R599" s="10">
        <v>27.820116318719005</v>
      </c>
      <c r="S599" s="10">
        <v>18.30937916959633</v>
      </c>
      <c r="T599" s="10">
        <v>33.747382459808051</v>
      </c>
      <c r="U599" s="10">
        <v>7.2568865835634861</v>
      </c>
      <c r="V599" s="325">
        <v>130.60318468936248</v>
      </c>
      <c r="W599" s="325">
        <v>230.79606950658081</v>
      </c>
      <c r="X599" s="10">
        <v>23.562157164279565</v>
      </c>
      <c r="Y599" s="320">
        <v>254.35822667086038</v>
      </c>
    </row>
    <row r="600" spans="1:25" x14ac:dyDescent="0.2">
      <c r="A600" s="7">
        <v>2019</v>
      </c>
      <c r="B600" s="5" t="s">
        <v>466</v>
      </c>
      <c r="C600" s="5" t="s">
        <v>261</v>
      </c>
      <c r="D600" s="5" t="s">
        <v>483</v>
      </c>
      <c r="E600" s="5" t="s">
        <v>312</v>
      </c>
      <c r="F600" s="5" t="s">
        <v>264</v>
      </c>
      <c r="G600" s="5" t="s">
        <v>313</v>
      </c>
      <c r="H600" s="10">
        <v>364.48483858072183</v>
      </c>
      <c r="I600" s="10">
        <v>13.472722786688676</v>
      </c>
      <c r="J600" s="325">
        <v>377.95756136741051</v>
      </c>
      <c r="K600" s="10">
        <v>291.9357470555604</v>
      </c>
      <c r="L600" s="10">
        <v>38.815541791566773</v>
      </c>
      <c r="M600" s="325">
        <v>330.75128884712717</v>
      </c>
      <c r="N600" s="10">
        <v>31.467414666205009</v>
      </c>
      <c r="O600" s="10">
        <v>52.395536011981491</v>
      </c>
      <c r="P600" s="10">
        <v>11.717103956221834</v>
      </c>
      <c r="Q600" s="10">
        <v>9.2471566231394515</v>
      </c>
      <c r="R600" s="10">
        <v>37.252485259902443</v>
      </c>
      <c r="S600" s="10">
        <v>55.92829243857171</v>
      </c>
      <c r="T600" s="10">
        <v>64.326117752270235</v>
      </c>
      <c r="U600" s="10">
        <v>10.422244976617002</v>
      </c>
      <c r="V600" s="325">
        <v>272.75635168490913</v>
      </c>
      <c r="W600" s="325">
        <v>981.46520189944681</v>
      </c>
      <c r="X600" s="10">
        <v>98.538865955273053</v>
      </c>
      <c r="Y600" s="320">
        <v>1080.0040678547198</v>
      </c>
    </row>
    <row r="601" spans="1:25" x14ac:dyDescent="0.2">
      <c r="A601" s="7">
        <v>2019</v>
      </c>
      <c r="B601" s="5" t="s">
        <v>466</v>
      </c>
      <c r="C601" s="5" t="s">
        <v>314</v>
      </c>
      <c r="D601" s="5" t="s">
        <v>487</v>
      </c>
      <c r="E601" s="5" t="s">
        <v>316</v>
      </c>
      <c r="F601" s="5" t="s">
        <v>317</v>
      </c>
      <c r="G601" s="5" t="s">
        <v>318</v>
      </c>
      <c r="H601" s="10">
        <v>43.720259562334576</v>
      </c>
      <c r="I601" s="10">
        <v>1.30968160466498</v>
      </c>
      <c r="J601" s="325">
        <v>45.029941166999556</v>
      </c>
      <c r="K601" s="10">
        <v>143.8403041285452</v>
      </c>
      <c r="L601" s="10">
        <v>54.323975591278831</v>
      </c>
      <c r="M601" s="325">
        <v>198.16427971982404</v>
      </c>
      <c r="N601" s="10">
        <v>17.132330530638097</v>
      </c>
      <c r="O601" s="10">
        <v>56.106237228454518</v>
      </c>
      <c r="P601" s="10">
        <v>10.457335713784232</v>
      </c>
      <c r="Q601" s="10">
        <v>8.026513388979204</v>
      </c>
      <c r="R601" s="10">
        <v>27.988481192807679</v>
      </c>
      <c r="S601" s="10">
        <v>37.088822536005594</v>
      </c>
      <c r="T601" s="10">
        <v>48.20924574750854</v>
      </c>
      <c r="U601" s="10">
        <v>12.627833135749608</v>
      </c>
      <c r="V601" s="325">
        <v>217.63679947392745</v>
      </c>
      <c r="W601" s="325">
        <v>460.83102036075104</v>
      </c>
      <c r="X601" s="10">
        <v>44.802009042093978</v>
      </c>
      <c r="Y601" s="320">
        <v>505.63302940284501</v>
      </c>
    </row>
    <row r="602" spans="1:25" x14ac:dyDescent="0.2">
      <c r="A602" s="7">
        <v>2019</v>
      </c>
      <c r="B602" s="5" t="s">
        <v>466</v>
      </c>
      <c r="C602" s="5" t="s">
        <v>314</v>
      </c>
      <c r="D602" s="5" t="s">
        <v>488</v>
      </c>
      <c r="E602" s="5" t="s">
        <v>319</v>
      </c>
      <c r="F602" s="5" t="s">
        <v>317</v>
      </c>
      <c r="G602" s="5" t="s">
        <v>321</v>
      </c>
      <c r="H602" s="10">
        <v>101.9853245860367</v>
      </c>
      <c r="I602" s="10">
        <v>3.1418545747440065</v>
      </c>
      <c r="J602" s="325">
        <v>105.1271791607807</v>
      </c>
      <c r="K602" s="10">
        <v>74.664449462781945</v>
      </c>
      <c r="L602" s="10">
        <v>80.088988577570518</v>
      </c>
      <c r="M602" s="325">
        <v>154.75343804035248</v>
      </c>
      <c r="N602" s="10">
        <v>14.062846053973173</v>
      </c>
      <c r="O602" s="10">
        <v>79.938004867080181</v>
      </c>
      <c r="P602" s="10">
        <v>16.455745766961257</v>
      </c>
      <c r="Q602" s="10">
        <v>21.686547590243947</v>
      </c>
      <c r="R602" s="10">
        <v>34.471651126881341</v>
      </c>
      <c r="S602" s="10">
        <v>49.827390035208779</v>
      </c>
      <c r="T602" s="10">
        <v>79.830360699671616</v>
      </c>
      <c r="U602" s="10">
        <v>14.492307718077877</v>
      </c>
      <c r="V602" s="325">
        <v>310.76485385809815</v>
      </c>
      <c r="W602" s="325">
        <v>570.64547105923134</v>
      </c>
      <c r="X602" s="10">
        <v>56.698114620713397</v>
      </c>
      <c r="Y602" s="320">
        <v>627.34358567994468</v>
      </c>
    </row>
    <row r="603" spans="1:25" x14ac:dyDescent="0.2">
      <c r="A603" s="7">
        <v>2019</v>
      </c>
      <c r="B603" s="5" t="s">
        <v>466</v>
      </c>
      <c r="C603" s="5" t="s">
        <v>314</v>
      </c>
      <c r="D603" s="5" t="s">
        <v>487</v>
      </c>
      <c r="E603" s="5" t="s">
        <v>322</v>
      </c>
      <c r="F603" s="5" t="s">
        <v>317</v>
      </c>
      <c r="G603" s="5" t="s">
        <v>323</v>
      </c>
      <c r="H603" s="10">
        <v>20.797917819253886</v>
      </c>
      <c r="I603" s="10">
        <v>0.68375011025552412</v>
      </c>
      <c r="J603" s="325">
        <v>21.48166792950941</v>
      </c>
      <c r="K603" s="10">
        <v>4.5216670766702718</v>
      </c>
      <c r="L603" s="10">
        <v>1.9794498074825573</v>
      </c>
      <c r="M603" s="325">
        <v>6.5011168841528288</v>
      </c>
      <c r="N603" s="10">
        <v>3.7479055542823754</v>
      </c>
      <c r="O603" s="10">
        <v>8.5289096492991625</v>
      </c>
      <c r="P603" s="10">
        <v>2.1209028010266682</v>
      </c>
      <c r="Q603" s="10">
        <v>1.1842430934566313</v>
      </c>
      <c r="R603" s="10">
        <v>5.6963746595659837</v>
      </c>
      <c r="S603" s="10">
        <v>6.0802713772304848</v>
      </c>
      <c r="T603" s="10">
        <v>9.7488279540320359</v>
      </c>
      <c r="U603" s="10">
        <v>2.8285134420469471</v>
      </c>
      <c r="V603" s="325">
        <v>39.935948530940287</v>
      </c>
      <c r="W603" s="325">
        <v>67.918733344602529</v>
      </c>
      <c r="X603" s="10">
        <v>6.9499295605660061</v>
      </c>
      <c r="Y603" s="320">
        <v>74.868662905168534</v>
      </c>
    </row>
    <row r="604" spans="1:25" x14ac:dyDescent="0.2">
      <c r="A604" s="7">
        <v>2019</v>
      </c>
      <c r="B604" s="5" t="s">
        <v>466</v>
      </c>
      <c r="C604" s="5" t="s">
        <v>314</v>
      </c>
      <c r="D604" s="5" t="s">
        <v>488</v>
      </c>
      <c r="E604" s="5" t="s">
        <v>324</v>
      </c>
      <c r="F604" s="5" t="s">
        <v>317</v>
      </c>
      <c r="G604" s="5" t="s">
        <v>325</v>
      </c>
      <c r="H604" s="10">
        <v>54.1758581785652</v>
      </c>
      <c r="I604" s="10">
        <v>0</v>
      </c>
      <c r="J604" s="325">
        <v>54.1758581785652</v>
      </c>
      <c r="K604" s="10">
        <v>9.2467157655350594</v>
      </c>
      <c r="L604" s="10">
        <v>3.8552337602895741</v>
      </c>
      <c r="M604" s="325">
        <v>13.101949525824633</v>
      </c>
      <c r="N604" s="10">
        <v>2.8021668661221137</v>
      </c>
      <c r="O604" s="10">
        <v>14.986087663920523</v>
      </c>
      <c r="P604" s="10">
        <v>3.7105729571991235</v>
      </c>
      <c r="Q604" s="10">
        <v>1.7635747793283374</v>
      </c>
      <c r="R604" s="10">
        <v>7.9744068503711469</v>
      </c>
      <c r="S604" s="10">
        <v>11.386259638530525</v>
      </c>
      <c r="T604" s="10">
        <v>22.768600679783709</v>
      </c>
      <c r="U604" s="10">
        <v>3.6474734631856816</v>
      </c>
      <c r="V604" s="325">
        <v>69.039142898441142</v>
      </c>
      <c r="W604" s="325">
        <v>136.31695060283099</v>
      </c>
      <c r="X604" s="10">
        <v>13.993018302421055</v>
      </c>
      <c r="Y604" s="320">
        <v>150.30996890525205</v>
      </c>
    </row>
    <row r="605" spans="1:25" x14ac:dyDescent="0.2">
      <c r="A605" s="7">
        <v>2019</v>
      </c>
      <c r="B605" s="5" t="s">
        <v>466</v>
      </c>
      <c r="C605" s="5" t="s">
        <v>314</v>
      </c>
      <c r="D605" s="5" t="s">
        <v>489</v>
      </c>
      <c r="E605" s="5" t="s">
        <v>326</v>
      </c>
      <c r="F605" s="5" t="s">
        <v>317</v>
      </c>
      <c r="G605" s="5" t="s">
        <v>327</v>
      </c>
      <c r="H605" s="10">
        <v>75.13013012266552</v>
      </c>
      <c r="I605" s="10">
        <v>0</v>
      </c>
      <c r="J605" s="325">
        <v>75.13013012266552</v>
      </c>
      <c r="K605" s="10">
        <v>7.0979033828150468</v>
      </c>
      <c r="L605" s="10">
        <v>10.613073343808711</v>
      </c>
      <c r="M605" s="325">
        <v>17.710976726623759</v>
      </c>
      <c r="N605" s="10">
        <v>3.5121369665594457</v>
      </c>
      <c r="O605" s="10">
        <v>23.188351817950743</v>
      </c>
      <c r="P605" s="10">
        <v>4.7566734764260037</v>
      </c>
      <c r="Q605" s="10">
        <v>3.6091215461858082</v>
      </c>
      <c r="R605" s="10">
        <v>10.965302557747924</v>
      </c>
      <c r="S605" s="10">
        <v>14.632265963623828</v>
      </c>
      <c r="T605" s="10">
        <v>30.58496706254741</v>
      </c>
      <c r="U605" s="10">
        <v>4.6430059139023605</v>
      </c>
      <c r="V605" s="325">
        <v>95.891825304943524</v>
      </c>
      <c r="W605" s="325">
        <v>188.7329321542328</v>
      </c>
      <c r="X605" s="10">
        <v>19.383891166154712</v>
      </c>
      <c r="Y605" s="320">
        <v>208.11682332038751</v>
      </c>
    </row>
    <row r="606" spans="1:25" x14ac:dyDescent="0.2">
      <c r="A606" s="7">
        <v>2019</v>
      </c>
      <c r="B606" s="5" t="s">
        <v>466</v>
      </c>
      <c r="C606" s="5" t="s">
        <v>314</v>
      </c>
      <c r="D606" s="5" t="s">
        <v>490</v>
      </c>
      <c r="E606" s="5" t="s">
        <v>328</v>
      </c>
      <c r="F606" s="5" t="s">
        <v>317</v>
      </c>
      <c r="G606" s="5" t="s">
        <v>330</v>
      </c>
      <c r="H606" s="10">
        <v>11.566028694158328</v>
      </c>
      <c r="I606" s="10">
        <v>0</v>
      </c>
      <c r="J606" s="325">
        <v>11.566028694158328</v>
      </c>
      <c r="K606" s="10">
        <v>2.2395554724900077</v>
      </c>
      <c r="L606" s="10">
        <v>3.0003050988597106</v>
      </c>
      <c r="M606" s="325">
        <v>5.2398605713497179</v>
      </c>
      <c r="N606" s="10">
        <v>1.2978454163690727</v>
      </c>
      <c r="O606" s="10">
        <v>8.2864987993435335</v>
      </c>
      <c r="P606" s="10">
        <v>1.7198632038372108</v>
      </c>
      <c r="Q606" s="10">
        <v>1.2691828459237777</v>
      </c>
      <c r="R606" s="10">
        <v>3.7083790133285266</v>
      </c>
      <c r="S606" s="10">
        <v>6.1615549546659327</v>
      </c>
      <c r="T606" s="10">
        <v>12.063217881945853</v>
      </c>
      <c r="U606" s="10">
        <v>1.6797224286678902</v>
      </c>
      <c r="V606" s="325">
        <v>36.186264544081794</v>
      </c>
      <c r="W606" s="325">
        <v>52.992153809589837</v>
      </c>
      <c r="X606" s="10">
        <v>5.3693981366661063</v>
      </c>
      <c r="Y606" s="320">
        <v>58.361551946255943</v>
      </c>
    </row>
    <row r="607" spans="1:25" x14ac:dyDescent="0.2">
      <c r="A607" s="7">
        <v>2019</v>
      </c>
      <c r="B607" s="5" t="s">
        <v>466</v>
      </c>
      <c r="C607" s="5" t="s">
        <v>314</v>
      </c>
      <c r="D607" s="5" t="s">
        <v>488</v>
      </c>
      <c r="E607" s="5" t="s">
        <v>331</v>
      </c>
      <c r="F607" s="5" t="s">
        <v>317</v>
      </c>
      <c r="G607" s="5" t="s">
        <v>332</v>
      </c>
      <c r="H607" s="10">
        <v>70.278221733194087</v>
      </c>
      <c r="I607" s="10">
        <v>0</v>
      </c>
      <c r="J607" s="325">
        <v>70.278221733194087</v>
      </c>
      <c r="K607" s="10">
        <v>8.6220359627691909</v>
      </c>
      <c r="L607" s="10">
        <v>18.211496155345156</v>
      </c>
      <c r="M607" s="325">
        <v>26.833532118114348</v>
      </c>
      <c r="N607" s="10">
        <v>8.1847389368182384</v>
      </c>
      <c r="O607" s="10">
        <v>51.033516105191474</v>
      </c>
      <c r="P607" s="10">
        <v>9.441859010619245</v>
      </c>
      <c r="Q607" s="10">
        <v>5.4789546160646498</v>
      </c>
      <c r="R607" s="10">
        <v>24.2471576385764</v>
      </c>
      <c r="S607" s="10">
        <v>27.099796205128499</v>
      </c>
      <c r="T607" s="10">
        <v>59.451646924504018</v>
      </c>
      <c r="U607" s="10">
        <v>9.3552326470072842</v>
      </c>
      <c r="V607" s="325">
        <v>194.29290208390981</v>
      </c>
      <c r="W607" s="325">
        <v>291.40465593521822</v>
      </c>
      <c r="X607" s="10">
        <v>29.629600110493474</v>
      </c>
      <c r="Y607" s="320">
        <v>321.03425604571169</v>
      </c>
    </row>
    <row r="608" spans="1:25" x14ac:dyDescent="0.2">
      <c r="A608" s="7">
        <v>2019</v>
      </c>
      <c r="B608" s="5" t="s">
        <v>466</v>
      </c>
      <c r="C608" s="5" t="s">
        <v>314</v>
      </c>
      <c r="D608" s="5" t="s">
        <v>489</v>
      </c>
      <c r="E608" s="5" t="s">
        <v>333</v>
      </c>
      <c r="F608" s="5" t="s">
        <v>317</v>
      </c>
      <c r="G608" s="5" t="s">
        <v>334</v>
      </c>
      <c r="H608" s="10">
        <v>91.137595541427515</v>
      </c>
      <c r="I608" s="10">
        <v>0</v>
      </c>
      <c r="J608" s="325">
        <v>91.137595541427515</v>
      </c>
      <c r="K608" s="10">
        <v>9.5261608444842789</v>
      </c>
      <c r="L608" s="10">
        <v>14.781646632785067</v>
      </c>
      <c r="M608" s="325">
        <v>24.307807477269346</v>
      </c>
      <c r="N608" s="10">
        <v>8.2439761924377706</v>
      </c>
      <c r="O608" s="10">
        <v>35.078633448783528</v>
      </c>
      <c r="P608" s="10">
        <v>7.4485463821198259</v>
      </c>
      <c r="Q608" s="10">
        <v>5.3355139845949386</v>
      </c>
      <c r="R608" s="10">
        <v>15.474808633520654</v>
      </c>
      <c r="S608" s="10">
        <v>19.958465302187221</v>
      </c>
      <c r="T608" s="10">
        <v>35.613580912018399</v>
      </c>
      <c r="U608" s="10">
        <v>7.0329956898121324</v>
      </c>
      <c r="V608" s="325">
        <v>134.18652054547448</v>
      </c>
      <c r="W608" s="325">
        <v>249.63192356417133</v>
      </c>
      <c r="X608" s="10">
        <v>25.603050239576216</v>
      </c>
      <c r="Y608" s="320">
        <v>275.23497380374755</v>
      </c>
    </row>
    <row r="609" spans="1:25" x14ac:dyDescent="0.2">
      <c r="A609" s="7">
        <v>2019</v>
      </c>
      <c r="B609" s="5" t="s">
        <v>466</v>
      </c>
      <c r="C609" s="5" t="s">
        <v>314</v>
      </c>
      <c r="D609" s="5" t="s">
        <v>487</v>
      </c>
      <c r="E609" s="5" t="s">
        <v>335</v>
      </c>
      <c r="F609" s="5" t="s">
        <v>317</v>
      </c>
      <c r="G609" s="5" t="s">
        <v>336</v>
      </c>
      <c r="H609" s="10">
        <v>113.2857365345519</v>
      </c>
      <c r="I609" s="10">
        <v>1.3915465072682347</v>
      </c>
      <c r="J609" s="325">
        <v>114.67728304182013</v>
      </c>
      <c r="K609" s="10">
        <v>10.190450951409057</v>
      </c>
      <c r="L609" s="10">
        <v>20.01971725418629</v>
      </c>
      <c r="M609" s="325">
        <v>30.210168205595345</v>
      </c>
      <c r="N609" s="10">
        <v>6.7358828061389016</v>
      </c>
      <c r="O609" s="10">
        <v>38.154443194425873</v>
      </c>
      <c r="P609" s="10">
        <v>8.2616713559625374</v>
      </c>
      <c r="Q609" s="10">
        <v>5.6398165348468874</v>
      </c>
      <c r="R609" s="10">
        <v>19.39671088605138</v>
      </c>
      <c r="S609" s="10">
        <v>25.273527312527271</v>
      </c>
      <c r="T609" s="10">
        <v>41.316892820210619</v>
      </c>
      <c r="U609" s="10">
        <v>9.3375746696804569</v>
      </c>
      <c r="V609" s="325">
        <v>154.11651957984395</v>
      </c>
      <c r="W609" s="325">
        <v>299.00397082725942</v>
      </c>
      <c r="X609" s="10">
        <v>30.666383910567021</v>
      </c>
      <c r="Y609" s="320">
        <v>329.67035473782641</v>
      </c>
    </row>
    <row r="610" spans="1:25" x14ac:dyDescent="0.2">
      <c r="A610" s="7">
        <v>2019</v>
      </c>
      <c r="B610" s="5" t="s">
        <v>466</v>
      </c>
      <c r="C610" s="5" t="s">
        <v>314</v>
      </c>
      <c r="D610" s="5" t="s">
        <v>488</v>
      </c>
      <c r="E610" s="5" t="s">
        <v>337</v>
      </c>
      <c r="F610" s="5" t="s">
        <v>317</v>
      </c>
      <c r="G610" s="5" t="s">
        <v>338</v>
      </c>
      <c r="H610" s="10">
        <v>13.7578515616527</v>
      </c>
      <c r="I610" s="10">
        <v>0</v>
      </c>
      <c r="J610" s="325">
        <v>13.7578515616527</v>
      </c>
      <c r="K610" s="10">
        <v>2.7533422054948535</v>
      </c>
      <c r="L610" s="10">
        <v>3.3532062948441359</v>
      </c>
      <c r="M610" s="325">
        <v>6.1065485003389899</v>
      </c>
      <c r="N610" s="10">
        <v>3.1474013417105682</v>
      </c>
      <c r="O610" s="10">
        <v>10.616749338869068</v>
      </c>
      <c r="P610" s="10">
        <v>2.1105554458223375</v>
      </c>
      <c r="Q610" s="10">
        <v>1.1151529308086856</v>
      </c>
      <c r="R610" s="10">
        <v>5.9443967843613965</v>
      </c>
      <c r="S610" s="10">
        <v>6.1927296527474143</v>
      </c>
      <c r="T610" s="10">
        <v>10.951197406428365</v>
      </c>
      <c r="U610" s="10">
        <v>1.8968476390397582</v>
      </c>
      <c r="V610" s="325">
        <v>41.975030539787589</v>
      </c>
      <c r="W610" s="325">
        <v>61.839430601779277</v>
      </c>
      <c r="X610" s="10">
        <v>6.2830228893445774</v>
      </c>
      <c r="Y610" s="320">
        <v>68.122453491123849</v>
      </c>
    </row>
    <row r="611" spans="1:25" x14ac:dyDescent="0.2">
      <c r="A611" s="7">
        <v>2019</v>
      </c>
      <c r="B611" s="5" t="s">
        <v>466</v>
      </c>
      <c r="C611" s="5" t="s">
        <v>314</v>
      </c>
      <c r="D611" s="5" t="s">
        <v>488</v>
      </c>
      <c r="E611" s="5" t="s">
        <v>339</v>
      </c>
      <c r="F611" s="5" t="s">
        <v>317</v>
      </c>
      <c r="G611" s="5" t="s">
        <v>340</v>
      </c>
      <c r="H611" s="10">
        <v>58.044980697429729</v>
      </c>
      <c r="I611" s="10">
        <v>0</v>
      </c>
      <c r="J611" s="325">
        <v>58.044980697429729</v>
      </c>
      <c r="K611" s="10">
        <v>11.591073481393503</v>
      </c>
      <c r="L611" s="10">
        <v>7.203272238400876</v>
      </c>
      <c r="M611" s="325">
        <v>18.794345719794379</v>
      </c>
      <c r="N611" s="10">
        <v>4.7196015824273765</v>
      </c>
      <c r="O611" s="10">
        <v>33.584674969464452</v>
      </c>
      <c r="P611" s="10">
        <v>5.5500439397062227</v>
      </c>
      <c r="Q611" s="10">
        <v>5.0099758060936166</v>
      </c>
      <c r="R611" s="10">
        <v>17.700677356340474</v>
      </c>
      <c r="S611" s="10">
        <v>15.347753131862236</v>
      </c>
      <c r="T611" s="10">
        <v>25.46462945321392</v>
      </c>
      <c r="U611" s="10">
        <v>5.2853997367181265</v>
      </c>
      <c r="V611" s="325">
        <v>112.66275597582643</v>
      </c>
      <c r="W611" s="325">
        <v>189.50208239305053</v>
      </c>
      <c r="X611" s="10">
        <v>19.330416193215722</v>
      </c>
      <c r="Y611" s="320">
        <v>208.83249858626624</v>
      </c>
    </row>
    <row r="612" spans="1:25" x14ac:dyDescent="0.2">
      <c r="A612" s="7">
        <v>2019</v>
      </c>
      <c r="B612" s="5" t="s">
        <v>466</v>
      </c>
      <c r="C612" s="5" t="s">
        <v>314</v>
      </c>
      <c r="D612" s="5" t="s">
        <v>490</v>
      </c>
      <c r="E612" s="5" t="s">
        <v>341</v>
      </c>
      <c r="F612" s="5" t="s">
        <v>317</v>
      </c>
      <c r="G612" s="5" t="s">
        <v>342</v>
      </c>
      <c r="H612" s="10">
        <v>55.981776844043097</v>
      </c>
      <c r="I612" s="10">
        <v>0</v>
      </c>
      <c r="J612" s="325">
        <v>55.981776844043097</v>
      </c>
      <c r="K612" s="10">
        <v>4.1698385858739435</v>
      </c>
      <c r="L612" s="10">
        <v>13.203067765475865</v>
      </c>
      <c r="M612" s="325">
        <v>17.372906351349808</v>
      </c>
      <c r="N612" s="10">
        <v>17.696371635600848</v>
      </c>
      <c r="O612" s="10">
        <v>22.394365082666223</v>
      </c>
      <c r="P612" s="10">
        <v>4.0638733850310942</v>
      </c>
      <c r="Q612" s="10">
        <v>3.0160155797699422</v>
      </c>
      <c r="R612" s="10">
        <v>11.187412692076901</v>
      </c>
      <c r="S612" s="10">
        <v>14.811207791076702</v>
      </c>
      <c r="T612" s="10">
        <v>26.281667880494648</v>
      </c>
      <c r="U612" s="10">
        <v>5.0702758868919391</v>
      </c>
      <c r="V612" s="325">
        <v>104.52118993360828</v>
      </c>
      <c r="W612" s="325">
        <v>177.87587312900121</v>
      </c>
      <c r="X612" s="10">
        <v>18.279702007356846</v>
      </c>
      <c r="Y612" s="320">
        <v>196.15557513635804</v>
      </c>
    </row>
    <row r="613" spans="1:25" x14ac:dyDescent="0.2">
      <c r="A613" s="7">
        <v>2019</v>
      </c>
      <c r="B613" s="5" t="s">
        <v>466</v>
      </c>
      <c r="C613" s="5" t="s">
        <v>314</v>
      </c>
      <c r="D613" s="5" t="s">
        <v>490</v>
      </c>
      <c r="E613" s="5" t="s">
        <v>343</v>
      </c>
      <c r="F613" s="5" t="s">
        <v>317</v>
      </c>
      <c r="G613" s="5" t="s">
        <v>344</v>
      </c>
      <c r="H613" s="10">
        <v>6.309841809988523</v>
      </c>
      <c r="I613" s="10">
        <v>2.425685626117319</v>
      </c>
      <c r="J613" s="325">
        <v>8.7355274361058424</v>
      </c>
      <c r="K613" s="10">
        <v>19.326630182388289</v>
      </c>
      <c r="L613" s="10">
        <v>50.187787008119571</v>
      </c>
      <c r="M613" s="325">
        <v>69.514417190507857</v>
      </c>
      <c r="N613" s="10">
        <v>6.7316157373090499</v>
      </c>
      <c r="O613" s="10">
        <v>45.323264433543294</v>
      </c>
      <c r="P613" s="10">
        <v>3.6070807549893753</v>
      </c>
      <c r="Q613" s="10">
        <v>2.1397594077046933</v>
      </c>
      <c r="R613" s="10">
        <v>8.7299239795105663</v>
      </c>
      <c r="S613" s="10">
        <v>13.325808418480962</v>
      </c>
      <c r="T613" s="10">
        <v>17.763194406571873</v>
      </c>
      <c r="U613" s="10">
        <v>3.6529058730749115</v>
      </c>
      <c r="V613" s="325">
        <v>101.27355301118472</v>
      </c>
      <c r="W613" s="325">
        <v>179.52349763779844</v>
      </c>
      <c r="X613" s="10">
        <v>17.618512480343398</v>
      </c>
      <c r="Y613" s="320">
        <v>197.14201011814185</v>
      </c>
    </row>
    <row r="614" spans="1:25" x14ac:dyDescent="0.2">
      <c r="A614" s="7">
        <v>2019</v>
      </c>
      <c r="B614" s="5" t="s">
        <v>466</v>
      </c>
      <c r="C614" s="5" t="s">
        <v>314</v>
      </c>
      <c r="D614" s="5" t="s">
        <v>490</v>
      </c>
      <c r="E614" s="5" t="s">
        <v>345</v>
      </c>
      <c r="F614" s="5" t="s">
        <v>317</v>
      </c>
      <c r="G614" s="5" t="s">
        <v>346</v>
      </c>
      <c r="H614" s="10">
        <v>13.376616847241587</v>
      </c>
      <c r="I614" s="10">
        <v>0</v>
      </c>
      <c r="J614" s="325">
        <v>13.376616847241587</v>
      </c>
      <c r="K614" s="10">
        <v>7.0684435512531865</v>
      </c>
      <c r="L614" s="10">
        <v>22.185565478986657</v>
      </c>
      <c r="M614" s="325">
        <v>29.254009030239843</v>
      </c>
      <c r="N614" s="10">
        <v>1.6268814542114074</v>
      </c>
      <c r="O614" s="10">
        <v>11.23679192513236</v>
      </c>
      <c r="P614" s="10">
        <v>2.4969831261993733</v>
      </c>
      <c r="Q614" s="10">
        <v>1.4839048688103798</v>
      </c>
      <c r="R614" s="10">
        <v>7.5474844105800516</v>
      </c>
      <c r="S614" s="10">
        <v>9.8478335333622891</v>
      </c>
      <c r="T614" s="10">
        <v>20.783101613011027</v>
      </c>
      <c r="U614" s="10">
        <v>2.6967164705702777</v>
      </c>
      <c r="V614" s="325">
        <v>57.71969740187717</v>
      </c>
      <c r="W614" s="325">
        <v>100.35032327935861</v>
      </c>
      <c r="X614" s="10">
        <v>9.8946966925908093</v>
      </c>
      <c r="Y614" s="320">
        <v>110.24501997194942</v>
      </c>
    </row>
    <row r="615" spans="1:25" x14ac:dyDescent="0.2">
      <c r="A615" s="7">
        <v>2019</v>
      </c>
      <c r="B615" s="5" t="s">
        <v>466</v>
      </c>
      <c r="C615" s="5" t="s">
        <v>314</v>
      </c>
      <c r="D615" s="5" t="s">
        <v>490</v>
      </c>
      <c r="E615" s="5" t="s">
        <v>347</v>
      </c>
      <c r="F615" s="5" t="s">
        <v>317</v>
      </c>
      <c r="G615" s="5" t="s">
        <v>348</v>
      </c>
      <c r="H615" s="10">
        <v>16.666033339516304</v>
      </c>
      <c r="I615" s="10">
        <v>0</v>
      </c>
      <c r="J615" s="325">
        <v>16.666033339516304</v>
      </c>
      <c r="K615" s="10">
        <v>1.5807053881722255</v>
      </c>
      <c r="L615" s="10">
        <v>7.7096663914357881</v>
      </c>
      <c r="M615" s="325">
        <v>9.2903717796080141</v>
      </c>
      <c r="N615" s="10">
        <v>2.3982354904627754</v>
      </c>
      <c r="O615" s="10">
        <v>9.0177012806769064</v>
      </c>
      <c r="P615" s="10">
        <v>3.5203926552336515</v>
      </c>
      <c r="Q615" s="10">
        <v>2.0762071214146181</v>
      </c>
      <c r="R615" s="10">
        <v>6.862662736053962</v>
      </c>
      <c r="S615" s="10">
        <v>9.5685765810419614</v>
      </c>
      <c r="T615" s="10">
        <v>20.575535477826694</v>
      </c>
      <c r="U615" s="10">
        <v>3.4281962685210758</v>
      </c>
      <c r="V615" s="325">
        <v>57.447507611231643</v>
      </c>
      <c r="W615" s="325">
        <v>83.403912730355955</v>
      </c>
      <c r="X615" s="10">
        <v>8.4065086589264073</v>
      </c>
      <c r="Y615" s="320">
        <v>91.810421389282368</v>
      </c>
    </row>
    <row r="616" spans="1:25" x14ac:dyDescent="0.2">
      <c r="A616" s="7">
        <v>2019</v>
      </c>
      <c r="B616" s="5" t="s">
        <v>466</v>
      </c>
      <c r="C616" s="5" t="s">
        <v>314</v>
      </c>
      <c r="D616" s="5" t="s">
        <v>489</v>
      </c>
      <c r="E616" s="5" t="s">
        <v>349</v>
      </c>
      <c r="F616" s="5" t="s">
        <v>317</v>
      </c>
      <c r="G616" s="5" t="s">
        <v>350</v>
      </c>
      <c r="H616" s="10">
        <v>72.745454994093095</v>
      </c>
      <c r="I616" s="10">
        <v>0</v>
      </c>
      <c r="J616" s="325">
        <v>72.745454994093095</v>
      </c>
      <c r="K616" s="10">
        <v>7.139364493879131</v>
      </c>
      <c r="L616" s="10">
        <v>12.319401862660623</v>
      </c>
      <c r="M616" s="325">
        <v>19.458766356539755</v>
      </c>
      <c r="N616" s="10">
        <v>15.739926479337102</v>
      </c>
      <c r="O616" s="10">
        <v>27.374031525878863</v>
      </c>
      <c r="P616" s="10">
        <v>4.8864139496596408</v>
      </c>
      <c r="Q616" s="10">
        <v>3.9260573160326042</v>
      </c>
      <c r="R616" s="10">
        <v>10.123660733661008</v>
      </c>
      <c r="S616" s="10">
        <v>16.244880842747261</v>
      </c>
      <c r="T616" s="10">
        <v>29.578654362817513</v>
      </c>
      <c r="U616" s="10">
        <v>5.7284284244908559</v>
      </c>
      <c r="V616" s="325">
        <v>113.60205363462485</v>
      </c>
      <c r="W616" s="325">
        <v>205.80627498525769</v>
      </c>
      <c r="X616" s="10">
        <v>21.189026387097854</v>
      </c>
      <c r="Y616" s="320">
        <v>226.99530137235553</v>
      </c>
    </row>
    <row r="617" spans="1:25" x14ac:dyDescent="0.2">
      <c r="A617" s="7">
        <v>2019</v>
      </c>
      <c r="B617" s="5" t="s">
        <v>466</v>
      </c>
      <c r="C617" s="5" t="s">
        <v>314</v>
      </c>
      <c r="D617" s="5" t="s">
        <v>490</v>
      </c>
      <c r="E617" s="5" t="s">
        <v>351</v>
      </c>
      <c r="F617" s="5" t="s">
        <v>317</v>
      </c>
      <c r="G617" s="5" t="s">
        <v>352</v>
      </c>
      <c r="H617" s="10">
        <v>47.619437498519851</v>
      </c>
      <c r="I617" s="10">
        <v>0</v>
      </c>
      <c r="J617" s="325">
        <v>47.619437498519851</v>
      </c>
      <c r="K617" s="10">
        <v>9.3134922251310019</v>
      </c>
      <c r="L617" s="10">
        <v>14.108594191385794</v>
      </c>
      <c r="M617" s="325">
        <v>23.422086416516798</v>
      </c>
      <c r="N617" s="10">
        <v>8.1389973054588047</v>
      </c>
      <c r="O617" s="10">
        <v>57.552587604474077</v>
      </c>
      <c r="P617" s="10">
        <v>8.9296596104384687</v>
      </c>
      <c r="Q617" s="10">
        <v>6.9692719228994591</v>
      </c>
      <c r="R617" s="10">
        <v>27.509035120232774</v>
      </c>
      <c r="S617" s="10">
        <v>21.9671292323772</v>
      </c>
      <c r="T617" s="10">
        <v>32.463723067233346</v>
      </c>
      <c r="U617" s="10">
        <v>9.0765991252806355</v>
      </c>
      <c r="V617" s="325">
        <v>172.60700298839478</v>
      </c>
      <c r="W617" s="325">
        <v>243.64852690343145</v>
      </c>
      <c r="X617" s="10">
        <v>24.695871701103858</v>
      </c>
      <c r="Y617" s="320">
        <v>268.34439860453529</v>
      </c>
    </row>
    <row r="618" spans="1:25" x14ac:dyDescent="0.2">
      <c r="A618" s="7">
        <v>2019</v>
      </c>
      <c r="B618" s="5" t="s">
        <v>466</v>
      </c>
      <c r="C618" s="5" t="s">
        <v>314</v>
      </c>
      <c r="D618" s="5" t="s">
        <v>490</v>
      </c>
      <c r="E618" s="5" t="s">
        <v>353</v>
      </c>
      <c r="F618" s="5" t="s">
        <v>317</v>
      </c>
      <c r="G618" s="5" t="s">
        <v>354</v>
      </c>
      <c r="H618" s="10">
        <v>69.222512638302604</v>
      </c>
      <c r="I618" s="10">
        <v>0</v>
      </c>
      <c r="J618" s="325">
        <v>69.222512638302604</v>
      </c>
      <c r="K618" s="10">
        <v>6.2285845906540409</v>
      </c>
      <c r="L618" s="10">
        <v>22.777232144558649</v>
      </c>
      <c r="M618" s="325">
        <v>29.00581673521269</v>
      </c>
      <c r="N618" s="10">
        <v>5.6733550841242391</v>
      </c>
      <c r="O618" s="10">
        <v>26.680765434527434</v>
      </c>
      <c r="P618" s="10">
        <v>5.633317312647609</v>
      </c>
      <c r="Q618" s="10">
        <v>4.3836825950667757</v>
      </c>
      <c r="R618" s="10">
        <v>13.552504128249589</v>
      </c>
      <c r="S618" s="10">
        <v>15.947879716998784</v>
      </c>
      <c r="T618" s="10">
        <v>27.338792406692669</v>
      </c>
      <c r="U618" s="10">
        <v>5.9032610018196516</v>
      </c>
      <c r="V618" s="325">
        <v>105.11355768012675</v>
      </c>
      <c r="W618" s="325">
        <v>203.34188705364204</v>
      </c>
      <c r="X618" s="10">
        <v>20.7048934846718</v>
      </c>
      <c r="Y618" s="320">
        <v>224.04678053831384</v>
      </c>
    </row>
    <row r="619" spans="1:25" x14ac:dyDescent="0.2">
      <c r="A619" s="7">
        <v>2019</v>
      </c>
      <c r="B619" s="5" t="s">
        <v>466</v>
      </c>
      <c r="C619" s="5" t="s">
        <v>314</v>
      </c>
      <c r="D619" s="5" t="s">
        <v>490</v>
      </c>
      <c r="E619" s="5" t="s">
        <v>355</v>
      </c>
      <c r="F619" s="5" t="s">
        <v>317</v>
      </c>
      <c r="G619" s="5" t="s">
        <v>356</v>
      </c>
      <c r="H619" s="10">
        <v>37.571457787389448</v>
      </c>
      <c r="I619" s="10">
        <v>0</v>
      </c>
      <c r="J619" s="325">
        <v>37.571457787389448</v>
      </c>
      <c r="K619" s="10">
        <v>4.9603800538824352</v>
      </c>
      <c r="L619" s="10">
        <v>4.2937202458618939</v>
      </c>
      <c r="M619" s="325">
        <v>9.25410029974433</v>
      </c>
      <c r="N619" s="10">
        <v>4.0653710614320042</v>
      </c>
      <c r="O619" s="10">
        <v>6.7389285427463701</v>
      </c>
      <c r="P619" s="10">
        <v>2.484590655997692</v>
      </c>
      <c r="Q619" s="10">
        <v>1.9029381197736179</v>
      </c>
      <c r="R619" s="10">
        <v>6.7251917116378026</v>
      </c>
      <c r="S619" s="10">
        <v>8.9517353018629979</v>
      </c>
      <c r="T619" s="10">
        <v>18.374632395425547</v>
      </c>
      <c r="U619" s="10">
        <v>2.5652848067136498</v>
      </c>
      <c r="V619" s="325">
        <v>51.808672595589684</v>
      </c>
      <c r="W619" s="325">
        <v>98.634230682723455</v>
      </c>
      <c r="X619" s="10">
        <v>10.109328626025182</v>
      </c>
      <c r="Y619" s="320">
        <v>108.74355930874864</v>
      </c>
    </row>
    <row r="620" spans="1:25" x14ac:dyDescent="0.2">
      <c r="A620" s="7">
        <v>2019</v>
      </c>
      <c r="B620" s="5" t="s">
        <v>466</v>
      </c>
      <c r="C620" s="5" t="s">
        <v>314</v>
      </c>
      <c r="D620" s="5" t="s">
        <v>487</v>
      </c>
      <c r="E620" s="5" t="s">
        <v>357</v>
      </c>
      <c r="F620" s="5" t="s">
        <v>317</v>
      </c>
      <c r="G620" s="5" t="s">
        <v>358</v>
      </c>
      <c r="H620" s="10">
        <v>18.73695195394081</v>
      </c>
      <c r="I620" s="10">
        <v>0.52421811559980824</v>
      </c>
      <c r="J620" s="325">
        <v>19.261170069540618</v>
      </c>
      <c r="K620" s="10">
        <v>3.7828522275041281</v>
      </c>
      <c r="L620" s="10">
        <v>5.2914727637830312</v>
      </c>
      <c r="M620" s="325">
        <v>9.0743249912871597</v>
      </c>
      <c r="N620" s="10">
        <v>4.0093601351986443</v>
      </c>
      <c r="O620" s="10">
        <v>15.486121513957752</v>
      </c>
      <c r="P620" s="10">
        <v>3.4831115316540262</v>
      </c>
      <c r="Q620" s="10">
        <v>1.8489687974068372</v>
      </c>
      <c r="R620" s="10">
        <v>9.7627064697392658</v>
      </c>
      <c r="S620" s="10">
        <v>11.013928170936932</v>
      </c>
      <c r="T620" s="10">
        <v>20.490416463601267</v>
      </c>
      <c r="U620" s="10">
        <v>4.3528355761025042</v>
      </c>
      <c r="V620" s="325">
        <v>70.447448658597224</v>
      </c>
      <c r="W620" s="325">
        <v>98.782943719424992</v>
      </c>
      <c r="X620" s="10">
        <v>10.005029432941104</v>
      </c>
      <c r="Y620" s="320">
        <v>108.78797315236609</v>
      </c>
    </row>
    <row r="621" spans="1:25" x14ac:dyDescent="0.2">
      <c r="A621" s="7">
        <v>2019</v>
      </c>
      <c r="B621" s="5" t="s">
        <v>466</v>
      </c>
      <c r="C621" s="5" t="s">
        <v>314</v>
      </c>
      <c r="D621" s="5" t="s">
        <v>489</v>
      </c>
      <c r="E621" s="5" t="s">
        <v>359</v>
      </c>
      <c r="F621" s="5" t="s">
        <v>317</v>
      </c>
      <c r="G621" s="5" t="s">
        <v>360</v>
      </c>
      <c r="H621" s="10">
        <v>347.54903162754579</v>
      </c>
      <c r="I621" s="10">
        <v>0</v>
      </c>
      <c r="J621" s="325">
        <v>347.54903162754579</v>
      </c>
      <c r="K621" s="10">
        <v>31.343948529403672</v>
      </c>
      <c r="L621" s="10">
        <v>33.671747150289463</v>
      </c>
      <c r="M621" s="325">
        <v>65.015695679693138</v>
      </c>
      <c r="N621" s="10">
        <v>10.181617214891759</v>
      </c>
      <c r="O621" s="10">
        <v>45.592723673126407</v>
      </c>
      <c r="P621" s="10">
        <v>10.765760557337122</v>
      </c>
      <c r="Q621" s="10">
        <v>10.166741137084726</v>
      </c>
      <c r="R621" s="10">
        <v>23.522372564348466</v>
      </c>
      <c r="S621" s="10">
        <v>35.587295629974712</v>
      </c>
      <c r="T621" s="10">
        <v>61.65998025628037</v>
      </c>
      <c r="U621" s="10">
        <v>9.6416769200617036</v>
      </c>
      <c r="V621" s="325">
        <v>207.11816795310526</v>
      </c>
      <c r="W621" s="325">
        <v>619.68289526034414</v>
      </c>
      <c r="X621" s="10">
        <v>64.304972325273837</v>
      </c>
      <c r="Y621" s="320">
        <v>683.98786758561801</v>
      </c>
    </row>
    <row r="622" spans="1:25" x14ac:dyDescent="0.2">
      <c r="A622" s="7">
        <v>2019</v>
      </c>
      <c r="B622" s="5" t="s">
        <v>466</v>
      </c>
      <c r="C622" s="5" t="s">
        <v>314</v>
      </c>
      <c r="D622" s="5" t="s">
        <v>490</v>
      </c>
      <c r="E622" s="5" t="s">
        <v>361</v>
      </c>
      <c r="F622" s="5" t="s">
        <v>317</v>
      </c>
      <c r="G622" s="5" t="s">
        <v>362</v>
      </c>
      <c r="H622" s="10">
        <v>92.643448670641149</v>
      </c>
      <c r="I622" s="10">
        <v>2.8954082614839174</v>
      </c>
      <c r="J622" s="325">
        <v>95.538856932125071</v>
      </c>
      <c r="K622" s="10">
        <v>1.2591422978836353</v>
      </c>
      <c r="L622" s="10">
        <v>14.047430658155712</v>
      </c>
      <c r="M622" s="325">
        <v>15.306572956039346</v>
      </c>
      <c r="N622" s="10">
        <v>2.1789187912144854</v>
      </c>
      <c r="O622" s="10">
        <v>9.9754856975427995</v>
      </c>
      <c r="P622" s="10">
        <v>2.6446061343539577</v>
      </c>
      <c r="Q622" s="10">
        <v>1.5016761724486563</v>
      </c>
      <c r="R622" s="10">
        <v>8.0696482389042288</v>
      </c>
      <c r="S622" s="10">
        <v>9.0411833348161608</v>
      </c>
      <c r="T622" s="10">
        <v>14.627364315919154</v>
      </c>
      <c r="U622" s="10">
        <v>3.0470336582788913</v>
      </c>
      <c r="V622" s="325">
        <v>51.085916343478331</v>
      </c>
      <c r="W622" s="325">
        <v>161.93134623164275</v>
      </c>
      <c r="X622" s="10">
        <v>16.880073118609044</v>
      </c>
      <c r="Y622" s="320">
        <v>178.81141935025178</v>
      </c>
    </row>
    <row r="623" spans="1:25" x14ac:dyDescent="0.2">
      <c r="A623" s="7">
        <v>2019</v>
      </c>
      <c r="B623" s="5" t="s">
        <v>466</v>
      </c>
      <c r="C623" s="5" t="s">
        <v>314</v>
      </c>
      <c r="D623" s="5" t="s">
        <v>487</v>
      </c>
      <c r="E623" s="5" t="s">
        <v>363</v>
      </c>
      <c r="F623" s="5" t="s">
        <v>317</v>
      </c>
      <c r="G623" s="5" t="s">
        <v>364</v>
      </c>
      <c r="H623" s="10">
        <v>32.810653901317473</v>
      </c>
      <c r="I623" s="10">
        <v>0.46913105144537298</v>
      </c>
      <c r="J623" s="325">
        <v>33.279784952762846</v>
      </c>
      <c r="K623" s="10">
        <v>5.2337071591598177</v>
      </c>
      <c r="L623" s="10">
        <v>11.191202873080609</v>
      </c>
      <c r="M623" s="325">
        <v>16.424910032240426</v>
      </c>
      <c r="N623" s="10">
        <v>5.6320123404793625</v>
      </c>
      <c r="O623" s="10">
        <v>27.043644510340805</v>
      </c>
      <c r="P623" s="10">
        <v>4.9620518683501214</v>
      </c>
      <c r="Q623" s="10">
        <v>2.6335750449765571</v>
      </c>
      <c r="R623" s="10">
        <v>13.42888485165032</v>
      </c>
      <c r="S623" s="10">
        <v>16.587054508984043</v>
      </c>
      <c r="T623" s="10">
        <v>29.72681333401955</v>
      </c>
      <c r="U623" s="10">
        <v>5.4177002499083775</v>
      </c>
      <c r="V623" s="325">
        <v>105.43173670870914</v>
      </c>
      <c r="W623" s="325">
        <v>155.13643169371241</v>
      </c>
      <c r="X623" s="10">
        <v>15.732868516392626</v>
      </c>
      <c r="Y623" s="320">
        <v>170.86930021010502</v>
      </c>
    </row>
    <row r="624" spans="1:25" x14ac:dyDescent="0.2">
      <c r="A624" s="7">
        <v>2019</v>
      </c>
      <c r="B624" s="5" t="s">
        <v>466</v>
      </c>
      <c r="C624" s="5" t="s">
        <v>365</v>
      </c>
      <c r="D624" s="5" t="s">
        <v>491</v>
      </c>
      <c r="E624" s="5" t="s">
        <v>367</v>
      </c>
      <c r="F624" s="5" t="s">
        <v>368</v>
      </c>
      <c r="G624" s="5" t="s">
        <v>370</v>
      </c>
      <c r="H624" s="10">
        <v>493.93369273005641</v>
      </c>
      <c r="I624" s="10">
        <v>5.5874314538001268</v>
      </c>
      <c r="J624" s="325">
        <v>499.52112418385656</v>
      </c>
      <c r="K624" s="10">
        <v>88.313300967728694</v>
      </c>
      <c r="L624" s="10">
        <v>170.72418791953535</v>
      </c>
      <c r="M624" s="325">
        <v>259.03748888726403</v>
      </c>
      <c r="N624" s="10">
        <v>69.391775872895437</v>
      </c>
      <c r="O624" s="10">
        <v>427.57968865830469</v>
      </c>
      <c r="P624" s="10">
        <v>60.737297626422624</v>
      </c>
      <c r="Q624" s="10">
        <v>76.108294743047892</v>
      </c>
      <c r="R624" s="10">
        <v>143.13106936633224</v>
      </c>
      <c r="S624" s="10">
        <v>175.66579686748008</v>
      </c>
      <c r="T624" s="10">
        <v>263.62449309342838</v>
      </c>
      <c r="U624" s="10">
        <v>52.406268105360702</v>
      </c>
      <c r="V624" s="325">
        <v>1268.6446843332719</v>
      </c>
      <c r="W624" s="325">
        <v>2027.2032974043925</v>
      </c>
      <c r="X624" s="10">
        <v>205.89493084496837</v>
      </c>
      <c r="Y624" s="320">
        <v>2233.098228249361</v>
      </c>
    </row>
    <row r="625" spans="1:25" x14ac:dyDescent="0.2">
      <c r="A625" s="7">
        <v>2019</v>
      </c>
      <c r="B625" s="5" t="s">
        <v>466</v>
      </c>
      <c r="C625" s="5" t="s">
        <v>365</v>
      </c>
      <c r="D625" s="5" t="s">
        <v>492</v>
      </c>
      <c r="E625" s="5" t="s">
        <v>371</v>
      </c>
      <c r="F625" s="5" t="s">
        <v>368</v>
      </c>
      <c r="G625" s="5" t="s">
        <v>372</v>
      </c>
      <c r="H625" s="10">
        <v>42.441559182295236</v>
      </c>
      <c r="I625" s="10">
        <v>0</v>
      </c>
      <c r="J625" s="325">
        <v>42.441559182295236</v>
      </c>
      <c r="K625" s="10">
        <v>3.0435802011440902</v>
      </c>
      <c r="L625" s="10">
        <v>19.007885021274298</v>
      </c>
      <c r="M625" s="325">
        <v>22.051465222418386</v>
      </c>
      <c r="N625" s="10">
        <v>6.851232364494706</v>
      </c>
      <c r="O625" s="10">
        <v>56.80987985400003</v>
      </c>
      <c r="P625" s="10">
        <v>7.8866290398899954</v>
      </c>
      <c r="Q625" s="10">
        <v>4.9931025139363081</v>
      </c>
      <c r="R625" s="10">
        <v>13.641151195598134</v>
      </c>
      <c r="S625" s="10">
        <v>23.029239571955308</v>
      </c>
      <c r="T625" s="10">
        <v>51.07920096087139</v>
      </c>
      <c r="U625" s="10">
        <v>6.1252282806702381</v>
      </c>
      <c r="V625" s="325">
        <v>170.4156637814161</v>
      </c>
      <c r="W625" s="325">
        <v>234.90868818612972</v>
      </c>
      <c r="X625" s="10">
        <v>23.869353227755564</v>
      </c>
      <c r="Y625" s="320">
        <v>258.77804141388526</v>
      </c>
    </row>
    <row r="626" spans="1:25" x14ac:dyDescent="0.2">
      <c r="A626" s="7">
        <v>2019</v>
      </c>
      <c r="B626" s="5" t="s">
        <v>466</v>
      </c>
      <c r="C626" s="5" t="s">
        <v>365</v>
      </c>
      <c r="D626" s="5" t="s">
        <v>491</v>
      </c>
      <c r="E626" s="5" t="s">
        <v>373</v>
      </c>
      <c r="F626" s="5" t="s">
        <v>368</v>
      </c>
      <c r="G626" s="5" t="s">
        <v>374</v>
      </c>
      <c r="H626" s="10">
        <v>481.94865062440721</v>
      </c>
      <c r="I626" s="10">
        <v>5.0572807330543261</v>
      </c>
      <c r="J626" s="325">
        <v>487.00593135746152</v>
      </c>
      <c r="K626" s="10">
        <v>45.474177790039782</v>
      </c>
      <c r="L626" s="10">
        <v>43.110938625258022</v>
      </c>
      <c r="M626" s="325">
        <v>88.585116415297804</v>
      </c>
      <c r="N626" s="10">
        <v>21.395816691413533</v>
      </c>
      <c r="O626" s="10">
        <v>115.50863524837462</v>
      </c>
      <c r="P626" s="10">
        <v>20.218916906785594</v>
      </c>
      <c r="Q626" s="10">
        <v>15.7270520792169</v>
      </c>
      <c r="R626" s="10">
        <v>38.088897924850592</v>
      </c>
      <c r="S626" s="10">
        <v>52.709765818844367</v>
      </c>
      <c r="T626" s="10">
        <v>69.100466611821147</v>
      </c>
      <c r="U626" s="10">
        <v>15.892575847699652</v>
      </c>
      <c r="V626" s="325">
        <v>348.64212712900638</v>
      </c>
      <c r="W626" s="325">
        <v>924.23317490176578</v>
      </c>
      <c r="X626" s="10">
        <v>96.039919795452278</v>
      </c>
      <c r="Y626" s="320">
        <v>1020.2730946972181</v>
      </c>
    </row>
    <row r="627" spans="1:25" x14ac:dyDescent="0.2">
      <c r="A627" s="7">
        <v>2019</v>
      </c>
      <c r="B627" s="5" t="s">
        <v>466</v>
      </c>
      <c r="C627" s="5" t="s">
        <v>365</v>
      </c>
      <c r="D627" s="5" t="s">
        <v>491</v>
      </c>
      <c r="E627" s="5" t="s">
        <v>375</v>
      </c>
      <c r="F627" s="5" t="s">
        <v>368</v>
      </c>
      <c r="G627" s="5" t="s">
        <v>376</v>
      </c>
      <c r="H627" s="10">
        <v>225.56868738945928</v>
      </c>
      <c r="I627" s="10">
        <v>2.6820672130700793</v>
      </c>
      <c r="J627" s="325">
        <v>228.25075460252935</v>
      </c>
      <c r="K627" s="10">
        <v>19.531172897869997</v>
      </c>
      <c r="L627" s="10">
        <v>49.117597139369778</v>
      </c>
      <c r="M627" s="325">
        <v>68.648770037239771</v>
      </c>
      <c r="N627" s="10">
        <v>26.336851960825658</v>
      </c>
      <c r="O627" s="10">
        <v>109.5820121955675</v>
      </c>
      <c r="P627" s="10">
        <v>26.164925717015933</v>
      </c>
      <c r="Q627" s="10">
        <v>25.735063623213069</v>
      </c>
      <c r="R627" s="10">
        <v>46.808985591619837</v>
      </c>
      <c r="S627" s="10">
        <v>62.068088877352821</v>
      </c>
      <c r="T627" s="10">
        <v>108.51769828029644</v>
      </c>
      <c r="U627" s="10">
        <v>24.150287633701826</v>
      </c>
      <c r="V627" s="325">
        <v>429.3639138795931</v>
      </c>
      <c r="W627" s="325">
        <v>726.26343851936224</v>
      </c>
      <c r="X627" s="10">
        <v>74.219057185641034</v>
      </c>
      <c r="Y627" s="320">
        <v>800.48249570500332</v>
      </c>
    </row>
    <row r="628" spans="1:25" x14ac:dyDescent="0.2">
      <c r="A628" s="7">
        <v>2019</v>
      </c>
      <c r="B628" s="5" t="s">
        <v>466</v>
      </c>
      <c r="C628" s="5" t="s">
        <v>365</v>
      </c>
      <c r="D628" s="5" t="s">
        <v>493</v>
      </c>
      <c r="E628" s="5" t="s">
        <v>377</v>
      </c>
      <c r="F628" s="5" t="s">
        <v>368</v>
      </c>
      <c r="G628" s="5" t="s">
        <v>378</v>
      </c>
      <c r="H628" s="10">
        <v>1.1539293344705039</v>
      </c>
      <c r="I628" s="10">
        <v>0</v>
      </c>
      <c r="J628" s="325">
        <v>1.1539293344705039</v>
      </c>
      <c r="K628" s="10">
        <v>0.35338256326033768</v>
      </c>
      <c r="L628" s="10">
        <v>3.3067177919300765</v>
      </c>
      <c r="M628" s="325">
        <v>3.6601003551904143</v>
      </c>
      <c r="N628" s="10">
        <v>0.8049917969904159</v>
      </c>
      <c r="O628" s="10">
        <v>8.0988688241441587</v>
      </c>
      <c r="P628" s="10">
        <v>1.554372218344223</v>
      </c>
      <c r="Q628" s="10">
        <v>0.71232298247870374</v>
      </c>
      <c r="R628" s="10">
        <v>2.1969284236175395</v>
      </c>
      <c r="S628" s="10">
        <v>5.7709535338688127</v>
      </c>
      <c r="T628" s="10">
        <v>15.613265944275261</v>
      </c>
      <c r="U628" s="10">
        <v>1.2635829553515801</v>
      </c>
      <c r="V628" s="325">
        <v>36.015286679070698</v>
      </c>
      <c r="W628" s="325">
        <v>40.829316368731618</v>
      </c>
      <c r="X628" s="10">
        <v>4.0922382293181583</v>
      </c>
      <c r="Y628" s="320">
        <v>44.921554598049774</v>
      </c>
    </row>
    <row r="629" spans="1:25" x14ac:dyDescent="0.2">
      <c r="A629" s="7">
        <v>2019</v>
      </c>
      <c r="B629" s="5" t="s">
        <v>466</v>
      </c>
      <c r="C629" s="5" t="s">
        <v>365</v>
      </c>
      <c r="D629" s="5" t="s">
        <v>491</v>
      </c>
      <c r="E629" s="5" t="s">
        <v>379</v>
      </c>
      <c r="F629" s="5" t="s">
        <v>368</v>
      </c>
      <c r="G629" s="5" t="s">
        <v>380</v>
      </c>
      <c r="H629" s="10">
        <v>46.041099205572586</v>
      </c>
      <c r="I629" s="10">
        <v>21.853273689590175</v>
      </c>
      <c r="J629" s="325">
        <v>67.894372895162761</v>
      </c>
      <c r="K629" s="10">
        <v>1.43075582465008</v>
      </c>
      <c r="L629" s="10">
        <v>13.988850512538924</v>
      </c>
      <c r="M629" s="325">
        <v>15.419606337189004</v>
      </c>
      <c r="N629" s="10">
        <v>6.7889810173578748</v>
      </c>
      <c r="O629" s="10">
        <v>30.202798441639644</v>
      </c>
      <c r="P629" s="10">
        <v>4.2019277614962407</v>
      </c>
      <c r="Q629" s="10">
        <v>3.2090768722917855</v>
      </c>
      <c r="R629" s="10">
        <v>8.3765514857095038</v>
      </c>
      <c r="S629" s="10">
        <v>18.05758001904104</v>
      </c>
      <c r="T629" s="10">
        <v>37.21914150653862</v>
      </c>
      <c r="U629" s="10">
        <v>3.313072490538107</v>
      </c>
      <c r="V629" s="325">
        <v>111.36912959461282</v>
      </c>
      <c r="W629" s="325">
        <v>194.6831088269646</v>
      </c>
      <c r="X629" s="10">
        <v>20.31827954891704</v>
      </c>
      <c r="Y629" s="320">
        <v>215.00138837588165</v>
      </c>
    </row>
    <row r="630" spans="1:25" x14ac:dyDescent="0.2">
      <c r="A630" s="7">
        <v>2019</v>
      </c>
      <c r="B630" s="5" t="s">
        <v>466</v>
      </c>
      <c r="C630" s="5" t="s">
        <v>365</v>
      </c>
      <c r="D630" s="5" t="s">
        <v>492</v>
      </c>
      <c r="E630" s="5" t="s">
        <v>381</v>
      </c>
      <c r="F630" s="5" t="s">
        <v>368</v>
      </c>
      <c r="G630" s="5" t="s">
        <v>382</v>
      </c>
      <c r="H630" s="10">
        <v>81.547023926812955</v>
      </c>
      <c r="I630" s="10">
        <v>0</v>
      </c>
      <c r="J630" s="325">
        <v>81.547023926812955</v>
      </c>
      <c r="K630" s="10">
        <v>6.7509782065952493</v>
      </c>
      <c r="L630" s="10">
        <v>32.341094351295958</v>
      </c>
      <c r="M630" s="325">
        <v>39.092072557891207</v>
      </c>
      <c r="N630" s="10">
        <v>21.178638643720248</v>
      </c>
      <c r="O630" s="10">
        <v>86.108558027927444</v>
      </c>
      <c r="P630" s="10">
        <v>12.515686050902987</v>
      </c>
      <c r="Q630" s="10">
        <v>9.3283467988951152</v>
      </c>
      <c r="R630" s="10">
        <v>25.062976124963175</v>
      </c>
      <c r="S630" s="10">
        <v>39.588489409628863</v>
      </c>
      <c r="T630" s="10">
        <v>91.735930531599152</v>
      </c>
      <c r="U630" s="10">
        <v>10.148786034125409</v>
      </c>
      <c r="V630" s="325">
        <v>295.66741162176237</v>
      </c>
      <c r="W630" s="325">
        <v>416.30650810646648</v>
      </c>
      <c r="X630" s="10">
        <v>42.373190787420263</v>
      </c>
      <c r="Y630" s="320">
        <v>458.67969889388672</v>
      </c>
    </row>
    <row r="631" spans="1:25" x14ac:dyDescent="0.2">
      <c r="A631" s="7">
        <v>2019</v>
      </c>
      <c r="B631" s="5" t="s">
        <v>466</v>
      </c>
      <c r="C631" s="5" t="s">
        <v>365</v>
      </c>
      <c r="D631" s="5" t="s">
        <v>492</v>
      </c>
      <c r="E631" s="5" t="s">
        <v>383</v>
      </c>
      <c r="F631" s="5" t="s">
        <v>368</v>
      </c>
      <c r="G631" s="5" t="s">
        <v>384</v>
      </c>
      <c r="H631" s="10">
        <v>49.828866415142052</v>
      </c>
      <c r="I631" s="10">
        <v>0</v>
      </c>
      <c r="J631" s="325">
        <v>49.828866415142052</v>
      </c>
      <c r="K631" s="10">
        <v>2.4554993629165009</v>
      </c>
      <c r="L631" s="10">
        <v>14.569979663695914</v>
      </c>
      <c r="M631" s="325">
        <v>17.025479026612416</v>
      </c>
      <c r="N631" s="10">
        <v>8.7803714718142025</v>
      </c>
      <c r="O631" s="10">
        <v>28.364684794826182</v>
      </c>
      <c r="P631" s="10">
        <v>5.7437009132513515</v>
      </c>
      <c r="Q631" s="10">
        <v>3.4281520196606148</v>
      </c>
      <c r="R631" s="10">
        <v>6.0508084521703083</v>
      </c>
      <c r="S631" s="10">
        <v>16.270837703974941</v>
      </c>
      <c r="T631" s="10">
        <v>43.718620064688231</v>
      </c>
      <c r="U631" s="10">
        <v>4.2230808758856355</v>
      </c>
      <c r="V631" s="325">
        <v>116.58025629627147</v>
      </c>
      <c r="W631" s="325">
        <v>183.43460173802595</v>
      </c>
      <c r="X631" s="10">
        <v>18.761857850601036</v>
      </c>
      <c r="Y631" s="320">
        <v>202.19645958862699</v>
      </c>
    </row>
    <row r="632" spans="1:25" x14ac:dyDescent="0.2">
      <c r="A632" s="7">
        <v>2019</v>
      </c>
      <c r="B632" s="5" t="s">
        <v>466</v>
      </c>
      <c r="C632" s="5" t="s">
        <v>365</v>
      </c>
      <c r="D632" s="5" t="s">
        <v>492</v>
      </c>
      <c r="E632" s="5" t="s">
        <v>385</v>
      </c>
      <c r="F632" s="5" t="s">
        <v>368</v>
      </c>
      <c r="G632" s="5" t="s">
        <v>386</v>
      </c>
      <c r="H632" s="10">
        <v>33.81992813880143</v>
      </c>
      <c r="I632" s="10">
        <v>0</v>
      </c>
      <c r="J632" s="325">
        <v>33.81992813880143</v>
      </c>
      <c r="K632" s="10">
        <v>2.6503775083864887</v>
      </c>
      <c r="L632" s="10">
        <v>18.789806937272864</v>
      </c>
      <c r="M632" s="325">
        <v>21.440184445659352</v>
      </c>
      <c r="N632" s="10">
        <v>8.4520554988657945</v>
      </c>
      <c r="O632" s="10">
        <v>58.465764644615049</v>
      </c>
      <c r="P632" s="10">
        <v>7.6129983107087273</v>
      </c>
      <c r="Q632" s="10">
        <v>4.5204037047504952</v>
      </c>
      <c r="R632" s="10">
        <v>10.550933781404186</v>
      </c>
      <c r="S632" s="10">
        <v>25.221176252646689</v>
      </c>
      <c r="T632" s="10">
        <v>57.61601283504325</v>
      </c>
      <c r="U632" s="10">
        <v>4.9516351814179753</v>
      </c>
      <c r="V632" s="325">
        <v>177.39098020945215</v>
      </c>
      <c r="W632" s="325">
        <v>232.65109279391294</v>
      </c>
      <c r="X632" s="10">
        <v>23.626185367095488</v>
      </c>
      <c r="Y632" s="320">
        <v>256.27727816100844</v>
      </c>
    </row>
    <row r="633" spans="1:25" x14ac:dyDescent="0.2">
      <c r="A633" s="7">
        <v>2019</v>
      </c>
      <c r="B633" s="5" t="s">
        <v>466</v>
      </c>
      <c r="C633" s="5" t="s">
        <v>365</v>
      </c>
      <c r="D633" s="5" t="s">
        <v>491</v>
      </c>
      <c r="E633" s="5" t="s">
        <v>387</v>
      </c>
      <c r="F633" s="5" t="s">
        <v>368</v>
      </c>
      <c r="G633" s="5" t="s">
        <v>494</v>
      </c>
      <c r="H633" s="10">
        <v>598.01695325106391</v>
      </c>
      <c r="I633" s="10">
        <v>0</v>
      </c>
      <c r="J633" s="325">
        <v>598.01695325106391</v>
      </c>
      <c r="K633" s="10">
        <v>24.651320910406341</v>
      </c>
      <c r="L633" s="10">
        <v>151.95829506999951</v>
      </c>
      <c r="M633" s="325">
        <v>176.60961598040586</v>
      </c>
      <c r="N633" s="10">
        <v>47.58668520933837</v>
      </c>
      <c r="O633" s="10">
        <v>324.1745736086437</v>
      </c>
      <c r="P633" s="10">
        <v>46.90194959298978</v>
      </c>
      <c r="Q633" s="10">
        <v>35.947421741566281</v>
      </c>
      <c r="R633" s="10">
        <v>78.371696789485512</v>
      </c>
      <c r="S633" s="10">
        <v>158.2655967927945</v>
      </c>
      <c r="T633" s="10">
        <v>370.75501240593059</v>
      </c>
      <c r="U633" s="10">
        <v>33.827073525797992</v>
      </c>
      <c r="V633" s="325">
        <v>1095.8300096665466</v>
      </c>
      <c r="W633" s="325">
        <v>1870.4565788980162</v>
      </c>
      <c r="X633" s="10">
        <v>191.69772487627245</v>
      </c>
      <c r="Y633" s="320">
        <v>2062.1543037742886</v>
      </c>
    </row>
    <row r="634" spans="1:25" ht="16" thickBot="1" x14ac:dyDescent="0.25">
      <c r="A634" s="11">
        <v>2019</v>
      </c>
      <c r="B634" s="6" t="s">
        <v>466</v>
      </c>
      <c r="C634" s="6" t="s">
        <v>365</v>
      </c>
      <c r="D634" s="6" t="s">
        <v>493</v>
      </c>
      <c r="E634" s="6" t="s">
        <v>389</v>
      </c>
      <c r="F634" s="6" t="s">
        <v>368</v>
      </c>
      <c r="G634" s="6" t="s">
        <v>390</v>
      </c>
      <c r="H634" s="12">
        <v>8.7785212665793857</v>
      </c>
      <c r="I634" s="12">
        <v>0.1671788584935659</v>
      </c>
      <c r="J634" s="337">
        <v>8.9457001250729515</v>
      </c>
      <c r="K634" s="12">
        <v>0.71566749142762331</v>
      </c>
      <c r="L634" s="12">
        <v>5.307009932515828</v>
      </c>
      <c r="M634" s="337">
        <v>6.0226774239434508</v>
      </c>
      <c r="N634" s="12">
        <v>1.647522797216008</v>
      </c>
      <c r="O634" s="12">
        <v>11.430752080757591</v>
      </c>
      <c r="P634" s="12">
        <v>8.2951585046033625</v>
      </c>
      <c r="Q634" s="12">
        <v>0.63223059783587143</v>
      </c>
      <c r="R634" s="12">
        <v>2.5297399572585308</v>
      </c>
      <c r="S634" s="12">
        <v>9.3953622713459115</v>
      </c>
      <c r="T634" s="12">
        <v>16.375873151146649</v>
      </c>
      <c r="U634" s="12">
        <v>1.5607796374874516</v>
      </c>
      <c r="V634" s="337">
        <v>51.867418997651377</v>
      </c>
      <c r="W634" s="337">
        <v>66.83579654666778</v>
      </c>
      <c r="X634" s="12">
        <v>6.7489700075891568</v>
      </c>
      <c r="Y634" s="321">
        <v>73.58476655425693</v>
      </c>
    </row>
    <row r="635" spans="1:25" ht="16" thickBot="1" x14ac:dyDescent="0.25">
      <c r="A635" s="342">
        <v>2020</v>
      </c>
      <c r="B635" s="343" t="s">
        <v>466</v>
      </c>
      <c r="C635" s="343"/>
      <c r="D635" s="343"/>
      <c r="E635" s="343"/>
      <c r="F635" s="343"/>
      <c r="G635" s="343" t="s">
        <v>467</v>
      </c>
      <c r="H635" s="344">
        <v>7034.3515207003375</v>
      </c>
      <c r="I635" s="344">
        <v>2605.4572004804145</v>
      </c>
      <c r="J635" s="344">
        <v>9639.8087211807524</v>
      </c>
      <c r="K635" s="344">
        <v>18098.016735487035</v>
      </c>
      <c r="L635" s="344">
        <v>6806.8739391975232</v>
      </c>
      <c r="M635" s="344">
        <v>24904.890674684561</v>
      </c>
      <c r="N635" s="344">
        <v>5251.5055898286701</v>
      </c>
      <c r="O635" s="344">
        <v>18507.485379662503</v>
      </c>
      <c r="P635" s="344">
        <v>3614.6543169240263</v>
      </c>
      <c r="Q635" s="344">
        <v>6822.9646552695804</v>
      </c>
      <c r="R635" s="344">
        <v>11762.549249953294</v>
      </c>
      <c r="S635" s="344">
        <v>11049.991624880293</v>
      </c>
      <c r="T635" s="344">
        <v>15014.41181303405</v>
      </c>
      <c r="U635" s="344">
        <v>2965.5926589842306</v>
      </c>
      <c r="V635" s="344">
        <v>74989.15528853664</v>
      </c>
      <c r="W635" s="344">
        <v>109533.85468440196</v>
      </c>
      <c r="X635" s="344">
        <v>10950.139318705125</v>
      </c>
      <c r="Y635" s="345">
        <v>120975.50157848449</v>
      </c>
    </row>
    <row r="636" spans="1:25" x14ac:dyDescent="0.2">
      <c r="A636" s="8">
        <v>2020</v>
      </c>
      <c r="B636" s="4" t="s">
        <v>466</v>
      </c>
      <c r="C636" s="4" t="s">
        <v>90</v>
      </c>
      <c r="D636" s="4" t="s">
        <v>468</v>
      </c>
      <c r="E636" s="4" t="s">
        <v>93</v>
      </c>
      <c r="F636" s="4" t="s">
        <v>94</v>
      </c>
      <c r="G636" s="4" t="s">
        <v>469</v>
      </c>
      <c r="H636" s="9">
        <v>114.06299650143389</v>
      </c>
      <c r="I636" s="9">
        <v>3.6073111994481803</v>
      </c>
      <c r="J636" s="323">
        <v>117.67030770088206</v>
      </c>
      <c r="K636" s="9">
        <v>6417.6722519263358</v>
      </c>
      <c r="L636" s="9">
        <v>3123.0684646337299</v>
      </c>
      <c r="M636" s="323">
        <v>9540.7407165600653</v>
      </c>
      <c r="N636" s="9">
        <v>2583.689694481734</v>
      </c>
      <c r="O636" s="9">
        <v>9289.9481745402263</v>
      </c>
      <c r="P636" s="9">
        <v>1645.2017455989969</v>
      </c>
      <c r="Q636" s="9">
        <v>3259.6976639474442</v>
      </c>
      <c r="R636" s="9">
        <v>6257.3049770596872</v>
      </c>
      <c r="S636" s="9">
        <v>5205.2237257088873</v>
      </c>
      <c r="T636" s="9">
        <v>7512.5330702043311</v>
      </c>
      <c r="U636" s="9">
        <v>1440.6323151724162</v>
      </c>
      <c r="V636" s="323">
        <v>37194.23136671372</v>
      </c>
      <c r="W636" s="323">
        <v>46852.642390974666</v>
      </c>
      <c r="X636" s="9">
        <v>4601.9549067357066</v>
      </c>
      <c r="Y636" s="319">
        <v>51454.597297710374</v>
      </c>
    </row>
    <row r="637" spans="1:25" x14ac:dyDescent="0.2">
      <c r="A637" s="7">
        <v>2020</v>
      </c>
      <c r="B637" s="5" t="s">
        <v>466</v>
      </c>
      <c r="C637" s="5" t="s">
        <v>90</v>
      </c>
      <c r="D637" s="5" t="s">
        <v>470</v>
      </c>
      <c r="E637" s="5" t="s">
        <v>98</v>
      </c>
      <c r="F637" s="5" t="s">
        <v>94</v>
      </c>
      <c r="G637" s="5" t="s">
        <v>99</v>
      </c>
      <c r="H637" s="10">
        <v>69.535131757203075</v>
      </c>
      <c r="I637" s="10">
        <v>4.1105141943494576</v>
      </c>
      <c r="J637" s="325">
        <v>73.645645951552538</v>
      </c>
      <c r="K637" s="10">
        <v>300.89735919553044</v>
      </c>
      <c r="L637" s="10">
        <v>84.048217579400188</v>
      </c>
      <c r="M637" s="325">
        <v>384.9455767749306</v>
      </c>
      <c r="N637" s="10">
        <v>41.644987299228895</v>
      </c>
      <c r="O637" s="10">
        <v>126.77974588911853</v>
      </c>
      <c r="P637" s="10">
        <v>16.728561503534973</v>
      </c>
      <c r="Q637" s="10">
        <v>25.188917078063266</v>
      </c>
      <c r="R637" s="10">
        <v>50.839462343179257</v>
      </c>
      <c r="S637" s="10">
        <v>65.773789403453151</v>
      </c>
      <c r="T637" s="10">
        <v>52.665145380529601</v>
      </c>
      <c r="U637" s="10">
        <v>16.281161937710458</v>
      </c>
      <c r="V637" s="325">
        <v>395.90177083481819</v>
      </c>
      <c r="W637" s="325">
        <v>854.49299356130132</v>
      </c>
      <c r="X637" s="10">
        <v>83.706744456181866</v>
      </c>
      <c r="Y637" s="320">
        <v>938.19973801748324</v>
      </c>
    </row>
    <row r="638" spans="1:25" x14ac:dyDescent="0.2">
      <c r="A638" s="7">
        <v>2020</v>
      </c>
      <c r="B638" s="5" t="s">
        <v>466</v>
      </c>
      <c r="C638" s="5" t="s">
        <v>90</v>
      </c>
      <c r="D638" s="5" t="s">
        <v>470</v>
      </c>
      <c r="E638" s="5" t="s">
        <v>101</v>
      </c>
      <c r="F638" s="5" t="s">
        <v>94</v>
      </c>
      <c r="G638" s="5" t="s">
        <v>102</v>
      </c>
      <c r="H638" s="10">
        <v>27.361868251246847</v>
      </c>
      <c r="I638" s="10">
        <v>0.90164178717695243</v>
      </c>
      <c r="J638" s="325">
        <v>28.263510038423799</v>
      </c>
      <c r="K638" s="10">
        <v>534.10974218612785</v>
      </c>
      <c r="L638" s="10">
        <v>325.33934668612704</v>
      </c>
      <c r="M638" s="325">
        <v>859.44908887225483</v>
      </c>
      <c r="N638" s="10">
        <v>181.89689998766838</v>
      </c>
      <c r="O638" s="10">
        <v>1045.313930702026</v>
      </c>
      <c r="P638" s="10">
        <v>219.26939268677134</v>
      </c>
      <c r="Q638" s="10">
        <v>400.78829689418308</v>
      </c>
      <c r="R638" s="10">
        <v>599.34234984119053</v>
      </c>
      <c r="S638" s="10">
        <v>565.37030248366432</v>
      </c>
      <c r="T638" s="10">
        <v>659.52145125099094</v>
      </c>
      <c r="U638" s="10">
        <v>204.16692829077434</v>
      </c>
      <c r="V638" s="325">
        <v>3875.6695521372685</v>
      </c>
      <c r="W638" s="325">
        <v>4763.3821510479474</v>
      </c>
      <c r="X638" s="10">
        <v>467.37956054802174</v>
      </c>
      <c r="Y638" s="320">
        <v>5230.7617115959692</v>
      </c>
    </row>
    <row r="639" spans="1:25" x14ac:dyDescent="0.2">
      <c r="A639" s="7">
        <v>2020</v>
      </c>
      <c r="B639" s="5" t="s">
        <v>466</v>
      </c>
      <c r="C639" s="5" t="s">
        <v>90</v>
      </c>
      <c r="D639" s="5" t="s">
        <v>471</v>
      </c>
      <c r="E639" s="5" t="s">
        <v>104</v>
      </c>
      <c r="F639" s="5" t="s">
        <v>94</v>
      </c>
      <c r="G639" s="5" t="s">
        <v>105</v>
      </c>
      <c r="H639" s="10">
        <v>44.183676959448647</v>
      </c>
      <c r="I639" s="10">
        <v>1.3721064181835156</v>
      </c>
      <c r="J639" s="325">
        <v>45.55578337763216</v>
      </c>
      <c r="K639" s="10">
        <v>222.67629695585049</v>
      </c>
      <c r="L639" s="10">
        <v>47.963196139753094</v>
      </c>
      <c r="M639" s="325">
        <v>270.6394930956036</v>
      </c>
      <c r="N639" s="10">
        <v>36.887251875418876</v>
      </c>
      <c r="O639" s="10">
        <v>154.9472230540313</v>
      </c>
      <c r="P639" s="10">
        <v>41.042111506269272</v>
      </c>
      <c r="Q639" s="10">
        <v>62.385405661881919</v>
      </c>
      <c r="R639" s="10">
        <v>101.36961736114974</v>
      </c>
      <c r="S639" s="10">
        <v>96.794556300403499</v>
      </c>
      <c r="T639" s="10">
        <v>101.53300228507048</v>
      </c>
      <c r="U639" s="10">
        <v>24.440913874136637</v>
      </c>
      <c r="V639" s="325">
        <v>619.40008191836171</v>
      </c>
      <c r="W639" s="325">
        <v>935.59535839159741</v>
      </c>
      <c r="X639" s="10">
        <v>91.591909357218029</v>
      </c>
      <c r="Y639" s="320">
        <v>1027.1872677488154</v>
      </c>
    </row>
    <row r="640" spans="1:25" x14ac:dyDescent="0.2">
      <c r="A640" s="7">
        <v>2020</v>
      </c>
      <c r="B640" s="5" t="s">
        <v>466</v>
      </c>
      <c r="C640" s="5" t="s">
        <v>90</v>
      </c>
      <c r="D640" s="5" t="s">
        <v>470</v>
      </c>
      <c r="E640" s="5" t="s">
        <v>106</v>
      </c>
      <c r="F640" s="5" t="s">
        <v>94</v>
      </c>
      <c r="G640" s="5" t="s">
        <v>107</v>
      </c>
      <c r="H640" s="10">
        <v>6.570278970519154</v>
      </c>
      <c r="I640" s="10">
        <v>0.22705913952478957</v>
      </c>
      <c r="J640" s="325">
        <v>6.7973381100439436</v>
      </c>
      <c r="K640" s="10">
        <v>401.84919813826463</v>
      </c>
      <c r="L640" s="10">
        <v>119.73609790598057</v>
      </c>
      <c r="M640" s="325">
        <v>521.58529604424518</v>
      </c>
      <c r="N640" s="10">
        <v>40.605249753904147</v>
      </c>
      <c r="O640" s="10">
        <v>165.43552615571502</v>
      </c>
      <c r="P640" s="10">
        <v>43.760160913594873</v>
      </c>
      <c r="Q640" s="10">
        <v>63.081359226263082</v>
      </c>
      <c r="R640" s="10">
        <v>116.10766391560145</v>
      </c>
      <c r="S640" s="10">
        <v>93.126858849107833</v>
      </c>
      <c r="T640" s="10">
        <v>71.746373751883212</v>
      </c>
      <c r="U640" s="10">
        <v>27.648748640866035</v>
      </c>
      <c r="V640" s="325">
        <v>621.51194120693572</v>
      </c>
      <c r="W640" s="325">
        <v>1149.894575361225</v>
      </c>
      <c r="X640" s="10">
        <v>110.3555045089097</v>
      </c>
      <c r="Y640" s="320">
        <v>1260.2500798701346</v>
      </c>
    </row>
    <row r="641" spans="1:25" x14ac:dyDescent="0.2">
      <c r="A641" s="7">
        <v>2020</v>
      </c>
      <c r="B641" s="5" t="s">
        <v>466</v>
      </c>
      <c r="C641" s="5" t="s">
        <v>90</v>
      </c>
      <c r="D641" s="5" t="s">
        <v>471</v>
      </c>
      <c r="E641" s="5" t="s">
        <v>109</v>
      </c>
      <c r="F641" s="5" t="s">
        <v>94</v>
      </c>
      <c r="G641" s="5" t="s">
        <v>110</v>
      </c>
      <c r="H641" s="10">
        <v>10.31407568583351</v>
      </c>
      <c r="I641" s="10">
        <v>0</v>
      </c>
      <c r="J641" s="325">
        <v>10.31407568583351</v>
      </c>
      <c r="K641" s="10">
        <v>1476.7724243789633</v>
      </c>
      <c r="L641" s="10">
        <v>339.85814080523505</v>
      </c>
      <c r="M641" s="325">
        <v>1816.6305651841983</v>
      </c>
      <c r="N641" s="10">
        <v>267.72871073328861</v>
      </c>
      <c r="O641" s="10">
        <v>1222.2887783107969</v>
      </c>
      <c r="P641" s="10">
        <v>296.82670892602039</v>
      </c>
      <c r="Q641" s="10">
        <v>474.97276473672775</v>
      </c>
      <c r="R641" s="10">
        <v>1145.4547808396319</v>
      </c>
      <c r="S641" s="10">
        <v>718.48534875460371</v>
      </c>
      <c r="T641" s="10">
        <v>849.52932238796507</v>
      </c>
      <c r="U641" s="10">
        <v>233.14553001219332</v>
      </c>
      <c r="V641" s="325">
        <v>5208.4319447012276</v>
      </c>
      <c r="W641" s="325">
        <v>7035.37658557126</v>
      </c>
      <c r="X641" s="10">
        <v>683.68803164630276</v>
      </c>
      <c r="Y641" s="320">
        <v>7719.064617217563</v>
      </c>
    </row>
    <row r="642" spans="1:25" x14ac:dyDescent="0.2">
      <c r="A642" s="7">
        <v>2020</v>
      </c>
      <c r="B642" s="5" t="s">
        <v>466</v>
      </c>
      <c r="C642" s="5" t="s">
        <v>90</v>
      </c>
      <c r="D642" s="5" t="s">
        <v>470</v>
      </c>
      <c r="E642" s="5" t="s">
        <v>112</v>
      </c>
      <c r="F642" s="5" t="s">
        <v>94</v>
      </c>
      <c r="G642" s="5" t="s">
        <v>113</v>
      </c>
      <c r="H642" s="10">
        <v>56.460929569615573</v>
      </c>
      <c r="I642" s="10">
        <v>104.92472603132647</v>
      </c>
      <c r="J642" s="325">
        <v>161.38565560094204</v>
      </c>
      <c r="K642" s="10">
        <v>1119.2860496621454</v>
      </c>
      <c r="L642" s="10">
        <v>141.04769078491461</v>
      </c>
      <c r="M642" s="325">
        <v>1260.3337404470599</v>
      </c>
      <c r="N642" s="10">
        <v>77.404076136612616</v>
      </c>
      <c r="O642" s="10">
        <v>185.20404985607613</v>
      </c>
      <c r="P642" s="10">
        <v>22.709961420058722</v>
      </c>
      <c r="Q642" s="10">
        <v>41.459097322327572</v>
      </c>
      <c r="R642" s="10">
        <v>72.74453171631319</v>
      </c>
      <c r="S642" s="10">
        <v>124.8394071106984</v>
      </c>
      <c r="T642" s="10">
        <v>81.451489700360355</v>
      </c>
      <c r="U642" s="10">
        <v>18.762866780384257</v>
      </c>
      <c r="V642" s="325">
        <v>624.57548004283126</v>
      </c>
      <c r="W642" s="325">
        <v>2046.2948760908332</v>
      </c>
      <c r="X642" s="10">
        <v>200.30891445599167</v>
      </c>
      <c r="Y642" s="320">
        <v>2246.6037905468247</v>
      </c>
    </row>
    <row r="643" spans="1:25" x14ac:dyDescent="0.2">
      <c r="A643" s="7">
        <v>2020</v>
      </c>
      <c r="B643" s="5" t="s">
        <v>466</v>
      </c>
      <c r="C643" s="5" t="s">
        <v>90</v>
      </c>
      <c r="D643" s="5" t="s">
        <v>471</v>
      </c>
      <c r="E643" s="5" t="s">
        <v>115</v>
      </c>
      <c r="F643" s="5" t="s">
        <v>94</v>
      </c>
      <c r="G643" s="5" t="s">
        <v>116</v>
      </c>
      <c r="H643" s="10">
        <v>0.50665812583038461</v>
      </c>
      <c r="I643" s="10">
        <v>0</v>
      </c>
      <c r="J643" s="325">
        <v>0.50665812583038461</v>
      </c>
      <c r="K643" s="10">
        <v>2049.7514572093341</v>
      </c>
      <c r="L643" s="10">
        <v>396.49070691602623</v>
      </c>
      <c r="M643" s="325">
        <v>2446.2421641253604</v>
      </c>
      <c r="N643" s="10">
        <v>275.75280582816617</v>
      </c>
      <c r="O643" s="10">
        <v>1079.6379416235716</v>
      </c>
      <c r="P643" s="10">
        <v>229.75171467915649</v>
      </c>
      <c r="Q643" s="10">
        <v>387.71372428671219</v>
      </c>
      <c r="R643" s="10">
        <v>605.54691609635574</v>
      </c>
      <c r="S643" s="10">
        <v>599.05830380648194</v>
      </c>
      <c r="T643" s="10">
        <v>538.70660800390795</v>
      </c>
      <c r="U643" s="10">
        <v>163.20070326490065</v>
      </c>
      <c r="V643" s="325">
        <v>3879.3687175892528</v>
      </c>
      <c r="W643" s="325">
        <v>6326.1175398404439</v>
      </c>
      <c r="X643" s="10">
        <v>611.26813141006403</v>
      </c>
      <c r="Y643" s="320">
        <v>6937.3856712505076</v>
      </c>
    </row>
    <row r="644" spans="1:25" x14ac:dyDescent="0.2">
      <c r="A644" s="7">
        <v>2020</v>
      </c>
      <c r="B644" s="5" t="s">
        <v>466</v>
      </c>
      <c r="C644" s="5" t="s">
        <v>90</v>
      </c>
      <c r="D644" s="5" t="s">
        <v>471</v>
      </c>
      <c r="E644" s="5" t="s">
        <v>118</v>
      </c>
      <c r="F644" s="5" t="s">
        <v>94</v>
      </c>
      <c r="G644" s="5" t="s">
        <v>119</v>
      </c>
      <c r="H644" s="10">
        <v>4.8344013519311888</v>
      </c>
      <c r="I644" s="10">
        <v>0</v>
      </c>
      <c r="J644" s="325">
        <v>4.8344013519311888</v>
      </c>
      <c r="K644" s="10">
        <v>724.13552568272189</v>
      </c>
      <c r="L644" s="10">
        <v>111.41806414716659</v>
      </c>
      <c r="M644" s="325">
        <v>835.55358982988844</v>
      </c>
      <c r="N644" s="10">
        <v>74.654024364891114</v>
      </c>
      <c r="O644" s="10">
        <v>162.46240919994958</v>
      </c>
      <c r="P644" s="10">
        <v>51.707500653155655</v>
      </c>
      <c r="Q644" s="10">
        <v>69.041622825238107</v>
      </c>
      <c r="R644" s="10">
        <v>128.72326439319011</v>
      </c>
      <c r="S644" s="10">
        <v>126.23893926956215</v>
      </c>
      <c r="T644" s="10">
        <v>80.286896567178218</v>
      </c>
      <c r="U644" s="10">
        <v>27.6841237515853</v>
      </c>
      <c r="V644" s="325">
        <v>720.79878102475027</v>
      </c>
      <c r="W644" s="325">
        <v>1561.1867722065697</v>
      </c>
      <c r="X644" s="10">
        <v>149.00917894557438</v>
      </c>
      <c r="Y644" s="320">
        <v>1710.1959511521441</v>
      </c>
    </row>
    <row r="645" spans="1:25" x14ac:dyDescent="0.2">
      <c r="A645" s="7">
        <v>2020</v>
      </c>
      <c r="B645" s="5" t="s">
        <v>466</v>
      </c>
      <c r="C645" s="5" t="s">
        <v>90</v>
      </c>
      <c r="D645" s="5" t="s">
        <v>471</v>
      </c>
      <c r="E645" s="5" t="s">
        <v>120</v>
      </c>
      <c r="F645" s="5" t="s">
        <v>94</v>
      </c>
      <c r="G645" s="5" t="s">
        <v>121</v>
      </c>
      <c r="H645" s="10">
        <v>5.6339001138935094</v>
      </c>
      <c r="I645" s="10">
        <v>0</v>
      </c>
      <c r="J645" s="325">
        <v>5.6339001138935094</v>
      </c>
      <c r="K645" s="10">
        <v>852.94377244479324</v>
      </c>
      <c r="L645" s="10">
        <v>129.96025122620543</v>
      </c>
      <c r="M645" s="325">
        <v>982.90402367099864</v>
      </c>
      <c r="N645" s="10">
        <v>99.53292780757576</v>
      </c>
      <c r="O645" s="10">
        <v>423.23932320047123</v>
      </c>
      <c r="P645" s="10">
        <v>74.147927676956328</v>
      </c>
      <c r="Q645" s="10">
        <v>119.78492721852314</v>
      </c>
      <c r="R645" s="10">
        <v>311.87336735954591</v>
      </c>
      <c r="S645" s="10">
        <v>229.96763978065667</v>
      </c>
      <c r="T645" s="10">
        <v>301.84769648122244</v>
      </c>
      <c r="U645" s="10">
        <v>54.418275983750029</v>
      </c>
      <c r="V645" s="325">
        <v>1614.8120855087013</v>
      </c>
      <c r="W645" s="325">
        <v>2603.3500092935933</v>
      </c>
      <c r="X645" s="10">
        <v>251.51835316403611</v>
      </c>
      <c r="Y645" s="320">
        <v>2854.8683624576292</v>
      </c>
    </row>
    <row r="646" spans="1:25" x14ac:dyDescent="0.2">
      <c r="A646" s="7">
        <v>2020</v>
      </c>
      <c r="B646" s="5" t="s">
        <v>466</v>
      </c>
      <c r="C646" s="5" t="s">
        <v>122</v>
      </c>
      <c r="D646" s="5" t="s">
        <v>472</v>
      </c>
      <c r="E646" s="5" t="s">
        <v>125</v>
      </c>
      <c r="F646" s="5" t="s">
        <v>126</v>
      </c>
      <c r="G646" s="5" t="s">
        <v>128</v>
      </c>
      <c r="H646" s="10">
        <v>30.610729973313195</v>
      </c>
      <c r="I646" s="10">
        <v>27.736284996897844</v>
      </c>
      <c r="J646" s="325">
        <v>58.347014970211035</v>
      </c>
      <c r="K646" s="10">
        <v>2.4373249647791191</v>
      </c>
      <c r="L646" s="10">
        <v>16.04334763554705</v>
      </c>
      <c r="M646" s="325">
        <v>18.480672600326169</v>
      </c>
      <c r="N646" s="10">
        <v>9.6099093162711089</v>
      </c>
      <c r="O646" s="10">
        <v>66.136387190607607</v>
      </c>
      <c r="P646" s="10">
        <v>11.701784559112534</v>
      </c>
      <c r="Q646" s="10">
        <v>23.264541963509895</v>
      </c>
      <c r="R646" s="10">
        <v>14.021516752168989</v>
      </c>
      <c r="S646" s="10">
        <v>34.918718487580946</v>
      </c>
      <c r="T646" s="10">
        <v>59.297168273088097</v>
      </c>
      <c r="U646" s="10">
        <v>7.231727372140794</v>
      </c>
      <c r="V646" s="325">
        <v>226.18175391448</v>
      </c>
      <c r="W646" s="325">
        <v>303.00944148501719</v>
      </c>
      <c r="X646" s="10">
        <v>31.893295397902268</v>
      </c>
      <c r="Y646" s="320">
        <v>334.90273688291944</v>
      </c>
    </row>
    <row r="647" spans="1:25" x14ac:dyDescent="0.2">
      <c r="A647" s="7">
        <v>2020</v>
      </c>
      <c r="B647" s="5" t="s">
        <v>466</v>
      </c>
      <c r="C647" s="5" t="s">
        <v>122</v>
      </c>
      <c r="D647" s="5" t="s">
        <v>472</v>
      </c>
      <c r="E647" s="5" t="s">
        <v>130</v>
      </c>
      <c r="F647" s="5" t="s">
        <v>126</v>
      </c>
      <c r="G647" s="5" t="s">
        <v>131</v>
      </c>
      <c r="H647" s="10">
        <v>26.233656848256281</v>
      </c>
      <c r="I647" s="10">
        <v>400.78899808641438</v>
      </c>
      <c r="J647" s="325">
        <v>427.02265493467064</v>
      </c>
      <c r="K647" s="10">
        <v>16.933443224340628</v>
      </c>
      <c r="L647" s="10">
        <v>37.061333505684225</v>
      </c>
      <c r="M647" s="325">
        <v>53.994776730024853</v>
      </c>
      <c r="N647" s="10">
        <v>39.261424779774821</v>
      </c>
      <c r="O647" s="10">
        <v>192.14313678450856</v>
      </c>
      <c r="P647" s="10">
        <v>32.554017646793064</v>
      </c>
      <c r="Q647" s="10">
        <v>59.347862175849357</v>
      </c>
      <c r="R647" s="10">
        <v>57.572297438403162</v>
      </c>
      <c r="S647" s="10">
        <v>126.8186886764498</v>
      </c>
      <c r="T647" s="10">
        <v>172.45971583345889</v>
      </c>
      <c r="U647" s="10">
        <v>17.686567619298167</v>
      </c>
      <c r="V647" s="325">
        <v>697.84371095453582</v>
      </c>
      <c r="W647" s="325">
        <v>1178.8611426192315</v>
      </c>
      <c r="X647" s="10">
        <v>137.24907825573052</v>
      </c>
      <c r="Y647" s="320">
        <v>1316.1102208749621</v>
      </c>
    </row>
    <row r="648" spans="1:25" x14ac:dyDescent="0.2">
      <c r="A648" s="7">
        <v>2020</v>
      </c>
      <c r="B648" s="5" t="s">
        <v>466</v>
      </c>
      <c r="C648" s="5" t="s">
        <v>122</v>
      </c>
      <c r="D648" s="5" t="s">
        <v>472</v>
      </c>
      <c r="E648" s="5" t="s">
        <v>133</v>
      </c>
      <c r="F648" s="5" t="s">
        <v>126</v>
      </c>
      <c r="G648" s="5" t="s">
        <v>134</v>
      </c>
      <c r="H648" s="10">
        <v>18.716374764958342</v>
      </c>
      <c r="I648" s="10">
        <v>274.13373785714595</v>
      </c>
      <c r="J648" s="325">
        <v>292.85011262210429</v>
      </c>
      <c r="K648" s="10">
        <v>2.2551087785030473</v>
      </c>
      <c r="L648" s="10">
        <v>21.566079641602649</v>
      </c>
      <c r="M648" s="325">
        <v>23.821188420105695</v>
      </c>
      <c r="N648" s="10">
        <v>13.80901291354026</v>
      </c>
      <c r="O648" s="10">
        <v>84.547967204368547</v>
      </c>
      <c r="P648" s="10">
        <v>16.275103579897618</v>
      </c>
      <c r="Q648" s="10">
        <v>31.978644500002687</v>
      </c>
      <c r="R648" s="10">
        <v>21.295013269352125</v>
      </c>
      <c r="S648" s="10">
        <v>64.686144561419511</v>
      </c>
      <c r="T648" s="10">
        <v>72.231467160754519</v>
      </c>
      <c r="U648" s="10">
        <v>8.8633822035394108</v>
      </c>
      <c r="V648" s="325">
        <v>313.68673539287465</v>
      </c>
      <c r="W648" s="325">
        <v>630.35803643508461</v>
      </c>
      <c r="X648" s="10">
        <v>76.259568137418569</v>
      </c>
      <c r="Y648" s="320">
        <v>706.61760457250318</v>
      </c>
    </row>
    <row r="649" spans="1:25" x14ac:dyDescent="0.2">
      <c r="A649" s="7">
        <v>2020</v>
      </c>
      <c r="B649" s="5" t="s">
        <v>466</v>
      </c>
      <c r="C649" s="5" t="s">
        <v>122</v>
      </c>
      <c r="D649" s="5" t="s">
        <v>472</v>
      </c>
      <c r="E649" s="5" t="s">
        <v>135</v>
      </c>
      <c r="F649" s="5" t="s">
        <v>126</v>
      </c>
      <c r="G649" s="5" t="s">
        <v>136</v>
      </c>
      <c r="H649" s="10">
        <v>36.825631676100471</v>
      </c>
      <c r="I649" s="10">
        <v>26.192340954787852</v>
      </c>
      <c r="J649" s="325">
        <v>63.017972630888323</v>
      </c>
      <c r="K649" s="10">
        <v>7.9205034240876016</v>
      </c>
      <c r="L649" s="10">
        <v>6.2029463188612022</v>
      </c>
      <c r="M649" s="325">
        <v>14.123449742948804</v>
      </c>
      <c r="N649" s="10">
        <v>7.0436506129761494</v>
      </c>
      <c r="O649" s="10">
        <v>38.207858265071373</v>
      </c>
      <c r="P649" s="10">
        <v>7.7748552192356311</v>
      </c>
      <c r="Q649" s="10">
        <v>16.349352888718606</v>
      </c>
      <c r="R649" s="10">
        <v>11.680542099918126</v>
      </c>
      <c r="S649" s="10">
        <v>22.3316299725745</v>
      </c>
      <c r="T649" s="10">
        <v>38.568909767337026</v>
      </c>
      <c r="U649" s="10">
        <v>4.8748333538655508</v>
      </c>
      <c r="V649" s="325">
        <v>146.83163217969695</v>
      </c>
      <c r="W649" s="325">
        <v>223.97305455353407</v>
      </c>
      <c r="X649" s="10">
        <v>23.995231433765653</v>
      </c>
      <c r="Y649" s="320">
        <v>247.96828598729974</v>
      </c>
    </row>
    <row r="650" spans="1:25" x14ac:dyDescent="0.2">
      <c r="A650" s="7">
        <v>2020</v>
      </c>
      <c r="B650" s="5" t="s">
        <v>466</v>
      </c>
      <c r="C650" s="5" t="s">
        <v>122</v>
      </c>
      <c r="D650" s="5" t="s">
        <v>472</v>
      </c>
      <c r="E650" s="5" t="s">
        <v>137</v>
      </c>
      <c r="F650" s="5" t="s">
        <v>126</v>
      </c>
      <c r="G650" s="5" t="s">
        <v>138</v>
      </c>
      <c r="H650" s="10">
        <v>16.556279611480146</v>
      </c>
      <c r="I650" s="10">
        <v>21.117907130283523</v>
      </c>
      <c r="J650" s="325">
        <v>37.67418674176367</v>
      </c>
      <c r="K650" s="10">
        <v>3.2118592078156256</v>
      </c>
      <c r="L650" s="10">
        <v>11.255097202917021</v>
      </c>
      <c r="M650" s="325">
        <v>14.466956410732646</v>
      </c>
      <c r="N650" s="10">
        <v>8.4566198373547703</v>
      </c>
      <c r="O650" s="10">
        <v>34.74682068343234</v>
      </c>
      <c r="P650" s="10">
        <v>10.780255614486787</v>
      </c>
      <c r="Q650" s="10">
        <v>18.753259189693257</v>
      </c>
      <c r="R650" s="10">
        <v>14.404398047069803</v>
      </c>
      <c r="S650" s="10">
        <v>27.347001393182726</v>
      </c>
      <c r="T650" s="10">
        <v>62.258327969553271</v>
      </c>
      <c r="U650" s="10">
        <v>6.2657583412291542</v>
      </c>
      <c r="V650" s="325">
        <v>183.01244107600209</v>
      </c>
      <c r="W650" s="325">
        <v>235.1535842284984</v>
      </c>
      <c r="X650" s="10">
        <v>24.533626687688379</v>
      </c>
      <c r="Y650" s="320">
        <v>259.68721091618676</v>
      </c>
    </row>
    <row r="651" spans="1:25" x14ac:dyDescent="0.2">
      <c r="A651" s="7">
        <v>2020</v>
      </c>
      <c r="B651" s="5" t="s">
        <v>466</v>
      </c>
      <c r="C651" s="5" t="s">
        <v>122</v>
      </c>
      <c r="D651" s="5" t="s">
        <v>472</v>
      </c>
      <c r="E651" s="5" t="s">
        <v>139</v>
      </c>
      <c r="F651" s="5" t="s">
        <v>126</v>
      </c>
      <c r="G651" s="5" t="s">
        <v>140</v>
      </c>
      <c r="H651" s="10">
        <v>28.512392482256523</v>
      </c>
      <c r="I651" s="10">
        <v>96.062282697224944</v>
      </c>
      <c r="J651" s="325">
        <v>124.57467517948146</v>
      </c>
      <c r="K651" s="10">
        <v>4.2138961373138422</v>
      </c>
      <c r="L651" s="10">
        <v>8.5664712314662932</v>
      </c>
      <c r="M651" s="325">
        <v>12.780367368780135</v>
      </c>
      <c r="N651" s="10">
        <v>10.942066627520513</v>
      </c>
      <c r="O651" s="10">
        <v>36.636868499028338</v>
      </c>
      <c r="P651" s="10">
        <v>6.8482304694166869</v>
      </c>
      <c r="Q651" s="10">
        <v>13.323389226298769</v>
      </c>
      <c r="R651" s="10">
        <v>11.39201565112967</v>
      </c>
      <c r="S651" s="10">
        <v>27.951881309570236</v>
      </c>
      <c r="T651" s="10">
        <v>39.961575173272564</v>
      </c>
      <c r="U651" s="10">
        <v>4.1128266281667756</v>
      </c>
      <c r="V651" s="325">
        <v>151.16885358440356</v>
      </c>
      <c r="W651" s="325">
        <v>288.52389613266519</v>
      </c>
      <c r="X651" s="10">
        <v>33.80202558180752</v>
      </c>
      <c r="Y651" s="320">
        <v>322.32592171447271</v>
      </c>
    </row>
    <row r="652" spans="1:25" x14ac:dyDescent="0.2">
      <c r="A652" s="7">
        <v>2020</v>
      </c>
      <c r="B652" s="5" t="s">
        <v>466</v>
      </c>
      <c r="C652" s="5" t="s">
        <v>141</v>
      </c>
      <c r="D652" s="5" t="s">
        <v>473</v>
      </c>
      <c r="E652" s="5" t="s">
        <v>143</v>
      </c>
      <c r="F652" s="5" t="s">
        <v>144</v>
      </c>
      <c r="G652" s="5" t="s">
        <v>146</v>
      </c>
      <c r="H652" s="10">
        <v>5.6499900955304998</v>
      </c>
      <c r="I652" s="10">
        <v>0.8705771041749828</v>
      </c>
      <c r="J652" s="325">
        <v>6.5205671997054822</v>
      </c>
      <c r="K652" s="10">
        <v>0.74671351503707961</v>
      </c>
      <c r="L652" s="10">
        <v>2.4649297006112016</v>
      </c>
      <c r="M652" s="325">
        <v>3.211643215648281</v>
      </c>
      <c r="N652" s="10">
        <v>1.2805844380450531</v>
      </c>
      <c r="O652" s="10">
        <v>5.7038247706872562</v>
      </c>
      <c r="P652" s="10">
        <v>1.6686080316827157</v>
      </c>
      <c r="Q652" s="10">
        <v>3.118185641068639</v>
      </c>
      <c r="R652" s="10">
        <v>3.5750156411541032</v>
      </c>
      <c r="S652" s="10">
        <v>5.6439324572637384</v>
      </c>
      <c r="T652" s="10">
        <v>13.637808388654355</v>
      </c>
      <c r="U652" s="10">
        <v>1.4015382078947274</v>
      </c>
      <c r="V652" s="325">
        <v>36.029497576450581</v>
      </c>
      <c r="W652" s="325">
        <v>45.761707991804343</v>
      </c>
      <c r="X652" s="10">
        <v>4.633752273014494</v>
      </c>
      <c r="Y652" s="320">
        <v>50.395460264818837</v>
      </c>
    </row>
    <row r="653" spans="1:25" x14ac:dyDescent="0.2">
      <c r="A653" s="7">
        <v>2020</v>
      </c>
      <c r="B653" s="5" t="s">
        <v>466</v>
      </c>
      <c r="C653" s="5" t="s">
        <v>141</v>
      </c>
      <c r="D653" s="5" t="s">
        <v>473</v>
      </c>
      <c r="E653" s="5" t="s">
        <v>147</v>
      </c>
      <c r="F653" s="5" t="s">
        <v>144</v>
      </c>
      <c r="G653" s="5" t="s">
        <v>148</v>
      </c>
      <c r="H653" s="10">
        <v>21.613540501406007</v>
      </c>
      <c r="I653" s="10">
        <v>2.2803513214302558</v>
      </c>
      <c r="J653" s="325">
        <v>23.893891822836263</v>
      </c>
      <c r="K653" s="10">
        <v>1.1994329371324535</v>
      </c>
      <c r="L653" s="10">
        <v>4.8369477886001802</v>
      </c>
      <c r="M653" s="325">
        <v>6.0363807257326334</v>
      </c>
      <c r="N653" s="10">
        <v>2.3236597944935609</v>
      </c>
      <c r="O653" s="10">
        <v>14.302477137091529</v>
      </c>
      <c r="P653" s="10">
        <v>1.9166520383747081</v>
      </c>
      <c r="Q653" s="10">
        <v>4.3891943842408203</v>
      </c>
      <c r="R653" s="10">
        <v>5.5969709635345888</v>
      </c>
      <c r="S653" s="10">
        <v>8.1181718365019506</v>
      </c>
      <c r="T653" s="10">
        <v>16.375877215592254</v>
      </c>
      <c r="U653" s="10">
        <v>2.4009092763991458</v>
      </c>
      <c r="V653" s="325">
        <v>55.423912646228558</v>
      </c>
      <c r="W653" s="325">
        <v>85.354185194797452</v>
      </c>
      <c r="X653" s="10">
        <v>8.869011634543611</v>
      </c>
      <c r="Y653" s="320">
        <v>94.223196829341063</v>
      </c>
    </row>
    <row r="654" spans="1:25" x14ac:dyDescent="0.2">
      <c r="A654" s="7">
        <v>2020</v>
      </c>
      <c r="B654" s="5" t="s">
        <v>466</v>
      </c>
      <c r="C654" s="5" t="s">
        <v>141</v>
      </c>
      <c r="D654" s="5" t="s">
        <v>474</v>
      </c>
      <c r="E654" s="5" t="s">
        <v>149</v>
      </c>
      <c r="F654" s="5" t="s">
        <v>144</v>
      </c>
      <c r="G654" s="5" t="s">
        <v>150</v>
      </c>
      <c r="H654" s="10">
        <v>19.789185358039905</v>
      </c>
      <c r="I654" s="10">
        <v>69.763823510450862</v>
      </c>
      <c r="J654" s="325">
        <v>89.553008868490764</v>
      </c>
      <c r="K654" s="10">
        <v>33.757691707551601</v>
      </c>
      <c r="L654" s="10">
        <v>8.926130497999587</v>
      </c>
      <c r="M654" s="325">
        <v>42.683822205551188</v>
      </c>
      <c r="N654" s="10">
        <v>37.701455169488376</v>
      </c>
      <c r="O654" s="10">
        <v>90.954393508508261</v>
      </c>
      <c r="P654" s="10">
        <v>19.578495186696504</v>
      </c>
      <c r="Q654" s="10">
        <v>27.120997970228345</v>
      </c>
      <c r="R654" s="10">
        <v>36.228844416595628</v>
      </c>
      <c r="S654" s="10">
        <v>64.254841833823079</v>
      </c>
      <c r="T654" s="10">
        <v>67.860588987733735</v>
      </c>
      <c r="U654" s="10">
        <v>12.586801327676104</v>
      </c>
      <c r="V654" s="325">
        <v>356.28641840074999</v>
      </c>
      <c r="W654" s="325">
        <v>488.5232494747919</v>
      </c>
      <c r="X654" s="10">
        <v>52.425952288515894</v>
      </c>
      <c r="Y654" s="320">
        <v>540.94920176330777</v>
      </c>
    </row>
    <row r="655" spans="1:25" x14ac:dyDescent="0.2">
      <c r="A655" s="7">
        <v>2020</v>
      </c>
      <c r="B655" s="5" t="s">
        <v>466</v>
      </c>
      <c r="C655" s="5" t="s">
        <v>141</v>
      </c>
      <c r="D655" s="5" t="s">
        <v>474</v>
      </c>
      <c r="E655" s="5" t="s">
        <v>151</v>
      </c>
      <c r="F655" s="5" t="s">
        <v>144</v>
      </c>
      <c r="G655" s="5" t="s">
        <v>152</v>
      </c>
      <c r="H655" s="10">
        <v>7.6590658888750411</v>
      </c>
      <c r="I655" s="10">
        <v>43.287377147460383</v>
      </c>
      <c r="J655" s="325">
        <v>50.946443036335424</v>
      </c>
      <c r="K655" s="10">
        <v>36.422617120465247</v>
      </c>
      <c r="L655" s="10">
        <v>3.7266466725982941</v>
      </c>
      <c r="M655" s="325">
        <v>40.14926379306354</v>
      </c>
      <c r="N655" s="10">
        <v>62.141895453159115</v>
      </c>
      <c r="O655" s="10">
        <v>26.82799439255653</v>
      </c>
      <c r="P655" s="10">
        <v>6.1171642774642052</v>
      </c>
      <c r="Q655" s="10">
        <v>12.558158211291644</v>
      </c>
      <c r="R655" s="10">
        <v>14.441367001376058</v>
      </c>
      <c r="S655" s="10">
        <v>58.755769329153907</v>
      </c>
      <c r="T655" s="10">
        <v>41.073940830070164</v>
      </c>
      <c r="U655" s="10">
        <v>10.712210930227403</v>
      </c>
      <c r="V655" s="325">
        <v>232.62850042529902</v>
      </c>
      <c r="W655" s="325">
        <v>323.724207254698</v>
      </c>
      <c r="X655" s="10">
        <v>34.983927313487733</v>
      </c>
      <c r="Y655" s="320">
        <v>358.70813456818576</v>
      </c>
    </row>
    <row r="656" spans="1:25" x14ac:dyDescent="0.2">
      <c r="A656" s="7">
        <v>2020</v>
      </c>
      <c r="B656" s="5" t="s">
        <v>466</v>
      </c>
      <c r="C656" s="5" t="s">
        <v>141</v>
      </c>
      <c r="D656" s="5" t="s">
        <v>474</v>
      </c>
      <c r="E656" s="5" t="s">
        <v>153</v>
      </c>
      <c r="F656" s="5" t="s">
        <v>144</v>
      </c>
      <c r="G656" s="5" t="s">
        <v>154</v>
      </c>
      <c r="H656" s="10">
        <v>7.6732603056825859</v>
      </c>
      <c r="I656" s="10">
        <v>2.3508701056868797</v>
      </c>
      <c r="J656" s="325">
        <v>10.024130411369466</v>
      </c>
      <c r="K656" s="10">
        <v>15.304704545414346</v>
      </c>
      <c r="L656" s="10">
        <v>5.6403367934921436</v>
      </c>
      <c r="M656" s="325">
        <v>20.945041338906488</v>
      </c>
      <c r="N656" s="10">
        <v>13.966862470297578</v>
      </c>
      <c r="O656" s="10">
        <v>47.676482310645738</v>
      </c>
      <c r="P656" s="10">
        <v>4.6893313716888541</v>
      </c>
      <c r="Q656" s="10">
        <v>8.8032629034451642</v>
      </c>
      <c r="R656" s="10">
        <v>13.783492014316826</v>
      </c>
      <c r="S656" s="10">
        <v>20.923001461411712</v>
      </c>
      <c r="T656" s="10">
        <v>23.847674683334393</v>
      </c>
      <c r="U656" s="10">
        <v>4.2386157314151038</v>
      </c>
      <c r="V656" s="325">
        <v>137.92872294655538</v>
      </c>
      <c r="W656" s="325">
        <v>168.89789469683134</v>
      </c>
      <c r="X656" s="10">
        <v>17.128278954585745</v>
      </c>
      <c r="Y656" s="320">
        <v>186.02617365141708</v>
      </c>
    </row>
    <row r="657" spans="1:25" x14ac:dyDescent="0.2">
      <c r="A657" s="7">
        <v>2020</v>
      </c>
      <c r="B657" s="5" t="s">
        <v>466</v>
      </c>
      <c r="C657" s="5" t="s">
        <v>141</v>
      </c>
      <c r="D657" s="5" t="s">
        <v>474</v>
      </c>
      <c r="E657" s="5" t="s">
        <v>155</v>
      </c>
      <c r="F657" s="5" t="s">
        <v>144</v>
      </c>
      <c r="G657" s="5" t="s">
        <v>156</v>
      </c>
      <c r="H657" s="10">
        <v>30.280702250977427</v>
      </c>
      <c r="I657" s="10">
        <v>262.70572066724179</v>
      </c>
      <c r="J657" s="325">
        <v>292.9864229182192</v>
      </c>
      <c r="K657" s="10">
        <v>2.623245025429561</v>
      </c>
      <c r="L657" s="10">
        <v>9.0510442297560196</v>
      </c>
      <c r="M657" s="325">
        <v>11.674289255185581</v>
      </c>
      <c r="N657" s="10">
        <v>8.4116298804512724</v>
      </c>
      <c r="O657" s="10">
        <v>19.023002485660687</v>
      </c>
      <c r="P657" s="10">
        <v>4.3257745715088953</v>
      </c>
      <c r="Q657" s="10">
        <v>7.5809154651344217</v>
      </c>
      <c r="R657" s="10">
        <v>10.304123948192878</v>
      </c>
      <c r="S657" s="10">
        <v>40.726360825454883</v>
      </c>
      <c r="T657" s="10">
        <v>24.30177641639327</v>
      </c>
      <c r="U657" s="10">
        <v>5.8135416078349733</v>
      </c>
      <c r="V657" s="325">
        <v>120.48712520063127</v>
      </c>
      <c r="W657" s="325">
        <v>425.14783737403604</v>
      </c>
      <c r="X657" s="10">
        <v>55.444704409492203</v>
      </c>
      <c r="Y657" s="320">
        <v>480.59254178352825</v>
      </c>
    </row>
    <row r="658" spans="1:25" x14ac:dyDescent="0.2">
      <c r="A658" s="7">
        <v>2020</v>
      </c>
      <c r="B658" s="5" t="s">
        <v>466</v>
      </c>
      <c r="C658" s="5" t="s">
        <v>157</v>
      </c>
      <c r="D658" s="5" t="s">
        <v>475</v>
      </c>
      <c r="E658" s="5" t="s">
        <v>159</v>
      </c>
      <c r="F658" s="5" t="s">
        <v>160</v>
      </c>
      <c r="G658" s="5" t="s">
        <v>161</v>
      </c>
      <c r="H658" s="10">
        <v>36.753094259725202</v>
      </c>
      <c r="I658" s="10">
        <v>14.452205906607047</v>
      </c>
      <c r="J658" s="325">
        <v>51.20530016633225</v>
      </c>
      <c r="K658" s="10">
        <v>11.537908633351007</v>
      </c>
      <c r="L658" s="10">
        <v>32.92707565209998</v>
      </c>
      <c r="M658" s="325">
        <v>44.464984285450988</v>
      </c>
      <c r="N658" s="10">
        <v>21.166521303592486</v>
      </c>
      <c r="O658" s="10">
        <v>123.23670208285425</v>
      </c>
      <c r="P658" s="10">
        <v>20.543146078636568</v>
      </c>
      <c r="Q658" s="10">
        <v>56.84826380977475</v>
      </c>
      <c r="R658" s="10">
        <v>66.372035678677847</v>
      </c>
      <c r="S658" s="10">
        <v>98.418115598376431</v>
      </c>
      <c r="T658" s="10">
        <v>186.11308609112871</v>
      </c>
      <c r="U658" s="10">
        <v>30.456448737629721</v>
      </c>
      <c r="V658" s="325">
        <v>603.1543193806707</v>
      </c>
      <c r="W658" s="325">
        <v>698.82460383245393</v>
      </c>
      <c r="X658" s="10">
        <v>70.221166344177959</v>
      </c>
      <c r="Y658" s="320">
        <v>769.04577017663189</v>
      </c>
    </row>
    <row r="659" spans="1:25" x14ac:dyDescent="0.2">
      <c r="A659" s="7">
        <v>2020</v>
      </c>
      <c r="B659" s="5" t="s">
        <v>466</v>
      </c>
      <c r="C659" s="5" t="s">
        <v>157</v>
      </c>
      <c r="D659" s="5" t="s">
        <v>476</v>
      </c>
      <c r="E659" s="5" t="s">
        <v>162</v>
      </c>
      <c r="F659" s="5" t="s">
        <v>160</v>
      </c>
      <c r="G659" s="5" t="s">
        <v>163</v>
      </c>
      <c r="H659" s="10">
        <v>18.853533436277637</v>
      </c>
      <c r="I659" s="10">
        <v>5.7066362522473213</v>
      </c>
      <c r="J659" s="325">
        <v>24.560169688524958</v>
      </c>
      <c r="K659" s="10">
        <v>2.2841044156226946</v>
      </c>
      <c r="L659" s="10">
        <v>5.6841342126013927</v>
      </c>
      <c r="M659" s="325">
        <v>7.9682386282240873</v>
      </c>
      <c r="N659" s="10">
        <v>3.1137500629021857</v>
      </c>
      <c r="O659" s="10">
        <v>21.428053721033429</v>
      </c>
      <c r="P659" s="10">
        <v>5.0930045743675212</v>
      </c>
      <c r="Q659" s="10">
        <v>9.0960668719854176</v>
      </c>
      <c r="R659" s="10">
        <v>9.1857172093794226</v>
      </c>
      <c r="S659" s="10">
        <v>16.530255449157792</v>
      </c>
      <c r="T659" s="10">
        <v>33.048445287422211</v>
      </c>
      <c r="U659" s="10">
        <v>4.9366778709515655</v>
      </c>
      <c r="V659" s="325">
        <v>102.43197104719954</v>
      </c>
      <c r="W659" s="325">
        <v>134.96037936394859</v>
      </c>
      <c r="X659" s="10">
        <v>13.876486142441456</v>
      </c>
      <c r="Y659" s="320">
        <v>148.83686550639004</v>
      </c>
    </row>
    <row r="660" spans="1:25" x14ac:dyDescent="0.2">
      <c r="A660" s="7">
        <v>2020</v>
      </c>
      <c r="B660" s="5" t="s">
        <v>466</v>
      </c>
      <c r="C660" s="5" t="s">
        <v>157</v>
      </c>
      <c r="D660" s="5" t="s">
        <v>473</v>
      </c>
      <c r="E660" s="5" t="s">
        <v>164</v>
      </c>
      <c r="F660" s="5" t="s">
        <v>160</v>
      </c>
      <c r="G660" s="5" t="s">
        <v>165</v>
      </c>
      <c r="H660" s="10">
        <v>3.0430152603810381</v>
      </c>
      <c r="I660" s="10">
        <v>0</v>
      </c>
      <c r="J660" s="325">
        <v>3.0430152603810381</v>
      </c>
      <c r="K660" s="10">
        <v>5.8831612489142113</v>
      </c>
      <c r="L660" s="10">
        <v>1.4922052561766359</v>
      </c>
      <c r="M660" s="325">
        <v>7.375366505090847</v>
      </c>
      <c r="N660" s="10">
        <v>11.468710232206666</v>
      </c>
      <c r="O660" s="10">
        <v>15.786764023327601</v>
      </c>
      <c r="P660" s="10">
        <v>3.9579299151682137</v>
      </c>
      <c r="Q660" s="10">
        <v>5.8142890935232678</v>
      </c>
      <c r="R660" s="10">
        <v>8.3654111788552221</v>
      </c>
      <c r="S660" s="10">
        <v>14.006227436461062</v>
      </c>
      <c r="T660" s="10">
        <v>14.123724951234106</v>
      </c>
      <c r="U660" s="10">
        <v>3.2008755361489123</v>
      </c>
      <c r="V660" s="325">
        <v>76.723932366925055</v>
      </c>
      <c r="W660" s="325">
        <v>87.142314132396947</v>
      </c>
      <c r="X660" s="10">
        <v>8.7961071480375477</v>
      </c>
      <c r="Y660" s="320">
        <v>95.938421280434497</v>
      </c>
    </row>
    <row r="661" spans="1:25" x14ac:dyDescent="0.2">
      <c r="A661" s="7">
        <v>2020</v>
      </c>
      <c r="B661" s="5" t="s">
        <v>466</v>
      </c>
      <c r="C661" s="5" t="s">
        <v>157</v>
      </c>
      <c r="D661" s="5" t="s">
        <v>477</v>
      </c>
      <c r="E661" s="5" t="s">
        <v>166</v>
      </c>
      <c r="F661" s="5" t="s">
        <v>160</v>
      </c>
      <c r="G661" s="5" t="s">
        <v>168</v>
      </c>
      <c r="H661" s="10">
        <v>56.316533993628923</v>
      </c>
      <c r="I661" s="10">
        <v>446.35666921867806</v>
      </c>
      <c r="J661" s="325">
        <v>502.67320321230699</v>
      </c>
      <c r="K661" s="10">
        <v>12.382921406828661</v>
      </c>
      <c r="L661" s="10">
        <v>2.8797319163190398</v>
      </c>
      <c r="M661" s="325">
        <v>15.262653323147701</v>
      </c>
      <c r="N661" s="10">
        <v>11.604854140506983</v>
      </c>
      <c r="O661" s="10">
        <v>35.228910110681113</v>
      </c>
      <c r="P661" s="10">
        <v>7.1895968068067502</v>
      </c>
      <c r="Q661" s="10">
        <v>11.379886042622115</v>
      </c>
      <c r="R661" s="10">
        <v>14.555484510562788</v>
      </c>
      <c r="S661" s="10">
        <v>55.524561900990037</v>
      </c>
      <c r="T661" s="10">
        <v>30.639831371815077</v>
      </c>
      <c r="U661" s="10">
        <v>7.841184216611377</v>
      </c>
      <c r="V661" s="325">
        <v>173.96430910059624</v>
      </c>
      <c r="W661" s="325">
        <v>691.90016563605093</v>
      </c>
      <c r="X661" s="10">
        <v>91.298846634879922</v>
      </c>
      <c r="Y661" s="320">
        <v>783.19901227093089</v>
      </c>
    </row>
    <row r="662" spans="1:25" x14ac:dyDescent="0.2">
      <c r="A662" s="7">
        <v>2020</v>
      </c>
      <c r="B662" s="5" t="s">
        <v>466</v>
      </c>
      <c r="C662" s="5" t="s">
        <v>157</v>
      </c>
      <c r="D662" s="5" t="s">
        <v>473</v>
      </c>
      <c r="E662" s="5" t="s">
        <v>169</v>
      </c>
      <c r="F662" s="5" t="s">
        <v>160</v>
      </c>
      <c r="G662" s="5" t="s">
        <v>170</v>
      </c>
      <c r="H662" s="10">
        <v>27.5223781912274</v>
      </c>
      <c r="I662" s="10">
        <v>1.9402365091418348</v>
      </c>
      <c r="J662" s="325">
        <v>29.462614700369233</v>
      </c>
      <c r="K662" s="10">
        <v>4.1896869569208279</v>
      </c>
      <c r="L662" s="10">
        <v>10.157897857913603</v>
      </c>
      <c r="M662" s="325">
        <v>14.34758481483443</v>
      </c>
      <c r="N662" s="10">
        <v>7.7714316005108968</v>
      </c>
      <c r="O662" s="10">
        <v>24.677318158193199</v>
      </c>
      <c r="P662" s="10">
        <v>6.6191327237556239</v>
      </c>
      <c r="Q662" s="10">
        <v>11.479087254309176</v>
      </c>
      <c r="R662" s="10">
        <v>10.729152465058528</v>
      </c>
      <c r="S662" s="10">
        <v>21.010634531945147</v>
      </c>
      <c r="T662" s="10">
        <v>33.801812038608574</v>
      </c>
      <c r="U662" s="10">
        <v>5.2017217313543744</v>
      </c>
      <c r="V662" s="325">
        <v>121.29029050373552</v>
      </c>
      <c r="W662" s="325">
        <v>165.10049001893918</v>
      </c>
      <c r="X662" s="10">
        <v>16.821183039718978</v>
      </c>
      <c r="Y662" s="320">
        <v>181.92167305865817</v>
      </c>
    </row>
    <row r="663" spans="1:25" x14ac:dyDescent="0.2">
      <c r="A663" s="7">
        <v>2020</v>
      </c>
      <c r="B663" s="5" t="s">
        <v>466</v>
      </c>
      <c r="C663" s="5" t="s">
        <v>157</v>
      </c>
      <c r="D663" s="5" t="s">
        <v>473</v>
      </c>
      <c r="E663" s="5" t="s">
        <v>171</v>
      </c>
      <c r="F663" s="5" t="s">
        <v>160</v>
      </c>
      <c r="G663" s="5" t="s">
        <v>172</v>
      </c>
      <c r="H663" s="10">
        <v>64.483830718168278</v>
      </c>
      <c r="I663" s="10">
        <v>25.220916439701707</v>
      </c>
      <c r="J663" s="325">
        <v>89.704747157869988</v>
      </c>
      <c r="K663" s="10">
        <v>7.4967651141801834</v>
      </c>
      <c r="L663" s="10">
        <v>2.7258386397398389</v>
      </c>
      <c r="M663" s="325">
        <v>10.222603753920023</v>
      </c>
      <c r="N663" s="10">
        <v>7.2003494583167287</v>
      </c>
      <c r="O663" s="10">
        <v>13.416697359094346</v>
      </c>
      <c r="P663" s="10">
        <v>2.0569285192311964</v>
      </c>
      <c r="Q663" s="10">
        <v>4.4443178970766226</v>
      </c>
      <c r="R663" s="10">
        <v>5.4523890985988173</v>
      </c>
      <c r="S663" s="10">
        <v>15.115586746765347</v>
      </c>
      <c r="T663" s="10">
        <v>15.899674777442415</v>
      </c>
      <c r="U663" s="10">
        <v>2.4888898974406901</v>
      </c>
      <c r="V663" s="325">
        <v>66.074833753966161</v>
      </c>
      <c r="W663" s="325">
        <v>166.00218466575618</v>
      </c>
      <c r="X663" s="10">
        <v>18.62574165204504</v>
      </c>
      <c r="Y663" s="320">
        <v>184.62792631780121</v>
      </c>
    </row>
    <row r="664" spans="1:25" x14ac:dyDescent="0.2">
      <c r="A664" s="7">
        <v>2020</v>
      </c>
      <c r="B664" s="5" t="s">
        <v>466</v>
      </c>
      <c r="C664" s="5" t="s">
        <v>157</v>
      </c>
      <c r="D664" s="5" t="s">
        <v>477</v>
      </c>
      <c r="E664" s="5" t="s">
        <v>173</v>
      </c>
      <c r="F664" s="5" t="s">
        <v>160</v>
      </c>
      <c r="G664" s="5" t="s">
        <v>174</v>
      </c>
      <c r="H664" s="10">
        <v>20.440824873114607</v>
      </c>
      <c r="I664" s="10">
        <v>432.95462006772971</v>
      </c>
      <c r="J664" s="325">
        <v>453.3954449408443</v>
      </c>
      <c r="K664" s="10">
        <v>19.411037483322211</v>
      </c>
      <c r="L664" s="10">
        <v>2.7792825673619128</v>
      </c>
      <c r="M664" s="325">
        <v>22.190320050684125</v>
      </c>
      <c r="N664" s="10">
        <v>27.063731318917682</v>
      </c>
      <c r="O664" s="10">
        <v>55.443449071408622</v>
      </c>
      <c r="P664" s="10">
        <v>15.589248299616823</v>
      </c>
      <c r="Q664" s="10">
        <v>18.56211972224483</v>
      </c>
      <c r="R664" s="10">
        <v>32.74179145866372</v>
      </c>
      <c r="S664" s="10">
        <v>76.219579787225868</v>
      </c>
      <c r="T664" s="10">
        <v>39.278563409948511</v>
      </c>
      <c r="U664" s="10">
        <v>12.090253742815408</v>
      </c>
      <c r="V664" s="325">
        <v>276.98873681084149</v>
      </c>
      <c r="W664" s="325">
        <v>752.57450180236992</v>
      </c>
      <c r="X664" s="10">
        <v>96.287596771178571</v>
      </c>
      <c r="Y664" s="320">
        <v>848.86209857354845</v>
      </c>
    </row>
    <row r="665" spans="1:25" x14ac:dyDescent="0.2">
      <c r="A665" s="7">
        <v>2020</v>
      </c>
      <c r="B665" s="5" t="s">
        <v>466</v>
      </c>
      <c r="C665" s="5" t="s">
        <v>157</v>
      </c>
      <c r="D665" s="5" t="s">
        <v>475</v>
      </c>
      <c r="E665" s="5" t="s">
        <v>175</v>
      </c>
      <c r="F665" s="5" t="s">
        <v>160</v>
      </c>
      <c r="G665" s="5" t="s">
        <v>176</v>
      </c>
      <c r="H665" s="10">
        <v>14.61502423577741</v>
      </c>
      <c r="I665" s="10">
        <v>1.2319167354690914</v>
      </c>
      <c r="J665" s="325">
        <v>15.846940971246502</v>
      </c>
      <c r="K665" s="10">
        <v>1.4729229994841817</v>
      </c>
      <c r="L665" s="10">
        <v>6.6724520475269076</v>
      </c>
      <c r="M665" s="325">
        <v>8.1453750470110897</v>
      </c>
      <c r="N665" s="10">
        <v>4.4563914546488013</v>
      </c>
      <c r="O665" s="10">
        <v>14.114246608670568</v>
      </c>
      <c r="P665" s="10">
        <v>3.7563907061713215</v>
      </c>
      <c r="Q665" s="10">
        <v>8.9399452392618919</v>
      </c>
      <c r="R665" s="10">
        <v>6.7950034468587281</v>
      </c>
      <c r="S665" s="10">
        <v>11.353289412291183</v>
      </c>
      <c r="T665" s="10">
        <v>20.334241949138391</v>
      </c>
      <c r="U665" s="10">
        <v>4.6645326159008214</v>
      </c>
      <c r="V665" s="325">
        <v>74.414041432941701</v>
      </c>
      <c r="W665" s="325">
        <v>98.406357451199284</v>
      </c>
      <c r="X665" s="10">
        <v>9.9840928779088571</v>
      </c>
      <c r="Y665" s="320">
        <v>108.39045032910815</v>
      </c>
    </row>
    <row r="666" spans="1:25" x14ac:dyDescent="0.2">
      <c r="A666" s="7">
        <v>2020</v>
      </c>
      <c r="B666" s="5" t="s">
        <v>466</v>
      </c>
      <c r="C666" s="5" t="s">
        <v>157</v>
      </c>
      <c r="D666" s="5" t="s">
        <v>475</v>
      </c>
      <c r="E666" s="5" t="s">
        <v>177</v>
      </c>
      <c r="F666" s="5" t="s">
        <v>160</v>
      </c>
      <c r="G666" s="5" t="s">
        <v>178</v>
      </c>
      <c r="H666" s="10">
        <v>9.8789077777574139</v>
      </c>
      <c r="I666" s="10">
        <v>0.57644738432222242</v>
      </c>
      <c r="J666" s="325">
        <v>10.455355162079636</v>
      </c>
      <c r="K666" s="10">
        <v>1.5501487328832737</v>
      </c>
      <c r="L666" s="10">
        <v>2.1231520507622199</v>
      </c>
      <c r="M666" s="325">
        <v>3.6733007836454936</v>
      </c>
      <c r="N666" s="10">
        <v>1.9738933707891668</v>
      </c>
      <c r="O666" s="10">
        <v>6.9612089075852976</v>
      </c>
      <c r="P666" s="10">
        <v>1.8748164097461888</v>
      </c>
      <c r="Q666" s="10">
        <v>4.3022199415788185</v>
      </c>
      <c r="R666" s="10">
        <v>3.6253052212219012</v>
      </c>
      <c r="S666" s="10">
        <v>6.9768839513301684</v>
      </c>
      <c r="T666" s="10">
        <v>13.9638944576129</v>
      </c>
      <c r="U666" s="10">
        <v>2.5633950919733395</v>
      </c>
      <c r="V666" s="325">
        <v>42.241617351837782</v>
      </c>
      <c r="W666" s="325">
        <v>56.37027329756291</v>
      </c>
      <c r="X666" s="10">
        <v>5.7304906358561354</v>
      </c>
      <c r="Y666" s="320">
        <v>62.100763933419046</v>
      </c>
    </row>
    <row r="667" spans="1:25" x14ac:dyDescent="0.2">
      <c r="A667" s="7">
        <v>2020</v>
      </c>
      <c r="B667" s="5" t="s">
        <v>466</v>
      </c>
      <c r="C667" s="5" t="s">
        <v>157</v>
      </c>
      <c r="D667" s="5" t="s">
        <v>475</v>
      </c>
      <c r="E667" s="5" t="s">
        <v>179</v>
      </c>
      <c r="F667" s="5" t="s">
        <v>160</v>
      </c>
      <c r="G667" s="5" t="s">
        <v>180</v>
      </c>
      <c r="H667" s="10">
        <v>43.834692887217415</v>
      </c>
      <c r="I667" s="10">
        <v>1.7618265469291801</v>
      </c>
      <c r="J667" s="325">
        <v>45.596519434146593</v>
      </c>
      <c r="K667" s="10">
        <v>5.0077082703145797</v>
      </c>
      <c r="L667" s="10">
        <v>12.233492560948617</v>
      </c>
      <c r="M667" s="325">
        <v>17.241200831263196</v>
      </c>
      <c r="N667" s="10">
        <v>5.488184596093582</v>
      </c>
      <c r="O667" s="10">
        <v>20.089011681096782</v>
      </c>
      <c r="P667" s="10">
        <v>4.9294836581485484</v>
      </c>
      <c r="Q667" s="10">
        <v>11.291009844986856</v>
      </c>
      <c r="R667" s="10">
        <v>9.9047056315576718</v>
      </c>
      <c r="S667" s="10">
        <v>18.978090756512785</v>
      </c>
      <c r="T667" s="10">
        <v>43.607818219208696</v>
      </c>
      <c r="U667" s="10">
        <v>8.9174354059288685</v>
      </c>
      <c r="V667" s="325">
        <v>123.20573979353379</v>
      </c>
      <c r="W667" s="325">
        <v>186.04346005894357</v>
      </c>
      <c r="X667" s="10">
        <v>19.029373973657719</v>
      </c>
      <c r="Y667" s="320">
        <v>205.07283403260129</v>
      </c>
    </row>
    <row r="668" spans="1:25" x14ac:dyDescent="0.2">
      <c r="A668" s="7">
        <v>2020</v>
      </c>
      <c r="B668" s="5" t="s">
        <v>466</v>
      </c>
      <c r="C668" s="5" t="s">
        <v>181</v>
      </c>
      <c r="D668" s="5" t="s">
        <v>478</v>
      </c>
      <c r="E668" s="5" t="s">
        <v>183</v>
      </c>
      <c r="F668" s="5" t="s">
        <v>184</v>
      </c>
      <c r="G668" s="5" t="s">
        <v>185</v>
      </c>
      <c r="H668" s="10">
        <v>22.322320121391481</v>
      </c>
      <c r="I668" s="10">
        <v>0</v>
      </c>
      <c r="J668" s="325">
        <v>22.322320121391481</v>
      </c>
      <c r="K668" s="10">
        <v>2.2604147923355131</v>
      </c>
      <c r="L668" s="10">
        <v>13.440209334177618</v>
      </c>
      <c r="M668" s="325">
        <v>15.700624126513132</v>
      </c>
      <c r="N668" s="10">
        <v>4.2787729369703378</v>
      </c>
      <c r="O668" s="10">
        <v>13.045873448198597</v>
      </c>
      <c r="P668" s="10">
        <v>3.2544738303782861</v>
      </c>
      <c r="Q668" s="10">
        <v>8.1059935582652116</v>
      </c>
      <c r="R668" s="10">
        <v>6.3953023850072812</v>
      </c>
      <c r="S668" s="10">
        <v>11.269915016239441</v>
      </c>
      <c r="T668" s="10">
        <v>18.742573694742816</v>
      </c>
      <c r="U668" s="10">
        <v>2.3421349701647487</v>
      </c>
      <c r="V668" s="325">
        <v>67.43503983996672</v>
      </c>
      <c r="W668" s="325">
        <v>105.45798408787134</v>
      </c>
      <c r="X668" s="10">
        <v>10.68409345573501</v>
      </c>
      <c r="Y668" s="320">
        <v>116.14207754360635</v>
      </c>
    </row>
    <row r="669" spans="1:25" x14ac:dyDescent="0.2">
      <c r="A669" s="7">
        <v>2020</v>
      </c>
      <c r="B669" s="5" t="s">
        <v>466</v>
      </c>
      <c r="C669" s="5" t="s">
        <v>181</v>
      </c>
      <c r="D669" s="5" t="s">
        <v>479</v>
      </c>
      <c r="E669" s="5" t="s">
        <v>186</v>
      </c>
      <c r="F669" s="5" t="s">
        <v>184</v>
      </c>
      <c r="G669" s="5" t="s">
        <v>187</v>
      </c>
      <c r="H669" s="10">
        <v>18.392146791584398</v>
      </c>
      <c r="I669" s="10">
        <v>0.53359408811030573</v>
      </c>
      <c r="J669" s="325">
        <v>18.925740879694704</v>
      </c>
      <c r="K669" s="10">
        <v>2.5948655009236958</v>
      </c>
      <c r="L669" s="10">
        <v>1.7719944158528815</v>
      </c>
      <c r="M669" s="325">
        <v>4.3668599167765771</v>
      </c>
      <c r="N669" s="10">
        <v>2.8924030792016464</v>
      </c>
      <c r="O669" s="10">
        <v>7.2425115240930449</v>
      </c>
      <c r="P669" s="10">
        <v>1.8021011989900071</v>
      </c>
      <c r="Q669" s="10">
        <v>3.5630768586139769</v>
      </c>
      <c r="R669" s="10">
        <v>5.498139195166468</v>
      </c>
      <c r="S669" s="10">
        <v>6.3367266280553007</v>
      </c>
      <c r="T669" s="10">
        <v>10.410071844609524</v>
      </c>
      <c r="U669" s="10">
        <v>1.7439850070668004</v>
      </c>
      <c r="V669" s="325">
        <v>39.489015335796765</v>
      </c>
      <c r="W669" s="325">
        <v>62.781616132268041</v>
      </c>
      <c r="X669" s="10">
        <v>6.49556631273781</v>
      </c>
      <c r="Y669" s="320">
        <v>69.277182445005849</v>
      </c>
    </row>
    <row r="670" spans="1:25" x14ac:dyDescent="0.2">
      <c r="A670" s="7">
        <v>2020</v>
      </c>
      <c r="B670" s="5" t="s">
        <v>466</v>
      </c>
      <c r="C670" s="5" t="s">
        <v>181</v>
      </c>
      <c r="D670" s="5" t="s">
        <v>478</v>
      </c>
      <c r="E670" s="5" t="s">
        <v>188</v>
      </c>
      <c r="F670" s="5" t="s">
        <v>184</v>
      </c>
      <c r="G670" s="5" t="s">
        <v>189</v>
      </c>
      <c r="H670" s="10">
        <v>11.292895350113872</v>
      </c>
      <c r="I670" s="10">
        <v>7.7186302539275493</v>
      </c>
      <c r="J670" s="325">
        <v>19.01152560404142</v>
      </c>
      <c r="K670" s="10">
        <v>0.62996574306384356</v>
      </c>
      <c r="L670" s="10">
        <v>3.4143989155547336</v>
      </c>
      <c r="M670" s="325">
        <v>4.0443646586185773</v>
      </c>
      <c r="N670" s="10">
        <v>1.6144783548702912</v>
      </c>
      <c r="O670" s="10">
        <v>8.6530177625724196</v>
      </c>
      <c r="P670" s="10">
        <v>1.9894012854360255</v>
      </c>
      <c r="Q670" s="10">
        <v>3.9145847678189365</v>
      </c>
      <c r="R670" s="10">
        <v>3.3033415831831587</v>
      </c>
      <c r="S670" s="10">
        <v>7.7503914740115256</v>
      </c>
      <c r="T670" s="10">
        <v>17.223946029604864</v>
      </c>
      <c r="U670" s="10">
        <v>1.6411607586464674</v>
      </c>
      <c r="V670" s="325">
        <v>46.090322016143688</v>
      </c>
      <c r="W670" s="325">
        <v>69.146212278803688</v>
      </c>
      <c r="X670" s="10">
        <v>7.3738982195596083</v>
      </c>
      <c r="Y670" s="320">
        <v>76.520110498363294</v>
      </c>
    </row>
    <row r="671" spans="1:25" x14ac:dyDescent="0.2">
      <c r="A671" s="7">
        <v>2020</v>
      </c>
      <c r="B671" s="5" t="s">
        <v>466</v>
      </c>
      <c r="C671" s="5" t="s">
        <v>181</v>
      </c>
      <c r="D671" s="5" t="s">
        <v>478</v>
      </c>
      <c r="E671" s="5" t="s">
        <v>190</v>
      </c>
      <c r="F671" s="5" t="s">
        <v>184</v>
      </c>
      <c r="G671" s="5" t="s">
        <v>191</v>
      </c>
      <c r="H671" s="10">
        <v>4.460748932371744</v>
      </c>
      <c r="I671" s="10">
        <v>0</v>
      </c>
      <c r="J671" s="325">
        <v>4.460748932371744</v>
      </c>
      <c r="K671" s="10">
        <v>0.86872619332180157</v>
      </c>
      <c r="L671" s="10">
        <v>3.4455688205670993</v>
      </c>
      <c r="M671" s="325">
        <v>4.3142950138889011</v>
      </c>
      <c r="N671" s="10">
        <v>2.0969798660761203</v>
      </c>
      <c r="O671" s="10">
        <v>7.2728689736240959</v>
      </c>
      <c r="P671" s="10">
        <v>2.3532288842385882</v>
      </c>
      <c r="Q671" s="10">
        <v>5.1618934527661082</v>
      </c>
      <c r="R671" s="10">
        <v>4.1665342723131102</v>
      </c>
      <c r="S671" s="10">
        <v>8.8794669796512462</v>
      </c>
      <c r="T671" s="10">
        <v>14.846409065962396</v>
      </c>
      <c r="U671" s="10">
        <v>1.9826758107328575</v>
      </c>
      <c r="V671" s="325">
        <v>46.760057305364526</v>
      </c>
      <c r="W671" s="325">
        <v>55.535101251625171</v>
      </c>
      <c r="X671" s="10">
        <v>5.5333030288411118</v>
      </c>
      <c r="Y671" s="320">
        <v>61.068404280466282</v>
      </c>
    </row>
    <row r="672" spans="1:25" x14ac:dyDescent="0.2">
      <c r="A672" s="7">
        <v>2020</v>
      </c>
      <c r="B672" s="5" t="s">
        <v>466</v>
      </c>
      <c r="C672" s="5" t="s">
        <v>181</v>
      </c>
      <c r="D672" s="5" t="s">
        <v>476</v>
      </c>
      <c r="E672" s="5" t="s">
        <v>192</v>
      </c>
      <c r="F672" s="5" t="s">
        <v>184</v>
      </c>
      <c r="G672" s="5" t="s">
        <v>193</v>
      </c>
      <c r="H672" s="10">
        <v>7.6062165974611107</v>
      </c>
      <c r="I672" s="10">
        <v>0</v>
      </c>
      <c r="J672" s="325">
        <v>7.6062165974611107</v>
      </c>
      <c r="K672" s="10">
        <v>0.59973619419081181</v>
      </c>
      <c r="L672" s="10">
        <v>2.1259647665857657</v>
      </c>
      <c r="M672" s="325">
        <v>2.7257009607765776</v>
      </c>
      <c r="N672" s="10">
        <v>1.5899402367099791</v>
      </c>
      <c r="O672" s="10">
        <v>4.6222407146024409</v>
      </c>
      <c r="P672" s="10">
        <v>1.5744624500934434</v>
      </c>
      <c r="Q672" s="10">
        <v>2.376591914945585</v>
      </c>
      <c r="R672" s="10">
        <v>3.4922497929080394</v>
      </c>
      <c r="S672" s="10">
        <v>4.6157150367705997</v>
      </c>
      <c r="T672" s="10">
        <v>10.100477443452769</v>
      </c>
      <c r="U672" s="10">
        <v>1.2185713691244329</v>
      </c>
      <c r="V672" s="325">
        <v>29.59024895860729</v>
      </c>
      <c r="W672" s="325">
        <v>39.922166516844982</v>
      </c>
      <c r="X672" s="10">
        <v>4.0506218411751655</v>
      </c>
      <c r="Y672" s="320">
        <v>43.972788358020146</v>
      </c>
    </row>
    <row r="673" spans="1:25" x14ac:dyDescent="0.2">
      <c r="A673" s="7">
        <v>2020</v>
      </c>
      <c r="B673" s="5" t="s">
        <v>466</v>
      </c>
      <c r="C673" s="5" t="s">
        <v>181</v>
      </c>
      <c r="D673" s="5" t="s">
        <v>479</v>
      </c>
      <c r="E673" s="5" t="s">
        <v>194</v>
      </c>
      <c r="F673" s="5" t="s">
        <v>184</v>
      </c>
      <c r="G673" s="5" t="s">
        <v>195</v>
      </c>
      <c r="H673" s="10">
        <v>151.40859351403242</v>
      </c>
      <c r="I673" s="10">
        <v>4.3888275581245546</v>
      </c>
      <c r="J673" s="325">
        <v>155.79742107215696</v>
      </c>
      <c r="K673" s="10">
        <v>23.29349350163093</v>
      </c>
      <c r="L673" s="10">
        <v>11.339626171554738</v>
      </c>
      <c r="M673" s="325">
        <v>34.633119673185668</v>
      </c>
      <c r="N673" s="10">
        <v>14.208742332005905</v>
      </c>
      <c r="O673" s="10">
        <v>54.160312786197281</v>
      </c>
      <c r="P673" s="10">
        <v>7.5803740154471386</v>
      </c>
      <c r="Q673" s="10">
        <v>16.097585551043853</v>
      </c>
      <c r="R673" s="10">
        <v>19.263051647632299</v>
      </c>
      <c r="S673" s="10">
        <v>27.43615181252488</v>
      </c>
      <c r="T673" s="10">
        <v>26.095358353799533</v>
      </c>
      <c r="U673" s="10">
        <v>7.1058099774458121</v>
      </c>
      <c r="V673" s="325">
        <v>171.94738647609668</v>
      </c>
      <c r="W673" s="325">
        <v>362.37792722143934</v>
      </c>
      <c r="X673" s="10">
        <v>38.250710672845251</v>
      </c>
      <c r="Y673" s="320">
        <v>400.62863789428457</v>
      </c>
    </row>
    <row r="674" spans="1:25" x14ac:dyDescent="0.2">
      <c r="A674" s="7">
        <v>2020</v>
      </c>
      <c r="B674" s="5" t="s">
        <v>466</v>
      </c>
      <c r="C674" s="5" t="s">
        <v>181</v>
      </c>
      <c r="D674" s="5" t="s">
        <v>479</v>
      </c>
      <c r="E674" s="5" t="s">
        <v>196</v>
      </c>
      <c r="F674" s="5" t="s">
        <v>184</v>
      </c>
      <c r="G674" s="5" t="s">
        <v>197</v>
      </c>
      <c r="H674" s="10">
        <v>61.329838593709461</v>
      </c>
      <c r="I674" s="10">
        <v>0</v>
      </c>
      <c r="J674" s="325">
        <v>61.329838593709461</v>
      </c>
      <c r="K674" s="10">
        <v>142.31437307513286</v>
      </c>
      <c r="L674" s="10">
        <v>32.423570751625924</v>
      </c>
      <c r="M674" s="325">
        <v>174.73794382675879</v>
      </c>
      <c r="N674" s="10">
        <v>11.920199636783359</v>
      </c>
      <c r="O674" s="10">
        <v>26.41326445553555</v>
      </c>
      <c r="P674" s="10">
        <v>2.9434398390321315</v>
      </c>
      <c r="Q674" s="10">
        <v>10.292935507285332</v>
      </c>
      <c r="R674" s="10">
        <v>10.40686372819</v>
      </c>
      <c r="S674" s="10">
        <v>16.242963738387331</v>
      </c>
      <c r="T674" s="10">
        <v>12.556321943357133</v>
      </c>
      <c r="U674" s="10">
        <v>4.0604895847720144</v>
      </c>
      <c r="V674" s="325">
        <v>94.836478433342847</v>
      </c>
      <c r="W674" s="325">
        <v>330.90426085381108</v>
      </c>
      <c r="X674" s="10">
        <v>32.487874199475378</v>
      </c>
      <c r="Y674" s="320">
        <v>363.39213505328644</v>
      </c>
    </row>
    <row r="675" spans="1:25" x14ac:dyDescent="0.2">
      <c r="A675" s="7">
        <v>2020</v>
      </c>
      <c r="B675" s="5" t="s">
        <v>466</v>
      </c>
      <c r="C675" s="5" t="s">
        <v>181</v>
      </c>
      <c r="D675" s="5" t="s">
        <v>476</v>
      </c>
      <c r="E675" s="5" t="s">
        <v>198</v>
      </c>
      <c r="F675" s="5" t="s">
        <v>184</v>
      </c>
      <c r="G675" s="5" t="s">
        <v>199</v>
      </c>
      <c r="H675" s="10">
        <v>21.40148831654087</v>
      </c>
      <c r="I675" s="10">
        <v>1.8727683575804086</v>
      </c>
      <c r="J675" s="325">
        <v>23.274256674121279</v>
      </c>
      <c r="K675" s="10">
        <v>6.4968295765918986</v>
      </c>
      <c r="L675" s="10">
        <v>13.721858917833796</v>
      </c>
      <c r="M675" s="325">
        <v>20.218688494425695</v>
      </c>
      <c r="N675" s="10">
        <v>13.19959172000665</v>
      </c>
      <c r="O675" s="10">
        <v>42.33159576890769</v>
      </c>
      <c r="P675" s="10">
        <v>12.431651966017057</v>
      </c>
      <c r="Q675" s="10">
        <v>22.101332302150286</v>
      </c>
      <c r="R675" s="10">
        <v>33.062975501111843</v>
      </c>
      <c r="S675" s="10">
        <v>41.052074240450928</v>
      </c>
      <c r="T675" s="10">
        <v>76.933381837550655</v>
      </c>
      <c r="U675" s="10">
        <v>14.044866142263613</v>
      </c>
      <c r="V675" s="325">
        <v>255.15746947845872</v>
      </c>
      <c r="W675" s="325">
        <v>298.65041464700568</v>
      </c>
      <c r="X675" s="10">
        <v>29.872013614965478</v>
      </c>
      <c r="Y675" s="320">
        <v>328.52242826197113</v>
      </c>
    </row>
    <row r="676" spans="1:25" x14ac:dyDescent="0.2">
      <c r="A676" s="7">
        <v>2020</v>
      </c>
      <c r="B676" s="5" t="s">
        <v>466</v>
      </c>
      <c r="C676" s="5" t="s">
        <v>181</v>
      </c>
      <c r="D676" s="5" t="s">
        <v>476</v>
      </c>
      <c r="E676" s="5" t="s">
        <v>200</v>
      </c>
      <c r="F676" s="5" t="s">
        <v>184</v>
      </c>
      <c r="G676" s="5" t="s">
        <v>201</v>
      </c>
      <c r="H676" s="10">
        <v>3.8998957415656736</v>
      </c>
      <c r="I676" s="10">
        <v>0</v>
      </c>
      <c r="J676" s="325">
        <v>3.8998957415656736</v>
      </c>
      <c r="K676" s="10">
        <v>0.17566547166827687</v>
      </c>
      <c r="L676" s="10">
        <v>3.6323685211627725</v>
      </c>
      <c r="M676" s="325">
        <v>3.8080339928310494</v>
      </c>
      <c r="N676" s="10">
        <v>2.2099099696871147</v>
      </c>
      <c r="O676" s="10">
        <v>5.9186147636691917</v>
      </c>
      <c r="P676" s="10">
        <v>2.0701697057800494</v>
      </c>
      <c r="Q676" s="10">
        <v>4.0914588323249612</v>
      </c>
      <c r="R676" s="10">
        <v>3.308596005287554</v>
      </c>
      <c r="S676" s="10">
        <v>5.9221540968033572</v>
      </c>
      <c r="T676" s="10">
        <v>14.390872632587309</v>
      </c>
      <c r="U676" s="10">
        <v>2.1628791376044112</v>
      </c>
      <c r="V676" s="325">
        <v>40.074655143743954</v>
      </c>
      <c r="W676" s="325">
        <v>47.782584878140675</v>
      </c>
      <c r="X676" s="10">
        <v>4.7722454239756056</v>
      </c>
      <c r="Y676" s="320">
        <v>52.554830302116279</v>
      </c>
    </row>
    <row r="677" spans="1:25" x14ac:dyDescent="0.2">
      <c r="A677" s="7">
        <v>2020</v>
      </c>
      <c r="B677" s="5" t="s">
        <v>466</v>
      </c>
      <c r="C677" s="5" t="s">
        <v>181</v>
      </c>
      <c r="D677" s="5" t="s">
        <v>480</v>
      </c>
      <c r="E677" s="5" t="s">
        <v>202</v>
      </c>
      <c r="F677" s="5" t="s">
        <v>184</v>
      </c>
      <c r="G677" s="5" t="s">
        <v>203</v>
      </c>
      <c r="H677" s="10">
        <v>34.765980001181234</v>
      </c>
      <c r="I677" s="10">
        <v>0</v>
      </c>
      <c r="J677" s="325">
        <v>34.765980001181234</v>
      </c>
      <c r="K677" s="10">
        <v>4.8699870763353434</v>
      </c>
      <c r="L677" s="10">
        <v>7.9665714782437531</v>
      </c>
      <c r="M677" s="325">
        <v>12.836558554579096</v>
      </c>
      <c r="N677" s="10">
        <v>11.104055857628783</v>
      </c>
      <c r="O677" s="10">
        <v>19.745786603183557</v>
      </c>
      <c r="P677" s="10">
        <v>7.1557470080661192</v>
      </c>
      <c r="Q677" s="10">
        <v>12.538655810475795</v>
      </c>
      <c r="R677" s="10">
        <v>12.527176989462479</v>
      </c>
      <c r="S677" s="10">
        <v>21.404728374592693</v>
      </c>
      <c r="T677" s="10">
        <v>49.239492663240249</v>
      </c>
      <c r="U677" s="10">
        <v>4.8719418265865082</v>
      </c>
      <c r="V677" s="325">
        <v>138.58758513323619</v>
      </c>
      <c r="W677" s="325">
        <v>186.19012368899649</v>
      </c>
      <c r="X677" s="10">
        <v>18.948139064026567</v>
      </c>
      <c r="Y677" s="320">
        <v>205.13826275302307</v>
      </c>
    </row>
    <row r="678" spans="1:25" x14ac:dyDescent="0.2">
      <c r="A678" s="7">
        <v>2020</v>
      </c>
      <c r="B678" s="5" t="s">
        <v>466</v>
      </c>
      <c r="C678" s="5" t="s">
        <v>181</v>
      </c>
      <c r="D678" s="5" t="s">
        <v>480</v>
      </c>
      <c r="E678" s="5" t="s">
        <v>204</v>
      </c>
      <c r="F678" s="5" t="s">
        <v>184</v>
      </c>
      <c r="G678" s="5" t="s">
        <v>205</v>
      </c>
      <c r="H678" s="10">
        <v>14.394208651528956</v>
      </c>
      <c r="I678" s="10">
        <v>0</v>
      </c>
      <c r="J678" s="325">
        <v>14.394208651528956</v>
      </c>
      <c r="K678" s="10">
        <v>1.3717476481517481</v>
      </c>
      <c r="L678" s="10">
        <v>2.6508978130462499</v>
      </c>
      <c r="M678" s="325">
        <v>4.0226454611979978</v>
      </c>
      <c r="N678" s="10">
        <v>1.7840226640278096</v>
      </c>
      <c r="O678" s="10">
        <v>4.5590938430061838</v>
      </c>
      <c r="P678" s="10">
        <v>1.9425334973517594</v>
      </c>
      <c r="Q678" s="10">
        <v>3.7853809895269626</v>
      </c>
      <c r="R678" s="10">
        <v>5.7091320411044206</v>
      </c>
      <c r="S678" s="10">
        <v>6.0796231451618095</v>
      </c>
      <c r="T678" s="10">
        <v>14.506271748442078</v>
      </c>
      <c r="U678" s="10">
        <v>1.8154792351568758</v>
      </c>
      <c r="V678" s="325">
        <v>40.181537163777897</v>
      </c>
      <c r="W678" s="325">
        <v>58.598391276504849</v>
      </c>
      <c r="X678" s="10">
        <v>5.9657942618387159</v>
      </c>
      <c r="Y678" s="320">
        <v>64.564185538343565</v>
      </c>
    </row>
    <row r="679" spans="1:25" x14ac:dyDescent="0.2">
      <c r="A679" s="7">
        <v>2020</v>
      </c>
      <c r="B679" s="5" t="s">
        <v>466</v>
      </c>
      <c r="C679" s="5" t="s">
        <v>181</v>
      </c>
      <c r="D679" s="5" t="s">
        <v>479</v>
      </c>
      <c r="E679" s="5" t="s">
        <v>206</v>
      </c>
      <c r="F679" s="5" t="s">
        <v>184</v>
      </c>
      <c r="G679" s="5" t="s">
        <v>207</v>
      </c>
      <c r="H679" s="10">
        <v>3.5766988996570817</v>
      </c>
      <c r="I679" s="10">
        <v>0</v>
      </c>
      <c r="J679" s="325">
        <v>3.5766988996570817</v>
      </c>
      <c r="K679" s="10">
        <v>1.4307646663749913</v>
      </c>
      <c r="L679" s="10">
        <v>0.75038036864932056</v>
      </c>
      <c r="M679" s="325">
        <v>2.1811450350243118</v>
      </c>
      <c r="N679" s="10">
        <v>1.9997191434560517</v>
      </c>
      <c r="O679" s="10">
        <v>4.1641224599978059</v>
      </c>
      <c r="P679" s="10">
        <v>1.1524605696440493</v>
      </c>
      <c r="Q679" s="10">
        <v>1.8927047953504996</v>
      </c>
      <c r="R679" s="10">
        <v>2.4479448605144367</v>
      </c>
      <c r="S679" s="10">
        <v>3.8954809649580957</v>
      </c>
      <c r="T679" s="10">
        <v>6.6738948814052899</v>
      </c>
      <c r="U679" s="10">
        <v>1.351567352958672</v>
      </c>
      <c r="V679" s="325">
        <v>23.5778950282849</v>
      </c>
      <c r="W679" s="325">
        <v>29.335738962966293</v>
      </c>
      <c r="X679" s="10">
        <v>2.9624589243132484</v>
      </c>
      <c r="Y679" s="320">
        <v>32.298197887279542</v>
      </c>
    </row>
    <row r="680" spans="1:25" x14ac:dyDescent="0.2">
      <c r="A680" s="7">
        <v>2020</v>
      </c>
      <c r="B680" s="5" t="s">
        <v>466</v>
      </c>
      <c r="C680" s="5" t="s">
        <v>181</v>
      </c>
      <c r="D680" s="5" t="s">
        <v>479</v>
      </c>
      <c r="E680" s="5" t="s">
        <v>208</v>
      </c>
      <c r="F680" s="5" t="s">
        <v>184</v>
      </c>
      <c r="G680" s="5" t="s">
        <v>209</v>
      </c>
      <c r="H680" s="10">
        <v>70.413667711029149</v>
      </c>
      <c r="I680" s="10">
        <v>2.0375552232110725</v>
      </c>
      <c r="J680" s="325">
        <v>72.451222934240221</v>
      </c>
      <c r="K680" s="10">
        <v>405.37367251830477</v>
      </c>
      <c r="L680" s="10">
        <v>47.759771787691314</v>
      </c>
      <c r="M680" s="325">
        <v>453.13344430599608</v>
      </c>
      <c r="N680" s="10">
        <v>23.375825365487835</v>
      </c>
      <c r="O680" s="10">
        <v>51.53689481206893</v>
      </c>
      <c r="P680" s="10">
        <v>7.5623260936029801</v>
      </c>
      <c r="Q680" s="10">
        <v>17.492655543091001</v>
      </c>
      <c r="R680" s="10">
        <v>25.266853383357226</v>
      </c>
      <c r="S680" s="10">
        <v>34.246687060210036</v>
      </c>
      <c r="T680" s="10">
        <v>28.776471445411605</v>
      </c>
      <c r="U680" s="10">
        <v>7.4708815373383439</v>
      </c>
      <c r="V680" s="325">
        <v>195.72859524056796</v>
      </c>
      <c r="W680" s="325">
        <v>721.31326248080427</v>
      </c>
      <c r="X680" s="10">
        <v>69.379764240931934</v>
      </c>
      <c r="Y680" s="320">
        <v>790.69302672173626</v>
      </c>
    </row>
    <row r="681" spans="1:25" x14ac:dyDescent="0.2">
      <c r="A681" s="7">
        <v>2020</v>
      </c>
      <c r="B681" s="5" t="s">
        <v>466</v>
      </c>
      <c r="C681" s="5" t="s">
        <v>181</v>
      </c>
      <c r="D681" s="5" t="s">
        <v>479</v>
      </c>
      <c r="E681" s="5" t="s">
        <v>210</v>
      </c>
      <c r="F681" s="5" t="s">
        <v>184</v>
      </c>
      <c r="G681" s="5" t="s">
        <v>211</v>
      </c>
      <c r="H681" s="10">
        <v>236.34344879367154</v>
      </c>
      <c r="I681" s="10">
        <v>8.6755808543806587</v>
      </c>
      <c r="J681" s="325">
        <v>245.0190296480522</v>
      </c>
      <c r="K681" s="10">
        <v>153.16747517585435</v>
      </c>
      <c r="L681" s="10">
        <v>68.991295831740487</v>
      </c>
      <c r="M681" s="325">
        <v>222.15877100759485</v>
      </c>
      <c r="N681" s="10">
        <v>26.404949739633601</v>
      </c>
      <c r="O681" s="10">
        <v>79.280912742835753</v>
      </c>
      <c r="P681" s="10">
        <v>13.050629698932354</v>
      </c>
      <c r="Q681" s="10">
        <v>25.727516875424961</v>
      </c>
      <c r="R681" s="10">
        <v>30.637606853731331</v>
      </c>
      <c r="S681" s="10">
        <v>54.913837865006869</v>
      </c>
      <c r="T681" s="10">
        <v>101.18782246834354</v>
      </c>
      <c r="U681" s="10">
        <v>10.478172789263555</v>
      </c>
      <c r="V681" s="325">
        <v>341.68144903317199</v>
      </c>
      <c r="W681" s="325">
        <v>808.85924968881898</v>
      </c>
      <c r="X681" s="10">
        <v>82.636238171089985</v>
      </c>
      <c r="Y681" s="320">
        <v>891.49548785990896</v>
      </c>
    </row>
    <row r="682" spans="1:25" x14ac:dyDescent="0.2">
      <c r="A682" s="7">
        <v>2020</v>
      </c>
      <c r="B682" s="5" t="s">
        <v>466</v>
      </c>
      <c r="C682" s="5" t="s">
        <v>181</v>
      </c>
      <c r="D682" s="5" t="s">
        <v>480</v>
      </c>
      <c r="E682" s="5" t="s">
        <v>212</v>
      </c>
      <c r="F682" s="5" t="s">
        <v>184</v>
      </c>
      <c r="G682" s="5" t="s">
        <v>213</v>
      </c>
      <c r="H682" s="10">
        <v>9.0483763791713745</v>
      </c>
      <c r="I682" s="10">
        <v>0.45424894125931331</v>
      </c>
      <c r="J682" s="325">
        <v>9.5026253204306883</v>
      </c>
      <c r="K682" s="10">
        <v>4.1020038992256866</v>
      </c>
      <c r="L682" s="10">
        <v>0.33682046265435744</v>
      </c>
      <c r="M682" s="325">
        <v>4.4388243618800445</v>
      </c>
      <c r="N682" s="10">
        <v>13.21782224498156</v>
      </c>
      <c r="O682" s="10">
        <v>5.4133594939629255</v>
      </c>
      <c r="P682" s="10">
        <v>1.1531529154189748</v>
      </c>
      <c r="Q682" s="10">
        <v>3.1014784194220608</v>
      </c>
      <c r="R682" s="10">
        <v>2.9917781839136728</v>
      </c>
      <c r="S682" s="10">
        <v>12.566011084816285</v>
      </c>
      <c r="T682" s="10">
        <v>8.3540194664754353</v>
      </c>
      <c r="U682" s="10">
        <v>1.1236678768894142</v>
      </c>
      <c r="V682" s="325">
        <v>47.921289685880325</v>
      </c>
      <c r="W682" s="325">
        <v>61.862739368191058</v>
      </c>
      <c r="X682" s="10">
        <v>6.4541904995764146</v>
      </c>
      <c r="Y682" s="320">
        <v>68.31692986776747</v>
      </c>
    </row>
    <row r="683" spans="1:25" x14ac:dyDescent="0.2">
      <c r="A683" s="7">
        <v>2020</v>
      </c>
      <c r="B683" s="5" t="s">
        <v>466</v>
      </c>
      <c r="C683" s="5" t="s">
        <v>181</v>
      </c>
      <c r="D683" s="5" t="s">
        <v>478</v>
      </c>
      <c r="E683" s="5" t="s">
        <v>214</v>
      </c>
      <c r="F683" s="5" t="s">
        <v>184</v>
      </c>
      <c r="G683" s="5" t="s">
        <v>215</v>
      </c>
      <c r="H683" s="10">
        <v>11.11141691015631</v>
      </c>
      <c r="I683" s="10">
        <v>0</v>
      </c>
      <c r="J683" s="325">
        <v>11.11141691015631</v>
      </c>
      <c r="K683" s="10">
        <v>2.0464558655550724</v>
      </c>
      <c r="L683" s="10">
        <v>4.6823933035107981</v>
      </c>
      <c r="M683" s="325">
        <v>6.7288491690658709</v>
      </c>
      <c r="N683" s="10">
        <v>2.9910925006676656</v>
      </c>
      <c r="O683" s="10">
        <v>18.229616605425036</v>
      </c>
      <c r="P683" s="10">
        <v>3.8760546451693738</v>
      </c>
      <c r="Q683" s="10">
        <v>7.8866727002008501</v>
      </c>
      <c r="R683" s="10">
        <v>7.0230336924195322</v>
      </c>
      <c r="S683" s="10">
        <v>11.345990632883474</v>
      </c>
      <c r="T683" s="10">
        <v>27.590451367187974</v>
      </c>
      <c r="U683" s="10">
        <v>3.141780872713964</v>
      </c>
      <c r="V683" s="325">
        <v>82.084693016667856</v>
      </c>
      <c r="W683" s="325">
        <v>99.924959095890031</v>
      </c>
      <c r="X683" s="10">
        <v>10.040642135047351</v>
      </c>
      <c r="Y683" s="320">
        <v>109.96560123093738</v>
      </c>
    </row>
    <row r="684" spans="1:25" x14ac:dyDescent="0.2">
      <c r="A684" s="7">
        <v>2020</v>
      </c>
      <c r="B684" s="5" t="s">
        <v>466</v>
      </c>
      <c r="C684" s="5" t="s">
        <v>181</v>
      </c>
      <c r="D684" s="5" t="s">
        <v>478</v>
      </c>
      <c r="E684" s="5" t="s">
        <v>216</v>
      </c>
      <c r="F684" s="5" t="s">
        <v>184</v>
      </c>
      <c r="G684" s="5" t="s">
        <v>217</v>
      </c>
      <c r="H684" s="10">
        <v>31.043601147734886</v>
      </c>
      <c r="I684" s="10">
        <v>0.90623830749054768</v>
      </c>
      <c r="J684" s="325">
        <v>31.949839455225433</v>
      </c>
      <c r="K684" s="10">
        <v>78.420232481191817</v>
      </c>
      <c r="L684" s="10">
        <v>42.084062282663304</v>
      </c>
      <c r="M684" s="325">
        <v>120.50429476385511</v>
      </c>
      <c r="N684" s="10">
        <v>22.557419096842782</v>
      </c>
      <c r="O684" s="10">
        <v>74.587471368183856</v>
      </c>
      <c r="P684" s="10">
        <v>13.512961834838208</v>
      </c>
      <c r="Q684" s="10">
        <v>34.398318633863866</v>
      </c>
      <c r="R684" s="10">
        <v>33.765040970962723</v>
      </c>
      <c r="S684" s="10">
        <v>46.235960480623703</v>
      </c>
      <c r="T684" s="10">
        <v>70.381347617613301</v>
      </c>
      <c r="U684" s="10">
        <v>11.601050553963161</v>
      </c>
      <c r="V684" s="325">
        <v>307.03957055689159</v>
      </c>
      <c r="W684" s="325">
        <v>459.49370477597216</v>
      </c>
      <c r="X684" s="10">
        <v>45.384352984903053</v>
      </c>
      <c r="Y684" s="320">
        <v>504.87805776087521</v>
      </c>
    </row>
    <row r="685" spans="1:25" x14ac:dyDescent="0.2">
      <c r="A685" s="7">
        <v>2020</v>
      </c>
      <c r="B685" s="5" t="s">
        <v>466</v>
      </c>
      <c r="C685" s="5" t="s">
        <v>218</v>
      </c>
      <c r="D685" s="5" t="s">
        <v>481</v>
      </c>
      <c r="E685" s="5" t="s">
        <v>220</v>
      </c>
      <c r="F685" s="5" t="s">
        <v>221</v>
      </c>
      <c r="G685" s="5" t="s">
        <v>223</v>
      </c>
      <c r="H685" s="10">
        <v>7.8548134399784368</v>
      </c>
      <c r="I685" s="10">
        <v>0.93602528189705603</v>
      </c>
      <c r="J685" s="325">
        <v>8.7908387218754935</v>
      </c>
      <c r="K685" s="10">
        <v>0.35796911392114289</v>
      </c>
      <c r="L685" s="10">
        <v>1.365485503580514</v>
      </c>
      <c r="M685" s="325">
        <v>1.723454617501657</v>
      </c>
      <c r="N685" s="10">
        <v>3.2634265598826397</v>
      </c>
      <c r="O685" s="10">
        <v>1.0538761678189628</v>
      </c>
      <c r="P685" s="10">
        <v>0.44716620600372697</v>
      </c>
      <c r="Q685" s="10">
        <v>0.85548138202634738</v>
      </c>
      <c r="R685" s="10">
        <v>0.81300093558158171</v>
      </c>
      <c r="S685" s="10">
        <v>2.5768221380379743</v>
      </c>
      <c r="T685" s="10">
        <v>4.8788338784418759</v>
      </c>
      <c r="U685" s="10">
        <v>0.44229603928810074</v>
      </c>
      <c r="V685" s="325">
        <v>14.33090330708121</v>
      </c>
      <c r="W685" s="325">
        <v>24.845196646458362</v>
      </c>
      <c r="X685" s="10">
        <v>2.6553323824547928</v>
      </c>
      <c r="Y685" s="320">
        <v>27.500529028913157</v>
      </c>
    </row>
    <row r="686" spans="1:25" x14ac:dyDescent="0.2">
      <c r="A686" s="7">
        <v>2020</v>
      </c>
      <c r="B686" s="5" t="s">
        <v>466</v>
      </c>
      <c r="C686" s="5" t="s">
        <v>218</v>
      </c>
      <c r="D686" s="5" t="s">
        <v>482</v>
      </c>
      <c r="E686" s="5" t="s">
        <v>224</v>
      </c>
      <c r="F686" s="5" t="s">
        <v>221</v>
      </c>
      <c r="G686" s="5" t="s">
        <v>226</v>
      </c>
      <c r="H686" s="10">
        <v>33.470092148772409</v>
      </c>
      <c r="I686" s="10">
        <v>1.0659584206650614</v>
      </c>
      <c r="J686" s="325">
        <v>34.536050569437471</v>
      </c>
      <c r="K686" s="10">
        <v>0.69285988284770439</v>
      </c>
      <c r="L686" s="10">
        <v>5.4680518201742139</v>
      </c>
      <c r="M686" s="325">
        <v>6.1609117030219185</v>
      </c>
      <c r="N686" s="10">
        <v>6.8742558150294988</v>
      </c>
      <c r="O686" s="10">
        <v>6.0716291963968789</v>
      </c>
      <c r="P686" s="10">
        <v>2.0108663173621673</v>
      </c>
      <c r="Q686" s="10">
        <v>4.0957472678830396</v>
      </c>
      <c r="R686" s="10">
        <v>3.5075980093776424</v>
      </c>
      <c r="S686" s="10">
        <v>5.5208981307350005</v>
      </c>
      <c r="T686" s="10">
        <v>9.892984709184141</v>
      </c>
      <c r="U686" s="10">
        <v>1.6676152981752079</v>
      </c>
      <c r="V686" s="325">
        <v>39.641594744143575</v>
      </c>
      <c r="W686" s="325">
        <v>80.338557016602962</v>
      </c>
      <c r="X686" s="10">
        <v>8.5356246311808057</v>
      </c>
      <c r="Y686" s="320">
        <v>88.874181647783772</v>
      </c>
    </row>
    <row r="687" spans="1:25" x14ac:dyDescent="0.2">
      <c r="A687" s="7">
        <v>2020</v>
      </c>
      <c r="B687" s="5" t="s">
        <v>466</v>
      </c>
      <c r="C687" s="5" t="s">
        <v>218</v>
      </c>
      <c r="D687" s="5" t="s">
        <v>482</v>
      </c>
      <c r="E687" s="5" t="s">
        <v>227</v>
      </c>
      <c r="F687" s="5" t="s">
        <v>221</v>
      </c>
      <c r="G687" s="5" t="s">
        <v>228</v>
      </c>
      <c r="H687" s="10">
        <v>9.149037757380869</v>
      </c>
      <c r="I687" s="10">
        <v>0</v>
      </c>
      <c r="J687" s="325">
        <v>9.149037757380869</v>
      </c>
      <c r="K687" s="10">
        <v>1.1328021560099419</v>
      </c>
      <c r="L687" s="10">
        <v>1.6443894826293397</v>
      </c>
      <c r="M687" s="325">
        <v>2.7771916386392816</v>
      </c>
      <c r="N687" s="10">
        <v>1.113733126615551</v>
      </c>
      <c r="O687" s="10">
        <v>4.2209323330309498</v>
      </c>
      <c r="P687" s="10">
        <v>1.2156904507797164</v>
      </c>
      <c r="Q687" s="10">
        <v>2.8863294255501248</v>
      </c>
      <c r="R687" s="10">
        <v>3.2760229741466618</v>
      </c>
      <c r="S687" s="10">
        <v>5.5940958018657074</v>
      </c>
      <c r="T687" s="10">
        <v>9.3265348469028719</v>
      </c>
      <c r="U687" s="10">
        <v>1.6022314505629596</v>
      </c>
      <c r="V687" s="325">
        <v>29.235570409454546</v>
      </c>
      <c r="W687" s="325">
        <v>41.161799805474693</v>
      </c>
      <c r="X687" s="10">
        <v>4.1787296274236629</v>
      </c>
      <c r="Y687" s="320">
        <v>45.340529432898357</v>
      </c>
    </row>
    <row r="688" spans="1:25" x14ac:dyDescent="0.2">
      <c r="A688" s="7">
        <v>2020</v>
      </c>
      <c r="B688" s="5" t="s">
        <v>466</v>
      </c>
      <c r="C688" s="5" t="s">
        <v>218</v>
      </c>
      <c r="D688" s="5" t="s">
        <v>482</v>
      </c>
      <c r="E688" s="5" t="s">
        <v>229</v>
      </c>
      <c r="F688" s="5" t="s">
        <v>221</v>
      </c>
      <c r="G688" s="5" t="s">
        <v>230</v>
      </c>
      <c r="H688" s="10">
        <v>6.0951075703058066</v>
      </c>
      <c r="I688" s="10">
        <v>180.71431049689818</v>
      </c>
      <c r="J688" s="325">
        <v>186.80941806720398</v>
      </c>
      <c r="K688" s="10">
        <v>3.6858551975877742</v>
      </c>
      <c r="L688" s="10">
        <v>0.32629846368028109</v>
      </c>
      <c r="M688" s="325">
        <v>4.0121536612680551</v>
      </c>
      <c r="N688" s="10">
        <v>9.3762270309361533</v>
      </c>
      <c r="O688" s="10">
        <v>3.7169045075668663</v>
      </c>
      <c r="P688" s="10">
        <v>1.1914589112700575</v>
      </c>
      <c r="Q688" s="10">
        <v>2.2533397222636453</v>
      </c>
      <c r="R688" s="10">
        <v>3.3797144680875189</v>
      </c>
      <c r="S688" s="10">
        <v>17.536783488092027</v>
      </c>
      <c r="T688" s="10">
        <v>7.2989252432767531</v>
      </c>
      <c r="U688" s="10">
        <v>1.2688145298506741</v>
      </c>
      <c r="V688" s="325">
        <v>46.0221679013437</v>
      </c>
      <c r="W688" s="325">
        <v>236.84373962981573</v>
      </c>
      <c r="X688" s="10">
        <v>32.532474498414082</v>
      </c>
      <c r="Y688" s="320">
        <v>269.37621412822983</v>
      </c>
    </row>
    <row r="689" spans="1:25" x14ac:dyDescent="0.2">
      <c r="A689" s="7">
        <v>2020</v>
      </c>
      <c r="B689" s="5" t="s">
        <v>466</v>
      </c>
      <c r="C689" s="5" t="s">
        <v>218</v>
      </c>
      <c r="D689" s="5" t="s">
        <v>482</v>
      </c>
      <c r="E689" s="5" t="s">
        <v>231</v>
      </c>
      <c r="F689" s="5" t="s">
        <v>221</v>
      </c>
      <c r="G689" s="5" t="s">
        <v>232</v>
      </c>
      <c r="H689" s="10">
        <v>24.336936829549085</v>
      </c>
      <c r="I689" s="10">
        <v>0</v>
      </c>
      <c r="J689" s="325">
        <v>24.336936829549085</v>
      </c>
      <c r="K689" s="10">
        <v>1.9100943567875597</v>
      </c>
      <c r="L689" s="10">
        <v>3.4207288310302721</v>
      </c>
      <c r="M689" s="325">
        <v>5.330823187817832</v>
      </c>
      <c r="N689" s="10">
        <v>1.887519831177463</v>
      </c>
      <c r="O689" s="10">
        <v>6.2521797298614263</v>
      </c>
      <c r="P689" s="10">
        <v>2.3043385514424237</v>
      </c>
      <c r="Q689" s="10">
        <v>5.1652281301291385</v>
      </c>
      <c r="R689" s="10">
        <v>4.9658355197029644</v>
      </c>
      <c r="S689" s="10">
        <v>8.189628948035681</v>
      </c>
      <c r="T689" s="10">
        <v>17.445193641587387</v>
      </c>
      <c r="U689" s="10">
        <v>2.2401745301370171</v>
      </c>
      <c r="V689" s="325">
        <v>48.450098882073505</v>
      </c>
      <c r="W689" s="325">
        <v>78.117858899440421</v>
      </c>
      <c r="X689" s="10">
        <v>8.0292778265507252</v>
      </c>
      <c r="Y689" s="320">
        <v>86.147136725991146</v>
      </c>
    </row>
    <row r="690" spans="1:25" x14ac:dyDescent="0.2">
      <c r="A690" s="7">
        <v>2020</v>
      </c>
      <c r="B690" s="5" t="s">
        <v>466</v>
      </c>
      <c r="C690" s="5" t="s">
        <v>218</v>
      </c>
      <c r="D690" s="5" t="s">
        <v>481</v>
      </c>
      <c r="E690" s="5" t="s">
        <v>233</v>
      </c>
      <c r="F690" s="5" t="s">
        <v>221</v>
      </c>
      <c r="G690" s="5" t="s">
        <v>234</v>
      </c>
      <c r="H690" s="10">
        <v>25.16836775456424</v>
      </c>
      <c r="I690" s="10">
        <v>0</v>
      </c>
      <c r="J690" s="325">
        <v>25.16836775456424</v>
      </c>
      <c r="K690" s="10">
        <v>3.6827310695615227</v>
      </c>
      <c r="L690" s="10">
        <v>6.6557540664715056</v>
      </c>
      <c r="M690" s="325">
        <v>10.338485136033029</v>
      </c>
      <c r="N690" s="10">
        <v>3.8554478204169778</v>
      </c>
      <c r="O690" s="10">
        <v>17.446729776949599</v>
      </c>
      <c r="P690" s="10">
        <v>4.0258195052248933</v>
      </c>
      <c r="Q690" s="10">
        <v>8.5142772666844735</v>
      </c>
      <c r="R690" s="10">
        <v>9.4997716643418677</v>
      </c>
      <c r="S690" s="10">
        <v>14.591213771569082</v>
      </c>
      <c r="T690" s="10">
        <v>32.771399469295531</v>
      </c>
      <c r="U690" s="10">
        <v>3.9030381758426169</v>
      </c>
      <c r="V690" s="325">
        <v>94.607697450325034</v>
      </c>
      <c r="W690" s="325">
        <v>130.11455034092231</v>
      </c>
      <c r="X690" s="10">
        <v>13.190645588309357</v>
      </c>
      <c r="Y690" s="320">
        <v>143.30519592923167</v>
      </c>
    </row>
    <row r="691" spans="1:25" x14ac:dyDescent="0.2">
      <c r="A691" s="7">
        <v>2020</v>
      </c>
      <c r="B691" s="5" t="s">
        <v>466</v>
      </c>
      <c r="C691" s="5" t="s">
        <v>218</v>
      </c>
      <c r="D691" s="5" t="s">
        <v>481</v>
      </c>
      <c r="E691" s="5" t="s">
        <v>235</v>
      </c>
      <c r="F691" s="5" t="s">
        <v>221</v>
      </c>
      <c r="G691" s="5" t="s">
        <v>236</v>
      </c>
      <c r="H691" s="10">
        <v>46.459481395464245</v>
      </c>
      <c r="I691" s="10">
        <v>15.602784598159479</v>
      </c>
      <c r="J691" s="325">
        <v>62.062265993623726</v>
      </c>
      <c r="K691" s="10">
        <v>1.9878305297403451</v>
      </c>
      <c r="L691" s="10">
        <v>11.551894178323987</v>
      </c>
      <c r="M691" s="325">
        <v>13.539724708064332</v>
      </c>
      <c r="N691" s="10">
        <v>4.0156145470518636</v>
      </c>
      <c r="O691" s="10">
        <v>28.340790555957614</v>
      </c>
      <c r="P691" s="10">
        <v>6.1439303677556216</v>
      </c>
      <c r="Q691" s="10">
        <v>13.853999833917261</v>
      </c>
      <c r="R691" s="10">
        <v>10.862950806263273</v>
      </c>
      <c r="S691" s="10">
        <v>19.359555662504082</v>
      </c>
      <c r="T691" s="10">
        <v>41.078796156979536</v>
      </c>
      <c r="U691" s="10">
        <v>3.8471485235870819</v>
      </c>
      <c r="V691" s="325">
        <v>127.50278645401633</v>
      </c>
      <c r="W691" s="325">
        <v>203.1047771557044</v>
      </c>
      <c r="X691" s="10">
        <v>21.476127177983596</v>
      </c>
      <c r="Y691" s="320">
        <v>224.58090433368798</v>
      </c>
    </row>
    <row r="692" spans="1:25" x14ac:dyDescent="0.2">
      <c r="A692" s="7">
        <v>2020</v>
      </c>
      <c r="B692" s="5" t="s">
        <v>466</v>
      </c>
      <c r="C692" s="5" t="s">
        <v>218</v>
      </c>
      <c r="D692" s="5" t="s">
        <v>482</v>
      </c>
      <c r="E692" s="5" t="s">
        <v>237</v>
      </c>
      <c r="F692" s="5" t="s">
        <v>221</v>
      </c>
      <c r="G692" s="5" t="s">
        <v>238</v>
      </c>
      <c r="H692" s="10">
        <v>74.967507519974035</v>
      </c>
      <c r="I692" s="10">
        <v>0</v>
      </c>
      <c r="J692" s="325">
        <v>74.967507519974035</v>
      </c>
      <c r="K692" s="10">
        <v>6.1357512537195937</v>
      </c>
      <c r="L692" s="10">
        <v>6.0499319931216453</v>
      </c>
      <c r="M692" s="325">
        <v>12.18568324684124</v>
      </c>
      <c r="N692" s="10">
        <v>4.7147629113528309</v>
      </c>
      <c r="O692" s="10">
        <v>10.99221199075326</v>
      </c>
      <c r="P692" s="10">
        <v>4.9699191267934033</v>
      </c>
      <c r="Q692" s="10">
        <v>8.1494894882668341</v>
      </c>
      <c r="R692" s="10">
        <v>9.0790463362983154</v>
      </c>
      <c r="S692" s="10">
        <v>11.147928530255092</v>
      </c>
      <c r="T692" s="10">
        <v>17.676753756801535</v>
      </c>
      <c r="U692" s="10">
        <v>3.6444888115799197</v>
      </c>
      <c r="V692" s="325">
        <v>70.37460095210119</v>
      </c>
      <c r="W692" s="325">
        <v>157.52779171891646</v>
      </c>
      <c r="X692" s="10">
        <v>16.578686936047404</v>
      </c>
      <c r="Y692" s="320">
        <v>174.10647865496387</v>
      </c>
    </row>
    <row r="693" spans="1:25" x14ac:dyDescent="0.2">
      <c r="A693" s="7">
        <v>2020</v>
      </c>
      <c r="B693" s="5" t="s">
        <v>466</v>
      </c>
      <c r="C693" s="5" t="s">
        <v>218</v>
      </c>
      <c r="D693" s="5" t="s">
        <v>481</v>
      </c>
      <c r="E693" s="5" t="s">
        <v>239</v>
      </c>
      <c r="F693" s="5" t="s">
        <v>221</v>
      </c>
      <c r="G693" s="5" t="s">
        <v>240</v>
      </c>
      <c r="H693" s="10">
        <v>49.54932127937284</v>
      </c>
      <c r="I693" s="10">
        <v>9.8189020939683065</v>
      </c>
      <c r="J693" s="325">
        <v>59.368223373341145</v>
      </c>
      <c r="K693" s="10">
        <v>3.1109514782289858</v>
      </c>
      <c r="L693" s="10">
        <v>12.802436201314928</v>
      </c>
      <c r="M693" s="325">
        <v>15.913387679543913</v>
      </c>
      <c r="N693" s="10">
        <v>8.5756496807590583</v>
      </c>
      <c r="O693" s="10">
        <v>31.735099418205866</v>
      </c>
      <c r="P693" s="10">
        <v>7.4924000570548301</v>
      </c>
      <c r="Q693" s="10">
        <v>15.884399993574966</v>
      </c>
      <c r="R693" s="10">
        <v>10.342852485238764</v>
      </c>
      <c r="S693" s="10">
        <v>24.951867748593408</v>
      </c>
      <c r="T693" s="10">
        <v>39.349699657872641</v>
      </c>
      <c r="U693" s="10">
        <v>4.4011465903850358</v>
      </c>
      <c r="V693" s="325">
        <v>142.73311563168454</v>
      </c>
      <c r="W693" s="325">
        <v>218.01472668456961</v>
      </c>
      <c r="X693" s="10">
        <v>22.770719060662344</v>
      </c>
      <c r="Y693" s="320">
        <v>240.78544574523195</v>
      </c>
    </row>
    <row r="694" spans="1:25" x14ac:dyDescent="0.2">
      <c r="A694" s="7">
        <v>2020</v>
      </c>
      <c r="B694" s="5" t="s">
        <v>466</v>
      </c>
      <c r="C694" s="5" t="s">
        <v>218</v>
      </c>
      <c r="D694" s="5" t="s">
        <v>482</v>
      </c>
      <c r="E694" s="5" t="s">
        <v>241</v>
      </c>
      <c r="F694" s="5" t="s">
        <v>221</v>
      </c>
      <c r="G694" s="5" t="s">
        <v>242</v>
      </c>
      <c r="H694" s="10">
        <v>9.1761308425009105</v>
      </c>
      <c r="I694" s="10">
        <v>0</v>
      </c>
      <c r="J694" s="325">
        <v>9.1761308425009105</v>
      </c>
      <c r="K694" s="10">
        <v>1.999457579277421</v>
      </c>
      <c r="L694" s="10">
        <v>1.1040945062224832</v>
      </c>
      <c r="M694" s="325">
        <v>3.1035520854999041</v>
      </c>
      <c r="N694" s="10">
        <v>3.292343228141922</v>
      </c>
      <c r="O694" s="10">
        <v>6.7280770934754717</v>
      </c>
      <c r="P694" s="10">
        <v>1.2203780224445884</v>
      </c>
      <c r="Q694" s="10">
        <v>2.9321072483071231</v>
      </c>
      <c r="R694" s="10">
        <v>3.6117836603679598</v>
      </c>
      <c r="S694" s="10">
        <v>6.1524249126028643</v>
      </c>
      <c r="T694" s="10">
        <v>8.494800984387668</v>
      </c>
      <c r="U694" s="10">
        <v>2.1002631486707628</v>
      </c>
      <c r="V694" s="325">
        <v>34.532178298398357</v>
      </c>
      <c r="W694" s="325">
        <v>46.811861226399174</v>
      </c>
      <c r="X694" s="10">
        <v>4.7844737645312811</v>
      </c>
      <c r="Y694" s="320">
        <v>51.596334990930458</v>
      </c>
    </row>
    <row r="695" spans="1:25" x14ac:dyDescent="0.2">
      <c r="A695" s="7">
        <v>2020</v>
      </c>
      <c r="B695" s="5" t="s">
        <v>466</v>
      </c>
      <c r="C695" s="5" t="s">
        <v>218</v>
      </c>
      <c r="D695" s="5" t="s">
        <v>482</v>
      </c>
      <c r="E695" s="5" t="s">
        <v>243</v>
      </c>
      <c r="F695" s="5" t="s">
        <v>221</v>
      </c>
      <c r="G695" s="5" t="s">
        <v>244</v>
      </c>
      <c r="H695" s="10">
        <v>25.082363016832915</v>
      </c>
      <c r="I695" s="10">
        <v>0</v>
      </c>
      <c r="J695" s="325">
        <v>25.082363016832915</v>
      </c>
      <c r="K695" s="10">
        <v>2.7253072839648005</v>
      </c>
      <c r="L695" s="10">
        <v>4.6926190268594903</v>
      </c>
      <c r="M695" s="325">
        <v>7.4179263108242903</v>
      </c>
      <c r="N695" s="10">
        <v>5.1053999179111766</v>
      </c>
      <c r="O695" s="10">
        <v>12.356062345522883</v>
      </c>
      <c r="P695" s="10">
        <v>4.7195014144035676</v>
      </c>
      <c r="Q695" s="10">
        <v>7.1501593893869346</v>
      </c>
      <c r="R695" s="10">
        <v>8.4875352843787173</v>
      </c>
      <c r="S695" s="10">
        <v>13.020597203384259</v>
      </c>
      <c r="T695" s="10">
        <v>23.888894411446383</v>
      </c>
      <c r="U695" s="10">
        <v>3.1860532832789539</v>
      </c>
      <c r="V695" s="325">
        <v>77.91420324971287</v>
      </c>
      <c r="W695" s="325">
        <v>110.41449257737007</v>
      </c>
      <c r="X695" s="10">
        <v>11.270759877509924</v>
      </c>
      <c r="Y695" s="320">
        <v>121.68525245487999</v>
      </c>
    </row>
    <row r="696" spans="1:25" x14ac:dyDescent="0.2">
      <c r="A696" s="7">
        <v>2020</v>
      </c>
      <c r="B696" s="5" t="s">
        <v>466</v>
      </c>
      <c r="C696" s="5" t="s">
        <v>218</v>
      </c>
      <c r="D696" s="5" t="s">
        <v>482</v>
      </c>
      <c r="E696" s="5" t="s">
        <v>245</v>
      </c>
      <c r="F696" s="5" t="s">
        <v>221</v>
      </c>
      <c r="G696" s="5" t="s">
        <v>246</v>
      </c>
      <c r="H696" s="10">
        <v>16.888871181389234</v>
      </c>
      <c r="I696" s="10">
        <v>0</v>
      </c>
      <c r="J696" s="325">
        <v>16.888871181389234</v>
      </c>
      <c r="K696" s="10">
        <v>0.33656817866679345</v>
      </c>
      <c r="L696" s="10">
        <v>5.6258091010739877</v>
      </c>
      <c r="M696" s="325">
        <v>5.9623772797407808</v>
      </c>
      <c r="N696" s="10">
        <v>3.3943481075481019</v>
      </c>
      <c r="O696" s="10">
        <v>9.3672256013323718</v>
      </c>
      <c r="P696" s="10">
        <v>3.0155479861595671</v>
      </c>
      <c r="Q696" s="10">
        <v>7.2302969546219247</v>
      </c>
      <c r="R696" s="10">
        <v>5.1357895741805084</v>
      </c>
      <c r="S696" s="10">
        <v>8.9945279754149166</v>
      </c>
      <c r="T696" s="10">
        <v>20.843807744775351</v>
      </c>
      <c r="U696" s="10">
        <v>5.3515708212101076</v>
      </c>
      <c r="V696" s="325">
        <v>63.333114765242847</v>
      </c>
      <c r="W696" s="325">
        <v>86.184363226372867</v>
      </c>
      <c r="X696" s="10">
        <v>8.7379233292337979</v>
      </c>
      <c r="Y696" s="320">
        <v>94.922286555606661</v>
      </c>
    </row>
    <row r="697" spans="1:25" x14ac:dyDescent="0.2">
      <c r="A697" s="7">
        <v>2020</v>
      </c>
      <c r="B697" s="5" t="s">
        <v>466</v>
      </c>
      <c r="C697" s="5" t="s">
        <v>218</v>
      </c>
      <c r="D697" s="5" t="s">
        <v>482</v>
      </c>
      <c r="E697" s="5" t="s">
        <v>247</v>
      </c>
      <c r="F697" s="5" t="s">
        <v>221</v>
      </c>
      <c r="G697" s="5" t="s">
        <v>248</v>
      </c>
      <c r="H697" s="10">
        <v>5.5194003415996766</v>
      </c>
      <c r="I697" s="10">
        <v>0.16168785399213212</v>
      </c>
      <c r="J697" s="325">
        <v>5.6810881955918084</v>
      </c>
      <c r="K697" s="10">
        <v>0.28791966611558845</v>
      </c>
      <c r="L697" s="10">
        <v>1.8236649435013921</v>
      </c>
      <c r="M697" s="325">
        <v>2.1115846096169806</v>
      </c>
      <c r="N697" s="10">
        <v>2.2664978647031573</v>
      </c>
      <c r="O697" s="10">
        <v>4.7315672989934257</v>
      </c>
      <c r="P697" s="10">
        <v>1.2281972722783359</v>
      </c>
      <c r="Q697" s="10">
        <v>1.9390590626284328</v>
      </c>
      <c r="R697" s="10">
        <v>2.6663264574427075</v>
      </c>
      <c r="S697" s="10">
        <v>3.4317898369052573</v>
      </c>
      <c r="T697" s="10">
        <v>6.1294519743383482</v>
      </c>
      <c r="U697" s="10">
        <v>1.1142387622390519</v>
      </c>
      <c r="V697" s="325">
        <v>23.507128529528714</v>
      </c>
      <c r="W697" s="325">
        <v>31.299801334737502</v>
      </c>
      <c r="X697" s="10">
        <v>3.201871450785613</v>
      </c>
      <c r="Y697" s="320">
        <v>34.501672785523112</v>
      </c>
    </row>
    <row r="698" spans="1:25" x14ac:dyDescent="0.2">
      <c r="A698" s="7">
        <v>2020</v>
      </c>
      <c r="B698" s="5" t="s">
        <v>466</v>
      </c>
      <c r="C698" s="5" t="s">
        <v>218</v>
      </c>
      <c r="D698" s="5" t="s">
        <v>481</v>
      </c>
      <c r="E698" s="5" t="s">
        <v>249</v>
      </c>
      <c r="F698" s="5" t="s">
        <v>221</v>
      </c>
      <c r="G698" s="5" t="s">
        <v>250</v>
      </c>
      <c r="H698" s="10">
        <v>11.901708654618091</v>
      </c>
      <c r="I698" s="10">
        <v>0</v>
      </c>
      <c r="J698" s="325">
        <v>11.901708654618091</v>
      </c>
      <c r="K698" s="10">
        <v>0.62900418336838149</v>
      </c>
      <c r="L698" s="10">
        <v>3.3181323707526791</v>
      </c>
      <c r="M698" s="325">
        <v>3.9471365541210606</v>
      </c>
      <c r="N698" s="10">
        <v>1.5714277966559569</v>
      </c>
      <c r="O698" s="10">
        <v>2.8807646599476762</v>
      </c>
      <c r="P698" s="10">
        <v>2.1005878625832173</v>
      </c>
      <c r="Q698" s="10">
        <v>4.7434880332251437</v>
      </c>
      <c r="R698" s="10">
        <v>4.2610434368617938</v>
      </c>
      <c r="S698" s="10">
        <v>6.9191340674371995</v>
      </c>
      <c r="T698" s="10">
        <v>19.247442437878195</v>
      </c>
      <c r="U698" s="10">
        <v>1.5722327869164738</v>
      </c>
      <c r="V698" s="325">
        <v>43.29612108150566</v>
      </c>
      <c r="W698" s="325">
        <v>59.14496629024481</v>
      </c>
      <c r="X698" s="10">
        <v>5.9734004579792419</v>
      </c>
      <c r="Y698" s="320">
        <v>65.118366748224048</v>
      </c>
    </row>
    <row r="699" spans="1:25" x14ac:dyDescent="0.2">
      <c r="A699" s="7">
        <v>2020</v>
      </c>
      <c r="B699" s="5" t="s">
        <v>466</v>
      </c>
      <c r="C699" s="5" t="s">
        <v>218</v>
      </c>
      <c r="D699" s="5" t="s">
        <v>482</v>
      </c>
      <c r="E699" s="5" t="s">
        <v>251</v>
      </c>
      <c r="F699" s="5" t="s">
        <v>221</v>
      </c>
      <c r="G699" s="5" t="s">
        <v>252</v>
      </c>
      <c r="H699" s="10">
        <v>12.184872450801649</v>
      </c>
      <c r="I699" s="10">
        <v>0.36237524331696486</v>
      </c>
      <c r="J699" s="325">
        <v>12.547247694118614</v>
      </c>
      <c r="K699" s="10">
        <v>0.89880065383779306</v>
      </c>
      <c r="L699" s="10">
        <v>3.7128372871602191</v>
      </c>
      <c r="M699" s="325">
        <v>4.6116379409980119</v>
      </c>
      <c r="N699" s="10">
        <v>3.9912964207546939</v>
      </c>
      <c r="O699" s="10">
        <v>6.9460220911122157</v>
      </c>
      <c r="P699" s="10">
        <v>2.4139200773112814</v>
      </c>
      <c r="Q699" s="10">
        <v>5.3635268641388958</v>
      </c>
      <c r="R699" s="10">
        <v>5.2501684753806481</v>
      </c>
      <c r="S699" s="10">
        <v>6.4575431758216553</v>
      </c>
      <c r="T699" s="10">
        <v>16.242013079504023</v>
      </c>
      <c r="U699" s="10">
        <v>1.6487904024965616</v>
      </c>
      <c r="V699" s="325">
        <v>48.313280586519966</v>
      </c>
      <c r="W699" s="325">
        <v>65.472166221636584</v>
      </c>
      <c r="X699" s="10">
        <v>6.6742909146200411</v>
      </c>
      <c r="Y699" s="320">
        <v>72.146457136256629</v>
      </c>
    </row>
    <row r="700" spans="1:25" x14ac:dyDescent="0.2">
      <c r="A700" s="7">
        <v>2020</v>
      </c>
      <c r="B700" s="5" t="s">
        <v>466</v>
      </c>
      <c r="C700" s="5" t="s">
        <v>218</v>
      </c>
      <c r="D700" s="5" t="s">
        <v>482</v>
      </c>
      <c r="E700" s="5" t="s">
        <v>253</v>
      </c>
      <c r="F700" s="5" t="s">
        <v>221</v>
      </c>
      <c r="G700" s="5" t="s">
        <v>254</v>
      </c>
      <c r="H700" s="10">
        <v>13.011521665834289</v>
      </c>
      <c r="I700" s="10">
        <v>0</v>
      </c>
      <c r="J700" s="325">
        <v>13.011521665834289</v>
      </c>
      <c r="K700" s="10">
        <v>1.6403609885291865</v>
      </c>
      <c r="L700" s="10">
        <v>8.6509621395737657</v>
      </c>
      <c r="M700" s="325">
        <v>10.291323128102952</v>
      </c>
      <c r="N700" s="10">
        <v>8.7219450321104368</v>
      </c>
      <c r="O700" s="10">
        <v>41.654722524831087</v>
      </c>
      <c r="P700" s="10">
        <v>4.4350840608426134</v>
      </c>
      <c r="Q700" s="10">
        <v>9.207253038530343</v>
      </c>
      <c r="R700" s="10">
        <v>22.88066845038335</v>
      </c>
      <c r="S700" s="10">
        <v>17.12472961788713</v>
      </c>
      <c r="T700" s="10">
        <v>21.661411793779582</v>
      </c>
      <c r="U700" s="10">
        <v>4.2651489633909652</v>
      </c>
      <c r="V700" s="325">
        <v>129.95096348175551</v>
      </c>
      <c r="W700" s="325">
        <v>153.25380827569276</v>
      </c>
      <c r="X700" s="10">
        <v>15.46039320433866</v>
      </c>
      <c r="Y700" s="320">
        <v>168.71420148003142</v>
      </c>
    </row>
    <row r="701" spans="1:25" x14ac:dyDescent="0.2">
      <c r="A701" s="7">
        <v>2020</v>
      </c>
      <c r="B701" s="5" t="s">
        <v>466</v>
      </c>
      <c r="C701" s="5" t="s">
        <v>218</v>
      </c>
      <c r="D701" s="5" t="s">
        <v>482</v>
      </c>
      <c r="E701" s="5" t="s">
        <v>255</v>
      </c>
      <c r="F701" s="5" t="s">
        <v>221</v>
      </c>
      <c r="G701" s="5" t="s">
        <v>256</v>
      </c>
      <c r="H701" s="10">
        <v>18.908853139597909</v>
      </c>
      <c r="I701" s="10">
        <v>1.4295937849161022</v>
      </c>
      <c r="J701" s="325">
        <v>20.33844692451401</v>
      </c>
      <c r="K701" s="10">
        <v>3.9755204696939628</v>
      </c>
      <c r="L701" s="10">
        <v>12.15565293420514</v>
      </c>
      <c r="M701" s="325">
        <v>16.131173403899101</v>
      </c>
      <c r="N701" s="10">
        <v>12.815752717584417</v>
      </c>
      <c r="O701" s="10">
        <v>55.805769118855792</v>
      </c>
      <c r="P701" s="10">
        <v>9.1743709153842712</v>
      </c>
      <c r="Q701" s="10">
        <v>15.895453550976312</v>
      </c>
      <c r="R701" s="10">
        <v>25.014270044043986</v>
      </c>
      <c r="S701" s="10">
        <v>27.926689691331379</v>
      </c>
      <c r="T701" s="10">
        <v>57.982864922720182</v>
      </c>
      <c r="U701" s="10">
        <v>7.3310121536335533</v>
      </c>
      <c r="V701" s="325">
        <v>211.9461831145299</v>
      </c>
      <c r="W701" s="325">
        <v>248.41580344294303</v>
      </c>
      <c r="X701" s="10">
        <v>25.060671704649614</v>
      </c>
      <c r="Y701" s="320">
        <v>273.47647514759262</v>
      </c>
    </row>
    <row r="702" spans="1:25" x14ac:dyDescent="0.2">
      <c r="A702" s="7">
        <v>2020</v>
      </c>
      <c r="B702" s="5" t="s">
        <v>466</v>
      </c>
      <c r="C702" s="5" t="s">
        <v>218</v>
      </c>
      <c r="D702" s="5" t="s">
        <v>482</v>
      </c>
      <c r="E702" s="5" t="s">
        <v>257</v>
      </c>
      <c r="F702" s="5" t="s">
        <v>221</v>
      </c>
      <c r="G702" s="5" t="s">
        <v>258</v>
      </c>
      <c r="H702" s="10">
        <v>16.42115093790024</v>
      </c>
      <c r="I702" s="10">
        <v>0</v>
      </c>
      <c r="J702" s="325">
        <v>16.42115093790024</v>
      </c>
      <c r="K702" s="10">
        <v>1.9756874996151017</v>
      </c>
      <c r="L702" s="10">
        <v>7.5154090257785633</v>
      </c>
      <c r="M702" s="325">
        <v>9.4910965253936652</v>
      </c>
      <c r="N702" s="10">
        <v>11.027041259559111</v>
      </c>
      <c r="O702" s="10">
        <v>22.894701568265948</v>
      </c>
      <c r="P702" s="10">
        <v>8.2635605151760316</v>
      </c>
      <c r="Q702" s="10">
        <v>8.4995674515743804</v>
      </c>
      <c r="R702" s="10">
        <v>14.070593815223834</v>
      </c>
      <c r="S702" s="10">
        <v>17.30472653791508</v>
      </c>
      <c r="T702" s="10">
        <v>24.948304806599566</v>
      </c>
      <c r="U702" s="10">
        <v>4.5777690389438108</v>
      </c>
      <c r="V702" s="325">
        <v>111.58626499325777</v>
      </c>
      <c r="W702" s="325">
        <v>137.49851245655168</v>
      </c>
      <c r="X702" s="10">
        <v>13.92962709277402</v>
      </c>
      <c r="Y702" s="320">
        <v>151.42813954932569</v>
      </c>
    </row>
    <row r="703" spans="1:25" x14ac:dyDescent="0.2">
      <c r="A703" s="7">
        <v>2020</v>
      </c>
      <c r="B703" s="5" t="s">
        <v>466</v>
      </c>
      <c r="C703" s="5" t="s">
        <v>218</v>
      </c>
      <c r="D703" s="5" t="s">
        <v>481</v>
      </c>
      <c r="E703" s="5" t="s">
        <v>259</v>
      </c>
      <c r="F703" s="5" t="s">
        <v>221</v>
      </c>
      <c r="G703" s="5" t="s">
        <v>260</v>
      </c>
      <c r="H703" s="10">
        <v>31.414855826309793</v>
      </c>
      <c r="I703" s="10">
        <v>0</v>
      </c>
      <c r="J703" s="325">
        <v>31.414855826309793</v>
      </c>
      <c r="K703" s="10">
        <v>0.85862099949052784</v>
      </c>
      <c r="L703" s="10">
        <v>4.5693433978943938</v>
      </c>
      <c r="M703" s="325">
        <v>5.4279643973849216</v>
      </c>
      <c r="N703" s="10">
        <v>3.3553260415424688</v>
      </c>
      <c r="O703" s="10">
        <v>6.1390973534798663</v>
      </c>
      <c r="P703" s="10">
        <v>1.3959400580394379</v>
      </c>
      <c r="Q703" s="10">
        <v>3.990997232568545</v>
      </c>
      <c r="R703" s="10">
        <v>3.2397610304592876</v>
      </c>
      <c r="S703" s="10">
        <v>5.6563806163617771</v>
      </c>
      <c r="T703" s="10">
        <v>10.04212909736199</v>
      </c>
      <c r="U703" s="10">
        <v>1.7977066509089032</v>
      </c>
      <c r="V703" s="325">
        <v>35.61733808072227</v>
      </c>
      <c r="W703" s="325">
        <v>72.460158304416979</v>
      </c>
      <c r="X703" s="10">
        <v>7.6170698568723401</v>
      </c>
      <c r="Y703" s="320">
        <v>80.077228161289312</v>
      </c>
    </row>
    <row r="704" spans="1:25" x14ac:dyDescent="0.2">
      <c r="A704" s="7">
        <v>2020</v>
      </c>
      <c r="B704" s="5" t="s">
        <v>466</v>
      </c>
      <c r="C704" s="5" t="s">
        <v>261</v>
      </c>
      <c r="D704" s="5" t="s">
        <v>483</v>
      </c>
      <c r="E704" s="5" t="s">
        <v>263</v>
      </c>
      <c r="F704" s="5" t="s">
        <v>264</v>
      </c>
      <c r="G704" s="5" t="s">
        <v>265</v>
      </c>
      <c r="H704" s="10">
        <v>68.622322964409165</v>
      </c>
      <c r="I704" s="10">
        <v>2.0337344575598055</v>
      </c>
      <c r="J704" s="325">
        <v>70.656057421968967</v>
      </c>
      <c r="K704" s="10">
        <v>4.0401860343902305</v>
      </c>
      <c r="L704" s="10">
        <v>9.3043963615640308</v>
      </c>
      <c r="M704" s="325">
        <v>13.344582395954262</v>
      </c>
      <c r="N704" s="10">
        <v>4.0392638755832833</v>
      </c>
      <c r="O704" s="10">
        <v>16.804186593211572</v>
      </c>
      <c r="P704" s="10">
        <v>6.5612008509588975</v>
      </c>
      <c r="Q704" s="10">
        <v>10.956508853476116</v>
      </c>
      <c r="R704" s="10">
        <v>16.788204829274552</v>
      </c>
      <c r="S704" s="10">
        <v>15.29346421949476</v>
      </c>
      <c r="T704" s="10">
        <v>28.668250418618488</v>
      </c>
      <c r="U704" s="10">
        <v>5.3424835829005977</v>
      </c>
      <c r="V704" s="325">
        <v>104.45356322351827</v>
      </c>
      <c r="W704" s="325">
        <v>188.4542030414415</v>
      </c>
      <c r="X704" s="10">
        <v>19.598204968421356</v>
      </c>
      <c r="Y704" s="320">
        <v>208.05240800986286</v>
      </c>
    </row>
    <row r="705" spans="1:25" x14ac:dyDescent="0.2">
      <c r="A705" s="7">
        <v>2020</v>
      </c>
      <c r="B705" s="5" t="s">
        <v>466</v>
      </c>
      <c r="C705" s="5" t="s">
        <v>261</v>
      </c>
      <c r="D705" s="5" t="s">
        <v>484</v>
      </c>
      <c r="E705" s="5" t="s">
        <v>266</v>
      </c>
      <c r="F705" s="5" t="s">
        <v>264</v>
      </c>
      <c r="G705" s="5" t="s">
        <v>268</v>
      </c>
      <c r="H705" s="10">
        <v>5.8750475758512657</v>
      </c>
      <c r="I705" s="10">
        <v>0</v>
      </c>
      <c r="J705" s="325">
        <v>5.8750475758512657</v>
      </c>
      <c r="K705" s="10">
        <v>0.6386528303484047</v>
      </c>
      <c r="L705" s="10">
        <v>2.6129129212788702</v>
      </c>
      <c r="M705" s="325">
        <v>3.2515657516272749</v>
      </c>
      <c r="N705" s="10">
        <v>1.7925549770896456</v>
      </c>
      <c r="O705" s="10">
        <v>7.2800283803761499</v>
      </c>
      <c r="P705" s="10">
        <v>1.3500181684749317</v>
      </c>
      <c r="Q705" s="10">
        <v>2.6292697980552737</v>
      </c>
      <c r="R705" s="10">
        <v>5.2424540638354156</v>
      </c>
      <c r="S705" s="10">
        <v>5.1677483207345851</v>
      </c>
      <c r="T705" s="10">
        <v>10.018676628531804</v>
      </c>
      <c r="U705" s="10">
        <v>1.3017992325252739</v>
      </c>
      <c r="V705" s="325">
        <v>34.782549569623079</v>
      </c>
      <c r="W705" s="325">
        <v>43.909162897101623</v>
      </c>
      <c r="X705" s="10">
        <v>4.4252552179818521</v>
      </c>
      <c r="Y705" s="320">
        <v>48.334418115083473</v>
      </c>
    </row>
    <row r="706" spans="1:25" x14ac:dyDescent="0.2">
      <c r="A706" s="7">
        <v>2020</v>
      </c>
      <c r="B706" s="5" t="s">
        <v>466</v>
      </c>
      <c r="C706" s="5" t="s">
        <v>261</v>
      </c>
      <c r="D706" s="5" t="s">
        <v>483</v>
      </c>
      <c r="E706" s="5" t="s">
        <v>269</v>
      </c>
      <c r="F706" s="5" t="s">
        <v>264</v>
      </c>
      <c r="G706" s="5" t="s">
        <v>271</v>
      </c>
      <c r="H706" s="10">
        <v>12.700735893139647</v>
      </c>
      <c r="I706" s="10">
        <v>0</v>
      </c>
      <c r="J706" s="325">
        <v>12.700735893139647</v>
      </c>
      <c r="K706" s="10">
        <v>1.5973319417601841</v>
      </c>
      <c r="L706" s="10">
        <v>2.2165293676197133</v>
      </c>
      <c r="M706" s="325">
        <v>3.8138613093798974</v>
      </c>
      <c r="N706" s="10">
        <v>2.5028173672853016</v>
      </c>
      <c r="O706" s="10">
        <v>4.7095683494393246</v>
      </c>
      <c r="P706" s="10">
        <v>1.5211996158494159</v>
      </c>
      <c r="Q706" s="10">
        <v>4.1852442727021213</v>
      </c>
      <c r="R706" s="10">
        <v>6.6262607637504489</v>
      </c>
      <c r="S706" s="10">
        <v>5.219541513126349</v>
      </c>
      <c r="T706" s="10">
        <v>11.780999384325163</v>
      </c>
      <c r="U706" s="10">
        <v>1.2071439005386586</v>
      </c>
      <c r="V706" s="325">
        <v>37.752775167016786</v>
      </c>
      <c r="W706" s="325">
        <v>54.267372369536332</v>
      </c>
      <c r="X706" s="10">
        <v>5.5258305087982142</v>
      </c>
      <c r="Y706" s="320">
        <v>59.793202878334547</v>
      </c>
    </row>
    <row r="707" spans="1:25" x14ac:dyDescent="0.2">
      <c r="A707" s="7">
        <v>2020</v>
      </c>
      <c r="B707" s="5" t="s">
        <v>466</v>
      </c>
      <c r="C707" s="5" t="s">
        <v>261</v>
      </c>
      <c r="D707" s="5" t="s">
        <v>485</v>
      </c>
      <c r="E707" s="5" t="s">
        <v>272</v>
      </c>
      <c r="F707" s="5" t="s">
        <v>264</v>
      </c>
      <c r="G707" s="5" t="s">
        <v>273</v>
      </c>
      <c r="H707" s="10">
        <v>11.440066364826233</v>
      </c>
      <c r="I707" s="10">
        <v>0</v>
      </c>
      <c r="J707" s="325">
        <v>11.440066364826233</v>
      </c>
      <c r="K707" s="10">
        <v>8.7488136298776364</v>
      </c>
      <c r="L707" s="10">
        <v>4.3418649873172761</v>
      </c>
      <c r="M707" s="325">
        <v>13.090678617194913</v>
      </c>
      <c r="N707" s="10">
        <v>12.441058595827352</v>
      </c>
      <c r="O707" s="10">
        <v>15.372395130572805</v>
      </c>
      <c r="P707" s="10">
        <v>3.5111535667811835</v>
      </c>
      <c r="Q707" s="10">
        <v>9.8327843572936775</v>
      </c>
      <c r="R707" s="10">
        <v>17.568777949246996</v>
      </c>
      <c r="S707" s="10">
        <v>13.567562262315583</v>
      </c>
      <c r="T707" s="10">
        <v>20.070075931931395</v>
      </c>
      <c r="U707" s="10">
        <v>3.0063533766428163</v>
      </c>
      <c r="V707" s="325">
        <v>95.370161170611809</v>
      </c>
      <c r="W707" s="325">
        <v>119.90090615263296</v>
      </c>
      <c r="X707" s="10">
        <v>12.069006223538041</v>
      </c>
      <c r="Y707" s="320">
        <v>131.96991237617101</v>
      </c>
    </row>
    <row r="708" spans="1:25" x14ac:dyDescent="0.2">
      <c r="A708" s="7">
        <v>2020</v>
      </c>
      <c r="B708" s="5" t="s">
        <v>466</v>
      </c>
      <c r="C708" s="5" t="s">
        <v>261</v>
      </c>
      <c r="D708" s="5" t="s">
        <v>484</v>
      </c>
      <c r="E708" s="5" t="s">
        <v>274</v>
      </c>
      <c r="F708" s="5" t="s">
        <v>264</v>
      </c>
      <c r="G708" s="5" t="s">
        <v>275</v>
      </c>
      <c r="H708" s="10">
        <v>12.010439168821305</v>
      </c>
      <c r="I708" s="10">
        <v>0.3596441004614031</v>
      </c>
      <c r="J708" s="325">
        <v>12.370083269282709</v>
      </c>
      <c r="K708" s="10">
        <v>1.7061693910796787</v>
      </c>
      <c r="L708" s="10">
        <v>2.1516503215413518</v>
      </c>
      <c r="M708" s="325">
        <v>3.8578197126210307</v>
      </c>
      <c r="N708" s="10">
        <v>1.5546441977247847</v>
      </c>
      <c r="O708" s="10">
        <v>3.56801544145975</v>
      </c>
      <c r="P708" s="10">
        <v>0.94267929940961748</v>
      </c>
      <c r="Q708" s="10">
        <v>2.1572441358981065</v>
      </c>
      <c r="R708" s="10">
        <v>5.172579416157955</v>
      </c>
      <c r="S708" s="10">
        <v>4.8525968811324764</v>
      </c>
      <c r="T708" s="10">
        <v>6.7439727152421431</v>
      </c>
      <c r="U708" s="10">
        <v>1.1096585100020713</v>
      </c>
      <c r="V708" s="325">
        <v>26.101390597026906</v>
      </c>
      <c r="W708" s="325">
        <v>42.329293578930645</v>
      </c>
      <c r="X708" s="10">
        <v>4.3482465425177281</v>
      </c>
      <c r="Y708" s="320">
        <v>46.677540121448374</v>
      </c>
    </row>
    <row r="709" spans="1:25" x14ac:dyDescent="0.2">
      <c r="A709" s="7">
        <v>2020</v>
      </c>
      <c r="B709" s="5" t="s">
        <v>466</v>
      </c>
      <c r="C709" s="5" t="s">
        <v>261</v>
      </c>
      <c r="D709" s="5" t="s">
        <v>486</v>
      </c>
      <c r="E709" s="5" t="s">
        <v>276</v>
      </c>
      <c r="F709" s="5" t="s">
        <v>264</v>
      </c>
      <c r="G709" s="5" t="s">
        <v>277</v>
      </c>
      <c r="H709" s="10">
        <v>106.83491418416385</v>
      </c>
      <c r="I709" s="10">
        <v>0</v>
      </c>
      <c r="J709" s="325">
        <v>106.83491418416385</v>
      </c>
      <c r="K709" s="10">
        <v>24.440102486025896</v>
      </c>
      <c r="L709" s="10">
        <v>18.81724702163002</v>
      </c>
      <c r="M709" s="325">
        <v>43.257349507655917</v>
      </c>
      <c r="N709" s="10">
        <v>20.615159484870826</v>
      </c>
      <c r="O709" s="10">
        <v>107.48555162326639</v>
      </c>
      <c r="P709" s="10">
        <v>28.438973983070099</v>
      </c>
      <c r="Q709" s="10">
        <v>54.844500264859434</v>
      </c>
      <c r="R709" s="10">
        <v>74.402428672630975</v>
      </c>
      <c r="S709" s="10">
        <v>63.448801036147835</v>
      </c>
      <c r="T709" s="10">
        <v>56.899625165160764</v>
      </c>
      <c r="U709" s="10">
        <v>20.623705413591725</v>
      </c>
      <c r="V709" s="325">
        <v>426.75874564359805</v>
      </c>
      <c r="W709" s="325">
        <v>576.85100933541787</v>
      </c>
      <c r="X709" s="10">
        <v>58.350814881447178</v>
      </c>
      <c r="Y709" s="320">
        <v>635.20182421686502</v>
      </c>
    </row>
    <row r="710" spans="1:25" x14ac:dyDescent="0.2">
      <c r="A710" s="7">
        <v>2020</v>
      </c>
      <c r="B710" s="5" t="s">
        <v>466</v>
      </c>
      <c r="C710" s="5" t="s">
        <v>261</v>
      </c>
      <c r="D710" s="5" t="s">
        <v>484</v>
      </c>
      <c r="E710" s="5" t="s">
        <v>278</v>
      </c>
      <c r="F710" s="5" t="s">
        <v>264</v>
      </c>
      <c r="G710" s="5" t="s">
        <v>279</v>
      </c>
      <c r="H710" s="10">
        <v>226.06211641643222</v>
      </c>
      <c r="I710" s="10">
        <v>0</v>
      </c>
      <c r="J710" s="325">
        <v>226.06211641643222</v>
      </c>
      <c r="K710" s="10">
        <v>5.0050305218936026</v>
      </c>
      <c r="L710" s="10">
        <v>23.239704263009035</v>
      </c>
      <c r="M710" s="325">
        <v>28.244734784902636</v>
      </c>
      <c r="N710" s="10">
        <v>4.7518609415018371</v>
      </c>
      <c r="O710" s="10">
        <v>29.723373914691752</v>
      </c>
      <c r="P710" s="10">
        <v>10.603147873426529</v>
      </c>
      <c r="Q710" s="10">
        <v>10.714034900692319</v>
      </c>
      <c r="R710" s="10">
        <v>23.252820809931912</v>
      </c>
      <c r="S710" s="10">
        <v>17.410716247514085</v>
      </c>
      <c r="T710" s="10">
        <v>22.417760349072495</v>
      </c>
      <c r="U710" s="10">
        <v>5.5753797505933971</v>
      </c>
      <c r="V710" s="325">
        <v>124.44909478742433</v>
      </c>
      <c r="W710" s="325">
        <v>378.75594598875921</v>
      </c>
      <c r="X710" s="10">
        <v>40.495381523424321</v>
      </c>
      <c r="Y710" s="320">
        <v>419.25132751218354</v>
      </c>
    </row>
    <row r="711" spans="1:25" x14ac:dyDescent="0.2">
      <c r="A711" s="7">
        <v>2020</v>
      </c>
      <c r="B711" s="5" t="s">
        <v>466</v>
      </c>
      <c r="C711" s="5" t="s">
        <v>261</v>
      </c>
      <c r="D711" s="5" t="s">
        <v>486</v>
      </c>
      <c r="E711" s="5" t="s">
        <v>280</v>
      </c>
      <c r="F711" s="5" t="s">
        <v>264</v>
      </c>
      <c r="G711" s="5" t="s">
        <v>281</v>
      </c>
      <c r="H711" s="10">
        <v>53.909832178835451</v>
      </c>
      <c r="I711" s="10">
        <v>0</v>
      </c>
      <c r="J711" s="325">
        <v>53.909832178835451</v>
      </c>
      <c r="K711" s="10">
        <v>16.993548884227732</v>
      </c>
      <c r="L711" s="10">
        <v>21.53609594326802</v>
      </c>
      <c r="M711" s="325">
        <v>38.529644827495751</v>
      </c>
      <c r="N711" s="10">
        <v>31.832733084870085</v>
      </c>
      <c r="O711" s="10">
        <v>79.608243614629529</v>
      </c>
      <c r="P711" s="10">
        <v>19.036651382453304</v>
      </c>
      <c r="Q711" s="10">
        <v>34.896617859774068</v>
      </c>
      <c r="R711" s="10">
        <v>66.235545103951395</v>
      </c>
      <c r="S711" s="10">
        <v>49.254879547024487</v>
      </c>
      <c r="T711" s="10">
        <v>53.83914104860569</v>
      </c>
      <c r="U711" s="10">
        <v>11.884792889967954</v>
      </c>
      <c r="V711" s="325">
        <v>346.58860453127653</v>
      </c>
      <c r="W711" s="325">
        <v>439.02808153760776</v>
      </c>
      <c r="X711" s="10">
        <v>44.291645042352918</v>
      </c>
      <c r="Y711" s="320">
        <v>483.31972657996067</v>
      </c>
    </row>
    <row r="712" spans="1:25" x14ac:dyDescent="0.2">
      <c r="A712" s="7">
        <v>2020</v>
      </c>
      <c r="B712" s="5" t="s">
        <v>466</v>
      </c>
      <c r="C712" s="5" t="s">
        <v>261</v>
      </c>
      <c r="D712" s="5" t="s">
        <v>486</v>
      </c>
      <c r="E712" s="5" t="s">
        <v>282</v>
      </c>
      <c r="F712" s="5" t="s">
        <v>264</v>
      </c>
      <c r="G712" s="5" t="s">
        <v>284</v>
      </c>
      <c r="H712" s="10">
        <v>96.453296862350712</v>
      </c>
      <c r="I712" s="10">
        <v>0</v>
      </c>
      <c r="J712" s="325">
        <v>96.453296862350712</v>
      </c>
      <c r="K712" s="10">
        <v>24.313152403760778</v>
      </c>
      <c r="L712" s="10">
        <v>13.004951028277487</v>
      </c>
      <c r="M712" s="325">
        <v>37.318103432038264</v>
      </c>
      <c r="N712" s="10">
        <v>9.5895117301455386</v>
      </c>
      <c r="O712" s="10">
        <v>61.127236007780624</v>
      </c>
      <c r="P712" s="10">
        <v>13.503866017700386</v>
      </c>
      <c r="Q712" s="10">
        <v>22.160091304245611</v>
      </c>
      <c r="R712" s="10">
        <v>45.974458602154037</v>
      </c>
      <c r="S712" s="10">
        <v>36.497056784930926</v>
      </c>
      <c r="T712" s="10">
        <v>48.633309070699006</v>
      </c>
      <c r="U712" s="10">
        <v>8.8697313399353543</v>
      </c>
      <c r="V712" s="325">
        <v>246.35526085759147</v>
      </c>
      <c r="W712" s="325">
        <v>380.12666115198044</v>
      </c>
      <c r="X712" s="10">
        <v>38.763964636614745</v>
      </c>
      <c r="Y712" s="320">
        <v>418.89062578859517</v>
      </c>
    </row>
    <row r="713" spans="1:25" x14ac:dyDescent="0.2">
      <c r="A713" s="7">
        <v>2020</v>
      </c>
      <c r="B713" s="5" t="s">
        <v>466</v>
      </c>
      <c r="C713" s="5" t="s">
        <v>261</v>
      </c>
      <c r="D713" s="5" t="s">
        <v>484</v>
      </c>
      <c r="E713" s="5" t="s">
        <v>285</v>
      </c>
      <c r="F713" s="5" t="s">
        <v>264</v>
      </c>
      <c r="G713" s="5" t="s">
        <v>286</v>
      </c>
      <c r="H713" s="10">
        <v>11.80498961550555</v>
      </c>
      <c r="I713" s="10">
        <v>0</v>
      </c>
      <c r="J713" s="325">
        <v>11.80498961550555</v>
      </c>
      <c r="K713" s="10">
        <v>1.0944561890864097</v>
      </c>
      <c r="L713" s="10">
        <v>3.730516899640572</v>
      </c>
      <c r="M713" s="325">
        <v>4.8249730887269813</v>
      </c>
      <c r="N713" s="10">
        <v>1.9200558732893487</v>
      </c>
      <c r="O713" s="10">
        <v>6.5733533781345992</v>
      </c>
      <c r="P713" s="10">
        <v>2.3956261795935716</v>
      </c>
      <c r="Q713" s="10">
        <v>6.8606170001879203</v>
      </c>
      <c r="R713" s="10">
        <v>14.301187125310319</v>
      </c>
      <c r="S713" s="10">
        <v>9.0655675834322089</v>
      </c>
      <c r="T713" s="10">
        <v>12.264671825961249</v>
      </c>
      <c r="U713" s="10">
        <v>2.1689112529761823</v>
      </c>
      <c r="V713" s="325">
        <v>55.549990218885398</v>
      </c>
      <c r="W713" s="325">
        <v>72.179952923117924</v>
      </c>
      <c r="X713" s="10">
        <v>7.2171747999013434</v>
      </c>
      <c r="Y713" s="320">
        <v>79.397127723019267</v>
      </c>
    </row>
    <row r="714" spans="1:25" x14ac:dyDescent="0.2">
      <c r="A714" s="7">
        <v>2020</v>
      </c>
      <c r="B714" s="5" t="s">
        <v>466</v>
      </c>
      <c r="C714" s="5" t="s">
        <v>261</v>
      </c>
      <c r="D714" s="5" t="s">
        <v>486</v>
      </c>
      <c r="E714" s="5" t="s">
        <v>287</v>
      </c>
      <c r="F714" s="5" t="s">
        <v>264</v>
      </c>
      <c r="G714" s="5" t="s">
        <v>288</v>
      </c>
      <c r="H714" s="10">
        <v>68.992138633212079</v>
      </c>
      <c r="I714" s="10">
        <v>0</v>
      </c>
      <c r="J714" s="325">
        <v>68.992138633212079</v>
      </c>
      <c r="K714" s="10">
        <v>453.58299745615483</v>
      </c>
      <c r="L714" s="10">
        <v>106.50773159097274</v>
      </c>
      <c r="M714" s="325">
        <v>560.09072904712752</v>
      </c>
      <c r="N714" s="10">
        <v>41.295613103576869</v>
      </c>
      <c r="O714" s="10">
        <v>104.30433852173913</v>
      </c>
      <c r="P714" s="10">
        <v>28.362171000034426</v>
      </c>
      <c r="Q714" s="10">
        <v>35.802128583424945</v>
      </c>
      <c r="R714" s="10">
        <v>76.23766354290052</v>
      </c>
      <c r="S714" s="10">
        <v>67.777404813006896</v>
      </c>
      <c r="T714" s="10">
        <v>49.217532541378056</v>
      </c>
      <c r="U714" s="10">
        <v>14.854993214433104</v>
      </c>
      <c r="V714" s="325">
        <v>417.85184532049396</v>
      </c>
      <c r="W714" s="325">
        <v>1046.9347130008337</v>
      </c>
      <c r="X714" s="10">
        <v>100.86266253893645</v>
      </c>
      <c r="Y714" s="320">
        <v>1147.7973755397702</v>
      </c>
    </row>
    <row r="715" spans="1:25" x14ac:dyDescent="0.2">
      <c r="A715" s="7">
        <v>2020</v>
      </c>
      <c r="B715" s="5" t="s">
        <v>466</v>
      </c>
      <c r="C715" s="5" t="s">
        <v>261</v>
      </c>
      <c r="D715" s="5" t="s">
        <v>484</v>
      </c>
      <c r="E715" s="5" t="s">
        <v>289</v>
      </c>
      <c r="F715" s="5" t="s">
        <v>264</v>
      </c>
      <c r="G715" s="5" t="s">
        <v>290</v>
      </c>
      <c r="H715" s="10">
        <v>3.2942295516675193</v>
      </c>
      <c r="I715" s="10">
        <v>0</v>
      </c>
      <c r="J715" s="325">
        <v>3.2942295516675193</v>
      </c>
      <c r="K715" s="10">
        <v>6.3192683980475053</v>
      </c>
      <c r="L715" s="10">
        <v>14.260574062100398</v>
      </c>
      <c r="M715" s="325">
        <v>20.579842460147901</v>
      </c>
      <c r="N715" s="10">
        <v>30.204277619367463</v>
      </c>
      <c r="O715" s="10">
        <v>94.221073796610298</v>
      </c>
      <c r="P715" s="10">
        <v>8.6517903958326894</v>
      </c>
      <c r="Q715" s="10">
        <v>15.578659131390209</v>
      </c>
      <c r="R715" s="10">
        <v>45.33745165072564</v>
      </c>
      <c r="S715" s="10">
        <v>39.220712963046765</v>
      </c>
      <c r="T715" s="10">
        <v>42.825741584920856</v>
      </c>
      <c r="U715" s="10">
        <v>9.2883822317070859</v>
      </c>
      <c r="V715" s="325">
        <v>285.32808937360102</v>
      </c>
      <c r="W715" s="325">
        <v>309.20216138541645</v>
      </c>
      <c r="X715" s="10">
        <v>31.167237935200518</v>
      </c>
      <c r="Y715" s="320">
        <v>340.36939932061694</v>
      </c>
    </row>
    <row r="716" spans="1:25" x14ac:dyDescent="0.2">
      <c r="A716" s="7">
        <v>2020</v>
      </c>
      <c r="B716" s="5" t="s">
        <v>466</v>
      </c>
      <c r="C716" s="5" t="s">
        <v>261</v>
      </c>
      <c r="D716" s="5" t="s">
        <v>486</v>
      </c>
      <c r="E716" s="5" t="s">
        <v>291</v>
      </c>
      <c r="F716" s="5" t="s">
        <v>264</v>
      </c>
      <c r="G716" s="5" t="s">
        <v>292</v>
      </c>
      <c r="H716" s="10">
        <v>43.261594183072418</v>
      </c>
      <c r="I716" s="10">
        <v>0</v>
      </c>
      <c r="J716" s="325">
        <v>43.261594183072418</v>
      </c>
      <c r="K716" s="10">
        <v>42.992056242476565</v>
      </c>
      <c r="L716" s="10">
        <v>32.151358675259836</v>
      </c>
      <c r="M716" s="325">
        <v>75.143414917736408</v>
      </c>
      <c r="N716" s="10">
        <v>51.833874459575689</v>
      </c>
      <c r="O716" s="10">
        <v>115.884945027062</v>
      </c>
      <c r="P716" s="10">
        <v>31.683882221289938</v>
      </c>
      <c r="Q716" s="10">
        <v>83.745654883867815</v>
      </c>
      <c r="R716" s="10">
        <v>111.31611769537051</v>
      </c>
      <c r="S716" s="10">
        <v>81.881756250613364</v>
      </c>
      <c r="T716" s="10">
        <v>74.935058307029891</v>
      </c>
      <c r="U716" s="10">
        <v>23.124562164217462</v>
      </c>
      <c r="V716" s="325">
        <v>574.40585100902661</v>
      </c>
      <c r="W716" s="325">
        <v>692.8108601098354</v>
      </c>
      <c r="X716" s="10">
        <v>68.930757917964712</v>
      </c>
      <c r="Y716" s="320">
        <v>761.74161802780009</v>
      </c>
    </row>
    <row r="717" spans="1:25" x14ac:dyDescent="0.2">
      <c r="A717" s="7">
        <v>2020</v>
      </c>
      <c r="B717" s="5" t="s">
        <v>466</v>
      </c>
      <c r="C717" s="5" t="s">
        <v>261</v>
      </c>
      <c r="D717" s="5" t="s">
        <v>486</v>
      </c>
      <c r="E717" s="5" t="s">
        <v>293</v>
      </c>
      <c r="F717" s="5" t="s">
        <v>264</v>
      </c>
      <c r="G717" s="5" t="s">
        <v>295</v>
      </c>
      <c r="H717" s="10">
        <v>36.541943659600726</v>
      </c>
      <c r="I717" s="10">
        <v>0</v>
      </c>
      <c r="J717" s="325">
        <v>36.541943659600726</v>
      </c>
      <c r="K717" s="10">
        <v>22.581446046544801</v>
      </c>
      <c r="L717" s="10">
        <v>7.2016830453614817</v>
      </c>
      <c r="M717" s="325">
        <v>29.783129091906282</v>
      </c>
      <c r="N717" s="10">
        <v>21.516479233155881</v>
      </c>
      <c r="O717" s="10">
        <v>35.692399235079783</v>
      </c>
      <c r="P717" s="10">
        <v>7.0221783097515971</v>
      </c>
      <c r="Q717" s="10">
        <v>16.661125591378806</v>
      </c>
      <c r="R717" s="10">
        <v>21.790871278624373</v>
      </c>
      <c r="S717" s="10">
        <v>20.583337514117776</v>
      </c>
      <c r="T717" s="10">
        <v>22.759568089128507</v>
      </c>
      <c r="U717" s="10">
        <v>6.5452576160422229</v>
      </c>
      <c r="V717" s="325">
        <v>152.57121686727893</v>
      </c>
      <c r="W717" s="325">
        <v>218.89628961878594</v>
      </c>
      <c r="X717" s="10">
        <v>22.279190573038875</v>
      </c>
      <c r="Y717" s="320">
        <v>241.17548019182482</v>
      </c>
    </row>
    <row r="718" spans="1:25" x14ac:dyDescent="0.2">
      <c r="A718" s="7">
        <v>2020</v>
      </c>
      <c r="B718" s="5" t="s">
        <v>466</v>
      </c>
      <c r="C718" s="5" t="s">
        <v>261</v>
      </c>
      <c r="D718" s="5" t="s">
        <v>486</v>
      </c>
      <c r="E718" s="5" t="s">
        <v>296</v>
      </c>
      <c r="F718" s="5" t="s">
        <v>264</v>
      </c>
      <c r="G718" s="5" t="s">
        <v>297</v>
      </c>
      <c r="H718" s="10">
        <v>144.23261243935031</v>
      </c>
      <c r="I718" s="10">
        <v>0</v>
      </c>
      <c r="J718" s="325">
        <v>144.23261243935031</v>
      </c>
      <c r="K718" s="10">
        <v>310.68540010206777</v>
      </c>
      <c r="L718" s="10">
        <v>113.09098562897042</v>
      </c>
      <c r="M718" s="325">
        <v>423.7763857310382</v>
      </c>
      <c r="N718" s="10">
        <v>32.186147462375011</v>
      </c>
      <c r="O718" s="10">
        <v>95.898777843951407</v>
      </c>
      <c r="P718" s="10">
        <v>43.037818517962322</v>
      </c>
      <c r="Q718" s="10">
        <v>55.10701236397162</v>
      </c>
      <c r="R718" s="10">
        <v>73.749029359685494</v>
      </c>
      <c r="S718" s="10">
        <v>79.506525621941663</v>
      </c>
      <c r="T718" s="10">
        <v>87.990409598871651</v>
      </c>
      <c r="U718" s="10">
        <v>18.574415048195576</v>
      </c>
      <c r="V718" s="325">
        <v>486.05013581695476</v>
      </c>
      <c r="W718" s="325">
        <v>1054.0591339873433</v>
      </c>
      <c r="X718" s="10">
        <v>103.32640109823842</v>
      </c>
      <c r="Y718" s="320">
        <v>1157.3855350855818</v>
      </c>
    </row>
    <row r="719" spans="1:25" x14ac:dyDescent="0.2">
      <c r="A719" s="7">
        <v>2020</v>
      </c>
      <c r="B719" s="5" t="s">
        <v>466</v>
      </c>
      <c r="C719" s="5" t="s">
        <v>261</v>
      </c>
      <c r="D719" s="5" t="s">
        <v>483</v>
      </c>
      <c r="E719" s="5" t="s">
        <v>298</v>
      </c>
      <c r="F719" s="5" t="s">
        <v>264</v>
      </c>
      <c r="G719" s="5" t="s">
        <v>299</v>
      </c>
      <c r="H719" s="10">
        <v>15.652135877942381</v>
      </c>
      <c r="I719" s="10">
        <v>0</v>
      </c>
      <c r="J719" s="325">
        <v>15.652135877942381</v>
      </c>
      <c r="K719" s="10">
        <v>5.8419747409449823</v>
      </c>
      <c r="L719" s="10">
        <v>3.7284025053623955</v>
      </c>
      <c r="M719" s="325">
        <v>9.5703772463073769</v>
      </c>
      <c r="N719" s="10">
        <v>8.3982544442952847</v>
      </c>
      <c r="O719" s="10">
        <v>3.2631432985139122</v>
      </c>
      <c r="P719" s="10">
        <v>1.621458723841948</v>
      </c>
      <c r="Q719" s="10">
        <v>3.6748965483699663</v>
      </c>
      <c r="R719" s="10">
        <v>5.4622971977992023</v>
      </c>
      <c r="S719" s="10">
        <v>19.312454604536253</v>
      </c>
      <c r="T719" s="10">
        <v>10.446090652907857</v>
      </c>
      <c r="U719" s="10">
        <v>1.274933287432696</v>
      </c>
      <c r="V719" s="325">
        <v>53.453528757697121</v>
      </c>
      <c r="W719" s="325">
        <v>78.676041881946887</v>
      </c>
      <c r="X719" s="10">
        <v>8.0248824197024291</v>
      </c>
      <c r="Y719" s="320">
        <v>86.700924301649309</v>
      </c>
    </row>
    <row r="720" spans="1:25" x14ac:dyDescent="0.2">
      <c r="A720" s="7">
        <v>2020</v>
      </c>
      <c r="B720" s="5" t="s">
        <v>466</v>
      </c>
      <c r="C720" s="5" t="s">
        <v>261</v>
      </c>
      <c r="D720" s="5" t="s">
        <v>486</v>
      </c>
      <c r="E720" s="5" t="s">
        <v>300</v>
      </c>
      <c r="F720" s="5" t="s">
        <v>264</v>
      </c>
      <c r="G720" s="5" t="s">
        <v>301</v>
      </c>
      <c r="H720" s="10">
        <v>36.255806750532891</v>
      </c>
      <c r="I720" s="10">
        <v>0</v>
      </c>
      <c r="J720" s="325">
        <v>36.255806750532891</v>
      </c>
      <c r="K720" s="10">
        <v>1195.0411446073874</v>
      </c>
      <c r="L720" s="10">
        <v>348.2655938798033</v>
      </c>
      <c r="M720" s="325">
        <v>1543.3067384871906</v>
      </c>
      <c r="N720" s="10">
        <v>133.24059078033559</v>
      </c>
      <c r="O720" s="10">
        <v>414.99556663834238</v>
      </c>
      <c r="P720" s="10">
        <v>61.828103112226259</v>
      </c>
      <c r="Q720" s="10">
        <v>109.56530909052469</v>
      </c>
      <c r="R720" s="10">
        <v>199.92812614485595</v>
      </c>
      <c r="S720" s="10">
        <v>206.02985496426825</v>
      </c>
      <c r="T720" s="10">
        <v>291.69216714200797</v>
      </c>
      <c r="U720" s="10">
        <v>38.460729223846457</v>
      </c>
      <c r="V720" s="325">
        <v>1455.7404470964077</v>
      </c>
      <c r="W720" s="325">
        <v>3035.3029923341314</v>
      </c>
      <c r="X720" s="10">
        <v>291.76986143947386</v>
      </c>
      <c r="Y720" s="320">
        <v>3327.0728537736054</v>
      </c>
    </row>
    <row r="721" spans="1:25" x14ac:dyDescent="0.2">
      <c r="A721" s="7">
        <v>2020</v>
      </c>
      <c r="B721" s="5" t="s">
        <v>466</v>
      </c>
      <c r="C721" s="5" t="s">
        <v>261</v>
      </c>
      <c r="D721" s="5" t="s">
        <v>484</v>
      </c>
      <c r="E721" s="5" t="s">
        <v>302</v>
      </c>
      <c r="F721" s="5" t="s">
        <v>264</v>
      </c>
      <c r="G721" s="5" t="s">
        <v>303</v>
      </c>
      <c r="H721" s="10">
        <v>12.433447301680765</v>
      </c>
      <c r="I721" s="10">
        <v>0.36029864754694557</v>
      </c>
      <c r="J721" s="325">
        <v>12.793745949227711</v>
      </c>
      <c r="K721" s="10">
        <v>4.7129496618551094</v>
      </c>
      <c r="L721" s="10">
        <v>42.053393349413057</v>
      </c>
      <c r="M721" s="325">
        <v>46.766343011268162</v>
      </c>
      <c r="N721" s="10">
        <v>85.110407911040767</v>
      </c>
      <c r="O721" s="10">
        <v>106.36122328497342</v>
      </c>
      <c r="P721" s="10">
        <v>30.129445057914413</v>
      </c>
      <c r="Q721" s="10">
        <v>63.456376519804301</v>
      </c>
      <c r="R721" s="10">
        <v>104.51607952296791</v>
      </c>
      <c r="S721" s="10">
        <v>79.9393927546176</v>
      </c>
      <c r="T721" s="10">
        <v>156.40255061608019</v>
      </c>
      <c r="U721" s="10">
        <v>26.663698878049576</v>
      </c>
      <c r="V721" s="325">
        <v>652.57917454544815</v>
      </c>
      <c r="W721" s="325">
        <v>712.13926350594409</v>
      </c>
      <c r="X721" s="10">
        <v>71.389893557459956</v>
      </c>
      <c r="Y721" s="320">
        <v>783.529157063404</v>
      </c>
    </row>
    <row r="722" spans="1:25" x14ac:dyDescent="0.2">
      <c r="A722" s="7">
        <v>2020</v>
      </c>
      <c r="B722" s="5" t="s">
        <v>466</v>
      </c>
      <c r="C722" s="5" t="s">
        <v>261</v>
      </c>
      <c r="D722" s="5" t="s">
        <v>485</v>
      </c>
      <c r="E722" s="5" t="s">
        <v>304</v>
      </c>
      <c r="F722" s="5" t="s">
        <v>264</v>
      </c>
      <c r="G722" s="5" t="s">
        <v>305</v>
      </c>
      <c r="H722" s="10">
        <v>4.2229352351999871</v>
      </c>
      <c r="I722" s="10">
        <v>0</v>
      </c>
      <c r="J722" s="325">
        <v>4.2229352351999871</v>
      </c>
      <c r="K722" s="10">
        <v>1.0609857498145887</v>
      </c>
      <c r="L722" s="10">
        <v>2.8591849079921907</v>
      </c>
      <c r="M722" s="325">
        <v>3.9201706578067794</v>
      </c>
      <c r="N722" s="10">
        <v>3.0576708938915256</v>
      </c>
      <c r="O722" s="10">
        <v>9.4835380488210106</v>
      </c>
      <c r="P722" s="10">
        <v>2.6833682693026657</v>
      </c>
      <c r="Q722" s="10">
        <v>4.433638341637562</v>
      </c>
      <c r="R722" s="10">
        <v>7.1887381061735187</v>
      </c>
      <c r="S722" s="10">
        <v>7.3159349778217599</v>
      </c>
      <c r="T722" s="10">
        <v>13.363318087996545</v>
      </c>
      <c r="U722" s="10">
        <v>1.7101978765710821</v>
      </c>
      <c r="V722" s="325">
        <v>49.236404602215671</v>
      </c>
      <c r="W722" s="325">
        <v>57.379510495222434</v>
      </c>
      <c r="X722" s="10">
        <v>5.7385163764860732</v>
      </c>
      <c r="Y722" s="320">
        <v>63.118026871708508</v>
      </c>
    </row>
    <row r="723" spans="1:25" x14ac:dyDescent="0.2">
      <c r="A723" s="7">
        <v>2020</v>
      </c>
      <c r="B723" s="5" t="s">
        <v>466</v>
      </c>
      <c r="C723" s="5" t="s">
        <v>261</v>
      </c>
      <c r="D723" s="5" t="s">
        <v>485</v>
      </c>
      <c r="E723" s="5" t="s">
        <v>306</v>
      </c>
      <c r="F723" s="5" t="s">
        <v>264</v>
      </c>
      <c r="G723" s="5" t="s">
        <v>307</v>
      </c>
      <c r="H723" s="10">
        <v>4.707508397929983</v>
      </c>
      <c r="I723" s="10">
        <v>0.17028324883890014</v>
      </c>
      <c r="J723" s="325">
        <v>4.8777916467688831</v>
      </c>
      <c r="K723" s="10">
        <v>2.1556464771418939</v>
      </c>
      <c r="L723" s="10">
        <v>5.6999455247171316</v>
      </c>
      <c r="M723" s="325">
        <v>7.8555920018590255</v>
      </c>
      <c r="N723" s="10">
        <v>5.3444082540135414</v>
      </c>
      <c r="O723" s="10">
        <v>16.478521668461653</v>
      </c>
      <c r="P723" s="10">
        <v>5.2477503200485938</v>
      </c>
      <c r="Q723" s="10">
        <v>7.422490213556415</v>
      </c>
      <c r="R723" s="10">
        <v>9.5673439189175333</v>
      </c>
      <c r="S723" s="10">
        <v>11.033359995448</v>
      </c>
      <c r="T723" s="10">
        <v>22.459477435391694</v>
      </c>
      <c r="U723" s="10">
        <v>2.783186443071433</v>
      </c>
      <c r="V723" s="325">
        <v>80.336538248908866</v>
      </c>
      <c r="W723" s="325">
        <v>93.069921897536773</v>
      </c>
      <c r="X723" s="10">
        <v>9.2956413631774986</v>
      </c>
      <c r="Y723" s="320">
        <v>102.36556326071427</v>
      </c>
    </row>
    <row r="724" spans="1:25" x14ac:dyDescent="0.2">
      <c r="A724" s="7">
        <v>2020</v>
      </c>
      <c r="B724" s="5" t="s">
        <v>466</v>
      </c>
      <c r="C724" s="5" t="s">
        <v>261</v>
      </c>
      <c r="D724" s="5" t="s">
        <v>484</v>
      </c>
      <c r="E724" s="5" t="s">
        <v>308</v>
      </c>
      <c r="F724" s="5" t="s">
        <v>264</v>
      </c>
      <c r="G724" s="5" t="s">
        <v>309</v>
      </c>
      <c r="H724" s="10">
        <v>10.194542340402153</v>
      </c>
      <c r="I724" s="10">
        <v>0</v>
      </c>
      <c r="J724" s="325">
        <v>10.194542340402153</v>
      </c>
      <c r="K724" s="10">
        <v>3.2708860190527549</v>
      </c>
      <c r="L724" s="10">
        <v>10.040783936498523</v>
      </c>
      <c r="M724" s="325">
        <v>13.311669955551277</v>
      </c>
      <c r="N724" s="10">
        <v>8.4340062668181091</v>
      </c>
      <c r="O724" s="10">
        <v>32.792518085334891</v>
      </c>
      <c r="P724" s="10">
        <v>6.7869977463028661</v>
      </c>
      <c r="Q724" s="10">
        <v>13.507374598879966</v>
      </c>
      <c r="R724" s="10">
        <v>28.221201993753052</v>
      </c>
      <c r="S724" s="10">
        <v>21.290090028572454</v>
      </c>
      <c r="T724" s="10">
        <v>36.969555963669585</v>
      </c>
      <c r="U724" s="10">
        <v>6.988976401067081</v>
      </c>
      <c r="V724" s="325">
        <v>154.99072108439799</v>
      </c>
      <c r="W724" s="325">
        <v>178.49693338035144</v>
      </c>
      <c r="X724" s="10">
        <v>17.775401559522809</v>
      </c>
      <c r="Y724" s="320">
        <v>196.27233493987424</v>
      </c>
    </row>
    <row r="725" spans="1:25" x14ac:dyDescent="0.2">
      <c r="A725" s="7">
        <v>2020</v>
      </c>
      <c r="B725" s="5" t="s">
        <v>466</v>
      </c>
      <c r="C725" s="5" t="s">
        <v>261</v>
      </c>
      <c r="D725" s="5" t="s">
        <v>486</v>
      </c>
      <c r="E725" s="5" t="s">
        <v>310</v>
      </c>
      <c r="F725" s="5" t="s">
        <v>264</v>
      </c>
      <c r="G725" s="5" t="s">
        <v>311</v>
      </c>
      <c r="H725" s="10">
        <v>77.058372742834806</v>
      </c>
      <c r="I725" s="10">
        <v>2.3005547742044863</v>
      </c>
      <c r="J725" s="325">
        <v>79.358927517039291</v>
      </c>
      <c r="K725" s="10">
        <v>4.286894931485957</v>
      </c>
      <c r="L725" s="10">
        <v>10.521793570245984</v>
      </c>
      <c r="M725" s="325">
        <v>14.808688501731941</v>
      </c>
      <c r="N725" s="10">
        <v>4.9681601317727022</v>
      </c>
      <c r="O725" s="10">
        <v>23.751413577238782</v>
      </c>
      <c r="P725" s="10">
        <v>4.9824338407981594</v>
      </c>
      <c r="Q725" s="10">
        <v>12.899826380246976</v>
      </c>
      <c r="R725" s="10">
        <v>24.008514108859369</v>
      </c>
      <c r="S725" s="10">
        <v>15.856942213101885</v>
      </c>
      <c r="T725" s="10">
        <v>29.603683784884701</v>
      </c>
      <c r="U725" s="10">
        <v>5.5332063980121768</v>
      </c>
      <c r="V725" s="325">
        <v>121.60418043491477</v>
      </c>
      <c r="W725" s="325">
        <v>215.77179645368599</v>
      </c>
      <c r="X725" s="10">
        <v>22.436998038260558</v>
      </c>
      <c r="Y725" s="320">
        <v>238.20879449194655</v>
      </c>
    </row>
    <row r="726" spans="1:25" x14ac:dyDescent="0.2">
      <c r="A726" s="7">
        <v>2020</v>
      </c>
      <c r="B726" s="5" t="s">
        <v>466</v>
      </c>
      <c r="C726" s="5" t="s">
        <v>261</v>
      </c>
      <c r="D726" s="5" t="s">
        <v>483</v>
      </c>
      <c r="E726" s="5" t="s">
        <v>312</v>
      </c>
      <c r="F726" s="5" t="s">
        <v>264</v>
      </c>
      <c r="G726" s="5" t="s">
        <v>313</v>
      </c>
      <c r="H726" s="10">
        <v>216.72829562519286</v>
      </c>
      <c r="I726" s="10">
        <v>14.589262626990585</v>
      </c>
      <c r="J726" s="325">
        <v>231.31755825218343</v>
      </c>
      <c r="K726" s="10">
        <v>237.76580621059378</v>
      </c>
      <c r="L726" s="10">
        <v>18.339873812680889</v>
      </c>
      <c r="M726" s="325">
        <v>256.10568002327466</v>
      </c>
      <c r="N726" s="10">
        <v>51.266538152482369</v>
      </c>
      <c r="O726" s="10">
        <v>32.854752986475411</v>
      </c>
      <c r="P726" s="10">
        <v>10.327790923025331</v>
      </c>
      <c r="Q726" s="10">
        <v>18.881782291704006</v>
      </c>
      <c r="R726" s="10">
        <v>25.413942159485398</v>
      </c>
      <c r="S726" s="10">
        <v>58.377044914223447</v>
      </c>
      <c r="T726" s="10">
        <v>45.726348818742593</v>
      </c>
      <c r="U726" s="10">
        <v>6.298805871590381</v>
      </c>
      <c r="V726" s="325">
        <v>249.14700611772898</v>
      </c>
      <c r="W726" s="325">
        <v>736.57024439318707</v>
      </c>
      <c r="X726" s="10">
        <v>75.457843235464679</v>
      </c>
      <c r="Y726" s="320">
        <v>812.02808762865175</v>
      </c>
    </row>
    <row r="727" spans="1:25" x14ac:dyDescent="0.2">
      <c r="A727" s="7">
        <v>2020</v>
      </c>
      <c r="B727" s="5" t="s">
        <v>466</v>
      </c>
      <c r="C727" s="5" t="s">
        <v>314</v>
      </c>
      <c r="D727" s="5" t="s">
        <v>487</v>
      </c>
      <c r="E727" s="5" t="s">
        <v>316</v>
      </c>
      <c r="F727" s="5" t="s">
        <v>317</v>
      </c>
      <c r="G727" s="5" t="s">
        <v>318</v>
      </c>
      <c r="H727" s="10">
        <v>31.674357859086626</v>
      </c>
      <c r="I727" s="10">
        <v>1.1520970251240963</v>
      </c>
      <c r="J727" s="325">
        <v>32.826454884210726</v>
      </c>
      <c r="K727" s="10">
        <v>166.50353360602927</v>
      </c>
      <c r="L727" s="10">
        <v>41.383563641070111</v>
      </c>
      <c r="M727" s="325">
        <v>207.88709724709938</v>
      </c>
      <c r="N727" s="10">
        <v>22.406141767858959</v>
      </c>
      <c r="O727" s="10">
        <v>43.527474394013893</v>
      </c>
      <c r="P727" s="10">
        <v>8.0801898426803618</v>
      </c>
      <c r="Q727" s="10">
        <v>16.774301649984878</v>
      </c>
      <c r="R727" s="10">
        <v>23.967425907105511</v>
      </c>
      <c r="S727" s="10">
        <v>36.027940487500892</v>
      </c>
      <c r="T727" s="10">
        <v>39.217251773321188</v>
      </c>
      <c r="U727" s="10">
        <v>9.5578248583198526</v>
      </c>
      <c r="V727" s="325">
        <v>199.55855068078552</v>
      </c>
      <c r="W727" s="325">
        <v>440.27210281209562</v>
      </c>
      <c r="X727" s="10">
        <v>42.828656555364304</v>
      </c>
      <c r="Y727" s="320">
        <v>483.10075936745994</v>
      </c>
    </row>
    <row r="728" spans="1:25" x14ac:dyDescent="0.2">
      <c r="A728" s="7">
        <v>2020</v>
      </c>
      <c r="B728" s="5" t="s">
        <v>466</v>
      </c>
      <c r="C728" s="5" t="s">
        <v>314</v>
      </c>
      <c r="D728" s="5" t="s">
        <v>488</v>
      </c>
      <c r="E728" s="5" t="s">
        <v>319</v>
      </c>
      <c r="F728" s="5" t="s">
        <v>317</v>
      </c>
      <c r="G728" s="5" t="s">
        <v>321</v>
      </c>
      <c r="H728" s="10">
        <v>100.36498023254326</v>
      </c>
      <c r="I728" s="10">
        <v>21.807889836725384</v>
      </c>
      <c r="J728" s="325">
        <v>122.17287006926864</v>
      </c>
      <c r="K728" s="10">
        <v>60.480999756159548</v>
      </c>
      <c r="L728" s="10">
        <v>46.48430763835276</v>
      </c>
      <c r="M728" s="325">
        <v>106.96530739451231</v>
      </c>
      <c r="N728" s="10">
        <v>16.963371084167441</v>
      </c>
      <c r="O728" s="10">
        <v>65.660569313595914</v>
      </c>
      <c r="P728" s="10">
        <v>15.833470927453567</v>
      </c>
      <c r="Q728" s="10">
        <v>30.074336072629585</v>
      </c>
      <c r="R728" s="10">
        <v>31.728745355222838</v>
      </c>
      <c r="S728" s="10">
        <v>42.439877458488361</v>
      </c>
      <c r="T728" s="10">
        <v>71.411795944337939</v>
      </c>
      <c r="U728" s="10">
        <v>11.744926578246341</v>
      </c>
      <c r="V728" s="325">
        <v>285.85709273414199</v>
      </c>
      <c r="W728" s="325">
        <v>514.99527019792299</v>
      </c>
      <c r="X728" s="10">
        <v>52.88258815085193</v>
      </c>
      <c r="Y728" s="320">
        <v>567.87785834877491</v>
      </c>
    </row>
    <row r="729" spans="1:25" x14ac:dyDescent="0.2">
      <c r="A729" s="7">
        <v>2020</v>
      </c>
      <c r="B729" s="5" t="s">
        <v>466</v>
      </c>
      <c r="C729" s="5" t="s">
        <v>314</v>
      </c>
      <c r="D729" s="5" t="s">
        <v>487</v>
      </c>
      <c r="E729" s="5" t="s">
        <v>322</v>
      </c>
      <c r="F729" s="5" t="s">
        <v>317</v>
      </c>
      <c r="G729" s="5" t="s">
        <v>323</v>
      </c>
      <c r="H729" s="10">
        <v>14.938160110588251</v>
      </c>
      <c r="I729" s="10">
        <v>0.77421452411245306</v>
      </c>
      <c r="J729" s="325">
        <v>15.712374634700705</v>
      </c>
      <c r="K729" s="10">
        <v>3.1453312067240575</v>
      </c>
      <c r="L729" s="10">
        <v>0.88912238162106649</v>
      </c>
      <c r="M729" s="325">
        <v>4.0344535883451238</v>
      </c>
      <c r="N729" s="10">
        <v>7.1881453689838821</v>
      </c>
      <c r="O729" s="10">
        <v>5.8263437138522969</v>
      </c>
      <c r="P729" s="10">
        <v>1.4648313492294576</v>
      </c>
      <c r="Q729" s="10">
        <v>3.1014176235784094</v>
      </c>
      <c r="R729" s="10">
        <v>3.5392465647439808</v>
      </c>
      <c r="S729" s="10">
        <v>6.1832553028625918</v>
      </c>
      <c r="T729" s="10">
        <v>6.3662224312460536</v>
      </c>
      <c r="U729" s="10">
        <v>1.5906462886387713</v>
      </c>
      <c r="V729" s="325">
        <v>35.260108643135439</v>
      </c>
      <c r="W729" s="325">
        <v>55.006936866181263</v>
      </c>
      <c r="X729" s="10">
        <v>5.7746731470353048</v>
      </c>
      <c r="Y729" s="320">
        <v>60.781610013216564</v>
      </c>
    </row>
    <row r="730" spans="1:25" x14ac:dyDescent="0.2">
      <c r="A730" s="7">
        <v>2020</v>
      </c>
      <c r="B730" s="5" t="s">
        <v>466</v>
      </c>
      <c r="C730" s="5" t="s">
        <v>314</v>
      </c>
      <c r="D730" s="5" t="s">
        <v>488</v>
      </c>
      <c r="E730" s="5" t="s">
        <v>324</v>
      </c>
      <c r="F730" s="5" t="s">
        <v>317</v>
      </c>
      <c r="G730" s="5" t="s">
        <v>325</v>
      </c>
      <c r="H730" s="10">
        <v>57.633672738454997</v>
      </c>
      <c r="I730" s="10">
        <v>0</v>
      </c>
      <c r="J730" s="325">
        <v>57.633672738454997</v>
      </c>
      <c r="K730" s="10">
        <v>7.4915202620365413</v>
      </c>
      <c r="L730" s="10">
        <v>1.9113773743922673</v>
      </c>
      <c r="M730" s="325">
        <v>9.4028976364288077</v>
      </c>
      <c r="N730" s="10">
        <v>2.8859472324120956</v>
      </c>
      <c r="O730" s="10">
        <v>11.53853370874587</v>
      </c>
      <c r="P730" s="10">
        <v>3.4011535040503347</v>
      </c>
      <c r="Q730" s="10">
        <v>6.8414790901542277</v>
      </c>
      <c r="R730" s="10">
        <v>6.8983407401744694</v>
      </c>
      <c r="S730" s="10">
        <v>9.6605491597542841</v>
      </c>
      <c r="T730" s="10">
        <v>18.685331539103707</v>
      </c>
      <c r="U730" s="10">
        <v>2.7790416514376428</v>
      </c>
      <c r="V730" s="325">
        <v>62.690376625832634</v>
      </c>
      <c r="W730" s="325">
        <v>129.72694700071645</v>
      </c>
      <c r="X730" s="10">
        <v>13.596007745189517</v>
      </c>
      <c r="Y730" s="320">
        <v>143.32295474590597</v>
      </c>
    </row>
    <row r="731" spans="1:25" x14ac:dyDescent="0.2">
      <c r="A731" s="7">
        <v>2020</v>
      </c>
      <c r="B731" s="5" t="s">
        <v>466</v>
      </c>
      <c r="C731" s="5" t="s">
        <v>314</v>
      </c>
      <c r="D731" s="5" t="s">
        <v>489</v>
      </c>
      <c r="E731" s="5" t="s">
        <v>326</v>
      </c>
      <c r="F731" s="5" t="s">
        <v>317</v>
      </c>
      <c r="G731" s="5" t="s">
        <v>327</v>
      </c>
      <c r="H731" s="10">
        <v>83.818849866014844</v>
      </c>
      <c r="I731" s="10">
        <v>0</v>
      </c>
      <c r="J731" s="325">
        <v>83.818849866014844</v>
      </c>
      <c r="K731" s="10">
        <v>6.9128417935409354</v>
      </c>
      <c r="L731" s="10">
        <v>6.0724139233768737</v>
      </c>
      <c r="M731" s="325">
        <v>12.985255716917809</v>
      </c>
      <c r="N731" s="10">
        <v>3.8084036154767986</v>
      </c>
      <c r="O731" s="10">
        <v>18.260044229976394</v>
      </c>
      <c r="P731" s="10">
        <v>4.6297474395859775</v>
      </c>
      <c r="Q731" s="10">
        <v>10.067589948079974</v>
      </c>
      <c r="R731" s="10">
        <v>9.5472608049326499</v>
      </c>
      <c r="S731" s="10">
        <v>12.706976152835265</v>
      </c>
      <c r="T731" s="10">
        <v>26.216620536268039</v>
      </c>
      <c r="U731" s="10">
        <v>3.5893271592898262</v>
      </c>
      <c r="V731" s="325">
        <v>88.825969886444923</v>
      </c>
      <c r="W731" s="325">
        <v>185.63007546937757</v>
      </c>
      <c r="X731" s="10">
        <v>19.487607572311568</v>
      </c>
      <c r="Y731" s="320">
        <v>205.11768304168913</v>
      </c>
    </row>
    <row r="732" spans="1:25" x14ac:dyDescent="0.2">
      <c r="A732" s="7">
        <v>2020</v>
      </c>
      <c r="B732" s="5" t="s">
        <v>466</v>
      </c>
      <c r="C732" s="5" t="s">
        <v>314</v>
      </c>
      <c r="D732" s="5" t="s">
        <v>490</v>
      </c>
      <c r="E732" s="5" t="s">
        <v>328</v>
      </c>
      <c r="F732" s="5" t="s">
        <v>317</v>
      </c>
      <c r="G732" s="5" t="s">
        <v>330</v>
      </c>
      <c r="H732" s="10">
        <v>11.736693658661865</v>
      </c>
      <c r="I732" s="10">
        <v>0</v>
      </c>
      <c r="J732" s="325">
        <v>11.736693658661865</v>
      </c>
      <c r="K732" s="10">
        <v>1.7285127843533448</v>
      </c>
      <c r="L732" s="10">
        <v>1.701994341972157</v>
      </c>
      <c r="M732" s="325">
        <v>3.4305071263255016</v>
      </c>
      <c r="N732" s="10">
        <v>1.4805927471789411</v>
      </c>
      <c r="O732" s="10">
        <v>5.3630472474633217</v>
      </c>
      <c r="P732" s="10">
        <v>1.3485296783754934</v>
      </c>
      <c r="Q732" s="10">
        <v>3.081131572983868</v>
      </c>
      <c r="R732" s="10">
        <v>2.481955163477326</v>
      </c>
      <c r="S732" s="10">
        <v>5.4371334591596305</v>
      </c>
      <c r="T732" s="10">
        <v>9.7351711005453652</v>
      </c>
      <c r="U732" s="10">
        <v>1.0025305078320201</v>
      </c>
      <c r="V732" s="325">
        <v>29.930091477015964</v>
      </c>
      <c r="W732" s="325">
        <v>45.097292262003329</v>
      </c>
      <c r="X732" s="10">
        <v>4.6170362011616035</v>
      </c>
      <c r="Y732" s="320">
        <v>49.714328463164932</v>
      </c>
    </row>
    <row r="733" spans="1:25" x14ac:dyDescent="0.2">
      <c r="A733" s="7">
        <v>2020</v>
      </c>
      <c r="B733" s="5" t="s">
        <v>466</v>
      </c>
      <c r="C733" s="5" t="s">
        <v>314</v>
      </c>
      <c r="D733" s="5" t="s">
        <v>488</v>
      </c>
      <c r="E733" s="5" t="s">
        <v>331</v>
      </c>
      <c r="F733" s="5" t="s">
        <v>317</v>
      </c>
      <c r="G733" s="5" t="s">
        <v>332</v>
      </c>
      <c r="H733" s="10">
        <v>78.01429348308055</v>
      </c>
      <c r="I733" s="10">
        <v>0</v>
      </c>
      <c r="J733" s="325">
        <v>78.01429348308055</v>
      </c>
      <c r="K733" s="10">
        <v>7.7515116414849317</v>
      </c>
      <c r="L733" s="10">
        <v>10.948697883549141</v>
      </c>
      <c r="M733" s="325">
        <v>18.700209525034072</v>
      </c>
      <c r="N733" s="10">
        <v>10.749291299363657</v>
      </c>
      <c r="O733" s="10">
        <v>39.489990958424613</v>
      </c>
      <c r="P733" s="10">
        <v>8.7111876417211622</v>
      </c>
      <c r="Q733" s="10">
        <v>19.267133840289354</v>
      </c>
      <c r="R733" s="10">
        <v>20.821020755441761</v>
      </c>
      <c r="S733" s="10">
        <v>24.430331887185236</v>
      </c>
      <c r="T733" s="10">
        <v>49.917998563878768</v>
      </c>
      <c r="U733" s="10">
        <v>7.0325999555826968</v>
      </c>
      <c r="V733" s="325">
        <v>180.41955490188727</v>
      </c>
      <c r="W733" s="325">
        <v>277.1340579100019</v>
      </c>
      <c r="X733" s="10">
        <v>28.523380712880357</v>
      </c>
      <c r="Y733" s="320">
        <v>305.65743862288224</v>
      </c>
    </row>
    <row r="734" spans="1:25" x14ac:dyDescent="0.2">
      <c r="A734" s="7">
        <v>2020</v>
      </c>
      <c r="B734" s="5" t="s">
        <v>466</v>
      </c>
      <c r="C734" s="5" t="s">
        <v>314</v>
      </c>
      <c r="D734" s="5" t="s">
        <v>489</v>
      </c>
      <c r="E734" s="5" t="s">
        <v>333</v>
      </c>
      <c r="F734" s="5" t="s">
        <v>317</v>
      </c>
      <c r="G734" s="5" t="s">
        <v>334</v>
      </c>
      <c r="H734" s="10">
        <v>97.854307534896634</v>
      </c>
      <c r="I734" s="10">
        <v>0</v>
      </c>
      <c r="J734" s="325">
        <v>97.854307534896634</v>
      </c>
      <c r="K734" s="10">
        <v>8.7632986124375254</v>
      </c>
      <c r="L734" s="10">
        <v>8.8467039405959209</v>
      </c>
      <c r="M734" s="325">
        <v>17.610002553033446</v>
      </c>
      <c r="N734" s="10">
        <v>5.4472662358831361</v>
      </c>
      <c r="O734" s="10">
        <v>28.683445526150585</v>
      </c>
      <c r="P734" s="10">
        <v>5.8493484532590738</v>
      </c>
      <c r="Q734" s="10">
        <v>15.28668112237292</v>
      </c>
      <c r="R734" s="10">
        <v>13.909975292460866</v>
      </c>
      <c r="S734" s="10">
        <v>18.03065194940941</v>
      </c>
      <c r="T734" s="10">
        <v>31.683108057955501</v>
      </c>
      <c r="U734" s="10">
        <v>5.5882438018905143</v>
      </c>
      <c r="V734" s="325">
        <v>124.47872043938202</v>
      </c>
      <c r="W734" s="325">
        <v>239.94303052731209</v>
      </c>
      <c r="X734" s="10">
        <v>25.045737985476663</v>
      </c>
      <c r="Y734" s="320">
        <v>264.98876851278874</v>
      </c>
    </row>
    <row r="735" spans="1:25" x14ac:dyDescent="0.2">
      <c r="A735" s="7">
        <v>2020</v>
      </c>
      <c r="B735" s="5" t="s">
        <v>466</v>
      </c>
      <c r="C735" s="5" t="s">
        <v>314</v>
      </c>
      <c r="D735" s="5" t="s">
        <v>487</v>
      </c>
      <c r="E735" s="5" t="s">
        <v>335</v>
      </c>
      <c r="F735" s="5" t="s">
        <v>317</v>
      </c>
      <c r="G735" s="5" t="s">
        <v>336</v>
      </c>
      <c r="H735" s="10">
        <v>116.76885860116329</v>
      </c>
      <c r="I735" s="10">
        <v>0</v>
      </c>
      <c r="J735" s="325">
        <v>116.76885860116329</v>
      </c>
      <c r="K735" s="10">
        <v>9.2671582286997989</v>
      </c>
      <c r="L735" s="10">
        <v>12.4879886750974</v>
      </c>
      <c r="M735" s="325">
        <v>21.755146903797197</v>
      </c>
      <c r="N735" s="10">
        <v>9.8220513887014249</v>
      </c>
      <c r="O735" s="10">
        <v>30.875999682118355</v>
      </c>
      <c r="P735" s="10">
        <v>7.6141287578552417</v>
      </c>
      <c r="Q735" s="10">
        <v>14.898047356068481</v>
      </c>
      <c r="R735" s="10">
        <v>17.453240334545118</v>
      </c>
      <c r="S735" s="10">
        <v>23.421708078610148</v>
      </c>
      <c r="T735" s="10">
        <v>37.686787314993026</v>
      </c>
      <c r="U735" s="10">
        <v>7.4360035846617825</v>
      </c>
      <c r="V735" s="325">
        <v>149.2079664975536</v>
      </c>
      <c r="W735" s="325">
        <v>287.73197200251411</v>
      </c>
      <c r="X735" s="10">
        <v>30.075649987065333</v>
      </c>
      <c r="Y735" s="320">
        <v>317.80762198957945</v>
      </c>
    </row>
    <row r="736" spans="1:25" x14ac:dyDescent="0.2">
      <c r="A736" s="7">
        <v>2020</v>
      </c>
      <c r="B736" s="5" t="s">
        <v>466</v>
      </c>
      <c r="C736" s="5" t="s">
        <v>314</v>
      </c>
      <c r="D736" s="5" t="s">
        <v>488</v>
      </c>
      <c r="E736" s="5" t="s">
        <v>337</v>
      </c>
      <c r="F736" s="5" t="s">
        <v>317</v>
      </c>
      <c r="G736" s="5" t="s">
        <v>338</v>
      </c>
      <c r="H736" s="10">
        <v>14.20046460713208</v>
      </c>
      <c r="I736" s="10">
        <v>0</v>
      </c>
      <c r="J736" s="325">
        <v>14.20046460713208</v>
      </c>
      <c r="K736" s="10">
        <v>2.1273982923727193</v>
      </c>
      <c r="L736" s="10">
        <v>2.1602842863434875</v>
      </c>
      <c r="M736" s="325">
        <v>4.2876825787162067</v>
      </c>
      <c r="N736" s="10">
        <v>3.436800246059811</v>
      </c>
      <c r="O736" s="10">
        <v>8.2998952871468372</v>
      </c>
      <c r="P736" s="10">
        <v>1.8267179596935328</v>
      </c>
      <c r="Q736" s="10">
        <v>3.7342395270537998</v>
      </c>
      <c r="R736" s="10">
        <v>5.0909556452358551</v>
      </c>
      <c r="S736" s="10">
        <v>5.7680836980831698</v>
      </c>
      <c r="T736" s="10">
        <v>9.1849266767066702</v>
      </c>
      <c r="U736" s="10">
        <v>1.41981040670245</v>
      </c>
      <c r="V736" s="325">
        <v>38.761429446682129</v>
      </c>
      <c r="W736" s="325">
        <v>57.24957663253042</v>
      </c>
      <c r="X736" s="10">
        <v>5.881716031222366</v>
      </c>
      <c r="Y736" s="320">
        <v>63.131292663752788</v>
      </c>
    </row>
    <row r="737" spans="1:25" x14ac:dyDescent="0.2">
      <c r="A737" s="7">
        <v>2020</v>
      </c>
      <c r="B737" s="5" t="s">
        <v>466</v>
      </c>
      <c r="C737" s="5" t="s">
        <v>314</v>
      </c>
      <c r="D737" s="5" t="s">
        <v>488</v>
      </c>
      <c r="E737" s="5" t="s">
        <v>339</v>
      </c>
      <c r="F737" s="5" t="s">
        <v>317</v>
      </c>
      <c r="G737" s="5" t="s">
        <v>340</v>
      </c>
      <c r="H737" s="10">
        <v>54.027527410707918</v>
      </c>
      <c r="I737" s="10">
        <v>0</v>
      </c>
      <c r="J737" s="325">
        <v>54.027527410707918</v>
      </c>
      <c r="K737" s="10">
        <v>8.9506280645210925</v>
      </c>
      <c r="L737" s="10">
        <v>3.8783347411556615</v>
      </c>
      <c r="M737" s="325">
        <v>12.828962805676754</v>
      </c>
      <c r="N737" s="10">
        <v>5.2673300427852663</v>
      </c>
      <c r="O737" s="10">
        <v>25.656596494628271</v>
      </c>
      <c r="P737" s="10">
        <v>5.7135283921940667</v>
      </c>
      <c r="Q737" s="10">
        <v>11.045788526707035</v>
      </c>
      <c r="R737" s="10">
        <v>15.108001757456469</v>
      </c>
      <c r="S737" s="10">
        <v>14.582554304874186</v>
      </c>
      <c r="T737" s="10">
        <v>21.230661866389653</v>
      </c>
      <c r="U737" s="10">
        <v>3.9631097508982633</v>
      </c>
      <c r="V737" s="325">
        <v>102.56757113593321</v>
      </c>
      <c r="W737" s="325">
        <v>169.42406135231789</v>
      </c>
      <c r="X737" s="10">
        <v>17.490534227030437</v>
      </c>
      <c r="Y737" s="320">
        <v>186.91459557934832</v>
      </c>
    </row>
    <row r="738" spans="1:25" x14ac:dyDescent="0.2">
      <c r="A738" s="7">
        <v>2020</v>
      </c>
      <c r="B738" s="5" t="s">
        <v>466</v>
      </c>
      <c r="C738" s="5" t="s">
        <v>314</v>
      </c>
      <c r="D738" s="5" t="s">
        <v>490</v>
      </c>
      <c r="E738" s="5" t="s">
        <v>341</v>
      </c>
      <c r="F738" s="5" t="s">
        <v>317</v>
      </c>
      <c r="G738" s="5" t="s">
        <v>342</v>
      </c>
      <c r="H738" s="10">
        <v>52.673184575251859</v>
      </c>
      <c r="I738" s="10">
        <v>0</v>
      </c>
      <c r="J738" s="325">
        <v>52.673184575251859</v>
      </c>
      <c r="K738" s="10">
        <v>3.904077437323962</v>
      </c>
      <c r="L738" s="10">
        <v>8.964335770603082</v>
      </c>
      <c r="M738" s="325">
        <v>12.868413207927045</v>
      </c>
      <c r="N738" s="10">
        <v>6.4401395836249522</v>
      </c>
      <c r="O738" s="10">
        <v>23.125979941626174</v>
      </c>
      <c r="P738" s="10">
        <v>6.553147910073565</v>
      </c>
      <c r="Q738" s="10">
        <v>10.2762225152672</v>
      </c>
      <c r="R738" s="10">
        <v>13.120840916378892</v>
      </c>
      <c r="S738" s="10">
        <v>17.50880882547812</v>
      </c>
      <c r="T738" s="10">
        <v>30.209543174290314</v>
      </c>
      <c r="U738" s="10">
        <v>5.1957465555764957</v>
      </c>
      <c r="V738" s="325">
        <v>112.43042942231571</v>
      </c>
      <c r="W738" s="325">
        <v>177.97202720549461</v>
      </c>
      <c r="X738" s="10">
        <v>18.334549418481892</v>
      </c>
      <c r="Y738" s="320">
        <v>196.3065766239765</v>
      </c>
    </row>
    <row r="739" spans="1:25" x14ac:dyDescent="0.2">
      <c r="A739" s="7">
        <v>2020</v>
      </c>
      <c r="B739" s="5" t="s">
        <v>466</v>
      </c>
      <c r="C739" s="5" t="s">
        <v>314</v>
      </c>
      <c r="D739" s="5" t="s">
        <v>490</v>
      </c>
      <c r="E739" s="5" t="s">
        <v>343</v>
      </c>
      <c r="F739" s="5" t="s">
        <v>317</v>
      </c>
      <c r="G739" s="5" t="s">
        <v>344</v>
      </c>
      <c r="H739" s="10">
        <v>7.0901127635393246</v>
      </c>
      <c r="I739" s="10">
        <v>1.1468904904162325</v>
      </c>
      <c r="J739" s="325">
        <v>8.2370032539555567</v>
      </c>
      <c r="K739" s="10">
        <v>17.639355001073646</v>
      </c>
      <c r="L739" s="10">
        <v>27.386490733292462</v>
      </c>
      <c r="M739" s="325">
        <v>45.025845734366108</v>
      </c>
      <c r="N739" s="10">
        <v>9.0220426072701034</v>
      </c>
      <c r="O739" s="10">
        <v>30.186282797575185</v>
      </c>
      <c r="P739" s="10">
        <v>2.7739412097866674</v>
      </c>
      <c r="Q739" s="10">
        <v>5.6620336002180061</v>
      </c>
      <c r="R739" s="10">
        <v>6.6389216668603135</v>
      </c>
      <c r="S739" s="10">
        <v>10.990761610387164</v>
      </c>
      <c r="T739" s="10">
        <v>12.389699127609624</v>
      </c>
      <c r="U739" s="10">
        <v>2.4170109823164929</v>
      </c>
      <c r="V739" s="325">
        <v>80.080693602023558</v>
      </c>
      <c r="W739" s="325">
        <v>133.34354259034521</v>
      </c>
      <c r="X739" s="10">
        <v>13.263103374025079</v>
      </c>
      <c r="Y739" s="320">
        <v>146.60664596437027</v>
      </c>
    </row>
    <row r="740" spans="1:25" x14ac:dyDescent="0.2">
      <c r="A740" s="7">
        <v>2020</v>
      </c>
      <c r="B740" s="5" t="s">
        <v>466</v>
      </c>
      <c r="C740" s="5" t="s">
        <v>314</v>
      </c>
      <c r="D740" s="5" t="s">
        <v>490</v>
      </c>
      <c r="E740" s="5" t="s">
        <v>345</v>
      </c>
      <c r="F740" s="5" t="s">
        <v>317</v>
      </c>
      <c r="G740" s="5" t="s">
        <v>346</v>
      </c>
      <c r="H740" s="10">
        <v>14.430965964181098</v>
      </c>
      <c r="I740" s="10">
        <v>0.43307261489319865</v>
      </c>
      <c r="J740" s="325">
        <v>14.864038579074297</v>
      </c>
      <c r="K740" s="10">
        <v>4.3806211126282797</v>
      </c>
      <c r="L740" s="10">
        <v>9.6119227425923182</v>
      </c>
      <c r="M740" s="325">
        <v>13.992543855220598</v>
      </c>
      <c r="N740" s="10">
        <v>2.5306698714683011</v>
      </c>
      <c r="O740" s="10">
        <v>6.798950035179816</v>
      </c>
      <c r="P740" s="10">
        <v>1.9523786735198601</v>
      </c>
      <c r="Q740" s="10">
        <v>4.2225468364773873</v>
      </c>
      <c r="R740" s="10">
        <v>4.9710618285113721</v>
      </c>
      <c r="S740" s="10">
        <v>5.972651847220809</v>
      </c>
      <c r="T740" s="10">
        <v>12.214663466389609</v>
      </c>
      <c r="U740" s="10">
        <v>1.5676034878558525</v>
      </c>
      <c r="V740" s="325">
        <v>40.230526046623012</v>
      </c>
      <c r="W740" s="325">
        <v>69.087108480917905</v>
      </c>
      <c r="X740" s="10">
        <v>6.9811584383883041</v>
      </c>
      <c r="Y740" s="320">
        <v>76.068266919306211</v>
      </c>
    </row>
    <row r="741" spans="1:25" x14ac:dyDescent="0.2">
      <c r="A741" s="7">
        <v>2020</v>
      </c>
      <c r="B741" s="5" t="s">
        <v>466</v>
      </c>
      <c r="C741" s="5" t="s">
        <v>314</v>
      </c>
      <c r="D741" s="5" t="s">
        <v>490</v>
      </c>
      <c r="E741" s="5" t="s">
        <v>347</v>
      </c>
      <c r="F741" s="5" t="s">
        <v>317</v>
      </c>
      <c r="G741" s="5" t="s">
        <v>348</v>
      </c>
      <c r="H741" s="10">
        <v>18.851815603762628</v>
      </c>
      <c r="I741" s="10">
        <v>0</v>
      </c>
      <c r="J741" s="325">
        <v>18.851815603762628</v>
      </c>
      <c r="K741" s="10">
        <v>1.5389974439193983</v>
      </c>
      <c r="L741" s="10">
        <v>5.1851712699790182</v>
      </c>
      <c r="M741" s="325">
        <v>6.7241687138984165</v>
      </c>
      <c r="N741" s="10">
        <v>2.9999345819772141</v>
      </c>
      <c r="O741" s="10">
        <v>5.8257270963832326</v>
      </c>
      <c r="P741" s="10">
        <v>2.3634085247224945</v>
      </c>
      <c r="Q741" s="10">
        <v>5.6051400225212484</v>
      </c>
      <c r="R741" s="10">
        <v>5.0676501872919371</v>
      </c>
      <c r="S741" s="10">
        <v>7.5891278709555037</v>
      </c>
      <c r="T741" s="10">
        <v>17.984827678913348</v>
      </c>
      <c r="U741" s="10">
        <v>2.2218664524829865</v>
      </c>
      <c r="V741" s="325">
        <v>49.657682415247962</v>
      </c>
      <c r="W741" s="325">
        <v>75.233666732909001</v>
      </c>
      <c r="X741" s="10">
        <v>7.6731970258320112</v>
      </c>
      <c r="Y741" s="320">
        <v>82.906863758741011</v>
      </c>
    </row>
    <row r="742" spans="1:25" x14ac:dyDescent="0.2">
      <c r="A742" s="7">
        <v>2020</v>
      </c>
      <c r="B742" s="5" t="s">
        <v>466</v>
      </c>
      <c r="C742" s="5" t="s">
        <v>314</v>
      </c>
      <c r="D742" s="5" t="s">
        <v>489</v>
      </c>
      <c r="E742" s="5" t="s">
        <v>349</v>
      </c>
      <c r="F742" s="5" t="s">
        <v>317</v>
      </c>
      <c r="G742" s="5" t="s">
        <v>350</v>
      </c>
      <c r="H742" s="10">
        <v>83.210308998625706</v>
      </c>
      <c r="I742" s="10">
        <v>0</v>
      </c>
      <c r="J742" s="325">
        <v>83.210308998625706</v>
      </c>
      <c r="K742" s="10">
        <v>6.736237773549302</v>
      </c>
      <c r="L742" s="10">
        <v>7.4937550825069907</v>
      </c>
      <c r="M742" s="325">
        <v>14.229992856056292</v>
      </c>
      <c r="N742" s="10">
        <v>4.6957186382858636</v>
      </c>
      <c r="O742" s="10">
        <v>24.6271372907505</v>
      </c>
      <c r="P742" s="10">
        <v>4.5110148516605388</v>
      </c>
      <c r="Q742" s="10">
        <v>11.549603960523228</v>
      </c>
      <c r="R742" s="10">
        <v>10.026307698431459</v>
      </c>
      <c r="S742" s="10">
        <v>15.668620951167677</v>
      </c>
      <c r="T742" s="10">
        <v>29.415404580687341</v>
      </c>
      <c r="U742" s="10">
        <v>4.9720370409331149</v>
      </c>
      <c r="V742" s="325">
        <v>105.46584501243973</v>
      </c>
      <c r="W742" s="325">
        <v>202.90614686712172</v>
      </c>
      <c r="X742" s="10">
        <v>21.211283268446572</v>
      </c>
      <c r="Y742" s="320">
        <v>224.1174301355683</v>
      </c>
    </row>
    <row r="743" spans="1:25" x14ac:dyDescent="0.2">
      <c r="A743" s="7">
        <v>2020</v>
      </c>
      <c r="B743" s="5" t="s">
        <v>466</v>
      </c>
      <c r="C743" s="5" t="s">
        <v>314</v>
      </c>
      <c r="D743" s="5" t="s">
        <v>490</v>
      </c>
      <c r="E743" s="5" t="s">
        <v>351</v>
      </c>
      <c r="F743" s="5" t="s">
        <v>317</v>
      </c>
      <c r="G743" s="5" t="s">
        <v>352</v>
      </c>
      <c r="H743" s="10">
        <v>46.782701365177779</v>
      </c>
      <c r="I743" s="10">
        <v>0</v>
      </c>
      <c r="J743" s="325">
        <v>46.782701365177779</v>
      </c>
      <c r="K743" s="10">
        <v>7.4705390975839929</v>
      </c>
      <c r="L743" s="10">
        <v>8.2250364446499535</v>
      </c>
      <c r="M743" s="325">
        <v>15.695575542233946</v>
      </c>
      <c r="N743" s="10">
        <v>9.626779910710388</v>
      </c>
      <c r="O743" s="10">
        <v>42.537963079628433</v>
      </c>
      <c r="P743" s="10">
        <v>8.2600073088623045</v>
      </c>
      <c r="Q743" s="10">
        <v>16.882845131527699</v>
      </c>
      <c r="R743" s="10">
        <v>22.752787818033056</v>
      </c>
      <c r="S743" s="10">
        <v>21.752069690537375</v>
      </c>
      <c r="T743" s="10">
        <v>26.645649855230737</v>
      </c>
      <c r="U743" s="10">
        <v>6.6048422883901905</v>
      </c>
      <c r="V743" s="325">
        <v>155.06294508292018</v>
      </c>
      <c r="W743" s="325">
        <v>217.54122199033191</v>
      </c>
      <c r="X743" s="10">
        <v>22.208862836948359</v>
      </c>
      <c r="Y743" s="320">
        <v>239.75008482728026</v>
      </c>
    </row>
    <row r="744" spans="1:25" x14ac:dyDescent="0.2">
      <c r="A744" s="7">
        <v>2020</v>
      </c>
      <c r="B744" s="5" t="s">
        <v>466</v>
      </c>
      <c r="C744" s="5" t="s">
        <v>314</v>
      </c>
      <c r="D744" s="5" t="s">
        <v>490</v>
      </c>
      <c r="E744" s="5" t="s">
        <v>353</v>
      </c>
      <c r="F744" s="5" t="s">
        <v>317</v>
      </c>
      <c r="G744" s="5" t="s">
        <v>354</v>
      </c>
      <c r="H744" s="10">
        <v>99.688580828208686</v>
      </c>
      <c r="I744" s="10">
        <v>0</v>
      </c>
      <c r="J744" s="325">
        <v>99.688580828208686</v>
      </c>
      <c r="K744" s="10">
        <v>7.5018328557447651</v>
      </c>
      <c r="L744" s="10">
        <v>17.945051853596834</v>
      </c>
      <c r="M744" s="325">
        <v>25.4468847093416</v>
      </c>
      <c r="N744" s="10">
        <v>7.43097336876576</v>
      </c>
      <c r="O744" s="10">
        <v>21.740674372412805</v>
      </c>
      <c r="P744" s="10">
        <v>5.3859382025709408</v>
      </c>
      <c r="Q744" s="10">
        <v>13.213257624436624</v>
      </c>
      <c r="R744" s="10">
        <v>12.221561589077542</v>
      </c>
      <c r="S744" s="10">
        <v>15.212627723929549</v>
      </c>
      <c r="T744" s="10">
        <v>24.751472808726596</v>
      </c>
      <c r="U744" s="10">
        <v>4.6682575847343051</v>
      </c>
      <c r="V744" s="325">
        <v>104.6247632746541</v>
      </c>
      <c r="W744" s="325">
        <v>229.76022881220439</v>
      </c>
      <c r="X744" s="10">
        <v>24.037818326019394</v>
      </c>
      <c r="Y744" s="320">
        <v>253.79804713822378</v>
      </c>
    </row>
    <row r="745" spans="1:25" x14ac:dyDescent="0.2">
      <c r="A745" s="7">
        <v>2020</v>
      </c>
      <c r="B745" s="5" t="s">
        <v>466</v>
      </c>
      <c r="C745" s="5" t="s">
        <v>314</v>
      </c>
      <c r="D745" s="5" t="s">
        <v>490</v>
      </c>
      <c r="E745" s="5" t="s">
        <v>355</v>
      </c>
      <c r="F745" s="5" t="s">
        <v>317</v>
      </c>
      <c r="G745" s="5" t="s">
        <v>356</v>
      </c>
      <c r="H745" s="10">
        <v>37.982549057101146</v>
      </c>
      <c r="I745" s="10">
        <v>1.2170929526707734</v>
      </c>
      <c r="J745" s="325">
        <v>39.199642009771921</v>
      </c>
      <c r="K745" s="10">
        <v>2.4031134868258697</v>
      </c>
      <c r="L745" s="10">
        <v>4.0500418403718799</v>
      </c>
      <c r="M745" s="325">
        <v>6.4531553271977495</v>
      </c>
      <c r="N745" s="10">
        <v>3.5579270430619161</v>
      </c>
      <c r="O745" s="10">
        <v>5.275427398382182</v>
      </c>
      <c r="P745" s="10">
        <v>2.1137524115828699</v>
      </c>
      <c r="Q745" s="10">
        <v>5.0792870277083892</v>
      </c>
      <c r="R745" s="10">
        <v>5.9017891471124102</v>
      </c>
      <c r="S745" s="10">
        <v>7.2696828953736778</v>
      </c>
      <c r="T745" s="10">
        <v>15.091357070999729</v>
      </c>
      <c r="U745" s="10">
        <v>1.9783943281080545</v>
      </c>
      <c r="V745" s="325">
        <v>46.267617322329222</v>
      </c>
      <c r="W745" s="325">
        <v>91.920414659298899</v>
      </c>
      <c r="X745" s="10">
        <v>9.664278236615365</v>
      </c>
      <c r="Y745" s="320">
        <v>101.58469289591426</v>
      </c>
    </row>
    <row r="746" spans="1:25" x14ac:dyDescent="0.2">
      <c r="A746" s="7">
        <v>2020</v>
      </c>
      <c r="B746" s="5" t="s">
        <v>466</v>
      </c>
      <c r="C746" s="5" t="s">
        <v>314</v>
      </c>
      <c r="D746" s="5" t="s">
        <v>487</v>
      </c>
      <c r="E746" s="5" t="s">
        <v>357</v>
      </c>
      <c r="F746" s="5" t="s">
        <v>317</v>
      </c>
      <c r="G746" s="5" t="s">
        <v>358</v>
      </c>
      <c r="H746" s="10">
        <v>16.661715984196373</v>
      </c>
      <c r="I746" s="10">
        <v>0.55420819414090861</v>
      </c>
      <c r="J746" s="325">
        <v>17.215924178337282</v>
      </c>
      <c r="K746" s="10">
        <v>2.9592128636220489</v>
      </c>
      <c r="L746" s="10">
        <v>2.9838354542068051</v>
      </c>
      <c r="M746" s="325">
        <v>5.943048317828854</v>
      </c>
      <c r="N746" s="10">
        <v>4.7162141496060244</v>
      </c>
      <c r="O746" s="10">
        <v>11.344040679489186</v>
      </c>
      <c r="P746" s="10">
        <v>2.7243150421867735</v>
      </c>
      <c r="Q746" s="10">
        <v>5.789878187102655</v>
      </c>
      <c r="R746" s="10">
        <v>7.7262387693863905</v>
      </c>
      <c r="S746" s="10">
        <v>9.8576807661162498</v>
      </c>
      <c r="T746" s="10">
        <v>16.554320055066214</v>
      </c>
      <c r="U746" s="10">
        <v>3.0709013143214166</v>
      </c>
      <c r="V746" s="325">
        <v>61.783588963274909</v>
      </c>
      <c r="W746" s="325">
        <v>84.942561459441038</v>
      </c>
      <c r="X746" s="10">
        <v>8.6755046731115186</v>
      </c>
      <c r="Y746" s="320">
        <v>93.618066132552556</v>
      </c>
    </row>
    <row r="747" spans="1:25" x14ac:dyDescent="0.2">
      <c r="A747" s="7">
        <v>2020</v>
      </c>
      <c r="B747" s="5" t="s">
        <v>466</v>
      </c>
      <c r="C747" s="5" t="s">
        <v>314</v>
      </c>
      <c r="D747" s="5" t="s">
        <v>489</v>
      </c>
      <c r="E747" s="5" t="s">
        <v>359</v>
      </c>
      <c r="F747" s="5" t="s">
        <v>317</v>
      </c>
      <c r="G747" s="5" t="s">
        <v>360</v>
      </c>
      <c r="H747" s="10">
        <v>362.93106670392058</v>
      </c>
      <c r="I747" s="10">
        <v>19.500711746526065</v>
      </c>
      <c r="J747" s="325">
        <v>382.43177845044664</v>
      </c>
      <c r="K747" s="10">
        <v>27.135634112431891</v>
      </c>
      <c r="L747" s="10">
        <v>19.95005237242777</v>
      </c>
      <c r="M747" s="325">
        <v>47.085686484859664</v>
      </c>
      <c r="N747" s="10">
        <v>11.947853459757736</v>
      </c>
      <c r="O747" s="10">
        <v>34.869879608867919</v>
      </c>
      <c r="P747" s="10">
        <v>9.3822948074216015</v>
      </c>
      <c r="Q747" s="10">
        <v>22.478512291695814</v>
      </c>
      <c r="R747" s="10">
        <v>19.954618185387623</v>
      </c>
      <c r="S747" s="10">
        <v>27.601717615904679</v>
      </c>
      <c r="T747" s="10">
        <v>50.491665328748446</v>
      </c>
      <c r="U747" s="10">
        <v>7.1932822197317101</v>
      </c>
      <c r="V747" s="325">
        <v>183.91982351751554</v>
      </c>
      <c r="W747" s="325">
        <v>613.4372884528218</v>
      </c>
      <c r="X747" s="10">
        <v>66.554862268402573</v>
      </c>
      <c r="Y747" s="320">
        <v>679.99215072122433</v>
      </c>
    </row>
    <row r="748" spans="1:25" x14ac:dyDescent="0.2">
      <c r="A748" s="7">
        <v>2020</v>
      </c>
      <c r="B748" s="5" t="s">
        <v>466</v>
      </c>
      <c r="C748" s="5" t="s">
        <v>314</v>
      </c>
      <c r="D748" s="5" t="s">
        <v>490</v>
      </c>
      <c r="E748" s="5" t="s">
        <v>361</v>
      </c>
      <c r="F748" s="5" t="s">
        <v>317</v>
      </c>
      <c r="G748" s="5" t="s">
        <v>362</v>
      </c>
      <c r="H748" s="10">
        <v>113.0646055203882</v>
      </c>
      <c r="I748" s="10">
        <v>0</v>
      </c>
      <c r="J748" s="325">
        <v>113.0646055203882</v>
      </c>
      <c r="K748" s="10">
        <v>1.2394072110960657</v>
      </c>
      <c r="L748" s="10">
        <v>10.846203667627575</v>
      </c>
      <c r="M748" s="325">
        <v>12.08561087872364</v>
      </c>
      <c r="N748" s="10">
        <v>4.6792808337263763</v>
      </c>
      <c r="O748" s="10">
        <v>6.8583501674186191</v>
      </c>
      <c r="P748" s="10">
        <v>2.2882019268312717</v>
      </c>
      <c r="Q748" s="10">
        <v>4.492991979108905</v>
      </c>
      <c r="R748" s="10">
        <v>6.3885894525301739</v>
      </c>
      <c r="S748" s="10">
        <v>6.9425551308415647</v>
      </c>
      <c r="T748" s="10">
        <v>11.350873621882391</v>
      </c>
      <c r="U748" s="10">
        <v>2.1092374119399526</v>
      </c>
      <c r="V748" s="325">
        <v>45.110080524279255</v>
      </c>
      <c r="W748" s="325">
        <v>170.26029692339108</v>
      </c>
      <c r="X748" s="10">
        <v>18.410663169528153</v>
      </c>
      <c r="Y748" s="320">
        <v>188.67096009291924</v>
      </c>
    </row>
    <row r="749" spans="1:25" x14ac:dyDescent="0.2">
      <c r="A749" s="7">
        <v>2020</v>
      </c>
      <c r="B749" s="5" t="s">
        <v>466</v>
      </c>
      <c r="C749" s="5" t="s">
        <v>314</v>
      </c>
      <c r="D749" s="5" t="s">
        <v>487</v>
      </c>
      <c r="E749" s="5" t="s">
        <v>363</v>
      </c>
      <c r="F749" s="5" t="s">
        <v>317</v>
      </c>
      <c r="G749" s="5" t="s">
        <v>364</v>
      </c>
      <c r="H749" s="10">
        <v>40.726388821927777</v>
      </c>
      <c r="I749" s="10">
        <v>0</v>
      </c>
      <c r="J749" s="325">
        <v>40.726388821927777</v>
      </c>
      <c r="K749" s="10">
        <v>4.7801995120529579</v>
      </c>
      <c r="L749" s="10">
        <v>6.7867729773823378</v>
      </c>
      <c r="M749" s="325">
        <v>11.566972489435296</v>
      </c>
      <c r="N749" s="10">
        <v>6.1966802811818562</v>
      </c>
      <c r="O749" s="10">
        <v>23.234675087825039</v>
      </c>
      <c r="P749" s="10">
        <v>5.4581204552566547</v>
      </c>
      <c r="Q749" s="10">
        <v>9.8229197348053763</v>
      </c>
      <c r="R749" s="10">
        <v>12.425472436820263</v>
      </c>
      <c r="S749" s="10">
        <v>15.529079406779424</v>
      </c>
      <c r="T749" s="10">
        <v>25.155519951059421</v>
      </c>
      <c r="U749" s="10">
        <v>4.3980074961204032</v>
      </c>
      <c r="V749" s="325">
        <v>102.22047484984843</v>
      </c>
      <c r="W749" s="325">
        <v>154.51383616121151</v>
      </c>
      <c r="X749" s="10">
        <v>15.861365407389545</v>
      </c>
      <c r="Y749" s="320">
        <v>170.37520156860106</v>
      </c>
    </row>
    <row r="750" spans="1:25" x14ac:dyDescent="0.2">
      <c r="A750" s="7">
        <v>2020</v>
      </c>
      <c r="B750" s="5" t="s">
        <v>466</v>
      </c>
      <c r="C750" s="5" t="s">
        <v>365</v>
      </c>
      <c r="D750" s="5" t="s">
        <v>491</v>
      </c>
      <c r="E750" s="5" t="s">
        <v>367</v>
      </c>
      <c r="F750" s="5" t="s">
        <v>368</v>
      </c>
      <c r="G750" s="5" t="s">
        <v>370</v>
      </c>
      <c r="H750" s="10">
        <v>548.70545407552288</v>
      </c>
      <c r="I750" s="10">
        <v>0</v>
      </c>
      <c r="J750" s="325">
        <v>548.70545407552288</v>
      </c>
      <c r="K750" s="10">
        <v>75.355294789395941</v>
      </c>
      <c r="L750" s="10">
        <v>107.84800669859152</v>
      </c>
      <c r="M750" s="325">
        <v>183.20330148798746</v>
      </c>
      <c r="N750" s="10">
        <v>86.049247254101218</v>
      </c>
      <c r="O750" s="10">
        <v>344.26666651962938</v>
      </c>
      <c r="P750" s="10">
        <v>42.438177318311361</v>
      </c>
      <c r="Q750" s="10">
        <v>119.89252987024943</v>
      </c>
      <c r="R750" s="10">
        <v>139.89590964999431</v>
      </c>
      <c r="S750" s="10">
        <v>169.30567515403445</v>
      </c>
      <c r="T750" s="10">
        <v>273.6372110049038</v>
      </c>
      <c r="U750" s="10">
        <v>44.538793617097966</v>
      </c>
      <c r="V750" s="325">
        <v>1220.024210388322</v>
      </c>
      <c r="W750" s="325">
        <v>1951.9329659518326</v>
      </c>
      <c r="X750" s="10">
        <v>201.23484623827102</v>
      </c>
      <c r="Y750" s="320">
        <v>2153.1678121901036</v>
      </c>
    </row>
    <row r="751" spans="1:25" x14ac:dyDescent="0.2">
      <c r="A751" s="7">
        <v>2020</v>
      </c>
      <c r="B751" s="5" t="s">
        <v>466</v>
      </c>
      <c r="C751" s="5" t="s">
        <v>365</v>
      </c>
      <c r="D751" s="5" t="s">
        <v>492</v>
      </c>
      <c r="E751" s="5" t="s">
        <v>371</v>
      </c>
      <c r="F751" s="5" t="s">
        <v>368</v>
      </c>
      <c r="G751" s="5" t="s">
        <v>372</v>
      </c>
      <c r="H751" s="10">
        <v>37.36794131563687</v>
      </c>
      <c r="I751" s="10">
        <v>0</v>
      </c>
      <c r="J751" s="325">
        <v>37.36794131563687</v>
      </c>
      <c r="K751" s="10">
        <v>2.5491716791530048</v>
      </c>
      <c r="L751" s="10">
        <v>12.482616660242895</v>
      </c>
      <c r="M751" s="325">
        <v>15.0317883393959</v>
      </c>
      <c r="N751" s="10">
        <v>7.4003052029503271</v>
      </c>
      <c r="O751" s="10">
        <v>45.186725401577085</v>
      </c>
      <c r="P751" s="10">
        <v>7.4507464743709404</v>
      </c>
      <c r="Q751" s="10">
        <v>17.911644478463572</v>
      </c>
      <c r="R751" s="10">
        <v>12.275052671856479</v>
      </c>
      <c r="S751" s="10">
        <v>22.913695822844065</v>
      </c>
      <c r="T751" s="10">
        <v>48.217244587232152</v>
      </c>
      <c r="U751" s="10">
        <v>4.8988473543359499</v>
      </c>
      <c r="V751" s="325">
        <v>166.25426199363056</v>
      </c>
      <c r="W751" s="325">
        <v>218.65399164866332</v>
      </c>
      <c r="X751" s="10">
        <v>22.2181934800081</v>
      </c>
      <c r="Y751" s="320">
        <v>240.87218512867142</v>
      </c>
    </row>
    <row r="752" spans="1:25" x14ac:dyDescent="0.2">
      <c r="A752" s="7">
        <v>2020</v>
      </c>
      <c r="B752" s="5" t="s">
        <v>466</v>
      </c>
      <c r="C752" s="5" t="s">
        <v>365</v>
      </c>
      <c r="D752" s="5" t="s">
        <v>491</v>
      </c>
      <c r="E752" s="5" t="s">
        <v>373</v>
      </c>
      <c r="F752" s="5" t="s">
        <v>368</v>
      </c>
      <c r="G752" s="5" t="s">
        <v>374</v>
      </c>
      <c r="H752" s="10">
        <v>491.63572890175703</v>
      </c>
      <c r="I752" s="10">
        <v>14.214015156051902</v>
      </c>
      <c r="J752" s="325">
        <v>505.84974405780895</v>
      </c>
      <c r="K752" s="10">
        <v>39.686459331052596</v>
      </c>
      <c r="L752" s="10">
        <v>25.920507836451868</v>
      </c>
      <c r="M752" s="325">
        <v>65.606967167504465</v>
      </c>
      <c r="N752" s="10">
        <v>29.239403377387784</v>
      </c>
      <c r="O752" s="10">
        <v>94.120892577452793</v>
      </c>
      <c r="P752" s="10">
        <v>20.010843955212366</v>
      </c>
      <c r="Q752" s="10">
        <v>38.052538749932644</v>
      </c>
      <c r="R752" s="10">
        <v>33.673301051319768</v>
      </c>
      <c r="S752" s="10">
        <v>50.084044146865196</v>
      </c>
      <c r="T752" s="10">
        <v>64.362695492715076</v>
      </c>
      <c r="U752" s="10">
        <v>12.287912717732425</v>
      </c>
      <c r="V752" s="325">
        <v>341.83163206861803</v>
      </c>
      <c r="W752" s="325">
        <v>913.28834329393146</v>
      </c>
      <c r="X752" s="10">
        <v>98.058281305213058</v>
      </c>
      <c r="Y752" s="320">
        <v>1011.3466245991445</v>
      </c>
    </row>
    <row r="753" spans="1:25" x14ac:dyDescent="0.2">
      <c r="A753" s="7">
        <v>2020</v>
      </c>
      <c r="B753" s="5" t="s">
        <v>466</v>
      </c>
      <c r="C753" s="5" t="s">
        <v>365</v>
      </c>
      <c r="D753" s="5" t="s">
        <v>491</v>
      </c>
      <c r="E753" s="5" t="s">
        <v>375</v>
      </c>
      <c r="F753" s="5" t="s">
        <v>368</v>
      </c>
      <c r="G753" s="5" t="s">
        <v>376</v>
      </c>
      <c r="H753" s="10">
        <v>254.71190431210442</v>
      </c>
      <c r="I753" s="10">
        <v>0</v>
      </c>
      <c r="J753" s="325">
        <v>254.71190431210442</v>
      </c>
      <c r="K753" s="10">
        <v>22.07477160787592</v>
      </c>
      <c r="L753" s="10">
        <v>28.987150677394787</v>
      </c>
      <c r="M753" s="325">
        <v>51.061922285270711</v>
      </c>
      <c r="N753" s="10">
        <v>26.538090403308406</v>
      </c>
      <c r="O753" s="10">
        <v>89.720645285206217</v>
      </c>
      <c r="P753" s="10">
        <v>29.085829970680866</v>
      </c>
      <c r="Q753" s="10">
        <v>51.70953704396257</v>
      </c>
      <c r="R753" s="10">
        <v>43.140732859243535</v>
      </c>
      <c r="S753" s="10">
        <v>59.269166250006549</v>
      </c>
      <c r="T753" s="10">
        <v>102.78282511604006</v>
      </c>
      <c r="U753" s="10">
        <v>19.386237063738079</v>
      </c>
      <c r="V753" s="325">
        <v>421.63306399218624</v>
      </c>
      <c r="W753" s="325">
        <v>727.40689058956139</v>
      </c>
      <c r="X753" s="10">
        <v>75.479194373637199</v>
      </c>
      <c r="Y753" s="320">
        <v>802.88608496319853</v>
      </c>
    </row>
    <row r="754" spans="1:25" x14ac:dyDescent="0.2">
      <c r="A754" s="7">
        <v>2020</v>
      </c>
      <c r="B754" s="5" t="s">
        <v>466</v>
      </c>
      <c r="C754" s="5" t="s">
        <v>365</v>
      </c>
      <c r="D754" s="5" t="s">
        <v>493</v>
      </c>
      <c r="E754" s="5" t="s">
        <v>377</v>
      </c>
      <c r="F754" s="5" t="s">
        <v>368</v>
      </c>
      <c r="G754" s="5" t="s">
        <v>378</v>
      </c>
      <c r="H754" s="10">
        <v>1.1327793882307235</v>
      </c>
      <c r="I754" s="10">
        <v>0</v>
      </c>
      <c r="J754" s="325">
        <v>1.1327793882307235</v>
      </c>
      <c r="K754" s="10">
        <v>0.29850053444747449</v>
      </c>
      <c r="L754" s="10">
        <v>2.0934972256134303</v>
      </c>
      <c r="M754" s="325">
        <v>2.3919977600609048</v>
      </c>
      <c r="N754" s="10">
        <v>0.25324513727750309</v>
      </c>
      <c r="O754" s="10">
        <v>7.353893275912748</v>
      </c>
      <c r="P754" s="10">
        <v>1.3744518926875311</v>
      </c>
      <c r="Q754" s="10">
        <v>1.7458286878624965</v>
      </c>
      <c r="R754" s="10">
        <v>2.1458872063884118</v>
      </c>
      <c r="S754" s="10">
        <v>5.047360500201302</v>
      </c>
      <c r="T754" s="10">
        <v>14.804364424882081</v>
      </c>
      <c r="U754" s="10">
        <v>1.0922467566041512</v>
      </c>
      <c r="V754" s="325">
        <v>33.817277881816224</v>
      </c>
      <c r="W754" s="325">
        <v>37.342055030107851</v>
      </c>
      <c r="X754" s="10">
        <v>3.7074525689168967</v>
      </c>
      <c r="Y754" s="320">
        <v>41.04950759902475</v>
      </c>
    </row>
    <row r="755" spans="1:25" x14ac:dyDescent="0.2">
      <c r="A755" s="7">
        <v>2020</v>
      </c>
      <c r="B755" s="5" t="s">
        <v>466</v>
      </c>
      <c r="C755" s="5" t="s">
        <v>365</v>
      </c>
      <c r="D755" s="5" t="s">
        <v>491</v>
      </c>
      <c r="E755" s="5" t="s">
        <v>379</v>
      </c>
      <c r="F755" s="5" t="s">
        <v>368</v>
      </c>
      <c r="G755" s="5" t="s">
        <v>380</v>
      </c>
      <c r="H755" s="10">
        <v>36.828370946780502</v>
      </c>
      <c r="I755" s="10">
        <v>15.529043316214349</v>
      </c>
      <c r="J755" s="325">
        <v>52.357414262994851</v>
      </c>
      <c r="K755" s="10">
        <v>1.8915334025498554</v>
      </c>
      <c r="L755" s="10">
        <v>7.8698986226200391</v>
      </c>
      <c r="M755" s="325">
        <v>9.7614320251698938</v>
      </c>
      <c r="N755" s="10">
        <v>5.4789371214526179</v>
      </c>
      <c r="O755" s="10">
        <v>23.519477122776767</v>
      </c>
      <c r="P755" s="10">
        <v>3.5055189708265808</v>
      </c>
      <c r="Q755" s="10">
        <v>8.0240711316287037</v>
      </c>
      <c r="R755" s="10">
        <v>6.7408298171796606</v>
      </c>
      <c r="S755" s="10">
        <v>14.567152467470152</v>
      </c>
      <c r="T755" s="10">
        <v>31.182242683464288</v>
      </c>
      <c r="U755" s="10">
        <v>2.3641568249972829</v>
      </c>
      <c r="V755" s="325">
        <v>95.38238613979604</v>
      </c>
      <c r="W755" s="325">
        <v>157.50123242796079</v>
      </c>
      <c r="X755" s="10">
        <v>16.920892498055583</v>
      </c>
      <c r="Y755" s="320">
        <v>174.42212492601638</v>
      </c>
    </row>
    <row r="756" spans="1:25" x14ac:dyDescent="0.2">
      <c r="A756" s="7">
        <v>2020</v>
      </c>
      <c r="B756" s="5" t="s">
        <v>466</v>
      </c>
      <c r="C756" s="5" t="s">
        <v>365</v>
      </c>
      <c r="D756" s="5" t="s">
        <v>492</v>
      </c>
      <c r="E756" s="5" t="s">
        <v>381</v>
      </c>
      <c r="F756" s="5" t="s">
        <v>368</v>
      </c>
      <c r="G756" s="5" t="s">
        <v>382</v>
      </c>
      <c r="H756" s="10">
        <v>96.498365636147625</v>
      </c>
      <c r="I756" s="10">
        <v>0</v>
      </c>
      <c r="J756" s="325">
        <v>96.498365636147625</v>
      </c>
      <c r="K756" s="10">
        <v>5.9063507883310598</v>
      </c>
      <c r="L756" s="10">
        <v>21.860323385229719</v>
      </c>
      <c r="M756" s="325">
        <v>27.76667417356078</v>
      </c>
      <c r="N756" s="10">
        <v>16.742825803518834</v>
      </c>
      <c r="O756" s="10">
        <v>70.459265644968056</v>
      </c>
      <c r="P756" s="10">
        <v>10.531636005809247</v>
      </c>
      <c r="Q756" s="10">
        <v>28.247291187892369</v>
      </c>
      <c r="R756" s="10">
        <v>22.106348297596305</v>
      </c>
      <c r="S756" s="10">
        <v>37.434097932478601</v>
      </c>
      <c r="T756" s="10">
        <v>83.328557398027385</v>
      </c>
      <c r="U756" s="10">
        <v>7.9513244062109862</v>
      </c>
      <c r="V756" s="325">
        <v>276.80134667650179</v>
      </c>
      <c r="W756" s="325">
        <v>401.06638648621021</v>
      </c>
      <c r="X756" s="10">
        <v>41.184985267162517</v>
      </c>
      <c r="Y756" s="320">
        <v>442.25137175337272</v>
      </c>
    </row>
    <row r="757" spans="1:25" x14ac:dyDescent="0.2">
      <c r="A757" s="7">
        <v>2020</v>
      </c>
      <c r="B757" s="5" t="s">
        <v>466</v>
      </c>
      <c r="C757" s="5" t="s">
        <v>365</v>
      </c>
      <c r="D757" s="5" t="s">
        <v>492</v>
      </c>
      <c r="E757" s="5" t="s">
        <v>383</v>
      </c>
      <c r="F757" s="5" t="s">
        <v>368</v>
      </c>
      <c r="G757" s="5" t="s">
        <v>384</v>
      </c>
      <c r="H757" s="10">
        <v>50.354065235601126</v>
      </c>
      <c r="I757" s="10">
        <v>0</v>
      </c>
      <c r="J757" s="325">
        <v>50.354065235601126</v>
      </c>
      <c r="K757" s="10">
        <v>2.5818357341660088</v>
      </c>
      <c r="L757" s="10">
        <v>9.2790476439041303</v>
      </c>
      <c r="M757" s="325">
        <v>11.860883378070138</v>
      </c>
      <c r="N757" s="10">
        <v>13.750880511349703</v>
      </c>
      <c r="O757" s="10">
        <v>21.191163652258528</v>
      </c>
      <c r="P757" s="10">
        <v>4.8452548562794391</v>
      </c>
      <c r="Q757" s="10">
        <v>12.864584990715697</v>
      </c>
      <c r="R757" s="10">
        <v>4.8355685484218132</v>
      </c>
      <c r="S757" s="10">
        <v>16.319632717468465</v>
      </c>
      <c r="T757" s="10">
        <v>34.132296406289342</v>
      </c>
      <c r="U757" s="10">
        <v>3.0339489351683957</v>
      </c>
      <c r="V757" s="325">
        <v>110.97333061795138</v>
      </c>
      <c r="W757" s="325">
        <v>173.18827923162263</v>
      </c>
      <c r="X757" s="10">
        <v>17.99509869127316</v>
      </c>
      <c r="Y757" s="320">
        <v>191.1833779228958</v>
      </c>
    </row>
    <row r="758" spans="1:25" x14ac:dyDescent="0.2">
      <c r="A758" s="7">
        <v>2020</v>
      </c>
      <c r="B758" s="5" t="s">
        <v>466</v>
      </c>
      <c r="C758" s="5" t="s">
        <v>365</v>
      </c>
      <c r="D758" s="5" t="s">
        <v>492</v>
      </c>
      <c r="E758" s="5" t="s">
        <v>385</v>
      </c>
      <c r="F758" s="5" t="s">
        <v>368</v>
      </c>
      <c r="G758" s="5" t="s">
        <v>386</v>
      </c>
      <c r="H758" s="10">
        <v>34.378789149286575</v>
      </c>
      <c r="I758" s="10">
        <v>0</v>
      </c>
      <c r="J758" s="325">
        <v>34.378789149286575</v>
      </c>
      <c r="K758" s="10">
        <v>2.3614956771472539</v>
      </c>
      <c r="L758" s="10">
        <v>11.880034994876649</v>
      </c>
      <c r="M758" s="325">
        <v>14.241530672023902</v>
      </c>
      <c r="N758" s="10">
        <v>15.172213095690143</v>
      </c>
      <c r="O758" s="10">
        <v>41.764945443614955</v>
      </c>
      <c r="P758" s="10">
        <v>6.6297493322412011</v>
      </c>
      <c r="Q758" s="10">
        <v>15.948564892118895</v>
      </c>
      <c r="R758" s="10">
        <v>8.3725953122126064</v>
      </c>
      <c r="S758" s="10">
        <v>24.183170009806375</v>
      </c>
      <c r="T758" s="10">
        <v>46.918408069090056</v>
      </c>
      <c r="U758" s="10">
        <v>3.5032676459643013</v>
      </c>
      <c r="V758" s="325">
        <v>162.49291380073856</v>
      </c>
      <c r="W758" s="325">
        <v>211.11323362204905</v>
      </c>
      <c r="X758" s="10">
        <v>21.593769894877138</v>
      </c>
      <c r="Y758" s="320">
        <v>232.70700351692619</v>
      </c>
    </row>
    <row r="759" spans="1:25" x14ac:dyDescent="0.2">
      <c r="A759" s="7">
        <v>2020</v>
      </c>
      <c r="B759" s="5" t="s">
        <v>466</v>
      </c>
      <c r="C759" s="5" t="s">
        <v>365</v>
      </c>
      <c r="D759" s="5" t="s">
        <v>491</v>
      </c>
      <c r="E759" s="5" t="s">
        <v>387</v>
      </c>
      <c r="F759" s="5" t="s">
        <v>368</v>
      </c>
      <c r="G759" s="5" t="s">
        <v>494</v>
      </c>
      <c r="H759" s="10">
        <v>604.16643297764767</v>
      </c>
      <c r="I759" s="10">
        <v>0</v>
      </c>
      <c r="J759" s="325">
        <v>604.16643297764767</v>
      </c>
      <c r="K759" s="10">
        <v>28.594796972260873</v>
      </c>
      <c r="L759" s="10">
        <v>96.23174444070537</v>
      </c>
      <c r="M759" s="325">
        <v>124.82654141296624</v>
      </c>
      <c r="N759" s="10">
        <v>61.634021330687759</v>
      </c>
      <c r="O759" s="10">
        <v>270.80923908411512</v>
      </c>
      <c r="P759" s="10">
        <v>48.79754403944002</v>
      </c>
      <c r="Q759" s="10">
        <v>92.064777669904529</v>
      </c>
      <c r="R759" s="10">
        <v>69.726375282776132</v>
      </c>
      <c r="S759" s="10">
        <v>149.80979435431271</v>
      </c>
      <c r="T759" s="10">
        <v>338.73461288749786</v>
      </c>
      <c r="U759" s="10">
        <v>26.73512601785842</v>
      </c>
      <c r="V759" s="325">
        <v>1058.3114906665926</v>
      </c>
      <c r="W759" s="325">
        <v>1787.3044650572065</v>
      </c>
      <c r="X759" s="10">
        <v>185.8967434438687</v>
      </c>
      <c r="Y759" s="320">
        <v>1973.2012085010751</v>
      </c>
    </row>
    <row r="760" spans="1:25" ht="16" thickBot="1" x14ac:dyDescent="0.25">
      <c r="A760" s="11">
        <v>2020</v>
      </c>
      <c r="B760" s="6" t="s">
        <v>466</v>
      </c>
      <c r="C760" s="6" t="s">
        <v>365</v>
      </c>
      <c r="D760" s="6" t="s">
        <v>493</v>
      </c>
      <c r="E760" s="6" t="s">
        <v>389</v>
      </c>
      <c r="F760" s="6" t="s">
        <v>368</v>
      </c>
      <c r="G760" s="6" t="s">
        <v>390</v>
      </c>
      <c r="H760" s="12">
        <v>8.4577036273067261</v>
      </c>
      <c r="I760" s="12">
        <v>0</v>
      </c>
      <c r="J760" s="337">
        <v>8.4577036273067261</v>
      </c>
      <c r="K760" s="12">
        <v>0.65217630784980174</v>
      </c>
      <c r="L760" s="12">
        <v>3.612478349015174</v>
      </c>
      <c r="M760" s="337">
        <v>4.2646546568649759</v>
      </c>
      <c r="N760" s="12">
        <v>5.3336188366330886</v>
      </c>
      <c r="O760" s="12">
        <v>12.192674150646766</v>
      </c>
      <c r="P760" s="12">
        <v>1.3559205222726525</v>
      </c>
      <c r="Q760" s="12">
        <v>3.2849267565775575</v>
      </c>
      <c r="R760" s="12">
        <v>2.6526686408077524</v>
      </c>
      <c r="S760" s="12">
        <v>8.4311875713089677</v>
      </c>
      <c r="T760" s="12">
        <v>17.276090895253553</v>
      </c>
      <c r="U760" s="12">
        <v>1.4576921156520699</v>
      </c>
      <c r="V760" s="337">
        <v>51.984779489152416</v>
      </c>
      <c r="W760" s="337">
        <v>64.707137773324121</v>
      </c>
      <c r="X760" s="12">
        <v>6.6080345379178826</v>
      </c>
      <c r="Y760" s="321">
        <v>71.315172311242009</v>
      </c>
    </row>
    <row r="761" spans="1:25" ht="16" thickBot="1" x14ac:dyDescent="0.25">
      <c r="A761" s="354">
        <v>2021</v>
      </c>
      <c r="B761" s="355" t="s">
        <v>466</v>
      </c>
      <c r="C761" s="355"/>
      <c r="D761" s="355"/>
      <c r="E761" s="355"/>
      <c r="F761" s="355"/>
      <c r="G761" s="355" t="s">
        <v>467</v>
      </c>
      <c r="H761" s="355">
        <v>7455.1498889537961</v>
      </c>
      <c r="I761" s="355">
        <v>2980.550417686135</v>
      </c>
      <c r="J761" s="355">
        <v>10435.70030663993</v>
      </c>
      <c r="K761" s="355">
        <v>21378.818326389126</v>
      </c>
      <c r="L761" s="355">
        <v>7929.3594375066587</v>
      </c>
      <c r="M761" s="355">
        <v>29308.177763895786</v>
      </c>
      <c r="N761" s="355">
        <v>5624.0992452006803</v>
      </c>
      <c r="O761" s="355">
        <v>23012.570875891033</v>
      </c>
      <c r="P761" s="355">
        <v>3965.9456537037922</v>
      </c>
      <c r="Q761" s="355">
        <v>7179.3983341644671</v>
      </c>
      <c r="R761" s="355">
        <v>12306.585306852225</v>
      </c>
      <c r="S761" s="355">
        <v>12204.2756852739</v>
      </c>
      <c r="T761" s="355">
        <v>16415.769106496136</v>
      </c>
      <c r="U761" s="355">
        <v>3849.6022628224778</v>
      </c>
      <c r="V761" s="355">
        <v>84558.246470404716</v>
      </c>
      <c r="W761" s="355">
        <v>124302.12454094044</v>
      </c>
      <c r="X761" s="355">
        <v>12787.544541028514</v>
      </c>
      <c r="Y761" s="356">
        <v>137601.58785110028</v>
      </c>
    </row>
    <row r="762" spans="1:25" x14ac:dyDescent="0.2">
      <c r="A762" s="350">
        <v>2021</v>
      </c>
      <c r="B762" s="351" t="s">
        <v>466</v>
      </c>
      <c r="C762" s="351" t="s">
        <v>90</v>
      </c>
      <c r="D762" s="351" t="s">
        <v>468</v>
      </c>
      <c r="E762" s="351" t="s">
        <v>93</v>
      </c>
      <c r="F762" s="351" t="s">
        <v>94</v>
      </c>
      <c r="G762" s="351" t="s">
        <v>469</v>
      </c>
      <c r="H762" s="351">
        <v>31.81959840392776</v>
      </c>
      <c r="I762" s="351">
        <v>32.53244763675351</v>
      </c>
      <c r="J762" s="352">
        <v>64.352046040681273</v>
      </c>
      <c r="K762" s="351">
        <v>7884.7593943153652</v>
      </c>
      <c r="L762" s="351">
        <v>3270.1077935344797</v>
      </c>
      <c r="M762" s="352">
        <v>11154.867187849844</v>
      </c>
      <c r="N762" s="351">
        <v>3759.3037141976688</v>
      </c>
      <c r="O762" s="351">
        <v>10356.683692934268</v>
      </c>
      <c r="P762" s="351">
        <v>1722.3523049193245</v>
      </c>
      <c r="Q762" s="351">
        <v>5315.6008157708739</v>
      </c>
      <c r="R762" s="351">
        <v>5365.1725132972624</v>
      </c>
      <c r="S762" s="351">
        <v>5662.138646829103</v>
      </c>
      <c r="T762" s="351">
        <v>7351.8958745966029</v>
      </c>
      <c r="U762" s="351">
        <v>1627.1076345647866</v>
      </c>
      <c r="V762" s="352">
        <v>41160.255197109887</v>
      </c>
      <c r="W762" s="352">
        <v>52379.47443100041</v>
      </c>
      <c r="X762" s="351">
        <v>5253.2835497184506</v>
      </c>
      <c r="Y762" s="353">
        <v>57632.757980718859</v>
      </c>
    </row>
    <row r="763" spans="1:25" x14ac:dyDescent="0.2">
      <c r="A763" s="233">
        <v>2021</v>
      </c>
      <c r="B763" s="316" t="s">
        <v>466</v>
      </c>
      <c r="C763" s="316" t="s">
        <v>90</v>
      </c>
      <c r="D763" s="316" t="s">
        <v>470</v>
      </c>
      <c r="E763" s="316" t="s">
        <v>98</v>
      </c>
      <c r="F763" s="316" t="s">
        <v>94</v>
      </c>
      <c r="G763" s="316" t="s">
        <v>99</v>
      </c>
      <c r="H763" s="316">
        <v>66.028740213772892</v>
      </c>
      <c r="I763" s="316">
        <v>34.880629774256306</v>
      </c>
      <c r="J763" s="317">
        <v>100.9093699880292</v>
      </c>
      <c r="K763" s="316">
        <v>264.4036865400048</v>
      </c>
      <c r="L763" s="316">
        <v>193.98278137738953</v>
      </c>
      <c r="M763" s="317">
        <v>458.38646791739433</v>
      </c>
      <c r="N763" s="316">
        <v>16.354264181605178</v>
      </c>
      <c r="O763" s="316">
        <v>204.72924045595622</v>
      </c>
      <c r="P763" s="316">
        <v>17.794343719736812</v>
      </c>
      <c r="Q763" s="316">
        <v>9.4850125105933323</v>
      </c>
      <c r="R763" s="316">
        <v>56.008696845444504</v>
      </c>
      <c r="S763" s="316">
        <v>63.1217108716043</v>
      </c>
      <c r="T763" s="316">
        <v>51.49712682967732</v>
      </c>
      <c r="U763" s="316">
        <v>21.113046071872233</v>
      </c>
      <c r="V763" s="317">
        <v>440.10344148648988</v>
      </c>
      <c r="W763" s="317">
        <v>999.39927939191341</v>
      </c>
      <c r="X763" s="316">
        <v>102.65462573002262</v>
      </c>
      <c r="Y763" s="332">
        <v>1102.0539051219359</v>
      </c>
    </row>
    <row r="764" spans="1:25" x14ac:dyDescent="0.2">
      <c r="A764" s="233">
        <v>2021</v>
      </c>
      <c r="B764" s="316" t="s">
        <v>466</v>
      </c>
      <c r="C764" s="316" t="s">
        <v>90</v>
      </c>
      <c r="D764" s="316" t="s">
        <v>470</v>
      </c>
      <c r="E764" s="316" t="s">
        <v>101</v>
      </c>
      <c r="F764" s="316" t="s">
        <v>94</v>
      </c>
      <c r="G764" s="316" t="s">
        <v>102</v>
      </c>
      <c r="H764" s="316">
        <v>9.9449270441811883</v>
      </c>
      <c r="I764" s="316">
        <v>11.516810076008205</v>
      </c>
      <c r="J764" s="317">
        <v>21.461737120189394</v>
      </c>
      <c r="K764" s="316">
        <v>658.54818297286113</v>
      </c>
      <c r="L764" s="316">
        <v>350.55223364022703</v>
      </c>
      <c r="M764" s="317">
        <v>1009.1004166130881</v>
      </c>
      <c r="N764" s="316">
        <v>57.109148691140412</v>
      </c>
      <c r="O764" s="316">
        <v>1373.2785550188321</v>
      </c>
      <c r="P764" s="316">
        <v>271.17484549298041</v>
      </c>
      <c r="Q764" s="316">
        <v>163.3114157790896</v>
      </c>
      <c r="R764" s="316">
        <v>798.75579808911823</v>
      </c>
      <c r="S764" s="316">
        <v>616.42241641728447</v>
      </c>
      <c r="T764" s="316">
        <v>880.36669076416638</v>
      </c>
      <c r="U764" s="316">
        <v>260.52916860777736</v>
      </c>
      <c r="V764" s="317">
        <v>4420.9480388603888</v>
      </c>
      <c r="W764" s="317">
        <v>5451.510192593666</v>
      </c>
      <c r="X764" s="316">
        <v>541.90012249026881</v>
      </c>
      <c r="Y764" s="332">
        <v>5993.4103150839346</v>
      </c>
    </row>
    <row r="765" spans="1:25" x14ac:dyDescent="0.2">
      <c r="A765" s="233">
        <v>2021</v>
      </c>
      <c r="B765" s="316" t="s">
        <v>466</v>
      </c>
      <c r="C765" s="316" t="s">
        <v>90</v>
      </c>
      <c r="D765" s="316" t="s">
        <v>471</v>
      </c>
      <c r="E765" s="316" t="s">
        <v>104</v>
      </c>
      <c r="F765" s="316" t="s">
        <v>94</v>
      </c>
      <c r="G765" s="316" t="s">
        <v>105</v>
      </c>
      <c r="H765" s="316">
        <v>38.795253347305717</v>
      </c>
      <c r="I765" s="316">
        <v>20.542258781225172</v>
      </c>
      <c r="J765" s="317">
        <v>59.337512128530889</v>
      </c>
      <c r="K765" s="316">
        <v>239.3086731987365</v>
      </c>
      <c r="L765" s="316">
        <v>81.785202100895688</v>
      </c>
      <c r="M765" s="317">
        <v>321.0938752996322</v>
      </c>
      <c r="N765" s="316">
        <v>76.989748592421194</v>
      </c>
      <c r="O765" s="316">
        <v>166.43319636719704</v>
      </c>
      <c r="P765" s="316">
        <v>40.61277331180883</v>
      </c>
      <c r="Q765" s="316">
        <v>26.648942172687825</v>
      </c>
      <c r="R765" s="316">
        <v>105.49279679148165</v>
      </c>
      <c r="S765" s="316">
        <v>103.91837380246473</v>
      </c>
      <c r="T765" s="316">
        <v>143.64328214179343</v>
      </c>
      <c r="U765" s="316">
        <v>37.576825371097492</v>
      </c>
      <c r="V765" s="317">
        <v>701.31593855095218</v>
      </c>
      <c r="W765" s="317">
        <v>1081.7473259791154</v>
      </c>
      <c r="X765" s="316">
        <v>110.443833551252</v>
      </c>
      <c r="Y765" s="332">
        <v>1192.1911595303675</v>
      </c>
    </row>
    <row r="766" spans="1:25" x14ac:dyDescent="0.2">
      <c r="A766" s="233">
        <v>2021</v>
      </c>
      <c r="B766" s="316" t="s">
        <v>466</v>
      </c>
      <c r="C766" s="316" t="s">
        <v>90</v>
      </c>
      <c r="D766" s="316" t="s">
        <v>470</v>
      </c>
      <c r="E766" s="316" t="s">
        <v>106</v>
      </c>
      <c r="F766" s="316" t="s">
        <v>94</v>
      </c>
      <c r="G766" s="316" t="s">
        <v>107</v>
      </c>
      <c r="H766" s="316">
        <v>4.0289912716348057</v>
      </c>
      <c r="I766" s="316">
        <v>2.1964101719206703</v>
      </c>
      <c r="J766" s="317">
        <v>6.2254014435554765</v>
      </c>
      <c r="K766" s="316">
        <v>419.52092505296548</v>
      </c>
      <c r="L766" s="316">
        <v>197.91714387038797</v>
      </c>
      <c r="M766" s="317">
        <v>617.43806892335351</v>
      </c>
      <c r="N766" s="316">
        <v>96.429297121108007</v>
      </c>
      <c r="O766" s="316">
        <v>185.82458672276255</v>
      </c>
      <c r="P766" s="316">
        <v>41.438425747624017</v>
      </c>
      <c r="Q766" s="316">
        <v>22.745319264093386</v>
      </c>
      <c r="R766" s="316">
        <v>108.71656260970124</v>
      </c>
      <c r="S766" s="316">
        <v>100.63245435804144</v>
      </c>
      <c r="T766" s="316">
        <v>99.128471501437218</v>
      </c>
      <c r="U766" s="316">
        <v>34.234706323510608</v>
      </c>
      <c r="V766" s="317">
        <v>689.14982364827847</v>
      </c>
      <c r="W766" s="317">
        <v>1312.8132940151875</v>
      </c>
      <c r="X766" s="316">
        <v>130.45359532183372</v>
      </c>
      <c r="Y766" s="332">
        <v>1443.2668893370212</v>
      </c>
    </row>
    <row r="767" spans="1:25" x14ac:dyDescent="0.2">
      <c r="A767" s="233">
        <v>2021</v>
      </c>
      <c r="B767" s="316" t="s">
        <v>466</v>
      </c>
      <c r="C767" s="316" t="s">
        <v>90</v>
      </c>
      <c r="D767" s="316" t="s">
        <v>471</v>
      </c>
      <c r="E767" s="316" t="s">
        <v>109</v>
      </c>
      <c r="F767" s="316" t="s">
        <v>94</v>
      </c>
      <c r="G767" s="316" t="s">
        <v>110</v>
      </c>
      <c r="H767" s="316">
        <v>17.893934189638109</v>
      </c>
      <c r="I767" s="316">
        <v>0</v>
      </c>
      <c r="J767" s="317">
        <v>17.893934189638109</v>
      </c>
      <c r="K767" s="316">
        <v>1798.7819905430692</v>
      </c>
      <c r="L767" s="316">
        <v>346.8871481512939</v>
      </c>
      <c r="M767" s="317">
        <v>2145.669138694363</v>
      </c>
      <c r="N767" s="316">
        <v>262.30902903685484</v>
      </c>
      <c r="O767" s="316">
        <v>1548.0845941049386</v>
      </c>
      <c r="P767" s="316">
        <v>319.91548237048562</v>
      </c>
      <c r="Q767" s="316">
        <v>481.06899659316588</v>
      </c>
      <c r="R767" s="316">
        <v>1242.4982923632979</v>
      </c>
      <c r="S767" s="316">
        <v>847.33839180049176</v>
      </c>
      <c r="T767" s="316">
        <v>981.16309220779874</v>
      </c>
      <c r="U767" s="316">
        <v>347.88396928153372</v>
      </c>
      <c r="V767" s="317">
        <v>6030.2618477585665</v>
      </c>
      <c r="W767" s="317">
        <v>8193.824920642568</v>
      </c>
      <c r="X767" s="316">
        <v>810.31522938353646</v>
      </c>
      <c r="Y767" s="332">
        <v>9004.1401500261054</v>
      </c>
    </row>
    <row r="768" spans="1:25" x14ac:dyDescent="0.2">
      <c r="A768" s="233">
        <v>2021</v>
      </c>
      <c r="B768" s="316" t="s">
        <v>466</v>
      </c>
      <c r="C768" s="316" t="s">
        <v>90</v>
      </c>
      <c r="D768" s="316" t="s">
        <v>470</v>
      </c>
      <c r="E768" s="316" t="s">
        <v>112</v>
      </c>
      <c r="F768" s="316" t="s">
        <v>94</v>
      </c>
      <c r="G768" s="316" t="s">
        <v>113</v>
      </c>
      <c r="H768" s="316">
        <v>74.865651629725562</v>
      </c>
      <c r="I768" s="316">
        <v>74.827274243849502</v>
      </c>
      <c r="J768" s="317">
        <v>149.69292587357506</v>
      </c>
      <c r="K768" s="316">
        <v>1043.4774566693131</v>
      </c>
      <c r="L768" s="316">
        <v>455.36227398807335</v>
      </c>
      <c r="M768" s="317">
        <v>1498.8397306573866</v>
      </c>
      <c r="N768" s="316">
        <v>44.176662769075321</v>
      </c>
      <c r="O768" s="316">
        <v>291.88981326724962</v>
      </c>
      <c r="P768" s="316">
        <v>33.007736566509848</v>
      </c>
      <c r="Q768" s="316">
        <v>23.186787071546508</v>
      </c>
      <c r="R768" s="316">
        <v>99.468399176921352</v>
      </c>
      <c r="S768" s="316">
        <v>101.64412179642207</v>
      </c>
      <c r="T768" s="316">
        <v>96.883914964371854</v>
      </c>
      <c r="U768" s="316">
        <v>31.311212958890909</v>
      </c>
      <c r="V768" s="317">
        <v>721.56864857098742</v>
      </c>
      <c r="W768" s="317">
        <v>2370.101305101949</v>
      </c>
      <c r="X768" s="316">
        <v>237.52430237826098</v>
      </c>
      <c r="Y768" s="332">
        <v>2607.62560748021</v>
      </c>
    </row>
    <row r="769" spans="1:25" x14ac:dyDescent="0.2">
      <c r="A769" s="233">
        <v>2021</v>
      </c>
      <c r="B769" s="316" t="s">
        <v>466</v>
      </c>
      <c r="C769" s="316" t="s">
        <v>90</v>
      </c>
      <c r="D769" s="316" t="s">
        <v>471</v>
      </c>
      <c r="E769" s="316" t="s">
        <v>115</v>
      </c>
      <c r="F769" s="316" t="s">
        <v>94</v>
      </c>
      <c r="G769" s="316" t="s">
        <v>116</v>
      </c>
      <c r="H769" s="316">
        <v>0.63066519059845338</v>
      </c>
      <c r="I769" s="316">
        <v>0</v>
      </c>
      <c r="J769" s="317">
        <v>0.63066519059845338</v>
      </c>
      <c r="K769" s="316">
        <v>2388.0477453429189</v>
      </c>
      <c r="L769" s="316">
        <v>501.70568894059903</v>
      </c>
      <c r="M769" s="317">
        <v>2889.7534342835179</v>
      </c>
      <c r="N769" s="316">
        <v>97.463304201547388</v>
      </c>
      <c r="O769" s="316">
        <v>1518.8297883323519</v>
      </c>
      <c r="P769" s="316">
        <v>249.53984200746868</v>
      </c>
      <c r="Q769" s="316">
        <v>230.55267429438243</v>
      </c>
      <c r="R769" s="316">
        <v>767.8878396267163</v>
      </c>
      <c r="S769" s="316">
        <v>664.55727492110975</v>
      </c>
      <c r="T769" s="316">
        <v>696.63409351725898</v>
      </c>
      <c r="U769" s="316">
        <v>220.49854936484195</v>
      </c>
      <c r="V769" s="317">
        <v>4445.963366265677</v>
      </c>
      <c r="W769" s="317">
        <v>7336.3474657397937</v>
      </c>
      <c r="X769" s="316">
        <v>721.57248333851601</v>
      </c>
      <c r="Y769" s="332">
        <v>8057.9199490783094</v>
      </c>
    </row>
    <row r="770" spans="1:25" x14ac:dyDescent="0.2">
      <c r="A770" s="233">
        <v>2021</v>
      </c>
      <c r="B770" s="316" t="s">
        <v>466</v>
      </c>
      <c r="C770" s="316" t="s">
        <v>90</v>
      </c>
      <c r="D770" s="316" t="s">
        <v>471</v>
      </c>
      <c r="E770" s="316" t="s">
        <v>118</v>
      </c>
      <c r="F770" s="316" t="s">
        <v>94</v>
      </c>
      <c r="G770" s="316" t="s">
        <v>119</v>
      </c>
      <c r="H770" s="316">
        <v>4.9353282506694871</v>
      </c>
      <c r="I770" s="316">
        <v>0</v>
      </c>
      <c r="J770" s="317">
        <v>4.9353282506694871</v>
      </c>
      <c r="K770" s="316">
        <v>847.82541374807795</v>
      </c>
      <c r="L770" s="316">
        <v>143.58346175495731</v>
      </c>
      <c r="M770" s="317">
        <v>991.40887550303523</v>
      </c>
      <c r="N770" s="316">
        <v>67.154127400192621</v>
      </c>
      <c r="O770" s="316">
        <v>246.02818682757757</v>
      </c>
      <c r="P770" s="316">
        <v>57.868750978328912</v>
      </c>
      <c r="Q770" s="316">
        <v>26.065721183752739</v>
      </c>
      <c r="R770" s="316">
        <v>181.45102246098787</v>
      </c>
      <c r="S770" s="316">
        <v>131.95519575000105</v>
      </c>
      <c r="T770" s="316">
        <v>109.09901965489911</v>
      </c>
      <c r="U770" s="316">
        <v>45.10572411135545</v>
      </c>
      <c r="V770" s="317">
        <v>864.72774836709539</v>
      </c>
      <c r="W770" s="317">
        <v>1861.0719521208002</v>
      </c>
      <c r="X770" s="316">
        <v>182.25577914150068</v>
      </c>
      <c r="Y770" s="332">
        <v>2043.3277312623009</v>
      </c>
    </row>
    <row r="771" spans="1:25" x14ac:dyDescent="0.2">
      <c r="A771" s="233">
        <v>2021</v>
      </c>
      <c r="B771" s="316" t="s">
        <v>466</v>
      </c>
      <c r="C771" s="316" t="s">
        <v>90</v>
      </c>
      <c r="D771" s="316" t="s">
        <v>471</v>
      </c>
      <c r="E771" s="316" t="s">
        <v>120</v>
      </c>
      <c r="F771" s="316" t="s">
        <v>94</v>
      </c>
      <c r="G771" s="316" t="s">
        <v>121</v>
      </c>
      <c r="H771" s="316">
        <v>4.3488498103542499</v>
      </c>
      <c r="I771" s="316">
        <v>0</v>
      </c>
      <c r="J771" s="317">
        <v>4.3488498103542499</v>
      </c>
      <c r="K771" s="316">
        <v>1026.3641511376516</v>
      </c>
      <c r="L771" s="316">
        <v>134.33499414496586</v>
      </c>
      <c r="M771" s="317">
        <v>1160.6991452826173</v>
      </c>
      <c r="N771" s="316">
        <v>43.395790775679849</v>
      </c>
      <c r="O771" s="316">
        <v>564.33623343020759</v>
      </c>
      <c r="P771" s="316">
        <v>99.629033536631297</v>
      </c>
      <c r="Q771" s="316">
        <v>84.274367044981062</v>
      </c>
      <c r="R771" s="316">
        <v>322.41970326797673</v>
      </c>
      <c r="S771" s="316">
        <v>275.48231003560795</v>
      </c>
      <c r="T771" s="316">
        <v>388.23955075023042</v>
      </c>
      <c r="U771" s="316">
        <v>82.783607688914472</v>
      </c>
      <c r="V771" s="317">
        <v>1860.5605965302293</v>
      </c>
      <c r="W771" s="317">
        <v>3025.6085916232009</v>
      </c>
      <c r="X771" s="316">
        <v>297.51064172062695</v>
      </c>
      <c r="Y771" s="332">
        <v>3323.119233343828</v>
      </c>
    </row>
    <row r="772" spans="1:25" x14ac:dyDescent="0.2">
      <c r="A772" s="233">
        <v>2021</v>
      </c>
      <c r="B772" s="316" t="s">
        <v>466</v>
      </c>
      <c r="C772" s="316" t="s">
        <v>122</v>
      </c>
      <c r="D772" s="316" t="s">
        <v>472</v>
      </c>
      <c r="E772" s="316" t="s">
        <v>125</v>
      </c>
      <c r="F772" s="316" t="s">
        <v>126</v>
      </c>
      <c r="G772" s="316" t="s">
        <v>128</v>
      </c>
      <c r="H772" s="316">
        <v>29.664496185158612</v>
      </c>
      <c r="I772" s="316">
        <v>15.670722079155761</v>
      </c>
      <c r="J772" s="317">
        <v>45.335218264314371</v>
      </c>
      <c r="K772" s="316">
        <v>8.8047062376146759</v>
      </c>
      <c r="L772" s="316">
        <v>11.873813824243665</v>
      </c>
      <c r="M772" s="317">
        <v>20.678520061858343</v>
      </c>
      <c r="N772" s="316">
        <v>15.384022712107662</v>
      </c>
      <c r="O772" s="316">
        <v>72.798142414546192</v>
      </c>
      <c r="P772" s="316">
        <v>12.089785987703989</v>
      </c>
      <c r="Q772" s="316">
        <v>4.9769592755102838</v>
      </c>
      <c r="R772" s="316">
        <v>24.733174118811334</v>
      </c>
      <c r="S772" s="316">
        <v>33.693614997670934</v>
      </c>
      <c r="T772" s="316">
        <v>68.766049643141372</v>
      </c>
      <c r="U772" s="316">
        <v>13.908462352112489</v>
      </c>
      <c r="V772" s="317">
        <v>246.35021150160424</v>
      </c>
      <c r="W772" s="317">
        <v>312.36394982777699</v>
      </c>
      <c r="X772" s="316">
        <v>33.436915952116642</v>
      </c>
      <c r="Y772" s="332">
        <v>345.80086577989363</v>
      </c>
    </row>
    <row r="773" spans="1:25" x14ac:dyDescent="0.2">
      <c r="A773" s="233">
        <v>2021</v>
      </c>
      <c r="B773" s="316" t="s">
        <v>466</v>
      </c>
      <c r="C773" s="316" t="s">
        <v>122</v>
      </c>
      <c r="D773" s="316" t="s">
        <v>472</v>
      </c>
      <c r="E773" s="316" t="s">
        <v>130</v>
      </c>
      <c r="F773" s="316" t="s">
        <v>126</v>
      </c>
      <c r="G773" s="316" t="s">
        <v>131</v>
      </c>
      <c r="H773" s="316">
        <v>433.4512886295538</v>
      </c>
      <c r="I773" s="316">
        <v>228.99155446556952</v>
      </c>
      <c r="J773" s="317">
        <v>662.44284309512329</v>
      </c>
      <c r="K773" s="316">
        <v>18.911965536720057</v>
      </c>
      <c r="L773" s="316">
        <v>43.68943745287423</v>
      </c>
      <c r="M773" s="317">
        <v>62.601402989594291</v>
      </c>
      <c r="N773" s="316">
        <v>36.78877566745485</v>
      </c>
      <c r="O773" s="316">
        <v>294.48399937262866</v>
      </c>
      <c r="P773" s="316">
        <v>31.650981993793842</v>
      </c>
      <c r="Q773" s="316">
        <v>23.374171505331017</v>
      </c>
      <c r="R773" s="316">
        <v>68.393067028511609</v>
      </c>
      <c r="S773" s="316">
        <v>107.49276443239114</v>
      </c>
      <c r="T773" s="316">
        <v>200.45409021326731</v>
      </c>
      <c r="U773" s="316">
        <v>31.020284749000464</v>
      </c>
      <c r="V773" s="317">
        <v>793.65813496237888</v>
      </c>
      <c r="W773" s="317">
        <v>1518.7023810470964</v>
      </c>
      <c r="X773" s="316">
        <v>180.07039733256678</v>
      </c>
      <c r="Y773" s="332">
        <v>1698.7727783796631</v>
      </c>
    </row>
    <row r="774" spans="1:25" x14ac:dyDescent="0.2">
      <c r="A774" s="233">
        <v>2021</v>
      </c>
      <c r="B774" s="316" t="s">
        <v>466</v>
      </c>
      <c r="C774" s="316" t="s">
        <v>122</v>
      </c>
      <c r="D774" s="316" t="s">
        <v>472</v>
      </c>
      <c r="E774" s="316" t="s">
        <v>133</v>
      </c>
      <c r="F774" s="316" t="s">
        <v>126</v>
      </c>
      <c r="G774" s="316" t="s">
        <v>134</v>
      </c>
      <c r="H774" s="316">
        <v>255.17186283088262</v>
      </c>
      <c r="I774" s="316">
        <v>134.80772772987746</v>
      </c>
      <c r="J774" s="317">
        <v>389.97959056076007</v>
      </c>
      <c r="K774" s="316">
        <v>13.510691167665708</v>
      </c>
      <c r="L774" s="316">
        <v>13.86693568628942</v>
      </c>
      <c r="M774" s="317">
        <v>27.377626853955128</v>
      </c>
      <c r="N774" s="316">
        <v>17.939501207751285</v>
      </c>
      <c r="O774" s="316">
        <v>122.04531926341716</v>
      </c>
      <c r="P774" s="316">
        <v>15.762147692453135</v>
      </c>
      <c r="Q774" s="316">
        <v>8.3782139250465928</v>
      </c>
      <c r="R774" s="316">
        <v>40.167119512007368</v>
      </c>
      <c r="S774" s="316">
        <v>49.653996419914037</v>
      </c>
      <c r="T774" s="316">
        <v>83.872677876787677</v>
      </c>
      <c r="U774" s="316">
        <v>20.748580099609192</v>
      </c>
      <c r="V774" s="317">
        <v>358.56755599698641</v>
      </c>
      <c r="W774" s="317">
        <v>775.92477341170161</v>
      </c>
      <c r="X774" s="316">
        <v>93.860758027046899</v>
      </c>
      <c r="Y774" s="332">
        <v>869.78553143874854</v>
      </c>
    </row>
    <row r="775" spans="1:25" x14ac:dyDescent="0.2">
      <c r="A775" s="233">
        <v>2021</v>
      </c>
      <c r="B775" s="316" t="s">
        <v>466</v>
      </c>
      <c r="C775" s="316" t="s">
        <v>122</v>
      </c>
      <c r="D775" s="316" t="s">
        <v>472</v>
      </c>
      <c r="E775" s="316" t="s">
        <v>135</v>
      </c>
      <c r="F775" s="316" t="s">
        <v>126</v>
      </c>
      <c r="G775" s="316" t="s">
        <v>136</v>
      </c>
      <c r="H775" s="316">
        <v>32.176429258472609</v>
      </c>
      <c r="I775" s="316">
        <v>16.997757973637938</v>
      </c>
      <c r="J775" s="317">
        <v>49.174187232110548</v>
      </c>
      <c r="K775" s="316">
        <v>4.863727448518711</v>
      </c>
      <c r="L775" s="316">
        <v>9.7075424973768207</v>
      </c>
      <c r="M775" s="317">
        <v>14.571269945895532</v>
      </c>
      <c r="N775" s="316">
        <v>10.715573739041707</v>
      </c>
      <c r="O775" s="316">
        <v>58.531879696114594</v>
      </c>
      <c r="P775" s="316">
        <v>6.1230851604650862</v>
      </c>
      <c r="Q775" s="316">
        <v>3.478347572170795</v>
      </c>
      <c r="R775" s="316">
        <v>15.374429091939698</v>
      </c>
      <c r="S775" s="316">
        <v>21.738535183993751</v>
      </c>
      <c r="T775" s="316">
        <v>43.737527342564931</v>
      </c>
      <c r="U775" s="316">
        <v>8.1126905114905732</v>
      </c>
      <c r="V775" s="317">
        <v>167.81206829778111</v>
      </c>
      <c r="W775" s="317">
        <v>231.55752547578717</v>
      </c>
      <c r="X775" s="316">
        <v>25.496711075934741</v>
      </c>
      <c r="Y775" s="332">
        <v>257.05423655172194</v>
      </c>
    </row>
    <row r="776" spans="1:25" x14ac:dyDescent="0.2">
      <c r="A776" s="233">
        <v>2021</v>
      </c>
      <c r="B776" s="316" t="s">
        <v>466</v>
      </c>
      <c r="C776" s="316" t="s">
        <v>122</v>
      </c>
      <c r="D776" s="316" t="s">
        <v>472</v>
      </c>
      <c r="E776" s="316" t="s">
        <v>137</v>
      </c>
      <c r="F776" s="316" t="s">
        <v>126</v>
      </c>
      <c r="G776" s="316" t="s">
        <v>138</v>
      </c>
      <c r="H776" s="316">
        <v>24.966833374139956</v>
      </c>
      <c r="I776" s="316">
        <v>13.189163510996146</v>
      </c>
      <c r="J776" s="317">
        <v>38.155996885136105</v>
      </c>
      <c r="K776" s="316">
        <v>7.3668219946416587</v>
      </c>
      <c r="L776" s="316">
        <v>9.4729639936200005</v>
      </c>
      <c r="M776" s="317">
        <v>16.83978598826166</v>
      </c>
      <c r="N776" s="316">
        <v>7.4833979292075323</v>
      </c>
      <c r="O776" s="316">
        <v>65.358150713814354</v>
      </c>
      <c r="P776" s="316">
        <v>13.073220800097495</v>
      </c>
      <c r="Q776" s="316">
        <v>6.3847149580656319</v>
      </c>
      <c r="R776" s="316">
        <v>24.706835586101068</v>
      </c>
      <c r="S776" s="316">
        <v>29.115004595831039</v>
      </c>
      <c r="T776" s="316">
        <v>53.369172762737932</v>
      </c>
      <c r="U776" s="316">
        <v>11.208683652574464</v>
      </c>
      <c r="V776" s="317">
        <v>210.69918099842948</v>
      </c>
      <c r="W776" s="317">
        <v>265.69496387182727</v>
      </c>
      <c r="X776" s="316">
        <v>28.269524461118042</v>
      </c>
      <c r="Y776" s="332">
        <v>293.96448833294534</v>
      </c>
    </row>
    <row r="777" spans="1:25" x14ac:dyDescent="0.2">
      <c r="A777" s="233">
        <v>2021</v>
      </c>
      <c r="B777" s="316" t="s">
        <v>466</v>
      </c>
      <c r="C777" s="316" t="s">
        <v>122</v>
      </c>
      <c r="D777" s="316" t="s">
        <v>472</v>
      </c>
      <c r="E777" s="316" t="s">
        <v>139</v>
      </c>
      <c r="F777" s="316" t="s">
        <v>126</v>
      </c>
      <c r="G777" s="316" t="s">
        <v>140</v>
      </c>
      <c r="H777" s="316">
        <v>47.980213343731691</v>
      </c>
      <c r="I777" s="316">
        <v>27.518917046994559</v>
      </c>
      <c r="J777" s="317">
        <v>75.499130390726251</v>
      </c>
      <c r="K777" s="316">
        <v>6.4815292865376914</v>
      </c>
      <c r="L777" s="316">
        <v>8.3880291731800956</v>
      </c>
      <c r="M777" s="317">
        <v>14.869558459717787</v>
      </c>
      <c r="N777" s="316">
        <v>18.153213786385148</v>
      </c>
      <c r="O777" s="316">
        <v>45.695852856566212</v>
      </c>
      <c r="P777" s="316">
        <v>5.4792607267731874</v>
      </c>
      <c r="Q777" s="316">
        <v>2.726938161932877</v>
      </c>
      <c r="R777" s="316">
        <v>12.415988858276801</v>
      </c>
      <c r="S777" s="316">
        <v>23.250024649784269</v>
      </c>
      <c r="T777" s="316">
        <v>59.674653173105654</v>
      </c>
      <c r="U777" s="316">
        <v>5.2713344169585552</v>
      </c>
      <c r="V777" s="317">
        <v>172.66726662978272</v>
      </c>
      <c r="W777" s="317">
        <v>263.03595548022673</v>
      </c>
      <c r="X777" s="316">
        <v>29.8623840841232</v>
      </c>
      <c r="Y777" s="332">
        <v>292.89833956434995</v>
      </c>
    </row>
    <row r="778" spans="1:25" x14ac:dyDescent="0.2">
      <c r="A778" s="233">
        <v>2021</v>
      </c>
      <c r="B778" s="316" t="s">
        <v>466</v>
      </c>
      <c r="C778" s="316" t="s">
        <v>141</v>
      </c>
      <c r="D778" s="316" t="s">
        <v>473</v>
      </c>
      <c r="E778" s="316" t="s">
        <v>143</v>
      </c>
      <c r="F778" s="316" t="s">
        <v>144</v>
      </c>
      <c r="G778" s="316" t="s">
        <v>146</v>
      </c>
      <c r="H778" s="316">
        <v>3.9842970795140049</v>
      </c>
      <c r="I778" s="316">
        <v>2.1047625398269316</v>
      </c>
      <c r="J778" s="317">
        <v>6.0890596193409365</v>
      </c>
      <c r="K778" s="316">
        <v>2.0382401574212374</v>
      </c>
      <c r="L778" s="316">
        <v>1.4150947779788496</v>
      </c>
      <c r="M778" s="317">
        <v>3.4533349354000871</v>
      </c>
      <c r="N778" s="316">
        <v>7.3070540611483557</v>
      </c>
      <c r="O778" s="316">
        <v>6.1106791828538682</v>
      </c>
      <c r="P778" s="316">
        <v>1.2812404512595443</v>
      </c>
      <c r="Q778" s="316">
        <v>0.81965514151758867</v>
      </c>
      <c r="R778" s="316">
        <v>4.7947995865909361</v>
      </c>
      <c r="S778" s="316">
        <v>5.9078288977751381</v>
      </c>
      <c r="T778" s="316">
        <v>7.8880566236986756</v>
      </c>
      <c r="U778" s="316">
        <v>1.6863551900786875</v>
      </c>
      <c r="V778" s="317">
        <v>35.79566913492279</v>
      </c>
      <c r="W778" s="317">
        <v>45.338063689663812</v>
      </c>
      <c r="X778" s="316">
        <v>4.9218278303510949</v>
      </c>
      <c r="Y778" s="332">
        <v>50.259891520014904</v>
      </c>
    </row>
    <row r="779" spans="1:25" x14ac:dyDescent="0.2">
      <c r="A779" s="233">
        <v>2021</v>
      </c>
      <c r="B779" s="316" t="s">
        <v>466</v>
      </c>
      <c r="C779" s="316" t="s">
        <v>141</v>
      </c>
      <c r="D779" s="316" t="s">
        <v>473</v>
      </c>
      <c r="E779" s="316" t="s">
        <v>147</v>
      </c>
      <c r="F779" s="316" t="s">
        <v>144</v>
      </c>
      <c r="G779" s="316" t="s">
        <v>148</v>
      </c>
      <c r="H779" s="316">
        <v>14.761754251916368</v>
      </c>
      <c r="I779" s="316">
        <v>9.4883493143861077</v>
      </c>
      <c r="J779" s="317">
        <v>24.250103566302478</v>
      </c>
      <c r="K779" s="316">
        <v>3.6514559814957273</v>
      </c>
      <c r="L779" s="316">
        <v>3.1166547229605026</v>
      </c>
      <c r="M779" s="317">
        <v>6.7681107044562303</v>
      </c>
      <c r="N779" s="316">
        <v>1.3551405583897675</v>
      </c>
      <c r="O779" s="316">
        <v>15.112947155975545</v>
      </c>
      <c r="P779" s="316">
        <v>2.0512152781460227</v>
      </c>
      <c r="Q779" s="316">
        <v>1.5522823117235851</v>
      </c>
      <c r="R779" s="316">
        <v>8.5265795451946751</v>
      </c>
      <c r="S779" s="316">
        <v>9.7075992595555594</v>
      </c>
      <c r="T779" s="316">
        <v>22.082473245669824</v>
      </c>
      <c r="U779" s="316">
        <v>3.8874101201347058</v>
      </c>
      <c r="V779" s="317">
        <v>64.275647474789679</v>
      </c>
      <c r="W779" s="317">
        <v>95.293861745548384</v>
      </c>
      <c r="X779" s="316">
        <v>10.527608906551761</v>
      </c>
      <c r="Y779" s="332">
        <v>105.82147065210015</v>
      </c>
    </row>
    <row r="780" spans="1:25" x14ac:dyDescent="0.2">
      <c r="A780" s="233">
        <v>2021</v>
      </c>
      <c r="B780" s="316" t="s">
        <v>466</v>
      </c>
      <c r="C780" s="316" t="s">
        <v>141</v>
      </c>
      <c r="D780" s="316" t="s">
        <v>474</v>
      </c>
      <c r="E780" s="316" t="s">
        <v>149</v>
      </c>
      <c r="F780" s="316" t="s">
        <v>144</v>
      </c>
      <c r="G780" s="316" t="s">
        <v>150</v>
      </c>
      <c r="H780" s="316">
        <v>18.937785959810491</v>
      </c>
      <c r="I780" s="316">
        <v>28.260981141628324</v>
      </c>
      <c r="J780" s="317">
        <v>47.198767101438818</v>
      </c>
      <c r="K780" s="316">
        <v>29.72538845466865</v>
      </c>
      <c r="L780" s="316">
        <v>22.514167102089615</v>
      </c>
      <c r="M780" s="317">
        <v>52.239555556758262</v>
      </c>
      <c r="N780" s="316">
        <v>46.841023185046403</v>
      </c>
      <c r="O780" s="316">
        <v>140.87418425655224</v>
      </c>
      <c r="P780" s="316">
        <v>25.016754730349309</v>
      </c>
      <c r="Q780" s="316">
        <v>20.613721279316376</v>
      </c>
      <c r="R780" s="316">
        <v>53.725851725545994</v>
      </c>
      <c r="S780" s="316">
        <v>64.435549373440807</v>
      </c>
      <c r="T780" s="316">
        <v>71.521415138875199</v>
      </c>
      <c r="U780" s="316">
        <v>21.484907890689669</v>
      </c>
      <c r="V780" s="317">
        <v>444.51340757981598</v>
      </c>
      <c r="W780" s="317">
        <v>543.95173023801306</v>
      </c>
      <c r="X780" s="316">
        <v>57.773276454155386</v>
      </c>
      <c r="Y780" s="332">
        <v>601.72500669216845</v>
      </c>
    </row>
    <row r="781" spans="1:25" x14ac:dyDescent="0.2">
      <c r="A781" s="233">
        <v>2021</v>
      </c>
      <c r="B781" s="316" t="s">
        <v>466</v>
      </c>
      <c r="C781" s="316" t="s">
        <v>141</v>
      </c>
      <c r="D781" s="316" t="s">
        <v>474</v>
      </c>
      <c r="E781" s="316" t="s">
        <v>151</v>
      </c>
      <c r="F781" s="316" t="s">
        <v>144</v>
      </c>
      <c r="G781" s="316" t="s">
        <v>152</v>
      </c>
      <c r="H781" s="316">
        <v>1.2464631635109791</v>
      </c>
      <c r="I781" s="316">
        <v>65.367031091689768</v>
      </c>
      <c r="J781" s="317">
        <v>66.613494255200749</v>
      </c>
      <c r="K781" s="316">
        <v>27.96733667482134</v>
      </c>
      <c r="L781" s="316">
        <v>19.103151306882761</v>
      </c>
      <c r="M781" s="317">
        <v>47.070487981704105</v>
      </c>
      <c r="N781" s="316">
        <v>42.561210414971427</v>
      </c>
      <c r="O781" s="316">
        <v>42.563985725300874</v>
      </c>
      <c r="P781" s="316">
        <v>8.5703773183359253</v>
      </c>
      <c r="Q781" s="316">
        <v>4.625169570316725</v>
      </c>
      <c r="R781" s="316">
        <v>25.311550351330219</v>
      </c>
      <c r="S781" s="316">
        <v>86.654669661079296</v>
      </c>
      <c r="T781" s="316">
        <v>49.264467213015543</v>
      </c>
      <c r="U781" s="316">
        <v>13.224623932378874</v>
      </c>
      <c r="V781" s="317">
        <v>272.77605418672886</v>
      </c>
      <c r="W781" s="317">
        <v>386.46003642363371</v>
      </c>
      <c r="X781" s="316">
        <v>43.456380536257996</v>
      </c>
      <c r="Y781" s="332">
        <v>429.91641695989171</v>
      </c>
    </row>
    <row r="782" spans="1:25" x14ac:dyDescent="0.2">
      <c r="A782" s="233">
        <v>2021</v>
      </c>
      <c r="B782" s="316" t="s">
        <v>466</v>
      </c>
      <c r="C782" s="316" t="s">
        <v>141</v>
      </c>
      <c r="D782" s="316" t="s">
        <v>474</v>
      </c>
      <c r="E782" s="316" t="s">
        <v>153</v>
      </c>
      <c r="F782" s="316" t="s">
        <v>144</v>
      </c>
      <c r="G782" s="316" t="s">
        <v>154</v>
      </c>
      <c r="H782" s="316">
        <v>2.479946168765307</v>
      </c>
      <c r="I782" s="316">
        <v>6.9146033646317102</v>
      </c>
      <c r="J782" s="317">
        <v>9.3945495333970168</v>
      </c>
      <c r="K782" s="316">
        <v>10.494831218273218</v>
      </c>
      <c r="L782" s="316">
        <v>12.988954242715204</v>
      </c>
      <c r="M782" s="317">
        <v>23.483785460988422</v>
      </c>
      <c r="N782" s="316">
        <v>6.5061434279531367</v>
      </c>
      <c r="O782" s="316">
        <v>63.989597893792684</v>
      </c>
      <c r="P782" s="316">
        <v>4.5821245757678666</v>
      </c>
      <c r="Q782" s="316">
        <v>2.1127127053725134</v>
      </c>
      <c r="R782" s="316">
        <v>14.416164495727973</v>
      </c>
      <c r="S782" s="316">
        <v>20.516400118749992</v>
      </c>
      <c r="T782" s="316">
        <v>25.897256497046826</v>
      </c>
      <c r="U782" s="316">
        <v>5.7188938538883836</v>
      </c>
      <c r="V782" s="317">
        <v>143.73929356829936</v>
      </c>
      <c r="W782" s="317">
        <v>176.61762856268481</v>
      </c>
      <c r="X782" s="316">
        <v>18.473362424479607</v>
      </c>
      <c r="Y782" s="332">
        <v>195.09099098716442</v>
      </c>
    </row>
    <row r="783" spans="1:25" x14ac:dyDescent="0.2">
      <c r="A783" s="233">
        <v>2021</v>
      </c>
      <c r="B783" s="316" t="s">
        <v>466</v>
      </c>
      <c r="C783" s="316" t="s">
        <v>141</v>
      </c>
      <c r="D783" s="316" t="s">
        <v>474</v>
      </c>
      <c r="E783" s="316" t="s">
        <v>155</v>
      </c>
      <c r="F783" s="316" t="s">
        <v>144</v>
      </c>
      <c r="G783" s="316" t="s">
        <v>156</v>
      </c>
      <c r="H783" s="316">
        <v>7.2792921507334878</v>
      </c>
      <c r="I783" s="316">
        <v>380.70222780214084</v>
      </c>
      <c r="J783" s="317">
        <v>387.98151995287435</v>
      </c>
      <c r="K783" s="316">
        <v>6.9271853304821818</v>
      </c>
      <c r="L783" s="316">
        <v>9.17099664295149</v>
      </c>
      <c r="M783" s="317">
        <v>16.098181973433672</v>
      </c>
      <c r="N783" s="316">
        <v>6.5867755176521481</v>
      </c>
      <c r="O783" s="316">
        <v>16.54544103514278</v>
      </c>
      <c r="P783" s="316">
        <v>3.4169651319440719</v>
      </c>
      <c r="Q783" s="316">
        <v>1.4704877076357672</v>
      </c>
      <c r="R783" s="316">
        <v>10.995333071249345</v>
      </c>
      <c r="S783" s="316">
        <v>113.53141921112206</v>
      </c>
      <c r="T783" s="316">
        <v>19.467892249383077</v>
      </c>
      <c r="U783" s="316">
        <v>4.6666249693449373</v>
      </c>
      <c r="V783" s="317">
        <v>176.68093889347421</v>
      </c>
      <c r="W783" s="317">
        <v>580.76064081978222</v>
      </c>
      <c r="X783" s="316">
        <v>82.175716871379947</v>
      </c>
      <c r="Y783" s="332">
        <v>662.93635769116213</v>
      </c>
    </row>
    <row r="784" spans="1:25" x14ac:dyDescent="0.2">
      <c r="A784" s="233">
        <v>2021</v>
      </c>
      <c r="B784" s="316" t="s">
        <v>466</v>
      </c>
      <c r="C784" s="316" t="s">
        <v>157</v>
      </c>
      <c r="D784" s="316" t="s">
        <v>475</v>
      </c>
      <c r="E784" s="316" t="s">
        <v>159</v>
      </c>
      <c r="F784" s="316" t="s">
        <v>160</v>
      </c>
      <c r="G784" s="316" t="s">
        <v>161</v>
      </c>
      <c r="H784" s="316">
        <v>29.037790818833511</v>
      </c>
      <c r="I784" s="316">
        <v>15.448950226152881</v>
      </c>
      <c r="J784" s="317">
        <v>44.486741044986388</v>
      </c>
      <c r="K784" s="316">
        <v>25.865858078875203</v>
      </c>
      <c r="L784" s="316">
        <v>23.289578115265659</v>
      </c>
      <c r="M784" s="317">
        <v>49.155436194140862</v>
      </c>
      <c r="N784" s="316">
        <v>11.273513168727893</v>
      </c>
      <c r="O784" s="316">
        <v>203.57315897427225</v>
      </c>
      <c r="P784" s="316">
        <v>28.594506102063185</v>
      </c>
      <c r="Q784" s="316">
        <v>16.94374407037613</v>
      </c>
      <c r="R784" s="316">
        <v>99.828960875192436</v>
      </c>
      <c r="S784" s="316">
        <v>95.363927704199227</v>
      </c>
      <c r="T784" s="316">
        <v>157.23179985308113</v>
      </c>
      <c r="U784" s="316">
        <v>44.01044504038051</v>
      </c>
      <c r="V784" s="317">
        <v>656.82005578829273</v>
      </c>
      <c r="W784" s="317">
        <v>750.46223302741998</v>
      </c>
      <c r="X784" s="316">
        <v>77.009963900900772</v>
      </c>
      <c r="Y784" s="332">
        <v>827.47219692832073</v>
      </c>
    </row>
    <row r="785" spans="1:25" x14ac:dyDescent="0.2">
      <c r="A785" s="233">
        <v>2021</v>
      </c>
      <c r="B785" s="316" t="s">
        <v>466</v>
      </c>
      <c r="C785" s="316" t="s">
        <v>157</v>
      </c>
      <c r="D785" s="316" t="s">
        <v>476</v>
      </c>
      <c r="E785" s="316" t="s">
        <v>162</v>
      </c>
      <c r="F785" s="316" t="s">
        <v>160</v>
      </c>
      <c r="G785" s="316" t="s">
        <v>163</v>
      </c>
      <c r="H785" s="316">
        <v>23.623319912923737</v>
      </c>
      <c r="I785" s="316">
        <v>12.479368849892616</v>
      </c>
      <c r="J785" s="317">
        <v>36.102688762816356</v>
      </c>
      <c r="K785" s="316">
        <v>4.2956281861993055</v>
      </c>
      <c r="L785" s="316">
        <v>5.010450489265879</v>
      </c>
      <c r="M785" s="317">
        <v>9.3060786754651836</v>
      </c>
      <c r="N785" s="316">
        <v>4.7945590312568802</v>
      </c>
      <c r="O785" s="316">
        <v>32.609889121367544</v>
      </c>
      <c r="P785" s="316">
        <v>4.8623447501410517</v>
      </c>
      <c r="Q785" s="316">
        <v>2.5253716657404794</v>
      </c>
      <c r="R785" s="316">
        <v>15.138636645543128</v>
      </c>
      <c r="S785" s="316">
        <v>17.128457599789414</v>
      </c>
      <c r="T785" s="316">
        <v>34.235590685518133</v>
      </c>
      <c r="U785" s="316">
        <v>6.7946982461319401</v>
      </c>
      <c r="V785" s="317">
        <v>118.08954774548857</v>
      </c>
      <c r="W785" s="317">
        <v>163.4983151837701</v>
      </c>
      <c r="X785" s="316">
        <v>17.88992009275827</v>
      </c>
      <c r="Y785" s="332">
        <v>181.38823527652838</v>
      </c>
    </row>
    <row r="786" spans="1:25" x14ac:dyDescent="0.2">
      <c r="A786" s="233">
        <v>2021</v>
      </c>
      <c r="B786" s="316" t="s">
        <v>466</v>
      </c>
      <c r="C786" s="316" t="s">
        <v>157</v>
      </c>
      <c r="D786" s="316" t="s">
        <v>473</v>
      </c>
      <c r="E786" s="316" t="s">
        <v>164</v>
      </c>
      <c r="F786" s="316" t="s">
        <v>160</v>
      </c>
      <c r="G786" s="316" t="s">
        <v>165</v>
      </c>
      <c r="H786" s="316">
        <v>2.41611288586201</v>
      </c>
      <c r="I786" s="316">
        <v>1.2763463985010115</v>
      </c>
      <c r="J786" s="317">
        <v>3.6924592843630215</v>
      </c>
      <c r="K786" s="316">
        <v>5.8436329865043302</v>
      </c>
      <c r="L786" s="316">
        <v>2.9741315440817222</v>
      </c>
      <c r="M786" s="317">
        <v>8.8177645305860519</v>
      </c>
      <c r="N786" s="316">
        <v>5.1916021690234482</v>
      </c>
      <c r="O786" s="316">
        <v>24.327046133411965</v>
      </c>
      <c r="P786" s="316">
        <v>5.6034450753490441</v>
      </c>
      <c r="Q786" s="316">
        <v>2.9504263664607766</v>
      </c>
      <c r="R786" s="316">
        <v>14.56796608478599</v>
      </c>
      <c r="S786" s="316">
        <v>13.595411662693991</v>
      </c>
      <c r="T786" s="316">
        <v>20.705858117975811</v>
      </c>
      <c r="U786" s="316">
        <v>5.5888059796914389</v>
      </c>
      <c r="V786" s="317">
        <v>92.530561589392462</v>
      </c>
      <c r="W786" s="317">
        <v>105.04078540434153</v>
      </c>
      <c r="X786" s="316">
        <v>10.709211288512428</v>
      </c>
      <c r="Y786" s="332">
        <v>115.74999669285395</v>
      </c>
    </row>
    <row r="787" spans="1:25" x14ac:dyDescent="0.2">
      <c r="A787" s="233">
        <v>2021</v>
      </c>
      <c r="B787" s="316" t="s">
        <v>466</v>
      </c>
      <c r="C787" s="316" t="s">
        <v>157</v>
      </c>
      <c r="D787" s="316" t="s">
        <v>477</v>
      </c>
      <c r="E787" s="316" t="s">
        <v>166</v>
      </c>
      <c r="F787" s="316" t="s">
        <v>160</v>
      </c>
      <c r="G787" s="316" t="s">
        <v>168</v>
      </c>
      <c r="H787" s="316">
        <v>453.24760809762438</v>
      </c>
      <c r="I787" s="316">
        <v>243.17213530866474</v>
      </c>
      <c r="J787" s="317">
        <v>696.41974340628917</v>
      </c>
      <c r="K787" s="316">
        <v>14.141527025326333</v>
      </c>
      <c r="L787" s="316">
        <v>3.2553108845479009</v>
      </c>
      <c r="M787" s="317">
        <v>17.396837909874233</v>
      </c>
      <c r="N787" s="316">
        <v>14.28520125510086</v>
      </c>
      <c r="O787" s="316">
        <v>56.142914556032324</v>
      </c>
      <c r="P787" s="316">
        <v>8.7407139161020559</v>
      </c>
      <c r="Q787" s="316">
        <v>3.9383055878018216</v>
      </c>
      <c r="R787" s="316">
        <v>28.022068535707437</v>
      </c>
      <c r="S787" s="316">
        <v>28.004140047792649</v>
      </c>
      <c r="T787" s="316">
        <v>47.5611212218612</v>
      </c>
      <c r="U787" s="316">
        <v>11.880328169295668</v>
      </c>
      <c r="V787" s="317">
        <v>198.57479328969399</v>
      </c>
      <c r="W787" s="317">
        <v>912.39137460585744</v>
      </c>
      <c r="X787" s="316">
        <v>119.64989192274747</v>
      </c>
      <c r="Y787" s="332">
        <v>1032.0412665286049</v>
      </c>
    </row>
    <row r="788" spans="1:25" x14ac:dyDescent="0.2">
      <c r="A788" s="233">
        <v>2021</v>
      </c>
      <c r="B788" s="316" t="s">
        <v>466</v>
      </c>
      <c r="C788" s="316" t="s">
        <v>157</v>
      </c>
      <c r="D788" s="316" t="s">
        <v>473</v>
      </c>
      <c r="E788" s="316" t="s">
        <v>169</v>
      </c>
      <c r="F788" s="316" t="s">
        <v>160</v>
      </c>
      <c r="G788" s="316" t="s">
        <v>170</v>
      </c>
      <c r="H788" s="316">
        <v>20.060017157598907</v>
      </c>
      <c r="I788" s="316">
        <v>10.596993327818087</v>
      </c>
      <c r="J788" s="317">
        <v>30.657010485416993</v>
      </c>
      <c r="K788" s="316">
        <v>9.9042810560670933</v>
      </c>
      <c r="L788" s="316">
        <v>7.1332360753429045</v>
      </c>
      <c r="M788" s="317">
        <v>17.037517131409999</v>
      </c>
      <c r="N788" s="316">
        <v>2.5957620475555401</v>
      </c>
      <c r="O788" s="316">
        <v>30.691157526696468</v>
      </c>
      <c r="P788" s="316">
        <v>6.0526100582460494</v>
      </c>
      <c r="Q788" s="316">
        <v>2.8699157312880681</v>
      </c>
      <c r="R788" s="316">
        <v>20.918356159099446</v>
      </c>
      <c r="S788" s="316">
        <v>24.737797708947365</v>
      </c>
      <c r="T788" s="316">
        <v>41.58144564635559</v>
      </c>
      <c r="U788" s="316">
        <v>7.5109118294345825</v>
      </c>
      <c r="V788" s="317">
        <v>136.95795670762311</v>
      </c>
      <c r="W788" s="317">
        <v>184.65248432445011</v>
      </c>
      <c r="X788" s="316">
        <v>19.610539165295151</v>
      </c>
      <c r="Y788" s="332">
        <v>204.26302348974525</v>
      </c>
    </row>
    <row r="789" spans="1:25" x14ac:dyDescent="0.2">
      <c r="A789" s="233">
        <v>2021</v>
      </c>
      <c r="B789" s="316" t="s">
        <v>466</v>
      </c>
      <c r="C789" s="316" t="s">
        <v>157</v>
      </c>
      <c r="D789" s="316" t="s">
        <v>473</v>
      </c>
      <c r="E789" s="316" t="s">
        <v>171</v>
      </c>
      <c r="F789" s="316" t="s">
        <v>160</v>
      </c>
      <c r="G789" s="316" t="s">
        <v>172</v>
      </c>
      <c r="H789" s="316">
        <v>125.25028524024455</v>
      </c>
      <c r="I789" s="316">
        <v>66.165586353254881</v>
      </c>
      <c r="J789" s="317">
        <v>191.41587159349945</v>
      </c>
      <c r="K789" s="316">
        <v>12.527273392548826</v>
      </c>
      <c r="L789" s="316">
        <v>5.9958992133859867</v>
      </c>
      <c r="M789" s="317">
        <v>18.523172605934814</v>
      </c>
      <c r="N789" s="316">
        <v>4.6597756346316981</v>
      </c>
      <c r="O789" s="316">
        <v>18.503290249569812</v>
      </c>
      <c r="P789" s="316">
        <v>3.0750786854752845</v>
      </c>
      <c r="Q789" s="316">
        <v>1.7225597922486215</v>
      </c>
      <c r="R789" s="316">
        <v>12.033875338218959</v>
      </c>
      <c r="S789" s="316">
        <v>13.750717960872073</v>
      </c>
      <c r="T789" s="316">
        <v>20.821081732990539</v>
      </c>
      <c r="U789" s="316">
        <v>4.2574524259674593</v>
      </c>
      <c r="V789" s="317">
        <v>78.823831819974444</v>
      </c>
      <c r="W789" s="317">
        <v>288.76287601940874</v>
      </c>
      <c r="X789" s="316">
        <v>36.57335986289057</v>
      </c>
      <c r="Y789" s="332">
        <v>325.33623588229932</v>
      </c>
    </row>
    <row r="790" spans="1:25" x14ac:dyDescent="0.2">
      <c r="A790" s="233">
        <v>2021</v>
      </c>
      <c r="B790" s="316" t="s">
        <v>466</v>
      </c>
      <c r="C790" s="316" t="s">
        <v>157</v>
      </c>
      <c r="D790" s="316" t="s">
        <v>477</v>
      </c>
      <c r="E790" s="316" t="s">
        <v>173</v>
      </c>
      <c r="F790" s="316" t="s">
        <v>160</v>
      </c>
      <c r="G790" s="316" t="s">
        <v>174</v>
      </c>
      <c r="H790" s="316">
        <v>227.6901980347757</v>
      </c>
      <c r="I790" s="316">
        <v>120.28393946574474</v>
      </c>
      <c r="J790" s="317">
        <v>347.97413750052044</v>
      </c>
      <c r="K790" s="316">
        <v>20.991907307411193</v>
      </c>
      <c r="L790" s="316">
        <v>5.0747092013423849</v>
      </c>
      <c r="M790" s="317">
        <v>26.066616508753576</v>
      </c>
      <c r="N790" s="316">
        <v>21.839970501929173</v>
      </c>
      <c r="O790" s="316">
        <v>88.200281714905643</v>
      </c>
      <c r="P790" s="316">
        <v>23.111452111446379</v>
      </c>
      <c r="Q790" s="316">
        <v>7.34178300371841</v>
      </c>
      <c r="R790" s="316">
        <v>49.780030512334299</v>
      </c>
      <c r="S790" s="316">
        <v>47.491754546813453</v>
      </c>
      <c r="T790" s="316">
        <v>66.564946734554326</v>
      </c>
      <c r="U790" s="316">
        <v>20.458005913005714</v>
      </c>
      <c r="V790" s="317">
        <v>324.78822503870737</v>
      </c>
      <c r="W790" s="317">
        <v>698.82897904798142</v>
      </c>
      <c r="X790" s="316">
        <v>84.228982250617349</v>
      </c>
      <c r="Y790" s="332">
        <v>783.0579612985988</v>
      </c>
    </row>
    <row r="791" spans="1:25" x14ac:dyDescent="0.2">
      <c r="A791" s="233">
        <v>2021</v>
      </c>
      <c r="B791" s="316" t="s">
        <v>466</v>
      </c>
      <c r="C791" s="316" t="s">
        <v>157</v>
      </c>
      <c r="D791" s="316" t="s">
        <v>475</v>
      </c>
      <c r="E791" s="316" t="s">
        <v>175</v>
      </c>
      <c r="F791" s="316" t="s">
        <v>160</v>
      </c>
      <c r="G791" s="316" t="s">
        <v>176</v>
      </c>
      <c r="H791" s="316">
        <v>11.654764053038749</v>
      </c>
      <c r="I791" s="316">
        <v>6.1567978216610033</v>
      </c>
      <c r="J791" s="317">
        <v>17.811561874699752</v>
      </c>
      <c r="K791" s="316">
        <v>5.0421405734674636</v>
      </c>
      <c r="L791" s="316">
        <v>4.5903469379938011</v>
      </c>
      <c r="M791" s="317">
        <v>9.6324875114612638</v>
      </c>
      <c r="N791" s="316">
        <v>11.410717279101824</v>
      </c>
      <c r="O791" s="316">
        <v>19.016773459125268</v>
      </c>
      <c r="P791" s="316">
        <v>2.949672721261607</v>
      </c>
      <c r="Q791" s="316">
        <v>2.0114999574430223</v>
      </c>
      <c r="R791" s="316">
        <v>11.20241416280113</v>
      </c>
      <c r="S791" s="316">
        <v>13.880212110562812</v>
      </c>
      <c r="T791" s="316">
        <v>21.361355966719866</v>
      </c>
      <c r="U791" s="316">
        <v>4.4443270521881626</v>
      </c>
      <c r="V791" s="317">
        <v>86.27697270920369</v>
      </c>
      <c r="W791" s="317">
        <v>113.7210220953647</v>
      </c>
      <c r="X791" s="316">
        <v>12.303736565911031</v>
      </c>
      <c r="Y791" s="332">
        <v>126.02475866127574</v>
      </c>
    </row>
    <row r="792" spans="1:25" x14ac:dyDescent="0.2">
      <c r="A792" s="233">
        <v>2021</v>
      </c>
      <c r="B792" s="316" t="s">
        <v>466</v>
      </c>
      <c r="C792" s="316" t="s">
        <v>157</v>
      </c>
      <c r="D792" s="316" t="s">
        <v>475</v>
      </c>
      <c r="E792" s="316" t="s">
        <v>177</v>
      </c>
      <c r="F792" s="316" t="s">
        <v>160</v>
      </c>
      <c r="G792" s="316" t="s">
        <v>178</v>
      </c>
      <c r="H792" s="316">
        <v>4.6525609758452653</v>
      </c>
      <c r="I792" s="316">
        <v>3.1723554810394643</v>
      </c>
      <c r="J792" s="317">
        <v>7.8249164568847291</v>
      </c>
      <c r="K792" s="316">
        <v>3.3245553678738102</v>
      </c>
      <c r="L792" s="316">
        <v>0.92855975207090957</v>
      </c>
      <c r="M792" s="317">
        <v>4.2531151199447201</v>
      </c>
      <c r="N792" s="316">
        <v>1.1946360065443637</v>
      </c>
      <c r="O792" s="316">
        <v>11.713099995135885</v>
      </c>
      <c r="P792" s="316">
        <v>1.8900168090337992</v>
      </c>
      <c r="Q792" s="316">
        <v>0.89885454582731406</v>
      </c>
      <c r="R792" s="316">
        <v>6.4786032458200609</v>
      </c>
      <c r="S792" s="316">
        <v>9.0559172736159521</v>
      </c>
      <c r="T792" s="316">
        <v>16.335715186641576</v>
      </c>
      <c r="U792" s="316">
        <v>3.3810974309767978</v>
      </c>
      <c r="V792" s="317">
        <v>50.947940493595752</v>
      </c>
      <c r="W792" s="317">
        <v>63.025972070425205</v>
      </c>
      <c r="X792" s="316">
        <v>6.6282236297682839</v>
      </c>
      <c r="Y792" s="332">
        <v>69.654195700193483</v>
      </c>
    </row>
    <row r="793" spans="1:25" x14ac:dyDescent="0.2">
      <c r="A793" s="233">
        <v>2021</v>
      </c>
      <c r="B793" s="316" t="s">
        <v>466</v>
      </c>
      <c r="C793" s="316" t="s">
        <v>157</v>
      </c>
      <c r="D793" s="316" t="s">
        <v>475</v>
      </c>
      <c r="E793" s="316" t="s">
        <v>179</v>
      </c>
      <c r="F793" s="316" t="s">
        <v>160</v>
      </c>
      <c r="G793" s="316" t="s">
        <v>180</v>
      </c>
      <c r="H793" s="316">
        <v>28.279274508873154</v>
      </c>
      <c r="I793" s="316">
        <v>14.938931931663946</v>
      </c>
      <c r="J793" s="317">
        <v>43.218206440537102</v>
      </c>
      <c r="K793" s="316">
        <v>14.9126049724241</v>
      </c>
      <c r="L793" s="316">
        <v>5.4635629221377418</v>
      </c>
      <c r="M793" s="317">
        <v>20.376167894561842</v>
      </c>
      <c r="N793" s="316">
        <v>3.4552619697061435</v>
      </c>
      <c r="O793" s="316">
        <v>26.831519227858383</v>
      </c>
      <c r="P793" s="316">
        <v>5.3346668353861011</v>
      </c>
      <c r="Q793" s="316">
        <v>3.5408282962649791</v>
      </c>
      <c r="R793" s="316">
        <v>21.523097245654437</v>
      </c>
      <c r="S793" s="316">
        <v>23.348900109794503</v>
      </c>
      <c r="T793" s="316">
        <v>51.910825932266469</v>
      </c>
      <c r="U793" s="316">
        <v>7.7556877614425481</v>
      </c>
      <c r="V793" s="317">
        <v>143.70078737837355</v>
      </c>
      <c r="W793" s="317">
        <v>207.29516171347248</v>
      </c>
      <c r="X793" s="316">
        <v>22.343287431650502</v>
      </c>
      <c r="Y793" s="332">
        <v>229.63844914512299</v>
      </c>
    </row>
    <row r="794" spans="1:25" x14ac:dyDescent="0.2">
      <c r="A794" s="233">
        <v>2021</v>
      </c>
      <c r="B794" s="316" t="s">
        <v>466</v>
      </c>
      <c r="C794" s="316" t="s">
        <v>181</v>
      </c>
      <c r="D794" s="316" t="s">
        <v>478</v>
      </c>
      <c r="E794" s="316" t="s">
        <v>183</v>
      </c>
      <c r="F794" s="316" t="s">
        <v>184</v>
      </c>
      <c r="G794" s="316" t="s">
        <v>185</v>
      </c>
      <c r="H794" s="316">
        <v>16.203248498821146</v>
      </c>
      <c r="I794" s="316">
        <v>0</v>
      </c>
      <c r="J794" s="317">
        <v>16.203248498821146</v>
      </c>
      <c r="K794" s="316">
        <v>13.651038325237897</v>
      </c>
      <c r="L794" s="316">
        <v>4.2074569291473543</v>
      </c>
      <c r="M794" s="317">
        <v>17.85849525438525</v>
      </c>
      <c r="N794" s="316">
        <v>3.1211741051446387</v>
      </c>
      <c r="O794" s="316">
        <v>20.495989891461409</v>
      </c>
      <c r="P794" s="316">
        <v>3.0953845181768109</v>
      </c>
      <c r="Q794" s="316">
        <v>2.0550058278051213</v>
      </c>
      <c r="R794" s="316">
        <v>10.441182167720443</v>
      </c>
      <c r="S794" s="316">
        <v>13.379121845010104</v>
      </c>
      <c r="T794" s="316">
        <v>18.626269248975436</v>
      </c>
      <c r="U794" s="316">
        <v>4.8393500184201379</v>
      </c>
      <c r="V794" s="317">
        <v>76.053477622714098</v>
      </c>
      <c r="W794" s="317">
        <v>110.1152213759205</v>
      </c>
      <c r="X794" s="316">
        <v>11.449896059942663</v>
      </c>
      <c r="Y794" s="332">
        <v>121.56511743586316</v>
      </c>
    </row>
    <row r="795" spans="1:25" x14ac:dyDescent="0.2">
      <c r="A795" s="233">
        <v>2021</v>
      </c>
      <c r="B795" s="316" t="s">
        <v>466</v>
      </c>
      <c r="C795" s="316" t="s">
        <v>181</v>
      </c>
      <c r="D795" s="316" t="s">
        <v>479</v>
      </c>
      <c r="E795" s="316" t="s">
        <v>186</v>
      </c>
      <c r="F795" s="316" t="s">
        <v>184</v>
      </c>
      <c r="G795" s="316" t="s">
        <v>187</v>
      </c>
      <c r="H795" s="316">
        <v>6.7179443746761951</v>
      </c>
      <c r="I795" s="316">
        <v>3.6085722352679288</v>
      </c>
      <c r="J795" s="317">
        <v>10.326516609944123</v>
      </c>
      <c r="K795" s="316">
        <v>4.1160295933380437</v>
      </c>
      <c r="L795" s="316">
        <v>0.27161192856809663</v>
      </c>
      <c r="M795" s="317">
        <v>4.38764152190614</v>
      </c>
      <c r="N795" s="316">
        <v>1.6576805677127666</v>
      </c>
      <c r="O795" s="316">
        <v>10.929309776497213</v>
      </c>
      <c r="P795" s="316">
        <v>1.9545515753264613</v>
      </c>
      <c r="Q795" s="316">
        <v>0.83286713111721811</v>
      </c>
      <c r="R795" s="316">
        <v>6.794043438006387</v>
      </c>
      <c r="S795" s="316">
        <v>11.172448421142018</v>
      </c>
      <c r="T795" s="316">
        <v>10.979613034554609</v>
      </c>
      <c r="U795" s="316">
        <v>2.2531420329531846</v>
      </c>
      <c r="V795" s="317">
        <v>46.573655977309855</v>
      </c>
      <c r="W795" s="317">
        <v>61.287814109160117</v>
      </c>
      <c r="X795" s="316">
        <v>6.5521114023072871</v>
      </c>
      <c r="Y795" s="332">
        <v>67.839925511467399</v>
      </c>
    </row>
    <row r="796" spans="1:25" x14ac:dyDescent="0.2">
      <c r="A796" s="233">
        <v>2021</v>
      </c>
      <c r="B796" s="316" t="s">
        <v>466</v>
      </c>
      <c r="C796" s="316" t="s">
        <v>181</v>
      </c>
      <c r="D796" s="316" t="s">
        <v>478</v>
      </c>
      <c r="E796" s="316" t="s">
        <v>188</v>
      </c>
      <c r="F796" s="316" t="s">
        <v>184</v>
      </c>
      <c r="G796" s="316" t="s">
        <v>189</v>
      </c>
      <c r="H796" s="316">
        <v>14.26022982983919</v>
      </c>
      <c r="I796" s="316">
        <v>7.5331911309401667</v>
      </c>
      <c r="J796" s="317">
        <v>21.793420960779358</v>
      </c>
      <c r="K796" s="316">
        <v>3.9564506073479726</v>
      </c>
      <c r="L796" s="316">
        <v>1.0324907564952752</v>
      </c>
      <c r="M796" s="317">
        <v>4.9889413638432476</v>
      </c>
      <c r="N796" s="316">
        <v>0.85881131085522078</v>
      </c>
      <c r="O796" s="316">
        <v>12.906344431950867</v>
      </c>
      <c r="P796" s="316">
        <v>2.1416898123403052</v>
      </c>
      <c r="Q796" s="316">
        <v>0.95675053901554152</v>
      </c>
      <c r="R796" s="316">
        <v>6.1170563215644478</v>
      </c>
      <c r="S796" s="316">
        <v>9.2319130047058486</v>
      </c>
      <c r="T796" s="316">
        <v>21.258632895148192</v>
      </c>
      <c r="U796" s="316">
        <v>3.0318489460608475</v>
      </c>
      <c r="V796" s="317">
        <v>56.503047261641271</v>
      </c>
      <c r="W796" s="317">
        <v>83.285409586263881</v>
      </c>
      <c r="X796" s="316">
        <v>9.1933679564058117</v>
      </c>
      <c r="Y796" s="332">
        <v>92.47877754266969</v>
      </c>
    </row>
    <row r="797" spans="1:25" x14ac:dyDescent="0.2">
      <c r="A797" s="233">
        <v>2021</v>
      </c>
      <c r="B797" s="316" t="s">
        <v>466</v>
      </c>
      <c r="C797" s="316" t="s">
        <v>181</v>
      </c>
      <c r="D797" s="316" t="s">
        <v>478</v>
      </c>
      <c r="E797" s="316" t="s">
        <v>190</v>
      </c>
      <c r="F797" s="316" t="s">
        <v>184</v>
      </c>
      <c r="G797" s="316" t="s">
        <v>191</v>
      </c>
      <c r="H797" s="316">
        <v>5.3388666063826582</v>
      </c>
      <c r="I797" s="316">
        <v>0</v>
      </c>
      <c r="J797" s="317">
        <v>5.3388666063826582</v>
      </c>
      <c r="K797" s="316">
        <v>4.3863388688749367</v>
      </c>
      <c r="L797" s="316">
        <v>0.73987771609929387</v>
      </c>
      <c r="M797" s="317">
        <v>5.1262165849742303</v>
      </c>
      <c r="N797" s="316">
        <v>3.4908834938121114</v>
      </c>
      <c r="O797" s="316">
        <v>7.9838400781981171</v>
      </c>
      <c r="P797" s="316">
        <v>2.4595744159837913</v>
      </c>
      <c r="Q797" s="316">
        <v>1.4877565806649837</v>
      </c>
      <c r="R797" s="316">
        <v>6.3686605861271861</v>
      </c>
      <c r="S797" s="316">
        <v>12.074960198747833</v>
      </c>
      <c r="T797" s="316">
        <v>16.89352509188949</v>
      </c>
      <c r="U797" s="316">
        <v>3.3158016947950388</v>
      </c>
      <c r="V797" s="317">
        <v>54.075002140218558</v>
      </c>
      <c r="W797" s="317">
        <v>64.54008533157544</v>
      </c>
      <c r="X797" s="316">
        <v>6.6121773519554274</v>
      </c>
      <c r="Y797" s="332">
        <v>71.152262683530864</v>
      </c>
    </row>
    <row r="798" spans="1:25" x14ac:dyDescent="0.2">
      <c r="A798" s="233">
        <v>2021</v>
      </c>
      <c r="B798" s="316" t="s">
        <v>466</v>
      </c>
      <c r="C798" s="316" t="s">
        <v>181</v>
      </c>
      <c r="D798" s="316" t="s">
        <v>476</v>
      </c>
      <c r="E798" s="316" t="s">
        <v>192</v>
      </c>
      <c r="F798" s="316" t="s">
        <v>184</v>
      </c>
      <c r="G798" s="316" t="s">
        <v>193</v>
      </c>
      <c r="H798" s="316">
        <v>10.02904690997503</v>
      </c>
      <c r="I798" s="316">
        <v>0</v>
      </c>
      <c r="J798" s="317">
        <v>10.02904690997503</v>
      </c>
      <c r="K798" s="316">
        <v>1.6316508954729689</v>
      </c>
      <c r="L798" s="316">
        <v>1.7919571018065128</v>
      </c>
      <c r="M798" s="317">
        <v>3.4236079972794817</v>
      </c>
      <c r="N798" s="316">
        <v>0.90101350634989219</v>
      </c>
      <c r="O798" s="316">
        <v>6.6385972536831366</v>
      </c>
      <c r="P798" s="316">
        <v>1.5189162293389316</v>
      </c>
      <c r="Q798" s="316">
        <v>0.68487874501442614</v>
      </c>
      <c r="R798" s="316">
        <v>6.3002586715685593</v>
      </c>
      <c r="S798" s="316">
        <v>5.614019257903216</v>
      </c>
      <c r="T798" s="316">
        <v>11.706787241326843</v>
      </c>
      <c r="U798" s="316">
        <v>1.8184554345615733</v>
      </c>
      <c r="V798" s="317">
        <v>35.182926339746572</v>
      </c>
      <c r="W798" s="317">
        <v>48.635581247001085</v>
      </c>
      <c r="X798" s="316">
        <v>5.12135565799346</v>
      </c>
      <c r="Y798" s="332">
        <v>53.756936904994546</v>
      </c>
    </row>
    <row r="799" spans="1:25" x14ac:dyDescent="0.2">
      <c r="A799" s="233">
        <v>2021</v>
      </c>
      <c r="B799" s="316" t="s">
        <v>466</v>
      </c>
      <c r="C799" s="316" t="s">
        <v>181</v>
      </c>
      <c r="D799" s="316" t="s">
        <v>479</v>
      </c>
      <c r="E799" s="316" t="s">
        <v>194</v>
      </c>
      <c r="F799" s="316" t="s">
        <v>184</v>
      </c>
      <c r="G799" s="316" t="s">
        <v>195</v>
      </c>
      <c r="H799" s="316">
        <v>90.111891822844314</v>
      </c>
      <c r="I799" s="316">
        <v>47.964616938331041</v>
      </c>
      <c r="J799" s="317">
        <v>138.07650876117535</v>
      </c>
      <c r="K799" s="316">
        <v>33.85915653974034</v>
      </c>
      <c r="L799" s="316">
        <v>4.8745347986089795</v>
      </c>
      <c r="M799" s="317">
        <v>38.733691338349317</v>
      </c>
      <c r="N799" s="316">
        <v>7.8365469931449558</v>
      </c>
      <c r="O799" s="316">
        <v>55.74566608928955</v>
      </c>
      <c r="P799" s="316">
        <v>9.9416685612779059</v>
      </c>
      <c r="Q799" s="316">
        <v>9.3222861193815589</v>
      </c>
      <c r="R799" s="316">
        <v>28.215896670831999</v>
      </c>
      <c r="S799" s="316">
        <v>41.209406415886562</v>
      </c>
      <c r="T799" s="316">
        <v>32.362006532002113</v>
      </c>
      <c r="U799" s="316">
        <v>10.123093587348881</v>
      </c>
      <c r="V799" s="317">
        <v>194.75657096916353</v>
      </c>
      <c r="W799" s="317">
        <v>371.56677106868824</v>
      </c>
      <c r="X799" s="316">
        <v>42.705123678465611</v>
      </c>
      <c r="Y799" s="332">
        <v>414.27189474715385</v>
      </c>
    </row>
    <row r="800" spans="1:25" x14ac:dyDescent="0.2">
      <c r="A800" s="233">
        <v>2021</v>
      </c>
      <c r="B800" s="316" t="s">
        <v>466</v>
      </c>
      <c r="C800" s="316" t="s">
        <v>181</v>
      </c>
      <c r="D800" s="316" t="s">
        <v>479</v>
      </c>
      <c r="E800" s="316" t="s">
        <v>196</v>
      </c>
      <c r="F800" s="316" t="s">
        <v>184</v>
      </c>
      <c r="G800" s="316" t="s">
        <v>197</v>
      </c>
      <c r="H800" s="316">
        <v>56.981185386120622</v>
      </c>
      <c r="I800" s="316">
        <v>0</v>
      </c>
      <c r="J800" s="317">
        <v>56.981185386120622</v>
      </c>
      <c r="K800" s="316">
        <v>185.93847323431888</v>
      </c>
      <c r="L800" s="316">
        <v>20.418874427367903</v>
      </c>
      <c r="M800" s="317">
        <v>206.35734766168679</v>
      </c>
      <c r="N800" s="316">
        <v>6.0468962755801599</v>
      </c>
      <c r="O800" s="316">
        <v>34.104860216147259</v>
      </c>
      <c r="P800" s="316">
        <v>4.7888579244006273</v>
      </c>
      <c r="Q800" s="316">
        <v>5.0332873367469171</v>
      </c>
      <c r="R800" s="316">
        <v>14.993371837075548</v>
      </c>
      <c r="S800" s="316">
        <v>24.639938720717549</v>
      </c>
      <c r="T800" s="316">
        <v>15.670561855106225</v>
      </c>
      <c r="U800" s="316">
        <v>5.5596245630489403</v>
      </c>
      <c r="V800" s="317">
        <v>110.83739872882323</v>
      </c>
      <c r="W800" s="317">
        <v>374.17593177663065</v>
      </c>
      <c r="X800" s="316">
        <v>38.090774304515328</v>
      </c>
      <c r="Y800" s="332">
        <v>412.26670608114597</v>
      </c>
    </row>
    <row r="801" spans="1:25" x14ac:dyDescent="0.2">
      <c r="A801" s="233">
        <v>2021</v>
      </c>
      <c r="B801" s="316" t="s">
        <v>466</v>
      </c>
      <c r="C801" s="316" t="s">
        <v>181</v>
      </c>
      <c r="D801" s="316" t="s">
        <v>476</v>
      </c>
      <c r="E801" s="316" t="s">
        <v>198</v>
      </c>
      <c r="F801" s="316" t="s">
        <v>184</v>
      </c>
      <c r="G801" s="316" t="s">
        <v>199</v>
      </c>
      <c r="H801" s="316">
        <v>16.187416128007492</v>
      </c>
      <c r="I801" s="316">
        <v>8.5512360938696368</v>
      </c>
      <c r="J801" s="317">
        <v>24.738652221877128</v>
      </c>
      <c r="K801" s="316">
        <v>13.674992470684241</v>
      </c>
      <c r="L801" s="316">
        <v>9.7876293618247807</v>
      </c>
      <c r="M801" s="317">
        <v>23.462621832509022</v>
      </c>
      <c r="N801" s="316">
        <v>12.938422992117465</v>
      </c>
      <c r="O801" s="316">
        <v>84.511155871407382</v>
      </c>
      <c r="P801" s="316">
        <v>12.84265113221155</v>
      </c>
      <c r="Q801" s="316">
        <v>6.2101108622229182</v>
      </c>
      <c r="R801" s="316">
        <v>55.32881443466443</v>
      </c>
      <c r="S801" s="316">
        <v>42.228831526724342</v>
      </c>
      <c r="T801" s="316">
        <v>53.24097968607488</v>
      </c>
      <c r="U801" s="316">
        <v>18.704706727908142</v>
      </c>
      <c r="V801" s="317">
        <v>286.00567323333115</v>
      </c>
      <c r="W801" s="317">
        <v>334.2069472877173</v>
      </c>
      <c r="X801" s="316">
        <v>34.601211904918209</v>
      </c>
      <c r="Y801" s="332">
        <v>368.80815919263551</v>
      </c>
    </row>
    <row r="802" spans="1:25" x14ac:dyDescent="0.2">
      <c r="A802" s="233">
        <v>2021</v>
      </c>
      <c r="B802" s="316" t="s">
        <v>466</v>
      </c>
      <c r="C802" s="316" t="s">
        <v>181</v>
      </c>
      <c r="D802" s="316" t="s">
        <v>476</v>
      </c>
      <c r="E802" s="316" t="s">
        <v>200</v>
      </c>
      <c r="F802" s="316" t="s">
        <v>184</v>
      </c>
      <c r="G802" s="316" t="s">
        <v>201</v>
      </c>
      <c r="H802" s="316">
        <v>7.3986968276426559</v>
      </c>
      <c r="I802" s="316">
        <v>0</v>
      </c>
      <c r="J802" s="317">
        <v>7.3986968276426559</v>
      </c>
      <c r="K802" s="316">
        <v>3.3501847278264565</v>
      </c>
      <c r="L802" s="316">
        <v>1.3966170831137916</v>
      </c>
      <c r="M802" s="317">
        <v>4.7468018109402479</v>
      </c>
      <c r="N802" s="316">
        <v>0.98496364855822804</v>
      </c>
      <c r="O802" s="316">
        <v>10.017239124410496</v>
      </c>
      <c r="P802" s="316">
        <v>2.0474876684225731</v>
      </c>
      <c r="Q802" s="316">
        <v>1.2476193749072397</v>
      </c>
      <c r="R802" s="316">
        <v>7.0836774633335837</v>
      </c>
      <c r="S802" s="316">
        <v>7.1642219602147774</v>
      </c>
      <c r="T802" s="316">
        <v>14.703918219532198</v>
      </c>
      <c r="U802" s="316">
        <v>3.1054940663652659</v>
      </c>
      <c r="V802" s="317">
        <v>46.354621525744363</v>
      </c>
      <c r="W802" s="317">
        <v>58.500120164327271</v>
      </c>
      <c r="X802" s="316">
        <v>6.0310656290516702</v>
      </c>
      <c r="Y802" s="332">
        <v>64.531185793378938</v>
      </c>
    </row>
    <row r="803" spans="1:25" x14ac:dyDescent="0.2">
      <c r="A803" s="233">
        <v>2021</v>
      </c>
      <c r="B803" s="316" t="s">
        <v>466</v>
      </c>
      <c r="C803" s="316" t="s">
        <v>181</v>
      </c>
      <c r="D803" s="316" t="s">
        <v>480</v>
      </c>
      <c r="E803" s="316" t="s">
        <v>202</v>
      </c>
      <c r="F803" s="316" t="s">
        <v>184</v>
      </c>
      <c r="G803" s="316" t="s">
        <v>203</v>
      </c>
      <c r="H803" s="316">
        <v>37.192457564324286</v>
      </c>
      <c r="I803" s="316">
        <v>0</v>
      </c>
      <c r="J803" s="317">
        <v>37.192457564324286</v>
      </c>
      <c r="K803" s="316">
        <v>5.0527575183303721</v>
      </c>
      <c r="L803" s="316">
        <v>9.9186613283644807</v>
      </c>
      <c r="M803" s="317">
        <v>14.971418846694853</v>
      </c>
      <c r="N803" s="316">
        <v>3.6392735515446781</v>
      </c>
      <c r="O803" s="316">
        <v>33.447437180446059</v>
      </c>
      <c r="P803" s="316">
        <v>6.1367150167506272</v>
      </c>
      <c r="Q803" s="316">
        <v>3.1442842147051775</v>
      </c>
      <c r="R803" s="316">
        <v>13.652594086198008</v>
      </c>
      <c r="S803" s="316">
        <v>27.282225620021023</v>
      </c>
      <c r="T803" s="316">
        <v>64.244904748669512</v>
      </c>
      <c r="U803" s="316">
        <v>7.9479975048664144</v>
      </c>
      <c r="V803" s="317">
        <v>159.49543192320149</v>
      </c>
      <c r="W803" s="317">
        <v>211.65930833422064</v>
      </c>
      <c r="X803" s="316">
        <v>22.19530774152523</v>
      </c>
      <c r="Y803" s="332">
        <v>233.85461607574587</v>
      </c>
    </row>
    <row r="804" spans="1:25" x14ac:dyDescent="0.2">
      <c r="A804" s="233">
        <v>2021</v>
      </c>
      <c r="B804" s="316" t="s">
        <v>466</v>
      </c>
      <c r="C804" s="316" t="s">
        <v>181</v>
      </c>
      <c r="D804" s="316" t="s">
        <v>480</v>
      </c>
      <c r="E804" s="316" t="s">
        <v>204</v>
      </c>
      <c r="F804" s="316" t="s">
        <v>184</v>
      </c>
      <c r="G804" s="316" t="s">
        <v>205</v>
      </c>
      <c r="H804" s="316">
        <v>15.536984074816356</v>
      </c>
      <c r="I804" s="316">
        <v>0</v>
      </c>
      <c r="J804" s="317">
        <v>15.536984074816356</v>
      </c>
      <c r="K804" s="316">
        <v>2.2746683054874155</v>
      </c>
      <c r="L804" s="316">
        <v>2.5789263166259215</v>
      </c>
      <c r="M804" s="317">
        <v>4.853594622113337</v>
      </c>
      <c r="N804" s="316">
        <v>0.86340729133673699</v>
      </c>
      <c r="O804" s="316">
        <v>7.2368164841934277</v>
      </c>
      <c r="P804" s="316">
        <v>2.6370917732569858</v>
      </c>
      <c r="Q804" s="316">
        <v>1.6019343484775299</v>
      </c>
      <c r="R804" s="316">
        <v>8.080655179791318</v>
      </c>
      <c r="S804" s="316">
        <v>8.6904039618656608</v>
      </c>
      <c r="T804" s="316">
        <v>16.164071961323749</v>
      </c>
      <c r="U804" s="316">
        <v>3.0618618115844831</v>
      </c>
      <c r="V804" s="317">
        <v>48.336242811829891</v>
      </c>
      <c r="W804" s="317">
        <v>68.726821508759585</v>
      </c>
      <c r="X804" s="316">
        <v>7.243019982261738</v>
      </c>
      <c r="Y804" s="332">
        <v>75.969841491021327</v>
      </c>
    </row>
    <row r="805" spans="1:25" x14ac:dyDescent="0.2">
      <c r="A805" s="233">
        <v>2021</v>
      </c>
      <c r="B805" s="316" t="s">
        <v>466</v>
      </c>
      <c r="C805" s="316" t="s">
        <v>181</v>
      </c>
      <c r="D805" s="316" t="s">
        <v>479</v>
      </c>
      <c r="E805" s="316" t="s">
        <v>206</v>
      </c>
      <c r="F805" s="316" t="s">
        <v>184</v>
      </c>
      <c r="G805" s="316" t="s">
        <v>207</v>
      </c>
      <c r="H805" s="316">
        <v>3.7044953928977549</v>
      </c>
      <c r="I805" s="316">
        <v>0</v>
      </c>
      <c r="J805" s="317">
        <v>3.7044953928977549</v>
      </c>
      <c r="K805" s="316">
        <v>2.366918828214184</v>
      </c>
      <c r="L805" s="316">
        <v>0.19755012943343139</v>
      </c>
      <c r="M805" s="317">
        <v>2.5644689576476152</v>
      </c>
      <c r="N805" s="316">
        <v>0.94623861061426218</v>
      </c>
      <c r="O805" s="316">
        <v>4.8970800846047631</v>
      </c>
      <c r="P805" s="316">
        <v>1.1369893479721973</v>
      </c>
      <c r="Q805" s="316">
        <v>0.69217694571821531</v>
      </c>
      <c r="R805" s="316">
        <v>3.2270572229947283</v>
      </c>
      <c r="S805" s="316">
        <v>8.7842066707986906</v>
      </c>
      <c r="T805" s="316">
        <v>6.7559369553027597</v>
      </c>
      <c r="U805" s="316">
        <v>1.5285991058076664</v>
      </c>
      <c r="V805" s="317">
        <v>27.968284943813281</v>
      </c>
      <c r="W805" s="317">
        <v>34.237249294358648</v>
      </c>
      <c r="X805" s="316">
        <v>3.5190459445453373</v>
      </c>
      <c r="Y805" s="332">
        <v>37.756295238903988</v>
      </c>
    </row>
    <row r="806" spans="1:25" x14ac:dyDescent="0.2">
      <c r="A806" s="233">
        <v>2021</v>
      </c>
      <c r="B806" s="316" t="s">
        <v>466</v>
      </c>
      <c r="C806" s="316" t="s">
        <v>181</v>
      </c>
      <c r="D806" s="316" t="s">
        <v>479</v>
      </c>
      <c r="E806" s="316" t="s">
        <v>208</v>
      </c>
      <c r="F806" s="316" t="s">
        <v>184</v>
      </c>
      <c r="G806" s="316" t="s">
        <v>209</v>
      </c>
      <c r="H806" s="316">
        <v>74.222604309128499</v>
      </c>
      <c r="I806" s="316">
        <v>0</v>
      </c>
      <c r="J806" s="317">
        <v>74.222604309128499</v>
      </c>
      <c r="K806" s="316">
        <v>459.77494058055754</v>
      </c>
      <c r="L806" s="316">
        <v>76.556900836538844</v>
      </c>
      <c r="M806" s="317">
        <v>536.33184141709637</v>
      </c>
      <c r="N806" s="316">
        <v>12.274191140992786</v>
      </c>
      <c r="O806" s="316">
        <v>70.56438232409586</v>
      </c>
      <c r="P806" s="316">
        <v>9.3569791843248726</v>
      </c>
      <c r="Q806" s="316">
        <v>11.299344514371706</v>
      </c>
      <c r="R806" s="316">
        <v>31.958270982026299</v>
      </c>
      <c r="S806" s="316">
        <v>41.855061131328526</v>
      </c>
      <c r="T806" s="316">
        <v>40.351357747670839</v>
      </c>
      <c r="U806" s="316">
        <v>9.4041988249073398</v>
      </c>
      <c r="V806" s="317">
        <v>227.06378584971827</v>
      </c>
      <c r="W806" s="317">
        <v>837.61823157594324</v>
      </c>
      <c r="X806" s="316">
        <v>83.316549721959717</v>
      </c>
      <c r="Y806" s="332">
        <v>920.93478129790299</v>
      </c>
    </row>
    <row r="807" spans="1:25" x14ac:dyDescent="0.2">
      <c r="A807" s="233">
        <v>2021</v>
      </c>
      <c r="B807" s="316" t="s">
        <v>466</v>
      </c>
      <c r="C807" s="316" t="s">
        <v>181</v>
      </c>
      <c r="D807" s="316" t="s">
        <v>479</v>
      </c>
      <c r="E807" s="316" t="s">
        <v>210</v>
      </c>
      <c r="F807" s="316" t="s">
        <v>184</v>
      </c>
      <c r="G807" s="316" t="s">
        <v>211</v>
      </c>
      <c r="H807" s="316">
        <v>173.50110386493867</v>
      </c>
      <c r="I807" s="316">
        <v>91.654443614683188</v>
      </c>
      <c r="J807" s="317">
        <v>265.15554747962187</v>
      </c>
      <c r="K807" s="316">
        <v>235.24434761087946</v>
      </c>
      <c r="L807" s="316">
        <v>31.412293337091398</v>
      </c>
      <c r="M807" s="317">
        <v>266.65664094797086</v>
      </c>
      <c r="N807" s="316">
        <v>16.21200821252248</v>
      </c>
      <c r="O807" s="316">
        <v>94.108974613765454</v>
      </c>
      <c r="P807" s="316">
        <v>14.165908029482225</v>
      </c>
      <c r="Q807" s="316">
        <v>14.137922701629838</v>
      </c>
      <c r="R807" s="316">
        <v>45.918949536854917</v>
      </c>
      <c r="S807" s="316">
        <v>81.820052203540627</v>
      </c>
      <c r="T807" s="316">
        <v>127.83597964240866</v>
      </c>
      <c r="U807" s="316">
        <v>16.279834807158636</v>
      </c>
      <c r="V807" s="317">
        <v>410.47962974736288</v>
      </c>
      <c r="W807" s="317">
        <v>942.29181817495555</v>
      </c>
      <c r="X807" s="316">
        <v>103.80729825017016</v>
      </c>
      <c r="Y807" s="332">
        <v>1046.0991164251257</v>
      </c>
    </row>
    <row r="808" spans="1:25" x14ac:dyDescent="0.2">
      <c r="A808" s="233">
        <v>2021</v>
      </c>
      <c r="B808" s="316" t="s">
        <v>466</v>
      </c>
      <c r="C808" s="316" t="s">
        <v>181</v>
      </c>
      <c r="D808" s="316" t="s">
        <v>480</v>
      </c>
      <c r="E808" s="316" t="s">
        <v>212</v>
      </c>
      <c r="F808" s="316" t="s">
        <v>184</v>
      </c>
      <c r="G808" s="316" t="s">
        <v>213</v>
      </c>
      <c r="H808" s="316">
        <v>14.036161610362088</v>
      </c>
      <c r="I808" s="316">
        <v>0</v>
      </c>
      <c r="J808" s="317">
        <v>14.036161610362088</v>
      </c>
      <c r="K808" s="316">
        <v>2.9372848058735941</v>
      </c>
      <c r="L808" s="316">
        <v>2.7655790612563709</v>
      </c>
      <c r="M808" s="317">
        <v>5.702863867129965</v>
      </c>
      <c r="N808" s="316">
        <v>19.982089075208815</v>
      </c>
      <c r="O808" s="316">
        <v>6.6691716006613673</v>
      </c>
      <c r="P808" s="316">
        <v>1.4478933518605244</v>
      </c>
      <c r="Q808" s="316">
        <v>1.0943737277712018</v>
      </c>
      <c r="R808" s="316">
        <v>5.9892611523158044</v>
      </c>
      <c r="S808" s="316">
        <v>8.5718361240114476</v>
      </c>
      <c r="T808" s="316">
        <v>10.289708467422944</v>
      </c>
      <c r="U808" s="316">
        <v>2.244462272777632</v>
      </c>
      <c r="V808" s="317">
        <v>56.288795772029736</v>
      </c>
      <c r="W808" s="317">
        <v>76.027821249521793</v>
      </c>
      <c r="X808" s="316">
        <v>8.4297340184058918</v>
      </c>
      <c r="Y808" s="332">
        <v>84.457555267927688</v>
      </c>
    </row>
    <row r="809" spans="1:25" x14ac:dyDescent="0.2">
      <c r="A809" s="233">
        <v>2021</v>
      </c>
      <c r="B809" s="316" t="s">
        <v>466</v>
      </c>
      <c r="C809" s="316" t="s">
        <v>181</v>
      </c>
      <c r="D809" s="316" t="s">
        <v>478</v>
      </c>
      <c r="E809" s="316" t="s">
        <v>214</v>
      </c>
      <c r="F809" s="316" t="s">
        <v>184</v>
      </c>
      <c r="G809" s="316" t="s">
        <v>215</v>
      </c>
      <c r="H809" s="316">
        <v>6.7328831475389919</v>
      </c>
      <c r="I809" s="316">
        <v>3.7235886393689959</v>
      </c>
      <c r="J809" s="317">
        <v>10.456471786907988</v>
      </c>
      <c r="K809" s="316">
        <v>5.3438904364497697</v>
      </c>
      <c r="L809" s="316">
        <v>2.460992109252814</v>
      </c>
      <c r="M809" s="317">
        <v>7.8048825457025837</v>
      </c>
      <c r="N809" s="316">
        <v>1.5957141062333788</v>
      </c>
      <c r="O809" s="316">
        <v>28.144407705775389</v>
      </c>
      <c r="P809" s="316">
        <v>4.2592419597505167</v>
      </c>
      <c r="Q809" s="316">
        <v>2.1291904455201922</v>
      </c>
      <c r="R809" s="316">
        <v>11.143388134091053</v>
      </c>
      <c r="S809" s="316">
        <v>13.160386965547481</v>
      </c>
      <c r="T809" s="316">
        <v>29.688990890661216</v>
      </c>
      <c r="U809" s="316">
        <v>6.1579008640561979</v>
      </c>
      <c r="V809" s="317">
        <v>96.279221071635433</v>
      </c>
      <c r="W809" s="317">
        <v>114.540575404246</v>
      </c>
      <c r="X809" s="316">
        <v>11.903909318413668</v>
      </c>
      <c r="Y809" s="332">
        <v>126.44448472265967</v>
      </c>
    </row>
    <row r="810" spans="1:25" x14ac:dyDescent="0.2">
      <c r="A810" s="233">
        <v>2021</v>
      </c>
      <c r="B810" s="316" t="s">
        <v>466</v>
      </c>
      <c r="C810" s="316" t="s">
        <v>181</v>
      </c>
      <c r="D810" s="316" t="s">
        <v>478</v>
      </c>
      <c r="E810" s="316" t="s">
        <v>216</v>
      </c>
      <c r="F810" s="316" t="s">
        <v>184</v>
      </c>
      <c r="G810" s="316" t="s">
        <v>217</v>
      </c>
      <c r="H810" s="316">
        <v>18.701744160495043</v>
      </c>
      <c r="I810" s="316">
        <v>9.9547651853589141</v>
      </c>
      <c r="J810" s="317">
        <v>28.656509345853955</v>
      </c>
      <c r="K810" s="316">
        <v>121.48305355047682</v>
      </c>
      <c r="L810" s="316">
        <v>20.292654586353951</v>
      </c>
      <c r="M810" s="317">
        <v>141.77570813683079</v>
      </c>
      <c r="N810" s="316">
        <v>12.862032829166035</v>
      </c>
      <c r="O810" s="316">
        <v>94.104558251179071</v>
      </c>
      <c r="P810" s="316">
        <v>15.120924747794904</v>
      </c>
      <c r="Q810" s="316">
        <v>17.82398941926677</v>
      </c>
      <c r="R810" s="316">
        <v>41.624007552886532</v>
      </c>
      <c r="S810" s="316">
        <v>59.2653471271502</v>
      </c>
      <c r="T810" s="316">
        <v>88.992890822276976</v>
      </c>
      <c r="U810" s="316">
        <v>18.445384127192074</v>
      </c>
      <c r="V810" s="317">
        <v>348.23913487691254</v>
      </c>
      <c r="W810" s="317">
        <v>518.67135235959722</v>
      </c>
      <c r="X810" s="316">
        <v>52.571833041423687</v>
      </c>
      <c r="Y810" s="332">
        <v>571.24318540102092</v>
      </c>
    </row>
    <row r="811" spans="1:25" x14ac:dyDescent="0.2">
      <c r="A811" s="233">
        <v>2021</v>
      </c>
      <c r="B811" s="316" t="s">
        <v>466</v>
      </c>
      <c r="C811" s="316" t="s">
        <v>218</v>
      </c>
      <c r="D811" s="316" t="s">
        <v>481</v>
      </c>
      <c r="E811" s="316" t="s">
        <v>220</v>
      </c>
      <c r="F811" s="316" t="s">
        <v>221</v>
      </c>
      <c r="G811" s="316" t="s">
        <v>223</v>
      </c>
      <c r="H811" s="316">
        <v>5.258138205259006</v>
      </c>
      <c r="I811" s="316">
        <v>2.7776874906972662</v>
      </c>
      <c r="J811" s="317">
        <v>8.0358256959562731</v>
      </c>
      <c r="K811" s="316">
        <v>1.4957953942436455</v>
      </c>
      <c r="L811" s="316">
        <v>0.58185855147194121</v>
      </c>
      <c r="M811" s="317">
        <v>2.0776539457155865</v>
      </c>
      <c r="N811" s="316">
        <v>1.5741620784128965</v>
      </c>
      <c r="O811" s="316">
        <v>2.2195531209062316</v>
      </c>
      <c r="P811" s="316">
        <v>0.55754911503194915</v>
      </c>
      <c r="Q811" s="316">
        <v>0.22603075763647876</v>
      </c>
      <c r="R811" s="316">
        <v>1.9207905390129125</v>
      </c>
      <c r="S811" s="316">
        <v>2.4701034308732477</v>
      </c>
      <c r="T811" s="316">
        <v>7.2227336596731249</v>
      </c>
      <c r="U811" s="316">
        <v>0.74677807199977864</v>
      </c>
      <c r="V811" s="317">
        <v>16.937700773546617</v>
      </c>
      <c r="W811" s="317">
        <v>27.051180415218475</v>
      </c>
      <c r="X811" s="316">
        <v>3.0425372691285721</v>
      </c>
      <c r="Y811" s="332">
        <v>30.093717684347048</v>
      </c>
    </row>
    <row r="812" spans="1:25" x14ac:dyDescent="0.2">
      <c r="A812" s="233">
        <v>2021</v>
      </c>
      <c r="B812" s="316" t="s">
        <v>466</v>
      </c>
      <c r="C812" s="316" t="s">
        <v>218</v>
      </c>
      <c r="D812" s="316" t="s">
        <v>482</v>
      </c>
      <c r="E812" s="316" t="s">
        <v>224</v>
      </c>
      <c r="F812" s="316" t="s">
        <v>221</v>
      </c>
      <c r="G812" s="316" t="s">
        <v>226</v>
      </c>
      <c r="H812" s="316">
        <v>24.395421867395651</v>
      </c>
      <c r="I812" s="316">
        <v>12.887234656852092</v>
      </c>
      <c r="J812" s="317">
        <v>37.282656524247741</v>
      </c>
      <c r="K812" s="316">
        <v>3.7625942538891359</v>
      </c>
      <c r="L812" s="316">
        <v>3.6042215684507717</v>
      </c>
      <c r="M812" s="317">
        <v>7.3668158223399072</v>
      </c>
      <c r="N812" s="316">
        <v>2.8572534242488552</v>
      </c>
      <c r="O812" s="316">
        <v>8.9515828072243853</v>
      </c>
      <c r="P812" s="316">
        <v>2.5434905670569403</v>
      </c>
      <c r="Q812" s="316">
        <v>1.4889007484125263</v>
      </c>
      <c r="R812" s="316">
        <v>7.0100166970729205</v>
      </c>
      <c r="S812" s="316">
        <v>6.0181235917436062</v>
      </c>
      <c r="T812" s="316">
        <v>13.209124191218272</v>
      </c>
      <c r="U812" s="316">
        <v>2.9007965476363591</v>
      </c>
      <c r="V812" s="317">
        <v>44.979288574613861</v>
      </c>
      <c r="W812" s="317">
        <v>89.628760921201518</v>
      </c>
      <c r="X812" s="316">
        <v>10.457756092909829</v>
      </c>
      <c r="Y812" s="332">
        <v>100.08651701411135</v>
      </c>
    </row>
    <row r="813" spans="1:25" x14ac:dyDescent="0.2">
      <c r="A813" s="233">
        <v>2021</v>
      </c>
      <c r="B813" s="316" t="s">
        <v>466</v>
      </c>
      <c r="C813" s="316" t="s">
        <v>218</v>
      </c>
      <c r="D813" s="316" t="s">
        <v>482</v>
      </c>
      <c r="E813" s="316" t="s">
        <v>227</v>
      </c>
      <c r="F813" s="316" t="s">
        <v>221</v>
      </c>
      <c r="G813" s="316" t="s">
        <v>228</v>
      </c>
      <c r="H813" s="316">
        <v>9.039806179067968</v>
      </c>
      <c r="I813" s="316">
        <v>0</v>
      </c>
      <c r="J813" s="317">
        <v>9.039806179067968</v>
      </c>
      <c r="K813" s="316">
        <v>1.9882951647318781</v>
      </c>
      <c r="L813" s="316">
        <v>1.246614912904888</v>
      </c>
      <c r="M813" s="317">
        <v>3.2349100776367661</v>
      </c>
      <c r="N813" s="316">
        <v>3.9394592416499243</v>
      </c>
      <c r="O813" s="316">
        <v>4.318137331575377</v>
      </c>
      <c r="P813" s="316">
        <v>1.7690999812670383</v>
      </c>
      <c r="Q813" s="316">
        <v>0.6999283509817642</v>
      </c>
      <c r="R813" s="316">
        <v>5.412886370015114</v>
      </c>
      <c r="S813" s="316">
        <v>4.7025096736332559</v>
      </c>
      <c r="T813" s="316">
        <v>10.992613031570222</v>
      </c>
      <c r="U813" s="316">
        <v>1.9579883401898612</v>
      </c>
      <c r="V813" s="317">
        <v>33.792622320882558</v>
      </c>
      <c r="W813" s="317">
        <v>46.067338577587293</v>
      </c>
      <c r="X813" s="316">
        <v>4.8996709030224874</v>
      </c>
      <c r="Y813" s="332">
        <v>50.967009480609782</v>
      </c>
    </row>
    <row r="814" spans="1:25" x14ac:dyDescent="0.2">
      <c r="A814" s="233">
        <v>2021</v>
      </c>
      <c r="B814" s="316" t="s">
        <v>466</v>
      </c>
      <c r="C814" s="316" t="s">
        <v>218</v>
      </c>
      <c r="D814" s="316" t="s">
        <v>482</v>
      </c>
      <c r="E814" s="316" t="s">
        <v>229</v>
      </c>
      <c r="F814" s="316" t="s">
        <v>221</v>
      </c>
      <c r="G814" s="316" t="s">
        <v>230</v>
      </c>
      <c r="H814" s="316">
        <v>288.75113438562164</v>
      </c>
      <c r="I814" s="316">
        <v>187.42412798443789</v>
      </c>
      <c r="J814" s="317">
        <v>476.1752623700595</v>
      </c>
      <c r="K814" s="316">
        <v>2.987322068584505</v>
      </c>
      <c r="L814" s="316">
        <v>1.8709627900220152</v>
      </c>
      <c r="M814" s="317">
        <v>4.8582848586065204</v>
      </c>
      <c r="N814" s="316">
        <v>16.808444988535008</v>
      </c>
      <c r="O814" s="316">
        <v>7.7500895628279398</v>
      </c>
      <c r="P814" s="316">
        <v>1.5530025569004779</v>
      </c>
      <c r="Q814" s="316">
        <v>0.6517654978357178</v>
      </c>
      <c r="R814" s="316">
        <v>6.0334575083502697</v>
      </c>
      <c r="S814" s="316">
        <v>7.2592915827572266</v>
      </c>
      <c r="T814" s="316">
        <v>9.1859563469036161</v>
      </c>
      <c r="U814" s="316">
        <v>2.3844441164154735</v>
      </c>
      <c r="V814" s="317">
        <v>51.62645216052573</v>
      </c>
      <c r="W814" s="317">
        <v>532.65999938919174</v>
      </c>
      <c r="X814" s="316">
        <v>73.592941605236618</v>
      </c>
      <c r="Y814" s="332">
        <v>606.2529409944284</v>
      </c>
    </row>
    <row r="815" spans="1:25" x14ac:dyDescent="0.2">
      <c r="A815" s="233">
        <v>2021</v>
      </c>
      <c r="B815" s="316" t="s">
        <v>466</v>
      </c>
      <c r="C815" s="316" t="s">
        <v>218</v>
      </c>
      <c r="D815" s="316" t="s">
        <v>482</v>
      </c>
      <c r="E815" s="316" t="s">
        <v>231</v>
      </c>
      <c r="F815" s="316" t="s">
        <v>221</v>
      </c>
      <c r="G815" s="316" t="s">
        <v>232</v>
      </c>
      <c r="H815" s="316">
        <v>28.315240039431369</v>
      </c>
      <c r="I815" s="316">
        <v>0</v>
      </c>
      <c r="J815" s="317">
        <v>28.315240039431369</v>
      </c>
      <c r="K815" s="316">
        <v>2.9770988637411424</v>
      </c>
      <c r="L815" s="316">
        <v>3.3985047178908401</v>
      </c>
      <c r="M815" s="317">
        <v>6.3756035816319825</v>
      </c>
      <c r="N815" s="316">
        <v>3.0959380042822198</v>
      </c>
      <c r="O815" s="316">
        <v>9.9403838105613094</v>
      </c>
      <c r="P815" s="316">
        <v>2.3784410052445057</v>
      </c>
      <c r="Q815" s="316">
        <v>1.7451922681904901</v>
      </c>
      <c r="R815" s="316">
        <v>8.0832929882327118</v>
      </c>
      <c r="S815" s="316">
        <v>7.5376364032642718</v>
      </c>
      <c r="T815" s="316">
        <v>18.28757960498471</v>
      </c>
      <c r="U815" s="316">
        <v>2.8449689153343916</v>
      </c>
      <c r="V815" s="317">
        <v>53.913433000094614</v>
      </c>
      <c r="W815" s="317">
        <v>88.604276621157965</v>
      </c>
      <c r="X815" s="316">
        <v>9.660464773251217</v>
      </c>
      <c r="Y815" s="332">
        <v>98.264741394409185</v>
      </c>
    </row>
    <row r="816" spans="1:25" x14ac:dyDescent="0.2">
      <c r="A816" s="233">
        <v>2021</v>
      </c>
      <c r="B816" s="316" t="s">
        <v>466</v>
      </c>
      <c r="C816" s="316" t="s">
        <v>218</v>
      </c>
      <c r="D816" s="316" t="s">
        <v>481</v>
      </c>
      <c r="E816" s="316" t="s">
        <v>233</v>
      </c>
      <c r="F816" s="316" t="s">
        <v>221</v>
      </c>
      <c r="G816" s="316" t="s">
        <v>234</v>
      </c>
      <c r="H816" s="316">
        <v>21.90136431356725</v>
      </c>
      <c r="I816" s="316">
        <v>11.569714045466206</v>
      </c>
      <c r="J816" s="317">
        <v>33.471078359033456</v>
      </c>
      <c r="K816" s="316">
        <v>2.4530097616833246</v>
      </c>
      <c r="L816" s="316">
        <v>10.367461522777173</v>
      </c>
      <c r="M816" s="317">
        <v>12.820471284460497</v>
      </c>
      <c r="N816" s="316">
        <v>10.742224041452378</v>
      </c>
      <c r="O816" s="316">
        <v>20.295212874675375</v>
      </c>
      <c r="P816" s="316">
        <v>2.9181526841678864</v>
      </c>
      <c r="Q816" s="316">
        <v>1.8462479214922987</v>
      </c>
      <c r="R816" s="316">
        <v>10.003721092952151</v>
      </c>
      <c r="S816" s="316">
        <v>17.993838201694786</v>
      </c>
      <c r="T816" s="316">
        <v>38.948380977139649</v>
      </c>
      <c r="U816" s="316">
        <v>4.1079326824955338</v>
      </c>
      <c r="V816" s="317">
        <v>106.85571047607006</v>
      </c>
      <c r="W816" s="317">
        <v>153.14726011956401</v>
      </c>
      <c r="X816" s="316">
        <v>16.836992659686512</v>
      </c>
      <c r="Y816" s="332">
        <v>169.98425277925051</v>
      </c>
    </row>
    <row r="817" spans="1:25" x14ac:dyDescent="0.2">
      <c r="A817" s="233">
        <v>2021</v>
      </c>
      <c r="B817" s="316" t="s">
        <v>466</v>
      </c>
      <c r="C817" s="316" t="s">
        <v>218</v>
      </c>
      <c r="D817" s="316" t="s">
        <v>481</v>
      </c>
      <c r="E817" s="316" t="s">
        <v>235</v>
      </c>
      <c r="F817" s="316" t="s">
        <v>221</v>
      </c>
      <c r="G817" s="316" t="s">
        <v>236</v>
      </c>
      <c r="H817" s="316">
        <v>46.844605979846804</v>
      </c>
      <c r="I817" s="316">
        <v>24.746382298014197</v>
      </c>
      <c r="J817" s="317">
        <v>71.590988277861001</v>
      </c>
      <c r="K817" s="316">
        <v>2.9780280900959428</v>
      </c>
      <c r="L817" s="316">
        <v>12.921667694354563</v>
      </c>
      <c r="M817" s="317">
        <v>15.899695784450506</v>
      </c>
      <c r="N817" s="316">
        <v>2.8063995203972256</v>
      </c>
      <c r="O817" s="316">
        <v>39.989486028243881</v>
      </c>
      <c r="P817" s="316">
        <v>6.5130240050369572</v>
      </c>
      <c r="Q817" s="316">
        <v>4.7562443670819059</v>
      </c>
      <c r="R817" s="316">
        <v>15.707291661960898</v>
      </c>
      <c r="S817" s="316">
        <v>22.805795816383778</v>
      </c>
      <c r="T817" s="316">
        <v>46.577160896398624</v>
      </c>
      <c r="U817" s="316">
        <v>7.7940241095473768</v>
      </c>
      <c r="V817" s="317">
        <v>146.94942640505064</v>
      </c>
      <c r="W817" s="317">
        <v>234.44011046736216</v>
      </c>
      <c r="X817" s="316">
        <v>26.326435761001747</v>
      </c>
      <c r="Y817" s="332">
        <v>260.76654622836389</v>
      </c>
    </row>
    <row r="818" spans="1:25" x14ac:dyDescent="0.2">
      <c r="A818" s="233">
        <v>2021</v>
      </c>
      <c r="B818" s="316" t="s">
        <v>466</v>
      </c>
      <c r="C818" s="316" t="s">
        <v>218</v>
      </c>
      <c r="D818" s="316" t="s">
        <v>482</v>
      </c>
      <c r="E818" s="316" t="s">
        <v>237</v>
      </c>
      <c r="F818" s="316" t="s">
        <v>221</v>
      </c>
      <c r="G818" s="316" t="s">
        <v>238</v>
      </c>
      <c r="H818" s="316">
        <v>50.092726951832937</v>
      </c>
      <c r="I818" s="316">
        <v>0</v>
      </c>
      <c r="J818" s="317">
        <v>50.092726951832937</v>
      </c>
      <c r="K818" s="316">
        <v>5.7183454183776234</v>
      </c>
      <c r="L818" s="316">
        <v>6.0156180454722215</v>
      </c>
      <c r="M818" s="317">
        <v>11.733963463849845</v>
      </c>
      <c r="N818" s="316">
        <v>4.40543730238715</v>
      </c>
      <c r="O818" s="316">
        <v>17.158878981374848</v>
      </c>
      <c r="P818" s="316">
        <v>4.5418747092675389</v>
      </c>
      <c r="Q818" s="316">
        <v>1.8605466222514113</v>
      </c>
      <c r="R818" s="316">
        <v>16.453563199589492</v>
      </c>
      <c r="S818" s="316">
        <v>11.78408265666496</v>
      </c>
      <c r="T818" s="316">
        <v>17.77698358197922</v>
      </c>
      <c r="U818" s="316">
        <v>6.040235688540883</v>
      </c>
      <c r="V818" s="317">
        <v>80.021602742055521</v>
      </c>
      <c r="W818" s="317">
        <v>141.84829315773831</v>
      </c>
      <c r="X818" s="316">
        <v>15.571818782406122</v>
      </c>
      <c r="Y818" s="332">
        <v>157.42011194014444</v>
      </c>
    </row>
    <row r="819" spans="1:25" x14ac:dyDescent="0.2">
      <c r="A819" s="233">
        <v>2021</v>
      </c>
      <c r="B819" s="316" t="s">
        <v>466</v>
      </c>
      <c r="C819" s="316" t="s">
        <v>218</v>
      </c>
      <c r="D819" s="316" t="s">
        <v>481</v>
      </c>
      <c r="E819" s="316" t="s">
        <v>239</v>
      </c>
      <c r="F819" s="316" t="s">
        <v>221</v>
      </c>
      <c r="G819" s="316" t="s">
        <v>240</v>
      </c>
      <c r="H819" s="316">
        <v>26.526827426888524</v>
      </c>
      <c r="I819" s="316">
        <v>14.013185157111481</v>
      </c>
      <c r="J819" s="317">
        <v>40.540012584000003</v>
      </c>
      <c r="K819" s="316">
        <v>8.6744455200142259</v>
      </c>
      <c r="L819" s="316">
        <v>8.2533662245029085</v>
      </c>
      <c r="M819" s="317">
        <v>16.927811744517136</v>
      </c>
      <c r="N819" s="316">
        <v>2.92197551059889</v>
      </c>
      <c r="O819" s="316">
        <v>36.834890692387226</v>
      </c>
      <c r="P819" s="316">
        <v>6.3426103371296341</v>
      </c>
      <c r="Q819" s="316">
        <v>4.3598452186956473</v>
      </c>
      <c r="R819" s="316">
        <v>17.068142871615805</v>
      </c>
      <c r="S819" s="316">
        <v>22.539593534344945</v>
      </c>
      <c r="T819" s="316">
        <v>43.582873717973605</v>
      </c>
      <c r="U819" s="316">
        <v>6.6039635674597417</v>
      </c>
      <c r="V819" s="317">
        <v>140.2538954502055</v>
      </c>
      <c r="W819" s="317">
        <v>197.72171977872264</v>
      </c>
      <c r="X819" s="316">
        <v>21.385966108276012</v>
      </c>
      <c r="Y819" s="332">
        <v>219.10768588699867</v>
      </c>
    </row>
    <row r="820" spans="1:25" x14ac:dyDescent="0.2">
      <c r="A820" s="233">
        <v>2021</v>
      </c>
      <c r="B820" s="316" t="s">
        <v>466</v>
      </c>
      <c r="C820" s="316" t="s">
        <v>218</v>
      </c>
      <c r="D820" s="316" t="s">
        <v>482</v>
      </c>
      <c r="E820" s="316" t="s">
        <v>241</v>
      </c>
      <c r="F820" s="316" t="s">
        <v>221</v>
      </c>
      <c r="G820" s="316" t="s">
        <v>242</v>
      </c>
      <c r="H820" s="316">
        <v>9.6156382298757617</v>
      </c>
      <c r="I820" s="316">
        <v>0</v>
      </c>
      <c r="J820" s="317">
        <v>9.6156382298757617</v>
      </c>
      <c r="K820" s="316">
        <v>1.2385863738140515</v>
      </c>
      <c r="L820" s="316">
        <v>2.1898766508992704</v>
      </c>
      <c r="M820" s="317">
        <v>3.4284630247133219</v>
      </c>
      <c r="N820" s="316">
        <v>4.6311279087642312</v>
      </c>
      <c r="O820" s="316">
        <v>7.8618869870449579</v>
      </c>
      <c r="P820" s="316">
        <v>1.3607796692283425</v>
      </c>
      <c r="Q820" s="316">
        <v>0.67932296331194275</v>
      </c>
      <c r="R820" s="316">
        <v>5.7674347271392179</v>
      </c>
      <c r="S820" s="316">
        <v>5.0250316915225932</v>
      </c>
      <c r="T820" s="316">
        <v>9.4228688027340457</v>
      </c>
      <c r="U820" s="316">
        <v>1.9600088018785373</v>
      </c>
      <c r="V820" s="317">
        <v>36.70846155162387</v>
      </c>
      <c r="W820" s="317">
        <v>49.752562806212957</v>
      </c>
      <c r="X820" s="316">
        <v>5.3293995057665109</v>
      </c>
      <c r="Y820" s="332">
        <v>55.081962311979467</v>
      </c>
    </row>
    <row r="821" spans="1:25" x14ac:dyDescent="0.2">
      <c r="A821" s="233">
        <v>2021</v>
      </c>
      <c r="B821" s="316" t="s">
        <v>466</v>
      </c>
      <c r="C821" s="316" t="s">
        <v>218</v>
      </c>
      <c r="D821" s="316" t="s">
        <v>482</v>
      </c>
      <c r="E821" s="316" t="s">
        <v>243</v>
      </c>
      <c r="F821" s="316" t="s">
        <v>221</v>
      </c>
      <c r="G821" s="316" t="s">
        <v>244</v>
      </c>
      <c r="H821" s="316">
        <v>15.342597436487081</v>
      </c>
      <c r="I821" s="316">
        <v>0</v>
      </c>
      <c r="J821" s="317">
        <v>15.342597436487081</v>
      </c>
      <c r="K821" s="316">
        <v>4.3950298160677113</v>
      </c>
      <c r="L821" s="316">
        <v>3.1619193277657653</v>
      </c>
      <c r="M821" s="317">
        <v>7.5569491438334762</v>
      </c>
      <c r="N821" s="316">
        <v>9.8512447966132441</v>
      </c>
      <c r="O821" s="316">
        <v>11.877921473830206</v>
      </c>
      <c r="P821" s="316">
        <v>4.6896594866108536</v>
      </c>
      <c r="Q821" s="316">
        <v>2.1638561481003507</v>
      </c>
      <c r="R821" s="316">
        <v>14.7191687998943</v>
      </c>
      <c r="S821" s="316">
        <v>13.529269090681627</v>
      </c>
      <c r="T821" s="316">
        <v>26.007841256613901</v>
      </c>
      <c r="U821" s="316">
        <v>4.1965712890521747</v>
      </c>
      <c r="V821" s="317">
        <v>87.03553234139666</v>
      </c>
      <c r="W821" s="317">
        <v>109.93507892171722</v>
      </c>
      <c r="X821" s="316">
        <v>11.523718726012191</v>
      </c>
      <c r="Y821" s="332">
        <v>121.45879764772941</v>
      </c>
    </row>
    <row r="822" spans="1:25" x14ac:dyDescent="0.2">
      <c r="A822" s="233">
        <v>2021</v>
      </c>
      <c r="B822" s="316" t="s">
        <v>466</v>
      </c>
      <c r="C822" s="316" t="s">
        <v>218</v>
      </c>
      <c r="D822" s="316" t="s">
        <v>482</v>
      </c>
      <c r="E822" s="316" t="s">
        <v>245</v>
      </c>
      <c r="F822" s="316" t="s">
        <v>221</v>
      </c>
      <c r="G822" s="316" t="s">
        <v>246</v>
      </c>
      <c r="H822" s="316">
        <v>22.964258996312893</v>
      </c>
      <c r="I822" s="316">
        <v>0</v>
      </c>
      <c r="J822" s="317">
        <v>22.964258996312893</v>
      </c>
      <c r="K822" s="316">
        <v>2.8142285276494126</v>
      </c>
      <c r="L822" s="316">
        <v>4.671500803535908</v>
      </c>
      <c r="M822" s="317">
        <v>7.4857293311853201</v>
      </c>
      <c r="N822" s="316">
        <v>1.3222143487348574</v>
      </c>
      <c r="O822" s="316">
        <v>16.198282153761813</v>
      </c>
      <c r="P822" s="316">
        <v>2.9705096957547417</v>
      </c>
      <c r="Q822" s="316">
        <v>1.861600893037942</v>
      </c>
      <c r="R822" s="316">
        <v>10.136827908592746</v>
      </c>
      <c r="S822" s="316">
        <v>11.248691524464006</v>
      </c>
      <c r="T822" s="316">
        <v>25.727996134108366</v>
      </c>
      <c r="U822" s="316">
        <v>4.2375088640285563</v>
      </c>
      <c r="V822" s="317">
        <v>73.703631522483036</v>
      </c>
      <c r="W822" s="317">
        <v>104.15361984998125</v>
      </c>
      <c r="X822" s="316">
        <v>11.025416186429345</v>
      </c>
      <c r="Y822" s="332">
        <v>115.17903603641059</v>
      </c>
    </row>
    <row r="823" spans="1:25" x14ac:dyDescent="0.2">
      <c r="A823" s="233">
        <v>2021</v>
      </c>
      <c r="B823" s="316" t="s">
        <v>466</v>
      </c>
      <c r="C823" s="316" t="s">
        <v>218</v>
      </c>
      <c r="D823" s="316" t="s">
        <v>482</v>
      </c>
      <c r="E823" s="316" t="s">
        <v>247</v>
      </c>
      <c r="F823" s="316" t="s">
        <v>221</v>
      </c>
      <c r="G823" s="316" t="s">
        <v>248</v>
      </c>
      <c r="H823" s="316">
        <v>7.303835521170833</v>
      </c>
      <c r="I823" s="316">
        <v>0</v>
      </c>
      <c r="J823" s="317">
        <v>7.303835521170833</v>
      </c>
      <c r="K823" s="316">
        <v>1.0792071620790411</v>
      </c>
      <c r="L823" s="316">
        <v>1.3987301439975028</v>
      </c>
      <c r="M823" s="317">
        <v>2.4779373060765439</v>
      </c>
      <c r="N823" s="316">
        <v>4.2012984762136973</v>
      </c>
      <c r="O823" s="316">
        <v>4.000295237774476</v>
      </c>
      <c r="P823" s="316">
        <v>1.0613340250793462</v>
      </c>
      <c r="Q823" s="316">
        <v>0.37555096059255527</v>
      </c>
      <c r="R823" s="316">
        <v>4.1536609772587196</v>
      </c>
      <c r="S823" s="316">
        <v>3.5122765833438998</v>
      </c>
      <c r="T823" s="316">
        <v>6.5142092543931662</v>
      </c>
      <c r="U823" s="316">
        <v>1.3290693683056296</v>
      </c>
      <c r="V823" s="317">
        <v>25.147694882961492</v>
      </c>
      <c r="W823" s="317">
        <v>34.929467710208868</v>
      </c>
      <c r="X823" s="316">
        <v>3.7684672025156742</v>
      </c>
      <c r="Y823" s="332">
        <v>38.697934912724541</v>
      </c>
    </row>
    <row r="824" spans="1:25" x14ac:dyDescent="0.2">
      <c r="A824" s="233">
        <v>2021</v>
      </c>
      <c r="B824" s="316" t="s">
        <v>466</v>
      </c>
      <c r="C824" s="316" t="s">
        <v>218</v>
      </c>
      <c r="D824" s="316" t="s">
        <v>481</v>
      </c>
      <c r="E824" s="316" t="s">
        <v>249</v>
      </c>
      <c r="F824" s="316" t="s">
        <v>221</v>
      </c>
      <c r="G824" s="316" t="s">
        <v>250</v>
      </c>
      <c r="H824" s="316">
        <v>13.592650966426097</v>
      </c>
      <c r="I824" s="316">
        <v>0</v>
      </c>
      <c r="J824" s="317">
        <v>13.592650966426097</v>
      </c>
      <c r="K824" s="316">
        <v>0.87738382750753052</v>
      </c>
      <c r="L824" s="316">
        <v>3.8042930073669452</v>
      </c>
      <c r="M824" s="317">
        <v>4.6816768348744757</v>
      </c>
      <c r="N824" s="316">
        <v>3.798861419581129</v>
      </c>
      <c r="O824" s="316">
        <v>9.6737321473987432</v>
      </c>
      <c r="P824" s="316">
        <v>1.8477753580795309</v>
      </c>
      <c r="Q824" s="316">
        <v>1.1401897898342077</v>
      </c>
      <c r="R824" s="316">
        <v>5.8725620937886402</v>
      </c>
      <c r="S824" s="316">
        <v>6.8730853207865588</v>
      </c>
      <c r="T824" s="316">
        <v>17.097212834263114</v>
      </c>
      <c r="U824" s="316">
        <v>2.0767234795836478</v>
      </c>
      <c r="V824" s="317">
        <v>48.380142443315577</v>
      </c>
      <c r="W824" s="317">
        <v>66.654470244616149</v>
      </c>
      <c r="X824" s="316">
        <v>7.099999491839263</v>
      </c>
      <c r="Y824" s="332">
        <v>73.754469736455405</v>
      </c>
    </row>
    <row r="825" spans="1:25" x14ac:dyDescent="0.2">
      <c r="A825" s="233">
        <v>2021</v>
      </c>
      <c r="B825" s="316" t="s">
        <v>466</v>
      </c>
      <c r="C825" s="316" t="s">
        <v>218</v>
      </c>
      <c r="D825" s="316" t="s">
        <v>482</v>
      </c>
      <c r="E825" s="316" t="s">
        <v>251</v>
      </c>
      <c r="F825" s="316" t="s">
        <v>221</v>
      </c>
      <c r="G825" s="316" t="s">
        <v>252</v>
      </c>
      <c r="H825" s="316">
        <v>15.944739661648388</v>
      </c>
      <c r="I825" s="316">
        <v>0</v>
      </c>
      <c r="J825" s="317">
        <v>15.944739661648388</v>
      </c>
      <c r="K825" s="316">
        <v>2.9079635288172567</v>
      </c>
      <c r="L825" s="316">
        <v>2.5980391970165511</v>
      </c>
      <c r="M825" s="317">
        <v>5.5060027258338078</v>
      </c>
      <c r="N825" s="316">
        <v>1.2053577407028562</v>
      </c>
      <c r="O825" s="316">
        <v>11.693684451438338</v>
      </c>
      <c r="P825" s="316">
        <v>2.5122306238304577</v>
      </c>
      <c r="Q825" s="316">
        <v>1.4156568540348458</v>
      </c>
      <c r="R825" s="316">
        <v>9.5359241034673534</v>
      </c>
      <c r="S825" s="316">
        <v>7.7413319450250482</v>
      </c>
      <c r="T825" s="316">
        <v>17.660342662722613</v>
      </c>
      <c r="U825" s="316">
        <v>2.658608243380602</v>
      </c>
      <c r="V825" s="317">
        <v>54.423136624602108</v>
      </c>
      <c r="W825" s="317">
        <v>75.873879012084302</v>
      </c>
      <c r="X825" s="316">
        <v>8.0036439040240364</v>
      </c>
      <c r="Y825" s="332">
        <v>83.877522916108333</v>
      </c>
    </row>
    <row r="826" spans="1:25" x14ac:dyDescent="0.2">
      <c r="A826" s="233">
        <v>2021</v>
      </c>
      <c r="B826" s="316" t="s">
        <v>466</v>
      </c>
      <c r="C826" s="316" t="s">
        <v>218</v>
      </c>
      <c r="D826" s="316" t="s">
        <v>482</v>
      </c>
      <c r="E826" s="316" t="s">
        <v>253</v>
      </c>
      <c r="F826" s="316" t="s">
        <v>221</v>
      </c>
      <c r="G826" s="316" t="s">
        <v>254</v>
      </c>
      <c r="H826" s="316">
        <v>15.325447882418908</v>
      </c>
      <c r="I826" s="316">
        <v>0</v>
      </c>
      <c r="J826" s="317">
        <v>15.325447882418908</v>
      </c>
      <c r="K826" s="316">
        <v>7.1639448207911451</v>
      </c>
      <c r="L826" s="316">
        <v>4.5601318044546817</v>
      </c>
      <c r="M826" s="317">
        <v>11.724076625245827</v>
      </c>
      <c r="N826" s="316">
        <v>6.1243792571636009</v>
      </c>
      <c r="O826" s="316">
        <v>49.854931788112061</v>
      </c>
      <c r="P826" s="316">
        <v>7.8934503061812302</v>
      </c>
      <c r="Q826" s="316">
        <v>2.7674792003538418</v>
      </c>
      <c r="R826" s="316">
        <v>30.193496284347134</v>
      </c>
      <c r="S826" s="316">
        <v>21.311045101767366</v>
      </c>
      <c r="T826" s="316">
        <v>20.204170939760296</v>
      </c>
      <c r="U826" s="316">
        <v>5.5027639043222338</v>
      </c>
      <c r="V826" s="317">
        <v>143.85171678200774</v>
      </c>
      <c r="W826" s="317">
        <v>170.90124128967247</v>
      </c>
      <c r="X826" s="316">
        <v>17.667518931660947</v>
      </c>
      <c r="Y826" s="332">
        <v>188.56876022133341</v>
      </c>
    </row>
    <row r="827" spans="1:25" x14ac:dyDescent="0.2">
      <c r="A827" s="233">
        <v>2021</v>
      </c>
      <c r="B827" s="316" t="s">
        <v>466</v>
      </c>
      <c r="C827" s="316" t="s">
        <v>218</v>
      </c>
      <c r="D827" s="316" t="s">
        <v>482</v>
      </c>
      <c r="E827" s="316" t="s">
        <v>255</v>
      </c>
      <c r="F827" s="316" t="s">
        <v>221</v>
      </c>
      <c r="G827" s="316" t="s">
        <v>256</v>
      </c>
      <c r="H827" s="316">
        <v>11.352289543691539</v>
      </c>
      <c r="I827" s="316">
        <v>14.495296550455969</v>
      </c>
      <c r="J827" s="317">
        <v>25.847586094147509</v>
      </c>
      <c r="K827" s="316">
        <v>12.263395104953208</v>
      </c>
      <c r="L827" s="316">
        <v>6.6497737958038465</v>
      </c>
      <c r="M827" s="317">
        <v>18.913168900757054</v>
      </c>
      <c r="N827" s="316">
        <v>9.0437542875453047</v>
      </c>
      <c r="O827" s="316">
        <v>83.053655409754455</v>
      </c>
      <c r="P827" s="316">
        <v>8.9296151892539157</v>
      </c>
      <c r="Q827" s="316">
        <v>7.3412314087839228</v>
      </c>
      <c r="R827" s="316">
        <v>33.314621763147549</v>
      </c>
      <c r="S827" s="316">
        <v>33.074174813531208</v>
      </c>
      <c r="T827" s="316">
        <v>56.911771766835116</v>
      </c>
      <c r="U827" s="316">
        <v>8.9068540371219562</v>
      </c>
      <c r="V827" s="317">
        <v>240.57567867597345</v>
      </c>
      <c r="W827" s="317">
        <v>285.33643367087802</v>
      </c>
      <c r="X827" s="316">
        <v>30.075314668994682</v>
      </c>
      <c r="Y827" s="332">
        <v>315.4117483398727</v>
      </c>
    </row>
    <row r="828" spans="1:25" x14ac:dyDescent="0.2">
      <c r="A828" s="233">
        <v>2021</v>
      </c>
      <c r="B828" s="316" t="s">
        <v>466</v>
      </c>
      <c r="C828" s="316" t="s">
        <v>218</v>
      </c>
      <c r="D828" s="316" t="s">
        <v>482</v>
      </c>
      <c r="E828" s="316" t="s">
        <v>257</v>
      </c>
      <c r="F828" s="316" t="s">
        <v>221</v>
      </c>
      <c r="G828" s="316" t="s">
        <v>258</v>
      </c>
      <c r="H828" s="316">
        <v>4.9842644507191132</v>
      </c>
      <c r="I828" s="316">
        <v>10.412770552304085</v>
      </c>
      <c r="J828" s="317">
        <v>15.397035003023198</v>
      </c>
      <c r="K828" s="316">
        <v>7.2826174123150027</v>
      </c>
      <c r="L828" s="316">
        <v>3.3222809459529086</v>
      </c>
      <c r="M828" s="317">
        <v>10.604898358267912</v>
      </c>
      <c r="N828" s="316">
        <v>5.5951668109294763</v>
      </c>
      <c r="O828" s="316">
        <v>27.177997391325917</v>
      </c>
      <c r="P828" s="316">
        <v>9.9748079036699533</v>
      </c>
      <c r="Q828" s="316">
        <v>3.4475918480706866</v>
      </c>
      <c r="R828" s="316">
        <v>21.610198102049882</v>
      </c>
      <c r="S828" s="316">
        <v>22.561537935587118</v>
      </c>
      <c r="T828" s="316">
        <v>25.47346219702246</v>
      </c>
      <c r="U828" s="316">
        <v>6.2780389608845617</v>
      </c>
      <c r="V828" s="317">
        <v>122.11880114954006</v>
      </c>
      <c r="W828" s="317">
        <v>148.12073451083117</v>
      </c>
      <c r="X828" s="316">
        <v>15.592103673095162</v>
      </c>
      <c r="Y828" s="332">
        <v>163.71283818392632</v>
      </c>
    </row>
    <row r="829" spans="1:25" x14ac:dyDescent="0.2">
      <c r="A829" s="233">
        <v>2021</v>
      </c>
      <c r="B829" s="316" t="s">
        <v>466</v>
      </c>
      <c r="C829" s="316" t="s">
        <v>218</v>
      </c>
      <c r="D829" s="316" t="s">
        <v>481</v>
      </c>
      <c r="E829" s="316" t="s">
        <v>259</v>
      </c>
      <c r="F829" s="316" t="s">
        <v>221</v>
      </c>
      <c r="G829" s="316" t="s">
        <v>260</v>
      </c>
      <c r="H829" s="316">
        <v>19.373122572830219</v>
      </c>
      <c r="I829" s="316">
        <v>12.496025764405376</v>
      </c>
      <c r="J829" s="317">
        <v>31.869148337235593</v>
      </c>
      <c r="K829" s="316">
        <v>1.9874064628721142</v>
      </c>
      <c r="L829" s="316">
        <v>4.6806746105520549</v>
      </c>
      <c r="M829" s="317">
        <v>6.6680810734241689</v>
      </c>
      <c r="N829" s="316">
        <v>2.6368409399358268</v>
      </c>
      <c r="O829" s="316">
        <v>8.7881909493633543</v>
      </c>
      <c r="P829" s="316">
        <v>1.5062038672096218</v>
      </c>
      <c r="Q829" s="316">
        <v>1.5822989419603368</v>
      </c>
      <c r="R829" s="316">
        <v>5.1340416977837942</v>
      </c>
      <c r="S829" s="316">
        <v>6.8617016427623252</v>
      </c>
      <c r="T829" s="316">
        <v>13.678175503024642</v>
      </c>
      <c r="U829" s="316">
        <v>1.9148315420812212</v>
      </c>
      <c r="V829" s="317">
        <v>42.102285084121121</v>
      </c>
      <c r="W829" s="317">
        <v>80.639514494780883</v>
      </c>
      <c r="X829" s="316">
        <v>9.4103220532903169</v>
      </c>
      <c r="Y829" s="332">
        <v>90.049836548071198</v>
      </c>
    </row>
    <row r="830" spans="1:25" x14ac:dyDescent="0.2">
      <c r="A830" s="233">
        <v>2021</v>
      </c>
      <c r="B830" s="316" t="s">
        <v>466</v>
      </c>
      <c r="C830" s="316" t="s">
        <v>261</v>
      </c>
      <c r="D830" s="316" t="s">
        <v>483</v>
      </c>
      <c r="E830" s="316" t="s">
        <v>263</v>
      </c>
      <c r="F830" s="316" t="s">
        <v>264</v>
      </c>
      <c r="G830" s="316" t="s">
        <v>265</v>
      </c>
      <c r="H830" s="316">
        <v>52.667351708138675</v>
      </c>
      <c r="I830" s="316">
        <v>27.822343128767773</v>
      </c>
      <c r="J830" s="317">
        <v>80.489694836906452</v>
      </c>
      <c r="K830" s="316">
        <v>12.352077982678875</v>
      </c>
      <c r="L830" s="316">
        <v>4.4053480142271209</v>
      </c>
      <c r="M830" s="317">
        <v>16.757425996905994</v>
      </c>
      <c r="N830" s="316">
        <v>2.1791573787191916</v>
      </c>
      <c r="O830" s="316">
        <v>20.684080254271411</v>
      </c>
      <c r="P830" s="316">
        <v>6.6193161077189071</v>
      </c>
      <c r="Q830" s="316">
        <v>4.4113729731798053</v>
      </c>
      <c r="R830" s="316">
        <v>20.897305979643644</v>
      </c>
      <c r="S830" s="316">
        <v>19.64369121557235</v>
      </c>
      <c r="T830" s="316">
        <v>38.195002405282516</v>
      </c>
      <c r="U830" s="316">
        <v>7.9703253928353899</v>
      </c>
      <c r="V830" s="317">
        <v>120.60025170722322</v>
      </c>
      <c r="W830" s="317">
        <v>217.84737254103567</v>
      </c>
      <c r="X830" s="316">
        <v>24.845892564590837</v>
      </c>
      <c r="Y830" s="332">
        <v>242.69326510562649</v>
      </c>
    </row>
    <row r="831" spans="1:25" x14ac:dyDescent="0.2">
      <c r="A831" s="233">
        <v>2021</v>
      </c>
      <c r="B831" s="316" t="s">
        <v>466</v>
      </c>
      <c r="C831" s="316" t="s">
        <v>261</v>
      </c>
      <c r="D831" s="316" t="s">
        <v>484</v>
      </c>
      <c r="E831" s="316" t="s">
        <v>266</v>
      </c>
      <c r="F831" s="316" t="s">
        <v>264</v>
      </c>
      <c r="G831" s="316" t="s">
        <v>268</v>
      </c>
      <c r="H831" s="316">
        <v>7.5521184627532296</v>
      </c>
      <c r="I831" s="316">
        <v>0</v>
      </c>
      <c r="J831" s="317">
        <v>7.5521184627532296</v>
      </c>
      <c r="K831" s="316">
        <v>1.7786396858828222</v>
      </c>
      <c r="L831" s="316">
        <v>2.1476880487400947</v>
      </c>
      <c r="M831" s="317">
        <v>3.9263277346229168</v>
      </c>
      <c r="N831" s="316">
        <v>2.5169951840486169</v>
      </c>
      <c r="O831" s="316">
        <v>8.9567832350118177</v>
      </c>
      <c r="P831" s="316">
        <v>1.7477596147946874</v>
      </c>
      <c r="Q831" s="316">
        <v>1.1188298267693984</v>
      </c>
      <c r="R831" s="316">
        <v>7.9065291652378429</v>
      </c>
      <c r="S831" s="316">
        <v>5.5591326571929756</v>
      </c>
      <c r="T831" s="316">
        <v>9.6411742492881629</v>
      </c>
      <c r="U831" s="316">
        <v>2.5344506525925827</v>
      </c>
      <c r="V831" s="317">
        <v>39.981654584936081</v>
      </c>
      <c r="W831" s="317">
        <v>51.460100782312225</v>
      </c>
      <c r="X831" s="316">
        <v>5.3736435065997954</v>
      </c>
      <c r="Y831" s="332">
        <v>56.833744288912023</v>
      </c>
    </row>
    <row r="832" spans="1:25" x14ac:dyDescent="0.2">
      <c r="A832" s="233">
        <v>2021</v>
      </c>
      <c r="B832" s="316" t="s">
        <v>466</v>
      </c>
      <c r="C832" s="316" t="s">
        <v>261</v>
      </c>
      <c r="D832" s="316" t="s">
        <v>483</v>
      </c>
      <c r="E832" s="316" t="s">
        <v>269</v>
      </c>
      <c r="F832" s="316" t="s">
        <v>264</v>
      </c>
      <c r="G832" s="316" t="s">
        <v>271</v>
      </c>
      <c r="H832" s="316">
        <v>17.936338393243663</v>
      </c>
      <c r="I832" s="316">
        <v>0</v>
      </c>
      <c r="J832" s="317">
        <v>17.936338393243663</v>
      </c>
      <c r="K832" s="316">
        <v>2.8497592743207845</v>
      </c>
      <c r="L832" s="316">
        <v>1.9021650780244972</v>
      </c>
      <c r="M832" s="317">
        <v>4.7519243523452817</v>
      </c>
      <c r="N832" s="316">
        <v>2.3441310516017535</v>
      </c>
      <c r="O832" s="316">
        <v>6.7630322422768447</v>
      </c>
      <c r="P832" s="316">
        <v>2.0454444436259958</v>
      </c>
      <c r="Q832" s="316">
        <v>1.4921265280718063</v>
      </c>
      <c r="R832" s="316">
        <v>6.9703449825042041</v>
      </c>
      <c r="S832" s="316">
        <v>5.644385200825643</v>
      </c>
      <c r="T832" s="316">
        <v>14.595666147017551</v>
      </c>
      <c r="U832" s="316">
        <v>2.0719631950727493</v>
      </c>
      <c r="V832" s="317">
        <v>41.927093790996544</v>
      </c>
      <c r="W832" s="317">
        <v>64.615356536585494</v>
      </c>
      <c r="X832" s="316">
        <v>6.9553576931857037</v>
      </c>
      <c r="Y832" s="332">
        <v>71.570714229771198</v>
      </c>
    </row>
    <row r="833" spans="1:25" x14ac:dyDescent="0.2">
      <c r="A833" s="233">
        <v>2021</v>
      </c>
      <c r="B833" s="316" t="s">
        <v>466</v>
      </c>
      <c r="C833" s="316" t="s">
        <v>261</v>
      </c>
      <c r="D833" s="316" t="s">
        <v>485</v>
      </c>
      <c r="E833" s="316" t="s">
        <v>272</v>
      </c>
      <c r="F833" s="316" t="s">
        <v>264</v>
      </c>
      <c r="G833" s="316" t="s">
        <v>273</v>
      </c>
      <c r="H833" s="316">
        <v>8.1149044716375247</v>
      </c>
      <c r="I833" s="316">
        <v>4.9301286715336605</v>
      </c>
      <c r="J833" s="317">
        <v>13.045033143171185</v>
      </c>
      <c r="K833" s="316">
        <v>8.3209532291021802</v>
      </c>
      <c r="L833" s="316">
        <v>6.9808786542934804</v>
      </c>
      <c r="M833" s="317">
        <v>15.301831883395661</v>
      </c>
      <c r="N833" s="316">
        <v>13.17623391098866</v>
      </c>
      <c r="O833" s="316">
        <v>20.776120838130041</v>
      </c>
      <c r="P833" s="316">
        <v>6.8919614891916847</v>
      </c>
      <c r="Q833" s="316">
        <v>2.6233853166223922</v>
      </c>
      <c r="R833" s="316">
        <v>20.364965188657006</v>
      </c>
      <c r="S833" s="316">
        <v>15.223814321826817</v>
      </c>
      <c r="T833" s="316">
        <v>21.216232845048243</v>
      </c>
      <c r="U833" s="316">
        <v>5.3712450403611429</v>
      </c>
      <c r="V833" s="317">
        <v>105.64395895082599</v>
      </c>
      <c r="W833" s="317">
        <v>133.99082397739284</v>
      </c>
      <c r="X833" s="316">
        <v>14.087402018696894</v>
      </c>
      <c r="Y833" s="332">
        <v>148.07822599608974</v>
      </c>
    </row>
    <row r="834" spans="1:25" x14ac:dyDescent="0.2">
      <c r="A834" s="233">
        <v>2021</v>
      </c>
      <c r="B834" s="316" t="s">
        <v>466</v>
      </c>
      <c r="C834" s="316" t="s">
        <v>261</v>
      </c>
      <c r="D834" s="316" t="s">
        <v>484</v>
      </c>
      <c r="E834" s="316" t="s">
        <v>274</v>
      </c>
      <c r="F834" s="316" t="s">
        <v>264</v>
      </c>
      <c r="G834" s="316" t="s">
        <v>275</v>
      </c>
      <c r="H834" s="316">
        <v>7.7782373089166637</v>
      </c>
      <c r="I834" s="316">
        <v>4.2033901234627029</v>
      </c>
      <c r="J834" s="317">
        <v>11.981627432379366</v>
      </c>
      <c r="K834" s="316">
        <v>2.6245417088300789</v>
      </c>
      <c r="L834" s="316">
        <v>1.9719536553739863</v>
      </c>
      <c r="M834" s="317">
        <v>4.5964953642040651</v>
      </c>
      <c r="N834" s="316">
        <v>7.7746253990202074</v>
      </c>
      <c r="O834" s="316">
        <v>3.7121115478293012</v>
      </c>
      <c r="P834" s="316">
        <v>0.86947391854310263</v>
      </c>
      <c r="Q834" s="316">
        <v>0.50443405446862111</v>
      </c>
      <c r="R834" s="316">
        <v>5.4555898801073441</v>
      </c>
      <c r="S834" s="316">
        <v>4.58364150485352</v>
      </c>
      <c r="T834" s="316">
        <v>5.3457466879357947</v>
      </c>
      <c r="U834" s="316">
        <v>1.1508428541150417</v>
      </c>
      <c r="V834" s="317">
        <v>29.396465846872932</v>
      </c>
      <c r="W834" s="317">
        <v>45.974588643456357</v>
      </c>
      <c r="X834" s="316">
        <v>5.2198720294223904</v>
      </c>
      <c r="Y834" s="332">
        <v>51.194460672878748</v>
      </c>
    </row>
    <row r="835" spans="1:25" x14ac:dyDescent="0.2">
      <c r="A835" s="233">
        <v>2021</v>
      </c>
      <c r="B835" s="316" t="s">
        <v>466</v>
      </c>
      <c r="C835" s="316" t="s">
        <v>261</v>
      </c>
      <c r="D835" s="316" t="s">
        <v>486</v>
      </c>
      <c r="E835" s="316" t="s">
        <v>276</v>
      </c>
      <c r="F835" s="316" t="s">
        <v>264</v>
      </c>
      <c r="G835" s="316" t="s">
        <v>277</v>
      </c>
      <c r="H835" s="316">
        <v>75.320923091783882</v>
      </c>
      <c r="I835" s="316">
        <v>0</v>
      </c>
      <c r="J835" s="317">
        <v>75.320923091783882</v>
      </c>
      <c r="K835" s="316">
        <v>31.421519969396506</v>
      </c>
      <c r="L835" s="316">
        <v>15.076747733382263</v>
      </c>
      <c r="M835" s="317">
        <v>46.498267702778769</v>
      </c>
      <c r="N835" s="316">
        <v>15.558030279033387</v>
      </c>
      <c r="O835" s="316">
        <v>134.69125546413912</v>
      </c>
      <c r="P835" s="316">
        <v>26.399002828343512</v>
      </c>
      <c r="Q835" s="316">
        <v>19.405330837712221</v>
      </c>
      <c r="R835" s="316">
        <v>106.60190255998648</v>
      </c>
      <c r="S835" s="316">
        <v>75.245175912947701</v>
      </c>
      <c r="T835" s="316">
        <v>74.960715383041986</v>
      </c>
      <c r="U835" s="316">
        <v>28.182202920687075</v>
      </c>
      <c r="V835" s="317">
        <v>481.04361618589144</v>
      </c>
      <c r="W835" s="317">
        <v>602.86280698045414</v>
      </c>
      <c r="X835" s="316">
        <v>62.33683731080265</v>
      </c>
      <c r="Y835" s="332">
        <v>665.19964429125685</v>
      </c>
    </row>
    <row r="836" spans="1:25" x14ac:dyDescent="0.2">
      <c r="A836" s="233">
        <v>2021</v>
      </c>
      <c r="B836" s="316" t="s">
        <v>466</v>
      </c>
      <c r="C836" s="316" t="s">
        <v>261</v>
      </c>
      <c r="D836" s="316" t="s">
        <v>484</v>
      </c>
      <c r="E836" s="316" t="s">
        <v>278</v>
      </c>
      <c r="F836" s="316" t="s">
        <v>264</v>
      </c>
      <c r="G836" s="316" t="s">
        <v>279</v>
      </c>
      <c r="H836" s="316">
        <v>217.85099615518476</v>
      </c>
      <c r="I836" s="316">
        <v>0</v>
      </c>
      <c r="J836" s="317">
        <v>217.85099615518476</v>
      </c>
      <c r="K836" s="316">
        <v>21.4210060114554</v>
      </c>
      <c r="L836" s="316">
        <v>9.5748033895875473</v>
      </c>
      <c r="M836" s="317">
        <v>30.995809401042948</v>
      </c>
      <c r="N836" s="316">
        <v>3.2066571912586239</v>
      </c>
      <c r="O836" s="316">
        <v>32.344903894998971</v>
      </c>
      <c r="P836" s="316">
        <v>11.227542250407931</v>
      </c>
      <c r="Q836" s="316">
        <v>3.6758883754031229</v>
      </c>
      <c r="R836" s="316">
        <v>35.464479477650329</v>
      </c>
      <c r="S836" s="316">
        <v>19.020281944158242</v>
      </c>
      <c r="T836" s="316">
        <v>23.016033162124245</v>
      </c>
      <c r="U836" s="316">
        <v>7.6290078530022827</v>
      </c>
      <c r="V836" s="317">
        <v>135.58479414900376</v>
      </c>
      <c r="W836" s="317">
        <v>384.43159970523146</v>
      </c>
      <c r="X836" s="316">
        <v>44.358311819813338</v>
      </c>
      <c r="Y836" s="332">
        <v>428.78991152504477</v>
      </c>
    </row>
    <row r="837" spans="1:25" x14ac:dyDescent="0.2">
      <c r="A837" s="233">
        <v>2021</v>
      </c>
      <c r="B837" s="316" t="s">
        <v>466</v>
      </c>
      <c r="C837" s="316" t="s">
        <v>261</v>
      </c>
      <c r="D837" s="316" t="s">
        <v>486</v>
      </c>
      <c r="E837" s="316" t="s">
        <v>280</v>
      </c>
      <c r="F837" s="316" t="s">
        <v>264</v>
      </c>
      <c r="G837" s="316" t="s">
        <v>281</v>
      </c>
      <c r="H837" s="316">
        <v>27.362189474045621</v>
      </c>
      <c r="I837" s="316">
        <v>17.678484946771867</v>
      </c>
      <c r="J837" s="317">
        <v>45.040674420817489</v>
      </c>
      <c r="K837" s="316">
        <v>34.471991825813852</v>
      </c>
      <c r="L837" s="316">
        <v>7.2258960758566619</v>
      </c>
      <c r="M837" s="317">
        <v>41.697887901670512</v>
      </c>
      <c r="N837" s="316">
        <v>15.276731823467694</v>
      </c>
      <c r="O837" s="316">
        <v>99.718679917394638</v>
      </c>
      <c r="P837" s="316">
        <v>20.551340591122031</v>
      </c>
      <c r="Q837" s="316">
        <v>9.5193325494698762</v>
      </c>
      <c r="R837" s="316">
        <v>75.163966582729728</v>
      </c>
      <c r="S837" s="316">
        <v>60.322201591874276</v>
      </c>
      <c r="T837" s="316">
        <v>64.065923346440854</v>
      </c>
      <c r="U837" s="316">
        <v>16.347276678409202</v>
      </c>
      <c r="V837" s="317">
        <v>360.96545308090833</v>
      </c>
      <c r="W837" s="317">
        <v>447.70401540339634</v>
      </c>
      <c r="X837" s="316">
        <v>46.707558271791733</v>
      </c>
      <c r="Y837" s="332">
        <v>494.41157367518809</v>
      </c>
    </row>
    <row r="838" spans="1:25" x14ac:dyDescent="0.2">
      <c r="A838" s="233">
        <v>2021</v>
      </c>
      <c r="B838" s="316" t="s">
        <v>466</v>
      </c>
      <c r="C838" s="316" t="s">
        <v>261</v>
      </c>
      <c r="D838" s="316" t="s">
        <v>486</v>
      </c>
      <c r="E838" s="316" t="s">
        <v>282</v>
      </c>
      <c r="F838" s="316" t="s">
        <v>264</v>
      </c>
      <c r="G838" s="316" t="s">
        <v>284</v>
      </c>
      <c r="H838" s="316">
        <v>97.501117400826203</v>
      </c>
      <c r="I838" s="316">
        <v>0</v>
      </c>
      <c r="J838" s="317">
        <v>97.501117400826203</v>
      </c>
      <c r="K838" s="316">
        <v>31.954318072388908</v>
      </c>
      <c r="L838" s="316">
        <v>11.289366688651489</v>
      </c>
      <c r="M838" s="317">
        <v>43.243684761040399</v>
      </c>
      <c r="N838" s="316">
        <v>7.3844453814384954</v>
      </c>
      <c r="O838" s="316">
        <v>81.839066292399664</v>
      </c>
      <c r="P838" s="316">
        <v>13.944965919330432</v>
      </c>
      <c r="Q838" s="316">
        <v>12.408803506531015</v>
      </c>
      <c r="R838" s="316">
        <v>53.717670746337433</v>
      </c>
      <c r="S838" s="316">
        <v>42.844830401217564</v>
      </c>
      <c r="T838" s="316">
        <v>55.853465377585451</v>
      </c>
      <c r="U838" s="316">
        <v>13.131935719774354</v>
      </c>
      <c r="V838" s="317">
        <v>281.12518334461436</v>
      </c>
      <c r="W838" s="317">
        <v>421.86998550648099</v>
      </c>
      <c r="X838" s="316">
        <v>44.849672844313602</v>
      </c>
      <c r="Y838" s="332">
        <v>466.71965835079459</v>
      </c>
    </row>
    <row r="839" spans="1:25" x14ac:dyDescent="0.2">
      <c r="A839" s="233">
        <v>2021</v>
      </c>
      <c r="B839" s="316" t="s">
        <v>466</v>
      </c>
      <c r="C839" s="316" t="s">
        <v>261</v>
      </c>
      <c r="D839" s="316" t="s">
        <v>484</v>
      </c>
      <c r="E839" s="316" t="s">
        <v>285</v>
      </c>
      <c r="F839" s="316" t="s">
        <v>264</v>
      </c>
      <c r="G839" s="316" t="s">
        <v>286</v>
      </c>
      <c r="H839" s="316">
        <v>13.556638042336989</v>
      </c>
      <c r="I839" s="316">
        <v>0</v>
      </c>
      <c r="J839" s="317">
        <v>13.556638042336989</v>
      </c>
      <c r="K839" s="316">
        <v>3.675020923079559</v>
      </c>
      <c r="L839" s="316">
        <v>1.9488305164781692</v>
      </c>
      <c r="M839" s="317">
        <v>5.6238514395577281</v>
      </c>
      <c r="N839" s="316">
        <v>2.3950332420909519</v>
      </c>
      <c r="O839" s="316">
        <v>11.675501906544405</v>
      </c>
      <c r="P839" s="316">
        <v>3.9627196625434995</v>
      </c>
      <c r="Q839" s="316">
        <v>1.8790208810038209</v>
      </c>
      <c r="R839" s="316">
        <v>17.954249413943469</v>
      </c>
      <c r="S839" s="316">
        <v>7.7172241909546155</v>
      </c>
      <c r="T839" s="316">
        <v>13.246763671695021</v>
      </c>
      <c r="U839" s="316">
        <v>3.3333311213083094</v>
      </c>
      <c r="V839" s="317">
        <v>62.163844090084098</v>
      </c>
      <c r="W839" s="317">
        <v>81.344333571978808</v>
      </c>
      <c r="X839" s="316">
        <v>8.451892358509129</v>
      </c>
      <c r="Y839" s="332">
        <v>89.796225930487935</v>
      </c>
    </row>
    <row r="840" spans="1:25" x14ac:dyDescent="0.2">
      <c r="A840" s="233">
        <v>2021</v>
      </c>
      <c r="B840" s="316" t="s">
        <v>466</v>
      </c>
      <c r="C840" s="316" t="s">
        <v>261</v>
      </c>
      <c r="D840" s="316" t="s">
        <v>486</v>
      </c>
      <c r="E840" s="316" t="s">
        <v>287</v>
      </c>
      <c r="F840" s="316" t="s">
        <v>264</v>
      </c>
      <c r="G840" s="316" t="s">
        <v>288</v>
      </c>
      <c r="H840" s="316">
        <v>48.094299071712655</v>
      </c>
      <c r="I840" s="316">
        <v>0</v>
      </c>
      <c r="J840" s="317">
        <v>48.094299071712655</v>
      </c>
      <c r="K840" s="316">
        <v>456.9096951773351</v>
      </c>
      <c r="L840" s="316">
        <v>204.8960949126741</v>
      </c>
      <c r="M840" s="317">
        <v>661.80579009000917</v>
      </c>
      <c r="N840" s="316">
        <v>25.635172379350031</v>
      </c>
      <c r="O840" s="316">
        <v>169.47917667030507</v>
      </c>
      <c r="P840" s="316">
        <v>25.92907781668654</v>
      </c>
      <c r="Q840" s="316">
        <v>14.628114239961999</v>
      </c>
      <c r="R840" s="316">
        <v>102.69752886894882</v>
      </c>
      <c r="S840" s="316">
        <v>64.735094373600987</v>
      </c>
      <c r="T840" s="316">
        <v>51.860963568993924</v>
      </c>
      <c r="U840" s="316">
        <v>25.380260428792678</v>
      </c>
      <c r="V840" s="317">
        <v>480.34538834663999</v>
      </c>
      <c r="W840" s="317">
        <v>1190.2454775083618</v>
      </c>
      <c r="X840" s="316">
        <v>117.51768426448082</v>
      </c>
      <c r="Y840" s="332">
        <v>1307.7631617728425</v>
      </c>
    </row>
    <row r="841" spans="1:25" x14ac:dyDescent="0.2">
      <c r="A841" s="233">
        <v>2021</v>
      </c>
      <c r="B841" s="316" t="s">
        <v>466</v>
      </c>
      <c r="C841" s="316" t="s">
        <v>261</v>
      </c>
      <c r="D841" s="316" t="s">
        <v>484</v>
      </c>
      <c r="E841" s="316" t="s">
        <v>289</v>
      </c>
      <c r="F841" s="316" t="s">
        <v>264</v>
      </c>
      <c r="G841" s="316" t="s">
        <v>290</v>
      </c>
      <c r="H841" s="316">
        <v>2.6317894135532303</v>
      </c>
      <c r="I841" s="316">
        <v>0</v>
      </c>
      <c r="J841" s="317">
        <v>2.6317894135532303</v>
      </c>
      <c r="K841" s="316">
        <v>12.779664680412344</v>
      </c>
      <c r="L841" s="316">
        <v>10.348764283378937</v>
      </c>
      <c r="M841" s="317">
        <v>23.128428963791279</v>
      </c>
      <c r="N841" s="316">
        <v>6.7520844197048531</v>
      </c>
      <c r="O841" s="316">
        <v>113.93313330527266</v>
      </c>
      <c r="P841" s="316">
        <v>11.912335615929246</v>
      </c>
      <c r="Q841" s="316">
        <v>5.5958695993399958</v>
      </c>
      <c r="R841" s="316">
        <v>62.410892273140398</v>
      </c>
      <c r="S841" s="316">
        <v>43.097159646321074</v>
      </c>
      <c r="T841" s="316">
        <v>66.886128948689546</v>
      </c>
      <c r="U841" s="316">
        <v>12.304954429929227</v>
      </c>
      <c r="V841" s="317">
        <v>322.89255823832701</v>
      </c>
      <c r="W841" s="317">
        <v>348.65277661567154</v>
      </c>
      <c r="X841" s="316">
        <v>35.185334707335983</v>
      </c>
      <c r="Y841" s="332">
        <v>383.83811132300752</v>
      </c>
    </row>
    <row r="842" spans="1:25" x14ac:dyDescent="0.2">
      <c r="A842" s="233">
        <v>2021</v>
      </c>
      <c r="B842" s="316" t="s">
        <v>466</v>
      </c>
      <c r="C842" s="316" t="s">
        <v>261</v>
      </c>
      <c r="D842" s="316" t="s">
        <v>486</v>
      </c>
      <c r="E842" s="316" t="s">
        <v>291</v>
      </c>
      <c r="F842" s="316" t="s">
        <v>264</v>
      </c>
      <c r="G842" s="316" t="s">
        <v>292</v>
      </c>
      <c r="H842" s="316">
        <v>39.622697499345641</v>
      </c>
      <c r="I842" s="316">
        <v>0</v>
      </c>
      <c r="J842" s="317">
        <v>39.622697499345641</v>
      </c>
      <c r="K842" s="316">
        <v>58.785023829202949</v>
      </c>
      <c r="L842" s="316">
        <v>28.862244933280472</v>
      </c>
      <c r="M842" s="317">
        <v>87.647268762483421</v>
      </c>
      <c r="N842" s="316">
        <v>23.648138196109713</v>
      </c>
      <c r="O842" s="316">
        <v>217.08608823359424</v>
      </c>
      <c r="P842" s="316">
        <v>40.871450111595415</v>
      </c>
      <c r="Q842" s="316">
        <v>38.709249616814574</v>
      </c>
      <c r="R842" s="316">
        <v>145.31204469021932</v>
      </c>
      <c r="S842" s="316">
        <v>90.303816997696444</v>
      </c>
      <c r="T842" s="316">
        <v>73.237795470216284</v>
      </c>
      <c r="U842" s="316">
        <v>32.898852117588007</v>
      </c>
      <c r="V842" s="317">
        <v>662.06743543383402</v>
      </c>
      <c r="W842" s="317">
        <v>789.33740169566317</v>
      </c>
      <c r="X842" s="316">
        <v>80.089404742118035</v>
      </c>
      <c r="Y842" s="332">
        <v>869.42680643778124</v>
      </c>
    </row>
    <row r="843" spans="1:25" x14ac:dyDescent="0.2">
      <c r="A843" s="233">
        <v>2021</v>
      </c>
      <c r="B843" s="316" t="s">
        <v>466</v>
      </c>
      <c r="C843" s="316" t="s">
        <v>261</v>
      </c>
      <c r="D843" s="316" t="s">
        <v>486</v>
      </c>
      <c r="E843" s="316" t="s">
        <v>293</v>
      </c>
      <c r="F843" s="316" t="s">
        <v>264</v>
      </c>
      <c r="G843" s="316" t="s">
        <v>295</v>
      </c>
      <c r="H843" s="316">
        <v>21.825755051705276</v>
      </c>
      <c r="I843" s="316">
        <v>11.778144989483115</v>
      </c>
      <c r="J843" s="317">
        <v>33.603900041188389</v>
      </c>
      <c r="K843" s="316">
        <v>26.465672844041755</v>
      </c>
      <c r="L843" s="316">
        <v>8.9926423542118918</v>
      </c>
      <c r="M843" s="317">
        <v>35.458315198253644</v>
      </c>
      <c r="N843" s="316">
        <v>6.7234941386394835</v>
      </c>
      <c r="O843" s="316">
        <v>56.155966296314709</v>
      </c>
      <c r="P843" s="316">
        <v>8.4521565579811249</v>
      </c>
      <c r="Q843" s="316">
        <v>9.4232506606672768</v>
      </c>
      <c r="R843" s="316">
        <v>31.985314986645378</v>
      </c>
      <c r="S843" s="316">
        <v>28.897185875147461</v>
      </c>
      <c r="T843" s="316">
        <v>35.417472881773179</v>
      </c>
      <c r="U843" s="316">
        <v>9.9900536025679916</v>
      </c>
      <c r="V843" s="317">
        <v>187.04489499973661</v>
      </c>
      <c r="W843" s="317">
        <v>256.10711023917867</v>
      </c>
      <c r="X843" s="316">
        <v>26.944343197356712</v>
      </c>
      <c r="Y843" s="332">
        <v>283.05145343653538</v>
      </c>
    </row>
    <row r="844" spans="1:25" x14ac:dyDescent="0.2">
      <c r="A844" s="233">
        <v>2021</v>
      </c>
      <c r="B844" s="316" t="s">
        <v>466</v>
      </c>
      <c r="C844" s="316" t="s">
        <v>261</v>
      </c>
      <c r="D844" s="316" t="s">
        <v>486</v>
      </c>
      <c r="E844" s="316" t="s">
        <v>296</v>
      </c>
      <c r="F844" s="316" t="s">
        <v>264</v>
      </c>
      <c r="G844" s="316" t="s">
        <v>297</v>
      </c>
      <c r="H844" s="316">
        <v>143.00638725302355</v>
      </c>
      <c r="I844" s="316">
        <v>0</v>
      </c>
      <c r="J844" s="317">
        <v>143.00638725302355</v>
      </c>
      <c r="K844" s="316">
        <v>324.63619678446531</v>
      </c>
      <c r="L844" s="316">
        <v>177.15369422357594</v>
      </c>
      <c r="M844" s="317">
        <v>501.78989100804125</v>
      </c>
      <c r="N844" s="316">
        <v>19.729692380369308</v>
      </c>
      <c r="O844" s="316">
        <v>170.5292319555569</v>
      </c>
      <c r="P844" s="316">
        <v>39.297128859022138</v>
      </c>
      <c r="Q844" s="316">
        <v>23.04137765017396</v>
      </c>
      <c r="R844" s="316">
        <v>105.44159868759702</v>
      </c>
      <c r="S844" s="316">
        <v>81.404676956505284</v>
      </c>
      <c r="T844" s="316">
        <v>91.620960274112377</v>
      </c>
      <c r="U844" s="316">
        <v>29.027633271561736</v>
      </c>
      <c r="V844" s="317">
        <v>560.0923000348987</v>
      </c>
      <c r="W844" s="317">
        <v>1204.8885782959635</v>
      </c>
      <c r="X844" s="316">
        <v>122.15413493941541</v>
      </c>
      <c r="Y844" s="332">
        <v>1327.0427132353789</v>
      </c>
    </row>
    <row r="845" spans="1:25" x14ac:dyDescent="0.2">
      <c r="A845" s="233">
        <v>2021</v>
      </c>
      <c r="B845" s="316" t="s">
        <v>466</v>
      </c>
      <c r="C845" s="316" t="s">
        <v>261</v>
      </c>
      <c r="D845" s="316" t="s">
        <v>483</v>
      </c>
      <c r="E845" s="316" t="s">
        <v>298</v>
      </c>
      <c r="F845" s="316" t="s">
        <v>264</v>
      </c>
      <c r="G845" s="316" t="s">
        <v>299</v>
      </c>
      <c r="H845" s="316">
        <v>23.739071091593797</v>
      </c>
      <c r="I845" s="316">
        <v>0</v>
      </c>
      <c r="J845" s="317">
        <v>23.739071091593797</v>
      </c>
      <c r="K845" s="316">
        <v>3.6466214242859665</v>
      </c>
      <c r="L845" s="316">
        <v>8.1300864691463115</v>
      </c>
      <c r="M845" s="317">
        <v>11.776707893432278</v>
      </c>
      <c r="N845" s="316">
        <v>0.93079184059712572</v>
      </c>
      <c r="O845" s="316">
        <v>13.807274667396463</v>
      </c>
      <c r="P845" s="316">
        <v>2.7854354150426546</v>
      </c>
      <c r="Q845" s="316">
        <v>1.7771825002587744</v>
      </c>
      <c r="R845" s="316">
        <v>9.1615273148069232</v>
      </c>
      <c r="S845" s="316">
        <v>9.0597428711492931</v>
      </c>
      <c r="T845" s="316">
        <v>19.708196073141384</v>
      </c>
      <c r="U845" s="316">
        <v>3.4887403297658133</v>
      </c>
      <c r="V845" s="317">
        <v>60.71889101215843</v>
      </c>
      <c r="W845" s="317">
        <v>96.234669997184511</v>
      </c>
      <c r="X845" s="316">
        <v>10.222582153062991</v>
      </c>
      <c r="Y845" s="332">
        <v>106.4572521502475</v>
      </c>
    </row>
    <row r="846" spans="1:25" x14ac:dyDescent="0.2">
      <c r="A846" s="233">
        <v>2021</v>
      </c>
      <c r="B846" s="316" t="s">
        <v>466</v>
      </c>
      <c r="C846" s="316" t="s">
        <v>261</v>
      </c>
      <c r="D846" s="316" t="s">
        <v>486</v>
      </c>
      <c r="E846" s="316" t="s">
        <v>300</v>
      </c>
      <c r="F846" s="316" t="s">
        <v>264</v>
      </c>
      <c r="G846" s="316" t="s">
        <v>301</v>
      </c>
      <c r="H846" s="316">
        <v>19.315026871083901</v>
      </c>
      <c r="I846" s="316">
        <v>11.447267277828136</v>
      </c>
      <c r="J846" s="317">
        <v>30.762294148912037</v>
      </c>
      <c r="K846" s="316">
        <v>1418.1429234332988</v>
      </c>
      <c r="L846" s="316">
        <v>411.3792129190108</v>
      </c>
      <c r="M846" s="317">
        <v>1829.5221363523096</v>
      </c>
      <c r="N846" s="316">
        <v>61.999981385254152</v>
      </c>
      <c r="O846" s="316">
        <v>672.82808544747115</v>
      </c>
      <c r="P846" s="316">
        <v>65.884674748525399</v>
      </c>
      <c r="Q846" s="316">
        <v>76.090115354797916</v>
      </c>
      <c r="R846" s="316">
        <v>230.95305557531918</v>
      </c>
      <c r="S846" s="316">
        <v>232.5354412739272</v>
      </c>
      <c r="T846" s="316">
        <v>294.57737792495539</v>
      </c>
      <c r="U846" s="316">
        <v>56.745519529136097</v>
      </c>
      <c r="V846" s="317">
        <v>1691.6142512393865</v>
      </c>
      <c r="W846" s="317">
        <v>3551.898681740608</v>
      </c>
      <c r="X846" s="316">
        <v>349.93012811190738</v>
      </c>
      <c r="Y846" s="332">
        <v>3901.8288098525154</v>
      </c>
    </row>
    <row r="847" spans="1:25" x14ac:dyDescent="0.2">
      <c r="A847" s="233">
        <v>2021</v>
      </c>
      <c r="B847" s="316" t="s">
        <v>466</v>
      </c>
      <c r="C847" s="316" t="s">
        <v>261</v>
      </c>
      <c r="D847" s="316" t="s">
        <v>484</v>
      </c>
      <c r="E847" s="316" t="s">
        <v>302</v>
      </c>
      <c r="F847" s="316" t="s">
        <v>264</v>
      </c>
      <c r="G847" s="316" t="s">
        <v>303</v>
      </c>
      <c r="H847" s="316">
        <v>3.7729276243183638</v>
      </c>
      <c r="I847" s="316">
        <v>8.4931727063370523</v>
      </c>
      <c r="J847" s="317">
        <v>12.266100330655416</v>
      </c>
      <c r="K847" s="316">
        <v>22.879499054701917</v>
      </c>
      <c r="L847" s="316">
        <v>29.751621081165254</v>
      </c>
      <c r="M847" s="317">
        <v>52.631120135867171</v>
      </c>
      <c r="N847" s="316">
        <v>15.019609730535421</v>
      </c>
      <c r="O847" s="316">
        <v>165.97426836013969</v>
      </c>
      <c r="P847" s="316">
        <v>30.817970348979191</v>
      </c>
      <c r="Q847" s="316">
        <v>18.564507804585269</v>
      </c>
      <c r="R847" s="316">
        <v>132.89281314610565</v>
      </c>
      <c r="S847" s="316">
        <v>117.39408459613908</v>
      </c>
      <c r="T847" s="316">
        <v>215.36433598580743</v>
      </c>
      <c r="U847" s="316">
        <v>41.023308149720364</v>
      </c>
      <c r="V847" s="317">
        <v>737.05089812201209</v>
      </c>
      <c r="W847" s="317">
        <v>801.94811858853461</v>
      </c>
      <c r="X847" s="316">
        <v>80.509540130870718</v>
      </c>
      <c r="Y847" s="332">
        <v>882.45765871940534</v>
      </c>
    </row>
    <row r="848" spans="1:25" x14ac:dyDescent="0.2">
      <c r="A848" s="233">
        <v>2021</v>
      </c>
      <c r="B848" s="316" t="s">
        <v>466</v>
      </c>
      <c r="C848" s="316" t="s">
        <v>261</v>
      </c>
      <c r="D848" s="316" t="s">
        <v>485</v>
      </c>
      <c r="E848" s="316" t="s">
        <v>304</v>
      </c>
      <c r="F848" s="316" t="s">
        <v>264</v>
      </c>
      <c r="G848" s="316" t="s">
        <v>305</v>
      </c>
      <c r="H848" s="316">
        <v>4.7691686979163634</v>
      </c>
      <c r="I848" s="316">
        <v>0</v>
      </c>
      <c r="J848" s="317">
        <v>4.7691686979163634</v>
      </c>
      <c r="K848" s="316">
        <v>2.0290387060873156</v>
      </c>
      <c r="L848" s="316">
        <v>2.5105491915378133</v>
      </c>
      <c r="M848" s="317">
        <v>4.5395878976251289</v>
      </c>
      <c r="N848" s="316">
        <v>1.0308375829983676</v>
      </c>
      <c r="O848" s="316">
        <v>12.919387249263712</v>
      </c>
      <c r="P848" s="316">
        <v>2.8506792875040308</v>
      </c>
      <c r="Q848" s="316">
        <v>1.2446775859665682</v>
      </c>
      <c r="R848" s="316">
        <v>10.293274324210669</v>
      </c>
      <c r="S848" s="316">
        <v>7.0036588558909951</v>
      </c>
      <c r="T848" s="316">
        <v>17.442936909599187</v>
      </c>
      <c r="U848" s="316">
        <v>3.5503903030797179</v>
      </c>
      <c r="V848" s="317">
        <v>56.335842098513247</v>
      </c>
      <c r="W848" s="317">
        <v>65.644598694054736</v>
      </c>
      <c r="X848" s="316">
        <v>6.6659547881491248</v>
      </c>
      <c r="Y848" s="332">
        <v>72.310553482203858</v>
      </c>
    </row>
    <row r="849" spans="1:25" x14ac:dyDescent="0.2">
      <c r="A849" s="233">
        <v>2021</v>
      </c>
      <c r="B849" s="316" t="s">
        <v>466</v>
      </c>
      <c r="C849" s="316" t="s">
        <v>261</v>
      </c>
      <c r="D849" s="316" t="s">
        <v>485</v>
      </c>
      <c r="E849" s="316" t="s">
        <v>306</v>
      </c>
      <c r="F849" s="316" t="s">
        <v>264</v>
      </c>
      <c r="G849" s="316" t="s">
        <v>307</v>
      </c>
      <c r="H849" s="316">
        <v>3.6858481084549486</v>
      </c>
      <c r="I849" s="316">
        <v>1.9471020419662555</v>
      </c>
      <c r="J849" s="317">
        <v>5.6329501504212036</v>
      </c>
      <c r="K849" s="316">
        <v>3.8720431070607377</v>
      </c>
      <c r="L849" s="316">
        <v>5.3830651892232142</v>
      </c>
      <c r="M849" s="317">
        <v>9.2551082962839519</v>
      </c>
      <c r="N849" s="316">
        <v>10.280092519364112</v>
      </c>
      <c r="O849" s="316">
        <v>19.771385918226215</v>
      </c>
      <c r="P849" s="316">
        <v>4.6025293503875186</v>
      </c>
      <c r="Q849" s="316">
        <v>2.0810131421263338</v>
      </c>
      <c r="R849" s="316">
        <v>12.773049798439303</v>
      </c>
      <c r="S849" s="316">
        <v>13.095412795078289</v>
      </c>
      <c r="T849" s="316">
        <v>22.952567313338413</v>
      </c>
      <c r="U849" s="316">
        <v>4.9841940326558181</v>
      </c>
      <c r="V849" s="317">
        <v>90.540244869616004</v>
      </c>
      <c r="W849" s="317">
        <v>105.42830331632116</v>
      </c>
      <c r="X849" s="316">
        <v>10.938403397029779</v>
      </c>
      <c r="Y849" s="332">
        <v>116.36670671335094</v>
      </c>
    </row>
    <row r="850" spans="1:25" x14ac:dyDescent="0.2">
      <c r="A850" s="233">
        <v>2021</v>
      </c>
      <c r="B850" s="316" t="s">
        <v>466</v>
      </c>
      <c r="C850" s="316" t="s">
        <v>261</v>
      </c>
      <c r="D850" s="316" t="s">
        <v>484</v>
      </c>
      <c r="E850" s="316" t="s">
        <v>308</v>
      </c>
      <c r="F850" s="316" t="s">
        <v>264</v>
      </c>
      <c r="G850" s="316" t="s">
        <v>309</v>
      </c>
      <c r="H850" s="316">
        <v>6.8688509130815154</v>
      </c>
      <c r="I850" s="316">
        <v>3.6285689887642323</v>
      </c>
      <c r="J850" s="317">
        <v>10.497419901845747</v>
      </c>
      <c r="K850" s="316">
        <v>6.2681338650302836</v>
      </c>
      <c r="L850" s="316">
        <v>9.2404816457566969</v>
      </c>
      <c r="M850" s="317">
        <v>15.508615510786981</v>
      </c>
      <c r="N850" s="316">
        <v>26.527670196365861</v>
      </c>
      <c r="O850" s="316">
        <v>43.20174131610073</v>
      </c>
      <c r="P850" s="316">
        <v>6.4858306433206554</v>
      </c>
      <c r="Q850" s="316">
        <v>3.598827332069344</v>
      </c>
      <c r="R850" s="316">
        <v>25.576866436794621</v>
      </c>
      <c r="S850" s="316">
        <v>27.375971488920328</v>
      </c>
      <c r="T850" s="316">
        <v>31.130877154938965</v>
      </c>
      <c r="U850" s="316">
        <v>7.7799354223262984</v>
      </c>
      <c r="V850" s="317">
        <v>171.67771999083678</v>
      </c>
      <c r="W850" s="317">
        <v>197.68375540346952</v>
      </c>
      <c r="X850" s="316">
        <v>20.769627819743452</v>
      </c>
      <c r="Y850" s="332">
        <v>218.45338322321297</v>
      </c>
    </row>
    <row r="851" spans="1:25" x14ac:dyDescent="0.2">
      <c r="A851" s="233">
        <v>2021</v>
      </c>
      <c r="B851" s="316" t="s">
        <v>466</v>
      </c>
      <c r="C851" s="316" t="s">
        <v>261</v>
      </c>
      <c r="D851" s="316" t="s">
        <v>486</v>
      </c>
      <c r="E851" s="316" t="s">
        <v>310</v>
      </c>
      <c r="F851" s="316" t="s">
        <v>264</v>
      </c>
      <c r="G851" s="316" t="s">
        <v>311</v>
      </c>
      <c r="H851" s="316">
        <v>91.175811009421949</v>
      </c>
      <c r="I851" s="316">
        <v>0</v>
      </c>
      <c r="J851" s="317">
        <v>91.175811009421949</v>
      </c>
      <c r="K851" s="316">
        <v>12.443128266202411</v>
      </c>
      <c r="L851" s="316">
        <v>5.4909904413378445</v>
      </c>
      <c r="M851" s="317">
        <v>17.934118707540257</v>
      </c>
      <c r="N851" s="316">
        <v>2.6033663852338269</v>
      </c>
      <c r="O851" s="316">
        <v>29.95423935691236</v>
      </c>
      <c r="P851" s="316">
        <v>7.6151377757574483</v>
      </c>
      <c r="Q851" s="316">
        <v>3.644753054022094</v>
      </c>
      <c r="R851" s="316">
        <v>34.779950415972301</v>
      </c>
      <c r="S851" s="316">
        <v>19.11899908518177</v>
      </c>
      <c r="T851" s="316">
        <v>33.885710723405154</v>
      </c>
      <c r="U851" s="316">
        <v>8.878902011451002</v>
      </c>
      <c r="V851" s="317">
        <v>140.48105880793597</v>
      </c>
      <c r="W851" s="317">
        <v>249.59098852489817</v>
      </c>
      <c r="X851" s="316">
        <v>27.349088348152268</v>
      </c>
      <c r="Y851" s="332">
        <v>276.94007687305043</v>
      </c>
    </row>
    <row r="852" spans="1:25" x14ac:dyDescent="0.2">
      <c r="A852" s="233">
        <v>2021</v>
      </c>
      <c r="B852" s="316" t="s">
        <v>466</v>
      </c>
      <c r="C852" s="316" t="s">
        <v>261</v>
      </c>
      <c r="D852" s="316" t="s">
        <v>483</v>
      </c>
      <c r="E852" s="316" t="s">
        <v>312</v>
      </c>
      <c r="F852" s="316" t="s">
        <v>264</v>
      </c>
      <c r="G852" s="316" t="s">
        <v>313</v>
      </c>
      <c r="H852" s="316">
        <v>122.7238595182739</v>
      </c>
      <c r="I852" s="316">
        <v>101.38843033820305</v>
      </c>
      <c r="J852" s="317">
        <v>224.11228985647693</v>
      </c>
      <c r="K852" s="316">
        <v>147.11600584117798</v>
      </c>
      <c r="L852" s="316">
        <v>156.98233426871874</v>
      </c>
      <c r="M852" s="317">
        <v>304.09834010989675</v>
      </c>
      <c r="N852" s="316">
        <v>33.92663018130753</v>
      </c>
      <c r="O852" s="316">
        <v>55.266650625885276</v>
      </c>
      <c r="P852" s="316">
        <v>16.928565596887147</v>
      </c>
      <c r="Q852" s="316">
        <v>12.149192060359999</v>
      </c>
      <c r="R852" s="316">
        <v>45.181432297918981</v>
      </c>
      <c r="S852" s="316">
        <v>43.399115139540385</v>
      </c>
      <c r="T852" s="316">
        <v>70.770499499449699</v>
      </c>
      <c r="U852" s="316">
        <v>15.885255660444031</v>
      </c>
      <c r="V852" s="317">
        <v>293.50734106179306</v>
      </c>
      <c r="W852" s="317">
        <v>821.71797102816686</v>
      </c>
      <c r="X852" s="316">
        <v>90.90703270415402</v>
      </c>
      <c r="Y852" s="332">
        <v>912.62500373232092</v>
      </c>
    </row>
    <row r="853" spans="1:25" x14ac:dyDescent="0.2">
      <c r="A853" s="233">
        <v>2021</v>
      </c>
      <c r="B853" s="316" t="s">
        <v>466</v>
      </c>
      <c r="C853" s="316" t="s">
        <v>314</v>
      </c>
      <c r="D853" s="316" t="s">
        <v>487</v>
      </c>
      <c r="E853" s="316" t="s">
        <v>316</v>
      </c>
      <c r="F853" s="316" t="s">
        <v>317</v>
      </c>
      <c r="G853" s="316" t="s">
        <v>318</v>
      </c>
      <c r="H853" s="316">
        <v>7.9034468067112469</v>
      </c>
      <c r="I853" s="316">
        <v>14.87889564461641</v>
      </c>
      <c r="J853" s="317">
        <v>22.782342451327658</v>
      </c>
      <c r="K853" s="316">
        <v>133.25953145920747</v>
      </c>
      <c r="L853" s="316">
        <v>112.87206902864391</v>
      </c>
      <c r="M853" s="317">
        <v>246.13160048785136</v>
      </c>
      <c r="N853" s="316">
        <v>11.419995583423555</v>
      </c>
      <c r="O853" s="316">
        <v>65.516170919150156</v>
      </c>
      <c r="P853" s="316">
        <v>10.813987068643092</v>
      </c>
      <c r="Q853" s="316">
        <v>7.6692935525599202</v>
      </c>
      <c r="R853" s="316">
        <v>34.645242546269294</v>
      </c>
      <c r="S853" s="316">
        <v>38.469811154209324</v>
      </c>
      <c r="T853" s="316">
        <v>51.749374563665128</v>
      </c>
      <c r="U853" s="316">
        <v>12.959948339859615</v>
      </c>
      <c r="V853" s="317">
        <v>233.2438237277801</v>
      </c>
      <c r="W853" s="317">
        <v>502.15776666695916</v>
      </c>
      <c r="X853" s="316">
        <v>50.287284427869707</v>
      </c>
      <c r="Y853" s="332">
        <v>552.44505109482884</v>
      </c>
    </row>
    <row r="854" spans="1:25" x14ac:dyDescent="0.2">
      <c r="A854" s="233">
        <v>2021</v>
      </c>
      <c r="B854" s="316" t="s">
        <v>466</v>
      </c>
      <c r="C854" s="316" t="s">
        <v>314</v>
      </c>
      <c r="D854" s="316" t="s">
        <v>488</v>
      </c>
      <c r="E854" s="316" t="s">
        <v>319</v>
      </c>
      <c r="F854" s="316" t="s">
        <v>317</v>
      </c>
      <c r="G854" s="316" t="s">
        <v>321</v>
      </c>
      <c r="H854" s="316">
        <v>64.142386818123754</v>
      </c>
      <c r="I854" s="316">
        <v>33.884169530153862</v>
      </c>
      <c r="J854" s="317">
        <v>98.026556348277609</v>
      </c>
      <c r="K854" s="316">
        <v>84.216623519772767</v>
      </c>
      <c r="L854" s="316">
        <v>38.107125902629456</v>
      </c>
      <c r="M854" s="317">
        <v>122.32374942240222</v>
      </c>
      <c r="N854" s="316">
        <v>8.0859964803438125</v>
      </c>
      <c r="O854" s="316">
        <v>79.441593785871532</v>
      </c>
      <c r="P854" s="316">
        <v>15.549774045606446</v>
      </c>
      <c r="Q854" s="316">
        <v>19.205616388271554</v>
      </c>
      <c r="R854" s="316">
        <v>44.38506944763008</v>
      </c>
      <c r="S854" s="316">
        <v>46.812106056787826</v>
      </c>
      <c r="T854" s="316">
        <v>78.765607531976954</v>
      </c>
      <c r="U854" s="316">
        <v>15.779580958709706</v>
      </c>
      <c r="V854" s="317">
        <v>308.02534469519787</v>
      </c>
      <c r="W854" s="317">
        <v>528.3756504658777</v>
      </c>
      <c r="X854" s="316">
        <v>56.21002293810902</v>
      </c>
      <c r="Y854" s="332">
        <v>584.58567340398668</v>
      </c>
    </row>
    <row r="855" spans="1:25" x14ac:dyDescent="0.2">
      <c r="A855" s="233">
        <v>2021</v>
      </c>
      <c r="B855" s="316" t="s">
        <v>466</v>
      </c>
      <c r="C855" s="316" t="s">
        <v>314</v>
      </c>
      <c r="D855" s="316" t="s">
        <v>487</v>
      </c>
      <c r="E855" s="316" t="s">
        <v>322</v>
      </c>
      <c r="F855" s="316" t="s">
        <v>317</v>
      </c>
      <c r="G855" s="316" t="s">
        <v>323</v>
      </c>
      <c r="H855" s="316">
        <v>4.613447163812439</v>
      </c>
      <c r="I855" s="316">
        <v>2.7051746071432023</v>
      </c>
      <c r="J855" s="317">
        <v>7.3186217709556409</v>
      </c>
      <c r="K855" s="316">
        <v>3.5268022493948417</v>
      </c>
      <c r="L855" s="316">
        <v>0.45913719948588677</v>
      </c>
      <c r="M855" s="317">
        <v>3.9859394488807283</v>
      </c>
      <c r="N855" s="316">
        <v>2.6739265885391004</v>
      </c>
      <c r="O855" s="316">
        <v>8.7284884094342541</v>
      </c>
      <c r="P855" s="316">
        <v>2.1630466696047947</v>
      </c>
      <c r="Q855" s="316">
        <v>1.1681291900151209</v>
      </c>
      <c r="R855" s="316">
        <v>7.2452451137780756</v>
      </c>
      <c r="S855" s="316">
        <v>7.6647630075487543</v>
      </c>
      <c r="T855" s="316">
        <v>10.320211566431453</v>
      </c>
      <c r="U855" s="316">
        <v>2.7114562903843415</v>
      </c>
      <c r="V855" s="317">
        <v>42.67526683573589</v>
      </c>
      <c r="W855" s="317">
        <v>53.979828055572256</v>
      </c>
      <c r="X855" s="316">
        <v>5.7118382204740152</v>
      </c>
      <c r="Y855" s="332">
        <v>59.69166627604627</v>
      </c>
    </row>
    <row r="856" spans="1:25" x14ac:dyDescent="0.2">
      <c r="A856" s="233">
        <v>2021</v>
      </c>
      <c r="B856" s="316" t="s">
        <v>466</v>
      </c>
      <c r="C856" s="316" t="s">
        <v>314</v>
      </c>
      <c r="D856" s="316" t="s">
        <v>488</v>
      </c>
      <c r="E856" s="316" t="s">
        <v>324</v>
      </c>
      <c r="F856" s="316" t="s">
        <v>317</v>
      </c>
      <c r="G856" s="316" t="s">
        <v>325</v>
      </c>
      <c r="H856" s="316">
        <v>77.444184261255089</v>
      </c>
      <c r="I856" s="316">
        <v>0</v>
      </c>
      <c r="J856" s="317">
        <v>77.444184261255089</v>
      </c>
      <c r="K856" s="316">
        <v>10.910488949434875</v>
      </c>
      <c r="L856" s="316">
        <v>1.5636383588566274</v>
      </c>
      <c r="M856" s="317">
        <v>12.474127308291502</v>
      </c>
      <c r="N856" s="316">
        <v>1.8046604841571248</v>
      </c>
      <c r="O856" s="316">
        <v>18.72509424717936</v>
      </c>
      <c r="P856" s="316">
        <v>3.7856026803022096</v>
      </c>
      <c r="Q856" s="316">
        <v>1.9133947385061025</v>
      </c>
      <c r="R856" s="316">
        <v>11.361385009637019</v>
      </c>
      <c r="S856" s="316">
        <v>13.510824859162566</v>
      </c>
      <c r="T856" s="316">
        <v>17.578442262675004</v>
      </c>
      <c r="U856" s="316">
        <v>3.8379197553748168</v>
      </c>
      <c r="V856" s="317">
        <v>72.517324036994196</v>
      </c>
      <c r="W856" s="317">
        <v>162.43563560654079</v>
      </c>
      <c r="X856" s="316">
        <v>18.392579366603808</v>
      </c>
      <c r="Y856" s="332">
        <v>180.82821497314458</v>
      </c>
    </row>
    <row r="857" spans="1:25" x14ac:dyDescent="0.2">
      <c r="A857" s="233">
        <v>2021</v>
      </c>
      <c r="B857" s="316" t="s">
        <v>466</v>
      </c>
      <c r="C857" s="316" t="s">
        <v>314</v>
      </c>
      <c r="D857" s="316" t="s">
        <v>489</v>
      </c>
      <c r="E857" s="316" t="s">
        <v>326</v>
      </c>
      <c r="F857" s="316" t="s">
        <v>317</v>
      </c>
      <c r="G857" s="316" t="s">
        <v>327</v>
      </c>
      <c r="H857" s="316">
        <v>88.093269521345988</v>
      </c>
      <c r="I857" s="316">
        <v>0</v>
      </c>
      <c r="J857" s="317">
        <v>88.093269521345988</v>
      </c>
      <c r="K857" s="316">
        <v>10.351685170801206</v>
      </c>
      <c r="L857" s="316">
        <v>4.938466963415185</v>
      </c>
      <c r="M857" s="317">
        <v>15.290152134216392</v>
      </c>
      <c r="N857" s="316">
        <v>2.3646960001936055</v>
      </c>
      <c r="O857" s="316">
        <v>22.702732854221829</v>
      </c>
      <c r="P857" s="316">
        <v>6.0875104384410959</v>
      </c>
      <c r="Q857" s="316">
        <v>5.3068071232059832</v>
      </c>
      <c r="R857" s="316">
        <v>16.320093071689499</v>
      </c>
      <c r="S857" s="316">
        <v>16.261229258001514</v>
      </c>
      <c r="T857" s="316">
        <v>29.169794645650395</v>
      </c>
      <c r="U857" s="316">
        <v>5.9899653102779347</v>
      </c>
      <c r="V857" s="317">
        <v>104.20282870168185</v>
      </c>
      <c r="W857" s="317">
        <v>207.58625035724424</v>
      </c>
      <c r="X857" s="316">
        <v>23.143895056671315</v>
      </c>
      <c r="Y857" s="332">
        <v>230.73014541391555</v>
      </c>
    </row>
    <row r="858" spans="1:25" x14ac:dyDescent="0.2">
      <c r="A858" s="233">
        <v>2021</v>
      </c>
      <c r="B858" s="316" t="s">
        <v>466</v>
      </c>
      <c r="C858" s="316" t="s">
        <v>314</v>
      </c>
      <c r="D858" s="316" t="s">
        <v>490</v>
      </c>
      <c r="E858" s="316" t="s">
        <v>328</v>
      </c>
      <c r="F858" s="316" t="s">
        <v>317</v>
      </c>
      <c r="G858" s="316" t="s">
        <v>330</v>
      </c>
      <c r="H858" s="316">
        <v>16.188314285243138</v>
      </c>
      <c r="I858" s="316">
        <v>0</v>
      </c>
      <c r="J858" s="317">
        <v>16.188314285243138</v>
      </c>
      <c r="K858" s="316">
        <v>3.4729607543758076</v>
      </c>
      <c r="L858" s="316">
        <v>1.0002531282136435</v>
      </c>
      <c r="M858" s="317">
        <v>4.4732138825894516</v>
      </c>
      <c r="N858" s="316">
        <v>0.82603346146393075</v>
      </c>
      <c r="O858" s="316">
        <v>6.4118223744405389</v>
      </c>
      <c r="P858" s="316">
        <v>1.9616482165474647</v>
      </c>
      <c r="Q858" s="316">
        <v>1.4628206274371358</v>
      </c>
      <c r="R858" s="316">
        <v>6.8832138867984023</v>
      </c>
      <c r="S858" s="316">
        <v>4.9794094172090064</v>
      </c>
      <c r="T858" s="316">
        <v>12.051125606673633</v>
      </c>
      <c r="U858" s="316">
        <v>2.2037774118475477</v>
      </c>
      <c r="V858" s="317">
        <v>36.779851002417658</v>
      </c>
      <c r="W858" s="317">
        <v>57.441379170250244</v>
      </c>
      <c r="X858" s="316">
        <v>6.1541946547841908</v>
      </c>
      <c r="Y858" s="332">
        <v>63.595573825034435</v>
      </c>
    </row>
    <row r="859" spans="1:25" x14ac:dyDescent="0.2">
      <c r="A859" s="233">
        <v>2021</v>
      </c>
      <c r="B859" s="316" t="s">
        <v>466</v>
      </c>
      <c r="C859" s="316" t="s">
        <v>314</v>
      </c>
      <c r="D859" s="316" t="s">
        <v>488</v>
      </c>
      <c r="E859" s="316" t="s">
        <v>331</v>
      </c>
      <c r="F859" s="316" t="s">
        <v>317</v>
      </c>
      <c r="G859" s="316" t="s">
        <v>332</v>
      </c>
      <c r="H859" s="316">
        <v>75.170551764270641</v>
      </c>
      <c r="I859" s="316">
        <v>0</v>
      </c>
      <c r="J859" s="317">
        <v>75.170551764270641</v>
      </c>
      <c r="K859" s="316">
        <v>16.683188821650244</v>
      </c>
      <c r="L859" s="316">
        <v>4.8187267760043797</v>
      </c>
      <c r="M859" s="317">
        <v>21.501915597654623</v>
      </c>
      <c r="N859" s="316">
        <v>5.0952754842123484</v>
      </c>
      <c r="O859" s="316">
        <v>58.795371184794021</v>
      </c>
      <c r="P859" s="316">
        <v>8.581777684964063</v>
      </c>
      <c r="Q859" s="316">
        <v>10.655771123729247</v>
      </c>
      <c r="R859" s="316">
        <v>25.593681184033748</v>
      </c>
      <c r="S859" s="316">
        <v>33.285947335938644</v>
      </c>
      <c r="T859" s="316">
        <v>61.146067419212081</v>
      </c>
      <c r="U859" s="316">
        <v>9.1017679378710987</v>
      </c>
      <c r="V859" s="317">
        <v>212.25565935475524</v>
      </c>
      <c r="W859" s="317">
        <v>308.92812671668048</v>
      </c>
      <c r="X859" s="316">
        <v>33.050000375468457</v>
      </c>
      <c r="Y859" s="332">
        <v>341.97812709214895</v>
      </c>
    </row>
    <row r="860" spans="1:25" x14ac:dyDescent="0.2">
      <c r="A860" s="233">
        <v>2021</v>
      </c>
      <c r="B860" s="316" t="s">
        <v>466</v>
      </c>
      <c r="C860" s="316" t="s">
        <v>314</v>
      </c>
      <c r="D860" s="316" t="s">
        <v>489</v>
      </c>
      <c r="E860" s="316" t="s">
        <v>333</v>
      </c>
      <c r="F860" s="316" t="s">
        <v>317</v>
      </c>
      <c r="G860" s="316" t="s">
        <v>334</v>
      </c>
      <c r="H860" s="316">
        <v>86.640691776692066</v>
      </c>
      <c r="I860" s="316">
        <v>0</v>
      </c>
      <c r="J860" s="317">
        <v>86.640691776692066</v>
      </c>
      <c r="K860" s="316">
        <v>14.711752818574899</v>
      </c>
      <c r="L860" s="316">
        <v>4.6463360750418108</v>
      </c>
      <c r="M860" s="317">
        <v>19.35808889361671</v>
      </c>
      <c r="N860" s="316">
        <v>3.8510166405724116</v>
      </c>
      <c r="O860" s="316">
        <v>27.113366448899537</v>
      </c>
      <c r="P860" s="316">
        <v>8.6261241860768862</v>
      </c>
      <c r="Q860" s="316">
        <v>6.6362305076617139</v>
      </c>
      <c r="R860" s="316">
        <v>23.62922576963431</v>
      </c>
      <c r="S860" s="316">
        <v>24.928013103159486</v>
      </c>
      <c r="T860" s="316">
        <v>41.687939657999586</v>
      </c>
      <c r="U860" s="316">
        <v>10.598381056200159</v>
      </c>
      <c r="V860" s="317">
        <v>147.07029737020409</v>
      </c>
      <c r="W860" s="317">
        <v>253.06907804051286</v>
      </c>
      <c r="X860" s="316">
        <v>27.584671920894216</v>
      </c>
      <c r="Y860" s="332">
        <v>280.65374996140707</v>
      </c>
    </row>
    <row r="861" spans="1:25" x14ac:dyDescent="0.2">
      <c r="A861" s="233">
        <v>2021</v>
      </c>
      <c r="B861" s="316" t="s">
        <v>466</v>
      </c>
      <c r="C861" s="316" t="s">
        <v>314</v>
      </c>
      <c r="D861" s="316" t="s">
        <v>487</v>
      </c>
      <c r="E861" s="316" t="s">
        <v>335</v>
      </c>
      <c r="F861" s="316" t="s">
        <v>317</v>
      </c>
      <c r="G861" s="316" t="s">
        <v>336</v>
      </c>
      <c r="H861" s="316">
        <v>41.921390413237162</v>
      </c>
      <c r="I861" s="316">
        <v>41.535344618568764</v>
      </c>
      <c r="J861" s="317">
        <v>83.45673503180592</v>
      </c>
      <c r="K861" s="316">
        <v>14.275177933175682</v>
      </c>
      <c r="L861" s="316">
        <v>9.2411787969301784</v>
      </c>
      <c r="M861" s="317">
        <v>23.516356730105862</v>
      </c>
      <c r="N861" s="316">
        <v>5.5269481409274022</v>
      </c>
      <c r="O861" s="316">
        <v>41.422291908648369</v>
      </c>
      <c r="P861" s="316">
        <v>10.207323453821784</v>
      </c>
      <c r="Q861" s="316">
        <v>7.621921343140512</v>
      </c>
      <c r="R861" s="316">
        <v>30.451326211262973</v>
      </c>
      <c r="S861" s="316">
        <v>29.79431953615962</v>
      </c>
      <c r="T861" s="316">
        <v>42.298173899442311</v>
      </c>
      <c r="U861" s="316">
        <v>12.460604019411354</v>
      </c>
      <c r="V861" s="317">
        <v>179.78290851281434</v>
      </c>
      <c r="W861" s="317">
        <v>286.75600027472615</v>
      </c>
      <c r="X861" s="316">
        <v>32.358680718435103</v>
      </c>
      <c r="Y861" s="332">
        <v>319.11468099316124</v>
      </c>
    </row>
    <row r="862" spans="1:25" x14ac:dyDescent="0.2">
      <c r="A862" s="233">
        <v>2021</v>
      </c>
      <c r="B862" s="316" t="s">
        <v>466</v>
      </c>
      <c r="C862" s="316" t="s">
        <v>314</v>
      </c>
      <c r="D862" s="316" t="s">
        <v>488</v>
      </c>
      <c r="E862" s="316" t="s">
        <v>337</v>
      </c>
      <c r="F862" s="316" t="s">
        <v>317</v>
      </c>
      <c r="G862" s="316" t="s">
        <v>338</v>
      </c>
      <c r="H862" s="316">
        <v>15.068363668858714</v>
      </c>
      <c r="I862" s="316">
        <v>0</v>
      </c>
      <c r="J862" s="317">
        <v>15.068363668858714</v>
      </c>
      <c r="K862" s="316">
        <v>3.4745977073429701</v>
      </c>
      <c r="L862" s="316">
        <v>1.2840431274682234</v>
      </c>
      <c r="M862" s="317">
        <v>4.7586408348111933</v>
      </c>
      <c r="N862" s="316">
        <v>1.5429082735808433</v>
      </c>
      <c r="O862" s="316">
        <v>9.6227902624446049</v>
      </c>
      <c r="P862" s="316">
        <v>2.0309289178219365</v>
      </c>
      <c r="Q862" s="316">
        <v>1.0472348273195204</v>
      </c>
      <c r="R862" s="316">
        <v>6.7161091763888887</v>
      </c>
      <c r="S862" s="316">
        <v>6.4980573873964405</v>
      </c>
      <c r="T862" s="316">
        <v>11.414141048275154</v>
      </c>
      <c r="U862" s="316">
        <v>2.3622339977376083</v>
      </c>
      <c r="V862" s="317">
        <v>41.234403890964998</v>
      </c>
      <c r="W862" s="317">
        <v>61.06140839463491</v>
      </c>
      <c r="X862" s="316">
        <v>6.5259938545180658</v>
      </c>
      <c r="Y862" s="332">
        <v>67.587402249152973</v>
      </c>
    </row>
    <row r="863" spans="1:25" x14ac:dyDescent="0.2">
      <c r="A863" s="233">
        <v>2021</v>
      </c>
      <c r="B863" s="316" t="s">
        <v>466</v>
      </c>
      <c r="C863" s="316" t="s">
        <v>314</v>
      </c>
      <c r="D863" s="316" t="s">
        <v>488</v>
      </c>
      <c r="E863" s="316" t="s">
        <v>339</v>
      </c>
      <c r="F863" s="316" t="s">
        <v>317</v>
      </c>
      <c r="G863" s="316" t="s">
        <v>340</v>
      </c>
      <c r="H863" s="316">
        <v>61.133361875258373</v>
      </c>
      <c r="I863" s="316">
        <v>0</v>
      </c>
      <c r="J863" s="317">
        <v>61.133361875258373</v>
      </c>
      <c r="K863" s="316">
        <v>13.133432210710906</v>
      </c>
      <c r="L863" s="316">
        <v>2.6470922892728694</v>
      </c>
      <c r="M863" s="317">
        <v>15.780524499983775</v>
      </c>
      <c r="N863" s="316">
        <v>3.2875861355046432</v>
      </c>
      <c r="O863" s="316">
        <v>43.933639054247976</v>
      </c>
      <c r="P863" s="316">
        <v>4.8360767613003963</v>
      </c>
      <c r="Q863" s="316">
        <v>4.565154518250349</v>
      </c>
      <c r="R863" s="316">
        <v>19.817067011089957</v>
      </c>
      <c r="S863" s="316">
        <v>18.94700471106384</v>
      </c>
      <c r="T863" s="316">
        <v>22.574238030959268</v>
      </c>
      <c r="U863" s="316">
        <v>5.6932329014502088</v>
      </c>
      <c r="V863" s="317">
        <v>123.65399912386664</v>
      </c>
      <c r="W863" s="317">
        <v>200.5678854991088</v>
      </c>
      <c r="X863" s="316">
        <v>21.862371212041989</v>
      </c>
      <c r="Y863" s="332">
        <v>222.43025671115078</v>
      </c>
    </row>
    <row r="864" spans="1:25" x14ac:dyDescent="0.2">
      <c r="A864" s="233">
        <v>2021</v>
      </c>
      <c r="B864" s="316" t="s">
        <v>466</v>
      </c>
      <c r="C864" s="316" t="s">
        <v>314</v>
      </c>
      <c r="D864" s="316" t="s">
        <v>490</v>
      </c>
      <c r="E864" s="316" t="s">
        <v>341</v>
      </c>
      <c r="F864" s="316" t="s">
        <v>317</v>
      </c>
      <c r="G864" s="316" t="s">
        <v>342</v>
      </c>
      <c r="H864" s="316">
        <v>217.84342737429378</v>
      </c>
      <c r="I864" s="316">
        <v>0</v>
      </c>
      <c r="J864" s="317">
        <v>217.84342737429378</v>
      </c>
      <c r="K864" s="316">
        <v>18.412615155708956</v>
      </c>
      <c r="L864" s="316">
        <v>11.010856412081401</v>
      </c>
      <c r="M864" s="317">
        <v>29.423471567790358</v>
      </c>
      <c r="N864" s="316">
        <v>3.327558705156668</v>
      </c>
      <c r="O864" s="316">
        <v>35.388606217397673</v>
      </c>
      <c r="P864" s="316">
        <v>7.0103870088286566</v>
      </c>
      <c r="Q864" s="316">
        <v>4.6998077065120141</v>
      </c>
      <c r="R864" s="316">
        <v>23.32333779741397</v>
      </c>
      <c r="S864" s="316">
        <v>21.532233356212046</v>
      </c>
      <c r="T864" s="316">
        <v>28.545808195544147</v>
      </c>
      <c r="U864" s="316">
        <v>7.7107611486858518</v>
      </c>
      <c r="V864" s="317">
        <v>131.53850013575104</v>
      </c>
      <c r="W864" s="317">
        <v>378.8053990778352</v>
      </c>
      <c r="X864" s="316">
        <v>43.914723331713517</v>
      </c>
      <c r="Y864" s="332">
        <v>422.72012240954871</v>
      </c>
    </row>
    <row r="865" spans="1:25" x14ac:dyDescent="0.2">
      <c r="A865" s="233">
        <v>2021</v>
      </c>
      <c r="B865" s="316" t="s">
        <v>466</v>
      </c>
      <c r="C865" s="316" t="s">
        <v>314</v>
      </c>
      <c r="D865" s="316" t="s">
        <v>490</v>
      </c>
      <c r="E865" s="316" t="s">
        <v>343</v>
      </c>
      <c r="F865" s="316" t="s">
        <v>317</v>
      </c>
      <c r="G865" s="316" t="s">
        <v>344</v>
      </c>
      <c r="H865" s="316">
        <v>0.87758684957591671</v>
      </c>
      <c r="I865" s="316">
        <v>4.5241563423933844</v>
      </c>
      <c r="J865" s="317">
        <v>5.4017431919693006</v>
      </c>
      <c r="K865" s="316">
        <v>26.443306816834966</v>
      </c>
      <c r="L865" s="316">
        <v>26.960209105192245</v>
      </c>
      <c r="M865" s="317">
        <v>53.403515922027211</v>
      </c>
      <c r="N865" s="316">
        <v>17.412171162373223</v>
      </c>
      <c r="O865" s="316">
        <v>32.878571758715829</v>
      </c>
      <c r="P865" s="316">
        <v>2.7469586012623717</v>
      </c>
      <c r="Q865" s="316">
        <v>1.3701863604791511</v>
      </c>
      <c r="R865" s="316">
        <v>8.458225625721564</v>
      </c>
      <c r="S865" s="316">
        <v>13.437237309831385</v>
      </c>
      <c r="T865" s="316">
        <v>11.81233681849905</v>
      </c>
      <c r="U865" s="316">
        <v>3.3222762816793061</v>
      </c>
      <c r="V865" s="317">
        <v>91.437963918561877</v>
      </c>
      <c r="W865" s="317">
        <v>150.2432230325584</v>
      </c>
      <c r="X865" s="316">
        <v>15.592740435179872</v>
      </c>
      <c r="Y865" s="332">
        <v>165.83596346773828</v>
      </c>
    </row>
    <row r="866" spans="1:25" x14ac:dyDescent="0.2">
      <c r="A866" s="233">
        <v>2021</v>
      </c>
      <c r="B866" s="316" t="s">
        <v>466</v>
      </c>
      <c r="C866" s="316" t="s">
        <v>314</v>
      </c>
      <c r="D866" s="316" t="s">
        <v>490</v>
      </c>
      <c r="E866" s="316" t="s">
        <v>345</v>
      </c>
      <c r="F866" s="316" t="s">
        <v>317</v>
      </c>
      <c r="G866" s="316" t="s">
        <v>346</v>
      </c>
      <c r="H866" s="316">
        <v>15.669993069383507</v>
      </c>
      <c r="I866" s="316">
        <v>0</v>
      </c>
      <c r="J866" s="317">
        <v>15.669993069383507</v>
      </c>
      <c r="K866" s="316">
        <v>9.3451979997069312</v>
      </c>
      <c r="L866" s="316">
        <v>7.3631772014327908</v>
      </c>
      <c r="M866" s="317">
        <v>16.708375201139724</v>
      </c>
      <c r="N866" s="316">
        <v>0.96912286484225685</v>
      </c>
      <c r="O866" s="316">
        <v>7.5175939358751958</v>
      </c>
      <c r="P866" s="316">
        <v>2.2577615605731327</v>
      </c>
      <c r="Q866" s="316">
        <v>1.4167204617750586</v>
      </c>
      <c r="R866" s="316">
        <v>11.191758310284316</v>
      </c>
      <c r="S866" s="316">
        <v>6.886965477739091</v>
      </c>
      <c r="T866" s="316">
        <v>15.430744879717833</v>
      </c>
      <c r="U866" s="316">
        <v>3.0095836833863117</v>
      </c>
      <c r="V866" s="317">
        <v>48.680251174193195</v>
      </c>
      <c r="W866" s="317">
        <v>81.058619444716427</v>
      </c>
      <c r="X866" s="316">
        <v>8.4080444589390329</v>
      </c>
      <c r="Y866" s="332">
        <v>89.466663903655459</v>
      </c>
    </row>
    <row r="867" spans="1:25" x14ac:dyDescent="0.2">
      <c r="A867" s="233">
        <v>2021</v>
      </c>
      <c r="B867" s="316" t="s">
        <v>466</v>
      </c>
      <c r="C867" s="316" t="s">
        <v>314</v>
      </c>
      <c r="D867" s="316" t="s">
        <v>490</v>
      </c>
      <c r="E867" s="316" t="s">
        <v>347</v>
      </c>
      <c r="F867" s="316" t="s">
        <v>317</v>
      </c>
      <c r="G867" s="316" t="s">
        <v>348</v>
      </c>
      <c r="H867" s="316">
        <v>25.926383534017184</v>
      </c>
      <c r="I867" s="316">
        <v>0</v>
      </c>
      <c r="J867" s="317">
        <v>25.926383534017184</v>
      </c>
      <c r="K867" s="316">
        <v>5.4946140519313156</v>
      </c>
      <c r="L867" s="316">
        <v>3.0512662461980349</v>
      </c>
      <c r="M867" s="317">
        <v>8.5458802981293509</v>
      </c>
      <c r="N867" s="316">
        <v>13.678937176791507</v>
      </c>
      <c r="O867" s="316">
        <v>5.8036861927448511</v>
      </c>
      <c r="P867" s="316">
        <v>1.9657041575805678</v>
      </c>
      <c r="Q867" s="316">
        <v>1.1582184587721773</v>
      </c>
      <c r="R867" s="316">
        <v>6.9027170005830731</v>
      </c>
      <c r="S867" s="316">
        <v>9.5205873445906164</v>
      </c>
      <c r="T867" s="316">
        <v>14.615316269102385</v>
      </c>
      <c r="U867" s="316">
        <v>2.3952751591703816</v>
      </c>
      <c r="V867" s="317">
        <v>56.040441759335565</v>
      </c>
      <c r="W867" s="317">
        <v>90.512705591482103</v>
      </c>
      <c r="X867" s="316">
        <v>10.020150107658337</v>
      </c>
      <c r="Y867" s="332">
        <v>100.53285569914044</v>
      </c>
    </row>
    <row r="868" spans="1:25" x14ac:dyDescent="0.2">
      <c r="A868" s="233">
        <v>2021</v>
      </c>
      <c r="B868" s="316" t="s">
        <v>466</v>
      </c>
      <c r="C868" s="316" t="s">
        <v>314</v>
      </c>
      <c r="D868" s="316" t="s">
        <v>489</v>
      </c>
      <c r="E868" s="316" t="s">
        <v>349</v>
      </c>
      <c r="F868" s="316" t="s">
        <v>317</v>
      </c>
      <c r="G868" s="316" t="s">
        <v>350</v>
      </c>
      <c r="H868" s="316">
        <v>117.50746796746354</v>
      </c>
      <c r="I868" s="316">
        <v>0</v>
      </c>
      <c r="J868" s="317">
        <v>117.50746796746354</v>
      </c>
      <c r="K868" s="316">
        <v>15.47808142436787</v>
      </c>
      <c r="L868" s="316">
        <v>3.7811423680871421</v>
      </c>
      <c r="M868" s="317">
        <v>19.25922379245501</v>
      </c>
      <c r="N868" s="316">
        <v>3.1207447535318047</v>
      </c>
      <c r="O868" s="316">
        <v>28.348723239314179</v>
      </c>
      <c r="P868" s="316">
        <v>5.8881576167083702</v>
      </c>
      <c r="Q868" s="316">
        <v>5.9028001358093105</v>
      </c>
      <c r="R868" s="316">
        <v>19.331022614107827</v>
      </c>
      <c r="S868" s="316">
        <v>19.892788684851102</v>
      </c>
      <c r="T868" s="316">
        <v>30.55101109468475</v>
      </c>
      <c r="U868" s="316">
        <v>8.9441386801210943</v>
      </c>
      <c r="V868" s="317">
        <v>121.97938681912844</v>
      </c>
      <c r="W868" s="317">
        <v>258.74607857904698</v>
      </c>
      <c r="X868" s="316">
        <v>29.091610567935966</v>
      </c>
      <c r="Y868" s="332">
        <v>287.83768914698294</v>
      </c>
    </row>
    <row r="869" spans="1:25" x14ac:dyDescent="0.2">
      <c r="A869" s="233">
        <v>2021</v>
      </c>
      <c r="B869" s="316" t="s">
        <v>466</v>
      </c>
      <c r="C869" s="316" t="s">
        <v>314</v>
      </c>
      <c r="D869" s="316" t="s">
        <v>490</v>
      </c>
      <c r="E869" s="316" t="s">
        <v>351</v>
      </c>
      <c r="F869" s="316" t="s">
        <v>317</v>
      </c>
      <c r="G869" s="316" t="s">
        <v>352</v>
      </c>
      <c r="H869" s="316">
        <v>77.241928253337548</v>
      </c>
      <c r="I869" s="316">
        <v>0</v>
      </c>
      <c r="J869" s="317">
        <v>77.241928253337548</v>
      </c>
      <c r="K869" s="316">
        <v>14.798689278620689</v>
      </c>
      <c r="L869" s="316">
        <v>6.0417075548570187</v>
      </c>
      <c r="M869" s="317">
        <v>20.840396833477708</v>
      </c>
      <c r="N869" s="316">
        <v>4.605697831909124</v>
      </c>
      <c r="O869" s="316">
        <v>47.779080217283962</v>
      </c>
      <c r="P869" s="316">
        <v>9.68530257285612</v>
      </c>
      <c r="Q869" s="316">
        <v>7.6484713861236422</v>
      </c>
      <c r="R869" s="316">
        <v>36.256269517800149</v>
      </c>
      <c r="S869" s="316">
        <v>25.112602426501418</v>
      </c>
      <c r="T869" s="316">
        <v>39.106556319353267</v>
      </c>
      <c r="U869" s="316">
        <v>10.993543865244584</v>
      </c>
      <c r="V869" s="317">
        <v>181.18752413707227</v>
      </c>
      <c r="W869" s="317">
        <v>279.26984922388755</v>
      </c>
      <c r="X869" s="316">
        <v>30.021226205445068</v>
      </c>
      <c r="Y869" s="332">
        <v>309.29107542933264</v>
      </c>
    </row>
    <row r="870" spans="1:25" x14ac:dyDescent="0.2">
      <c r="A870" s="233">
        <v>2021</v>
      </c>
      <c r="B870" s="316" t="s">
        <v>466</v>
      </c>
      <c r="C870" s="316" t="s">
        <v>314</v>
      </c>
      <c r="D870" s="316" t="s">
        <v>490</v>
      </c>
      <c r="E870" s="316" t="s">
        <v>353</v>
      </c>
      <c r="F870" s="316" t="s">
        <v>317</v>
      </c>
      <c r="G870" s="316" t="s">
        <v>354</v>
      </c>
      <c r="H870" s="316">
        <v>63.143728229022294</v>
      </c>
      <c r="I870" s="316">
        <v>0</v>
      </c>
      <c r="J870" s="317">
        <v>63.143728229022294</v>
      </c>
      <c r="K870" s="316">
        <v>18.582725491638044</v>
      </c>
      <c r="L870" s="316">
        <v>7.7643091441015732</v>
      </c>
      <c r="M870" s="317">
        <v>26.347034635739618</v>
      </c>
      <c r="N870" s="316">
        <v>3.1555404713606601</v>
      </c>
      <c r="O870" s="316">
        <v>30.049661418793459</v>
      </c>
      <c r="P870" s="316">
        <v>5.6624618192087075</v>
      </c>
      <c r="Q870" s="316">
        <v>5.1527202967162369</v>
      </c>
      <c r="R870" s="316">
        <v>22.172144881461268</v>
      </c>
      <c r="S870" s="316">
        <v>17.101760633482339</v>
      </c>
      <c r="T870" s="316">
        <v>29.329094241875968</v>
      </c>
      <c r="U870" s="316">
        <v>7.681304721222693</v>
      </c>
      <c r="V870" s="317">
        <v>120.30468848412133</v>
      </c>
      <c r="W870" s="317">
        <v>209.79545134888323</v>
      </c>
      <c r="X870" s="316">
        <v>22.635744894715639</v>
      </c>
      <c r="Y870" s="332">
        <v>232.43119624359886</v>
      </c>
    </row>
    <row r="871" spans="1:25" x14ac:dyDescent="0.2">
      <c r="A871" s="233">
        <v>2021</v>
      </c>
      <c r="B871" s="316" t="s">
        <v>466</v>
      </c>
      <c r="C871" s="316" t="s">
        <v>314</v>
      </c>
      <c r="D871" s="316" t="s">
        <v>490</v>
      </c>
      <c r="E871" s="316" t="s">
        <v>355</v>
      </c>
      <c r="F871" s="316" t="s">
        <v>317</v>
      </c>
      <c r="G871" s="316" t="s">
        <v>356</v>
      </c>
      <c r="H871" s="316">
        <v>14.081818524971961</v>
      </c>
      <c r="I871" s="316">
        <v>10.416998728123009</v>
      </c>
      <c r="J871" s="317">
        <v>24.49881725309497</v>
      </c>
      <c r="K871" s="316">
        <v>4.449298128079799</v>
      </c>
      <c r="L871" s="316">
        <v>1.7657447393079466</v>
      </c>
      <c r="M871" s="317">
        <v>6.215042867387746</v>
      </c>
      <c r="N871" s="316">
        <v>2.0457729210036018</v>
      </c>
      <c r="O871" s="316">
        <v>8.1889039427499029</v>
      </c>
      <c r="P871" s="316">
        <v>2.5780874758283288</v>
      </c>
      <c r="Q871" s="316">
        <v>2.2033851483049358</v>
      </c>
      <c r="R871" s="316">
        <v>9.1858295117678157</v>
      </c>
      <c r="S871" s="316">
        <v>8.6491774935746992</v>
      </c>
      <c r="T871" s="316">
        <v>16.431106456553465</v>
      </c>
      <c r="U871" s="316">
        <v>2.9999411604815789</v>
      </c>
      <c r="V871" s="317">
        <v>52.282204110264324</v>
      </c>
      <c r="W871" s="317">
        <v>82.996064230747038</v>
      </c>
      <c r="X871" s="316">
        <v>9.3050888250995616</v>
      </c>
      <c r="Y871" s="332">
        <v>92.301153055846598</v>
      </c>
    </row>
    <row r="872" spans="1:25" x14ac:dyDescent="0.2">
      <c r="A872" s="233">
        <v>2021</v>
      </c>
      <c r="B872" s="316" t="s">
        <v>466</v>
      </c>
      <c r="C872" s="316" t="s">
        <v>314</v>
      </c>
      <c r="D872" s="316" t="s">
        <v>487</v>
      </c>
      <c r="E872" s="316" t="s">
        <v>357</v>
      </c>
      <c r="F872" s="316" t="s">
        <v>317</v>
      </c>
      <c r="G872" s="316" t="s">
        <v>358</v>
      </c>
      <c r="H872" s="316">
        <v>4.4209931496156836</v>
      </c>
      <c r="I872" s="316">
        <v>11.814717087031266</v>
      </c>
      <c r="J872" s="317">
        <v>16.235710236646948</v>
      </c>
      <c r="K872" s="316">
        <v>4.6077486784672281</v>
      </c>
      <c r="L872" s="316">
        <v>2.2973620775562398</v>
      </c>
      <c r="M872" s="317">
        <v>6.9051107560234684</v>
      </c>
      <c r="N872" s="316">
        <v>3.7824847233867409</v>
      </c>
      <c r="O872" s="316">
        <v>14.204084473744935</v>
      </c>
      <c r="P872" s="316">
        <v>5.0488824675182062</v>
      </c>
      <c r="Q872" s="316">
        <v>1.9197795515295468</v>
      </c>
      <c r="R872" s="316">
        <v>13.945930316796913</v>
      </c>
      <c r="S872" s="316">
        <v>13.603454634270477</v>
      </c>
      <c r="T872" s="316">
        <v>16.422205795147846</v>
      </c>
      <c r="U872" s="316">
        <v>5.7974157225151588</v>
      </c>
      <c r="V872" s="317">
        <v>74.724237684909824</v>
      </c>
      <c r="W872" s="317">
        <v>97.865058677580237</v>
      </c>
      <c r="X872" s="316">
        <v>10.627700279884168</v>
      </c>
      <c r="Y872" s="332">
        <v>108.4927589574644</v>
      </c>
    </row>
    <row r="873" spans="1:25" x14ac:dyDescent="0.2">
      <c r="A873" s="233">
        <v>2021</v>
      </c>
      <c r="B873" s="316" t="s">
        <v>466</v>
      </c>
      <c r="C873" s="316" t="s">
        <v>314</v>
      </c>
      <c r="D873" s="316" t="s">
        <v>489</v>
      </c>
      <c r="E873" s="316" t="s">
        <v>359</v>
      </c>
      <c r="F873" s="316" t="s">
        <v>317</v>
      </c>
      <c r="G873" s="316" t="s">
        <v>360</v>
      </c>
      <c r="H873" s="316">
        <v>278.53539204763382</v>
      </c>
      <c r="I873" s="316">
        <v>147.14031441360893</v>
      </c>
      <c r="J873" s="317">
        <v>425.67570646124273</v>
      </c>
      <c r="K873" s="316">
        <v>28.892115832237419</v>
      </c>
      <c r="L873" s="316">
        <v>31.894321222396069</v>
      </c>
      <c r="M873" s="317">
        <v>60.786437054633488</v>
      </c>
      <c r="N873" s="316">
        <v>16.050717213420505</v>
      </c>
      <c r="O873" s="316">
        <v>38.34256889427521</v>
      </c>
      <c r="P873" s="316">
        <v>10.242851941610446</v>
      </c>
      <c r="Q873" s="316">
        <v>10.457759246225224</v>
      </c>
      <c r="R873" s="316">
        <v>31.861242899683365</v>
      </c>
      <c r="S873" s="316">
        <v>32.019617730104393</v>
      </c>
      <c r="T873" s="316">
        <v>60.89155514512376</v>
      </c>
      <c r="U873" s="316">
        <v>12.720915006906116</v>
      </c>
      <c r="V873" s="317">
        <v>212.58722807734904</v>
      </c>
      <c r="W873" s="317">
        <v>699.04937159322526</v>
      </c>
      <c r="X873" s="316">
        <v>86.899141165880081</v>
      </c>
      <c r="Y873" s="332">
        <v>785.94851275910537</v>
      </c>
    </row>
    <row r="874" spans="1:25" x14ac:dyDescent="0.2">
      <c r="A874" s="233">
        <v>2021</v>
      </c>
      <c r="B874" s="316" t="s">
        <v>466</v>
      </c>
      <c r="C874" s="316" t="s">
        <v>314</v>
      </c>
      <c r="D874" s="316" t="s">
        <v>490</v>
      </c>
      <c r="E874" s="316" t="s">
        <v>361</v>
      </c>
      <c r="F874" s="316" t="s">
        <v>317</v>
      </c>
      <c r="G874" s="316" t="s">
        <v>362</v>
      </c>
      <c r="H874" s="316">
        <v>79.261564054952856</v>
      </c>
      <c r="I874" s="316">
        <v>42.882405764102721</v>
      </c>
      <c r="J874" s="317">
        <v>122.14396981905557</v>
      </c>
      <c r="K874" s="316">
        <v>9.8982687417672484</v>
      </c>
      <c r="L874" s="316">
        <v>5.799420429171616</v>
      </c>
      <c r="M874" s="317">
        <v>15.697689170938865</v>
      </c>
      <c r="N874" s="316">
        <v>1.4356776831061635</v>
      </c>
      <c r="O874" s="316">
        <v>7.9695221772097566</v>
      </c>
      <c r="P874" s="316">
        <v>2.9330588787352512</v>
      </c>
      <c r="Q874" s="316">
        <v>1.5535411240075112</v>
      </c>
      <c r="R874" s="316">
        <v>11.792172931349478</v>
      </c>
      <c r="S874" s="316">
        <v>8.3395132055273091</v>
      </c>
      <c r="T874" s="316">
        <v>16.153669030540787</v>
      </c>
      <c r="U874" s="316">
        <v>4.4351069554096298</v>
      </c>
      <c r="V874" s="317">
        <v>54.612261985885887</v>
      </c>
      <c r="W874" s="317">
        <v>192.45392097588032</v>
      </c>
      <c r="X874" s="316">
        <v>24.046234632888577</v>
      </c>
      <c r="Y874" s="332">
        <v>216.50015560876889</v>
      </c>
    </row>
    <row r="875" spans="1:25" x14ac:dyDescent="0.2">
      <c r="A875" s="233">
        <v>2021</v>
      </c>
      <c r="B875" s="316" t="s">
        <v>466</v>
      </c>
      <c r="C875" s="316" t="s">
        <v>314</v>
      </c>
      <c r="D875" s="316" t="s">
        <v>487</v>
      </c>
      <c r="E875" s="316" t="s">
        <v>363</v>
      </c>
      <c r="F875" s="316" t="s">
        <v>317</v>
      </c>
      <c r="G875" s="316" t="s">
        <v>364</v>
      </c>
      <c r="H875" s="316">
        <v>13.77526047875085</v>
      </c>
      <c r="I875" s="316">
        <v>23.801286011925029</v>
      </c>
      <c r="J875" s="317">
        <v>37.576546490675881</v>
      </c>
      <c r="K875" s="316">
        <v>7.288376563970794</v>
      </c>
      <c r="L875" s="316">
        <v>5.8369203203790798</v>
      </c>
      <c r="M875" s="317">
        <v>13.125296884349874</v>
      </c>
      <c r="N875" s="316">
        <v>3.2306816625297308</v>
      </c>
      <c r="O875" s="316">
        <v>30.365278506241374</v>
      </c>
      <c r="P875" s="316">
        <v>6.0537658412451592</v>
      </c>
      <c r="Q875" s="316">
        <v>3.0056257128579116</v>
      </c>
      <c r="R875" s="316">
        <v>17.761372144873224</v>
      </c>
      <c r="S875" s="316">
        <v>19.49479381827452</v>
      </c>
      <c r="T875" s="316">
        <v>28.652738240751606</v>
      </c>
      <c r="U875" s="316">
        <v>5.6985872368934682</v>
      </c>
      <c r="V875" s="317">
        <v>114.262843163667</v>
      </c>
      <c r="W875" s="317">
        <v>164.96468653869277</v>
      </c>
      <c r="X875" s="316">
        <v>18.376171354419952</v>
      </c>
      <c r="Y875" s="332">
        <v>183.34085789311274</v>
      </c>
    </row>
    <row r="876" spans="1:25" x14ac:dyDescent="0.2">
      <c r="A876" s="233">
        <v>2021</v>
      </c>
      <c r="B876" s="316" t="s">
        <v>466</v>
      </c>
      <c r="C876" s="316" t="s">
        <v>365</v>
      </c>
      <c r="D876" s="316" t="s">
        <v>491</v>
      </c>
      <c r="E876" s="316" t="s">
        <v>367</v>
      </c>
      <c r="F876" s="316" t="s">
        <v>368</v>
      </c>
      <c r="G876" s="316" t="s">
        <v>370</v>
      </c>
      <c r="H876" s="316">
        <v>342.91539494298189</v>
      </c>
      <c r="I876" s="316">
        <v>181.14997101331369</v>
      </c>
      <c r="J876" s="317">
        <v>524.06536595629564</v>
      </c>
      <c r="K876" s="316">
        <v>105.43390406357781</v>
      </c>
      <c r="L876" s="316">
        <v>107.93319828561154</v>
      </c>
      <c r="M876" s="317">
        <v>213.36710234918934</v>
      </c>
      <c r="N876" s="316">
        <v>41.098026392872484</v>
      </c>
      <c r="O876" s="316">
        <v>444.33019133348</v>
      </c>
      <c r="P876" s="316">
        <v>67.117860910892446</v>
      </c>
      <c r="Q876" s="316">
        <v>65.718511862859472</v>
      </c>
      <c r="R876" s="316">
        <v>119.56531100509454</v>
      </c>
      <c r="S876" s="316">
        <v>209.24734508487435</v>
      </c>
      <c r="T876" s="316">
        <v>375.10884467772007</v>
      </c>
      <c r="U876" s="316">
        <v>61.11658639113142</v>
      </c>
      <c r="V876" s="317">
        <v>1383.3026776589249</v>
      </c>
      <c r="W876" s="317">
        <v>2120.7351459644096</v>
      </c>
      <c r="X876" s="316">
        <v>233.84266691824507</v>
      </c>
      <c r="Y876" s="332">
        <v>2354.5778128826546</v>
      </c>
    </row>
    <row r="877" spans="1:25" x14ac:dyDescent="0.2">
      <c r="A877" s="233">
        <v>2021</v>
      </c>
      <c r="B877" s="316" t="s">
        <v>466</v>
      </c>
      <c r="C877" s="316" t="s">
        <v>365</v>
      </c>
      <c r="D877" s="316" t="s">
        <v>492</v>
      </c>
      <c r="E877" s="316" t="s">
        <v>371</v>
      </c>
      <c r="F877" s="316" t="s">
        <v>368</v>
      </c>
      <c r="G877" s="316" t="s">
        <v>372</v>
      </c>
      <c r="H877" s="316">
        <v>38.274849954993002</v>
      </c>
      <c r="I877" s="316">
        <v>0</v>
      </c>
      <c r="J877" s="317">
        <v>38.274849954993002</v>
      </c>
      <c r="K877" s="316">
        <v>3.4933896214506932</v>
      </c>
      <c r="L877" s="316">
        <v>13.595260758214394</v>
      </c>
      <c r="M877" s="317">
        <v>17.088650379665086</v>
      </c>
      <c r="N877" s="316">
        <v>3.9764670938055646</v>
      </c>
      <c r="O877" s="316">
        <v>52.425899015354027</v>
      </c>
      <c r="P877" s="316">
        <v>9.6764051333003227</v>
      </c>
      <c r="Q877" s="316">
        <v>5.5635262966798376</v>
      </c>
      <c r="R877" s="316">
        <v>17.08093159413098</v>
      </c>
      <c r="S877" s="316">
        <v>25.120584009807434</v>
      </c>
      <c r="T877" s="316">
        <v>62.92440337087546</v>
      </c>
      <c r="U877" s="316">
        <v>9.0832989146863472</v>
      </c>
      <c r="V877" s="317">
        <v>185.85151542863997</v>
      </c>
      <c r="W877" s="317">
        <v>241.21501576329808</v>
      </c>
      <c r="X877" s="316">
        <v>25.258184845096313</v>
      </c>
      <c r="Y877" s="332">
        <v>266.47320060839439</v>
      </c>
    </row>
    <row r="878" spans="1:25" x14ac:dyDescent="0.2">
      <c r="A878" s="233">
        <v>2021</v>
      </c>
      <c r="B878" s="316" t="s">
        <v>466</v>
      </c>
      <c r="C878" s="316" t="s">
        <v>365</v>
      </c>
      <c r="D878" s="316" t="s">
        <v>491</v>
      </c>
      <c r="E878" s="316" t="s">
        <v>373</v>
      </c>
      <c r="F878" s="316" t="s">
        <v>368</v>
      </c>
      <c r="G878" s="316" t="s">
        <v>374</v>
      </c>
      <c r="H878" s="316">
        <v>498.95717069317283</v>
      </c>
      <c r="I878" s="316">
        <v>0</v>
      </c>
      <c r="J878" s="317">
        <v>498.95717069317283</v>
      </c>
      <c r="K878" s="316">
        <v>49.162618864849584</v>
      </c>
      <c r="L878" s="316">
        <v>24.100098637367335</v>
      </c>
      <c r="M878" s="317">
        <v>73.262717502216915</v>
      </c>
      <c r="N878" s="316">
        <v>14.617139615895123</v>
      </c>
      <c r="O878" s="316">
        <v>119.21983508370394</v>
      </c>
      <c r="P878" s="316">
        <v>23.239203714061844</v>
      </c>
      <c r="Q878" s="316">
        <v>13.764985108486167</v>
      </c>
      <c r="R878" s="316">
        <v>45.978304084571306</v>
      </c>
      <c r="S878" s="316">
        <v>59.438457634249964</v>
      </c>
      <c r="T878" s="316">
        <v>93.543954288581389</v>
      </c>
      <c r="U878" s="316">
        <v>19.512935379945741</v>
      </c>
      <c r="V878" s="317">
        <v>389.31481490949551</v>
      </c>
      <c r="W878" s="317">
        <v>961.53470310488524</v>
      </c>
      <c r="X878" s="316">
        <v>110.32696298293824</v>
      </c>
      <c r="Y878" s="332">
        <v>1071.8616660878236</v>
      </c>
    </row>
    <row r="879" spans="1:25" x14ac:dyDescent="0.2">
      <c r="A879" s="233">
        <v>2021</v>
      </c>
      <c r="B879" s="316" t="s">
        <v>466</v>
      </c>
      <c r="C879" s="316" t="s">
        <v>365</v>
      </c>
      <c r="D879" s="316" t="s">
        <v>491</v>
      </c>
      <c r="E879" s="316" t="s">
        <v>375</v>
      </c>
      <c r="F879" s="316" t="s">
        <v>368</v>
      </c>
      <c r="G879" s="316" t="s">
        <v>376</v>
      </c>
      <c r="H879" s="316">
        <v>259.67540202430183</v>
      </c>
      <c r="I879" s="316">
        <v>0</v>
      </c>
      <c r="J879" s="317">
        <v>259.67540202430183</v>
      </c>
      <c r="K879" s="316">
        <v>21.306160504481831</v>
      </c>
      <c r="L879" s="316">
        <v>38.212817432704277</v>
      </c>
      <c r="M879" s="317">
        <v>59.518977937186108</v>
      </c>
      <c r="N879" s="316">
        <v>17.28703411281117</v>
      </c>
      <c r="O879" s="316">
        <v>145.22822195906895</v>
      </c>
      <c r="P879" s="316">
        <v>33.822290175805229</v>
      </c>
      <c r="Q879" s="316">
        <v>24.877769254357617</v>
      </c>
      <c r="R879" s="316">
        <v>55.262082655905317</v>
      </c>
      <c r="S879" s="316">
        <v>67.566580009117033</v>
      </c>
      <c r="T879" s="316">
        <v>118.45349311381001</v>
      </c>
      <c r="U879" s="316">
        <v>27.877845459706375</v>
      </c>
      <c r="V879" s="317">
        <v>490.3753167405817</v>
      </c>
      <c r="W879" s="317">
        <v>809.56969670206968</v>
      </c>
      <c r="X879" s="316">
        <v>88.424828026243574</v>
      </c>
      <c r="Y879" s="332">
        <v>897.99452472831331</v>
      </c>
    </row>
    <row r="880" spans="1:25" x14ac:dyDescent="0.2">
      <c r="A880" s="233">
        <v>2021</v>
      </c>
      <c r="B880" s="316" t="s">
        <v>466</v>
      </c>
      <c r="C880" s="316" t="s">
        <v>365</v>
      </c>
      <c r="D880" s="316" t="s">
        <v>493</v>
      </c>
      <c r="E880" s="316" t="s">
        <v>377</v>
      </c>
      <c r="F880" s="316" t="s">
        <v>368</v>
      </c>
      <c r="G880" s="316" t="s">
        <v>378</v>
      </c>
      <c r="H880" s="316">
        <v>1.6474953977309488</v>
      </c>
      <c r="I880" s="316">
        <v>0</v>
      </c>
      <c r="J880" s="317">
        <v>1.6474953977309488</v>
      </c>
      <c r="K880" s="316">
        <v>1.435879239988061E-2</v>
      </c>
      <c r="L880" s="316">
        <v>2.674380704144586</v>
      </c>
      <c r="M880" s="317">
        <v>2.6887394965444664</v>
      </c>
      <c r="N880" s="316">
        <v>19.570373133381615</v>
      </c>
      <c r="O880" s="316">
        <v>1.5151875876278926</v>
      </c>
      <c r="P880" s="316">
        <v>0.41174709218797545</v>
      </c>
      <c r="Q880" s="316">
        <v>9.4620540398811542E-2</v>
      </c>
      <c r="R880" s="316">
        <v>0.74541633583311528</v>
      </c>
      <c r="S880" s="316">
        <v>4.2134446601452007</v>
      </c>
      <c r="T880" s="316">
        <v>5.2397266843975441</v>
      </c>
      <c r="U880" s="316">
        <v>0.52341188768858959</v>
      </c>
      <c r="V880" s="317">
        <v>32.313927921660742</v>
      </c>
      <c r="W880" s="317">
        <v>36.650162815936156</v>
      </c>
      <c r="X880" s="316">
        <v>4.1714993941490945</v>
      </c>
      <c r="Y880" s="332">
        <v>40.82166221008525</v>
      </c>
    </row>
    <row r="881" spans="1:25" x14ac:dyDescent="0.2">
      <c r="A881" s="233">
        <v>2021</v>
      </c>
      <c r="B881" s="316" t="s">
        <v>466</v>
      </c>
      <c r="C881" s="316" t="s">
        <v>365</v>
      </c>
      <c r="D881" s="316" t="s">
        <v>491</v>
      </c>
      <c r="E881" s="316" t="s">
        <v>379</v>
      </c>
      <c r="F881" s="316" t="s">
        <v>368</v>
      </c>
      <c r="G881" s="316" t="s">
        <v>380</v>
      </c>
      <c r="H881" s="316">
        <v>19.72722725710334</v>
      </c>
      <c r="I881" s="316">
        <v>21.321085921087089</v>
      </c>
      <c r="J881" s="317">
        <v>41.048313178190426</v>
      </c>
      <c r="K881" s="316">
        <v>5.1704155133707239</v>
      </c>
      <c r="L881" s="316">
        <v>6.2017732307916722</v>
      </c>
      <c r="M881" s="317">
        <v>11.372188744162397</v>
      </c>
      <c r="N881" s="316">
        <v>2.7614704481035757</v>
      </c>
      <c r="O881" s="316">
        <v>32.238500725049001</v>
      </c>
      <c r="P881" s="316">
        <v>4.927342512233797</v>
      </c>
      <c r="Q881" s="316">
        <v>2.8191825696052129</v>
      </c>
      <c r="R881" s="316">
        <v>9.6052786552653622</v>
      </c>
      <c r="S881" s="316">
        <v>15.619421711253509</v>
      </c>
      <c r="T881" s="316">
        <v>38.47739903401709</v>
      </c>
      <c r="U881" s="316">
        <v>4.2614790349746245</v>
      </c>
      <c r="V881" s="317">
        <v>110.71007469050218</v>
      </c>
      <c r="W881" s="317">
        <v>163.13057661285501</v>
      </c>
      <c r="X881" s="316">
        <v>18.274550689673838</v>
      </c>
      <c r="Y881" s="332">
        <v>181.40512730252885</v>
      </c>
    </row>
    <row r="882" spans="1:25" x14ac:dyDescent="0.2">
      <c r="A882" s="233">
        <v>2021</v>
      </c>
      <c r="B882" s="316" t="s">
        <v>466</v>
      </c>
      <c r="C882" s="316" t="s">
        <v>365</v>
      </c>
      <c r="D882" s="316" t="s">
        <v>492</v>
      </c>
      <c r="E882" s="316" t="s">
        <v>381</v>
      </c>
      <c r="F882" s="316" t="s">
        <v>368</v>
      </c>
      <c r="G882" s="316" t="s">
        <v>382</v>
      </c>
      <c r="H882" s="316">
        <v>115.08679246231537</v>
      </c>
      <c r="I882" s="316">
        <v>0</v>
      </c>
      <c r="J882" s="317">
        <v>115.08679246231537</v>
      </c>
      <c r="K882" s="316">
        <v>4.9095967035434471</v>
      </c>
      <c r="L882" s="316">
        <v>29.490211963611507</v>
      </c>
      <c r="M882" s="317">
        <v>34.399808667154957</v>
      </c>
      <c r="N882" s="316">
        <v>28.087914239111406</v>
      </c>
      <c r="O882" s="316">
        <v>95.332403831388561</v>
      </c>
      <c r="P882" s="316">
        <v>12.555217918168019</v>
      </c>
      <c r="Q882" s="316">
        <v>8.1146405141267621</v>
      </c>
      <c r="R882" s="316">
        <v>25.479415292209694</v>
      </c>
      <c r="S882" s="316">
        <v>45.510973502622832</v>
      </c>
      <c r="T882" s="316">
        <v>95.476821893204956</v>
      </c>
      <c r="U882" s="316">
        <v>12.616072174845169</v>
      </c>
      <c r="V882" s="317">
        <v>323.17345936567739</v>
      </c>
      <c r="W882" s="317">
        <v>472.66006049514772</v>
      </c>
      <c r="X882" s="316">
        <v>51.23548239745336</v>
      </c>
      <c r="Y882" s="332">
        <v>523.89554289260104</v>
      </c>
    </row>
    <row r="883" spans="1:25" x14ac:dyDescent="0.2">
      <c r="A883" s="233">
        <v>2021</v>
      </c>
      <c r="B883" s="316" t="s">
        <v>466</v>
      </c>
      <c r="C883" s="316" t="s">
        <v>365</v>
      </c>
      <c r="D883" s="316" t="s">
        <v>492</v>
      </c>
      <c r="E883" s="316" t="s">
        <v>383</v>
      </c>
      <c r="F883" s="316" t="s">
        <v>368</v>
      </c>
      <c r="G883" s="316" t="s">
        <v>384</v>
      </c>
      <c r="H883" s="316">
        <v>32.23208517309515</v>
      </c>
      <c r="I883" s="316">
        <v>0</v>
      </c>
      <c r="J883" s="317">
        <v>32.23208517309515</v>
      </c>
      <c r="K883" s="316">
        <v>5.8483714613606104</v>
      </c>
      <c r="L883" s="316">
        <v>5.7383631298620337</v>
      </c>
      <c r="M883" s="317">
        <v>11.586734591222644</v>
      </c>
      <c r="N883" s="316">
        <v>2.7408618418733441</v>
      </c>
      <c r="O883" s="316">
        <v>27.624225694470013</v>
      </c>
      <c r="P883" s="316">
        <v>7.1855038444261892</v>
      </c>
      <c r="Q883" s="316">
        <v>3.9825243379509163</v>
      </c>
      <c r="R883" s="316">
        <v>10.255163722414192</v>
      </c>
      <c r="S883" s="316">
        <v>18.838282330992914</v>
      </c>
      <c r="T883" s="316">
        <v>46.005294064351745</v>
      </c>
      <c r="U883" s="316">
        <v>6.4998566738277033</v>
      </c>
      <c r="V883" s="317">
        <v>123.13171251030701</v>
      </c>
      <c r="W883" s="317">
        <v>166.95053227462481</v>
      </c>
      <c r="X883" s="316">
        <v>17.580085995149879</v>
      </c>
      <c r="Y883" s="332">
        <v>184.53061826977469</v>
      </c>
    </row>
    <row r="884" spans="1:25" x14ac:dyDescent="0.2">
      <c r="A884" s="233">
        <v>2021</v>
      </c>
      <c r="B884" s="316" t="s">
        <v>466</v>
      </c>
      <c r="C884" s="316" t="s">
        <v>365</v>
      </c>
      <c r="D884" s="316" t="s">
        <v>492</v>
      </c>
      <c r="E884" s="316" t="s">
        <v>385</v>
      </c>
      <c r="F884" s="316" t="s">
        <v>368</v>
      </c>
      <c r="G884" s="316" t="s">
        <v>386</v>
      </c>
      <c r="H884" s="316">
        <v>36.543623579585777</v>
      </c>
      <c r="I884" s="316">
        <v>0</v>
      </c>
      <c r="J884" s="317">
        <v>36.543623579585777</v>
      </c>
      <c r="K884" s="316">
        <v>3.0043050468506238</v>
      </c>
      <c r="L884" s="316">
        <v>13.985786385814118</v>
      </c>
      <c r="M884" s="317">
        <v>16.990091432664741</v>
      </c>
      <c r="N884" s="316">
        <v>5.296905348089834</v>
      </c>
      <c r="O884" s="316">
        <v>50.883263406274125</v>
      </c>
      <c r="P884" s="316">
        <v>11.823906408462777</v>
      </c>
      <c r="Q884" s="316">
        <v>5.5078355262255254</v>
      </c>
      <c r="R884" s="316">
        <v>15.558656030481254</v>
      </c>
      <c r="S884" s="316">
        <v>27.488897030189232</v>
      </c>
      <c r="T884" s="316">
        <v>70.227740786666402</v>
      </c>
      <c r="U884" s="316">
        <v>6.8441016426210446</v>
      </c>
      <c r="V884" s="317">
        <v>193.63130617901018</v>
      </c>
      <c r="W884" s="317">
        <v>247.16502119126071</v>
      </c>
      <c r="X884" s="316">
        <v>25.819775189803227</v>
      </c>
      <c r="Y884" s="332">
        <v>272.98479638106392</v>
      </c>
    </row>
    <row r="885" spans="1:25" x14ac:dyDescent="0.2">
      <c r="A885" s="233">
        <v>2021</v>
      </c>
      <c r="B885" s="316" t="s">
        <v>466</v>
      </c>
      <c r="C885" s="316" t="s">
        <v>365</v>
      </c>
      <c r="D885" s="316" t="s">
        <v>491</v>
      </c>
      <c r="E885" s="316" t="s">
        <v>387</v>
      </c>
      <c r="F885" s="316" t="s">
        <v>368</v>
      </c>
      <c r="G885" s="316" t="s">
        <v>494</v>
      </c>
      <c r="H885" s="316">
        <v>345.47180535257615</v>
      </c>
      <c r="I885" s="316">
        <v>183.96625744048615</v>
      </c>
      <c r="J885" s="317">
        <v>529.43806279306227</v>
      </c>
      <c r="K885" s="316">
        <v>58.423291915040878</v>
      </c>
      <c r="L885" s="316">
        <v>85.229539227864691</v>
      </c>
      <c r="M885" s="317">
        <v>143.65283114290557</v>
      </c>
      <c r="N885" s="316">
        <v>29.795118335108246</v>
      </c>
      <c r="O885" s="316">
        <v>330.06988105243886</v>
      </c>
      <c r="P885" s="316">
        <v>58.360222449734749</v>
      </c>
      <c r="Q885" s="316">
        <v>38.412001581966273</v>
      </c>
      <c r="R885" s="316">
        <v>101.83745530525559</v>
      </c>
      <c r="S885" s="316">
        <v>182.86113442425005</v>
      </c>
      <c r="T885" s="316">
        <v>471.78788071761142</v>
      </c>
      <c r="U885" s="316">
        <v>42.791793677065087</v>
      </c>
      <c r="V885" s="317">
        <v>1255.9154875434301</v>
      </c>
      <c r="W885" s="317">
        <v>1929.006381479398</v>
      </c>
      <c r="X885" s="316">
        <v>214.51758245969199</v>
      </c>
      <c r="Y885" s="332">
        <v>2143.5239639390902</v>
      </c>
    </row>
    <row r="886" spans="1:25" ht="16" thickBot="1" x14ac:dyDescent="0.25">
      <c r="A886" s="357">
        <v>2021</v>
      </c>
      <c r="B886" s="358" t="s">
        <v>466</v>
      </c>
      <c r="C886" s="358" t="s">
        <v>365</v>
      </c>
      <c r="D886" s="358" t="s">
        <v>493</v>
      </c>
      <c r="E886" s="358" t="s">
        <v>389</v>
      </c>
      <c r="F886" s="358" t="s">
        <v>368</v>
      </c>
      <c r="G886" s="358" t="s">
        <v>390</v>
      </c>
      <c r="H886" s="358">
        <v>6.0551790428379837</v>
      </c>
      <c r="I886" s="358">
        <v>3.1987351039571812</v>
      </c>
      <c r="J886" s="359">
        <v>9.2539141467951644</v>
      </c>
      <c r="K886" s="358">
        <v>0.78337602032832443</v>
      </c>
      <c r="L886" s="358">
        <v>4.163691331289308</v>
      </c>
      <c r="M886" s="359">
        <v>4.9470673516176324</v>
      </c>
      <c r="N886" s="358">
        <v>10.17337597277549</v>
      </c>
      <c r="O886" s="358">
        <v>10.403636619285569</v>
      </c>
      <c r="P886" s="358">
        <v>1.8549326290266408</v>
      </c>
      <c r="Q886" s="358">
        <v>0.85471718095290017</v>
      </c>
      <c r="R886" s="358">
        <v>3.7364862684178104</v>
      </c>
      <c r="S886" s="358">
        <v>8.1445662336159259</v>
      </c>
      <c r="T886" s="358">
        <v>19.729560756004396</v>
      </c>
      <c r="U886" s="358">
        <v>1.9776604165383176</v>
      </c>
      <c r="V886" s="359">
        <v>56.874936076617054</v>
      </c>
      <c r="W886" s="359">
        <v>71.075917575029848</v>
      </c>
      <c r="X886" s="358">
        <v>7.7027002987288569</v>
      </c>
      <c r="Y886" s="360">
        <v>78.778617873758705</v>
      </c>
    </row>
    <row r="887" spans="1:25" ht="16" thickBot="1" x14ac:dyDescent="0.25">
      <c r="A887" s="354">
        <v>2022</v>
      </c>
      <c r="B887" s="355" t="s">
        <v>466</v>
      </c>
      <c r="C887" s="355"/>
      <c r="D887" s="355"/>
      <c r="E887" s="355"/>
      <c r="F887" s="355"/>
      <c r="G887" s="355" t="s">
        <v>467</v>
      </c>
      <c r="H887" s="355">
        <v>7172.3094410025169</v>
      </c>
      <c r="I887" s="355">
        <v>3251.2914175969813</v>
      </c>
      <c r="J887" s="355">
        <v>10423.600858599499</v>
      </c>
      <c r="K887" s="355">
        <v>23857.325476777929</v>
      </c>
      <c r="L887" s="355">
        <v>6185.5169351099257</v>
      </c>
      <c r="M887" s="355">
        <v>30042.842411887854</v>
      </c>
      <c r="N887" s="355">
        <v>5939.4718611616272</v>
      </c>
      <c r="O887" s="355">
        <v>25448.620283899432</v>
      </c>
      <c r="P887" s="355">
        <v>4513.2917173842534</v>
      </c>
      <c r="Q887" s="355">
        <v>7551.6375319744557</v>
      </c>
      <c r="R887" s="355">
        <v>12729.625718108497</v>
      </c>
      <c r="S887" s="355">
        <v>13218.249320085477</v>
      </c>
      <c r="T887" s="355">
        <v>16852.699373175416</v>
      </c>
      <c r="U887" s="355">
        <v>5777.395713745952</v>
      </c>
      <c r="V887" s="355">
        <v>92030.991519535106</v>
      </c>
      <c r="W887" s="355">
        <v>132497.43479002247</v>
      </c>
      <c r="X887" s="355">
        <v>14156.532940955938</v>
      </c>
      <c r="Y887" s="356">
        <v>147073.53979714858</v>
      </c>
    </row>
    <row r="888" spans="1:25" x14ac:dyDescent="0.2">
      <c r="A888" s="350">
        <v>2022</v>
      </c>
      <c r="B888" s="351" t="s">
        <v>466</v>
      </c>
      <c r="C888" s="351" t="s">
        <v>90</v>
      </c>
      <c r="D888" s="351" t="s">
        <v>468</v>
      </c>
      <c r="E888" s="351" t="s">
        <v>93</v>
      </c>
      <c r="F888" s="351" t="s">
        <v>94</v>
      </c>
      <c r="G888" s="351" t="s">
        <v>469</v>
      </c>
      <c r="H888" s="351">
        <v>32.943467557217311</v>
      </c>
      <c r="I888" s="351">
        <v>33.680603574106705</v>
      </c>
      <c r="J888" s="352">
        <v>66.624071131324015</v>
      </c>
      <c r="K888" s="351">
        <v>8647.1352682015113</v>
      </c>
      <c r="L888" s="351">
        <v>2795.3136275233292</v>
      </c>
      <c r="M888" s="352">
        <v>11442.44889572484</v>
      </c>
      <c r="N888" s="351">
        <v>2454.1185621683903</v>
      </c>
      <c r="O888" s="351">
        <v>12084.23124278049</v>
      </c>
      <c r="P888" s="351">
        <v>2077.5252213859749</v>
      </c>
      <c r="Q888" s="351">
        <v>5846.9202011709385</v>
      </c>
      <c r="R888" s="351">
        <v>5937.0697290637827</v>
      </c>
      <c r="S888" s="351">
        <v>6255.1909244535618</v>
      </c>
      <c r="T888" s="351">
        <v>8053.7281657278891</v>
      </c>
      <c r="U888" s="351">
        <v>2613.5330342153225</v>
      </c>
      <c r="V888" s="352">
        <v>45322.31708096635</v>
      </c>
      <c r="W888" s="352">
        <v>56831.390047822511</v>
      </c>
      <c r="X888" s="351">
        <v>5734.9278826688287</v>
      </c>
      <c r="Y888" s="353">
        <v>62566.317930491343</v>
      </c>
    </row>
    <row r="889" spans="1:25" x14ac:dyDescent="0.2">
      <c r="A889" s="233">
        <v>2022</v>
      </c>
      <c r="B889" s="316" t="s">
        <v>466</v>
      </c>
      <c r="C889" s="316" t="s">
        <v>90</v>
      </c>
      <c r="D889" s="316" t="s">
        <v>470</v>
      </c>
      <c r="E889" s="316" t="s">
        <v>98</v>
      </c>
      <c r="F889" s="316" t="s">
        <v>94</v>
      </c>
      <c r="G889" s="316" t="s">
        <v>99</v>
      </c>
      <c r="H889" s="316">
        <v>67.388219779414442</v>
      </c>
      <c r="I889" s="316">
        <v>34.660661024088746</v>
      </c>
      <c r="J889" s="317">
        <v>102.04888080350318</v>
      </c>
      <c r="K889" s="316">
        <v>407.82105357255256</v>
      </c>
      <c r="L889" s="316">
        <v>60.911360577205571</v>
      </c>
      <c r="M889" s="317">
        <v>468.73241414975814</v>
      </c>
      <c r="N889" s="316">
        <v>40.527721454683714</v>
      </c>
      <c r="O889" s="316">
        <v>217.80195545038274</v>
      </c>
      <c r="P889" s="316">
        <v>15.42271702811694</v>
      </c>
      <c r="Q889" s="316">
        <v>5.9183587549308427</v>
      </c>
      <c r="R889" s="316">
        <v>44.756076891556873</v>
      </c>
      <c r="S889" s="316">
        <v>74.202339614977092</v>
      </c>
      <c r="T889" s="316">
        <v>41.152653046685458</v>
      </c>
      <c r="U889" s="316">
        <v>24.498357138602252</v>
      </c>
      <c r="V889" s="317">
        <v>464.28017937993593</v>
      </c>
      <c r="W889" s="317">
        <v>1035.0614743331973</v>
      </c>
      <c r="X889" s="316">
        <v>113.61352864805748</v>
      </c>
      <c r="Y889" s="332">
        <v>1148.6750029812549</v>
      </c>
    </row>
    <row r="890" spans="1:25" x14ac:dyDescent="0.2">
      <c r="A890" s="233">
        <v>2022</v>
      </c>
      <c r="B890" s="316" t="s">
        <v>466</v>
      </c>
      <c r="C890" s="316" t="s">
        <v>90</v>
      </c>
      <c r="D890" s="316" t="s">
        <v>470</v>
      </c>
      <c r="E890" s="316" t="s">
        <v>101</v>
      </c>
      <c r="F890" s="316" t="s">
        <v>94</v>
      </c>
      <c r="G890" s="316" t="s">
        <v>102</v>
      </c>
      <c r="H890" s="316">
        <v>10.792570659546874</v>
      </c>
      <c r="I890" s="316">
        <v>11.567158070869947</v>
      </c>
      <c r="J890" s="317">
        <v>22.359728730416819</v>
      </c>
      <c r="K890" s="316">
        <v>806.71187761182216</v>
      </c>
      <c r="L890" s="316">
        <v>227.5665511274002</v>
      </c>
      <c r="M890" s="317">
        <v>1034.2784287392224</v>
      </c>
      <c r="N890" s="316">
        <v>117.87943069028631</v>
      </c>
      <c r="O890" s="316">
        <v>1508.2362543512731</v>
      </c>
      <c r="P890" s="316">
        <v>302.403779110306</v>
      </c>
      <c r="Q890" s="316">
        <v>150.35480060108929</v>
      </c>
      <c r="R890" s="316">
        <v>801.47869859151024</v>
      </c>
      <c r="S890" s="316">
        <v>673.38456255886342</v>
      </c>
      <c r="T890" s="316">
        <v>875.48872493424096</v>
      </c>
      <c r="U890" s="316">
        <v>379.92966398955764</v>
      </c>
      <c r="V890" s="317">
        <v>4809.1559148271272</v>
      </c>
      <c r="W890" s="317">
        <v>5865.794072296766</v>
      </c>
      <c r="X890" s="316">
        <v>592.14397446136763</v>
      </c>
      <c r="Y890" s="332">
        <v>6457.9380467581341</v>
      </c>
    </row>
    <row r="891" spans="1:25" x14ac:dyDescent="0.2">
      <c r="A891" s="233">
        <v>2022</v>
      </c>
      <c r="B891" s="316" t="s">
        <v>466</v>
      </c>
      <c r="C891" s="316" t="s">
        <v>90</v>
      </c>
      <c r="D891" s="316" t="s">
        <v>471</v>
      </c>
      <c r="E891" s="316" t="s">
        <v>104</v>
      </c>
      <c r="F891" s="316" t="s">
        <v>94</v>
      </c>
      <c r="G891" s="316" t="s">
        <v>105</v>
      </c>
      <c r="H891" s="316">
        <v>39.436509896170314</v>
      </c>
      <c r="I891" s="316">
        <v>20.56183542935354</v>
      </c>
      <c r="J891" s="317">
        <v>59.998345325523857</v>
      </c>
      <c r="K891" s="316">
        <v>294.99214428698258</v>
      </c>
      <c r="L891" s="316">
        <v>33.45103480196893</v>
      </c>
      <c r="M891" s="317">
        <v>328.44317908895152</v>
      </c>
      <c r="N891" s="316">
        <v>138.16299001776591</v>
      </c>
      <c r="O891" s="316">
        <v>154.42578098863652</v>
      </c>
      <c r="P891" s="316">
        <v>38.942779588629165</v>
      </c>
      <c r="Q891" s="316">
        <v>21.129970602148532</v>
      </c>
      <c r="R891" s="316">
        <v>93.307745509338176</v>
      </c>
      <c r="S891" s="316">
        <v>117.78022649175519</v>
      </c>
      <c r="T891" s="316">
        <v>127.24911995093376</v>
      </c>
      <c r="U891" s="316">
        <v>48.385151027164412</v>
      </c>
      <c r="V891" s="317">
        <v>739.38376417637164</v>
      </c>
      <c r="W891" s="317">
        <v>1127.8252885908471</v>
      </c>
      <c r="X891" s="316">
        <v>121.56375461820704</v>
      </c>
      <c r="Y891" s="332">
        <v>1249.3890432090541</v>
      </c>
    </row>
    <row r="892" spans="1:25" x14ac:dyDescent="0.2">
      <c r="A892" s="233">
        <v>2022</v>
      </c>
      <c r="B892" s="316" t="s">
        <v>466</v>
      </c>
      <c r="C892" s="316" t="s">
        <v>90</v>
      </c>
      <c r="D892" s="316" t="s">
        <v>470</v>
      </c>
      <c r="E892" s="316" t="s">
        <v>106</v>
      </c>
      <c r="F892" s="316" t="s">
        <v>94</v>
      </c>
      <c r="G892" s="316" t="s">
        <v>107</v>
      </c>
      <c r="H892" s="316">
        <v>4.0738282121094178</v>
      </c>
      <c r="I892" s="316">
        <v>2.2250342544998882</v>
      </c>
      <c r="J892" s="317">
        <v>6.2988624666093056</v>
      </c>
      <c r="K892" s="316">
        <v>548.07966502484044</v>
      </c>
      <c r="L892" s="316">
        <v>83.677279016756373</v>
      </c>
      <c r="M892" s="317">
        <v>631.75694404159685</v>
      </c>
      <c r="N892" s="316">
        <v>163.33478119414403</v>
      </c>
      <c r="O892" s="316">
        <v>166.98352297825323</v>
      </c>
      <c r="P892" s="316">
        <v>39.03185899199044</v>
      </c>
      <c r="Q892" s="316">
        <v>17.285283856866002</v>
      </c>
      <c r="R892" s="316">
        <v>93.603964460528346</v>
      </c>
      <c r="S892" s="316">
        <v>113.81121097327473</v>
      </c>
      <c r="T892" s="316">
        <v>84.482566250542177</v>
      </c>
      <c r="U892" s="316">
        <v>42.946931119322166</v>
      </c>
      <c r="V892" s="317">
        <v>721.48011982492096</v>
      </c>
      <c r="W892" s="317">
        <v>1359.5359263331272</v>
      </c>
      <c r="X892" s="316">
        <v>141.90131481009254</v>
      </c>
      <c r="Y892" s="332">
        <v>1501.4372411432198</v>
      </c>
    </row>
    <row r="893" spans="1:25" x14ac:dyDescent="0.2">
      <c r="A893" s="233">
        <v>2022</v>
      </c>
      <c r="B893" s="316" t="s">
        <v>466</v>
      </c>
      <c r="C893" s="316" t="s">
        <v>90</v>
      </c>
      <c r="D893" s="316" t="s">
        <v>471</v>
      </c>
      <c r="E893" s="316" t="s">
        <v>109</v>
      </c>
      <c r="F893" s="316" t="s">
        <v>94</v>
      </c>
      <c r="G893" s="316" t="s">
        <v>110</v>
      </c>
      <c r="H893" s="316">
        <v>17.088620449278441</v>
      </c>
      <c r="I893" s="316">
        <v>0</v>
      </c>
      <c r="J893" s="317">
        <v>17.088620449278441</v>
      </c>
      <c r="K893" s="316">
        <v>2032.2445443803472</v>
      </c>
      <c r="L893" s="316">
        <v>162.33584626031717</v>
      </c>
      <c r="M893" s="317">
        <v>2194.5803906406645</v>
      </c>
      <c r="N893" s="316">
        <v>501.68859554026716</v>
      </c>
      <c r="O893" s="316">
        <v>1629.4047593150024</v>
      </c>
      <c r="P893" s="316">
        <v>331.76595832463073</v>
      </c>
      <c r="Q893" s="316">
        <v>463.41032168317804</v>
      </c>
      <c r="R893" s="316">
        <v>1189.0682776817441</v>
      </c>
      <c r="S893" s="316">
        <v>952.13142547257542</v>
      </c>
      <c r="T893" s="316">
        <v>952.76143987796308</v>
      </c>
      <c r="U893" s="316">
        <v>483.98082334287</v>
      </c>
      <c r="V893" s="317">
        <v>6504.2116012382321</v>
      </c>
      <c r="W893" s="317">
        <v>8715.8806123281756</v>
      </c>
      <c r="X893" s="316">
        <v>883.97188826635784</v>
      </c>
      <c r="Y893" s="332">
        <v>9599.8525005945339</v>
      </c>
    </row>
    <row r="894" spans="1:25" x14ac:dyDescent="0.2">
      <c r="A894" s="233">
        <v>2022</v>
      </c>
      <c r="B894" s="316" t="s">
        <v>466</v>
      </c>
      <c r="C894" s="316" t="s">
        <v>90</v>
      </c>
      <c r="D894" s="316" t="s">
        <v>470</v>
      </c>
      <c r="E894" s="316" t="s">
        <v>112</v>
      </c>
      <c r="F894" s="316" t="s">
        <v>94</v>
      </c>
      <c r="G894" s="316" t="s">
        <v>113</v>
      </c>
      <c r="H894" s="316">
        <v>79.031949775194363</v>
      </c>
      <c r="I894" s="316">
        <v>75.956812989929503</v>
      </c>
      <c r="J894" s="317">
        <v>154.98876276512385</v>
      </c>
      <c r="K894" s="316">
        <v>1267.2219063808241</v>
      </c>
      <c r="L894" s="316">
        <v>267.8879414891411</v>
      </c>
      <c r="M894" s="317">
        <v>1535.1098478699651</v>
      </c>
      <c r="N894" s="316">
        <v>83.485329469513857</v>
      </c>
      <c r="O894" s="316">
        <v>288.34766401268138</v>
      </c>
      <c r="P894" s="316">
        <v>34.87513846529491</v>
      </c>
      <c r="Q894" s="316">
        <v>19.53872051671398</v>
      </c>
      <c r="R894" s="316">
        <v>95.36708197653536</v>
      </c>
      <c r="S894" s="316">
        <v>112.15520137185095</v>
      </c>
      <c r="T894" s="316">
        <v>90.559616426856508</v>
      </c>
      <c r="U894" s="316">
        <v>43.513167646135493</v>
      </c>
      <c r="V894" s="317">
        <v>767.84191988558234</v>
      </c>
      <c r="W894" s="317">
        <v>2457.940530520671</v>
      </c>
      <c r="X894" s="316">
        <v>260.55659109277536</v>
      </c>
      <c r="Y894" s="332">
        <v>2718.4971216134463</v>
      </c>
    </row>
    <row r="895" spans="1:25" x14ac:dyDescent="0.2">
      <c r="A895" s="233">
        <v>2022</v>
      </c>
      <c r="B895" s="316" t="s">
        <v>466</v>
      </c>
      <c r="C895" s="316" t="s">
        <v>90</v>
      </c>
      <c r="D895" s="316" t="s">
        <v>471</v>
      </c>
      <c r="E895" s="316" t="s">
        <v>115</v>
      </c>
      <c r="F895" s="316" t="s">
        <v>94</v>
      </c>
      <c r="G895" s="316" t="s">
        <v>116</v>
      </c>
      <c r="H895" s="316">
        <v>0.13389127866178041</v>
      </c>
      <c r="I895" s="316">
        <v>0.4272540905954586</v>
      </c>
      <c r="J895" s="317">
        <v>0.56114536925723901</v>
      </c>
      <c r="K895" s="316">
        <v>2517.0483833429666</v>
      </c>
      <c r="L895" s="316">
        <v>443.14779990770796</v>
      </c>
      <c r="M895" s="317">
        <v>2960.1961832506745</v>
      </c>
      <c r="N895" s="316">
        <v>193.88046844753174</v>
      </c>
      <c r="O895" s="316">
        <v>1621.0832823609746</v>
      </c>
      <c r="P895" s="316">
        <v>273.50440290133196</v>
      </c>
      <c r="Q895" s="316">
        <v>224.34465011501595</v>
      </c>
      <c r="R895" s="316">
        <v>779.07253124860517</v>
      </c>
      <c r="S895" s="316">
        <v>680.98772420478872</v>
      </c>
      <c r="T895" s="316">
        <v>718.07317782957421</v>
      </c>
      <c r="U895" s="316">
        <v>325.02707616918462</v>
      </c>
      <c r="V895" s="317">
        <v>4815.973313277007</v>
      </c>
      <c r="W895" s="317">
        <v>7776.7306418969392</v>
      </c>
      <c r="X895" s="316">
        <v>785.14846048442314</v>
      </c>
      <c r="Y895" s="332">
        <v>8561.8791023813628</v>
      </c>
    </row>
    <row r="896" spans="1:25" x14ac:dyDescent="0.2">
      <c r="A896" s="233">
        <v>2022</v>
      </c>
      <c r="B896" s="316" t="s">
        <v>466</v>
      </c>
      <c r="C896" s="316" t="s">
        <v>90</v>
      </c>
      <c r="D896" s="316" t="s">
        <v>471</v>
      </c>
      <c r="E896" s="316" t="s">
        <v>118</v>
      </c>
      <c r="F896" s="316" t="s">
        <v>94</v>
      </c>
      <c r="G896" s="316" t="s">
        <v>119</v>
      </c>
      <c r="H896" s="316">
        <v>4.7132145661477844</v>
      </c>
      <c r="I896" s="316">
        <v>0</v>
      </c>
      <c r="J896" s="317">
        <v>4.7132145661477844</v>
      </c>
      <c r="K896" s="316">
        <v>932.78792012782378</v>
      </c>
      <c r="L896" s="316">
        <v>81.448825460794637</v>
      </c>
      <c r="M896" s="317">
        <v>1014.2367455886184</v>
      </c>
      <c r="N896" s="316">
        <v>128.12512859482686</v>
      </c>
      <c r="O896" s="316">
        <v>242.16316929715546</v>
      </c>
      <c r="P896" s="316">
        <v>58.201784706859662</v>
      </c>
      <c r="Q896" s="316">
        <v>21.264804114140578</v>
      </c>
      <c r="R896" s="316">
        <v>167.69289107196644</v>
      </c>
      <c r="S896" s="316">
        <v>142.45194317892495</v>
      </c>
      <c r="T896" s="316">
        <v>98.149376888099695</v>
      </c>
      <c r="U896" s="316">
        <v>60.774810200367263</v>
      </c>
      <c r="V896" s="317">
        <v>918.82390805234093</v>
      </c>
      <c r="W896" s="317">
        <v>1937.7738682071072</v>
      </c>
      <c r="X896" s="316">
        <v>197.93612982785956</v>
      </c>
      <c r="Y896" s="332">
        <v>2135.7099980349667</v>
      </c>
    </row>
    <row r="897" spans="1:25" x14ac:dyDescent="0.2">
      <c r="A897" s="233">
        <v>2022</v>
      </c>
      <c r="B897" s="316" t="s">
        <v>466</v>
      </c>
      <c r="C897" s="316" t="s">
        <v>90</v>
      </c>
      <c r="D897" s="316" t="s">
        <v>471</v>
      </c>
      <c r="E897" s="316" t="s">
        <v>120</v>
      </c>
      <c r="F897" s="316" t="s">
        <v>94</v>
      </c>
      <c r="G897" s="316" t="s">
        <v>121</v>
      </c>
      <c r="H897" s="316">
        <v>4.1531304973220804</v>
      </c>
      <c r="I897" s="316">
        <v>0</v>
      </c>
      <c r="J897" s="317">
        <v>4.1531304973220804</v>
      </c>
      <c r="K897" s="316">
        <v>1081.0345108482338</v>
      </c>
      <c r="L897" s="316">
        <v>106.81921675671136</v>
      </c>
      <c r="M897" s="317">
        <v>1187.8537276049451</v>
      </c>
      <c r="N897" s="316">
        <v>86.616559302950535</v>
      </c>
      <c r="O897" s="316">
        <v>603.73587527588643</v>
      </c>
      <c r="P897" s="316">
        <v>111.31033649121547</v>
      </c>
      <c r="Q897" s="316">
        <v>81.094319456804357</v>
      </c>
      <c r="R897" s="316">
        <v>328.82999222481686</v>
      </c>
      <c r="S897" s="316">
        <v>284.12044741026335</v>
      </c>
      <c r="T897" s="316">
        <v>398.40512186630156</v>
      </c>
      <c r="U897" s="316">
        <v>122.70741024127395</v>
      </c>
      <c r="V897" s="317">
        <v>2016.8200622695126</v>
      </c>
      <c r="W897" s="317">
        <v>3208.8269203717796</v>
      </c>
      <c r="X897" s="316">
        <v>323.85158260308611</v>
      </c>
      <c r="Y897" s="332">
        <v>3532.6785029748658</v>
      </c>
    </row>
    <row r="898" spans="1:25" x14ac:dyDescent="0.2">
      <c r="A898" s="233">
        <v>2022</v>
      </c>
      <c r="B898" s="316" t="s">
        <v>466</v>
      </c>
      <c r="C898" s="316" t="s">
        <v>122</v>
      </c>
      <c r="D898" s="316" t="s">
        <v>472</v>
      </c>
      <c r="E898" s="316" t="s">
        <v>125</v>
      </c>
      <c r="F898" s="316" t="s">
        <v>126</v>
      </c>
      <c r="G898" s="316" t="s">
        <v>128</v>
      </c>
      <c r="H898" s="316">
        <v>30.179947515851605</v>
      </c>
      <c r="I898" s="316">
        <v>15.658846186425466</v>
      </c>
      <c r="J898" s="317">
        <v>45.838793702277073</v>
      </c>
      <c r="K898" s="316">
        <v>7.8387089699923918</v>
      </c>
      <c r="L898" s="316">
        <v>13.517677773476519</v>
      </c>
      <c r="M898" s="317">
        <v>21.35638674346891</v>
      </c>
      <c r="N898" s="316">
        <v>14.389357121685435</v>
      </c>
      <c r="O898" s="316">
        <v>85.49959972651655</v>
      </c>
      <c r="P898" s="316">
        <v>13.268513605001768</v>
      </c>
      <c r="Q898" s="316">
        <v>4.056353303861215</v>
      </c>
      <c r="R898" s="316">
        <v>24.546983725238817</v>
      </c>
      <c r="S898" s="316">
        <v>33.482073917411171</v>
      </c>
      <c r="T898" s="316">
        <v>72.03182916194767</v>
      </c>
      <c r="U898" s="316">
        <v>19.868592086779511</v>
      </c>
      <c r="V898" s="317">
        <v>267.14330264844216</v>
      </c>
      <c r="W898" s="317">
        <v>334.33848309418818</v>
      </c>
      <c r="X898" s="316">
        <v>37.481342826839011</v>
      </c>
      <c r="Y898" s="332">
        <v>371.81982592102719</v>
      </c>
    </row>
    <row r="899" spans="1:25" x14ac:dyDescent="0.2">
      <c r="A899" s="233">
        <v>2022</v>
      </c>
      <c r="B899" s="316" t="s">
        <v>466</v>
      </c>
      <c r="C899" s="316" t="s">
        <v>122</v>
      </c>
      <c r="D899" s="316" t="s">
        <v>472</v>
      </c>
      <c r="E899" s="316" t="s">
        <v>130</v>
      </c>
      <c r="F899" s="316" t="s">
        <v>126</v>
      </c>
      <c r="G899" s="316" t="s">
        <v>131</v>
      </c>
      <c r="H899" s="316">
        <v>431.52125795481032</v>
      </c>
      <c r="I899" s="316">
        <v>237.45027077303479</v>
      </c>
      <c r="J899" s="317">
        <v>668.97152872784511</v>
      </c>
      <c r="K899" s="316">
        <v>25.439839747170286</v>
      </c>
      <c r="L899" s="316">
        <v>39.133189726452684</v>
      </c>
      <c r="M899" s="317">
        <v>64.573029473622967</v>
      </c>
      <c r="N899" s="316">
        <v>52.324145009548438</v>
      </c>
      <c r="O899" s="316">
        <v>311.99047343616661</v>
      </c>
      <c r="P899" s="316">
        <v>35.843547368208853</v>
      </c>
      <c r="Q899" s="316">
        <v>20.842574695514035</v>
      </c>
      <c r="R899" s="316">
        <v>68.060081064721061</v>
      </c>
      <c r="S899" s="316">
        <v>114.72669381756582</v>
      </c>
      <c r="T899" s="316">
        <v>205.82982460996433</v>
      </c>
      <c r="U899" s="316">
        <v>44.906717291685126</v>
      </c>
      <c r="V899" s="317">
        <v>854.52405729337431</v>
      </c>
      <c r="W899" s="317">
        <v>1588.0686154948426</v>
      </c>
      <c r="X899" s="316">
        <v>210.22260057512779</v>
      </c>
      <c r="Y899" s="332">
        <v>1798.2912160699702</v>
      </c>
    </row>
    <row r="900" spans="1:25" x14ac:dyDescent="0.2">
      <c r="A900" s="233">
        <v>2022</v>
      </c>
      <c r="B900" s="316" t="s">
        <v>466</v>
      </c>
      <c r="C900" s="316" t="s">
        <v>122</v>
      </c>
      <c r="D900" s="316" t="s">
        <v>472</v>
      </c>
      <c r="E900" s="316" t="s">
        <v>133</v>
      </c>
      <c r="F900" s="316" t="s">
        <v>126</v>
      </c>
      <c r="G900" s="316" t="s">
        <v>134</v>
      </c>
      <c r="H900" s="316">
        <v>260.59702186427376</v>
      </c>
      <c r="I900" s="316">
        <v>133.80234380511945</v>
      </c>
      <c r="J900" s="317">
        <v>394.39936566939321</v>
      </c>
      <c r="K900" s="316">
        <v>12.786300697417882</v>
      </c>
      <c r="L900" s="316">
        <v>15.447054001367476</v>
      </c>
      <c r="M900" s="317">
        <v>28.233354698785359</v>
      </c>
      <c r="N900" s="316">
        <v>28.222955200255193</v>
      </c>
      <c r="O900" s="316">
        <v>123.17394116701202</v>
      </c>
      <c r="P900" s="316">
        <v>18.658108392605531</v>
      </c>
      <c r="Q900" s="316">
        <v>6.4478422695010345</v>
      </c>
      <c r="R900" s="316">
        <v>36.133167896684171</v>
      </c>
      <c r="S900" s="316">
        <v>52.037644635709249</v>
      </c>
      <c r="T900" s="316">
        <v>94.28016340490052</v>
      </c>
      <c r="U900" s="316">
        <v>27.145957363907218</v>
      </c>
      <c r="V900" s="317">
        <v>386.0997803305749</v>
      </c>
      <c r="W900" s="317">
        <v>808.73250069875348</v>
      </c>
      <c r="X900" s="316">
        <v>110.47173680157218</v>
      </c>
      <c r="Y900" s="332">
        <v>919.20423750032569</v>
      </c>
    </row>
    <row r="901" spans="1:25" x14ac:dyDescent="0.2">
      <c r="A901" s="233">
        <v>2022</v>
      </c>
      <c r="B901" s="316" t="s">
        <v>466</v>
      </c>
      <c r="C901" s="316" t="s">
        <v>122</v>
      </c>
      <c r="D901" s="316" t="s">
        <v>472</v>
      </c>
      <c r="E901" s="316" t="s">
        <v>135</v>
      </c>
      <c r="F901" s="316" t="s">
        <v>126</v>
      </c>
      <c r="G901" s="316" t="s">
        <v>136</v>
      </c>
      <c r="H901" s="316">
        <v>32.860167620820548</v>
      </c>
      <c r="I901" s="316">
        <v>16.871190814970987</v>
      </c>
      <c r="J901" s="317">
        <v>49.731358435791535</v>
      </c>
      <c r="K901" s="316">
        <v>10.346551696333879</v>
      </c>
      <c r="L901" s="316">
        <v>4.5903903550103342</v>
      </c>
      <c r="M901" s="317">
        <v>14.936942051344214</v>
      </c>
      <c r="N901" s="316">
        <v>11.429632557117838</v>
      </c>
      <c r="O901" s="316">
        <v>60.01584495007819</v>
      </c>
      <c r="P901" s="316">
        <v>6.7378477640641465</v>
      </c>
      <c r="Q901" s="316">
        <v>2.472875498233277</v>
      </c>
      <c r="R901" s="316">
        <v>13.410585043671881</v>
      </c>
      <c r="S901" s="316">
        <v>22.918840602715807</v>
      </c>
      <c r="T901" s="316">
        <v>54.32520456452928</v>
      </c>
      <c r="U901" s="316">
        <v>10.253355993007984</v>
      </c>
      <c r="V901" s="317">
        <v>181.5641869734184</v>
      </c>
      <c r="W901" s="317">
        <v>246.23248746055413</v>
      </c>
      <c r="X901" s="316">
        <v>28.872114518786056</v>
      </c>
      <c r="Y901" s="332">
        <v>275.1046019793402</v>
      </c>
    </row>
    <row r="902" spans="1:25" x14ac:dyDescent="0.2">
      <c r="A902" s="233">
        <v>2022</v>
      </c>
      <c r="B902" s="316" t="s">
        <v>466</v>
      </c>
      <c r="C902" s="316" t="s">
        <v>122</v>
      </c>
      <c r="D902" s="316" t="s">
        <v>472</v>
      </c>
      <c r="E902" s="316" t="s">
        <v>137</v>
      </c>
      <c r="F902" s="316" t="s">
        <v>126</v>
      </c>
      <c r="G902" s="316" t="s">
        <v>138</v>
      </c>
      <c r="H902" s="316">
        <v>24.88887116645407</v>
      </c>
      <c r="I902" s="316">
        <v>13.646012665288028</v>
      </c>
      <c r="J902" s="317">
        <v>38.5348838317421</v>
      </c>
      <c r="K902" s="316">
        <v>3.9859410737490619</v>
      </c>
      <c r="L902" s="316">
        <v>13.458907343879396</v>
      </c>
      <c r="M902" s="317">
        <v>17.444848417628457</v>
      </c>
      <c r="N902" s="316">
        <v>12.618246899079095</v>
      </c>
      <c r="O902" s="316">
        <v>63.18835144934679</v>
      </c>
      <c r="P902" s="316">
        <v>13.419940396069883</v>
      </c>
      <c r="Q902" s="316">
        <v>4.9356987627376245</v>
      </c>
      <c r="R902" s="316">
        <v>22.086642373598686</v>
      </c>
      <c r="S902" s="316">
        <v>28.458746050873501</v>
      </c>
      <c r="T902" s="316">
        <v>69.076945470428512</v>
      </c>
      <c r="U902" s="316">
        <v>14.484242948868491</v>
      </c>
      <c r="V902" s="317">
        <v>228.26881435100259</v>
      </c>
      <c r="W902" s="317">
        <v>284.24854660037317</v>
      </c>
      <c r="X902" s="316">
        <v>31.686628764401885</v>
      </c>
      <c r="Y902" s="332">
        <v>315.93517536477503</v>
      </c>
    </row>
    <row r="903" spans="1:25" x14ac:dyDescent="0.2">
      <c r="A903" s="233">
        <v>2022</v>
      </c>
      <c r="B903" s="316" t="s">
        <v>466</v>
      </c>
      <c r="C903" s="316" t="s">
        <v>122</v>
      </c>
      <c r="D903" s="316" t="s">
        <v>472</v>
      </c>
      <c r="E903" s="316" t="s">
        <v>139</v>
      </c>
      <c r="F903" s="316" t="s">
        <v>126</v>
      </c>
      <c r="G903" s="316" t="s">
        <v>140</v>
      </c>
      <c r="H903" s="316">
        <v>47.075969805543934</v>
      </c>
      <c r="I903" s="316">
        <v>29.317400949065615</v>
      </c>
      <c r="J903" s="317">
        <v>76.393370754609549</v>
      </c>
      <c r="K903" s="316">
        <v>4.2782442506362894</v>
      </c>
      <c r="L903" s="316">
        <v>11.109022343991162</v>
      </c>
      <c r="M903" s="317">
        <v>15.387266594627452</v>
      </c>
      <c r="N903" s="316">
        <v>9.6077812856618863</v>
      </c>
      <c r="O903" s="316">
        <v>59.04738355221243</v>
      </c>
      <c r="P903" s="316">
        <v>8.1854146086663668</v>
      </c>
      <c r="Q903" s="316">
        <v>2.8556621893908516</v>
      </c>
      <c r="R903" s="316">
        <v>15.757349490509666</v>
      </c>
      <c r="S903" s="316">
        <v>23.720729686196652</v>
      </c>
      <c r="T903" s="316">
        <v>60.568720552848532</v>
      </c>
      <c r="U903" s="316">
        <v>9.645645990418501</v>
      </c>
      <c r="V903" s="317">
        <v>189.38868735590486</v>
      </c>
      <c r="W903" s="317">
        <v>281.16932470514189</v>
      </c>
      <c r="X903" s="316">
        <v>34.181222080014656</v>
      </c>
      <c r="Y903" s="332">
        <v>315.35054678515655</v>
      </c>
    </row>
    <row r="904" spans="1:25" x14ac:dyDescent="0.2">
      <c r="A904" s="233">
        <v>2022</v>
      </c>
      <c r="B904" s="316" t="s">
        <v>466</v>
      </c>
      <c r="C904" s="316" t="s">
        <v>141</v>
      </c>
      <c r="D904" s="316" t="s">
        <v>473</v>
      </c>
      <c r="E904" s="316" t="s">
        <v>143</v>
      </c>
      <c r="F904" s="316" t="s">
        <v>144</v>
      </c>
      <c r="G904" s="316" t="s">
        <v>146</v>
      </c>
      <c r="H904" s="316">
        <v>4.0689538132699585</v>
      </c>
      <c r="I904" s="316">
        <v>2.0890964396457177</v>
      </c>
      <c r="J904" s="317">
        <v>6.1580502529156762</v>
      </c>
      <c r="K904" s="316">
        <v>1.5336900947152086</v>
      </c>
      <c r="L904" s="316">
        <v>2.0311746392362049</v>
      </c>
      <c r="M904" s="317">
        <v>3.5648647339514135</v>
      </c>
      <c r="N904" s="316">
        <v>4.3540205539850962</v>
      </c>
      <c r="O904" s="316">
        <v>8.0117774417529262</v>
      </c>
      <c r="P904" s="316">
        <v>1.7188051588888607</v>
      </c>
      <c r="Q904" s="316">
        <v>0.86690324163180343</v>
      </c>
      <c r="R904" s="316">
        <v>5.9230737514478609</v>
      </c>
      <c r="S904" s="316">
        <v>5.8712893598769602</v>
      </c>
      <c r="T904" s="316">
        <v>9.9120871895847174</v>
      </c>
      <c r="U904" s="316">
        <v>3.0430499639473045</v>
      </c>
      <c r="V904" s="317">
        <v>39.701006661115528</v>
      </c>
      <c r="W904" s="317">
        <v>49.423921647982617</v>
      </c>
      <c r="X904" s="316">
        <v>5.5048562499491194</v>
      </c>
      <c r="Y904" s="332">
        <v>54.928777897931738</v>
      </c>
    </row>
    <row r="905" spans="1:25" x14ac:dyDescent="0.2">
      <c r="A905" s="233">
        <v>2022</v>
      </c>
      <c r="B905" s="316" t="s">
        <v>466</v>
      </c>
      <c r="C905" s="316" t="s">
        <v>141</v>
      </c>
      <c r="D905" s="316" t="s">
        <v>473</v>
      </c>
      <c r="E905" s="316" t="s">
        <v>147</v>
      </c>
      <c r="F905" s="316" t="s">
        <v>144</v>
      </c>
      <c r="G905" s="316" t="s">
        <v>148</v>
      </c>
      <c r="H905" s="316">
        <v>15.471160428487769</v>
      </c>
      <c r="I905" s="316">
        <v>9.250093373617478</v>
      </c>
      <c r="J905" s="317">
        <v>24.721253802105245</v>
      </c>
      <c r="K905" s="316">
        <v>1.730821790310185</v>
      </c>
      <c r="L905" s="316">
        <v>5.2815607343755451</v>
      </c>
      <c r="M905" s="317">
        <v>7.0123825246857301</v>
      </c>
      <c r="N905" s="316">
        <v>5.682813563471325</v>
      </c>
      <c r="O905" s="316">
        <v>16.348014360491561</v>
      </c>
      <c r="P905" s="316">
        <v>2.0922484994473436</v>
      </c>
      <c r="Q905" s="316">
        <v>1.2384604314598862</v>
      </c>
      <c r="R905" s="316">
        <v>8.3096843559599662</v>
      </c>
      <c r="S905" s="316">
        <v>9.9987210269866065</v>
      </c>
      <c r="T905" s="316">
        <v>19.332354841023882</v>
      </c>
      <c r="U905" s="316">
        <v>5.5339002886999777</v>
      </c>
      <c r="V905" s="317">
        <v>68.536197367540552</v>
      </c>
      <c r="W905" s="317">
        <v>100.26983369433154</v>
      </c>
      <c r="X905" s="316">
        <v>12.003552365132423</v>
      </c>
      <c r="Y905" s="332">
        <v>112.27338605946396</v>
      </c>
    </row>
    <row r="906" spans="1:25" x14ac:dyDescent="0.2">
      <c r="A906" s="233">
        <v>2022</v>
      </c>
      <c r="B906" s="316" t="s">
        <v>466</v>
      </c>
      <c r="C906" s="316" t="s">
        <v>141</v>
      </c>
      <c r="D906" s="316" t="s">
        <v>474</v>
      </c>
      <c r="E906" s="316" t="s">
        <v>149</v>
      </c>
      <c r="F906" s="316" t="s">
        <v>144</v>
      </c>
      <c r="G906" s="316" t="s">
        <v>150</v>
      </c>
      <c r="H906" s="316">
        <v>30.871712155831549</v>
      </c>
      <c r="I906" s="316">
        <v>19.620444944938871</v>
      </c>
      <c r="J906" s="317">
        <v>50.49215710077042</v>
      </c>
      <c r="K906" s="316">
        <v>47.205872677548484</v>
      </c>
      <c r="L906" s="316">
        <v>6.1946726612987923</v>
      </c>
      <c r="M906" s="317">
        <v>53.40054533884728</v>
      </c>
      <c r="N906" s="316">
        <v>78.038122802176133</v>
      </c>
      <c r="O906" s="316">
        <v>132.20370903305849</v>
      </c>
      <c r="P906" s="316">
        <v>24.322342769788868</v>
      </c>
      <c r="Q906" s="316">
        <v>17.087429993211206</v>
      </c>
      <c r="R906" s="316">
        <v>48.854466549463936</v>
      </c>
      <c r="S906" s="316">
        <v>82.028921767121787</v>
      </c>
      <c r="T906" s="316">
        <v>59.455925887591057</v>
      </c>
      <c r="U906" s="316">
        <v>28.446714215290449</v>
      </c>
      <c r="V906" s="317">
        <v>470.4376330177019</v>
      </c>
      <c r="W906" s="317">
        <v>574.33033545731962</v>
      </c>
      <c r="X906" s="316">
        <v>64.173995631071875</v>
      </c>
      <c r="Y906" s="332">
        <v>638.5043310883915</v>
      </c>
    </row>
    <row r="907" spans="1:25" x14ac:dyDescent="0.2">
      <c r="A907" s="233">
        <v>2022</v>
      </c>
      <c r="B907" s="316" t="s">
        <v>466</v>
      </c>
      <c r="C907" s="316" t="s">
        <v>141</v>
      </c>
      <c r="D907" s="316" t="s">
        <v>474</v>
      </c>
      <c r="E907" s="316" t="s">
        <v>151</v>
      </c>
      <c r="F907" s="316" t="s">
        <v>144</v>
      </c>
      <c r="G907" s="316" t="s">
        <v>152</v>
      </c>
      <c r="H907" s="316">
        <v>1.2483249254767861</v>
      </c>
      <c r="I907" s="316">
        <v>72.3056516570214</v>
      </c>
      <c r="J907" s="317">
        <v>73.55397658249818</v>
      </c>
      <c r="K907" s="316">
        <v>45.43846743099261</v>
      </c>
      <c r="L907" s="316">
        <v>2.6218905645040467</v>
      </c>
      <c r="M907" s="317">
        <v>48.060357995496659</v>
      </c>
      <c r="N907" s="316">
        <v>65.693531497180487</v>
      </c>
      <c r="O907" s="316">
        <v>36.917429794246502</v>
      </c>
      <c r="P907" s="316">
        <v>7.292871776181955</v>
      </c>
      <c r="Q907" s="316">
        <v>2.6481927467269957</v>
      </c>
      <c r="R907" s="316">
        <v>19.637768095225951</v>
      </c>
      <c r="S907" s="316">
        <v>100.0410399021827</v>
      </c>
      <c r="T907" s="316">
        <v>38.278867215486343</v>
      </c>
      <c r="U907" s="316">
        <v>15.043194463626653</v>
      </c>
      <c r="V907" s="317">
        <v>285.55289549085762</v>
      </c>
      <c r="W907" s="317">
        <v>407.16723006885246</v>
      </c>
      <c r="X907" s="316">
        <v>49.036892954455602</v>
      </c>
      <c r="Y907" s="332">
        <v>456.20412302330806</v>
      </c>
    </row>
    <row r="908" spans="1:25" x14ac:dyDescent="0.2">
      <c r="A908" s="233">
        <v>2022</v>
      </c>
      <c r="B908" s="316" t="s">
        <v>466</v>
      </c>
      <c r="C908" s="316" t="s">
        <v>141</v>
      </c>
      <c r="D908" s="316" t="s">
        <v>474</v>
      </c>
      <c r="E908" s="316" t="s">
        <v>153</v>
      </c>
      <c r="F908" s="316" t="s">
        <v>144</v>
      </c>
      <c r="G908" s="316" t="s">
        <v>154</v>
      </c>
      <c r="H908" s="316">
        <v>1.7986744878402796</v>
      </c>
      <c r="I908" s="316">
        <v>8.1738025236954286</v>
      </c>
      <c r="J908" s="317">
        <v>9.9724770115357089</v>
      </c>
      <c r="K908" s="316">
        <v>18.151397340920692</v>
      </c>
      <c r="L908" s="316">
        <v>5.9046700457563519</v>
      </c>
      <c r="M908" s="317">
        <v>24.056067386677043</v>
      </c>
      <c r="N908" s="316">
        <v>13.18780561547435</v>
      </c>
      <c r="O908" s="316">
        <v>65.374408899054032</v>
      </c>
      <c r="P908" s="316">
        <v>4.2805184598906223</v>
      </c>
      <c r="Q908" s="316">
        <v>1.4722226128605957</v>
      </c>
      <c r="R908" s="316">
        <v>13.559350520121008</v>
      </c>
      <c r="S908" s="316">
        <v>23.747092703211074</v>
      </c>
      <c r="T908" s="316">
        <v>23.28695279878696</v>
      </c>
      <c r="U908" s="316">
        <v>7.7775364427483824</v>
      </c>
      <c r="V908" s="317">
        <v>152.68588805214702</v>
      </c>
      <c r="W908" s="317">
        <v>186.71443245035977</v>
      </c>
      <c r="X908" s="316">
        <v>20.394449871575638</v>
      </c>
      <c r="Y908" s="332">
        <v>207.1088823219354</v>
      </c>
    </row>
    <row r="909" spans="1:25" x14ac:dyDescent="0.2">
      <c r="A909" s="233">
        <v>2022</v>
      </c>
      <c r="B909" s="316" t="s">
        <v>466</v>
      </c>
      <c r="C909" s="316" t="s">
        <v>141</v>
      </c>
      <c r="D909" s="316" t="s">
        <v>474</v>
      </c>
      <c r="E909" s="316" t="s">
        <v>155</v>
      </c>
      <c r="F909" s="316" t="s">
        <v>144</v>
      </c>
      <c r="G909" s="316" t="s">
        <v>156</v>
      </c>
      <c r="H909" s="316">
        <v>4.35648299569608</v>
      </c>
      <c r="I909" s="316">
        <v>423.78843512749933</v>
      </c>
      <c r="J909" s="317">
        <v>428.1449181231954</v>
      </c>
      <c r="K909" s="316">
        <v>6.1868457579409952</v>
      </c>
      <c r="L909" s="316">
        <v>10.437633977327875</v>
      </c>
      <c r="M909" s="317">
        <v>16.624479735268871</v>
      </c>
      <c r="N909" s="316">
        <v>11.247499756046718</v>
      </c>
      <c r="O909" s="316">
        <v>17.190086865724624</v>
      </c>
      <c r="P909" s="316">
        <v>3.520145301853816</v>
      </c>
      <c r="Q909" s="316">
        <v>0.79140769491637342</v>
      </c>
      <c r="R909" s="316">
        <v>10.34709913020747</v>
      </c>
      <c r="S909" s="316">
        <v>124.12521041307373</v>
      </c>
      <c r="T909" s="316">
        <v>16.53687050304438</v>
      </c>
      <c r="U909" s="316">
        <v>6.3666949217843527</v>
      </c>
      <c r="V909" s="317">
        <v>190.12501458665147</v>
      </c>
      <c r="W909" s="317">
        <v>634.89441244511568</v>
      </c>
      <c r="X909" s="316">
        <v>98.863804774675316</v>
      </c>
      <c r="Y909" s="332">
        <v>733.75821721979105</v>
      </c>
    </row>
    <row r="910" spans="1:25" x14ac:dyDescent="0.2">
      <c r="A910" s="233">
        <v>2022</v>
      </c>
      <c r="B910" s="316" t="s">
        <v>466</v>
      </c>
      <c r="C910" s="316" t="s">
        <v>157</v>
      </c>
      <c r="D910" s="316" t="s">
        <v>475</v>
      </c>
      <c r="E910" s="316" t="s">
        <v>159</v>
      </c>
      <c r="F910" s="316" t="s">
        <v>160</v>
      </c>
      <c r="G910" s="316" t="s">
        <v>161</v>
      </c>
      <c r="H910" s="316">
        <v>29.453083834229496</v>
      </c>
      <c r="I910" s="316">
        <v>15.530443683678383</v>
      </c>
      <c r="J910" s="317">
        <v>44.983527517907881</v>
      </c>
      <c r="K910" s="316">
        <v>19.399819220523902</v>
      </c>
      <c r="L910" s="316">
        <v>31.378127131389739</v>
      </c>
      <c r="M910" s="317">
        <v>50.777946351913641</v>
      </c>
      <c r="N910" s="316">
        <v>31.086094734642764</v>
      </c>
      <c r="O910" s="316">
        <v>218.38167919834873</v>
      </c>
      <c r="P910" s="316">
        <v>30.83595535114118</v>
      </c>
      <c r="Q910" s="316">
        <v>15.452917594476496</v>
      </c>
      <c r="R910" s="316">
        <v>101.01062585916803</v>
      </c>
      <c r="S910" s="316">
        <v>98.981783353183957</v>
      </c>
      <c r="T910" s="316">
        <v>149.2861544218797</v>
      </c>
      <c r="U910" s="316">
        <v>64.404186392873768</v>
      </c>
      <c r="V910" s="317">
        <v>709.4393969057146</v>
      </c>
      <c r="W910" s="317">
        <v>805.20087077553615</v>
      </c>
      <c r="X910" s="316">
        <v>85.135506753223069</v>
      </c>
      <c r="Y910" s="332">
        <v>890.33637752875916</v>
      </c>
    </row>
    <row r="911" spans="1:25" x14ac:dyDescent="0.2">
      <c r="A911" s="233">
        <v>2022</v>
      </c>
      <c r="B911" s="316" t="s">
        <v>466</v>
      </c>
      <c r="C911" s="316" t="s">
        <v>157</v>
      </c>
      <c r="D911" s="316" t="s">
        <v>476</v>
      </c>
      <c r="E911" s="316" t="s">
        <v>162</v>
      </c>
      <c r="F911" s="316" t="s">
        <v>160</v>
      </c>
      <c r="G911" s="316" t="s">
        <v>163</v>
      </c>
      <c r="H911" s="316">
        <v>24.125235322622455</v>
      </c>
      <c r="I911" s="316">
        <v>12.386505086831756</v>
      </c>
      <c r="J911" s="317">
        <v>36.511740409454212</v>
      </c>
      <c r="K911" s="316">
        <v>1.9450412167970199</v>
      </c>
      <c r="L911" s="316">
        <v>7.7022525677065108</v>
      </c>
      <c r="M911" s="317">
        <v>9.64729378450353</v>
      </c>
      <c r="N911" s="316">
        <v>3.8404748618446662</v>
      </c>
      <c r="O911" s="316">
        <v>36.97786870735704</v>
      </c>
      <c r="P911" s="316">
        <v>6.0365145724981515</v>
      </c>
      <c r="Q911" s="316">
        <v>2.1920990681138122</v>
      </c>
      <c r="R911" s="316">
        <v>15.97014318477094</v>
      </c>
      <c r="S911" s="316">
        <v>17.496426397403834</v>
      </c>
      <c r="T911" s="316">
        <v>36.14228595135102</v>
      </c>
      <c r="U911" s="316">
        <v>10.354203789097246</v>
      </c>
      <c r="V911" s="317">
        <v>129.01001653243674</v>
      </c>
      <c r="W911" s="317">
        <v>175.16905072639446</v>
      </c>
      <c r="X911" s="316">
        <v>20.291582057198873</v>
      </c>
      <c r="Y911" s="332">
        <v>195.46063278359333</v>
      </c>
    </row>
    <row r="912" spans="1:25" x14ac:dyDescent="0.2">
      <c r="A912" s="233">
        <v>2022</v>
      </c>
      <c r="B912" s="316" t="s">
        <v>466</v>
      </c>
      <c r="C912" s="316" t="s">
        <v>157</v>
      </c>
      <c r="D912" s="316" t="s">
        <v>473</v>
      </c>
      <c r="E912" s="316" t="s">
        <v>164</v>
      </c>
      <c r="F912" s="316" t="s">
        <v>160</v>
      </c>
      <c r="G912" s="316" t="s">
        <v>165</v>
      </c>
      <c r="H912" s="316">
        <v>2.4112495592636227</v>
      </c>
      <c r="I912" s="316">
        <v>1.3181104302647997</v>
      </c>
      <c r="J912" s="317">
        <v>3.7293599895284224</v>
      </c>
      <c r="K912" s="316">
        <v>7.3463724283018363</v>
      </c>
      <c r="L912" s="316">
        <v>1.6854686819508831</v>
      </c>
      <c r="M912" s="317">
        <v>9.031841110252719</v>
      </c>
      <c r="N912" s="316">
        <v>11.544306228557142</v>
      </c>
      <c r="O912" s="316">
        <v>26.093874161114194</v>
      </c>
      <c r="P912" s="316">
        <v>5.4613463349827533</v>
      </c>
      <c r="Q912" s="316">
        <v>2.1995233485363581</v>
      </c>
      <c r="R912" s="316">
        <v>12.760381969335398</v>
      </c>
      <c r="S912" s="316">
        <v>15.240146933899698</v>
      </c>
      <c r="T912" s="316">
        <v>17.752941510612171</v>
      </c>
      <c r="U912" s="316">
        <v>7.1424222029469044</v>
      </c>
      <c r="V912" s="317">
        <v>98.194942689984615</v>
      </c>
      <c r="W912" s="317">
        <v>110.95614378976575</v>
      </c>
      <c r="X912" s="316">
        <v>11.786202425429162</v>
      </c>
      <c r="Y912" s="332">
        <v>122.74234621519491</v>
      </c>
    </row>
    <row r="913" spans="1:25" x14ac:dyDescent="0.2">
      <c r="A913" s="233">
        <v>2022</v>
      </c>
      <c r="B913" s="316" t="s">
        <v>466</v>
      </c>
      <c r="C913" s="316" t="s">
        <v>157</v>
      </c>
      <c r="D913" s="316" t="s">
        <v>477</v>
      </c>
      <c r="E913" s="316" t="s">
        <v>166</v>
      </c>
      <c r="F913" s="316" t="s">
        <v>160</v>
      </c>
      <c r="G913" s="316" t="s">
        <v>168</v>
      </c>
      <c r="H913" s="316">
        <v>465.77816939248612</v>
      </c>
      <c r="I913" s="316">
        <v>239.14430820692141</v>
      </c>
      <c r="J913" s="317">
        <v>704.92247759940756</v>
      </c>
      <c r="K913" s="316">
        <v>16.740840581225836</v>
      </c>
      <c r="L913" s="316">
        <v>1.0443663251237967</v>
      </c>
      <c r="M913" s="317">
        <v>17.785206906349632</v>
      </c>
      <c r="N913" s="316">
        <v>29.511982260622869</v>
      </c>
      <c r="O913" s="316">
        <v>55.080438565222899</v>
      </c>
      <c r="P913" s="316">
        <v>9.4480291081689494</v>
      </c>
      <c r="Q913" s="316">
        <v>3.037568422909172</v>
      </c>
      <c r="R913" s="316">
        <v>26.208407308508459</v>
      </c>
      <c r="S913" s="316">
        <v>35.716531213939241</v>
      </c>
      <c r="T913" s="316">
        <v>35.219643090800282</v>
      </c>
      <c r="U913" s="316">
        <v>16.081893008945737</v>
      </c>
      <c r="V913" s="317">
        <v>210.30449297911761</v>
      </c>
      <c r="W913" s="317">
        <v>933.01217748487477</v>
      </c>
      <c r="X913" s="316">
        <v>144.8150322115996</v>
      </c>
      <c r="Y913" s="332">
        <v>1077.8272096964743</v>
      </c>
    </row>
    <row r="914" spans="1:25" x14ac:dyDescent="0.2">
      <c r="A914" s="233">
        <v>2022</v>
      </c>
      <c r="B914" s="316" t="s">
        <v>466</v>
      </c>
      <c r="C914" s="316" t="s">
        <v>157</v>
      </c>
      <c r="D914" s="316" t="s">
        <v>473</v>
      </c>
      <c r="E914" s="316" t="s">
        <v>169</v>
      </c>
      <c r="F914" s="316" t="s">
        <v>160</v>
      </c>
      <c r="G914" s="316" t="s">
        <v>170</v>
      </c>
      <c r="H914" s="316">
        <v>20.486243308773862</v>
      </c>
      <c r="I914" s="316">
        <v>10.518118940380333</v>
      </c>
      <c r="J914" s="317">
        <v>31.004362249154195</v>
      </c>
      <c r="K914" s="316">
        <v>5.8493499416795567</v>
      </c>
      <c r="L914" s="316">
        <v>11.774758621770022</v>
      </c>
      <c r="M914" s="317">
        <v>17.624108563449578</v>
      </c>
      <c r="N914" s="316">
        <v>7.9885536758510982</v>
      </c>
      <c r="O914" s="316">
        <v>33.972785030356278</v>
      </c>
      <c r="P914" s="316">
        <v>6.8049504479592162</v>
      </c>
      <c r="Q914" s="316">
        <v>2.4061268606621344</v>
      </c>
      <c r="R914" s="316">
        <v>21.093523810014918</v>
      </c>
      <c r="S914" s="316">
        <v>24.167768134039257</v>
      </c>
      <c r="T914" s="316">
        <v>40.260455427758444</v>
      </c>
      <c r="U914" s="316">
        <v>11.076268501633711</v>
      </c>
      <c r="V914" s="317">
        <v>147.77043188827506</v>
      </c>
      <c r="W914" s="317">
        <v>196.39890270087881</v>
      </c>
      <c r="X914" s="316">
        <v>22.054429113305261</v>
      </c>
      <c r="Y914" s="332">
        <v>218.45333181418408</v>
      </c>
    </row>
    <row r="915" spans="1:25" x14ac:dyDescent="0.2">
      <c r="A915" s="233">
        <v>2022</v>
      </c>
      <c r="B915" s="316" t="s">
        <v>466</v>
      </c>
      <c r="C915" s="316" t="s">
        <v>157</v>
      </c>
      <c r="D915" s="316" t="s">
        <v>473</v>
      </c>
      <c r="E915" s="316" t="s">
        <v>171</v>
      </c>
      <c r="F915" s="316" t="s">
        <v>160</v>
      </c>
      <c r="G915" s="316" t="s">
        <v>172</v>
      </c>
      <c r="H915" s="316">
        <v>127.33435090213533</v>
      </c>
      <c r="I915" s="316">
        <v>66.199649059568856</v>
      </c>
      <c r="J915" s="317">
        <v>193.53399996170418</v>
      </c>
      <c r="K915" s="316">
        <v>16.157240744039512</v>
      </c>
      <c r="L915" s="316">
        <v>2.8013474691893183</v>
      </c>
      <c r="M915" s="317">
        <v>18.958588213228829</v>
      </c>
      <c r="N915" s="316">
        <v>11.914216974665894</v>
      </c>
      <c r="O915" s="316">
        <v>17.119961564113879</v>
      </c>
      <c r="P915" s="316">
        <v>2.8200297122741889</v>
      </c>
      <c r="Q915" s="316">
        <v>1.2128873052117286</v>
      </c>
      <c r="R915" s="316">
        <v>10.197143450477341</v>
      </c>
      <c r="S915" s="316">
        <v>16.579402375005412</v>
      </c>
      <c r="T915" s="316">
        <v>18.024939279214951</v>
      </c>
      <c r="U915" s="316">
        <v>5.2842295978674576</v>
      </c>
      <c r="V915" s="317">
        <v>83.15281025883084</v>
      </c>
      <c r="W915" s="317">
        <v>295.64539843376383</v>
      </c>
      <c r="X915" s="316">
        <v>43.813493840749167</v>
      </c>
      <c r="Y915" s="332">
        <v>339.458892274513</v>
      </c>
    </row>
    <row r="916" spans="1:25" x14ac:dyDescent="0.2">
      <c r="A916" s="233">
        <v>2022</v>
      </c>
      <c r="B916" s="316" t="s">
        <v>466</v>
      </c>
      <c r="C916" s="316" t="s">
        <v>157</v>
      </c>
      <c r="D916" s="316" t="s">
        <v>477</v>
      </c>
      <c r="E916" s="316" t="s">
        <v>173</v>
      </c>
      <c r="F916" s="316" t="s">
        <v>160</v>
      </c>
      <c r="G916" s="316" t="s">
        <v>174</v>
      </c>
      <c r="H916" s="316">
        <v>232.52872645614499</v>
      </c>
      <c r="I916" s="316">
        <v>119.38842226085883</v>
      </c>
      <c r="J916" s="317">
        <v>351.91714871700384</v>
      </c>
      <c r="K916" s="316">
        <v>24.020388026017145</v>
      </c>
      <c r="L916" s="316">
        <v>2.6500654399654002</v>
      </c>
      <c r="M916" s="317">
        <v>26.670453465982543</v>
      </c>
      <c r="N916" s="316">
        <v>35.099347644753124</v>
      </c>
      <c r="O916" s="316">
        <v>93.796179772424608</v>
      </c>
      <c r="P916" s="316">
        <v>21.717157663341958</v>
      </c>
      <c r="Q916" s="316">
        <v>6.1146943900697686</v>
      </c>
      <c r="R916" s="316">
        <v>49.258262049772668</v>
      </c>
      <c r="S916" s="316">
        <v>51.151864054694641</v>
      </c>
      <c r="T916" s="316">
        <v>61.943281152260504</v>
      </c>
      <c r="U916" s="316">
        <v>29.453298159141134</v>
      </c>
      <c r="V916" s="317">
        <v>348.5340848864584</v>
      </c>
      <c r="W916" s="317">
        <v>727.12168706944476</v>
      </c>
      <c r="X916" s="316">
        <v>99.093283707728901</v>
      </c>
      <c r="Y916" s="332">
        <v>826.21497077717368</v>
      </c>
    </row>
    <row r="917" spans="1:25" x14ac:dyDescent="0.2">
      <c r="A917" s="233">
        <v>2022</v>
      </c>
      <c r="B917" s="316" t="s">
        <v>466</v>
      </c>
      <c r="C917" s="316" t="s">
        <v>157</v>
      </c>
      <c r="D917" s="316" t="s">
        <v>475</v>
      </c>
      <c r="E917" s="316" t="s">
        <v>175</v>
      </c>
      <c r="F917" s="316" t="s">
        <v>160</v>
      </c>
      <c r="G917" s="316" t="s">
        <v>176</v>
      </c>
      <c r="H917" s="316">
        <v>11.784793548182451</v>
      </c>
      <c r="I917" s="316">
        <v>6.2182491204413477</v>
      </c>
      <c r="J917" s="317">
        <v>18.003042668623799</v>
      </c>
      <c r="K917" s="316">
        <v>1.7291604839010446</v>
      </c>
      <c r="L917" s="316">
        <v>8.2660111634424105</v>
      </c>
      <c r="M917" s="317">
        <v>9.9951716473434544</v>
      </c>
      <c r="N917" s="316">
        <v>18.315436064558344</v>
      </c>
      <c r="O917" s="316">
        <v>18.454623974369184</v>
      </c>
      <c r="P917" s="316">
        <v>2.9932837539938268</v>
      </c>
      <c r="Q917" s="316">
        <v>1.5850092238951232</v>
      </c>
      <c r="R917" s="316">
        <v>10.270000968098367</v>
      </c>
      <c r="S917" s="316">
        <v>13.973452705341945</v>
      </c>
      <c r="T917" s="316">
        <v>19.301262199508795</v>
      </c>
      <c r="U917" s="316">
        <v>5.956135926752756</v>
      </c>
      <c r="V917" s="317">
        <v>90.849204816518338</v>
      </c>
      <c r="W917" s="317">
        <v>118.84741913248558</v>
      </c>
      <c r="X917" s="316">
        <v>13.810741400614971</v>
      </c>
      <c r="Y917" s="332">
        <v>132.65816053310056</v>
      </c>
    </row>
    <row r="918" spans="1:25" x14ac:dyDescent="0.2">
      <c r="A918" s="233">
        <v>2022</v>
      </c>
      <c r="B918" s="316" t="s">
        <v>466</v>
      </c>
      <c r="C918" s="316" t="s">
        <v>157</v>
      </c>
      <c r="D918" s="316" t="s">
        <v>475</v>
      </c>
      <c r="E918" s="316" t="s">
        <v>177</v>
      </c>
      <c r="F918" s="316" t="s">
        <v>160</v>
      </c>
      <c r="G918" s="316" t="s">
        <v>178</v>
      </c>
      <c r="H918" s="316">
        <v>4.8762637207921422</v>
      </c>
      <c r="I918" s="316">
        <v>3.1166084489565926</v>
      </c>
      <c r="J918" s="317">
        <v>7.9928721697487344</v>
      </c>
      <c r="K918" s="316">
        <v>2.4301404616217752</v>
      </c>
      <c r="L918" s="316">
        <v>1.9531861732539146</v>
      </c>
      <c r="M918" s="317">
        <v>4.3833266348756901</v>
      </c>
      <c r="N918" s="316">
        <v>2.3695624528189629</v>
      </c>
      <c r="O918" s="316">
        <v>13.155494799358873</v>
      </c>
      <c r="P918" s="316">
        <v>2.0931328219250815</v>
      </c>
      <c r="Q918" s="316">
        <v>0.75302587558756384</v>
      </c>
      <c r="R918" s="316">
        <v>6.6487547755558261</v>
      </c>
      <c r="S918" s="316">
        <v>8.431812066373773</v>
      </c>
      <c r="T918" s="316">
        <v>16.708232883674903</v>
      </c>
      <c r="U918" s="316">
        <v>5.0501237879845933</v>
      </c>
      <c r="V918" s="317">
        <v>55.210139463279582</v>
      </c>
      <c r="W918" s="317">
        <v>67.586338267904011</v>
      </c>
      <c r="X918" s="316">
        <v>7.4089452211194553</v>
      </c>
      <c r="Y918" s="332">
        <v>74.995283489023464</v>
      </c>
    </row>
    <row r="919" spans="1:25" x14ac:dyDescent="0.2">
      <c r="A919" s="233">
        <v>2022</v>
      </c>
      <c r="B919" s="316" t="s">
        <v>466</v>
      </c>
      <c r="C919" s="316" t="s">
        <v>157</v>
      </c>
      <c r="D919" s="316" t="s">
        <v>475</v>
      </c>
      <c r="E919" s="316" t="s">
        <v>179</v>
      </c>
      <c r="F919" s="316" t="s">
        <v>160</v>
      </c>
      <c r="G919" s="316" t="s">
        <v>180</v>
      </c>
      <c r="H919" s="316">
        <v>28.861119148672792</v>
      </c>
      <c r="I919" s="316">
        <v>14.845089868720152</v>
      </c>
      <c r="J919" s="317">
        <v>43.706209017392943</v>
      </c>
      <c r="K919" s="316">
        <v>11.101358000661001</v>
      </c>
      <c r="L919" s="316">
        <v>9.9046563630578977</v>
      </c>
      <c r="M919" s="317">
        <v>21.006014363718897</v>
      </c>
      <c r="N919" s="316">
        <v>8.1556337084321804</v>
      </c>
      <c r="O919" s="316">
        <v>29.321226999596089</v>
      </c>
      <c r="P919" s="316">
        <v>5.9689075534617251</v>
      </c>
      <c r="Q919" s="316">
        <v>3.0670769319334892</v>
      </c>
      <c r="R919" s="316">
        <v>22.117587033569279</v>
      </c>
      <c r="S919" s="316">
        <v>21.629907709982522</v>
      </c>
      <c r="T919" s="316">
        <v>53.912667579305129</v>
      </c>
      <c r="U919" s="316">
        <v>11.537612011251243</v>
      </c>
      <c r="V919" s="317">
        <v>155.71061952753166</v>
      </c>
      <c r="W919" s="317">
        <v>220.4228429086435</v>
      </c>
      <c r="X919" s="316">
        <v>25.290176330511727</v>
      </c>
      <c r="Y919" s="332">
        <v>245.71301923915524</v>
      </c>
    </row>
    <row r="920" spans="1:25" x14ac:dyDescent="0.2">
      <c r="A920" s="233">
        <v>2022</v>
      </c>
      <c r="B920" s="316" t="s">
        <v>466</v>
      </c>
      <c r="C920" s="316" t="s">
        <v>181</v>
      </c>
      <c r="D920" s="316" t="s">
        <v>478</v>
      </c>
      <c r="E920" s="316" t="s">
        <v>183</v>
      </c>
      <c r="F920" s="316" t="s">
        <v>184</v>
      </c>
      <c r="G920" s="316" t="s">
        <v>185</v>
      </c>
      <c r="H920" s="316">
        <v>15.474023806460373</v>
      </c>
      <c r="I920" s="316">
        <v>0</v>
      </c>
      <c r="J920" s="317">
        <v>15.474023806460373</v>
      </c>
      <c r="K920" s="316">
        <v>11.403379455346187</v>
      </c>
      <c r="L920" s="316">
        <v>6.9741524497818101</v>
      </c>
      <c r="M920" s="317">
        <v>18.377531905127995</v>
      </c>
      <c r="N920" s="316">
        <v>5.0190864243281217</v>
      </c>
      <c r="O920" s="316">
        <v>22.184625646986149</v>
      </c>
      <c r="P920" s="316">
        <v>3.6399261852447595</v>
      </c>
      <c r="Q920" s="316">
        <v>1.8748648384904332</v>
      </c>
      <c r="R920" s="316">
        <v>11.343574198216578</v>
      </c>
      <c r="S920" s="316">
        <v>11.974878040178963</v>
      </c>
      <c r="T920" s="316">
        <v>18.683627190040845</v>
      </c>
      <c r="U920" s="316">
        <v>7.5940389497626608</v>
      </c>
      <c r="V920" s="317">
        <v>82.314621473248522</v>
      </c>
      <c r="W920" s="317">
        <v>116.1661771848369</v>
      </c>
      <c r="X920" s="316">
        <v>12.801687431004261</v>
      </c>
      <c r="Y920" s="332">
        <v>128.96786461584117</v>
      </c>
    </row>
    <row r="921" spans="1:25" x14ac:dyDescent="0.2">
      <c r="A921" s="233">
        <v>2022</v>
      </c>
      <c r="B921" s="316" t="s">
        <v>466</v>
      </c>
      <c r="C921" s="316" t="s">
        <v>181</v>
      </c>
      <c r="D921" s="316" t="s">
        <v>479</v>
      </c>
      <c r="E921" s="316" t="s">
        <v>186</v>
      </c>
      <c r="F921" s="316" t="s">
        <v>184</v>
      </c>
      <c r="G921" s="316" t="s">
        <v>187</v>
      </c>
      <c r="H921" s="316">
        <v>6.8506707883071085</v>
      </c>
      <c r="I921" s="316">
        <v>3.59767942998075</v>
      </c>
      <c r="J921" s="317">
        <v>10.448350218287858</v>
      </c>
      <c r="K921" s="316">
        <v>3.7645002189217487</v>
      </c>
      <c r="L921" s="316">
        <v>0.73409136965623267</v>
      </c>
      <c r="M921" s="317">
        <v>4.4985915885779812</v>
      </c>
      <c r="N921" s="316">
        <v>5.4154552770657896</v>
      </c>
      <c r="O921" s="316">
        <v>11.352174753165709</v>
      </c>
      <c r="P921" s="316">
        <v>2.2385554604737115</v>
      </c>
      <c r="Q921" s="316">
        <v>0.70232854614623808</v>
      </c>
      <c r="R921" s="316">
        <v>7.0266607350861223</v>
      </c>
      <c r="S921" s="316">
        <v>8.3562576428804771</v>
      </c>
      <c r="T921" s="316">
        <v>11.011819816636962</v>
      </c>
      <c r="U921" s="316">
        <v>3.3790660184245227</v>
      </c>
      <c r="V921" s="317">
        <v>49.482318249879526</v>
      </c>
      <c r="W921" s="317">
        <v>64.429260056745363</v>
      </c>
      <c r="X921" s="316">
        <v>7.3727891695928287</v>
      </c>
      <c r="Y921" s="332">
        <v>71.802049226338198</v>
      </c>
    </row>
    <row r="922" spans="1:25" x14ac:dyDescent="0.2">
      <c r="A922" s="233">
        <v>2022</v>
      </c>
      <c r="B922" s="316" t="s">
        <v>466</v>
      </c>
      <c r="C922" s="316" t="s">
        <v>181</v>
      </c>
      <c r="D922" s="316" t="s">
        <v>478</v>
      </c>
      <c r="E922" s="316" t="s">
        <v>188</v>
      </c>
      <c r="F922" s="316" t="s">
        <v>184</v>
      </c>
      <c r="G922" s="316" t="s">
        <v>189</v>
      </c>
      <c r="H922" s="316">
        <v>14.563233924810685</v>
      </c>
      <c r="I922" s="316">
        <v>7.4771146984554724</v>
      </c>
      <c r="J922" s="317">
        <v>22.040348623266159</v>
      </c>
      <c r="K922" s="316">
        <v>2.4104656138282481</v>
      </c>
      <c r="L922" s="316">
        <v>2.7410659778952948</v>
      </c>
      <c r="M922" s="317">
        <v>5.1515315917235434</v>
      </c>
      <c r="N922" s="316">
        <v>13.354537024227371</v>
      </c>
      <c r="O922" s="316">
        <v>8.6655019589139872</v>
      </c>
      <c r="P922" s="316">
        <v>1.8356242901832502</v>
      </c>
      <c r="Q922" s="316">
        <v>0.51505158673518003</v>
      </c>
      <c r="R922" s="316">
        <v>4.4120911760019101</v>
      </c>
      <c r="S922" s="316">
        <v>9.5663650271778984</v>
      </c>
      <c r="T922" s="316">
        <v>15.821006980808725</v>
      </c>
      <c r="U922" s="316">
        <v>3.2082048150326696</v>
      </c>
      <c r="V922" s="317">
        <v>57.378382859080993</v>
      </c>
      <c r="W922" s="317">
        <v>84.570263074070695</v>
      </c>
      <c r="X922" s="316">
        <v>10.491353756262544</v>
      </c>
      <c r="Y922" s="332">
        <v>95.061616830333236</v>
      </c>
    </row>
    <row r="923" spans="1:25" x14ac:dyDescent="0.2">
      <c r="A923" s="233">
        <v>2022</v>
      </c>
      <c r="B923" s="316" t="s">
        <v>466</v>
      </c>
      <c r="C923" s="316" t="s">
        <v>181</v>
      </c>
      <c r="D923" s="316" t="s">
        <v>478</v>
      </c>
      <c r="E923" s="316" t="s">
        <v>190</v>
      </c>
      <c r="F923" s="316" t="s">
        <v>184</v>
      </c>
      <c r="G923" s="316" t="s">
        <v>191</v>
      </c>
      <c r="H923" s="316">
        <v>5.098591740581651</v>
      </c>
      <c r="I923" s="316">
        <v>0</v>
      </c>
      <c r="J923" s="317">
        <v>5.098591740581651</v>
      </c>
      <c r="K923" s="316">
        <v>2.179590536678548</v>
      </c>
      <c r="L923" s="316">
        <v>3.1219307479974994</v>
      </c>
      <c r="M923" s="317">
        <v>5.3015212846760473</v>
      </c>
      <c r="N923" s="316">
        <v>4.5943923139013574</v>
      </c>
      <c r="O923" s="316">
        <v>9.1623068273711237</v>
      </c>
      <c r="P923" s="316">
        <v>2.8330369377154745</v>
      </c>
      <c r="Q923" s="316">
        <v>1.3614223852952438</v>
      </c>
      <c r="R923" s="316">
        <v>6.6747671887681737</v>
      </c>
      <c r="S923" s="316">
        <v>11.115553521766849</v>
      </c>
      <c r="T923" s="316">
        <v>17.885090276680781</v>
      </c>
      <c r="U923" s="316">
        <v>5.0625032949312745</v>
      </c>
      <c r="V923" s="317">
        <v>58.68907274643027</v>
      </c>
      <c r="W923" s="317">
        <v>69.089185771687966</v>
      </c>
      <c r="X923" s="316">
        <v>7.3292375207147709</v>
      </c>
      <c r="Y923" s="332">
        <v>76.418423292402736</v>
      </c>
    </row>
    <row r="924" spans="1:25" x14ac:dyDescent="0.2">
      <c r="A924" s="233">
        <v>2022</v>
      </c>
      <c r="B924" s="316" t="s">
        <v>466</v>
      </c>
      <c r="C924" s="316" t="s">
        <v>181</v>
      </c>
      <c r="D924" s="316" t="s">
        <v>476</v>
      </c>
      <c r="E924" s="316" t="s">
        <v>192</v>
      </c>
      <c r="F924" s="316" t="s">
        <v>184</v>
      </c>
      <c r="G924" s="316" t="s">
        <v>193</v>
      </c>
      <c r="H924" s="316">
        <v>6.1283229503057077</v>
      </c>
      <c r="I924" s="316">
        <v>3.1464245478799535</v>
      </c>
      <c r="J924" s="317">
        <v>9.2747474981856612</v>
      </c>
      <c r="K924" s="316">
        <v>0.75228610095588089</v>
      </c>
      <c r="L924" s="316">
        <v>2.796344295775588</v>
      </c>
      <c r="M924" s="317">
        <v>3.5486303967314687</v>
      </c>
      <c r="N924" s="316">
        <v>1.7926549593753029</v>
      </c>
      <c r="O924" s="316">
        <v>7.1789265309184769</v>
      </c>
      <c r="P924" s="316">
        <v>1.7000552666107922</v>
      </c>
      <c r="Q924" s="316">
        <v>0.54016826315046351</v>
      </c>
      <c r="R924" s="316">
        <v>6.4130685766197288</v>
      </c>
      <c r="S924" s="316">
        <v>5.4847578488238291</v>
      </c>
      <c r="T924" s="316">
        <v>12.434377168960696</v>
      </c>
      <c r="U924" s="316">
        <v>2.6997812080058314</v>
      </c>
      <c r="V924" s="317">
        <v>38.243789822465118</v>
      </c>
      <c r="W924" s="317">
        <v>51.067167717382247</v>
      </c>
      <c r="X924" s="316">
        <v>5.7844743984099241</v>
      </c>
      <c r="Y924" s="332">
        <v>56.851642115792174</v>
      </c>
    </row>
    <row r="925" spans="1:25" x14ac:dyDescent="0.2">
      <c r="A925" s="233">
        <v>2022</v>
      </c>
      <c r="B925" s="316" t="s">
        <v>466</v>
      </c>
      <c r="C925" s="316" t="s">
        <v>181</v>
      </c>
      <c r="D925" s="316" t="s">
        <v>479</v>
      </c>
      <c r="E925" s="316" t="s">
        <v>194</v>
      </c>
      <c r="F925" s="316" t="s">
        <v>184</v>
      </c>
      <c r="G925" s="316" t="s">
        <v>195</v>
      </c>
      <c r="H925" s="316">
        <v>92.242255755537514</v>
      </c>
      <c r="I925" s="316">
        <v>47.452229181417856</v>
      </c>
      <c r="J925" s="317">
        <v>139.69448493695538</v>
      </c>
      <c r="K925" s="316">
        <v>32.57143270565458</v>
      </c>
      <c r="L925" s="316">
        <v>7.1421217534776789</v>
      </c>
      <c r="M925" s="317">
        <v>39.713554459132261</v>
      </c>
      <c r="N925" s="316">
        <v>17.139550699729988</v>
      </c>
      <c r="O925" s="316">
        <v>62.734257239293946</v>
      </c>
      <c r="P925" s="316">
        <v>10.718408057395401</v>
      </c>
      <c r="Q925" s="316">
        <v>8.4808235542035622</v>
      </c>
      <c r="R925" s="316">
        <v>30.625070347806716</v>
      </c>
      <c r="S925" s="316">
        <v>36.239059187060029</v>
      </c>
      <c r="T925" s="316">
        <v>26.61637767477416</v>
      </c>
      <c r="U925" s="316">
        <v>15.997633581478004</v>
      </c>
      <c r="V925" s="317">
        <v>208.5511803417418</v>
      </c>
      <c r="W925" s="317">
        <v>387.95921973782947</v>
      </c>
      <c r="X925" s="316">
        <v>49.437772568872845</v>
      </c>
      <c r="Y925" s="332">
        <v>437.39699230670232</v>
      </c>
    </row>
    <row r="926" spans="1:25" x14ac:dyDescent="0.2">
      <c r="A926" s="233">
        <v>2022</v>
      </c>
      <c r="B926" s="316" t="s">
        <v>466</v>
      </c>
      <c r="C926" s="316" t="s">
        <v>181</v>
      </c>
      <c r="D926" s="316" t="s">
        <v>479</v>
      </c>
      <c r="E926" s="316" t="s">
        <v>196</v>
      </c>
      <c r="F926" s="316" t="s">
        <v>184</v>
      </c>
      <c r="G926" s="316" t="s">
        <v>197</v>
      </c>
      <c r="H926" s="316">
        <v>54.416755951703855</v>
      </c>
      <c r="I926" s="316">
        <v>0</v>
      </c>
      <c r="J926" s="317">
        <v>54.416755951703855</v>
      </c>
      <c r="K926" s="316">
        <v>180.42687693140309</v>
      </c>
      <c r="L926" s="316">
        <v>31.032531369778731</v>
      </c>
      <c r="M926" s="317">
        <v>211.45940830118181</v>
      </c>
      <c r="N926" s="316">
        <v>14.87265103683256</v>
      </c>
      <c r="O926" s="316">
        <v>34.141112244431483</v>
      </c>
      <c r="P926" s="316">
        <v>4.8400398125915469</v>
      </c>
      <c r="Q926" s="316">
        <v>4.5872260157828322</v>
      </c>
      <c r="R926" s="316">
        <v>15.064731906227562</v>
      </c>
      <c r="S926" s="316">
        <v>19.798572104259268</v>
      </c>
      <c r="T926" s="316">
        <v>15.935739460581406</v>
      </c>
      <c r="U926" s="316">
        <v>8.0934060474092568</v>
      </c>
      <c r="V926" s="317">
        <v>117.33347862811591</v>
      </c>
      <c r="W926" s="317">
        <v>383.20964288100157</v>
      </c>
      <c r="X926" s="316">
        <v>42.382657288160352</v>
      </c>
      <c r="Y926" s="332">
        <v>425.59230016916194</v>
      </c>
    </row>
    <row r="927" spans="1:25" x14ac:dyDescent="0.2">
      <c r="A927" s="233">
        <v>2022</v>
      </c>
      <c r="B927" s="316" t="s">
        <v>466</v>
      </c>
      <c r="C927" s="316" t="s">
        <v>181</v>
      </c>
      <c r="D927" s="316" t="s">
        <v>476</v>
      </c>
      <c r="E927" s="316" t="s">
        <v>198</v>
      </c>
      <c r="F927" s="316" t="s">
        <v>184</v>
      </c>
      <c r="G927" s="316" t="s">
        <v>199</v>
      </c>
      <c r="H927" s="316">
        <v>16.527950168610207</v>
      </c>
      <c r="I927" s="316">
        <v>8.4906979309272241</v>
      </c>
      <c r="J927" s="317">
        <v>25.01864809953743</v>
      </c>
      <c r="K927" s="316">
        <v>12.710401709857514</v>
      </c>
      <c r="L927" s="316">
        <v>11.45939829860697</v>
      </c>
      <c r="M927" s="317">
        <v>24.169800008464485</v>
      </c>
      <c r="N927" s="316">
        <v>29.023286483195665</v>
      </c>
      <c r="O927" s="316">
        <v>83.62951880033512</v>
      </c>
      <c r="P927" s="316">
        <v>13.433599922140752</v>
      </c>
      <c r="Q927" s="316">
        <v>4.8543526579815195</v>
      </c>
      <c r="R927" s="316">
        <v>51.967204077873092</v>
      </c>
      <c r="S927" s="316">
        <v>43.36598684167911</v>
      </c>
      <c r="T927" s="316">
        <v>54.146311352066007</v>
      </c>
      <c r="U927" s="316">
        <v>25.638789052227359</v>
      </c>
      <c r="V927" s="317">
        <v>306.0590491874986</v>
      </c>
      <c r="W927" s="317">
        <v>355.24749729550052</v>
      </c>
      <c r="X927" s="316">
        <v>38.34356529404397</v>
      </c>
      <c r="Y927" s="332">
        <v>393.59106258954449</v>
      </c>
    </row>
    <row r="928" spans="1:25" x14ac:dyDescent="0.2">
      <c r="A928" s="233">
        <v>2022</v>
      </c>
      <c r="B928" s="316" t="s">
        <v>466</v>
      </c>
      <c r="C928" s="316" t="s">
        <v>181</v>
      </c>
      <c r="D928" s="316" t="s">
        <v>476</v>
      </c>
      <c r="E928" s="316" t="s">
        <v>200</v>
      </c>
      <c r="F928" s="316" t="s">
        <v>184</v>
      </c>
      <c r="G928" s="316" t="s">
        <v>201</v>
      </c>
      <c r="H928" s="316">
        <v>7.0657196213496754</v>
      </c>
      <c r="I928" s="316">
        <v>0</v>
      </c>
      <c r="J928" s="317">
        <v>7.0657196213496754</v>
      </c>
      <c r="K928" s="316">
        <v>0.65800152370493803</v>
      </c>
      <c r="L928" s="316">
        <v>4.2765944086289869</v>
      </c>
      <c r="M928" s="317">
        <v>4.9345959323339246</v>
      </c>
      <c r="N928" s="316">
        <v>4.3022945924956462</v>
      </c>
      <c r="O928" s="316">
        <v>10.111088413127113</v>
      </c>
      <c r="P928" s="316">
        <v>2.1815403427713176</v>
      </c>
      <c r="Q928" s="316">
        <v>1.0421559884191187</v>
      </c>
      <c r="R928" s="316">
        <v>7.0702397781317066</v>
      </c>
      <c r="S928" s="316">
        <v>6.7562507670143575</v>
      </c>
      <c r="T928" s="316">
        <v>13.625035905403614</v>
      </c>
      <c r="U928" s="316">
        <v>4.5100248907410645</v>
      </c>
      <c r="V928" s="317">
        <v>49.598630678103937</v>
      </c>
      <c r="W928" s="317">
        <v>61.598946231787536</v>
      </c>
      <c r="X928" s="316">
        <v>6.7307925906270674</v>
      </c>
      <c r="Y928" s="332">
        <v>68.329738822414598</v>
      </c>
    </row>
    <row r="929" spans="1:25" x14ac:dyDescent="0.2">
      <c r="A929" s="233">
        <v>2022</v>
      </c>
      <c r="B929" s="316" t="s">
        <v>466</v>
      </c>
      <c r="C929" s="316" t="s">
        <v>181</v>
      </c>
      <c r="D929" s="316" t="s">
        <v>480</v>
      </c>
      <c r="E929" s="316" t="s">
        <v>202</v>
      </c>
      <c r="F929" s="316" t="s">
        <v>184</v>
      </c>
      <c r="G929" s="316" t="s">
        <v>203</v>
      </c>
      <c r="H929" s="316">
        <v>35.518616764594597</v>
      </c>
      <c r="I929" s="316">
        <v>0</v>
      </c>
      <c r="J929" s="317">
        <v>35.518616764594597</v>
      </c>
      <c r="K929" s="316">
        <v>6.0749166191313773</v>
      </c>
      <c r="L929" s="316">
        <v>9.3712008767320594</v>
      </c>
      <c r="M929" s="317">
        <v>15.446117495863437</v>
      </c>
      <c r="N929" s="316">
        <v>8.2092537475991438</v>
      </c>
      <c r="O929" s="316">
        <v>36.661426063765717</v>
      </c>
      <c r="P929" s="316">
        <v>6.8568334776389346</v>
      </c>
      <c r="Q929" s="316">
        <v>2.6559300559639509</v>
      </c>
      <c r="R929" s="316">
        <v>13.891940274584375</v>
      </c>
      <c r="S929" s="316">
        <v>28.336384264004305</v>
      </c>
      <c r="T929" s="316">
        <v>64.186092725996133</v>
      </c>
      <c r="U929" s="316">
        <v>11.793404822950682</v>
      </c>
      <c r="V929" s="317">
        <v>172.59126543250326</v>
      </c>
      <c r="W929" s="317">
        <v>223.55599969296128</v>
      </c>
      <c r="X929" s="316">
        <v>24.955363916952294</v>
      </c>
      <c r="Y929" s="332">
        <v>248.51136360991359</v>
      </c>
    </row>
    <row r="930" spans="1:25" x14ac:dyDescent="0.2">
      <c r="A930" s="233">
        <v>2022</v>
      </c>
      <c r="B930" s="316" t="s">
        <v>466</v>
      </c>
      <c r="C930" s="316" t="s">
        <v>181</v>
      </c>
      <c r="D930" s="316" t="s">
        <v>480</v>
      </c>
      <c r="E930" s="316" t="s">
        <v>204</v>
      </c>
      <c r="F930" s="316" t="s">
        <v>184</v>
      </c>
      <c r="G930" s="316" t="s">
        <v>205</v>
      </c>
      <c r="H930" s="316">
        <v>14.837744509799718</v>
      </c>
      <c r="I930" s="316">
        <v>0</v>
      </c>
      <c r="J930" s="317">
        <v>14.837744509799718</v>
      </c>
      <c r="K930" s="316">
        <v>0.40313639043785898</v>
      </c>
      <c r="L930" s="316">
        <v>4.6418520431578383</v>
      </c>
      <c r="M930" s="317">
        <v>5.0449884335956972</v>
      </c>
      <c r="N930" s="316">
        <v>4.4018893675717843</v>
      </c>
      <c r="O930" s="316">
        <v>7.106203418077488</v>
      </c>
      <c r="P930" s="316">
        <v>2.7875901331564372</v>
      </c>
      <c r="Q930" s="316">
        <v>1.2765703727289643</v>
      </c>
      <c r="R930" s="316">
        <v>7.4055711767742691</v>
      </c>
      <c r="S930" s="316">
        <v>8.1401801925076551</v>
      </c>
      <c r="T930" s="316">
        <v>16.600764582555801</v>
      </c>
      <c r="U930" s="316">
        <v>4.106791155081229</v>
      </c>
      <c r="V930" s="317">
        <v>51.825560398453618</v>
      </c>
      <c r="W930" s="317">
        <v>71.708293341849028</v>
      </c>
      <c r="X930" s="316">
        <v>8.2053411993762069</v>
      </c>
      <c r="Y930" s="332">
        <v>79.913634541225235</v>
      </c>
    </row>
    <row r="931" spans="1:25" x14ac:dyDescent="0.2">
      <c r="A931" s="233">
        <v>2022</v>
      </c>
      <c r="B931" s="316" t="s">
        <v>466</v>
      </c>
      <c r="C931" s="316" t="s">
        <v>181</v>
      </c>
      <c r="D931" s="316" t="s">
        <v>479</v>
      </c>
      <c r="E931" s="316" t="s">
        <v>206</v>
      </c>
      <c r="F931" s="316" t="s">
        <v>184</v>
      </c>
      <c r="G931" s="316" t="s">
        <v>207</v>
      </c>
      <c r="H931" s="316">
        <v>3.5377751507540691</v>
      </c>
      <c r="I931" s="316">
        <v>0</v>
      </c>
      <c r="J931" s="317">
        <v>3.5377751507540691</v>
      </c>
      <c r="K931" s="316">
        <v>1.6396221546153458</v>
      </c>
      <c r="L931" s="316">
        <v>1.0016191852820695</v>
      </c>
      <c r="M931" s="317">
        <v>2.6412413398974151</v>
      </c>
      <c r="N931" s="316">
        <v>4.3691987753275088</v>
      </c>
      <c r="O931" s="316">
        <v>5.197233209426849</v>
      </c>
      <c r="P931" s="316">
        <v>1.2503307402162651</v>
      </c>
      <c r="Q931" s="316">
        <v>0.59613175832040211</v>
      </c>
      <c r="R931" s="316">
        <v>3.3803351403199824</v>
      </c>
      <c r="S931" s="316">
        <v>4.8834556200288244</v>
      </c>
      <c r="T931" s="316">
        <v>7.3212073148651946</v>
      </c>
      <c r="U931" s="316">
        <v>2.3165352218410784</v>
      </c>
      <c r="V931" s="317">
        <v>29.314427780346104</v>
      </c>
      <c r="W931" s="317">
        <v>35.493444270997593</v>
      </c>
      <c r="X931" s="316">
        <v>3.9165916041159932</v>
      </c>
      <c r="Y931" s="332">
        <v>39.410035875113586</v>
      </c>
    </row>
    <row r="932" spans="1:25" x14ac:dyDescent="0.2">
      <c r="A932" s="233">
        <v>2022</v>
      </c>
      <c r="B932" s="316" t="s">
        <v>466</v>
      </c>
      <c r="C932" s="316" t="s">
        <v>181</v>
      </c>
      <c r="D932" s="316" t="s">
        <v>479</v>
      </c>
      <c r="E932" s="316" t="s">
        <v>208</v>
      </c>
      <c r="F932" s="316" t="s">
        <v>184</v>
      </c>
      <c r="G932" s="316" t="s">
        <v>209</v>
      </c>
      <c r="H932" s="316">
        <v>70.88222748299529</v>
      </c>
      <c r="I932" s="316">
        <v>0</v>
      </c>
      <c r="J932" s="317">
        <v>70.88222748299529</v>
      </c>
      <c r="K932" s="316">
        <v>483.99012888421692</v>
      </c>
      <c r="L932" s="316">
        <v>65.144208752382156</v>
      </c>
      <c r="M932" s="317">
        <v>549.13433763659907</v>
      </c>
      <c r="N932" s="316">
        <v>24.126961158207834</v>
      </c>
      <c r="O932" s="316">
        <v>71.989781900079606</v>
      </c>
      <c r="P932" s="316">
        <v>10.523400278182578</v>
      </c>
      <c r="Q932" s="316">
        <v>9.8803424238535751</v>
      </c>
      <c r="R932" s="316">
        <v>31.377702594750993</v>
      </c>
      <c r="S932" s="316">
        <v>42.101831231495837</v>
      </c>
      <c r="T932" s="316">
        <v>39.063821837703898</v>
      </c>
      <c r="U932" s="316">
        <v>13.524380594489394</v>
      </c>
      <c r="V932" s="317">
        <v>242.58822201876373</v>
      </c>
      <c r="W932" s="317">
        <v>862.60478713835812</v>
      </c>
      <c r="X932" s="316">
        <v>91.640602905945144</v>
      </c>
      <c r="Y932" s="332">
        <v>954.24539004430324</v>
      </c>
    </row>
    <row r="933" spans="1:25" x14ac:dyDescent="0.2">
      <c r="A933" s="233">
        <v>2022</v>
      </c>
      <c r="B933" s="316" t="s">
        <v>466</v>
      </c>
      <c r="C933" s="316" t="s">
        <v>181</v>
      </c>
      <c r="D933" s="316" t="s">
        <v>479</v>
      </c>
      <c r="E933" s="316" t="s">
        <v>210</v>
      </c>
      <c r="F933" s="316" t="s">
        <v>184</v>
      </c>
      <c r="G933" s="316" t="s">
        <v>211</v>
      </c>
      <c r="H933" s="316">
        <v>177.18757392498634</v>
      </c>
      <c r="I933" s="316">
        <v>90.97225186544209</v>
      </c>
      <c r="J933" s="317">
        <v>268.15982579042844</v>
      </c>
      <c r="K933" s="316">
        <v>223.93755574656839</v>
      </c>
      <c r="L933" s="316">
        <v>49.483278775603615</v>
      </c>
      <c r="M933" s="317">
        <v>273.42083452217202</v>
      </c>
      <c r="N933" s="316">
        <v>32.600157574564733</v>
      </c>
      <c r="O933" s="316">
        <v>100.51065914107076</v>
      </c>
      <c r="P933" s="316">
        <v>15.952034262789118</v>
      </c>
      <c r="Q933" s="316">
        <v>13.083584846783229</v>
      </c>
      <c r="R933" s="316">
        <v>48.16167642926829</v>
      </c>
      <c r="S933" s="316">
        <v>72.17401876753236</v>
      </c>
      <c r="T933" s="316">
        <v>134.40566377190137</v>
      </c>
      <c r="U933" s="316">
        <v>24.96098834678104</v>
      </c>
      <c r="V933" s="317">
        <v>441.8487831406909</v>
      </c>
      <c r="W933" s="317">
        <v>983.42944345329124</v>
      </c>
      <c r="X933" s="316">
        <v>118.46802479133505</v>
      </c>
      <c r="Y933" s="332">
        <v>1101.8974682446262</v>
      </c>
    </row>
    <row r="934" spans="1:25" x14ac:dyDescent="0.2">
      <c r="A934" s="233">
        <v>2022</v>
      </c>
      <c r="B934" s="316" t="s">
        <v>466</v>
      </c>
      <c r="C934" s="316" t="s">
        <v>181</v>
      </c>
      <c r="D934" s="316" t="s">
        <v>480</v>
      </c>
      <c r="E934" s="316" t="s">
        <v>212</v>
      </c>
      <c r="F934" s="316" t="s">
        <v>184</v>
      </c>
      <c r="G934" s="316" t="s">
        <v>213</v>
      </c>
      <c r="H934" s="316">
        <v>7.3533982594663057</v>
      </c>
      <c r="I934" s="316">
        <v>5.5196278582246014</v>
      </c>
      <c r="J934" s="317">
        <v>12.873026117690907</v>
      </c>
      <c r="K934" s="316">
        <v>5.5749544268975466</v>
      </c>
      <c r="L934" s="316">
        <v>0.24379122503049078</v>
      </c>
      <c r="M934" s="317">
        <v>5.8187456519280376</v>
      </c>
      <c r="N934" s="316">
        <v>17.270237858384263</v>
      </c>
      <c r="O934" s="316">
        <v>7.5661788846519284</v>
      </c>
      <c r="P934" s="316">
        <v>1.4710166523418988</v>
      </c>
      <c r="Q934" s="316">
        <v>0.81753501336999834</v>
      </c>
      <c r="R934" s="316">
        <v>5.6674209071168526</v>
      </c>
      <c r="S934" s="316">
        <v>15.236262821193934</v>
      </c>
      <c r="T934" s="316">
        <v>9.5994002470239188</v>
      </c>
      <c r="U934" s="316">
        <v>3.0974436749393304</v>
      </c>
      <c r="V934" s="317">
        <v>60.72549605902212</v>
      </c>
      <c r="W934" s="317">
        <v>79.417267828641073</v>
      </c>
      <c r="X934" s="316">
        <v>9.4763383118555424</v>
      </c>
      <c r="Y934" s="332">
        <v>88.893606140496615</v>
      </c>
    </row>
    <row r="935" spans="1:25" x14ac:dyDescent="0.2">
      <c r="A935" s="233">
        <v>2022</v>
      </c>
      <c r="B935" s="316" t="s">
        <v>466</v>
      </c>
      <c r="C935" s="316" t="s">
        <v>181</v>
      </c>
      <c r="D935" s="316" t="s">
        <v>478</v>
      </c>
      <c r="E935" s="316" t="s">
        <v>214</v>
      </c>
      <c r="F935" s="316" t="s">
        <v>184</v>
      </c>
      <c r="G935" s="316" t="s">
        <v>215</v>
      </c>
      <c r="H935" s="316">
        <v>6.8586002001489765</v>
      </c>
      <c r="I935" s="316">
        <v>3.7307781794032255</v>
      </c>
      <c r="J935" s="317">
        <v>10.589378379552201</v>
      </c>
      <c r="K935" s="316">
        <v>1.0429247259382384</v>
      </c>
      <c r="L935" s="316">
        <v>7.0706560360476471</v>
      </c>
      <c r="M935" s="317">
        <v>8.1135807619858848</v>
      </c>
      <c r="N935" s="316">
        <v>3.6955628608064788</v>
      </c>
      <c r="O935" s="316">
        <v>29.764424795908869</v>
      </c>
      <c r="P935" s="316">
        <v>4.9272741726670786</v>
      </c>
      <c r="Q935" s="316">
        <v>1.8605648148701348</v>
      </c>
      <c r="R935" s="316">
        <v>11.763618166874849</v>
      </c>
      <c r="S935" s="316">
        <v>13.193764583335163</v>
      </c>
      <c r="T935" s="316">
        <v>29.929318832588816</v>
      </c>
      <c r="U935" s="316">
        <v>9.3630947625584344</v>
      </c>
      <c r="V935" s="317">
        <v>104.49762298960982</v>
      </c>
      <c r="W935" s="317">
        <v>123.20058213114791</v>
      </c>
      <c r="X935" s="316">
        <v>13.230933370267403</v>
      </c>
      <c r="Y935" s="332">
        <v>136.4315155014153</v>
      </c>
    </row>
    <row r="936" spans="1:25" x14ac:dyDescent="0.2">
      <c r="A936" s="233">
        <v>2022</v>
      </c>
      <c r="B936" s="316" t="s">
        <v>466</v>
      </c>
      <c r="C936" s="316" t="s">
        <v>181</v>
      </c>
      <c r="D936" s="316" t="s">
        <v>478</v>
      </c>
      <c r="E936" s="316" t="s">
        <v>216</v>
      </c>
      <c r="F936" s="316" t="s">
        <v>184</v>
      </c>
      <c r="G936" s="316" t="s">
        <v>217</v>
      </c>
      <c r="H936" s="316">
        <v>19.116546534206094</v>
      </c>
      <c r="I936" s="316">
        <v>9.8733803791484984</v>
      </c>
      <c r="J936" s="317">
        <v>28.989926913354594</v>
      </c>
      <c r="K936" s="316">
        <v>121.20291853333869</v>
      </c>
      <c r="L936" s="316">
        <v>24.102639973746392</v>
      </c>
      <c r="M936" s="317">
        <v>145.3055585070851</v>
      </c>
      <c r="N936" s="316">
        <v>29.348280363374215</v>
      </c>
      <c r="O936" s="316">
        <v>100.40799875331039</v>
      </c>
      <c r="P936" s="316">
        <v>16.872039691714495</v>
      </c>
      <c r="Q936" s="316">
        <v>16.489013448870804</v>
      </c>
      <c r="R936" s="316">
        <v>41.304635625398625</v>
      </c>
      <c r="S936" s="316">
        <v>54.919211928090242</v>
      </c>
      <c r="T936" s="316">
        <v>87.688178930546158</v>
      </c>
      <c r="U936" s="316">
        <v>26.65052271366611</v>
      </c>
      <c r="V936" s="317">
        <v>373.679881454971</v>
      </c>
      <c r="W936" s="317">
        <v>547.9753668754106</v>
      </c>
      <c r="X936" s="316">
        <v>57.89276745192744</v>
      </c>
      <c r="Y936" s="332">
        <v>605.868134327338</v>
      </c>
    </row>
    <row r="937" spans="1:25" x14ac:dyDescent="0.2">
      <c r="A937" s="233">
        <v>2022</v>
      </c>
      <c r="B937" s="316" t="s">
        <v>466</v>
      </c>
      <c r="C937" s="316" t="s">
        <v>218</v>
      </c>
      <c r="D937" s="316" t="s">
        <v>481</v>
      </c>
      <c r="E937" s="316" t="s">
        <v>220</v>
      </c>
      <c r="F937" s="316" t="s">
        <v>221</v>
      </c>
      <c r="G937" s="316" t="s">
        <v>223</v>
      </c>
      <c r="H937" s="316">
        <v>5.369860993658266</v>
      </c>
      <c r="I937" s="316">
        <v>2.7570126986710273</v>
      </c>
      <c r="J937" s="317">
        <v>8.1268736923292941</v>
      </c>
      <c r="K937" s="316">
        <v>1.0402385073662992</v>
      </c>
      <c r="L937" s="316">
        <v>1.1034848721542756</v>
      </c>
      <c r="M937" s="317">
        <v>2.1437233795205746</v>
      </c>
      <c r="N937" s="316">
        <v>2.22696124431104</v>
      </c>
      <c r="O937" s="316">
        <v>2.3005713896839106</v>
      </c>
      <c r="P937" s="316">
        <v>0.61635044319893695</v>
      </c>
      <c r="Q937" s="316">
        <v>0.1681985444810459</v>
      </c>
      <c r="R937" s="316">
        <v>1.9254926017464364</v>
      </c>
      <c r="S937" s="316">
        <v>2.8152433411285669</v>
      </c>
      <c r="T937" s="316">
        <v>7.0924423611643617</v>
      </c>
      <c r="U937" s="316">
        <v>1.0803860950357769</v>
      </c>
      <c r="V937" s="317">
        <v>18.225646020750077</v>
      </c>
      <c r="W937" s="317">
        <v>28.496243092599943</v>
      </c>
      <c r="X937" s="316">
        <v>3.4876562508710776</v>
      </c>
      <c r="Y937" s="332">
        <v>31.98389934347102</v>
      </c>
    </row>
    <row r="938" spans="1:25" x14ac:dyDescent="0.2">
      <c r="A938" s="233">
        <v>2022</v>
      </c>
      <c r="B938" s="316" t="s">
        <v>466</v>
      </c>
      <c r="C938" s="316" t="s">
        <v>218</v>
      </c>
      <c r="D938" s="316" t="s">
        <v>482</v>
      </c>
      <c r="E938" s="316" t="s">
        <v>224</v>
      </c>
      <c r="F938" s="316" t="s">
        <v>221</v>
      </c>
      <c r="G938" s="316" t="s">
        <v>226</v>
      </c>
      <c r="H938" s="316">
        <v>24.913766737774761</v>
      </c>
      <c r="I938" s="316">
        <v>12.79131211114432</v>
      </c>
      <c r="J938" s="317">
        <v>37.705078848919079</v>
      </c>
      <c r="K938" s="316">
        <v>2.9753276853995199</v>
      </c>
      <c r="L938" s="316">
        <v>4.6325393286190284</v>
      </c>
      <c r="M938" s="317">
        <v>7.6078670140185487</v>
      </c>
      <c r="N938" s="316">
        <v>12.916817461151673</v>
      </c>
      <c r="O938" s="316">
        <v>6.2726078409745494</v>
      </c>
      <c r="P938" s="316">
        <v>2.0302957262604702</v>
      </c>
      <c r="Q938" s="316">
        <v>0.81244454987916492</v>
      </c>
      <c r="R938" s="316">
        <v>4.6094114875999779</v>
      </c>
      <c r="S938" s="316">
        <v>7.1431905445629482</v>
      </c>
      <c r="T938" s="316">
        <v>8.7837749596896355</v>
      </c>
      <c r="U938" s="316">
        <v>2.7738380364535296</v>
      </c>
      <c r="V938" s="317">
        <v>45.34238060657195</v>
      </c>
      <c r="W938" s="317">
        <v>90.655326469509589</v>
      </c>
      <c r="X938" s="316">
        <v>12.178698099655353</v>
      </c>
      <c r="Y938" s="332">
        <v>102.83402456916494</v>
      </c>
    </row>
    <row r="939" spans="1:25" x14ac:dyDescent="0.2">
      <c r="A939" s="233">
        <v>2022</v>
      </c>
      <c r="B939" s="316" t="s">
        <v>466</v>
      </c>
      <c r="C939" s="316" t="s">
        <v>218</v>
      </c>
      <c r="D939" s="316" t="s">
        <v>482</v>
      </c>
      <c r="E939" s="316" t="s">
        <v>227</v>
      </c>
      <c r="F939" s="316" t="s">
        <v>221</v>
      </c>
      <c r="G939" s="316" t="s">
        <v>228</v>
      </c>
      <c r="H939" s="316">
        <v>8.6329711002619192</v>
      </c>
      <c r="I939" s="316">
        <v>0</v>
      </c>
      <c r="J939" s="317">
        <v>8.6329711002619192</v>
      </c>
      <c r="K939" s="316">
        <v>1.4509438703777193</v>
      </c>
      <c r="L939" s="316">
        <v>1.8885765379258019</v>
      </c>
      <c r="M939" s="317">
        <v>3.339520408303521</v>
      </c>
      <c r="N939" s="316">
        <v>1.2460349083481217</v>
      </c>
      <c r="O939" s="316">
        <v>6.0436479864096686</v>
      </c>
      <c r="P939" s="316">
        <v>2.72199258074484</v>
      </c>
      <c r="Q939" s="316">
        <v>0.83548532153059962</v>
      </c>
      <c r="R939" s="316">
        <v>7.1111962197062022</v>
      </c>
      <c r="S939" s="316">
        <v>5.2459088854432911</v>
      </c>
      <c r="T939" s="316">
        <v>11.058090044013184</v>
      </c>
      <c r="U939" s="316">
        <v>3.7653698403724203</v>
      </c>
      <c r="V939" s="317">
        <v>38.027725786568332</v>
      </c>
      <c r="W939" s="317">
        <v>50.000217295133773</v>
      </c>
      <c r="X939" s="316">
        <v>5.5240989732946169</v>
      </c>
      <c r="Y939" s="332">
        <v>55.524316268428393</v>
      </c>
    </row>
    <row r="940" spans="1:25" x14ac:dyDescent="0.2">
      <c r="A940" s="233">
        <v>2022</v>
      </c>
      <c r="B940" s="316" t="s">
        <v>466</v>
      </c>
      <c r="C940" s="316" t="s">
        <v>218</v>
      </c>
      <c r="D940" s="316" t="s">
        <v>482</v>
      </c>
      <c r="E940" s="316" t="s">
        <v>229</v>
      </c>
      <c r="F940" s="316" t="s">
        <v>221</v>
      </c>
      <c r="G940" s="316" t="s">
        <v>230</v>
      </c>
      <c r="H940" s="316">
        <v>124.6246729062331</v>
      </c>
      <c r="I940" s="316">
        <v>345.32855849943002</v>
      </c>
      <c r="J940" s="317">
        <v>469.95323140566313</v>
      </c>
      <c r="K940" s="316">
        <v>4.8108838802294667</v>
      </c>
      <c r="L940" s="316">
        <v>0.14751263379142524</v>
      </c>
      <c r="M940" s="317">
        <v>4.9583965140208921</v>
      </c>
      <c r="N940" s="316">
        <v>19.457171017484534</v>
      </c>
      <c r="O940" s="316">
        <v>5.3416773962695583</v>
      </c>
      <c r="P940" s="316">
        <v>1.1285875979752653</v>
      </c>
      <c r="Q940" s="316">
        <v>0.22851665252042427</v>
      </c>
      <c r="R940" s="316">
        <v>3.7770533733344935</v>
      </c>
      <c r="S940" s="316">
        <v>16.068575465793558</v>
      </c>
      <c r="T940" s="316">
        <v>5.7756341019589321</v>
      </c>
      <c r="U940" s="316">
        <v>2.1704930337677495</v>
      </c>
      <c r="V940" s="317">
        <v>53.947708639104512</v>
      </c>
      <c r="W940" s="317">
        <v>528.85933655878853</v>
      </c>
      <c r="X940" s="316">
        <v>90.133498653175039</v>
      </c>
      <c r="Y940" s="332">
        <v>618.99283521196355</v>
      </c>
    </row>
    <row r="941" spans="1:25" x14ac:dyDescent="0.2">
      <c r="A941" s="233">
        <v>2022</v>
      </c>
      <c r="B941" s="316" t="s">
        <v>466</v>
      </c>
      <c r="C941" s="316" t="s">
        <v>218</v>
      </c>
      <c r="D941" s="316" t="s">
        <v>482</v>
      </c>
      <c r="E941" s="316" t="s">
        <v>231</v>
      </c>
      <c r="F941" s="316" t="s">
        <v>221</v>
      </c>
      <c r="G941" s="316" t="s">
        <v>232</v>
      </c>
      <c r="H941" s="316">
        <v>27.040917041275897</v>
      </c>
      <c r="I941" s="316">
        <v>0</v>
      </c>
      <c r="J941" s="317">
        <v>27.040917041275897</v>
      </c>
      <c r="K941" s="316">
        <v>1.1334271403125307</v>
      </c>
      <c r="L941" s="316">
        <v>5.4804479443133358</v>
      </c>
      <c r="M941" s="317">
        <v>6.6138750846258665</v>
      </c>
      <c r="N941" s="316">
        <v>3.8463242311210979</v>
      </c>
      <c r="O941" s="316">
        <v>11.16303405292879</v>
      </c>
      <c r="P941" s="316">
        <v>2.731222132914954</v>
      </c>
      <c r="Q941" s="316">
        <v>1.5735649669865805</v>
      </c>
      <c r="R941" s="316">
        <v>8.4115179791174768</v>
      </c>
      <c r="S941" s="316">
        <v>8.2369924465102677</v>
      </c>
      <c r="T941" s="316">
        <v>18.42094983099307</v>
      </c>
      <c r="U941" s="316">
        <v>4.2724380066914343</v>
      </c>
      <c r="V941" s="317">
        <v>58.656043647263672</v>
      </c>
      <c r="W941" s="317">
        <v>92.310835773165422</v>
      </c>
      <c r="X941" s="316">
        <v>11.081660386971794</v>
      </c>
      <c r="Y941" s="332">
        <v>103.39249616013721</v>
      </c>
    </row>
    <row r="942" spans="1:25" x14ac:dyDescent="0.2">
      <c r="A942" s="233">
        <v>2022</v>
      </c>
      <c r="B942" s="316" t="s">
        <v>466</v>
      </c>
      <c r="C942" s="316" t="s">
        <v>218</v>
      </c>
      <c r="D942" s="316" t="s">
        <v>481</v>
      </c>
      <c r="E942" s="316" t="s">
        <v>233</v>
      </c>
      <c r="F942" s="316" t="s">
        <v>221</v>
      </c>
      <c r="G942" s="316" t="s">
        <v>234</v>
      </c>
      <c r="H942" s="316">
        <v>22.366710398932369</v>
      </c>
      <c r="I942" s="316">
        <v>11.483603707289316</v>
      </c>
      <c r="J942" s="317">
        <v>33.850314106221688</v>
      </c>
      <c r="K942" s="316">
        <v>4.8875483967982554</v>
      </c>
      <c r="L942" s="316">
        <v>8.3357073794906889</v>
      </c>
      <c r="M942" s="317">
        <v>13.223255776288944</v>
      </c>
      <c r="N942" s="316">
        <v>6.2014690984801604</v>
      </c>
      <c r="O942" s="316">
        <v>23.943998610689729</v>
      </c>
      <c r="P942" s="316">
        <v>3.8461424525608767</v>
      </c>
      <c r="Q942" s="316">
        <v>1.7541377988146831</v>
      </c>
      <c r="R942" s="316">
        <v>11.427472103968038</v>
      </c>
      <c r="S942" s="316">
        <v>19.739605323352912</v>
      </c>
      <c r="T942" s="316">
        <v>43.964636016982489</v>
      </c>
      <c r="U942" s="316">
        <v>6.8314046401718578</v>
      </c>
      <c r="V942" s="317">
        <v>117.70886604502076</v>
      </c>
      <c r="W942" s="317">
        <v>164.78243592753137</v>
      </c>
      <c r="X942" s="316">
        <v>19.080105614515425</v>
      </c>
      <c r="Y942" s="332">
        <v>183.86254154204678</v>
      </c>
    </row>
    <row r="943" spans="1:25" x14ac:dyDescent="0.2">
      <c r="A943" s="233">
        <v>2022</v>
      </c>
      <c r="B943" s="316" t="s">
        <v>466</v>
      </c>
      <c r="C943" s="316" t="s">
        <v>218</v>
      </c>
      <c r="D943" s="316" t="s">
        <v>481</v>
      </c>
      <c r="E943" s="316" t="s">
        <v>235</v>
      </c>
      <c r="F943" s="316" t="s">
        <v>221</v>
      </c>
      <c r="G943" s="316" t="s">
        <v>236</v>
      </c>
      <c r="H943" s="316">
        <v>47.812139228925894</v>
      </c>
      <c r="I943" s="316">
        <v>24.587555887984735</v>
      </c>
      <c r="J943" s="317">
        <v>72.399695116910635</v>
      </c>
      <c r="K943" s="316">
        <v>3.0042387489457414</v>
      </c>
      <c r="L943" s="316">
        <v>13.460837756485159</v>
      </c>
      <c r="M943" s="317">
        <v>16.465076505430901</v>
      </c>
      <c r="N943" s="316">
        <v>8.6189647312356072</v>
      </c>
      <c r="O943" s="316">
        <v>43.109731151141894</v>
      </c>
      <c r="P943" s="316">
        <v>7.4844786062415745</v>
      </c>
      <c r="Q943" s="316">
        <v>4.3130172798695128</v>
      </c>
      <c r="R943" s="316">
        <v>16.277769142030291</v>
      </c>
      <c r="S943" s="316">
        <v>21.388641388599311</v>
      </c>
      <c r="T943" s="316">
        <v>45.497092730821485</v>
      </c>
      <c r="U943" s="316">
        <v>11.676666173827625</v>
      </c>
      <c r="V943" s="317">
        <v>158.3663612037673</v>
      </c>
      <c r="W943" s="317">
        <v>247.23113282610885</v>
      </c>
      <c r="X943" s="316">
        <v>30.222497580488358</v>
      </c>
      <c r="Y943" s="332">
        <v>277.4536304065972</v>
      </c>
    </row>
    <row r="944" spans="1:25" x14ac:dyDescent="0.2">
      <c r="A944" s="233">
        <v>2022</v>
      </c>
      <c r="B944" s="316" t="s">
        <v>466</v>
      </c>
      <c r="C944" s="316" t="s">
        <v>218</v>
      </c>
      <c r="D944" s="316" t="s">
        <v>482</v>
      </c>
      <c r="E944" s="316" t="s">
        <v>237</v>
      </c>
      <c r="F944" s="316" t="s">
        <v>221</v>
      </c>
      <c r="G944" s="316" t="s">
        <v>238</v>
      </c>
      <c r="H944" s="316">
        <v>47.838311523740195</v>
      </c>
      <c r="I944" s="316">
        <v>0</v>
      </c>
      <c r="J944" s="317">
        <v>47.838311523740195</v>
      </c>
      <c r="K944" s="316">
        <v>4.5965215811984903</v>
      </c>
      <c r="L944" s="316">
        <v>7.5229367650828083</v>
      </c>
      <c r="M944" s="317">
        <v>12.119458346281299</v>
      </c>
      <c r="N944" s="316">
        <v>6.1305580103169497</v>
      </c>
      <c r="O944" s="316">
        <v>19.294427473851428</v>
      </c>
      <c r="P944" s="316">
        <v>5.4311776285068634</v>
      </c>
      <c r="Q944" s="316">
        <v>1.6366113506327211</v>
      </c>
      <c r="R944" s="316">
        <v>17.086377505093765</v>
      </c>
      <c r="S944" s="316">
        <v>13.06043546212341</v>
      </c>
      <c r="T944" s="316">
        <v>15.142401760143862</v>
      </c>
      <c r="U944" s="316">
        <v>9.153887257914862</v>
      </c>
      <c r="V944" s="317">
        <v>86.935876448583855</v>
      </c>
      <c r="W944" s="317">
        <v>146.89364631860536</v>
      </c>
      <c r="X944" s="316">
        <v>17.940694493477636</v>
      </c>
      <c r="Y944" s="332">
        <v>164.83434081208298</v>
      </c>
    </row>
    <row r="945" spans="1:25" x14ac:dyDescent="0.2">
      <c r="A945" s="233">
        <v>2022</v>
      </c>
      <c r="B945" s="316" t="s">
        <v>466</v>
      </c>
      <c r="C945" s="316" t="s">
        <v>218</v>
      </c>
      <c r="D945" s="316" t="s">
        <v>481</v>
      </c>
      <c r="E945" s="316" t="s">
        <v>239</v>
      </c>
      <c r="F945" s="316" t="s">
        <v>221</v>
      </c>
      <c r="G945" s="316" t="s">
        <v>240</v>
      </c>
      <c r="H945" s="316">
        <v>27.090462809285651</v>
      </c>
      <c r="I945" s="316">
        <v>13.908879529217323</v>
      </c>
      <c r="J945" s="317">
        <v>40.99934233850297</v>
      </c>
      <c r="K945" s="316">
        <v>3.3616645593457024</v>
      </c>
      <c r="L945" s="316">
        <v>14.195475101293747</v>
      </c>
      <c r="M945" s="317">
        <v>17.55713966063945</v>
      </c>
      <c r="N945" s="316">
        <v>7.5644406580084347</v>
      </c>
      <c r="O945" s="316">
        <v>39.94502084240434</v>
      </c>
      <c r="P945" s="316">
        <v>7.006113853622657</v>
      </c>
      <c r="Q945" s="316">
        <v>3.9661948247137797</v>
      </c>
      <c r="R945" s="316">
        <v>17.175973610540087</v>
      </c>
      <c r="S945" s="316">
        <v>23.477847129496464</v>
      </c>
      <c r="T945" s="316">
        <v>42.572043848202931</v>
      </c>
      <c r="U945" s="316">
        <v>9.6940271653458492</v>
      </c>
      <c r="V945" s="317">
        <v>151.40166193233455</v>
      </c>
      <c r="W945" s="317">
        <v>209.95814393147697</v>
      </c>
      <c r="X945" s="316">
        <v>24.194825539513502</v>
      </c>
      <c r="Y945" s="332">
        <v>234.15296947099046</v>
      </c>
    </row>
    <row r="946" spans="1:25" x14ac:dyDescent="0.2">
      <c r="A946" s="233">
        <v>2022</v>
      </c>
      <c r="B946" s="316" t="s">
        <v>466</v>
      </c>
      <c r="C946" s="316" t="s">
        <v>218</v>
      </c>
      <c r="D946" s="316" t="s">
        <v>482</v>
      </c>
      <c r="E946" s="316" t="s">
        <v>241</v>
      </c>
      <c r="F946" s="316" t="s">
        <v>221</v>
      </c>
      <c r="G946" s="316" t="s">
        <v>242</v>
      </c>
      <c r="H946" s="316">
        <v>9.1828879186931722</v>
      </c>
      <c r="I946" s="316">
        <v>0</v>
      </c>
      <c r="J946" s="317">
        <v>9.1828879186931722</v>
      </c>
      <c r="K946" s="316">
        <v>2.5965886801752767</v>
      </c>
      <c r="L946" s="316">
        <v>0.91493018457999375</v>
      </c>
      <c r="M946" s="317">
        <v>3.5115188647552706</v>
      </c>
      <c r="N946" s="316">
        <v>5.2736250653135457</v>
      </c>
      <c r="O946" s="316">
        <v>8.3134495282106382</v>
      </c>
      <c r="P946" s="316">
        <v>1.5165989607720591</v>
      </c>
      <c r="Q946" s="316">
        <v>0.52614091310403033</v>
      </c>
      <c r="R946" s="316">
        <v>5.5546020093211421</v>
      </c>
      <c r="S946" s="316">
        <v>6.3972744335695486</v>
      </c>
      <c r="T946" s="316">
        <v>9.2227893650186488</v>
      </c>
      <c r="U946" s="316">
        <v>2.7369100335184275</v>
      </c>
      <c r="V946" s="317">
        <v>39.541390308828042</v>
      </c>
      <c r="W946" s="317">
        <v>52.235797092276485</v>
      </c>
      <c r="X946" s="316">
        <v>6.0048311100275873</v>
      </c>
      <c r="Y946" s="332">
        <v>58.240628202304073</v>
      </c>
    </row>
    <row r="947" spans="1:25" x14ac:dyDescent="0.2">
      <c r="A947" s="233">
        <v>2022</v>
      </c>
      <c r="B947" s="316" t="s">
        <v>466</v>
      </c>
      <c r="C947" s="316" t="s">
        <v>218</v>
      </c>
      <c r="D947" s="316" t="s">
        <v>482</v>
      </c>
      <c r="E947" s="316" t="s">
        <v>243</v>
      </c>
      <c r="F947" s="316" t="s">
        <v>221</v>
      </c>
      <c r="G947" s="316" t="s">
        <v>244</v>
      </c>
      <c r="H947" s="316">
        <v>14.6521062120606</v>
      </c>
      <c r="I947" s="316">
        <v>0</v>
      </c>
      <c r="J947" s="317">
        <v>14.6521062120606</v>
      </c>
      <c r="K947" s="316">
        <v>2.6891312195739183</v>
      </c>
      <c r="L947" s="316">
        <v>5.1259600447023654</v>
      </c>
      <c r="M947" s="317">
        <v>7.8150912642762833</v>
      </c>
      <c r="N947" s="316">
        <v>9.9009762379204602</v>
      </c>
      <c r="O947" s="316">
        <v>13.137840113274661</v>
      </c>
      <c r="P947" s="316">
        <v>5.7737667139367348</v>
      </c>
      <c r="Q947" s="316">
        <v>1.8657404308250625</v>
      </c>
      <c r="R947" s="316">
        <v>15.290179417013908</v>
      </c>
      <c r="S947" s="316">
        <v>13.99424931147057</v>
      </c>
      <c r="T947" s="316">
        <v>28.678956473714553</v>
      </c>
      <c r="U947" s="316">
        <v>6.3890753645630642</v>
      </c>
      <c r="V947" s="317">
        <v>95.030784062719022</v>
      </c>
      <c r="W947" s="317">
        <v>117.4979815390559</v>
      </c>
      <c r="X947" s="316">
        <v>12.885234658412168</v>
      </c>
      <c r="Y947" s="332">
        <v>130.38321619746807</v>
      </c>
    </row>
    <row r="948" spans="1:25" x14ac:dyDescent="0.2">
      <c r="A948" s="233">
        <v>2022</v>
      </c>
      <c r="B948" s="316" t="s">
        <v>466</v>
      </c>
      <c r="C948" s="316" t="s">
        <v>218</v>
      </c>
      <c r="D948" s="316" t="s">
        <v>482</v>
      </c>
      <c r="E948" s="316" t="s">
        <v>245</v>
      </c>
      <c r="F948" s="316" t="s">
        <v>221</v>
      </c>
      <c r="G948" s="316" t="s">
        <v>246</v>
      </c>
      <c r="H948" s="316">
        <v>21.930756072309855</v>
      </c>
      <c r="I948" s="316">
        <v>0</v>
      </c>
      <c r="J948" s="317">
        <v>21.930756072309855</v>
      </c>
      <c r="K948" s="316">
        <v>2.8687904824723138</v>
      </c>
      <c r="L948" s="316">
        <v>4.8595593254304248</v>
      </c>
      <c r="M948" s="317">
        <v>7.7283498079027382</v>
      </c>
      <c r="N948" s="316">
        <v>5.6184568358773248</v>
      </c>
      <c r="O948" s="316">
        <v>14.449661523437504</v>
      </c>
      <c r="P948" s="316">
        <v>3.3091706344598912</v>
      </c>
      <c r="Q948" s="316">
        <v>1.57006240573203</v>
      </c>
      <c r="R948" s="316">
        <v>10.351907013415957</v>
      </c>
      <c r="S948" s="316">
        <v>12.193354361018024</v>
      </c>
      <c r="T948" s="316">
        <v>25.732343769323503</v>
      </c>
      <c r="U948" s="316">
        <v>6.2493125795264088</v>
      </c>
      <c r="V948" s="317">
        <v>79.474269122790645</v>
      </c>
      <c r="W948" s="317">
        <v>109.13337500300324</v>
      </c>
      <c r="X948" s="316">
        <v>12.477676940314748</v>
      </c>
      <c r="Y948" s="332">
        <v>121.61105194331799</v>
      </c>
    </row>
    <row r="949" spans="1:25" x14ac:dyDescent="0.2">
      <c r="A949" s="233">
        <v>2022</v>
      </c>
      <c r="B949" s="316" t="s">
        <v>466</v>
      </c>
      <c r="C949" s="316" t="s">
        <v>218</v>
      </c>
      <c r="D949" s="316" t="s">
        <v>482</v>
      </c>
      <c r="E949" s="316" t="s">
        <v>247</v>
      </c>
      <c r="F949" s="316" t="s">
        <v>221</v>
      </c>
      <c r="G949" s="316" t="s">
        <v>248</v>
      </c>
      <c r="H949" s="316">
        <v>6.9751275333024116</v>
      </c>
      <c r="I949" s="316">
        <v>0</v>
      </c>
      <c r="J949" s="317">
        <v>6.9751275333024116</v>
      </c>
      <c r="K949" s="316">
        <v>0.61707410008509744</v>
      </c>
      <c r="L949" s="316">
        <v>1.9492080966825922</v>
      </c>
      <c r="M949" s="317">
        <v>2.5662821967676894</v>
      </c>
      <c r="N949" s="316">
        <v>4.6893649969028202</v>
      </c>
      <c r="O949" s="316">
        <v>4.4301926665300142</v>
      </c>
      <c r="P949" s="316">
        <v>1.2139389221610091</v>
      </c>
      <c r="Q949" s="316">
        <v>0.28748029257489743</v>
      </c>
      <c r="R949" s="316">
        <v>4.1497805623326753</v>
      </c>
      <c r="S949" s="316">
        <v>3.9674971937260541</v>
      </c>
      <c r="T949" s="316">
        <v>6.3783700354588335</v>
      </c>
      <c r="U949" s="316">
        <v>1.9245065567828958</v>
      </c>
      <c r="V949" s="317">
        <v>27.041131226469197</v>
      </c>
      <c r="W949" s="317">
        <v>36.582540956539297</v>
      </c>
      <c r="X949" s="316">
        <v>4.2551122557154226</v>
      </c>
      <c r="Y949" s="332">
        <v>40.837653212254722</v>
      </c>
    </row>
    <row r="950" spans="1:25" x14ac:dyDescent="0.2">
      <c r="A950" s="233">
        <v>2022</v>
      </c>
      <c r="B950" s="316" t="s">
        <v>466</v>
      </c>
      <c r="C950" s="316" t="s">
        <v>218</v>
      </c>
      <c r="D950" s="316" t="s">
        <v>481</v>
      </c>
      <c r="E950" s="316" t="s">
        <v>249</v>
      </c>
      <c r="F950" s="316" t="s">
        <v>221</v>
      </c>
      <c r="G950" s="316" t="s">
        <v>250</v>
      </c>
      <c r="H950" s="316">
        <v>12.980915812201891</v>
      </c>
      <c r="I950" s="316">
        <v>0</v>
      </c>
      <c r="J950" s="317">
        <v>12.980915812201891</v>
      </c>
      <c r="K950" s="316">
        <v>0.61180143824365518</v>
      </c>
      <c r="L950" s="316">
        <v>4.2422635019644561</v>
      </c>
      <c r="M950" s="317">
        <v>4.8540649402081115</v>
      </c>
      <c r="N950" s="316">
        <v>4.020181587959426</v>
      </c>
      <c r="O950" s="316">
        <v>10.718602551189928</v>
      </c>
      <c r="P950" s="316">
        <v>2.1192436854225032</v>
      </c>
      <c r="Q950" s="316">
        <v>0.98627952057110313</v>
      </c>
      <c r="R950" s="316">
        <v>6.0533179666234513</v>
      </c>
      <c r="S950" s="316">
        <v>7.8058159439425339</v>
      </c>
      <c r="T950" s="316">
        <v>17.783276409397487</v>
      </c>
      <c r="U950" s="316">
        <v>3.1047313674522456</v>
      </c>
      <c r="V950" s="317">
        <v>52.591449032558678</v>
      </c>
      <c r="W950" s="317">
        <v>70.426429784968676</v>
      </c>
      <c r="X950" s="316">
        <v>8.0138074704689437</v>
      </c>
      <c r="Y950" s="332">
        <v>78.440237255437623</v>
      </c>
    </row>
    <row r="951" spans="1:25" x14ac:dyDescent="0.2">
      <c r="A951" s="233">
        <v>2022</v>
      </c>
      <c r="B951" s="316" t="s">
        <v>466</v>
      </c>
      <c r="C951" s="316" t="s">
        <v>218</v>
      </c>
      <c r="D951" s="316" t="s">
        <v>482</v>
      </c>
      <c r="E951" s="316" t="s">
        <v>251</v>
      </c>
      <c r="F951" s="316" t="s">
        <v>221</v>
      </c>
      <c r="G951" s="316" t="s">
        <v>252</v>
      </c>
      <c r="H951" s="316">
        <v>15.227149119518259</v>
      </c>
      <c r="I951" s="316">
        <v>0</v>
      </c>
      <c r="J951" s="317">
        <v>15.227149119518259</v>
      </c>
      <c r="K951" s="316">
        <v>2.815392187822757</v>
      </c>
      <c r="L951" s="316">
        <v>2.8584980332105099</v>
      </c>
      <c r="M951" s="317">
        <v>5.6738902210332665</v>
      </c>
      <c r="N951" s="316">
        <v>4.2030136287970272</v>
      </c>
      <c r="O951" s="316">
        <v>10.864246548259235</v>
      </c>
      <c r="P951" s="316">
        <v>2.7303168750100122</v>
      </c>
      <c r="Q951" s="316">
        <v>1.2492564297535913</v>
      </c>
      <c r="R951" s="316">
        <v>9.5027840138139421</v>
      </c>
      <c r="S951" s="316">
        <v>8.3144748645166793</v>
      </c>
      <c r="T951" s="316">
        <v>17.998696731679857</v>
      </c>
      <c r="U951" s="316">
        <v>3.8459716225459246</v>
      </c>
      <c r="V951" s="317">
        <v>58.708760714376261</v>
      </c>
      <c r="W951" s="317">
        <v>79.609800054927788</v>
      </c>
      <c r="X951" s="316">
        <v>9.044601117082312</v>
      </c>
      <c r="Y951" s="332">
        <v>88.654401172010097</v>
      </c>
    </row>
    <row r="952" spans="1:25" x14ac:dyDescent="0.2">
      <c r="A952" s="233">
        <v>2022</v>
      </c>
      <c r="B952" s="316" t="s">
        <v>466</v>
      </c>
      <c r="C952" s="316" t="s">
        <v>218</v>
      </c>
      <c r="D952" s="316" t="s">
        <v>482</v>
      </c>
      <c r="E952" s="316" t="s">
        <v>253</v>
      </c>
      <c r="F952" s="316" t="s">
        <v>221</v>
      </c>
      <c r="G952" s="316" t="s">
        <v>254</v>
      </c>
      <c r="H952" s="316">
        <v>14.635728471020563</v>
      </c>
      <c r="I952" s="316">
        <v>0</v>
      </c>
      <c r="J952" s="317">
        <v>14.635728471020563</v>
      </c>
      <c r="K952" s="316">
        <v>4.6433688869259724</v>
      </c>
      <c r="L952" s="316">
        <v>7.4729281096263662</v>
      </c>
      <c r="M952" s="317">
        <v>12.116296996552339</v>
      </c>
      <c r="N952" s="316">
        <v>14.300057304595914</v>
      </c>
      <c r="O952" s="316">
        <v>50.67373722374542</v>
      </c>
      <c r="P952" s="316">
        <v>8.7080861212914229</v>
      </c>
      <c r="Q952" s="316">
        <v>2.1796585719939752</v>
      </c>
      <c r="R952" s="316">
        <v>29.984591917824705</v>
      </c>
      <c r="S952" s="316">
        <v>20.128522564109275</v>
      </c>
      <c r="T952" s="316">
        <v>19.824102690217337</v>
      </c>
      <c r="U952" s="316">
        <v>7.8934382147270101</v>
      </c>
      <c r="V952" s="317">
        <v>153.69219460850505</v>
      </c>
      <c r="W952" s="317">
        <v>180.44422007607795</v>
      </c>
      <c r="X952" s="316">
        <v>19.606210021565342</v>
      </c>
      <c r="Y952" s="332">
        <v>200.0504300976433</v>
      </c>
    </row>
    <row r="953" spans="1:25" x14ac:dyDescent="0.2">
      <c r="A953" s="233">
        <v>2022</v>
      </c>
      <c r="B953" s="316" t="s">
        <v>466</v>
      </c>
      <c r="C953" s="316" t="s">
        <v>218</v>
      </c>
      <c r="D953" s="316" t="s">
        <v>482</v>
      </c>
      <c r="E953" s="316" t="s">
        <v>255</v>
      </c>
      <c r="F953" s="316" t="s">
        <v>221</v>
      </c>
      <c r="G953" s="316" t="s">
        <v>256</v>
      </c>
      <c r="H953" s="316">
        <v>13.398206802019429</v>
      </c>
      <c r="I953" s="316">
        <v>13.713406126366902</v>
      </c>
      <c r="J953" s="317">
        <v>27.111612928386329</v>
      </c>
      <c r="K953" s="316">
        <v>9.3560723290011225</v>
      </c>
      <c r="L953" s="316">
        <v>10.153389252844137</v>
      </c>
      <c r="M953" s="317">
        <v>19.509461581845258</v>
      </c>
      <c r="N953" s="316">
        <v>17.754058308283206</v>
      </c>
      <c r="O953" s="316">
        <v>86.580272250014502</v>
      </c>
      <c r="P953" s="316">
        <v>9.13577882458255</v>
      </c>
      <c r="Q953" s="316">
        <v>5.9752808030754458</v>
      </c>
      <c r="R953" s="316">
        <v>31.0479822383111</v>
      </c>
      <c r="S953" s="316">
        <v>31.900991862098682</v>
      </c>
      <c r="T953" s="316">
        <v>63.494769313472354</v>
      </c>
      <c r="U953" s="316">
        <v>12.102326140608229</v>
      </c>
      <c r="V953" s="317">
        <v>257.99145974044609</v>
      </c>
      <c r="W953" s="317">
        <v>304.61253425067764</v>
      </c>
      <c r="X953" s="316">
        <v>33.444094708921369</v>
      </c>
      <c r="Y953" s="332">
        <v>338.05662895959904</v>
      </c>
    </row>
    <row r="954" spans="1:25" x14ac:dyDescent="0.2">
      <c r="A954" s="233">
        <v>2022</v>
      </c>
      <c r="B954" s="316" t="s">
        <v>466</v>
      </c>
      <c r="C954" s="316" t="s">
        <v>218</v>
      </c>
      <c r="D954" s="316" t="s">
        <v>482</v>
      </c>
      <c r="E954" s="316" t="s">
        <v>257</v>
      </c>
      <c r="F954" s="316" t="s">
        <v>221</v>
      </c>
      <c r="G954" s="316" t="s">
        <v>258</v>
      </c>
      <c r="H954" s="316">
        <v>5.1510057262261224</v>
      </c>
      <c r="I954" s="316">
        <v>11.169781233417735</v>
      </c>
      <c r="J954" s="317">
        <v>16.320786959643858</v>
      </c>
      <c r="K954" s="316">
        <v>3.1778507955948987</v>
      </c>
      <c r="L954" s="316">
        <v>7.8084766651922575</v>
      </c>
      <c r="M954" s="317">
        <v>10.986327460787155</v>
      </c>
      <c r="N954" s="316">
        <v>12.659897311480211</v>
      </c>
      <c r="O954" s="316">
        <v>31.065096340425118</v>
      </c>
      <c r="P954" s="316">
        <v>9.3879415631164154</v>
      </c>
      <c r="Q954" s="316">
        <v>3.0565682849220193</v>
      </c>
      <c r="R954" s="316">
        <v>22.765973538428558</v>
      </c>
      <c r="S954" s="316">
        <v>18.560385890416569</v>
      </c>
      <c r="T954" s="316">
        <v>23.648499521504043</v>
      </c>
      <c r="U954" s="316">
        <v>9.5862893010097618</v>
      </c>
      <c r="V954" s="317">
        <v>130.7306517513027</v>
      </c>
      <c r="W954" s="317">
        <v>158.03776617173372</v>
      </c>
      <c r="X954" s="316">
        <v>17.387550193162632</v>
      </c>
      <c r="Y954" s="332">
        <v>175.42531636489636</v>
      </c>
    </row>
    <row r="955" spans="1:25" x14ac:dyDescent="0.2">
      <c r="A955" s="233">
        <v>2022</v>
      </c>
      <c r="B955" s="316" t="s">
        <v>466</v>
      </c>
      <c r="C955" s="316" t="s">
        <v>218</v>
      </c>
      <c r="D955" s="316" t="s">
        <v>481</v>
      </c>
      <c r="E955" s="316" t="s">
        <v>259</v>
      </c>
      <c r="F955" s="316" t="s">
        <v>221</v>
      </c>
      <c r="G955" s="316" t="s">
        <v>260</v>
      </c>
      <c r="H955" s="316">
        <v>20.650203499540208</v>
      </c>
      <c r="I955" s="316">
        <v>11.872337828178541</v>
      </c>
      <c r="J955" s="317">
        <v>32.522541327718749</v>
      </c>
      <c r="K955" s="316">
        <v>0.9602560581307551</v>
      </c>
      <c r="L955" s="316">
        <v>5.9555762939387131</v>
      </c>
      <c r="M955" s="317">
        <v>6.9158323520694687</v>
      </c>
      <c r="N955" s="316">
        <v>3.8138819031044431</v>
      </c>
      <c r="O955" s="316">
        <v>9.4268857450128465</v>
      </c>
      <c r="P955" s="316">
        <v>1.6733611546616722</v>
      </c>
      <c r="Q955" s="316">
        <v>0.61684018879498925</v>
      </c>
      <c r="R955" s="316">
        <v>5.3811012221444159</v>
      </c>
      <c r="S955" s="316">
        <v>7.422991470642466</v>
      </c>
      <c r="T955" s="316">
        <v>14.137879970180343</v>
      </c>
      <c r="U955" s="316">
        <v>2.9346303107961389</v>
      </c>
      <c r="V955" s="317">
        <v>45.407571965337311</v>
      </c>
      <c r="W955" s="317">
        <v>84.845945645125539</v>
      </c>
      <c r="X955" s="316">
        <v>10.932836564102409</v>
      </c>
      <c r="Y955" s="332">
        <v>95.778782209227955</v>
      </c>
    </row>
    <row r="956" spans="1:25" x14ac:dyDescent="0.2">
      <c r="A956" s="233">
        <v>2022</v>
      </c>
      <c r="B956" s="316" t="s">
        <v>466</v>
      </c>
      <c r="C956" s="316" t="s">
        <v>261</v>
      </c>
      <c r="D956" s="316" t="s">
        <v>483</v>
      </c>
      <c r="E956" s="316" t="s">
        <v>263</v>
      </c>
      <c r="F956" s="316" t="s">
        <v>264</v>
      </c>
      <c r="G956" s="316" t="s">
        <v>265</v>
      </c>
      <c r="H956" s="316">
        <v>53.322308870458869</v>
      </c>
      <c r="I956" s="316">
        <v>28.038600525360962</v>
      </c>
      <c r="J956" s="317">
        <v>81.360909395819832</v>
      </c>
      <c r="K956" s="316">
        <v>7.0477846649257234</v>
      </c>
      <c r="L956" s="316">
        <v>10.273217017218638</v>
      </c>
      <c r="M956" s="317">
        <v>17.321001682144363</v>
      </c>
      <c r="N956" s="316">
        <v>6.2340374506973886</v>
      </c>
      <c r="O956" s="316">
        <v>22.40565834933312</v>
      </c>
      <c r="P956" s="316">
        <v>7.4505417418353375</v>
      </c>
      <c r="Q956" s="316">
        <v>4.1208100621441144</v>
      </c>
      <c r="R956" s="316">
        <v>21.328335754212045</v>
      </c>
      <c r="S956" s="316">
        <v>19.700435448909055</v>
      </c>
      <c r="T956" s="316">
        <v>38.01051495144241</v>
      </c>
      <c r="U956" s="316">
        <v>11.890507185746278</v>
      </c>
      <c r="V956" s="317">
        <v>131.14084094431976</v>
      </c>
      <c r="W956" s="317">
        <v>229.82275202228396</v>
      </c>
      <c r="X956" s="316">
        <v>28.775658834229326</v>
      </c>
      <c r="Y956" s="332">
        <v>258.59841085651328</v>
      </c>
    </row>
    <row r="957" spans="1:25" x14ac:dyDescent="0.2">
      <c r="A957" s="233">
        <v>2022</v>
      </c>
      <c r="B957" s="316" t="s">
        <v>466</v>
      </c>
      <c r="C957" s="316" t="s">
        <v>261</v>
      </c>
      <c r="D957" s="316" t="s">
        <v>484</v>
      </c>
      <c r="E957" s="316" t="s">
        <v>266</v>
      </c>
      <c r="F957" s="316" t="s">
        <v>264</v>
      </c>
      <c r="G957" s="316" t="s">
        <v>268</v>
      </c>
      <c r="H957" s="316">
        <v>7.212236539503456</v>
      </c>
      <c r="I957" s="316">
        <v>0</v>
      </c>
      <c r="J957" s="317">
        <v>7.212236539503456</v>
      </c>
      <c r="K957" s="316">
        <v>0.80557800211439023</v>
      </c>
      <c r="L957" s="316">
        <v>3.2648483653508813</v>
      </c>
      <c r="M957" s="317">
        <v>4.0704263674652719</v>
      </c>
      <c r="N957" s="316">
        <v>3.9861906549370376</v>
      </c>
      <c r="O957" s="316">
        <v>9.9382364881488154</v>
      </c>
      <c r="P957" s="316">
        <v>2.2554910215792803</v>
      </c>
      <c r="Q957" s="316">
        <v>0.60139887330262121</v>
      </c>
      <c r="R957" s="316">
        <v>8.0336104875014698</v>
      </c>
      <c r="S957" s="316">
        <v>5.7633864600300226</v>
      </c>
      <c r="T957" s="316">
        <v>8.7384644945159398</v>
      </c>
      <c r="U957" s="316">
        <v>3.763530206291009</v>
      </c>
      <c r="V957" s="317">
        <v>43.080308686306196</v>
      </c>
      <c r="W957" s="317">
        <v>54.362971593274928</v>
      </c>
      <c r="X957" s="316">
        <v>6.0150286805323159</v>
      </c>
      <c r="Y957" s="332">
        <v>60.378000273807245</v>
      </c>
    </row>
    <row r="958" spans="1:25" x14ac:dyDescent="0.2">
      <c r="A958" s="233">
        <v>2022</v>
      </c>
      <c r="B958" s="316" t="s">
        <v>466</v>
      </c>
      <c r="C958" s="316" t="s">
        <v>261</v>
      </c>
      <c r="D958" s="316" t="s">
        <v>483</v>
      </c>
      <c r="E958" s="316" t="s">
        <v>269</v>
      </c>
      <c r="F958" s="316" t="s">
        <v>264</v>
      </c>
      <c r="G958" s="316" t="s">
        <v>271</v>
      </c>
      <c r="H958" s="316">
        <v>17.129116258259835</v>
      </c>
      <c r="I958" s="316">
        <v>0</v>
      </c>
      <c r="J958" s="317">
        <v>17.129116258259835</v>
      </c>
      <c r="K958" s="316">
        <v>1.2633148535653229</v>
      </c>
      <c r="L958" s="316">
        <v>3.6606793811712497</v>
      </c>
      <c r="M958" s="317">
        <v>4.9239942347365728</v>
      </c>
      <c r="N958" s="316">
        <v>3.5586712846489328</v>
      </c>
      <c r="O958" s="316">
        <v>7.5453980968787322</v>
      </c>
      <c r="P958" s="316">
        <v>2.3040188159364967</v>
      </c>
      <c r="Q958" s="316">
        <v>1.3540499372372781</v>
      </c>
      <c r="R958" s="316">
        <v>7.2647489753656993</v>
      </c>
      <c r="S958" s="316">
        <v>6.1628902508662389</v>
      </c>
      <c r="T958" s="316">
        <v>14.132303878292927</v>
      </c>
      <c r="U958" s="316">
        <v>3.1456976677927981</v>
      </c>
      <c r="V958" s="317">
        <v>45.467778907019103</v>
      </c>
      <c r="W958" s="317">
        <v>67.520889400015506</v>
      </c>
      <c r="X958" s="316">
        <v>7.9339246344549421</v>
      </c>
      <c r="Y958" s="332">
        <v>75.454814034470445</v>
      </c>
    </row>
    <row r="959" spans="1:25" x14ac:dyDescent="0.2">
      <c r="A959" s="233">
        <v>2022</v>
      </c>
      <c r="B959" s="316" t="s">
        <v>466</v>
      </c>
      <c r="C959" s="316" t="s">
        <v>261</v>
      </c>
      <c r="D959" s="316" t="s">
        <v>485</v>
      </c>
      <c r="E959" s="316" t="s">
        <v>272</v>
      </c>
      <c r="F959" s="316" t="s">
        <v>264</v>
      </c>
      <c r="G959" s="316" t="s">
        <v>273</v>
      </c>
      <c r="H959" s="316">
        <v>7.9512035935765173</v>
      </c>
      <c r="I959" s="316">
        <v>5.2736310799472239</v>
      </c>
      <c r="J959" s="317">
        <v>13.224834673523741</v>
      </c>
      <c r="K959" s="316">
        <v>12.670971315232052</v>
      </c>
      <c r="L959" s="316">
        <v>2.9938111039248012</v>
      </c>
      <c r="M959" s="317">
        <v>15.664782419156854</v>
      </c>
      <c r="N959" s="316">
        <v>20.353640989632225</v>
      </c>
      <c r="O959" s="316">
        <v>20.219820102993676</v>
      </c>
      <c r="P959" s="316">
        <v>7.6688353816655894</v>
      </c>
      <c r="Q959" s="316">
        <v>2.0045486800111987</v>
      </c>
      <c r="R959" s="316">
        <v>18.239318331150315</v>
      </c>
      <c r="S959" s="316">
        <v>18.092932969696054</v>
      </c>
      <c r="T959" s="316">
        <v>18.601963707331837</v>
      </c>
      <c r="U959" s="316">
        <v>7.0547036229864641</v>
      </c>
      <c r="V959" s="317">
        <v>112.23576378546736</v>
      </c>
      <c r="W959" s="317">
        <v>141.12538087814795</v>
      </c>
      <c r="X959" s="316">
        <v>15.661816990108525</v>
      </c>
      <c r="Y959" s="332">
        <v>156.78719786825647</v>
      </c>
    </row>
    <row r="960" spans="1:25" x14ac:dyDescent="0.2">
      <c r="A960" s="233">
        <v>2022</v>
      </c>
      <c r="B960" s="316" t="s">
        <v>466</v>
      </c>
      <c r="C960" s="316" t="s">
        <v>261</v>
      </c>
      <c r="D960" s="316" t="s">
        <v>484</v>
      </c>
      <c r="E960" s="316" t="s">
        <v>274</v>
      </c>
      <c r="F960" s="316" t="s">
        <v>264</v>
      </c>
      <c r="G960" s="316" t="s">
        <v>275</v>
      </c>
      <c r="H960" s="316">
        <v>7.74374523581064</v>
      </c>
      <c r="I960" s="316">
        <v>4.3651224675496714</v>
      </c>
      <c r="J960" s="317">
        <v>12.10886770336031</v>
      </c>
      <c r="K960" s="316">
        <v>1.3106471581033352</v>
      </c>
      <c r="L960" s="316">
        <v>3.4496281291184454</v>
      </c>
      <c r="M960" s="317">
        <v>4.7602752872217806</v>
      </c>
      <c r="N960" s="316">
        <v>9.83272022586935</v>
      </c>
      <c r="O960" s="316">
        <v>3.5424605382247161</v>
      </c>
      <c r="P960" s="316">
        <v>0.91698683142469772</v>
      </c>
      <c r="Q960" s="316">
        <v>0.34605919184721157</v>
      </c>
      <c r="R960" s="316">
        <v>4.865067961548597</v>
      </c>
      <c r="S960" s="316">
        <v>4.9449011404054479</v>
      </c>
      <c r="T960" s="316">
        <v>4.811132740778973</v>
      </c>
      <c r="U960" s="316">
        <v>1.5070761772878729</v>
      </c>
      <c r="V960" s="317">
        <v>30.76640480738687</v>
      </c>
      <c r="W960" s="317">
        <v>47.635547797968961</v>
      </c>
      <c r="X960" s="316">
        <v>5.946262993719543</v>
      </c>
      <c r="Y960" s="332">
        <v>53.581810791688504</v>
      </c>
    </row>
    <row r="961" spans="1:25" x14ac:dyDescent="0.2">
      <c r="A961" s="233">
        <v>2022</v>
      </c>
      <c r="B961" s="316" t="s">
        <v>466</v>
      </c>
      <c r="C961" s="316" t="s">
        <v>261</v>
      </c>
      <c r="D961" s="316" t="s">
        <v>486</v>
      </c>
      <c r="E961" s="316" t="s">
        <v>276</v>
      </c>
      <c r="F961" s="316" t="s">
        <v>264</v>
      </c>
      <c r="G961" s="316" t="s">
        <v>277</v>
      </c>
      <c r="H961" s="316">
        <v>71.931116598725922</v>
      </c>
      <c r="I961" s="316">
        <v>0</v>
      </c>
      <c r="J961" s="317">
        <v>71.931116598725922</v>
      </c>
      <c r="K961" s="316">
        <v>33.867039709509697</v>
      </c>
      <c r="L961" s="316">
        <v>13.869041942433617</v>
      </c>
      <c r="M961" s="317">
        <v>47.736081651943316</v>
      </c>
      <c r="N961" s="316">
        <v>30.910561416089212</v>
      </c>
      <c r="O961" s="316">
        <v>144.29891459687067</v>
      </c>
      <c r="P961" s="316">
        <v>31.439679345008841</v>
      </c>
      <c r="Q961" s="316">
        <v>17.476388152704768</v>
      </c>
      <c r="R961" s="316">
        <v>106.05935985009758</v>
      </c>
      <c r="S961" s="316">
        <v>78.532852868082429</v>
      </c>
      <c r="T961" s="316">
        <v>71.036915556133494</v>
      </c>
      <c r="U961" s="316">
        <v>40.648681717353348</v>
      </c>
      <c r="V961" s="317">
        <v>520.40335350234045</v>
      </c>
      <c r="W961" s="317">
        <v>640.07055175300968</v>
      </c>
      <c r="X961" s="316">
        <v>69.552886722222681</v>
      </c>
      <c r="Y961" s="332">
        <v>709.62343847523232</v>
      </c>
    </row>
    <row r="962" spans="1:25" x14ac:dyDescent="0.2">
      <c r="A962" s="233">
        <v>2022</v>
      </c>
      <c r="B962" s="316" t="s">
        <v>466</v>
      </c>
      <c r="C962" s="316" t="s">
        <v>261</v>
      </c>
      <c r="D962" s="316" t="s">
        <v>484</v>
      </c>
      <c r="E962" s="316" t="s">
        <v>278</v>
      </c>
      <c r="F962" s="316" t="s">
        <v>264</v>
      </c>
      <c r="G962" s="316" t="s">
        <v>279</v>
      </c>
      <c r="H962" s="316">
        <v>208.04664577054976</v>
      </c>
      <c r="I962" s="316">
        <v>0</v>
      </c>
      <c r="J962" s="317">
        <v>208.04664577054976</v>
      </c>
      <c r="K962" s="316">
        <v>10.6724705207018</v>
      </c>
      <c r="L962" s="316">
        <v>21.408951848120889</v>
      </c>
      <c r="M962" s="317">
        <v>32.081422368822686</v>
      </c>
      <c r="N962" s="316">
        <v>7.2957909698233774</v>
      </c>
      <c r="O962" s="316">
        <v>36.665758341390273</v>
      </c>
      <c r="P962" s="316">
        <v>12.682803352320379</v>
      </c>
      <c r="Q962" s="316">
        <v>3.2926183480250706</v>
      </c>
      <c r="R962" s="316">
        <v>35.198528867891802</v>
      </c>
      <c r="S962" s="316">
        <v>17.971817398029966</v>
      </c>
      <c r="T962" s="316">
        <v>23.058230073021008</v>
      </c>
      <c r="U962" s="316">
        <v>11.087714475365358</v>
      </c>
      <c r="V962" s="317">
        <v>147.25326182586721</v>
      </c>
      <c r="W962" s="317">
        <v>387.38132996523962</v>
      </c>
      <c r="X962" s="316">
        <v>52.471789861559756</v>
      </c>
      <c r="Y962" s="332">
        <v>439.85311982679934</v>
      </c>
    </row>
    <row r="963" spans="1:25" x14ac:dyDescent="0.2">
      <c r="A963" s="233">
        <v>2022</v>
      </c>
      <c r="B963" s="316" t="s">
        <v>466</v>
      </c>
      <c r="C963" s="316" t="s">
        <v>261</v>
      </c>
      <c r="D963" s="316" t="s">
        <v>486</v>
      </c>
      <c r="E963" s="316" t="s">
        <v>280</v>
      </c>
      <c r="F963" s="316" t="s">
        <v>264</v>
      </c>
      <c r="G963" s="316" t="s">
        <v>281</v>
      </c>
      <c r="H963" s="316">
        <v>28.508853245931132</v>
      </c>
      <c r="I963" s="316">
        <v>17.400093403498609</v>
      </c>
      <c r="J963" s="317">
        <v>45.908946649429737</v>
      </c>
      <c r="K963" s="316">
        <v>23.129695045487427</v>
      </c>
      <c r="L963" s="316">
        <v>19.870413024284296</v>
      </c>
      <c r="M963" s="317">
        <v>43.000108069771727</v>
      </c>
      <c r="N963" s="316">
        <v>35.624110858240662</v>
      </c>
      <c r="O963" s="316">
        <v>107.96959325232983</v>
      </c>
      <c r="P963" s="316">
        <v>22.641599119115948</v>
      </c>
      <c r="Q963" s="316">
        <v>8.4911410939330949</v>
      </c>
      <c r="R963" s="316">
        <v>76.864132043642712</v>
      </c>
      <c r="S963" s="316">
        <v>51.311874493111624</v>
      </c>
      <c r="T963" s="316">
        <v>59.20141736941342</v>
      </c>
      <c r="U963" s="316">
        <v>24.245156235843847</v>
      </c>
      <c r="V963" s="317">
        <v>386.34902446563115</v>
      </c>
      <c r="W963" s="317">
        <v>475.25807918483258</v>
      </c>
      <c r="X963" s="316">
        <v>51.982450749323945</v>
      </c>
      <c r="Y963" s="332">
        <v>527.24052993415648</v>
      </c>
    </row>
    <row r="964" spans="1:25" x14ac:dyDescent="0.2">
      <c r="A964" s="233">
        <v>2022</v>
      </c>
      <c r="B964" s="316" t="s">
        <v>466</v>
      </c>
      <c r="C964" s="316" t="s">
        <v>261</v>
      </c>
      <c r="D964" s="316" t="s">
        <v>486</v>
      </c>
      <c r="E964" s="316" t="s">
        <v>282</v>
      </c>
      <c r="F964" s="316" t="s">
        <v>264</v>
      </c>
      <c r="G964" s="316" t="s">
        <v>284</v>
      </c>
      <c r="H964" s="316">
        <v>93.113094693736173</v>
      </c>
      <c r="I964" s="316">
        <v>0</v>
      </c>
      <c r="J964" s="317">
        <v>93.113094693736173</v>
      </c>
      <c r="K964" s="316">
        <v>33.128982159250945</v>
      </c>
      <c r="L964" s="316">
        <v>11.245870706082737</v>
      </c>
      <c r="M964" s="317">
        <v>44.374852865333679</v>
      </c>
      <c r="N964" s="316">
        <v>11.671187827989279</v>
      </c>
      <c r="O964" s="316">
        <v>91.699659123217387</v>
      </c>
      <c r="P964" s="316">
        <v>17.950249712574411</v>
      </c>
      <c r="Q964" s="316">
        <v>11.564130880279361</v>
      </c>
      <c r="R964" s="316">
        <v>54.948411634264893</v>
      </c>
      <c r="S964" s="316">
        <v>43.27917392143609</v>
      </c>
      <c r="T964" s="316">
        <v>54.735763754702234</v>
      </c>
      <c r="U964" s="316">
        <v>19.600504556527728</v>
      </c>
      <c r="V964" s="317">
        <v>305.44908141099137</v>
      </c>
      <c r="W964" s="317">
        <v>442.93702897006125</v>
      </c>
      <c r="X964" s="316">
        <v>50.808456167374125</v>
      </c>
      <c r="Y964" s="332">
        <v>493.74548513743537</v>
      </c>
    </row>
    <row r="965" spans="1:25" x14ac:dyDescent="0.2">
      <c r="A965" s="233">
        <v>2022</v>
      </c>
      <c r="B965" s="316" t="s">
        <v>466</v>
      </c>
      <c r="C965" s="316" t="s">
        <v>261</v>
      </c>
      <c r="D965" s="316" t="s">
        <v>484</v>
      </c>
      <c r="E965" s="316" t="s">
        <v>285</v>
      </c>
      <c r="F965" s="316" t="s">
        <v>264</v>
      </c>
      <c r="G965" s="316" t="s">
        <v>286</v>
      </c>
      <c r="H965" s="316">
        <v>12.946523644190911</v>
      </c>
      <c r="I965" s="316">
        <v>0</v>
      </c>
      <c r="J965" s="317">
        <v>12.946523644190911</v>
      </c>
      <c r="K965" s="316">
        <v>3.3945959784413504</v>
      </c>
      <c r="L965" s="316">
        <v>2.3934564477104576</v>
      </c>
      <c r="M965" s="317">
        <v>5.7880524261518076</v>
      </c>
      <c r="N965" s="316">
        <v>5.9302504707078425</v>
      </c>
      <c r="O965" s="316">
        <v>12.230156278493311</v>
      </c>
      <c r="P965" s="316">
        <v>5.2033256928683924</v>
      </c>
      <c r="Q965" s="316">
        <v>1.5285870709720739</v>
      </c>
      <c r="R965" s="316">
        <v>16.713142790072855</v>
      </c>
      <c r="S965" s="316">
        <v>8.2794780473801008</v>
      </c>
      <c r="T965" s="316">
        <v>12.579848106904812</v>
      </c>
      <c r="U965" s="316">
        <v>4.5593645763179582</v>
      </c>
      <c r="V965" s="317">
        <v>67.024153033717354</v>
      </c>
      <c r="W965" s="317">
        <v>85.75872910406008</v>
      </c>
      <c r="X965" s="316">
        <v>9.4920536120088368</v>
      </c>
      <c r="Y965" s="332">
        <v>95.250782716068912</v>
      </c>
    </row>
    <row r="966" spans="1:25" x14ac:dyDescent="0.2">
      <c r="A966" s="233">
        <v>2022</v>
      </c>
      <c r="B966" s="316" t="s">
        <v>466</v>
      </c>
      <c r="C966" s="316" t="s">
        <v>261</v>
      </c>
      <c r="D966" s="316" t="s">
        <v>486</v>
      </c>
      <c r="E966" s="316" t="s">
        <v>287</v>
      </c>
      <c r="F966" s="316" t="s">
        <v>264</v>
      </c>
      <c r="G966" s="316" t="s">
        <v>288</v>
      </c>
      <c r="H966" s="316">
        <v>45.929822581246654</v>
      </c>
      <c r="I966" s="316">
        <v>0</v>
      </c>
      <c r="J966" s="317">
        <v>45.929822581246654</v>
      </c>
      <c r="K966" s="316">
        <v>598.60166034054407</v>
      </c>
      <c r="L966" s="316">
        <v>78.351378294510383</v>
      </c>
      <c r="M966" s="317">
        <v>676.95303863505444</v>
      </c>
      <c r="N966" s="316">
        <v>60.976195732299409</v>
      </c>
      <c r="O966" s="316">
        <v>157.76358496526657</v>
      </c>
      <c r="P966" s="316">
        <v>29.841954063445119</v>
      </c>
      <c r="Q966" s="316">
        <v>11.286690580934321</v>
      </c>
      <c r="R966" s="316">
        <v>89.557125589576799</v>
      </c>
      <c r="S966" s="316">
        <v>81.559260459180067</v>
      </c>
      <c r="T966" s="316">
        <v>47.454730568168969</v>
      </c>
      <c r="U966" s="316">
        <v>32.11916915425023</v>
      </c>
      <c r="V966" s="317">
        <v>510.55871111312149</v>
      </c>
      <c r="W966" s="317">
        <v>1233.4415723294228</v>
      </c>
      <c r="X966" s="316">
        <v>128.40275967839165</v>
      </c>
      <c r="Y966" s="332">
        <v>1361.8443320078145</v>
      </c>
    </row>
    <row r="967" spans="1:25" x14ac:dyDescent="0.2">
      <c r="A967" s="233">
        <v>2022</v>
      </c>
      <c r="B967" s="316" t="s">
        <v>466</v>
      </c>
      <c r="C967" s="316" t="s">
        <v>261</v>
      </c>
      <c r="D967" s="316" t="s">
        <v>484</v>
      </c>
      <c r="E967" s="316" t="s">
        <v>289</v>
      </c>
      <c r="F967" s="316" t="s">
        <v>264</v>
      </c>
      <c r="G967" s="316" t="s">
        <v>290</v>
      </c>
      <c r="H967" s="316">
        <v>2.5133461380831092</v>
      </c>
      <c r="I967" s="316">
        <v>0</v>
      </c>
      <c r="J967" s="317">
        <v>2.5133461380831092</v>
      </c>
      <c r="K967" s="316">
        <v>8.7513062670212012</v>
      </c>
      <c r="L967" s="316">
        <v>15.15212080615982</v>
      </c>
      <c r="M967" s="317">
        <v>23.903427073181021</v>
      </c>
      <c r="N967" s="316">
        <v>17.247496410416606</v>
      </c>
      <c r="O967" s="316">
        <v>123.89321756476258</v>
      </c>
      <c r="P967" s="316">
        <v>13.386951974441022</v>
      </c>
      <c r="Q967" s="316">
        <v>4.0533259979125962</v>
      </c>
      <c r="R967" s="316">
        <v>62.579755616350248</v>
      </c>
      <c r="S967" s="316">
        <v>45.057463886456475</v>
      </c>
      <c r="T967" s="316">
        <v>62.889011678329879</v>
      </c>
      <c r="U967" s="316">
        <v>17.978171002547558</v>
      </c>
      <c r="V967" s="317">
        <v>347.08539413121696</v>
      </c>
      <c r="W967" s="317">
        <v>373.50216734248113</v>
      </c>
      <c r="X967" s="316">
        <v>38.541572557541329</v>
      </c>
      <c r="Y967" s="332">
        <v>412.04373990002244</v>
      </c>
    </row>
    <row r="968" spans="1:25" x14ac:dyDescent="0.2">
      <c r="A968" s="233">
        <v>2022</v>
      </c>
      <c r="B968" s="316" t="s">
        <v>466</v>
      </c>
      <c r="C968" s="316" t="s">
        <v>261</v>
      </c>
      <c r="D968" s="316" t="s">
        <v>486</v>
      </c>
      <c r="E968" s="316" t="s">
        <v>291</v>
      </c>
      <c r="F968" s="316" t="s">
        <v>264</v>
      </c>
      <c r="G968" s="316" t="s">
        <v>292</v>
      </c>
      <c r="H968" s="316">
        <v>23.541344534251042</v>
      </c>
      <c r="I968" s="316">
        <v>13.042393296807401</v>
      </c>
      <c r="J968" s="317">
        <v>36.583737831058443</v>
      </c>
      <c r="K968" s="316">
        <v>62.169873921255387</v>
      </c>
      <c r="L968" s="316">
        <v>27.844260189469495</v>
      </c>
      <c r="M968" s="317">
        <v>90.014134110724882</v>
      </c>
      <c r="N968" s="316">
        <v>50.831606198291958</v>
      </c>
      <c r="O968" s="316">
        <v>227.11127420533631</v>
      </c>
      <c r="P968" s="316">
        <v>45.465334590218028</v>
      </c>
      <c r="Q968" s="316">
        <v>34.694653291957998</v>
      </c>
      <c r="R968" s="316">
        <v>141.7933140319048</v>
      </c>
      <c r="S968" s="316">
        <v>93.011585288057418</v>
      </c>
      <c r="T968" s="316">
        <v>73.119106691165456</v>
      </c>
      <c r="U968" s="316">
        <v>46.740799615808335</v>
      </c>
      <c r="V968" s="317">
        <v>712.76767391274041</v>
      </c>
      <c r="W968" s="317">
        <v>839.3655458545237</v>
      </c>
      <c r="X968" s="316">
        <v>88.275950196273584</v>
      </c>
      <c r="Y968" s="332">
        <v>927.64149605079729</v>
      </c>
    </row>
    <row r="969" spans="1:25" x14ac:dyDescent="0.2">
      <c r="A969" s="233">
        <v>2022</v>
      </c>
      <c r="B969" s="316" t="s">
        <v>466</v>
      </c>
      <c r="C969" s="316" t="s">
        <v>261</v>
      </c>
      <c r="D969" s="316" t="s">
        <v>486</v>
      </c>
      <c r="E969" s="316" t="s">
        <v>293</v>
      </c>
      <c r="F969" s="316" t="s">
        <v>264</v>
      </c>
      <c r="G969" s="316" t="s">
        <v>295</v>
      </c>
      <c r="H969" s="316">
        <v>22.327922929446601</v>
      </c>
      <c r="I969" s="316">
        <v>11.683843930874037</v>
      </c>
      <c r="J969" s="317">
        <v>34.011766860320634</v>
      </c>
      <c r="K969" s="316">
        <v>26.452372134598047</v>
      </c>
      <c r="L969" s="316">
        <v>9.9503724473005715</v>
      </c>
      <c r="M969" s="317">
        <v>36.402744581898617</v>
      </c>
      <c r="N969" s="316">
        <v>12.521501512016783</v>
      </c>
      <c r="O969" s="316">
        <v>59.86638677064731</v>
      </c>
      <c r="P969" s="316">
        <v>8.6108533022554514</v>
      </c>
      <c r="Q969" s="316">
        <v>8.641628509346118</v>
      </c>
      <c r="R969" s="316">
        <v>32.611599034180188</v>
      </c>
      <c r="S969" s="316">
        <v>29.005971458765309</v>
      </c>
      <c r="T969" s="316">
        <v>35.681339896952515</v>
      </c>
      <c r="U969" s="316">
        <v>14.859374921946293</v>
      </c>
      <c r="V969" s="317">
        <v>201.79865540610996</v>
      </c>
      <c r="W969" s="317">
        <v>272.21316684832919</v>
      </c>
      <c r="X969" s="316">
        <v>30.112859720983476</v>
      </c>
      <c r="Y969" s="332">
        <v>302.32602656931266</v>
      </c>
    </row>
    <row r="970" spans="1:25" x14ac:dyDescent="0.2">
      <c r="A970" s="233">
        <v>2022</v>
      </c>
      <c r="B970" s="316" t="s">
        <v>466</v>
      </c>
      <c r="C970" s="316" t="s">
        <v>261</v>
      </c>
      <c r="D970" s="316" t="s">
        <v>486</v>
      </c>
      <c r="E970" s="316" t="s">
        <v>296</v>
      </c>
      <c r="F970" s="316" t="s">
        <v>264</v>
      </c>
      <c r="G970" s="316" t="s">
        <v>297</v>
      </c>
      <c r="H970" s="316">
        <v>86.665255651236819</v>
      </c>
      <c r="I970" s="316">
        <v>45.522188819415007</v>
      </c>
      <c r="J970" s="317">
        <v>132.18744447065183</v>
      </c>
      <c r="K970" s="316">
        <v>432.58332983666315</v>
      </c>
      <c r="L970" s="316">
        <v>81.029929873125354</v>
      </c>
      <c r="M970" s="317">
        <v>513.61325970978851</v>
      </c>
      <c r="N970" s="316">
        <v>42.772698486336104</v>
      </c>
      <c r="O970" s="316">
        <v>173.03708178383081</v>
      </c>
      <c r="P970" s="316">
        <v>47.347175106804492</v>
      </c>
      <c r="Q970" s="316">
        <v>19.477781296394333</v>
      </c>
      <c r="R970" s="316">
        <v>99.422136476648433</v>
      </c>
      <c r="S970" s="316">
        <v>94.13101186621715</v>
      </c>
      <c r="T970" s="316">
        <v>87.999067512784521</v>
      </c>
      <c r="U970" s="316">
        <v>39.991331101729052</v>
      </c>
      <c r="V970" s="317">
        <v>604.178283630745</v>
      </c>
      <c r="W970" s="317">
        <v>1249.9789878111853</v>
      </c>
      <c r="X970" s="316">
        <v>135.4835125590759</v>
      </c>
      <c r="Y970" s="332">
        <v>1385.4625003702613</v>
      </c>
    </row>
    <row r="971" spans="1:25" x14ac:dyDescent="0.2">
      <c r="A971" s="233">
        <v>2022</v>
      </c>
      <c r="B971" s="316" t="s">
        <v>466</v>
      </c>
      <c r="C971" s="316" t="s">
        <v>261</v>
      </c>
      <c r="D971" s="316" t="s">
        <v>483</v>
      </c>
      <c r="E971" s="316" t="s">
        <v>298</v>
      </c>
      <c r="F971" s="316" t="s">
        <v>264</v>
      </c>
      <c r="G971" s="316" t="s">
        <v>299</v>
      </c>
      <c r="H971" s="316">
        <v>22.670697869091065</v>
      </c>
      <c r="I971" s="316">
        <v>0</v>
      </c>
      <c r="J971" s="317">
        <v>22.670697869091065</v>
      </c>
      <c r="K971" s="316">
        <v>2.6671508092931391</v>
      </c>
      <c r="L971" s="316">
        <v>9.5268504570762662</v>
      </c>
      <c r="M971" s="317">
        <v>12.194001266369405</v>
      </c>
      <c r="N971" s="316">
        <v>15.60352974244439</v>
      </c>
      <c r="O971" s="316">
        <v>10.155119644742866</v>
      </c>
      <c r="P971" s="316">
        <v>1.9686659638875079</v>
      </c>
      <c r="Q971" s="316">
        <v>0.93053260479629674</v>
      </c>
      <c r="R971" s="316">
        <v>5.8536246136468071</v>
      </c>
      <c r="S971" s="316">
        <v>10.107142903185295</v>
      </c>
      <c r="T971" s="316">
        <v>13.046588560248166</v>
      </c>
      <c r="U971" s="316">
        <v>3.2660124275539708</v>
      </c>
      <c r="V971" s="317">
        <v>60.931216460505297</v>
      </c>
      <c r="W971" s="317">
        <v>95.795915595965766</v>
      </c>
      <c r="X971" s="316">
        <v>11.604861090570973</v>
      </c>
      <c r="Y971" s="332">
        <v>107.40077668653674</v>
      </c>
    </row>
    <row r="972" spans="1:25" x14ac:dyDescent="0.2">
      <c r="A972" s="233">
        <v>2022</v>
      </c>
      <c r="B972" s="316" t="s">
        <v>466</v>
      </c>
      <c r="C972" s="316" t="s">
        <v>261</v>
      </c>
      <c r="D972" s="316" t="s">
        <v>486</v>
      </c>
      <c r="E972" s="316" t="s">
        <v>300</v>
      </c>
      <c r="F972" s="316" t="s">
        <v>264</v>
      </c>
      <c r="G972" s="316" t="s">
        <v>301</v>
      </c>
      <c r="H972" s="316">
        <v>20.365099960635913</v>
      </c>
      <c r="I972" s="316">
        <v>10.920862480608189</v>
      </c>
      <c r="J972" s="317">
        <v>31.285962441244102</v>
      </c>
      <c r="K972" s="316">
        <v>1644.766368406561</v>
      </c>
      <c r="L972" s="316">
        <v>227.71777721188542</v>
      </c>
      <c r="M972" s="317">
        <v>1872.4841456184465</v>
      </c>
      <c r="N972" s="316">
        <v>131.64366439432698</v>
      </c>
      <c r="O972" s="316">
        <v>730.65072092823129</v>
      </c>
      <c r="P972" s="316">
        <v>68.130580785148666</v>
      </c>
      <c r="Q972" s="316">
        <v>67.089975135892573</v>
      </c>
      <c r="R972" s="316">
        <v>220.38755643449733</v>
      </c>
      <c r="S972" s="316">
        <v>251.26653327078964</v>
      </c>
      <c r="T972" s="316">
        <v>255.92657420291368</v>
      </c>
      <c r="U972" s="316">
        <v>78.530658056128871</v>
      </c>
      <c r="V972" s="317">
        <v>1803.626263207929</v>
      </c>
      <c r="W972" s="317">
        <v>3707.3963712676195</v>
      </c>
      <c r="X972" s="316">
        <v>380.61065576863899</v>
      </c>
      <c r="Y972" s="332">
        <v>4088.0070270362585</v>
      </c>
    </row>
    <row r="973" spans="1:25" x14ac:dyDescent="0.2">
      <c r="A973" s="233">
        <v>2022</v>
      </c>
      <c r="B973" s="316" t="s">
        <v>466</v>
      </c>
      <c r="C973" s="316" t="s">
        <v>261</v>
      </c>
      <c r="D973" s="316" t="s">
        <v>484</v>
      </c>
      <c r="E973" s="316" t="s">
        <v>302</v>
      </c>
      <c r="F973" s="316" t="s">
        <v>264</v>
      </c>
      <c r="G973" s="316" t="s">
        <v>303</v>
      </c>
      <c r="H973" s="316">
        <v>6.5193916386104513</v>
      </c>
      <c r="I973" s="316">
        <v>6.7414398755553853</v>
      </c>
      <c r="J973" s="317">
        <v>13.260831514165837</v>
      </c>
      <c r="K973" s="316">
        <v>16.068211082492944</v>
      </c>
      <c r="L973" s="316">
        <v>38.374959220609824</v>
      </c>
      <c r="M973" s="317">
        <v>54.443170303102768</v>
      </c>
      <c r="N973" s="316">
        <v>43.817506136539066</v>
      </c>
      <c r="O973" s="316">
        <v>178.07128129255767</v>
      </c>
      <c r="P973" s="316">
        <v>35.843991025672473</v>
      </c>
      <c r="Q973" s="316">
        <v>15.643568980383201</v>
      </c>
      <c r="R973" s="316">
        <v>132.28006100303617</v>
      </c>
      <c r="S973" s="316">
        <v>113.56822904081801</v>
      </c>
      <c r="T973" s="316">
        <v>217.55936208603549</v>
      </c>
      <c r="U973" s="316">
        <v>59.720592439029204</v>
      </c>
      <c r="V973" s="317">
        <v>796.50459200407124</v>
      </c>
      <c r="W973" s="317">
        <v>864.20859382133983</v>
      </c>
      <c r="X973" s="316">
        <v>88.344446656184459</v>
      </c>
      <c r="Y973" s="332">
        <v>952.55304047752429</v>
      </c>
    </row>
    <row r="974" spans="1:25" x14ac:dyDescent="0.2">
      <c r="A974" s="233">
        <v>2022</v>
      </c>
      <c r="B974" s="316" t="s">
        <v>466</v>
      </c>
      <c r="C974" s="316" t="s">
        <v>261</v>
      </c>
      <c r="D974" s="316" t="s">
        <v>485</v>
      </c>
      <c r="E974" s="316" t="s">
        <v>304</v>
      </c>
      <c r="F974" s="316" t="s">
        <v>264</v>
      </c>
      <c r="G974" s="316" t="s">
        <v>305</v>
      </c>
      <c r="H974" s="316">
        <v>4.5545329983646514</v>
      </c>
      <c r="I974" s="316">
        <v>0</v>
      </c>
      <c r="J974" s="317">
        <v>4.5545329983646514</v>
      </c>
      <c r="K974" s="316">
        <v>1.0641994448270105</v>
      </c>
      <c r="L974" s="316">
        <v>3.6389638772782091</v>
      </c>
      <c r="M974" s="317">
        <v>4.7031633221052198</v>
      </c>
      <c r="N974" s="316">
        <v>6.3190166141072091</v>
      </c>
      <c r="O974" s="316">
        <v>10.784007616466351</v>
      </c>
      <c r="P974" s="316">
        <v>3.5541955548939743</v>
      </c>
      <c r="Q974" s="316">
        <v>0.98166447049543848</v>
      </c>
      <c r="R974" s="316">
        <v>9.7205572432875105</v>
      </c>
      <c r="S974" s="316">
        <v>7.8028393738099897</v>
      </c>
      <c r="T974" s="316">
        <v>16.122691694096243</v>
      </c>
      <c r="U974" s="316">
        <v>4.8624170930831179</v>
      </c>
      <c r="V974" s="317">
        <v>60.147389660239831</v>
      </c>
      <c r="W974" s="317">
        <v>69.4050859807097</v>
      </c>
      <c r="X974" s="316">
        <v>7.3788749664554034</v>
      </c>
      <c r="Y974" s="332">
        <v>76.783960947165099</v>
      </c>
    </row>
    <row r="975" spans="1:25" x14ac:dyDescent="0.2">
      <c r="A975" s="233">
        <v>2022</v>
      </c>
      <c r="B975" s="316" t="s">
        <v>466</v>
      </c>
      <c r="C975" s="316" t="s">
        <v>261</v>
      </c>
      <c r="D975" s="316" t="s">
        <v>485</v>
      </c>
      <c r="E975" s="316" t="s">
        <v>306</v>
      </c>
      <c r="F975" s="316" t="s">
        <v>264</v>
      </c>
      <c r="G975" s="316" t="s">
        <v>307</v>
      </c>
      <c r="H975" s="316">
        <v>5.8828481819135874</v>
      </c>
      <c r="I975" s="316">
        <v>0</v>
      </c>
      <c r="J975" s="317">
        <v>5.8828481819135874</v>
      </c>
      <c r="K975" s="316">
        <v>3.2942633705195008</v>
      </c>
      <c r="L975" s="316">
        <v>6.2684900889318511</v>
      </c>
      <c r="M975" s="317">
        <v>9.5627534594513524</v>
      </c>
      <c r="N975" s="316">
        <v>26.310250495834293</v>
      </c>
      <c r="O975" s="316">
        <v>15.3388967545156</v>
      </c>
      <c r="P975" s="316">
        <v>4.4198060610491794</v>
      </c>
      <c r="Q975" s="316">
        <v>1.2215041503134527</v>
      </c>
      <c r="R975" s="316">
        <v>9.5449518015632311</v>
      </c>
      <c r="S975" s="316">
        <v>14.600881834185488</v>
      </c>
      <c r="T975" s="316">
        <v>15.571502181919215</v>
      </c>
      <c r="U975" s="316">
        <v>5.4532883567086037</v>
      </c>
      <c r="V975" s="317">
        <v>92.461081636089048</v>
      </c>
      <c r="W975" s="317">
        <v>107.90668327745399</v>
      </c>
      <c r="X975" s="316">
        <v>12.074893753142728</v>
      </c>
      <c r="Y975" s="332">
        <v>119.98157703059672</v>
      </c>
    </row>
    <row r="976" spans="1:25" x14ac:dyDescent="0.2">
      <c r="A976" s="233">
        <v>2022</v>
      </c>
      <c r="B976" s="316" t="s">
        <v>466</v>
      </c>
      <c r="C976" s="316" t="s">
        <v>261</v>
      </c>
      <c r="D976" s="316" t="s">
        <v>484</v>
      </c>
      <c r="E976" s="316" t="s">
        <v>308</v>
      </c>
      <c r="F976" s="316" t="s">
        <v>264</v>
      </c>
      <c r="G976" s="316" t="s">
        <v>309</v>
      </c>
      <c r="H976" s="316">
        <v>7.0147967843376318</v>
      </c>
      <c r="I976" s="316">
        <v>3.6015614832195886</v>
      </c>
      <c r="J976" s="317">
        <v>10.616358267557221</v>
      </c>
      <c r="K976" s="316">
        <v>3.4226444206495512</v>
      </c>
      <c r="L976" s="316">
        <v>12.645678871895944</v>
      </c>
      <c r="M976" s="317">
        <v>16.068323292545497</v>
      </c>
      <c r="N976" s="316">
        <v>39.751812450521214</v>
      </c>
      <c r="O976" s="316">
        <v>42.034912340885683</v>
      </c>
      <c r="P976" s="316">
        <v>6.3415953433768308</v>
      </c>
      <c r="Q976" s="316">
        <v>2.5684506655682777</v>
      </c>
      <c r="R976" s="316">
        <v>22.88959869583951</v>
      </c>
      <c r="S976" s="316">
        <v>28.144863153573379</v>
      </c>
      <c r="T976" s="316">
        <v>28.385184738635786</v>
      </c>
      <c r="U976" s="316">
        <v>10.181944229128741</v>
      </c>
      <c r="V976" s="317">
        <v>180.29836161752942</v>
      </c>
      <c r="W976" s="317">
        <v>206.98304317763214</v>
      </c>
      <c r="X976" s="316">
        <v>22.927303203939587</v>
      </c>
      <c r="Y976" s="332">
        <v>229.91034638157174</v>
      </c>
    </row>
    <row r="977" spans="1:25" x14ac:dyDescent="0.2">
      <c r="A977" s="233">
        <v>2022</v>
      </c>
      <c r="B977" s="316" t="s">
        <v>466</v>
      </c>
      <c r="C977" s="316" t="s">
        <v>261</v>
      </c>
      <c r="D977" s="316" t="s">
        <v>486</v>
      </c>
      <c r="E977" s="316" t="s">
        <v>310</v>
      </c>
      <c r="F977" s="316" t="s">
        <v>264</v>
      </c>
      <c r="G977" s="316" t="s">
        <v>311</v>
      </c>
      <c r="H977" s="316">
        <v>87.072457738074718</v>
      </c>
      <c r="I977" s="316">
        <v>0</v>
      </c>
      <c r="J977" s="317">
        <v>87.072457738074718</v>
      </c>
      <c r="K977" s="316">
        <v>7.0842701183183845</v>
      </c>
      <c r="L977" s="316">
        <v>11.458565158275537</v>
      </c>
      <c r="M977" s="317">
        <v>18.54283527659392</v>
      </c>
      <c r="N977" s="316">
        <v>7.4385549088290954</v>
      </c>
      <c r="O977" s="316">
        <v>33.449580291737362</v>
      </c>
      <c r="P977" s="316">
        <v>8.0299952582971699</v>
      </c>
      <c r="Q977" s="316">
        <v>3.2471489841960204</v>
      </c>
      <c r="R977" s="316">
        <v>35.436124097456492</v>
      </c>
      <c r="S977" s="316">
        <v>18.776590830470354</v>
      </c>
      <c r="T977" s="316">
        <v>32.772879253919442</v>
      </c>
      <c r="U977" s="316">
        <v>13.212614232899602</v>
      </c>
      <c r="V977" s="317">
        <v>152.36348785780555</v>
      </c>
      <c r="W977" s="317">
        <v>257.9787808724742</v>
      </c>
      <c r="X977" s="316">
        <v>31.572194612568282</v>
      </c>
      <c r="Y977" s="332">
        <v>289.5509754850425</v>
      </c>
    </row>
    <row r="978" spans="1:25" x14ac:dyDescent="0.2">
      <c r="A978" s="233">
        <v>2022</v>
      </c>
      <c r="B978" s="316" t="s">
        <v>466</v>
      </c>
      <c r="C978" s="316" t="s">
        <v>261</v>
      </c>
      <c r="D978" s="316" t="s">
        <v>483</v>
      </c>
      <c r="E978" s="316" t="s">
        <v>312</v>
      </c>
      <c r="F978" s="316" t="s">
        <v>264</v>
      </c>
      <c r="G978" s="316" t="s">
        <v>313</v>
      </c>
      <c r="H978" s="316">
        <v>125.75051065183868</v>
      </c>
      <c r="I978" s="316">
        <v>104.4337509089459</v>
      </c>
      <c r="J978" s="317">
        <v>230.18426156078459</v>
      </c>
      <c r="K978" s="316">
        <v>295.00064546816304</v>
      </c>
      <c r="L978" s="316">
        <v>15.272833816662439</v>
      </c>
      <c r="M978" s="317">
        <v>310.2734792848255</v>
      </c>
      <c r="N978" s="316">
        <v>59.832153091706111</v>
      </c>
      <c r="O978" s="316">
        <v>46.291358947576143</v>
      </c>
      <c r="P978" s="316">
        <v>11.65278669012487</v>
      </c>
      <c r="Q978" s="316">
        <v>8.4032909587789604</v>
      </c>
      <c r="R978" s="316">
        <v>34.683618766843438</v>
      </c>
      <c r="S978" s="316">
        <v>76.586114487383355</v>
      </c>
      <c r="T978" s="316">
        <v>53.376986879300759</v>
      </c>
      <c r="U978" s="316">
        <v>17.850515370187662</v>
      </c>
      <c r="V978" s="317">
        <v>308.67682519190129</v>
      </c>
      <c r="W978" s="317">
        <v>849.13456603751138</v>
      </c>
      <c r="X978" s="316">
        <v>103.57876320920023</v>
      </c>
      <c r="Y978" s="332">
        <v>952.71332924671162</v>
      </c>
    </row>
    <row r="979" spans="1:25" x14ac:dyDescent="0.2">
      <c r="A979" s="233">
        <v>2022</v>
      </c>
      <c r="B979" s="316" t="s">
        <v>466</v>
      </c>
      <c r="C979" s="316" t="s">
        <v>314</v>
      </c>
      <c r="D979" s="316" t="s">
        <v>487</v>
      </c>
      <c r="E979" s="316" t="s">
        <v>316</v>
      </c>
      <c r="F979" s="316" t="s">
        <v>317</v>
      </c>
      <c r="G979" s="316" t="s">
        <v>318</v>
      </c>
      <c r="H979" s="316">
        <v>8.940791953045057</v>
      </c>
      <c r="I979" s="316">
        <v>15.199610172657549</v>
      </c>
      <c r="J979" s="317">
        <v>24.140402125702607</v>
      </c>
      <c r="K979" s="316">
        <v>180.19580670792894</v>
      </c>
      <c r="L979" s="316">
        <v>72.282154616075815</v>
      </c>
      <c r="M979" s="317">
        <v>252.47796132400475</v>
      </c>
      <c r="N979" s="316">
        <v>21.906649431638183</v>
      </c>
      <c r="O979" s="316">
        <v>68.802856006937418</v>
      </c>
      <c r="P979" s="316">
        <v>10.994726250006796</v>
      </c>
      <c r="Q979" s="316">
        <v>6.3009732616140939</v>
      </c>
      <c r="R979" s="316">
        <v>33.397560625283703</v>
      </c>
      <c r="S979" s="316">
        <v>42.066939517372063</v>
      </c>
      <c r="T979" s="316">
        <v>48.349124507201466</v>
      </c>
      <c r="U979" s="316">
        <v>18.116086265206963</v>
      </c>
      <c r="V979" s="317">
        <v>249.93491586526071</v>
      </c>
      <c r="W979" s="317">
        <v>526.55327931496811</v>
      </c>
      <c r="X979" s="316">
        <v>55.124047222984665</v>
      </c>
      <c r="Y979" s="332">
        <v>581.67732653795281</v>
      </c>
    </row>
    <row r="980" spans="1:25" x14ac:dyDescent="0.2">
      <c r="A980" s="233">
        <v>2022</v>
      </c>
      <c r="B980" s="316" t="s">
        <v>466</v>
      </c>
      <c r="C980" s="316" t="s">
        <v>314</v>
      </c>
      <c r="D980" s="316" t="s">
        <v>488</v>
      </c>
      <c r="E980" s="316" t="s">
        <v>319</v>
      </c>
      <c r="F980" s="316" t="s">
        <v>317</v>
      </c>
      <c r="G980" s="316" t="s">
        <v>321</v>
      </c>
      <c r="H980" s="316">
        <v>65.505276502674022</v>
      </c>
      <c r="I980" s="316">
        <v>33.631950404999678</v>
      </c>
      <c r="J980" s="317">
        <v>99.137226907673693</v>
      </c>
      <c r="K980" s="316">
        <v>36.40241830549737</v>
      </c>
      <c r="L980" s="316">
        <v>90.327663281140872</v>
      </c>
      <c r="M980" s="317">
        <v>126.73008158663825</v>
      </c>
      <c r="N980" s="316">
        <v>17.379709780870279</v>
      </c>
      <c r="O980" s="316">
        <v>84.808346196563775</v>
      </c>
      <c r="P980" s="316">
        <v>17.909376202761422</v>
      </c>
      <c r="Q980" s="316">
        <v>18.546807199035349</v>
      </c>
      <c r="R980" s="316">
        <v>45.980009885923096</v>
      </c>
      <c r="S980" s="316">
        <v>45.343254862989596</v>
      </c>
      <c r="T980" s="316">
        <v>80.087748092660419</v>
      </c>
      <c r="U980" s="316">
        <v>23.802553617437567</v>
      </c>
      <c r="V980" s="317">
        <v>333.85780583824152</v>
      </c>
      <c r="W980" s="317">
        <v>559.72511433255352</v>
      </c>
      <c r="X980" s="316">
        <v>63.285758047066523</v>
      </c>
      <c r="Y980" s="332">
        <v>623.01087237962008</v>
      </c>
    </row>
    <row r="981" spans="1:25" x14ac:dyDescent="0.2">
      <c r="A981" s="233">
        <v>2022</v>
      </c>
      <c r="B981" s="316" t="s">
        <v>466</v>
      </c>
      <c r="C981" s="316" t="s">
        <v>314</v>
      </c>
      <c r="D981" s="316" t="s">
        <v>487</v>
      </c>
      <c r="E981" s="316" t="s">
        <v>322</v>
      </c>
      <c r="F981" s="316" t="s">
        <v>317</v>
      </c>
      <c r="G981" s="316" t="s">
        <v>323</v>
      </c>
      <c r="H981" s="316">
        <v>3.5310736182072318</v>
      </c>
      <c r="I981" s="316">
        <v>3.7924338519151868</v>
      </c>
      <c r="J981" s="317">
        <v>7.3235074701224185</v>
      </c>
      <c r="K981" s="316">
        <v>3.5670994636950657</v>
      </c>
      <c r="L981" s="316">
        <v>0.51524965947124779</v>
      </c>
      <c r="M981" s="317">
        <v>4.0823491231663134</v>
      </c>
      <c r="N981" s="316">
        <v>7.1980759712656495</v>
      </c>
      <c r="O981" s="316">
        <v>7.8232812511120526</v>
      </c>
      <c r="P981" s="316">
        <v>2.334872016112898</v>
      </c>
      <c r="Q981" s="316">
        <v>0.94677977168296557</v>
      </c>
      <c r="R981" s="316">
        <v>6.3221729487297234</v>
      </c>
      <c r="S981" s="316">
        <v>7.4447817706946164</v>
      </c>
      <c r="T981" s="316">
        <v>9.3709968087809088</v>
      </c>
      <c r="U981" s="316">
        <v>3.5488964045026266</v>
      </c>
      <c r="V981" s="317">
        <v>44.989856942881438</v>
      </c>
      <c r="W981" s="317">
        <v>56.395713536170177</v>
      </c>
      <c r="X981" s="316">
        <v>6.394331873594453</v>
      </c>
      <c r="Y981" s="332">
        <v>62.79004540976463</v>
      </c>
    </row>
    <row r="982" spans="1:25" x14ac:dyDescent="0.2">
      <c r="A982" s="233">
        <v>2022</v>
      </c>
      <c r="B982" s="316" t="s">
        <v>466</v>
      </c>
      <c r="C982" s="316" t="s">
        <v>314</v>
      </c>
      <c r="D982" s="316" t="s">
        <v>488</v>
      </c>
      <c r="E982" s="316" t="s">
        <v>324</v>
      </c>
      <c r="F982" s="316" t="s">
        <v>317</v>
      </c>
      <c r="G982" s="316" t="s">
        <v>325</v>
      </c>
      <c r="H982" s="316">
        <v>73.958820727692427</v>
      </c>
      <c r="I982" s="316">
        <v>0</v>
      </c>
      <c r="J982" s="317">
        <v>73.958820727692427</v>
      </c>
      <c r="K982" s="316">
        <v>6.3769010987298733</v>
      </c>
      <c r="L982" s="316">
        <v>6.5019007218162317</v>
      </c>
      <c r="M982" s="317">
        <v>12.878801820546105</v>
      </c>
      <c r="N982" s="316">
        <v>6.0234477360982801</v>
      </c>
      <c r="O982" s="316">
        <v>20.398165714414016</v>
      </c>
      <c r="P982" s="316">
        <v>4.3634436251099968</v>
      </c>
      <c r="Q982" s="316">
        <v>1.6884513603040725</v>
      </c>
      <c r="R982" s="316">
        <v>11.249379961294823</v>
      </c>
      <c r="S982" s="316">
        <v>11.319635178075259</v>
      </c>
      <c r="T982" s="316">
        <v>17.048121795675701</v>
      </c>
      <c r="U982" s="316">
        <v>5.5575277152892806</v>
      </c>
      <c r="V982" s="317">
        <v>77.648173086261437</v>
      </c>
      <c r="W982" s="317">
        <v>164.48579563449996</v>
      </c>
      <c r="X982" s="316">
        <v>21.524007022183682</v>
      </c>
      <c r="Y982" s="332">
        <v>186.00980265668363</v>
      </c>
    </row>
    <row r="983" spans="1:25" x14ac:dyDescent="0.2">
      <c r="A983" s="233">
        <v>2022</v>
      </c>
      <c r="B983" s="316" t="s">
        <v>466</v>
      </c>
      <c r="C983" s="316" t="s">
        <v>314</v>
      </c>
      <c r="D983" s="316" t="s">
        <v>489</v>
      </c>
      <c r="E983" s="316" t="s">
        <v>326</v>
      </c>
      <c r="F983" s="316" t="s">
        <v>317</v>
      </c>
      <c r="G983" s="316" t="s">
        <v>327</v>
      </c>
      <c r="H983" s="316">
        <v>84.128645552860149</v>
      </c>
      <c r="I983" s="316">
        <v>0</v>
      </c>
      <c r="J983" s="317">
        <v>84.128645552860149</v>
      </c>
      <c r="K983" s="316">
        <v>2.2949472629998642</v>
      </c>
      <c r="L983" s="316">
        <v>13.593847338572262</v>
      </c>
      <c r="M983" s="317">
        <v>15.888794601572126</v>
      </c>
      <c r="N983" s="316">
        <v>7.3531552124074562</v>
      </c>
      <c r="O983" s="316">
        <v>23.813126063631795</v>
      </c>
      <c r="P983" s="316">
        <v>7.8923430377815134</v>
      </c>
      <c r="Q983" s="316">
        <v>5.1426727012132707</v>
      </c>
      <c r="R983" s="316">
        <v>16.394769362034005</v>
      </c>
      <c r="S983" s="316">
        <v>14.958763457930303</v>
      </c>
      <c r="T983" s="316">
        <v>28.423989671001433</v>
      </c>
      <c r="U983" s="316">
        <v>8.7147950087930255</v>
      </c>
      <c r="V983" s="317">
        <v>112.69361451479281</v>
      </c>
      <c r="W983" s="317">
        <v>212.71105466922509</v>
      </c>
      <c r="X983" s="316">
        <v>26.915538730431408</v>
      </c>
      <c r="Y983" s="332">
        <v>239.62659339965649</v>
      </c>
    </row>
    <row r="984" spans="1:25" x14ac:dyDescent="0.2">
      <c r="A984" s="233">
        <v>2022</v>
      </c>
      <c r="B984" s="316" t="s">
        <v>466</v>
      </c>
      <c r="C984" s="316" t="s">
        <v>314</v>
      </c>
      <c r="D984" s="316" t="s">
        <v>490</v>
      </c>
      <c r="E984" s="316" t="s">
        <v>328</v>
      </c>
      <c r="F984" s="316" t="s">
        <v>317</v>
      </c>
      <c r="G984" s="316" t="s">
        <v>330</v>
      </c>
      <c r="H984" s="316">
        <v>15.459761704854406</v>
      </c>
      <c r="I984" s="316">
        <v>0</v>
      </c>
      <c r="J984" s="317">
        <v>15.459761704854406</v>
      </c>
      <c r="K984" s="316">
        <v>2.1196454063172379</v>
      </c>
      <c r="L984" s="316">
        <v>2.4998344326575754</v>
      </c>
      <c r="M984" s="317">
        <v>4.6194798389748133</v>
      </c>
      <c r="N984" s="316">
        <v>1.8501046719347887</v>
      </c>
      <c r="O984" s="316">
        <v>6.9853848440637822</v>
      </c>
      <c r="P984" s="316">
        <v>2.3294188540958105</v>
      </c>
      <c r="Q984" s="316">
        <v>1.3736212476460432</v>
      </c>
      <c r="R984" s="316">
        <v>7.176472798864916</v>
      </c>
      <c r="S984" s="316">
        <v>5.0942900861924301</v>
      </c>
      <c r="T984" s="316">
        <v>11.89180939197186</v>
      </c>
      <c r="U984" s="316">
        <v>3.396651398795723</v>
      </c>
      <c r="V984" s="317">
        <v>40.097753293565354</v>
      </c>
      <c r="W984" s="317">
        <v>60.176994837394574</v>
      </c>
      <c r="X984" s="316">
        <v>7.0253198094010836</v>
      </c>
      <c r="Y984" s="332">
        <v>67.202314646795656</v>
      </c>
    </row>
    <row r="985" spans="1:25" x14ac:dyDescent="0.2">
      <c r="A985" s="233">
        <v>2022</v>
      </c>
      <c r="B985" s="316" t="s">
        <v>466</v>
      </c>
      <c r="C985" s="316" t="s">
        <v>314</v>
      </c>
      <c r="D985" s="316" t="s">
        <v>488</v>
      </c>
      <c r="E985" s="316" t="s">
        <v>331</v>
      </c>
      <c r="F985" s="316" t="s">
        <v>317</v>
      </c>
      <c r="G985" s="316" t="s">
        <v>332</v>
      </c>
      <c r="H985" s="316">
        <v>71.787512709547897</v>
      </c>
      <c r="I985" s="316">
        <v>0</v>
      </c>
      <c r="J985" s="317">
        <v>71.787512709547897</v>
      </c>
      <c r="K985" s="316">
        <v>11.065117571266503</v>
      </c>
      <c r="L985" s="316">
        <v>11.120830183333966</v>
      </c>
      <c r="M985" s="317">
        <v>22.18594775460047</v>
      </c>
      <c r="N985" s="316">
        <v>10.227490530226154</v>
      </c>
      <c r="O985" s="316">
        <v>64.173499023371903</v>
      </c>
      <c r="P985" s="316">
        <v>10.01381950898376</v>
      </c>
      <c r="Q985" s="316">
        <v>9.967429611171168</v>
      </c>
      <c r="R985" s="316">
        <v>26.433622956066795</v>
      </c>
      <c r="S985" s="316">
        <v>32.053887251126568</v>
      </c>
      <c r="T985" s="316">
        <v>63.189887793465431</v>
      </c>
      <c r="U985" s="316">
        <v>13.702048713106697</v>
      </c>
      <c r="V985" s="317">
        <v>229.7616853875185</v>
      </c>
      <c r="W985" s="317">
        <v>323.73514585166686</v>
      </c>
      <c r="X985" s="316">
        <v>37.519593422934506</v>
      </c>
      <c r="Y985" s="332">
        <v>361.25473927460138</v>
      </c>
    </row>
    <row r="986" spans="1:25" x14ac:dyDescent="0.2">
      <c r="A986" s="233">
        <v>2022</v>
      </c>
      <c r="B986" s="316" t="s">
        <v>466</v>
      </c>
      <c r="C986" s="316" t="s">
        <v>314</v>
      </c>
      <c r="D986" s="316" t="s">
        <v>489</v>
      </c>
      <c r="E986" s="316" t="s">
        <v>333</v>
      </c>
      <c r="F986" s="316" t="s">
        <v>317</v>
      </c>
      <c r="G986" s="316" t="s">
        <v>334</v>
      </c>
      <c r="H986" s="316">
        <v>82.741440844918728</v>
      </c>
      <c r="I986" s="316">
        <v>0</v>
      </c>
      <c r="J986" s="317">
        <v>82.741440844918728</v>
      </c>
      <c r="K986" s="316">
        <v>7.0124202253986274</v>
      </c>
      <c r="L986" s="316">
        <v>13.023651512137016</v>
      </c>
      <c r="M986" s="317">
        <v>20.036071737535643</v>
      </c>
      <c r="N986" s="316">
        <v>11.066806355005456</v>
      </c>
      <c r="O986" s="316">
        <v>28.879488049553732</v>
      </c>
      <c r="P986" s="316">
        <v>9.8553511932752969</v>
      </c>
      <c r="Q986" s="316">
        <v>6.3467521808573251</v>
      </c>
      <c r="R986" s="316">
        <v>24.328997021552421</v>
      </c>
      <c r="S986" s="316">
        <v>22.030944010574082</v>
      </c>
      <c r="T986" s="316">
        <v>40.754116549317693</v>
      </c>
      <c r="U986" s="316">
        <v>15.766316194005755</v>
      </c>
      <c r="V986" s="317">
        <v>159.02877155414177</v>
      </c>
      <c r="W986" s="317">
        <v>261.80628413659616</v>
      </c>
      <c r="X986" s="316">
        <v>31.745529633892478</v>
      </c>
      <c r="Y986" s="332">
        <v>293.55181377048865</v>
      </c>
    </row>
    <row r="987" spans="1:25" x14ac:dyDescent="0.2">
      <c r="A987" s="233">
        <v>2022</v>
      </c>
      <c r="B987" s="316" t="s">
        <v>466</v>
      </c>
      <c r="C987" s="316" t="s">
        <v>314</v>
      </c>
      <c r="D987" s="316" t="s">
        <v>487</v>
      </c>
      <c r="E987" s="316" t="s">
        <v>335</v>
      </c>
      <c r="F987" s="316" t="s">
        <v>317</v>
      </c>
      <c r="G987" s="316" t="s">
        <v>336</v>
      </c>
      <c r="H987" s="316">
        <v>48.529463750796673</v>
      </c>
      <c r="I987" s="316">
        <v>38.229176548378852</v>
      </c>
      <c r="J987" s="317">
        <v>86.758640299175525</v>
      </c>
      <c r="K987" s="316">
        <v>9.2906785877778582</v>
      </c>
      <c r="L987" s="316">
        <v>15.012369992189788</v>
      </c>
      <c r="M987" s="317">
        <v>24.303048579967644</v>
      </c>
      <c r="N987" s="316">
        <v>12.06074455778522</v>
      </c>
      <c r="O987" s="316">
        <v>45.523755976971593</v>
      </c>
      <c r="P987" s="316">
        <v>11.359000924792801</v>
      </c>
      <c r="Q987" s="316">
        <v>7.3803433430997742</v>
      </c>
      <c r="R987" s="316">
        <v>31.972915269783282</v>
      </c>
      <c r="S987" s="316">
        <v>28.452751635459482</v>
      </c>
      <c r="T987" s="316">
        <v>38.931043102916888</v>
      </c>
      <c r="U987" s="316">
        <v>18.894799439304837</v>
      </c>
      <c r="V987" s="317">
        <v>194.57535425011389</v>
      </c>
      <c r="W987" s="317">
        <v>305.63704312925705</v>
      </c>
      <c r="X987" s="316">
        <v>37.112663665083446</v>
      </c>
      <c r="Y987" s="332">
        <v>342.74970679434051</v>
      </c>
    </row>
    <row r="988" spans="1:25" x14ac:dyDescent="0.2">
      <c r="A988" s="233">
        <v>2022</v>
      </c>
      <c r="B988" s="316" t="s">
        <v>466</v>
      </c>
      <c r="C988" s="316" t="s">
        <v>314</v>
      </c>
      <c r="D988" s="316" t="s">
        <v>488</v>
      </c>
      <c r="E988" s="316" t="s">
        <v>337</v>
      </c>
      <c r="F988" s="316" t="s">
        <v>317</v>
      </c>
      <c r="G988" s="316" t="s">
        <v>338</v>
      </c>
      <c r="H988" s="316">
        <v>14.3902142927257</v>
      </c>
      <c r="I988" s="316">
        <v>0</v>
      </c>
      <c r="J988" s="317">
        <v>14.3902142927257</v>
      </c>
      <c r="K988" s="316">
        <v>2.7793132130294445</v>
      </c>
      <c r="L988" s="316">
        <v>2.1223323729075085</v>
      </c>
      <c r="M988" s="317">
        <v>4.9016455859369525</v>
      </c>
      <c r="N988" s="316">
        <v>4.7302635008905609</v>
      </c>
      <c r="O988" s="316">
        <v>9.7552688706121184</v>
      </c>
      <c r="P988" s="316">
        <v>2.0788683915039652</v>
      </c>
      <c r="Q988" s="316">
        <v>0.83977166276929094</v>
      </c>
      <c r="R988" s="316">
        <v>6.414667362416516</v>
      </c>
      <c r="S988" s="316">
        <v>6.3697443769243121</v>
      </c>
      <c r="T988" s="316">
        <v>10.40553393736387</v>
      </c>
      <c r="U988" s="316">
        <v>3.2888070980342077</v>
      </c>
      <c r="V988" s="317">
        <v>43.88292520051484</v>
      </c>
      <c r="W988" s="317">
        <v>63.174785079177497</v>
      </c>
      <c r="X988" s="316">
        <v>7.4117249218616967</v>
      </c>
      <c r="Y988" s="332">
        <v>70.586510001039187</v>
      </c>
    </row>
    <row r="989" spans="1:25" x14ac:dyDescent="0.2">
      <c r="A989" s="233">
        <v>2022</v>
      </c>
      <c r="B989" s="316" t="s">
        <v>466</v>
      </c>
      <c r="C989" s="316" t="s">
        <v>314</v>
      </c>
      <c r="D989" s="316" t="s">
        <v>488</v>
      </c>
      <c r="E989" s="316" t="s">
        <v>339</v>
      </c>
      <c r="F989" s="316" t="s">
        <v>317</v>
      </c>
      <c r="G989" s="316" t="s">
        <v>340</v>
      </c>
      <c r="H989" s="316">
        <v>58.382064380209229</v>
      </c>
      <c r="I989" s="316">
        <v>0</v>
      </c>
      <c r="J989" s="317">
        <v>58.382064380209229</v>
      </c>
      <c r="K989" s="316">
        <v>11.595685604420616</v>
      </c>
      <c r="L989" s="316">
        <v>4.6165940265507119</v>
      </c>
      <c r="M989" s="317">
        <v>16.212279630971327</v>
      </c>
      <c r="N989" s="316">
        <v>6.1741435763766326</v>
      </c>
      <c r="O989" s="316">
        <v>47.928545225419981</v>
      </c>
      <c r="P989" s="316">
        <v>6.050420125246621</v>
      </c>
      <c r="Q989" s="316">
        <v>4.5413360076455325</v>
      </c>
      <c r="R989" s="316">
        <v>20.03832722867342</v>
      </c>
      <c r="S989" s="316">
        <v>18.389958973246358</v>
      </c>
      <c r="T989" s="316">
        <v>21.933996531091989</v>
      </c>
      <c r="U989" s="316">
        <v>8.3790265298668629</v>
      </c>
      <c r="V989" s="317">
        <v>133.43575419756741</v>
      </c>
      <c r="W989" s="317">
        <v>208.03009820874797</v>
      </c>
      <c r="X989" s="316">
        <v>25.022835895985995</v>
      </c>
      <c r="Y989" s="332">
        <v>233.05293410473396</v>
      </c>
    </row>
    <row r="990" spans="1:25" x14ac:dyDescent="0.2">
      <c r="A990" s="233">
        <v>2022</v>
      </c>
      <c r="B990" s="316" t="s">
        <v>466</v>
      </c>
      <c r="C990" s="316" t="s">
        <v>314</v>
      </c>
      <c r="D990" s="316" t="s">
        <v>490</v>
      </c>
      <c r="E990" s="316" t="s">
        <v>341</v>
      </c>
      <c r="F990" s="316" t="s">
        <v>317</v>
      </c>
      <c r="G990" s="316" t="s">
        <v>342</v>
      </c>
      <c r="H990" s="316">
        <v>208.03941762147204</v>
      </c>
      <c r="I990" s="316">
        <v>0</v>
      </c>
      <c r="J990" s="317">
        <v>208.03941762147204</v>
      </c>
      <c r="K990" s="316">
        <v>13.016460645853954</v>
      </c>
      <c r="L990" s="316">
        <v>17.364262388817313</v>
      </c>
      <c r="M990" s="317">
        <v>30.380723034671266</v>
      </c>
      <c r="N990" s="316">
        <v>9.64526826497789</v>
      </c>
      <c r="O990" s="316">
        <v>37.006106972468217</v>
      </c>
      <c r="P990" s="316">
        <v>8.2639655415245645</v>
      </c>
      <c r="Q990" s="316">
        <v>4.2352259221271815</v>
      </c>
      <c r="R990" s="316">
        <v>22.53456330847435</v>
      </c>
      <c r="S990" s="316">
        <v>21.645156755985731</v>
      </c>
      <c r="T990" s="316">
        <v>27.371851769969155</v>
      </c>
      <c r="U990" s="316">
        <v>10.865713859272603</v>
      </c>
      <c r="V990" s="317">
        <v>141.56785239479967</v>
      </c>
      <c r="W990" s="317">
        <v>379.98799305094298</v>
      </c>
      <c r="X990" s="316">
        <v>51.9886419454701</v>
      </c>
      <c r="Y990" s="332">
        <v>431.97663499641305</v>
      </c>
    </row>
    <row r="991" spans="1:25" x14ac:dyDescent="0.2">
      <c r="A991" s="233">
        <v>2022</v>
      </c>
      <c r="B991" s="316" t="s">
        <v>466</v>
      </c>
      <c r="C991" s="316" t="s">
        <v>314</v>
      </c>
      <c r="D991" s="316" t="s">
        <v>490</v>
      </c>
      <c r="E991" s="316" t="s">
        <v>343</v>
      </c>
      <c r="F991" s="316" t="s">
        <v>317</v>
      </c>
      <c r="G991" s="316" t="s">
        <v>344</v>
      </c>
      <c r="H991" s="316">
        <v>1.4550520178757691</v>
      </c>
      <c r="I991" s="316">
        <v>4.4452727104288661</v>
      </c>
      <c r="J991" s="317">
        <v>5.9003247283046356</v>
      </c>
      <c r="K991" s="316">
        <v>16.526819035501735</v>
      </c>
      <c r="L991" s="316">
        <v>38.728650529447584</v>
      </c>
      <c r="M991" s="317">
        <v>55.255469564949323</v>
      </c>
      <c r="N991" s="316">
        <v>10.82139976101978</v>
      </c>
      <c r="O991" s="316">
        <v>40.517382607086326</v>
      </c>
      <c r="P991" s="316">
        <v>3.6951303564252229</v>
      </c>
      <c r="Q991" s="316">
        <v>1.4829181555398674</v>
      </c>
      <c r="R991" s="316">
        <v>10.591971164903162</v>
      </c>
      <c r="S991" s="316">
        <v>13.223196504653126</v>
      </c>
      <c r="T991" s="316">
        <v>13.49125697782506</v>
      </c>
      <c r="U991" s="316">
        <v>6.0321798514622529</v>
      </c>
      <c r="V991" s="317">
        <v>99.855435378914819</v>
      </c>
      <c r="W991" s="317">
        <v>161.01122967216878</v>
      </c>
      <c r="X991" s="316">
        <v>17.102561802817647</v>
      </c>
      <c r="Y991" s="332">
        <v>178.11379147498644</v>
      </c>
    </row>
    <row r="992" spans="1:25" x14ac:dyDescent="0.2">
      <c r="A992" s="233">
        <v>2022</v>
      </c>
      <c r="B992" s="316" t="s">
        <v>466</v>
      </c>
      <c r="C992" s="316" t="s">
        <v>314</v>
      </c>
      <c r="D992" s="316" t="s">
        <v>490</v>
      </c>
      <c r="E992" s="316" t="s">
        <v>345</v>
      </c>
      <c r="F992" s="316" t="s">
        <v>317</v>
      </c>
      <c r="G992" s="316" t="s">
        <v>346</v>
      </c>
      <c r="H992" s="316">
        <v>14.96476745514029</v>
      </c>
      <c r="I992" s="316">
        <v>0</v>
      </c>
      <c r="J992" s="317">
        <v>14.96476745514029</v>
      </c>
      <c r="K992" s="316">
        <v>7.0067798205751499</v>
      </c>
      <c r="L992" s="316">
        <v>10.247272375477019</v>
      </c>
      <c r="M992" s="317">
        <v>17.254052196052168</v>
      </c>
      <c r="N992" s="316">
        <v>4.4447988061628587</v>
      </c>
      <c r="O992" s="316">
        <v>7.8461251076479259</v>
      </c>
      <c r="P992" s="316">
        <v>2.5160988830143456</v>
      </c>
      <c r="Q992" s="316">
        <v>1.2147897442387712</v>
      </c>
      <c r="R992" s="316">
        <v>10.51419707005946</v>
      </c>
      <c r="S992" s="316">
        <v>7.2145018480206593</v>
      </c>
      <c r="T992" s="316">
        <v>14.317321274691093</v>
      </c>
      <c r="U992" s="316">
        <v>4.1445132963142823</v>
      </c>
      <c r="V992" s="317">
        <v>52.212346030149398</v>
      </c>
      <c r="W992" s="317">
        <v>84.431165681341852</v>
      </c>
      <c r="X992" s="316">
        <v>9.462674458833602</v>
      </c>
      <c r="Y992" s="332">
        <v>93.893840140175456</v>
      </c>
    </row>
    <row r="993" spans="1:25" x14ac:dyDescent="0.2">
      <c r="A993" s="233">
        <v>2022</v>
      </c>
      <c r="B993" s="316" t="s">
        <v>466</v>
      </c>
      <c r="C993" s="316" t="s">
        <v>314</v>
      </c>
      <c r="D993" s="316" t="s">
        <v>490</v>
      </c>
      <c r="E993" s="316" t="s">
        <v>347</v>
      </c>
      <c r="F993" s="316" t="s">
        <v>317</v>
      </c>
      <c r="G993" s="316" t="s">
        <v>348</v>
      </c>
      <c r="H993" s="316">
        <v>24.759570653378049</v>
      </c>
      <c r="I993" s="316">
        <v>0</v>
      </c>
      <c r="J993" s="317">
        <v>24.759570653378049</v>
      </c>
      <c r="K993" s="316">
        <v>1.9042378389737449</v>
      </c>
      <c r="L993" s="316">
        <v>6.9611343960633549</v>
      </c>
      <c r="M993" s="317">
        <v>8.8653722350370998</v>
      </c>
      <c r="N993" s="316">
        <v>6.0582437558310804</v>
      </c>
      <c r="O993" s="316">
        <v>8.6859058788638901</v>
      </c>
      <c r="P993" s="316">
        <v>3.1825715654852709</v>
      </c>
      <c r="Q993" s="316">
        <v>1.3662710281942378</v>
      </c>
      <c r="R993" s="316">
        <v>9.4871268046407486</v>
      </c>
      <c r="S993" s="316">
        <v>9.3666117361887622</v>
      </c>
      <c r="T993" s="316">
        <v>20.465823489975595</v>
      </c>
      <c r="U993" s="316">
        <v>4.7840812355291922</v>
      </c>
      <c r="V993" s="317">
        <v>63.396635494708782</v>
      </c>
      <c r="W993" s="317">
        <v>97.021578383123924</v>
      </c>
      <c r="X993" s="316">
        <v>11.428463074740685</v>
      </c>
      <c r="Y993" s="332">
        <v>108.45004145786461</v>
      </c>
    </row>
    <row r="994" spans="1:25" x14ac:dyDescent="0.2">
      <c r="A994" s="233">
        <v>2022</v>
      </c>
      <c r="B994" s="316" t="s">
        <v>466</v>
      </c>
      <c r="C994" s="316" t="s">
        <v>314</v>
      </c>
      <c r="D994" s="316" t="s">
        <v>489</v>
      </c>
      <c r="E994" s="316" t="s">
        <v>349</v>
      </c>
      <c r="F994" s="316" t="s">
        <v>317</v>
      </c>
      <c r="G994" s="316" t="s">
        <v>350</v>
      </c>
      <c r="H994" s="316">
        <v>71.775061779238413</v>
      </c>
      <c r="I994" s="316">
        <v>36.891971930187985</v>
      </c>
      <c r="J994" s="317">
        <v>108.66703370942639</v>
      </c>
      <c r="K994" s="316">
        <v>9.632985586924935</v>
      </c>
      <c r="L994" s="316">
        <v>10.24795173229464</v>
      </c>
      <c r="M994" s="317">
        <v>19.880937319219576</v>
      </c>
      <c r="N994" s="316">
        <v>6.7565351688807853</v>
      </c>
      <c r="O994" s="316">
        <v>31.476634281309419</v>
      </c>
      <c r="P994" s="316">
        <v>6.5356581667879725</v>
      </c>
      <c r="Q994" s="316">
        <v>5.5023108419551772</v>
      </c>
      <c r="R994" s="316">
        <v>19.933652834791655</v>
      </c>
      <c r="S994" s="316">
        <v>17.245907357457646</v>
      </c>
      <c r="T994" s="316">
        <v>31.34831740318171</v>
      </c>
      <c r="U994" s="316">
        <v>13.4417550427951</v>
      </c>
      <c r="V994" s="317">
        <v>132.24077109715947</v>
      </c>
      <c r="W994" s="317">
        <v>260.78874212580547</v>
      </c>
      <c r="X994" s="316">
        <v>33.955140571734567</v>
      </c>
      <c r="Y994" s="332">
        <v>294.74388269754002</v>
      </c>
    </row>
    <row r="995" spans="1:25" x14ac:dyDescent="0.2">
      <c r="A995" s="233">
        <v>2022</v>
      </c>
      <c r="B995" s="316" t="s">
        <v>466</v>
      </c>
      <c r="C995" s="316" t="s">
        <v>314</v>
      </c>
      <c r="D995" s="316" t="s">
        <v>490</v>
      </c>
      <c r="E995" s="316" t="s">
        <v>351</v>
      </c>
      <c r="F995" s="316" t="s">
        <v>317</v>
      </c>
      <c r="G995" s="316" t="s">
        <v>352</v>
      </c>
      <c r="H995" s="316">
        <v>47.002913886091548</v>
      </c>
      <c r="I995" s="316">
        <v>24.412291712328852</v>
      </c>
      <c r="J995" s="317">
        <v>71.4152055984204</v>
      </c>
      <c r="K995" s="316">
        <v>13.698471174149153</v>
      </c>
      <c r="L995" s="316">
        <v>7.7328003689287339</v>
      </c>
      <c r="M995" s="317">
        <v>21.431271543077887</v>
      </c>
      <c r="N995" s="316">
        <v>9.6416972156525294</v>
      </c>
      <c r="O995" s="316">
        <v>49.670683300598526</v>
      </c>
      <c r="P995" s="316">
        <v>11.000795982667334</v>
      </c>
      <c r="Q995" s="316">
        <v>7.0143211925538074</v>
      </c>
      <c r="R995" s="316">
        <v>37.05068625242447</v>
      </c>
      <c r="S995" s="316">
        <v>25.930256285307546</v>
      </c>
      <c r="T995" s="316">
        <v>40.103274337558268</v>
      </c>
      <c r="U995" s="316">
        <v>16.409490565502438</v>
      </c>
      <c r="V995" s="317">
        <v>196.82120513226491</v>
      </c>
      <c r="W995" s="317">
        <v>289.66768227376321</v>
      </c>
      <c r="X995" s="316">
        <v>34.241190845085413</v>
      </c>
      <c r="Y995" s="332">
        <v>323.90887311884865</v>
      </c>
    </row>
    <row r="996" spans="1:25" x14ac:dyDescent="0.2">
      <c r="A996" s="233">
        <v>2022</v>
      </c>
      <c r="B996" s="316" t="s">
        <v>466</v>
      </c>
      <c r="C996" s="316" t="s">
        <v>314</v>
      </c>
      <c r="D996" s="316" t="s">
        <v>490</v>
      </c>
      <c r="E996" s="316" t="s">
        <v>353</v>
      </c>
      <c r="F996" s="316" t="s">
        <v>317</v>
      </c>
      <c r="G996" s="316" t="s">
        <v>354</v>
      </c>
      <c r="H996" s="316">
        <v>60.30195450718675</v>
      </c>
      <c r="I996" s="316">
        <v>0</v>
      </c>
      <c r="J996" s="317">
        <v>60.30195450718675</v>
      </c>
      <c r="K996" s="316">
        <v>13.364732594411331</v>
      </c>
      <c r="L996" s="316">
        <v>13.814217571973057</v>
      </c>
      <c r="M996" s="317">
        <v>27.178950166384389</v>
      </c>
      <c r="N996" s="316">
        <v>9.291479983825873</v>
      </c>
      <c r="O996" s="316">
        <v>32.078231187913488</v>
      </c>
      <c r="P996" s="316">
        <v>7.464013470516262</v>
      </c>
      <c r="Q996" s="316">
        <v>5.082840236115727</v>
      </c>
      <c r="R996" s="316">
        <v>22.17088914950503</v>
      </c>
      <c r="S996" s="316">
        <v>17.801075866147492</v>
      </c>
      <c r="T996" s="316">
        <v>24.465529515704709</v>
      </c>
      <c r="U996" s="316">
        <v>11.230431284844693</v>
      </c>
      <c r="V996" s="317">
        <v>129.58449069457328</v>
      </c>
      <c r="W996" s="317">
        <v>217.06539536814444</v>
      </c>
      <c r="X996" s="316">
        <v>25.887527382044979</v>
      </c>
      <c r="Y996" s="332">
        <v>242.95292275018943</v>
      </c>
    </row>
    <row r="997" spans="1:25" x14ac:dyDescent="0.2">
      <c r="A997" s="233">
        <v>2022</v>
      </c>
      <c r="B997" s="316" t="s">
        <v>466</v>
      </c>
      <c r="C997" s="316" t="s">
        <v>314</v>
      </c>
      <c r="D997" s="316" t="s">
        <v>490</v>
      </c>
      <c r="E997" s="316" t="s">
        <v>355</v>
      </c>
      <c r="F997" s="316" t="s">
        <v>317</v>
      </c>
      <c r="G997" s="316" t="s">
        <v>356</v>
      </c>
      <c r="H997" s="316">
        <v>14.870751611220644</v>
      </c>
      <c r="I997" s="316">
        <v>10.233439236684992</v>
      </c>
      <c r="J997" s="317">
        <v>25.104190847905635</v>
      </c>
      <c r="K997" s="316">
        <v>3.2697241481792245</v>
      </c>
      <c r="L997" s="316">
        <v>3.1393940038423369</v>
      </c>
      <c r="M997" s="317">
        <v>6.409118152021561</v>
      </c>
      <c r="N997" s="316">
        <v>7.5908497955294632</v>
      </c>
      <c r="O997" s="316">
        <v>7.9129456521399346</v>
      </c>
      <c r="P997" s="316">
        <v>2.4209948082992856</v>
      </c>
      <c r="Q997" s="316">
        <v>1.7947112828813196</v>
      </c>
      <c r="R997" s="316">
        <v>8.3165295508457948</v>
      </c>
      <c r="S997" s="316">
        <v>8.3128814716498933</v>
      </c>
      <c r="T997" s="316">
        <v>14.886789420201858</v>
      </c>
      <c r="U997" s="316">
        <v>3.9836385099280727</v>
      </c>
      <c r="V997" s="317">
        <v>55.21934049147562</v>
      </c>
      <c r="W997" s="317">
        <v>86.73264949140281</v>
      </c>
      <c r="X997" s="316">
        <v>10.674679096389315</v>
      </c>
      <c r="Y997" s="332">
        <v>97.407328587792122</v>
      </c>
    </row>
    <row r="998" spans="1:25" x14ac:dyDescent="0.2">
      <c r="A998" s="233">
        <v>2022</v>
      </c>
      <c r="B998" s="316" t="s">
        <v>466</v>
      </c>
      <c r="C998" s="316" t="s">
        <v>314</v>
      </c>
      <c r="D998" s="316" t="s">
        <v>487</v>
      </c>
      <c r="E998" s="316" t="s">
        <v>357</v>
      </c>
      <c r="F998" s="316" t="s">
        <v>317</v>
      </c>
      <c r="G998" s="316" t="s">
        <v>358</v>
      </c>
      <c r="H998" s="316">
        <v>3.8905769075797418</v>
      </c>
      <c r="I998" s="316">
        <v>13.380728973518538</v>
      </c>
      <c r="J998" s="317">
        <v>17.271305881098279</v>
      </c>
      <c r="K998" s="316">
        <v>4.0680875619654699</v>
      </c>
      <c r="L998" s="316">
        <v>3.0413331746775101</v>
      </c>
      <c r="M998" s="317">
        <v>7.1094207366429796</v>
      </c>
      <c r="N998" s="316">
        <v>8.2179484181593239</v>
      </c>
      <c r="O998" s="316">
        <v>15.077150476537419</v>
      </c>
      <c r="P998" s="316">
        <v>5.8091950519666398</v>
      </c>
      <c r="Q998" s="316">
        <v>1.6458342423223355</v>
      </c>
      <c r="R998" s="316">
        <v>13.774610784438776</v>
      </c>
      <c r="S998" s="316">
        <v>13.368579992716223</v>
      </c>
      <c r="T998" s="316">
        <v>13.991841042630076</v>
      </c>
      <c r="U998" s="316">
        <v>8.3860531688992364</v>
      </c>
      <c r="V998" s="317">
        <v>80.271213177670035</v>
      </c>
      <c r="W998" s="317">
        <v>104.65193979541129</v>
      </c>
      <c r="X998" s="316">
        <v>11.979173943537413</v>
      </c>
      <c r="Y998" s="332">
        <v>116.63111373894871</v>
      </c>
    </row>
    <row r="999" spans="1:25" x14ac:dyDescent="0.2">
      <c r="A999" s="233">
        <v>2022</v>
      </c>
      <c r="B999" s="316" t="s">
        <v>466</v>
      </c>
      <c r="C999" s="316" t="s">
        <v>314</v>
      </c>
      <c r="D999" s="316" t="s">
        <v>489</v>
      </c>
      <c r="E999" s="316" t="s">
        <v>359</v>
      </c>
      <c r="F999" s="316" t="s">
        <v>317</v>
      </c>
      <c r="G999" s="316" t="s">
        <v>360</v>
      </c>
      <c r="H999" s="316">
        <v>444.56022046469377</v>
      </c>
      <c r="I999" s="316">
        <v>0</v>
      </c>
      <c r="J999" s="317">
        <v>444.56022046469377</v>
      </c>
      <c r="K999" s="316">
        <v>20.194658242975805</v>
      </c>
      <c r="L999" s="316">
        <v>42.663025035732076</v>
      </c>
      <c r="M999" s="317">
        <v>62.857683278707881</v>
      </c>
      <c r="N999" s="316">
        <v>26.991638337383954</v>
      </c>
      <c r="O999" s="316">
        <v>40.924633989194447</v>
      </c>
      <c r="P999" s="316">
        <v>11.299657467886846</v>
      </c>
      <c r="Q999" s="316">
        <v>9.5241951567898049</v>
      </c>
      <c r="R999" s="316">
        <v>31.977379611295316</v>
      </c>
      <c r="S999" s="316">
        <v>33.927458285912223</v>
      </c>
      <c r="T999" s="316">
        <v>54.887835228537782</v>
      </c>
      <c r="U999" s="316">
        <v>18.60645126072983</v>
      </c>
      <c r="V999" s="317">
        <v>228.13924933773018</v>
      </c>
      <c r="W999" s="317">
        <v>735.5571530811319</v>
      </c>
      <c r="X999" s="316">
        <v>103.49522059318082</v>
      </c>
      <c r="Y999" s="332">
        <v>839.05237367431278</v>
      </c>
    </row>
    <row r="1000" spans="1:25" x14ac:dyDescent="0.2">
      <c r="A1000" s="233">
        <v>2022</v>
      </c>
      <c r="B1000" s="316" t="s">
        <v>466</v>
      </c>
      <c r="C1000" s="316" t="s">
        <v>314</v>
      </c>
      <c r="D1000" s="316" t="s">
        <v>490</v>
      </c>
      <c r="E1000" s="316" t="s">
        <v>361</v>
      </c>
      <c r="F1000" s="316" t="s">
        <v>317</v>
      </c>
      <c r="G1000" s="316" t="s">
        <v>362</v>
      </c>
      <c r="H1000" s="316">
        <v>78.666826190718183</v>
      </c>
      <c r="I1000" s="316">
        <v>44.757635663275373</v>
      </c>
      <c r="J1000" s="317">
        <v>123.42446185399356</v>
      </c>
      <c r="K1000" s="316">
        <v>5.9258161510839988</v>
      </c>
      <c r="L1000" s="316">
        <v>10.305058008415594</v>
      </c>
      <c r="M1000" s="317">
        <v>16.230874159499592</v>
      </c>
      <c r="N1000" s="316">
        <v>3.0438058061213593</v>
      </c>
      <c r="O1000" s="316">
        <v>8.9480511025824114</v>
      </c>
      <c r="P1000" s="316">
        <v>3.2955327989219483</v>
      </c>
      <c r="Q1000" s="316">
        <v>1.45151491235524</v>
      </c>
      <c r="R1000" s="316">
        <v>11.88820187198364</v>
      </c>
      <c r="S1000" s="316">
        <v>8.6435679324877626</v>
      </c>
      <c r="T1000" s="316">
        <v>15.704730684613741</v>
      </c>
      <c r="U1000" s="316">
        <v>6.529363177376851</v>
      </c>
      <c r="V1000" s="317">
        <v>59.50476828644296</v>
      </c>
      <c r="W1000" s="317">
        <v>199.16010429993611</v>
      </c>
      <c r="X1000" s="316">
        <v>28.730043102088111</v>
      </c>
      <c r="Y1000" s="332">
        <v>227.89014740202421</v>
      </c>
    </row>
    <row r="1001" spans="1:25" x14ac:dyDescent="0.2">
      <c r="A1001" s="233">
        <v>2022</v>
      </c>
      <c r="B1001" s="316" t="s">
        <v>466</v>
      </c>
      <c r="C1001" s="316" t="s">
        <v>314</v>
      </c>
      <c r="D1001" s="316" t="s">
        <v>487</v>
      </c>
      <c r="E1001" s="316" t="s">
        <v>363</v>
      </c>
      <c r="F1001" s="316" t="s">
        <v>317</v>
      </c>
      <c r="G1001" s="316" t="s">
        <v>364</v>
      </c>
      <c r="H1001" s="316">
        <v>13.413283415306674</v>
      </c>
      <c r="I1001" s="316">
        <v>26.111690729666861</v>
      </c>
      <c r="J1001" s="317">
        <v>39.524974144973534</v>
      </c>
      <c r="K1001" s="316">
        <v>6.9333420558112682</v>
      </c>
      <c r="L1001" s="316">
        <v>6.5893621210732602</v>
      </c>
      <c r="M1001" s="317">
        <v>13.522704176884528</v>
      </c>
      <c r="N1001" s="316">
        <v>6.9207943563758434</v>
      </c>
      <c r="O1001" s="316">
        <v>34.641942208391349</v>
      </c>
      <c r="P1001" s="316">
        <v>5.8026633587078962</v>
      </c>
      <c r="Q1001" s="316">
        <v>2.5168027602810206</v>
      </c>
      <c r="R1001" s="316">
        <v>17.435551734734169</v>
      </c>
      <c r="S1001" s="316">
        <v>19.668026249461228</v>
      </c>
      <c r="T1001" s="316">
        <v>27.834411757794872</v>
      </c>
      <c r="U1001" s="316">
        <v>8.1616811255767701</v>
      </c>
      <c r="V1001" s="317">
        <v>122.98187355132313</v>
      </c>
      <c r="W1001" s="317">
        <v>176.02955187318119</v>
      </c>
      <c r="X1001" s="316">
        <v>20.899557176081213</v>
      </c>
      <c r="Y1001" s="332">
        <v>196.92910904926239</v>
      </c>
    </row>
    <row r="1002" spans="1:25" x14ac:dyDescent="0.2">
      <c r="A1002" s="233">
        <v>2022</v>
      </c>
      <c r="B1002" s="316" t="s">
        <v>466</v>
      </c>
      <c r="C1002" s="316" t="s">
        <v>365</v>
      </c>
      <c r="D1002" s="316" t="s">
        <v>491</v>
      </c>
      <c r="E1002" s="316" t="s">
        <v>367</v>
      </c>
      <c r="F1002" s="316" t="s">
        <v>368</v>
      </c>
      <c r="G1002" s="316" t="s">
        <v>370</v>
      </c>
      <c r="H1002" s="316">
        <v>341.84095032272143</v>
      </c>
      <c r="I1002" s="316">
        <v>187.42793427046288</v>
      </c>
      <c r="J1002" s="317">
        <v>529.26888459318434</v>
      </c>
      <c r="K1002" s="316">
        <v>114.67426084169647</v>
      </c>
      <c r="L1002" s="316">
        <v>105.03730833599226</v>
      </c>
      <c r="M1002" s="317">
        <v>219.71156917768872</v>
      </c>
      <c r="N1002" s="316">
        <v>81.036225303304022</v>
      </c>
      <c r="O1002" s="316">
        <v>472.53893519157714</v>
      </c>
      <c r="P1002" s="316">
        <v>76.091445065531374</v>
      </c>
      <c r="Q1002" s="316">
        <v>62.304651892377812</v>
      </c>
      <c r="R1002" s="316">
        <v>120.08751442224066</v>
      </c>
      <c r="S1002" s="316">
        <v>218.80905563771745</v>
      </c>
      <c r="T1002" s="316">
        <v>371.73289199378303</v>
      </c>
      <c r="U1002" s="316">
        <v>89.165643428548421</v>
      </c>
      <c r="V1002" s="317">
        <v>1491.7663629350802</v>
      </c>
      <c r="W1002" s="317">
        <v>2240.7468167059533</v>
      </c>
      <c r="X1002" s="316">
        <v>266.10588156673077</v>
      </c>
      <c r="Y1002" s="332">
        <v>2506.8526982726839</v>
      </c>
    </row>
    <row r="1003" spans="1:25" x14ac:dyDescent="0.2">
      <c r="A1003" s="233">
        <v>2022</v>
      </c>
      <c r="B1003" s="316" t="s">
        <v>466</v>
      </c>
      <c r="C1003" s="316" t="s">
        <v>365</v>
      </c>
      <c r="D1003" s="316" t="s">
        <v>492</v>
      </c>
      <c r="E1003" s="316" t="s">
        <v>371</v>
      </c>
      <c r="F1003" s="316" t="s">
        <v>368</v>
      </c>
      <c r="G1003" s="316" t="s">
        <v>372</v>
      </c>
      <c r="H1003" s="316">
        <v>36.552296253146395</v>
      </c>
      <c r="I1003" s="316">
        <v>0</v>
      </c>
      <c r="J1003" s="317">
        <v>36.552296253146395</v>
      </c>
      <c r="K1003" s="316">
        <v>2.7877250044874708</v>
      </c>
      <c r="L1003" s="316">
        <v>14.919783869760282</v>
      </c>
      <c r="M1003" s="317">
        <v>17.707508874247754</v>
      </c>
      <c r="N1003" s="316">
        <v>10.706437714259771</v>
      </c>
      <c r="O1003" s="316">
        <v>56.134338663355436</v>
      </c>
      <c r="P1003" s="316">
        <v>10.365595548588347</v>
      </c>
      <c r="Q1003" s="316">
        <v>4.7744087129855082</v>
      </c>
      <c r="R1003" s="316">
        <v>16.805445604750112</v>
      </c>
      <c r="S1003" s="316">
        <v>26.368421991750065</v>
      </c>
      <c r="T1003" s="316">
        <v>62.202308372454539</v>
      </c>
      <c r="U1003" s="316">
        <v>12.910461586412392</v>
      </c>
      <c r="V1003" s="317">
        <v>200.26741819455617</v>
      </c>
      <c r="W1003" s="317">
        <v>254.52722332195032</v>
      </c>
      <c r="X1003" s="316">
        <v>28.325697520644052</v>
      </c>
      <c r="Y1003" s="332">
        <v>282.85292084259436</v>
      </c>
    </row>
    <row r="1004" spans="1:25" x14ac:dyDescent="0.2">
      <c r="A1004" s="233">
        <v>2022</v>
      </c>
      <c r="B1004" s="316" t="s">
        <v>466</v>
      </c>
      <c r="C1004" s="316" t="s">
        <v>365</v>
      </c>
      <c r="D1004" s="316" t="s">
        <v>491</v>
      </c>
      <c r="E1004" s="316" t="s">
        <v>373</v>
      </c>
      <c r="F1004" s="316" t="s">
        <v>368</v>
      </c>
      <c r="G1004" s="316" t="s">
        <v>374</v>
      </c>
      <c r="H1004" s="316">
        <v>476.50168040513563</v>
      </c>
      <c r="I1004" s="316">
        <v>0</v>
      </c>
      <c r="J1004" s="317">
        <v>476.50168040513563</v>
      </c>
      <c r="K1004" s="316">
        <v>52.310488768083452</v>
      </c>
      <c r="L1004" s="316">
        <v>22.923342127259826</v>
      </c>
      <c r="M1004" s="317">
        <v>75.233830895343274</v>
      </c>
      <c r="N1004" s="316">
        <v>31.890957850983721</v>
      </c>
      <c r="O1004" s="316">
        <v>122.23832289522711</v>
      </c>
      <c r="P1004" s="316">
        <v>25.21928380537112</v>
      </c>
      <c r="Q1004" s="316">
        <v>11.95818280888143</v>
      </c>
      <c r="R1004" s="316">
        <v>45.15922913167487</v>
      </c>
      <c r="S1004" s="316">
        <v>61.993835622974544</v>
      </c>
      <c r="T1004" s="316">
        <v>91.932626844058959</v>
      </c>
      <c r="U1004" s="316">
        <v>27.873967612944373</v>
      </c>
      <c r="V1004" s="317">
        <v>418.26640657211613</v>
      </c>
      <c r="W1004" s="317">
        <v>970.00191787259496</v>
      </c>
      <c r="X1004" s="316">
        <v>129.73685099090105</v>
      </c>
      <c r="Y1004" s="332">
        <v>1099.738768863496</v>
      </c>
    </row>
    <row r="1005" spans="1:25" x14ac:dyDescent="0.2">
      <c r="A1005" s="233">
        <v>2022</v>
      </c>
      <c r="B1005" s="316" t="s">
        <v>466</v>
      </c>
      <c r="C1005" s="316" t="s">
        <v>365</v>
      </c>
      <c r="D1005" s="316" t="s">
        <v>491</v>
      </c>
      <c r="E1005" s="316" t="s">
        <v>375</v>
      </c>
      <c r="F1005" s="316" t="s">
        <v>368</v>
      </c>
      <c r="G1005" s="316" t="s">
        <v>376</v>
      </c>
      <c r="H1005" s="316">
        <v>157.43641271015997</v>
      </c>
      <c r="I1005" s="316">
        <v>82.599501748217364</v>
      </c>
      <c r="J1005" s="317">
        <v>240.03591445837733</v>
      </c>
      <c r="K1005" s="316">
        <v>20.972519970798107</v>
      </c>
      <c r="L1005" s="316">
        <v>40.509313448964498</v>
      </c>
      <c r="M1005" s="317">
        <v>61.481833419762609</v>
      </c>
      <c r="N1005" s="316">
        <v>35.568817153165675</v>
      </c>
      <c r="O1005" s="316">
        <v>152.58628353696992</v>
      </c>
      <c r="P1005" s="316">
        <v>38.071267207562947</v>
      </c>
      <c r="Q1005" s="316">
        <v>22.880231722310402</v>
      </c>
      <c r="R1005" s="316">
        <v>54.832348349735462</v>
      </c>
      <c r="S1005" s="316">
        <v>70.519779086901934</v>
      </c>
      <c r="T1005" s="316">
        <v>114.42028572141254</v>
      </c>
      <c r="U1005" s="316">
        <v>40.17634805017687</v>
      </c>
      <c r="V1005" s="317">
        <v>529.05536082823573</v>
      </c>
      <c r="W1005" s="317">
        <v>830.57310870637559</v>
      </c>
      <c r="X1005" s="316">
        <v>101.44044547093537</v>
      </c>
      <c r="Y1005" s="332">
        <v>932.01355417731099</v>
      </c>
    </row>
    <row r="1006" spans="1:25" x14ac:dyDescent="0.2">
      <c r="A1006" s="233">
        <v>2022</v>
      </c>
      <c r="B1006" s="316" t="s">
        <v>466</v>
      </c>
      <c r="C1006" s="316" t="s">
        <v>365</v>
      </c>
      <c r="D1006" s="316" t="s">
        <v>493</v>
      </c>
      <c r="E1006" s="316" t="s">
        <v>377</v>
      </c>
      <c r="F1006" s="316" t="s">
        <v>368</v>
      </c>
      <c r="G1006" s="316" t="s">
        <v>378</v>
      </c>
      <c r="H1006" s="316">
        <v>1.5733501221916917</v>
      </c>
      <c r="I1006" s="316">
        <v>0</v>
      </c>
      <c r="J1006" s="317">
        <v>1.5733501221916917</v>
      </c>
      <c r="K1006" s="316">
        <v>2.2224620264381299E-2</v>
      </c>
      <c r="L1006" s="316">
        <v>2.7698977837773984</v>
      </c>
      <c r="M1006" s="317">
        <v>2.7921224040417796</v>
      </c>
      <c r="N1006" s="316">
        <v>14.937298513180236</v>
      </c>
      <c r="O1006" s="316">
        <v>2.5718898444228224</v>
      </c>
      <c r="P1006" s="316">
        <v>0.73351301445258366</v>
      </c>
      <c r="Q1006" s="316">
        <v>3.2355221230678903E-2</v>
      </c>
      <c r="R1006" s="316">
        <v>1.228959930928579</v>
      </c>
      <c r="S1006" s="316">
        <v>6.5963889009773329</v>
      </c>
      <c r="T1006" s="316">
        <v>7.9892485331144112</v>
      </c>
      <c r="U1006" s="316">
        <v>1.2085328984490642</v>
      </c>
      <c r="V1006" s="317">
        <v>35.298186856755706</v>
      </c>
      <c r="W1006" s="317">
        <v>39.663659382989174</v>
      </c>
      <c r="X1006" s="316">
        <v>4.5937041125727172</v>
      </c>
      <c r="Y1006" s="332">
        <v>44.25736349556189</v>
      </c>
    </row>
    <row r="1007" spans="1:25" x14ac:dyDescent="0.2">
      <c r="A1007" s="233">
        <v>2022</v>
      </c>
      <c r="B1007" s="316" t="s">
        <v>466</v>
      </c>
      <c r="C1007" s="316" t="s">
        <v>365</v>
      </c>
      <c r="D1007" s="316" t="s">
        <v>491</v>
      </c>
      <c r="E1007" s="316" t="s">
        <v>379</v>
      </c>
      <c r="F1007" s="316" t="s">
        <v>368</v>
      </c>
      <c r="G1007" s="316" t="s">
        <v>380</v>
      </c>
      <c r="H1007" s="316">
        <v>24.106697242571649</v>
      </c>
      <c r="I1007" s="316">
        <v>18.796847751125167</v>
      </c>
      <c r="J1007" s="317">
        <v>42.903544993696812</v>
      </c>
      <c r="K1007" s="316">
        <v>4.7649071686193114</v>
      </c>
      <c r="L1007" s="316">
        <v>6.9720867161454168</v>
      </c>
      <c r="M1007" s="317">
        <v>11.736993884764729</v>
      </c>
      <c r="N1007" s="316">
        <v>8.4821735976202177</v>
      </c>
      <c r="O1007" s="316">
        <v>32.911531797788122</v>
      </c>
      <c r="P1007" s="316">
        <v>5.4025047966792066</v>
      </c>
      <c r="Q1007" s="316">
        <v>2.4889262789690494</v>
      </c>
      <c r="R1007" s="316">
        <v>9.622468406982545</v>
      </c>
      <c r="S1007" s="316">
        <v>16.491765896452275</v>
      </c>
      <c r="T1007" s="316">
        <v>37.06231168309688</v>
      </c>
      <c r="U1007" s="316">
        <v>6.2117096301799029</v>
      </c>
      <c r="V1007" s="317">
        <v>118.67339208776819</v>
      </c>
      <c r="W1007" s="317">
        <v>173.31393096622975</v>
      </c>
      <c r="X1007" s="316">
        <v>20.842097650385192</v>
      </c>
      <c r="Y1007" s="332">
        <v>194.15602861661495</v>
      </c>
    </row>
    <row r="1008" spans="1:25" x14ac:dyDescent="0.2">
      <c r="A1008" s="233">
        <v>2022</v>
      </c>
      <c r="B1008" s="316" t="s">
        <v>466</v>
      </c>
      <c r="C1008" s="316" t="s">
        <v>365</v>
      </c>
      <c r="D1008" s="316" t="s">
        <v>492</v>
      </c>
      <c r="E1008" s="316" t="s">
        <v>381</v>
      </c>
      <c r="F1008" s="316" t="s">
        <v>368</v>
      </c>
      <c r="G1008" s="316" t="s">
        <v>382</v>
      </c>
      <c r="H1008" s="316">
        <v>109.90732916924631</v>
      </c>
      <c r="I1008" s="316">
        <v>0</v>
      </c>
      <c r="J1008" s="317">
        <v>109.90732916924631</v>
      </c>
      <c r="K1008" s="316">
        <v>3.6354464147332499</v>
      </c>
      <c r="L1008" s="316">
        <v>32.041016113441373</v>
      </c>
      <c r="M1008" s="317">
        <v>35.676462528174625</v>
      </c>
      <c r="N1008" s="316">
        <v>43.153858869903914</v>
      </c>
      <c r="O1008" s="316">
        <v>101.11155210230048</v>
      </c>
      <c r="P1008" s="316">
        <v>13.333114739833658</v>
      </c>
      <c r="Q1008" s="316">
        <v>6.6253134441114385</v>
      </c>
      <c r="R1008" s="316">
        <v>24.40436423419462</v>
      </c>
      <c r="S1008" s="316">
        <v>47.963448011966165</v>
      </c>
      <c r="T1008" s="316">
        <v>89.985989377298054</v>
      </c>
      <c r="U1008" s="316">
        <v>17.439640835769307</v>
      </c>
      <c r="V1008" s="317">
        <v>344.01728161537761</v>
      </c>
      <c r="W1008" s="317">
        <v>489.60107331279858</v>
      </c>
      <c r="X1008" s="316">
        <v>58.136562855130094</v>
      </c>
      <c r="Y1008" s="332">
        <v>547.73763616792871</v>
      </c>
    </row>
    <row r="1009" spans="1:25" x14ac:dyDescent="0.2">
      <c r="A1009" s="233">
        <v>2022</v>
      </c>
      <c r="B1009" s="316" t="s">
        <v>466</v>
      </c>
      <c r="C1009" s="316" t="s">
        <v>365</v>
      </c>
      <c r="D1009" s="316" t="s">
        <v>492</v>
      </c>
      <c r="E1009" s="316" t="s">
        <v>383</v>
      </c>
      <c r="F1009" s="316" t="s">
        <v>368</v>
      </c>
      <c r="G1009" s="316" t="s">
        <v>384</v>
      </c>
      <c r="H1009" s="316">
        <v>30.781485165559204</v>
      </c>
      <c r="I1009" s="316">
        <v>0</v>
      </c>
      <c r="J1009" s="317">
        <v>30.781485165559204</v>
      </c>
      <c r="K1009" s="316">
        <v>6.6067232505645075</v>
      </c>
      <c r="L1009" s="316">
        <v>5.3170149949598589</v>
      </c>
      <c r="M1009" s="317">
        <v>11.923738245524365</v>
      </c>
      <c r="N1009" s="316">
        <v>8.2586096967120941</v>
      </c>
      <c r="O1009" s="316">
        <v>25.973602779091927</v>
      </c>
      <c r="P1009" s="316">
        <v>6.7658597187377874</v>
      </c>
      <c r="Q1009" s="316">
        <v>3.2272503154308469</v>
      </c>
      <c r="R1009" s="316">
        <v>9.0822500181675583</v>
      </c>
      <c r="S1009" s="316">
        <v>19.262081865340466</v>
      </c>
      <c r="T1009" s="316">
        <v>51.990938108732145</v>
      </c>
      <c r="U1009" s="316">
        <v>8.326752590162398</v>
      </c>
      <c r="V1009" s="317">
        <v>132.8873450923752</v>
      </c>
      <c r="W1009" s="317">
        <v>175.59256850345878</v>
      </c>
      <c r="X1009" s="316">
        <v>19.816916151180305</v>
      </c>
      <c r="Y1009" s="332">
        <v>195.40948465463907</v>
      </c>
    </row>
    <row r="1010" spans="1:25" x14ac:dyDescent="0.2">
      <c r="A1010" s="233">
        <v>2022</v>
      </c>
      <c r="B1010" s="316" t="s">
        <v>466</v>
      </c>
      <c r="C1010" s="316" t="s">
        <v>365</v>
      </c>
      <c r="D1010" s="316" t="s">
        <v>492</v>
      </c>
      <c r="E1010" s="316" t="s">
        <v>385</v>
      </c>
      <c r="F1010" s="316" t="s">
        <v>368</v>
      </c>
      <c r="G1010" s="316" t="s">
        <v>386</v>
      </c>
      <c r="H1010" s="316">
        <v>34.898983452977198</v>
      </c>
      <c r="I1010" s="316">
        <v>0</v>
      </c>
      <c r="J1010" s="317">
        <v>34.898983452977198</v>
      </c>
      <c r="K1010" s="316">
        <v>3.1701543600516437</v>
      </c>
      <c r="L1010" s="316">
        <v>14.423960434076669</v>
      </c>
      <c r="M1010" s="317">
        <v>17.594114794128313</v>
      </c>
      <c r="N1010" s="316">
        <v>23.717199551898013</v>
      </c>
      <c r="O1010" s="316">
        <v>48.896487435626575</v>
      </c>
      <c r="P1010" s="316">
        <v>11.793228214869748</v>
      </c>
      <c r="Q1010" s="316">
        <v>4.2415999181283324</v>
      </c>
      <c r="R1010" s="316">
        <v>14.012596477220875</v>
      </c>
      <c r="S1010" s="316">
        <v>30.273594342638752</v>
      </c>
      <c r="T1010" s="316">
        <v>62.807503637495181</v>
      </c>
      <c r="U1010" s="316">
        <v>8.972375520081119</v>
      </c>
      <c r="V1010" s="317">
        <v>204.7145850979586</v>
      </c>
      <c r="W1010" s="317">
        <v>257.20768334506408</v>
      </c>
      <c r="X1010" s="316">
        <v>28.909573099155107</v>
      </c>
      <c r="Y1010" s="332">
        <v>286.11725644421921</v>
      </c>
    </row>
    <row r="1011" spans="1:25" x14ac:dyDescent="0.2">
      <c r="A1011" s="233">
        <v>2022</v>
      </c>
      <c r="B1011" s="316" t="s">
        <v>466</v>
      </c>
      <c r="C1011" s="316" t="s">
        <v>365</v>
      </c>
      <c r="D1011" s="316" t="s">
        <v>491</v>
      </c>
      <c r="E1011" s="316" t="s">
        <v>387</v>
      </c>
      <c r="F1011" s="316" t="s">
        <v>368</v>
      </c>
      <c r="G1011" s="316" t="s">
        <v>494</v>
      </c>
      <c r="H1011" s="316">
        <v>352.81038022078104</v>
      </c>
      <c r="I1011" s="316">
        <v>182.76635812837327</v>
      </c>
      <c r="J1011" s="317">
        <v>535.57673834915431</v>
      </c>
      <c r="K1011" s="316">
        <v>54.728750174603626</v>
      </c>
      <c r="L1011" s="316">
        <v>93.611859076209342</v>
      </c>
      <c r="M1011" s="317">
        <v>148.34060925081297</v>
      </c>
      <c r="N1011" s="316">
        <v>67.554653061438501</v>
      </c>
      <c r="O1011" s="316">
        <v>387.78251908104181</v>
      </c>
      <c r="P1011" s="316">
        <v>72.162268767752622</v>
      </c>
      <c r="Q1011" s="316">
        <v>38.076131996037795</v>
      </c>
      <c r="R1011" s="316">
        <v>114.09612494260541</v>
      </c>
      <c r="S1011" s="316">
        <v>191.70392514424864</v>
      </c>
      <c r="T1011" s="316">
        <v>413.70397209489499</v>
      </c>
      <c r="U1011" s="316">
        <v>69.105985950641738</v>
      </c>
      <c r="V1011" s="317">
        <v>1354.1855810386614</v>
      </c>
      <c r="W1011" s="317">
        <v>2038.1029286386288</v>
      </c>
      <c r="X1011" s="316">
        <v>245.17580943363362</v>
      </c>
      <c r="Y1011" s="332">
        <v>2283.2787380722625</v>
      </c>
    </row>
    <row r="1012" spans="1:25" ht="16" thickBot="1" x14ac:dyDescent="0.25">
      <c r="A1012" s="235">
        <v>2022</v>
      </c>
      <c r="B1012" s="333" t="s">
        <v>466</v>
      </c>
      <c r="C1012" s="333" t="s">
        <v>365</v>
      </c>
      <c r="D1012" s="333" t="s">
        <v>493</v>
      </c>
      <c r="E1012" s="333" t="s">
        <v>389</v>
      </c>
      <c r="F1012" s="333" t="s">
        <v>368</v>
      </c>
      <c r="G1012" s="333" t="s">
        <v>390</v>
      </c>
      <c r="H1012" s="333">
        <v>9.6644512424010749</v>
      </c>
      <c r="I1012" s="333">
        <v>0</v>
      </c>
      <c r="J1012" s="334">
        <v>9.6644512424010749</v>
      </c>
      <c r="K1012" s="333">
        <v>1.1328736364363796</v>
      </c>
      <c r="L1012" s="333">
        <v>3.9850116953724659</v>
      </c>
      <c r="M1012" s="334">
        <v>5.1178853318088455</v>
      </c>
      <c r="N1012" s="333">
        <v>3.888638125970322</v>
      </c>
      <c r="O1012" s="333">
        <v>14.067452236285066</v>
      </c>
      <c r="P1012" s="333">
        <v>2.6488436130124415</v>
      </c>
      <c r="Q1012" s="333">
        <v>0.88432888916309904</v>
      </c>
      <c r="R1012" s="333">
        <v>4.7926175820080621</v>
      </c>
      <c r="S1012" s="333">
        <v>10.489728497908564</v>
      </c>
      <c r="T1012" s="333">
        <v>23.12620864927435</v>
      </c>
      <c r="U1012" s="333">
        <v>3.6568991270052247</v>
      </c>
      <c r="V1012" s="334">
        <v>63.554716720627134</v>
      </c>
      <c r="W1012" s="334">
        <v>78.337053294837048</v>
      </c>
      <c r="X1012" s="333">
        <v>8.6105184914164195</v>
      </c>
      <c r="Y1012" s="335">
        <v>86.947571786253462</v>
      </c>
    </row>
  </sheetData>
  <autoFilter ref="A4:Y1012" xr:uid="{00000000-0009-0000-0000-000006000000}"/>
  <mergeCells count="2">
    <mergeCell ref="A1:Y1"/>
    <mergeCell ref="A2:Y2"/>
  </mergeCells>
  <pageMargins left="0.7" right="0.7" top="0.75" bottom="0.75" header="0.3" footer="0.3"/>
  <pageSetup orientation="portrait" horizontalDpi="4294967295" verticalDpi="4294967295"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V58"/>
  <sheetViews>
    <sheetView showGridLines="0" topLeftCell="D10" zoomScaleNormal="100" workbookViewId="0">
      <selection activeCell="U24" sqref="U24"/>
    </sheetView>
  </sheetViews>
  <sheetFormatPr baseColWidth="10" defaultColWidth="10.83203125" defaultRowHeight="15" x14ac:dyDescent="0.2"/>
  <cols>
    <col min="1" max="1" width="39.5" customWidth="1"/>
    <col min="3" max="3" width="85.33203125" customWidth="1"/>
    <col min="4" max="11" width="10.6640625" bestFit="1" customWidth="1"/>
    <col min="12" max="12" width="11.33203125" bestFit="1" customWidth="1"/>
    <col min="13" max="13" width="11.6640625" bestFit="1" customWidth="1"/>
    <col min="14" max="15" width="14.6640625" bestFit="1" customWidth="1"/>
    <col min="16" max="16" width="14.33203125" bestFit="1" customWidth="1"/>
    <col min="17" max="17" width="13.83203125" bestFit="1" customWidth="1"/>
    <col min="18" max="19" width="14.33203125" bestFit="1" customWidth="1"/>
    <col min="20" max="20" width="14.33203125" customWidth="1"/>
    <col min="21" max="21" width="13.33203125" customWidth="1"/>
    <col min="26" max="26" width="17.5" bestFit="1" customWidth="1"/>
    <col min="28" max="28" width="15.6640625" bestFit="1" customWidth="1"/>
    <col min="30" max="30" width="14.33203125" customWidth="1"/>
    <col min="32" max="32" width="14.6640625" customWidth="1"/>
    <col min="34" max="34" width="17.33203125" customWidth="1"/>
    <col min="36" max="36" width="15.6640625" bestFit="1" customWidth="1"/>
    <col min="38" max="38" width="16" customWidth="1"/>
  </cols>
  <sheetData>
    <row r="1" spans="1:22" ht="16" x14ac:dyDescent="0.2">
      <c r="A1" s="463" t="s">
        <v>45</v>
      </c>
      <c r="B1" s="463"/>
      <c r="C1" s="463"/>
      <c r="D1" s="463"/>
      <c r="E1" s="463"/>
      <c r="F1" s="463"/>
      <c r="G1" s="463"/>
      <c r="H1" s="463"/>
      <c r="I1" s="463"/>
      <c r="J1" s="463"/>
      <c r="K1" s="463"/>
      <c r="L1" s="463"/>
      <c r="M1" s="463"/>
      <c r="N1" s="463"/>
      <c r="O1" s="463"/>
      <c r="P1" s="463"/>
      <c r="Q1" s="463"/>
      <c r="R1" s="463"/>
      <c r="S1" s="463"/>
      <c r="T1" s="463"/>
      <c r="U1" s="463"/>
    </row>
    <row r="2" spans="1:22" ht="14.5" customHeight="1" x14ac:dyDescent="0.2">
      <c r="A2" s="464" t="s">
        <v>497</v>
      </c>
      <c r="B2" s="464"/>
      <c r="C2" s="464"/>
      <c r="D2" s="464"/>
      <c r="E2" s="464"/>
      <c r="F2" s="464"/>
      <c r="G2" s="464"/>
      <c r="H2" s="464"/>
      <c r="I2" s="464"/>
      <c r="J2" s="464"/>
      <c r="K2" s="464"/>
      <c r="L2" s="464"/>
      <c r="M2" s="464"/>
      <c r="N2" s="464"/>
      <c r="O2" s="464"/>
      <c r="P2" s="464"/>
      <c r="Q2" s="464"/>
      <c r="R2" s="464"/>
      <c r="S2" s="464"/>
      <c r="T2" s="464"/>
      <c r="U2" s="464"/>
    </row>
    <row r="3" spans="1:22" ht="14.5" customHeight="1" x14ac:dyDescent="0.2">
      <c r="A3" s="464"/>
      <c r="B3" s="464"/>
      <c r="C3" s="464"/>
      <c r="D3" s="464"/>
      <c r="E3" s="464"/>
      <c r="F3" s="464"/>
      <c r="G3" s="464"/>
      <c r="H3" s="464"/>
      <c r="I3" s="464"/>
      <c r="J3" s="464"/>
      <c r="K3" s="464"/>
      <c r="L3" s="464"/>
      <c r="M3" s="464"/>
      <c r="N3" s="464"/>
      <c r="O3" s="464"/>
      <c r="P3" s="464"/>
      <c r="Q3" s="464"/>
      <c r="R3" s="464"/>
      <c r="S3" s="464"/>
      <c r="T3" s="464"/>
      <c r="U3" s="464"/>
    </row>
    <row r="4" spans="1:22" ht="14.5" customHeight="1" x14ac:dyDescent="0.2">
      <c r="A4" s="465" t="s">
        <v>498</v>
      </c>
      <c r="B4" s="465"/>
      <c r="C4" s="465"/>
      <c r="D4" s="465"/>
      <c r="E4" s="465"/>
      <c r="F4" s="465"/>
      <c r="G4" s="465"/>
      <c r="H4" s="465"/>
      <c r="I4" s="465"/>
      <c r="J4" s="465"/>
      <c r="K4" s="465"/>
      <c r="L4" s="465"/>
      <c r="M4" s="465"/>
      <c r="N4" s="465"/>
      <c r="O4" s="465"/>
      <c r="P4" s="465"/>
      <c r="Q4" s="465"/>
      <c r="R4" s="465"/>
      <c r="S4" s="465"/>
      <c r="T4" s="465"/>
      <c r="U4" s="465"/>
    </row>
    <row r="5" spans="1:22" x14ac:dyDescent="0.2">
      <c r="A5" s="465"/>
      <c r="B5" s="465"/>
      <c r="C5" s="465"/>
      <c r="D5" s="465"/>
      <c r="E5" s="465"/>
      <c r="F5" s="465"/>
      <c r="G5" s="465"/>
      <c r="H5" s="465"/>
      <c r="I5" s="465"/>
      <c r="J5" s="465"/>
      <c r="K5" s="465"/>
      <c r="L5" s="465"/>
      <c r="M5" s="465"/>
      <c r="N5" s="465"/>
      <c r="O5" s="465"/>
      <c r="P5" s="465"/>
      <c r="Q5" s="465"/>
      <c r="R5" s="465"/>
      <c r="S5" s="465"/>
      <c r="T5" s="465"/>
      <c r="U5" s="465"/>
    </row>
    <row r="6" spans="1:22" x14ac:dyDescent="0.2">
      <c r="A6" s="465"/>
      <c r="B6" s="465"/>
      <c r="C6" s="465"/>
      <c r="D6" s="465"/>
      <c r="E6" s="465"/>
      <c r="F6" s="465"/>
      <c r="G6" s="465"/>
      <c r="H6" s="465"/>
      <c r="I6" s="465"/>
      <c r="J6" s="465"/>
      <c r="K6" s="465"/>
      <c r="L6" s="465"/>
      <c r="M6" s="465"/>
      <c r="N6" s="465"/>
      <c r="O6" s="465"/>
      <c r="P6" s="465"/>
      <c r="Q6" s="465"/>
      <c r="R6" s="465"/>
      <c r="S6" s="465"/>
      <c r="T6" s="465"/>
      <c r="U6" s="465"/>
    </row>
    <row r="7" spans="1:22" x14ac:dyDescent="0.2">
      <c r="A7" s="465"/>
      <c r="B7" s="465"/>
      <c r="C7" s="465"/>
      <c r="D7" s="465"/>
      <c r="E7" s="465"/>
      <c r="F7" s="465"/>
      <c r="G7" s="465"/>
      <c r="H7" s="465"/>
      <c r="I7" s="465"/>
      <c r="J7" s="465"/>
      <c r="K7" s="465"/>
      <c r="L7" s="465"/>
      <c r="M7" s="465"/>
      <c r="N7" s="465"/>
      <c r="O7" s="465"/>
      <c r="P7" s="465"/>
      <c r="Q7" s="465"/>
      <c r="R7" s="465"/>
      <c r="S7" s="465"/>
      <c r="T7" s="465"/>
      <c r="U7" s="465"/>
    </row>
    <row r="8" spans="1:22" x14ac:dyDescent="0.2">
      <c r="A8" s="361"/>
      <c r="B8" s="13"/>
      <c r="C8" s="13"/>
      <c r="D8" s="13"/>
      <c r="E8" s="13"/>
      <c r="F8" s="13"/>
      <c r="G8" s="13"/>
      <c r="H8" s="13"/>
      <c r="I8" s="13"/>
      <c r="J8" s="13"/>
      <c r="K8" s="13"/>
      <c r="L8" s="13"/>
      <c r="M8" s="13"/>
      <c r="N8" s="13"/>
      <c r="O8" s="14"/>
      <c r="P8" s="14"/>
      <c r="Q8" s="14"/>
      <c r="R8" s="362"/>
      <c r="S8" s="14"/>
      <c r="T8" s="14"/>
      <c r="U8" s="14"/>
    </row>
    <row r="9" spans="1:22" ht="70" x14ac:dyDescent="0.2">
      <c r="A9" s="30" t="s">
        <v>499</v>
      </c>
      <c r="B9" s="30" t="s">
        <v>500</v>
      </c>
      <c r="C9" s="363" t="s">
        <v>501</v>
      </c>
      <c r="D9" s="364">
        <v>2005</v>
      </c>
      <c r="E9" s="364">
        <v>2006</v>
      </c>
      <c r="F9" s="364">
        <v>2007</v>
      </c>
      <c r="G9" s="364">
        <v>2008</v>
      </c>
      <c r="H9" s="364">
        <v>2009</v>
      </c>
      <c r="I9" s="364">
        <v>2010</v>
      </c>
      <c r="J9" s="364">
        <v>2011</v>
      </c>
      <c r="K9" s="364">
        <v>2012</v>
      </c>
      <c r="L9" s="364">
        <v>2013</v>
      </c>
      <c r="M9" s="364">
        <v>2014</v>
      </c>
      <c r="N9" s="364">
        <v>2015</v>
      </c>
      <c r="O9" s="364">
        <v>2016</v>
      </c>
      <c r="P9" s="364">
        <v>2017</v>
      </c>
      <c r="Q9" s="364">
        <v>2018</v>
      </c>
      <c r="R9" s="363">
        <v>2019</v>
      </c>
      <c r="S9" s="364" t="s">
        <v>502</v>
      </c>
      <c r="T9" s="364" t="s">
        <v>503</v>
      </c>
      <c r="U9" s="365" t="s">
        <v>504</v>
      </c>
    </row>
    <row r="10" spans="1:22" x14ac:dyDescent="0.2">
      <c r="A10" s="366"/>
      <c r="B10" s="15" t="s">
        <v>505</v>
      </c>
      <c r="C10" s="367" t="s">
        <v>506</v>
      </c>
      <c r="D10" s="16">
        <v>3481.4698117694379</v>
      </c>
      <c r="E10" s="16">
        <v>3619.4241815740384</v>
      </c>
      <c r="F10" s="16">
        <v>3969.4652203562787</v>
      </c>
      <c r="G10" s="16">
        <v>4030.4606461150383</v>
      </c>
      <c r="H10" s="16">
        <v>4279.3050982755021</v>
      </c>
      <c r="I10" s="16">
        <v>4355.8977664370159</v>
      </c>
      <c r="J10" s="16">
        <v>4681.2493408254359</v>
      </c>
      <c r="K10" s="16">
        <v>4639.9769961270722</v>
      </c>
      <c r="L10" s="16">
        <v>4930.7518507763098</v>
      </c>
      <c r="M10" s="16">
        <v>5298.2181236619826</v>
      </c>
      <c r="N10" s="16">
        <v>6153.0623286166601</v>
      </c>
      <c r="O10" s="16">
        <v>7413.7796575374041</v>
      </c>
      <c r="P10" s="16">
        <v>7477.7755717381633</v>
      </c>
      <c r="Q10" s="16">
        <v>7959.6039008397966</v>
      </c>
      <c r="R10" s="16">
        <v>8918.46413279222</v>
      </c>
      <c r="S10" s="16">
        <v>9851.9795355846072</v>
      </c>
      <c r="T10" s="16">
        <v>12090.803450436861</v>
      </c>
      <c r="U10" s="368">
        <v>16076.675538902529</v>
      </c>
    </row>
    <row r="11" spans="1:22" x14ac:dyDescent="0.2">
      <c r="A11" s="369"/>
      <c r="B11" s="17" t="s">
        <v>507</v>
      </c>
      <c r="C11" s="370" t="s">
        <v>97</v>
      </c>
      <c r="D11" s="18">
        <v>1358.6420382824681</v>
      </c>
      <c r="E11" s="18">
        <v>1784.4608091836442</v>
      </c>
      <c r="F11" s="18">
        <v>1466.2296817352935</v>
      </c>
      <c r="G11" s="18">
        <v>1890.0138171504698</v>
      </c>
      <c r="H11" s="18">
        <v>1933.4737508417045</v>
      </c>
      <c r="I11" s="18">
        <v>1854.4249139433823</v>
      </c>
      <c r="J11" s="18">
        <v>2599.7483919085735</v>
      </c>
      <c r="K11" s="18">
        <v>3196.8608192831198</v>
      </c>
      <c r="L11" s="18">
        <v>3020.9188807483788</v>
      </c>
      <c r="M11" s="18">
        <v>2985.8050375827602</v>
      </c>
      <c r="N11" s="18">
        <v>2430.0514517960805</v>
      </c>
      <c r="O11" s="18">
        <v>2826.5357626022242</v>
      </c>
      <c r="P11" s="18">
        <v>2429.8877957604377</v>
      </c>
      <c r="Q11" s="18">
        <v>2674.5405995441283</v>
      </c>
      <c r="R11" s="18">
        <v>3175.2932223956418</v>
      </c>
      <c r="S11" s="18">
        <v>4783.3157851955712</v>
      </c>
      <c r="T11" s="18">
        <v>6142.529374014528</v>
      </c>
      <c r="U11" s="371">
        <v>7989.4220992803657</v>
      </c>
      <c r="V11" s="250"/>
    </row>
    <row r="12" spans="1:22" x14ac:dyDescent="0.2">
      <c r="A12" s="372"/>
      <c r="B12" s="19" t="s">
        <v>508</v>
      </c>
      <c r="C12" s="373" t="s">
        <v>103</v>
      </c>
      <c r="D12" s="20">
        <v>12389.954608650183</v>
      </c>
      <c r="E12" s="20">
        <v>13445.449342992213</v>
      </c>
      <c r="F12" s="20">
        <v>15314.718693270339</v>
      </c>
      <c r="G12" s="20">
        <v>15154.063588265788</v>
      </c>
      <c r="H12" s="20">
        <v>14967.410579973097</v>
      </c>
      <c r="I12" s="20">
        <v>15605.85097255636</v>
      </c>
      <c r="J12" s="20">
        <v>17056.31134298152</v>
      </c>
      <c r="K12" s="20">
        <v>18321.182570470846</v>
      </c>
      <c r="L12" s="20">
        <v>18727.85667567639</v>
      </c>
      <c r="M12" s="20">
        <v>18809.118680599313</v>
      </c>
      <c r="N12" s="20">
        <v>19852.649523508673</v>
      </c>
      <c r="O12" s="20">
        <v>21031.586564243509</v>
      </c>
      <c r="P12" s="20">
        <v>20388.204805777554</v>
      </c>
      <c r="Q12" s="20">
        <v>21028.568077165975</v>
      </c>
      <c r="R12" s="20">
        <v>22127.442830199001</v>
      </c>
      <c r="S12" s="20">
        <v>20425.144233147788</v>
      </c>
      <c r="T12" s="20">
        <v>25580.822866131239</v>
      </c>
      <c r="U12" s="374">
        <v>32094.147048433359</v>
      </c>
      <c r="V12" s="250"/>
    </row>
    <row r="13" spans="1:22" x14ac:dyDescent="0.2">
      <c r="A13" s="369"/>
      <c r="B13" s="17" t="s">
        <v>509</v>
      </c>
      <c r="C13" s="370" t="s">
        <v>510</v>
      </c>
      <c r="D13" s="18">
        <v>2503.9215477897696</v>
      </c>
      <c r="E13" s="18">
        <v>2732.2568702038948</v>
      </c>
      <c r="F13" s="18">
        <v>3155.9997760466176</v>
      </c>
      <c r="G13" s="18">
        <v>3338.9527799121252</v>
      </c>
      <c r="H13" s="18">
        <v>3452.5591982781466</v>
      </c>
      <c r="I13" s="18">
        <v>3779.5727793489236</v>
      </c>
      <c r="J13" s="18">
        <v>4223.7149742707516</v>
      </c>
      <c r="K13" s="18">
        <v>4510.8863273403103</v>
      </c>
      <c r="L13" s="18">
        <v>4614.5323310144759</v>
      </c>
      <c r="M13" s="18">
        <v>4643.8339381478481</v>
      </c>
      <c r="N13" s="18">
        <v>4920.4932764469131</v>
      </c>
      <c r="O13" s="18">
        <v>5442.5682680242826</v>
      </c>
      <c r="P13" s="18">
        <v>5841.1671182247392</v>
      </c>
      <c r="Q13" s="18">
        <v>6425.7821611304071</v>
      </c>
      <c r="R13" s="18">
        <v>7053.783627599074</v>
      </c>
      <c r="S13" s="18">
        <v>7637.6446802291666</v>
      </c>
      <c r="T13" s="18">
        <v>8875.0908865081929</v>
      </c>
      <c r="U13" s="371">
        <v>10950.872844388934</v>
      </c>
      <c r="V13" s="250"/>
    </row>
    <row r="14" spans="1:22" x14ac:dyDescent="0.2">
      <c r="A14" s="372"/>
      <c r="B14" s="19" t="s">
        <v>511</v>
      </c>
      <c r="C14" s="373" t="s">
        <v>66</v>
      </c>
      <c r="D14" s="20">
        <v>2525.4802256772696</v>
      </c>
      <c r="E14" s="20">
        <v>3169.5688065688514</v>
      </c>
      <c r="F14" s="20">
        <v>3340.3377432899865</v>
      </c>
      <c r="G14" s="20">
        <v>4029.178847977395</v>
      </c>
      <c r="H14" s="20">
        <v>4436.3294047751524</v>
      </c>
      <c r="I14" s="20">
        <v>4060.8084914050132</v>
      </c>
      <c r="J14" s="20">
        <v>4929.8314202334168</v>
      </c>
      <c r="K14" s="20">
        <v>5255.5660040423327</v>
      </c>
      <c r="L14" s="20">
        <v>6477.89524325191</v>
      </c>
      <c r="M14" s="20">
        <v>7946.7853622829716</v>
      </c>
      <c r="N14" s="20">
        <v>8573.3862697719742</v>
      </c>
      <c r="O14" s="20">
        <v>9481.6540978370285</v>
      </c>
      <c r="P14" s="20">
        <v>9818.8839634708984</v>
      </c>
      <c r="Q14" s="20">
        <v>10687.749455898018</v>
      </c>
      <c r="R14" s="20">
        <v>11048.784309695007</v>
      </c>
      <c r="S14" s="20">
        <v>7762.3175398600479</v>
      </c>
      <c r="T14" s="20">
        <v>9436.8259527712617</v>
      </c>
      <c r="U14" s="374">
        <v>8144.6823050237545</v>
      </c>
    </row>
    <row r="15" spans="1:22" x14ac:dyDescent="0.2">
      <c r="A15" s="369"/>
      <c r="B15" s="17" t="s">
        <v>512</v>
      </c>
      <c r="C15" s="370" t="s">
        <v>513</v>
      </c>
      <c r="D15" s="18">
        <v>7604.5467245593654</v>
      </c>
      <c r="E15" s="18">
        <v>8694.1936412709128</v>
      </c>
      <c r="F15" s="18">
        <v>10300.292334678696</v>
      </c>
      <c r="G15" s="18">
        <v>10783.051047601417</v>
      </c>
      <c r="H15" s="18">
        <v>11237.481021151207</v>
      </c>
      <c r="I15" s="18">
        <v>11992.958598156263</v>
      </c>
      <c r="J15" s="18">
        <v>13163.017844837175</v>
      </c>
      <c r="K15" s="18">
        <v>13691.570204366266</v>
      </c>
      <c r="L15" s="18">
        <v>15124.013852441283</v>
      </c>
      <c r="M15" s="18">
        <v>16705.345575031675</v>
      </c>
      <c r="N15" s="18">
        <v>18733.951378250913</v>
      </c>
      <c r="O15" s="18">
        <v>21461.502240182061</v>
      </c>
      <c r="P15" s="18">
        <v>22796.859394362233</v>
      </c>
      <c r="Q15" s="18">
        <v>24232.489384445551</v>
      </c>
      <c r="R15" s="18">
        <v>26342.510799766529</v>
      </c>
      <c r="S15" s="18">
        <v>23920.817756158547</v>
      </c>
      <c r="T15" s="18">
        <v>31313.867848915936</v>
      </c>
      <c r="U15" s="371">
        <v>38402.258889805504</v>
      </c>
    </row>
    <row r="16" spans="1:22" x14ac:dyDescent="0.2">
      <c r="A16" s="372"/>
      <c r="B16" s="19" t="s">
        <v>514</v>
      </c>
      <c r="C16" s="373" t="s">
        <v>117</v>
      </c>
      <c r="D16" s="20">
        <v>1528.8468939619679</v>
      </c>
      <c r="E16" s="20">
        <v>1753.9715742881119</v>
      </c>
      <c r="F16" s="20">
        <v>1998.3367607096354</v>
      </c>
      <c r="G16" s="20">
        <v>2189.1009794822212</v>
      </c>
      <c r="H16" s="20">
        <v>2273.0314123577036</v>
      </c>
      <c r="I16" s="20">
        <v>2491.3567928116868</v>
      </c>
      <c r="J16" s="20">
        <v>2692.9659557796576</v>
      </c>
      <c r="K16" s="20">
        <v>2852.668797991857</v>
      </c>
      <c r="L16" s="20">
        <v>3042.067758389509</v>
      </c>
      <c r="M16" s="20">
        <v>3233.3348593666933</v>
      </c>
      <c r="N16" s="20">
        <v>3382.924851687842</v>
      </c>
      <c r="O16" s="20">
        <v>3594.3737961676056</v>
      </c>
      <c r="P16" s="20">
        <v>3815.6558941986082</v>
      </c>
      <c r="Q16" s="20">
        <v>4130.6779085771368</v>
      </c>
      <c r="R16" s="20">
        <v>4286.9798798570373</v>
      </c>
      <c r="S16" s="20">
        <v>4332.8861416799273</v>
      </c>
      <c r="T16" s="20">
        <v>4636.4748780590498</v>
      </c>
      <c r="U16" s="374">
        <v>5166.5319170270814</v>
      </c>
    </row>
    <row r="17" spans="1:21" x14ac:dyDescent="0.2">
      <c r="A17" s="369"/>
      <c r="B17" s="17" t="s">
        <v>515</v>
      </c>
      <c r="C17" s="370" t="s">
        <v>70</v>
      </c>
      <c r="D17" s="18">
        <v>1839.8897860700085</v>
      </c>
      <c r="E17" s="18">
        <v>1950.783902089546</v>
      </c>
      <c r="F17" s="18">
        <v>2260.6299523969565</v>
      </c>
      <c r="G17" s="18">
        <v>2743.0195282299683</v>
      </c>
      <c r="H17" s="18">
        <v>2837.2877166842682</v>
      </c>
      <c r="I17" s="18">
        <v>3183.4007817549027</v>
      </c>
      <c r="J17" s="18">
        <v>3658.2017446136847</v>
      </c>
      <c r="K17" s="18">
        <v>4152.0188825744399</v>
      </c>
      <c r="L17" s="18">
        <v>4494.8627019944843</v>
      </c>
      <c r="M17" s="18">
        <v>5011.1331443643867</v>
      </c>
      <c r="N17" s="18">
        <v>5517.180840789355</v>
      </c>
      <c r="O17" s="18">
        <v>5491.5633547059606</v>
      </c>
      <c r="P17" s="18">
        <v>6223.6776517143671</v>
      </c>
      <c r="Q17" s="18">
        <v>6787.9735877772919</v>
      </c>
      <c r="R17" s="18">
        <v>7515.7040420033309</v>
      </c>
      <c r="S17" s="18">
        <v>7835.3492101114198</v>
      </c>
      <c r="T17" s="18">
        <v>8531.8995680943826</v>
      </c>
      <c r="U17" s="371">
        <v>9165.435101750465</v>
      </c>
    </row>
    <row r="18" spans="1:21" x14ac:dyDescent="0.2">
      <c r="A18" s="372"/>
      <c r="B18" s="19" t="s">
        <v>516</v>
      </c>
      <c r="C18" s="373" t="s">
        <v>71</v>
      </c>
      <c r="D18" s="20">
        <v>4241.1409365392274</v>
      </c>
      <c r="E18" s="20">
        <v>4685.1297674364796</v>
      </c>
      <c r="F18" s="20">
        <v>5137.7962560735014</v>
      </c>
      <c r="G18" s="20">
        <v>5582.8077747728985</v>
      </c>
      <c r="H18" s="20">
        <v>6127.1140647336551</v>
      </c>
      <c r="I18" s="20">
        <v>6653.5798359264845</v>
      </c>
      <c r="J18" s="20">
        <v>7194.380334305426</v>
      </c>
      <c r="K18" s="20">
        <v>7826.6765159440229</v>
      </c>
      <c r="L18" s="20">
        <v>8496.1569733869201</v>
      </c>
      <c r="M18" s="20">
        <v>9227.16</v>
      </c>
      <c r="N18" s="20">
        <v>9932.8028534265723</v>
      </c>
      <c r="O18" s="20">
        <v>10794.725592223855</v>
      </c>
      <c r="P18" s="20">
        <v>11552.363479898322</v>
      </c>
      <c r="Q18" s="20">
        <v>12454.641652026221</v>
      </c>
      <c r="R18" s="20">
        <v>13376.223965884999</v>
      </c>
      <c r="S18" s="20">
        <v>13779.328338970861</v>
      </c>
      <c r="T18" s="20">
        <v>14682.965468480799</v>
      </c>
      <c r="U18" s="374">
        <v>15733.599242279663</v>
      </c>
    </row>
    <row r="19" spans="1:21" ht="23.5" customHeight="1" x14ac:dyDescent="0.2">
      <c r="A19" s="369"/>
      <c r="B19" s="17" t="s">
        <v>517</v>
      </c>
      <c r="C19" s="370" t="s">
        <v>124</v>
      </c>
      <c r="D19" s="18">
        <v>2679.405617095023</v>
      </c>
      <c r="E19" s="18">
        <v>3224.5256880968477</v>
      </c>
      <c r="F19" s="18">
        <v>3838.5137652267335</v>
      </c>
      <c r="G19" s="18">
        <v>4405.1438263570053</v>
      </c>
      <c r="H19" s="18">
        <v>4951.0069581038397</v>
      </c>
      <c r="I19" s="18">
        <v>5698.5261312931107</v>
      </c>
      <c r="J19" s="18">
        <v>6851.7796916336292</v>
      </c>
      <c r="K19" s="18">
        <v>7733.4415607864585</v>
      </c>
      <c r="L19" s="18">
        <v>8553.1932896778544</v>
      </c>
      <c r="M19" s="18">
        <v>9757.0499263381898</v>
      </c>
      <c r="N19" s="18">
        <v>10374.548477555927</v>
      </c>
      <c r="O19" s="18">
        <v>11010.786020329992</v>
      </c>
      <c r="P19" s="18">
        <v>11796.827845828344</v>
      </c>
      <c r="Q19" s="18">
        <v>12684.490604496992</v>
      </c>
      <c r="R19" s="18">
        <v>13715.3509846257</v>
      </c>
      <c r="S19" s="18">
        <v>13315.4473199517</v>
      </c>
      <c r="T19" s="18">
        <v>15249.145087504554</v>
      </c>
      <c r="U19" s="371">
        <v>17788.544660905194</v>
      </c>
    </row>
    <row r="20" spans="1:21" x14ac:dyDescent="0.2">
      <c r="A20" s="372"/>
      <c r="B20" s="19" t="s">
        <v>518</v>
      </c>
      <c r="C20" s="373" t="s">
        <v>519</v>
      </c>
      <c r="D20" s="20">
        <v>5125.4479404490967</v>
      </c>
      <c r="E20" s="20">
        <v>5589.437753608091</v>
      </c>
      <c r="F20" s="20">
        <v>6168.4779348736129</v>
      </c>
      <c r="G20" s="20">
        <v>6496.3925511209109</v>
      </c>
      <c r="H20" s="20">
        <v>7302.0058053947532</v>
      </c>
      <c r="I20" s="20">
        <v>7887.8799136601629</v>
      </c>
      <c r="J20" s="20">
        <v>8528.9887343588416</v>
      </c>
      <c r="K20" s="20">
        <v>9470.1864693083735</v>
      </c>
      <c r="L20" s="20">
        <v>10478.084140144405</v>
      </c>
      <c r="M20" s="20">
        <v>11292.503851835265</v>
      </c>
      <c r="N20" s="20">
        <v>12532.151501840759</v>
      </c>
      <c r="O20" s="20">
        <v>13796.385116041554</v>
      </c>
      <c r="P20" s="20">
        <v>15165.331299964038</v>
      </c>
      <c r="Q20" s="20">
        <v>16550.604329171591</v>
      </c>
      <c r="R20" s="20">
        <v>18056.6633283802</v>
      </c>
      <c r="S20" s="20">
        <v>18442.79321295183</v>
      </c>
      <c r="T20" s="20">
        <v>20552.038659266589</v>
      </c>
      <c r="U20" s="374">
        <v>22357.050281046417</v>
      </c>
    </row>
    <row r="21" spans="1:21" ht="48" customHeight="1" x14ac:dyDescent="0.2">
      <c r="A21" s="369"/>
      <c r="B21" s="17" t="s">
        <v>520</v>
      </c>
      <c r="C21" s="370" t="s">
        <v>521</v>
      </c>
      <c r="D21" s="18">
        <v>1126.1486351101935</v>
      </c>
      <c r="E21" s="18">
        <v>1250.0935824635023</v>
      </c>
      <c r="F21" s="18">
        <v>1420.1708988355265</v>
      </c>
      <c r="G21" s="18">
        <v>1555.8467813266068</v>
      </c>
      <c r="H21" s="18">
        <v>1637.9554007241729</v>
      </c>
      <c r="I21" s="18">
        <v>1785.7643302626543</v>
      </c>
      <c r="J21" s="18">
        <v>1991.6556022186244</v>
      </c>
      <c r="K21" s="18">
        <v>2119.6347571808369</v>
      </c>
      <c r="L21" s="18">
        <v>2223.5025127718518</v>
      </c>
      <c r="M21" s="18">
        <v>2335.6816014265605</v>
      </c>
      <c r="N21" s="18">
        <v>2500.0730881368681</v>
      </c>
      <c r="O21" s="18">
        <v>2917.7457252876743</v>
      </c>
      <c r="P21" s="18">
        <v>3158.7534674958338</v>
      </c>
      <c r="Q21" s="18">
        <v>3293.2443543578029</v>
      </c>
      <c r="R21" s="18">
        <v>3848.0158314909354</v>
      </c>
      <c r="S21" s="18">
        <v>3510.0113624124215</v>
      </c>
      <c r="T21" s="18">
        <v>4617.008261970037</v>
      </c>
      <c r="U21" s="371">
        <v>7238.5928581401076</v>
      </c>
    </row>
    <row r="22" spans="1:21" x14ac:dyDescent="0.2">
      <c r="A22" s="375" t="s">
        <v>522</v>
      </c>
      <c r="B22" s="372"/>
      <c r="C22" s="376" t="s">
        <v>523</v>
      </c>
      <c r="D22" s="21">
        <v>46404.894765954006</v>
      </c>
      <c r="E22" s="21">
        <v>51899.29591977613</v>
      </c>
      <c r="F22" s="21">
        <v>58370.969017493182</v>
      </c>
      <c r="G22" s="21">
        <v>62198.032168311838</v>
      </c>
      <c r="H22" s="21">
        <v>65434.960411293207</v>
      </c>
      <c r="I22" s="21">
        <v>69350.021307555959</v>
      </c>
      <c r="J22" s="21">
        <v>77571.845377966718</v>
      </c>
      <c r="K22" s="21">
        <v>83770.669905415954</v>
      </c>
      <c r="L22" s="21">
        <v>90183.836210273774</v>
      </c>
      <c r="M22" s="21">
        <v>97245.970100637656</v>
      </c>
      <c r="N22" s="21">
        <v>104903.27584182854</v>
      </c>
      <c r="O22" s="21">
        <v>115263.20619518316</v>
      </c>
      <c r="P22" s="21">
        <v>120465.38828843353</v>
      </c>
      <c r="Q22" s="21">
        <v>128910.36601543092</v>
      </c>
      <c r="R22" s="21">
        <v>139465.21695468971</v>
      </c>
      <c r="S22" s="21">
        <v>135597.03511625389</v>
      </c>
      <c r="T22" s="21">
        <v>161709.47230215344</v>
      </c>
      <c r="U22" s="377">
        <v>191107.81278698347</v>
      </c>
    </row>
    <row r="23" spans="1:21" x14ac:dyDescent="0.2">
      <c r="A23" s="22" t="s">
        <v>524</v>
      </c>
      <c r="B23" s="23"/>
      <c r="C23" s="378" t="s">
        <v>464</v>
      </c>
      <c r="D23" s="24">
        <v>4601.9422288448377</v>
      </c>
      <c r="E23" s="24">
        <v>5385.7517974251277</v>
      </c>
      <c r="F23" s="24">
        <v>6142.592927551822</v>
      </c>
      <c r="G23" s="24">
        <v>6226.9166506723413</v>
      </c>
      <c r="H23" s="24">
        <v>5873.8545627440317</v>
      </c>
      <c r="I23" s="24">
        <v>6631.8501135156466</v>
      </c>
      <c r="J23" s="24">
        <v>8006.2766955980478</v>
      </c>
      <c r="K23" s="24">
        <v>8547.3737711205031</v>
      </c>
      <c r="L23" s="24">
        <v>8389.0123314713401</v>
      </c>
      <c r="M23" s="24">
        <v>9572.9912204203447</v>
      </c>
      <c r="N23" s="24">
        <v>10542.981141487051</v>
      </c>
      <c r="O23" s="24">
        <v>10758.437877343251</v>
      </c>
      <c r="P23" s="24">
        <v>11903.202365470674</v>
      </c>
      <c r="Q23" s="24">
        <v>12769.714316624691</v>
      </c>
      <c r="R23" s="24">
        <v>14094.231983888652</v>
      </c>
      <c r="S23" s="24">
        <v>12639.074088182995</v>
      </c>
      <c r="T23" s="24">
        <v>16127.052443450317</v>
      </c>
      <c r="U23" s="25">
        <v>21407.144568549986</v>
      </c>
    </row>
    <row r="24" spans="1:21" x14ac:dyDescent="0.2">
      <c r="A24" s="26" t="s">
        <v>522</v>
      </c>
      <c r="B24" s="27"/>
      <c r="C24" s="28" t="s">
        <v>525</v>
      </c>
      <c r="D24" s="29">
        <v>51006.836994798847</v>
      </c>
      <c r="E24" s="29">
        <v>57285.047717201262</v>
      </c>
      <c r="F24" s="29">
        <v>64513.561945045003</v>
      </c>
      <c r="G24" s="29">
        <v>68424.94881898418</v>
      </c>
      <c r="H24" s="29">
        <v>71308.814974037232</v>
      </c>
      <c r="I24" s="29">
        <v>75981.871421071599</v>
      </c>
      <c r="J24" s="29">
        <v>85578.122073564766</v>
      </c>
      <c r="K24" s="29">
        <v>92318.043676536457</v>
      </c>
      <c r="L24" s="29">
        <v>98572.848541745116</v>
      </c>
      <c r="M24" s="29">
        <v>106818.961321058</v>
      </c>
      <c r="N24" s="29">
        <v>115446.25698331559</v>
      </c>
      <c r="O24" s="29">
        <v>126021.64407252641</v>
      </c>
      <c r="P24" s="29">
        <v>132368.59065390422</v>
      </c>
      <c r="Q24" s="29">
        <v>141680.0803320556</v>
      </c>
      <c r="R24" s="29">
        <v>153559.44893857837</v>
      </c>
      <c r="S24" s="408">
        <v>148236.10920443689</v>
      </c>
      <c r="T24" s="408">
        <v>177836.52474560376</v>
      </c>
      <c r="U24" s="409">
        <v>212514.95735553346</v>
      </c>
    </row>
    <row r="25" spans="1:21" x14ac:dyDescent="0.2">
      <c r="A25" s="376"/>
      <c r="B25" s="31"/>
      <c r="C25" s="380"/>
      <c r="D25" s="380"/>
      <c r="E25" s="380"/>
      <c r="F25" s="380"/>
      <c r="G25" s="380"/>
      <c r="H25" s="380"/>
      <c r="I25" s="380"/>
      <c r="J25" s="380"/>
      <c r="K25" s="380"/>
      <c r="L25" s="380"/>
      <c r="M25" s="381"/>
      <c r="N25" s="381"/>
      <c r="O25" s="381"/>
      <c r="P25" s="381"/>
      <c r="Q25" s="381"/>
      <c r="R25" s="381"/>
      <c r="S25" s="381"/>
      <c r="T25" s="381"/>
      <c r="U25" s="381"/>
    </row>
    <row r="26" spans="1:21" ht="14.5" customHeight="1" x14ac:dyDescent="0.2">
      <c r="A26" s="382" t="s">
        <v>526</v>
      </c>
      <c r="B26" s="383"/>
      <c r="C26" s="383"/>
      <c r="D26" s="384"/>
      <c r="E26" s="384"/>
      <c r="F26" s="384"/>
      <c r="G26" s="384"/>
      <c r="H26" s="384"/>
      <c r="I26" s="384"/>
      <c r="J26" s="384"/>
      <c r="K26" s="384"/>
      <c r="L26" s="384"/>
      <c r="M26" s="384"/>
      <c r="N26" s="384"/>
      <c r="O26" s="384"/>
      <c r="P26" s="384"/>
      <c r="Q26" s="384"/>
      <c r="R26" s="384"/>
      <c r="S26" s="384"/>
      <c r="T26" s="384"/>
      <c r="U26" s="385"/>
    </row>
    <row r="27" spans="1:21" x14ac:dyDescent="0.2">
      <c r="A27" s="386" t="s">
        <v>527</v>
      </c>
      <c r="B27" s="31"/>
      <c r="C27" s="31"/>
      <c r="D27" s="387"/>
      <c r="E27" s="387"/>
      <c r="F27" s="387"/>
      <c r="G27" s="387"/>
      <c r="H27" s="387"/>
      <c r="I27" s="387"/>
      <c r="J27" s="387"/>
      <c r="K27" s="387"/>
      <c r="L27" s="387"/>
      <c r="M27" s="387"/>
      <c r="N27" s="387"/>
      <c r="O27" s="387"/>
      <c r="P27" s="387"/>
      <c r="Q27" s="387"/>
      <c r="R27" s="387"/>
      <c r="S27" s="387"/>
      <c r="T27" s="387"/>
      <c r="U27" s="388"/>
    </row>
    <row r="28" spans="1:21" ht="14.5" customHeight="1" x14ac:dyDescent="0.2">
      <c r="A28" s="389" t="s">
        <v>528</v>
      </c>
      <c r="B28" s="31"/>
      <c r="C28" s="31"/>
      <c r="D28" s="387"/>
      <c r="E28" s="387"/>
      <c r="F28" s="387"/>
      <c r="G28" s="387"/>
      <c r="H28" s="387"/>
      <c r="I28" s="387"/>
      <c r="J28" s="387"/>
      <c r="K28" s="387"/>
      <c r="L28" s="387"/>
      <c r="M28" s="387"/>
      <c r="N28" s="387"/>
      <c r="O28" s="387"/>
      <c r="P28" s="387"/>
      <c r="Q28" s="387"/>
      <c r="R28" s="387"/>
      <c r="S28" s="387"/>
      <c r="T28" s="387"/>
      <c r="U28" s="388"/>
    </row>
    <row r="29" spans="1:21" x14ac:dyDescent="0.2">
      <c r="A29" s="390" t="s">
        <v>529</v>
      </c>
      <c r="B29" s="391"/>
      <c r="C29" s="391"/>
      <c r="D29" s="392"/>
      <c r="E29" s="392"/>
      <c r="F29" s="392"/>
      <c r="G29" s="392"/>
      <c r="H29" s="392"/>
      <c r="I29" s="392"/>
      <c r="J29" s="392"/>
      <c r="K29" s="392"/>
      <c r="L29" s="392"/>
      <c r="M29" s="392"/>
      <c r="N29" s="392"/>
      <c r="O29" s="392"/>
      <c r="P29" s="392"/>
      <c r="Q29" s="392"/>
      <c r="R29" s="392"/>
      <c r="S29" s="392"/>
      <c r="T29" s="392"/>
      <c r="U29" s="393"/>
    </row>
    <row r="31" spans="1:21" ht="14.5" customHeight="1" x14ac:dyDescent="0.2">
      <c r="A31" s="464" t="s">
        <v>497</v>
      </c>
      <c r="B31" s="464"/>
      <c r="C31" s="464"/>
      <c r="D31" s="464"/>
      <c r="E31" s="464"/>
      <c r="F31" s="464"/>
      <c r="G31" s="464"/>
      <c r="H31" s="464"/>
      <c r="I31" s="464"/>
      <c r="J31" s="464"/>
      <c r="K31" s="464"/>
      <c r="L31" s="464"/>
      <c r="M31" s="464"/>
      <c r="N31" s="464"/>
      <c r="O31" s="464"/>
      <c r="P31" s="464"/>
      <c r="Q31" s="464"/>
      <c r="R31" s="464"/>
      <c r="S31" s="464"/>
      <c r="T31" s="464"/>
      <c r="U31" s="464"/>
    </row>
    <row r="32" spans="1:21" ht="14.5" customHeight="1" x14ac:dyDescent="0.2">
      <c r="A32" s="464"/>
      <c r="B32" s="464"/>
      <c r="C32" s="464"/>
      <c r="D32" s="464"/>
      <c r="E32" s="464"/>
      <c r="F32" s="464"/>
      <c r="G32" s="464"/>
      <c r="H32" s="464"/>
      <c r="I32" s="464"/>
      <c r="J32" s="464"/>
      <c r="K32" s="464"/>
      <c r="L32" s="464"/>
      <c r="M32" s="464"/>
      <c r="N32" s="464"/>
      <c r="O32" s="464"/>
      <c r="P32" s="464"/>
      <c r="Q32" s="464"/>
      <c r="R32" s="464"/>
      <c r="S32" s="464"/>
      <c r="T32" s="464"/>
      <c r="U32" s="464"/>
    </row>
    <row r="33" spans="1:21" ht="14.5" customHeight="1" x14ac:dyDescent="0.2">
      <c r="A33" s="465" t="s">
        <v>530</v>
      </c>
      <c r="B33" s="465"/>
      <c r="C33" s="465"/>
      <c r="D33" s="465"/>
      <c r="E33" s="465"/>
      <c r="F33" s="465"/>
      <c r="G33" s="465"/>
      <c r="H33" s="465"/>
      <c r="I33" s="465"/>
      <c r="J33" s="465"/>
      <c r="K33" s="465"/>
      <c r="L33" s="465"/>
      <c r="M33" s="465"/>
      <c r="N33" s="465"/>
      <c r="O33" s="465"/>
      <c r="P33" s="465"/>
      <c r="Q33" s="465"/>
      <c r="R33" s="465"/>
      <c r="S33" s="465"/>
      <c r="T33" s="465"/>
      <c r="U33" s="465"/>
    </row>
    <row r="34" spans="1:21" x14ac:dyDescent="0.2">
      <c r="A34" s="465"/>
      <c r="B34" s="465"/>
      <c r="C34" s="465"/>
      <c r="D34" s="465"/>
      <c r="E34" s="465"/>
      <c r="F34" s="465"/>
      <c r="G34" s="465"/>
      <c r="H34" s="465"/>
      <c r="I34" s="465"/>
      <c r="J34" s="465"/>
      <c r="K34" s="465"/>
      <c r="L34" s="465"/>
      <c r="M34" s="465"/>
      <c r="N34" s="465"/>
      <c r="O34" s="465"/>
      <c r="P34" s="465"/>
      <c r="Q34" s="465"/>
      <c r="R34" s="465"/>
      <c r="S34" s="465"/>
      <c r="T34" s="465"/>
      <c r="U34" s="465"/>
    </row>
    <row r="35" spans="1:21" x14ac:dyDescent="0.2">
      <c r="A35" s="465"/>
      <c r="B35" s="465"/>
      <c r="C35" s="465"/>
      <c r="D35" s="465"/>
      <c r="E35" s="465"/>
      <c r="F35" s="465"/>
      <c r="G35" s="465"/>
      <c r="H35" s="465"/>
      <c r="I35" s="465"/>
      <c r="J35" s="465"/>
      <c r="K35" s="465"/>
      <c r="L35" s="465"/>
      <c r="M35" s="465"/>
      <c r="N35" s="465"/>
      <c r="O35" s="465"/>
      <c r="P35" s="465"/>
      <c r="Q35" s="465"/>
      <c r="R35" s="465"/>
      <c r="S35" s="465"/>
      <c r="T35" s="465"/>
      <c r="U35" s="465"/>
    </row>
    <row r="36" spans="1:21" x14ac:dyDescent="0.2">
      <c r="A36" s="465"/>
      <c r="B36" s="465"/>
      <c r="C36" s="465"/>
      <c r="D36" s="465"/>
      <c r="E36" s="465"/>
      <c r="F36" s="465"/>
      <c r="G36" s="465"/>
      <c r="H36" s="465"/>
      <c r="I36" s="465"/>
      <c r="J36" s="465"/>
      <c r="K36" s="465"/>
      <c r="L36" s="465"/>
      <c r="M36" s="465"/>
      <c r="N36" s="465"/>
      <c r="O36" s="465"/>
      <c r="P36" s="465"/>
      <c r="Q36" s="465"/>
      <c r="R36" s="465"/>
      <c r="S36" s="465"/>
      <c r="T36" s="465"/>
      <c r="U36" s="465"/>
    </row>
    <row r="37" spans="1:21" x14ac:dyDescent="0.2">
      <c r="A37" s="361"/>
      <c r="B37" s="13"/>
      <c r="C37" s="13"/>
      <c r="D37" s="13"/>
      <c r="E37" s="13"/>
      <c r="F37" s="13"/>
      <c r="G37" s="13"/>
      <c r="H37" s="13"/>
      <c r="I37" s="13"/>
      <c r="J37" s="13"/>
      <c r="K37" s="13"/>
      <c r="L37" s="13"/>
      <c r="M37" s="13"/>
      <c r="N37" s="13"/>
      <c r="O37" s="14"/>
      <c r="P37" s="14"/>
      <c r="Q37" s="14"/>
      <c r="R37" s="14"/>
      <c r="S37" s="14"/>
      <c r="T37" s="14"/>
      <c r="U37" s="14"/>
    </row>
    <row r="38" spans="1:21" ht="70" x14ac:dyDescent="0.2">
      <c r="A38" s="394" t="s">
        <v>531</v>
      </c>
      <c r="B38" s="30" t="s">
        <v>500</v>
      </c>
      <c r="C38" s="363" t="s">
        <v>501</v>
      </c>
      <c r="D38" s="364">
        <v>2005</v>
      </c>
      <c r="E38" s="364">
        <v>2006</v>
      </c>
      <c r="F38" s="364">
        <v>2007</v>
      </c>
      <c r="G38" s="364">
        <v>2008</v>
      </c>
      <c r="H38" s="364">
        <v>2009</v>
      </c>
      <c r="I38" s="364">
        <v>2010</v>
      </c>
      <c r="J38" s="364">
        <v>2011</v>
      </c>
      <c r="K38" s="364">
        <v>2012</v>
      </c>
      <c r="L38" s="364">
        <v>2013</v>
      </c>
      <c r="M38" s="364">
        <v>2014</v>
      </c>
      <c r="N38" s="364">
        <v>2015</v>
      </c>
      <c r="O38" s="364">
        <v>2016</v>
      </c>
      <c r="P38" s="364">
        <v>2017</v>
      </c>
      <c r="Q38" s="364">
        <v>2018</v>
      </c>
      <c r="R38" s="363">
        <v>2019</v>
      </c>
      <c r="S38" s="364" t="s">
        <v>502</v>
      </c>
      <c r="T38" s="364" t="s">
        <v>503</v>
      </c>
      <c r="U38" s="395" t="s">
        <v>532</v>
      </c>
    </row>
    <row r="39" spans="1:21" x14ac:dyDescent="0.2">
      <c r="A39" s="396"/>
      <c r="B39" s="15" t="s">
        <v>505</v>
      </c>
      <c r="C39" s="367" t="s">
        <v>506</v>
      </c>
      <c r="D39" s="16">
        <v>4856.1365247173626</v>
      </c>
      <c r="E39" s="16">
        <v>4883.9813442398245</v>
      </c>
      <c r="F39" s="16">
        <v>5266.8476126736759</v>
      </c>
      <c r="G39" s="16">
        <v>5106.7399004195195</v>
      </c>
      <c r="H39" s="16">
        <v>4981.4382125684406</v>
      </c>
      <c r="I39" s="16">
        <v>5049.6580203984722</v>
      </c>
      <c r="J39" s="16">
        <v>5106.7399004195195</v>
      </c>
      <c r="K39" s="16">
        <v>5368.4812039306616</v>
      </c>
      <c r="L39" s="16">
        <v>5733.248339674913</v>
      </c>
      <c r="M39" s="16">
        <v>5756.9164362690053</v>
      </c>
      <c r="N39" s="16">
        <v>6153.0623286166601</v>
      </c>
      <c r="O39" s="16">
        <v>6362.5032299392196</v>
      </c>
      <c r="P39" s="16">
        <v>6567.3352611226419</v>
      </c>
      <c r="Q39" s="16">
        <v>6677.5499606925805</v>
      </c>
      <c r="R39" s="16">
        <v>6897.452257135109</v>
      </c>
      <c r="S39" s="410">
        <v>7034.3515207003375</v>
      </c>
      <c r="T39" s="16">
        <v>7455.1498889537961</v>
      </c>
      <c r="U39" s="368">
        <v>7172.3094410025169</v>
      </c>
    </row>
    <row r="40" spans="1:21" x14ac:dyDescent="0.2">
      <c r="A40" s="397"/>
      <c r="B40" s="17" t="s">
        <v>507</v>
      </c>
      <c r="C40" s="370" t="s">
        <v>97</v>
      </c>
      <c r="D40" s="18">
        <v>2628.1681534134932</v>
      </c>
      <c r="E40" s="18">
        <v>2708.1284335013338</v>
      </c>
      <c r="F40" s="18">
        <v>2114.7389865336754</v>
      </c>
      <c r="G40" s="18">
        <v>2434.5801068850369</v>
      </c>
      <c r="H40" s="18">
        <v>2451.4138500614245</v>
      </c>
      <c r="I40" s="18">
        <v>2001.1112200930597</v>
      </c>
      <c r="J40" s="18">
        <v>2158.9275623716921</v>
      </c>
      <c r="K40" s="18">
        <v>2628.1681534134927</v>
      </c>
      <c r="L40" s="18">
        <v>2756.5254451334472</v>
      </c>
      <c r="M40" s="18">
        <v>2785.9844956921252</v>
      </c>
      <c r="N40" s="18">
        <v>2430.0514517960805</v>
      </c>
      <c r="O40" s="18">
        <v>2593.121221297406</v>
      </c>
      <c r="P40" s="18">
        <v>2186.5367267589627</v>
      </c>
      <c r="Q40" s="18">
        <v>2200.3353050305591</v>
      </c>
      <c r="R40" s="18">
        <v>2187.8527619593683</v>
      </c>
      <c r="S40" s="411">
        <v>2605.4572004804145</v>
      </c>
      <c r="T40" s="18">
        <v>2980.550417686135</v>
      </c>
      <c r="U40" s="371">
        <v>3251.2914175969813</v>
      </c>
    </row>
    <row r="41" spans="1:21" x14ac:dyDescent="0.2">
      <c r="A41" s="398"/>
      <c r="B41" s="19" t="s">
        <v>508</v>
      </c>
      <c r="C41" s="373" t="s">
        <v>103</v>
      </c>
      <c r="D41" s="20">
        <v>15897.905503041073</v>
      </c>
      <c r="E41" s="20">
        <v>16638.758393149783</v>
      </c>
      <c r="F41" s="20">
        <v>18145.648974164105</v>
      </c>
      <c r="G41" s="20">
        <v>17404.796084055393</v>
      </c>
      <c r="H41" s="20">
        <v>16317.652182989348</v>
      </c>
      <c r="I41" s="20">
        <v>17465.65935264789</v>
      </c>
      <c r="J41" s="20">
        <v>19098.473937646697</v>
      </c>
      <c r="K41" s="20">
        <v>19386.000413411268</v>
      </c>
      <c r="L41" s="20">
        <v>19100.572671046437</v>
      </c>
      <c r="M41" s="20">
        <v>19646.2433549792</v>
      </c>
      <c r="N41" s="20">
        <v>19852.649523508673</v>
      </c>
      <c r="O41" s="20">
        <v>20435.038701652105</v>
      </c>
      <c r="P41" s="20">
        <v>19966.801305303514</v>
      </c>
      <c r="Q41" s="20">
        <v>20196.507781624732</v>
      </c>
      <c r="R41" s="20">
        <v>20460.327130068847</v>
      </c>
      <c r="S41" s="412">
        <v>18098.016735487035</v>
      </c>
      <c r="T41" s="20">
        <v>21378.818326389126</v>
      </c>
      <c r="U41" s="374">
        <v>23857.325476777929</v>
      </c>
    </row>
    <row r="42" spans="1:21" ht="44" customHeight="1" x14ac:dyDescent="0.2">
      <c r="A42" s="397"/>
      <c r="B42" s="17" t="s">
        <v>509</v>
      </c>
      <c r="C42" s="370" t="s">
        <v>510</v>
      </c>
      <c r="D42" s="18">
        <v>4025.2213316342959</v>
      </c>
      <c r="E42" s="18">
        <v>4212.8948364661819</v>
      </c>
      <c r="F42" s="18">
        <v>4576.2307418207129</v>
      </c>
      <c r="G42" s="18">
        <v>4552.2085332022316</v>
      </c>
      <c r="H42" s="18">
        <v>4522.1807724291293</v>
      </c>
      <c r="I42" s="18">
        <v>4711.3556652996704</v>
      </c>
      <c r="J42" s="18">
        <v>5002.6249447987575</v>
      </c>
      <c r="K42" s="18">
        <v>5160.2706888575422</v>
      </c>
      <c r="L42" s="18">
        <v>5062.6804663449611</v>
      </c>
      <c r="M42" s="18">
        <v>4921.5499907113826</v>
      </c>
      <c r="N42" s="18">
        <v>4920.4932764469131</v>
      </c>
      <c r="O42" s="18">
        <v>4960.23149465399</v>
      </c>
      <c r="P42" s="18">
        <v>5129.5642905651694</v>
      </c>
      <c r="Q42" s="18">
        <v>5288.6990083806932</v>
      </c>
      <c r="R42" s="18">
        <v>5371.1951455480703</v>
      </c>
      <c r="S42" s="411">
        <v>5251.5055898286701</v>
      </c>
      <c r="T42" s="18">
        <v>5624.0992452006803</v>
      </c>
      <c r="U42" s="371">
        <v>5939.4718611616272</v>
      </c>
    </row>
    <row r="43" spans="1:21" x14ac:dyDescent="0.2">
      <c r="A43" s="398"/>
      <c r="B43" s="19" t="s">
        <v>511</v>
      </c>
      <c r="C43" s="373" t="s">
        <v>66</v>
      </c>
      <c r="D43" s="20">
        <v>3764.4112478190063</v>
      </c>
      <c r="E43" s="20">
        <v>4412.7831941461582</v>
      </c>
      <c r="F43" s="20">
        <v>4340.2380812703923</v>
      </c>
      <c r="G43" s="20">
        <v>4702.963645649219</v>
      </c>
      <c r="H43" s="20">
        <v>4815.1818671289184</v>
      </c>
      <c r="I43" s="20">
        <v>4352.7067725459146</v>
      </c>
      <c r="J43" s="20">
        <v>5020.3485144806918</v>
      </c>
      <c r="K43" s="20">
        <v>4921.7325016651985</v>
      </c>
      <c r="L43" s="20">
        <v>5748.0666780157126</v>
      </c>
      <c r="M43" s="20">
        <v>7379.1982003317471</v>
      </c>
      <c r="N43" s="20">
        <v>8573.3862697719742</v>
      </c>
      <c r="O43" s="20">
        <v>9041.3009283487681</v>
      </c>
      <c r="P43" s="20">
        <v>9676.7792291328406</v>
      </c>
      <c r="Q43" s="20">
        <v>10345.762322145165</v>
      </c>
      <c r="R43" s="20">
        <v>10188.887812802112</v>
      </c>
      <c r="S43" s="412">
        <v>6806.8739391975232</v>
      </c>
      <c r="T43" s="20">
        <v>7929.3594375066587</v>
      </c>
      <c r="U43" s="374">
        <v>6185.5169351099257</v>
      </c>
    </row>
    <row r="44" spans="1:21" x14ac:dyDescent="0.2">
      <c r="A44" s="397"/>
      <c r="B44" s="17" t="s">
        <v>512</v>
      </c>
      <c r="C44" s="370" t="s">
        <v>513</v>
      </c>
      <c r="D44" s="18">
        <v>11398.07177325355</v>
      </c>
      <c r="E44" s="18">
        <v>12484.316673623889</v>
      </c>
      <c r="F44" s="18">
        <v>14027.408714061476</v>
      </c>
      <c r="G44" s="18">
        <v>14350.638576682573</v>
      </c>
      <c r="H44" s="18">
        <v>14215.344318783571</v>
      </c>
      <c r="I44" s="18">
        <v>15087.599595565185</v>
      </c>
      <c r="J44" s="18">
        <v>16211.402650512606</v>
      </c>
      <c r="K44" s="18">
        <v>16660.223043788257</v>
      </c>
      <c r="L44" s="18">
        <v>17259.794381858283</v>
      </c>
      <c r="M44" s="18">
        <v>18197.853928412635</v>
      </c>
      <c r="N44" s="18">
        <v>18733.951378250913</v>
      </c>
      <c r="O44" s="18">
        <v>19466.336991891243</v>
      </c>
      <c r="P44" s="18">
        <v>19714.445043787149</v>
      </c>
      <c r="Q44" s="18">
        <v>20217.535150336647</v>
      </c>
      <c r="R44" s="18">
        <v>21038.067454348049</v>
      </c>
      <c r="S44" s="411">
        <v>18507.485379662503</v>
      </c>
      <c r="T44" s="18">
        <v>23012.570875891033</v>
      </c>
      <c r="U44" s="371">
        <v>25448.620283899432</v>
      </c>
    </row>
    <row r="45" spans="1:21" x14ac:dyDescent="0.2">
      <c r="A45" s="398"/>
      <c r="B45" s="19" t="s">
        <v>514</v>
      </c>
      <c r="C45" s="373" t="s">
        <v>117</v>
      </c>
      <c r="D45" s="20">
        <v>1780.4744124910803</v>
      </c>
      <c r="E45" s="20">
        <v>2032.5887479836365</v>
      </c>
      <c r="F45" s="20">
        <v>2314.5418145992162</v>
      </c>
      <c r="G45" s="20">
        <v>2504.5559839817251</v>
      </c>
      <c r="H45" s="20">
        <v>2489.1933281320685</v>
      </c>
      <c r="I45" s="20">
        <v>2727.3594122688733</v>
      </c>
      <c r="J45" s="20">
        <v>2915.4322124957266</v>
      </c>
      <c r="K45" s="20">
        <v>3023.6960500634614</v>
      </c>
      <c r="L45" s="20">
        <v>3117.1267742108876</v>
      </c>
      <c r="M45" s="20">
        <v>3277.3779163790905</v>
      </c>
      <c r="N45" s="20">
        <v>3382.924851687842</v>
      </c>
      <c r="O45" s="20">
        <v>3405.798656316123</v>
      </c>
      <c r="P45" s="20">
        <v>3378.945248328479</v>
      </c>
      <c r="Q45" s="20">
        <v>3582.1951711465549</v>
      </c>
      <c r="R45" s="20">
        <v>3618.7786953601099</v>
      </c>
      <c r="S45" s="412">
        <v>3614.6543169240263</v>
      </c>
      <c r="T45" s="20">
        <v>3965.9456537037922</v>
      </c>
      <c r="U45" s="374">
        <v>4513.2917173842534</v>
      </c>
    </row>
    <row r="46" spans="1:21" x14ac:dyDescent="0.2">
      <c r="A46" s="397"/>
      <c r="B46" s="17" t="s">
        <v>515</v>
      </c>
      <c r="C46" s="370" t="s">
        <v>70</v>
      </c>
      <c r="D46" s="18">
        <v>2481.1989079092878</v>
      </c>
      <c r="E46" s="18">
        <v>2755.2491092286396</v>
      </c>
      <c r="F46" s="18">
        <v>3029.2993105479909</v>
      </c>
      <c r="G46" s="18">
        <v>3319.3255325720579</v>
      </c>
      <c r="H46" s="18">
        <v>3252.9636004140089</v>
      </c>
      <c r="I46" s="18">
        <v>3479.0857396192141</v>
      </c>
      <c r="J46" s="18">
        <v>3960.8242100998682</v>
      </c>
      <c r="K46" s="18">
        <v>4311.0677409340169</v>
      </c>
      <c r="L46" s="18">
        <v>4640.4195523850767</v>
      </c>
      <c r="M46" s="18">
        <v>5065.6274880644296</v>
      </c>
      <c r="N46" s="18">
        <v>5517.180840789355</v>
      </c>
      <c r="O46" s="18">
        <v>5686.8297233729991</v>
      </c>
      <c r="P46" s="18">
        <v>5991.5180597577437</v>
      </c>
      <c r="Q46" s="18">
        <v>6236.5780433599721</v>
      </c>
      <c r="R46" s="18">
        <v>6659.7494041437303</v>
      </c>
      <c r="S46" s="411">
        <v>6822.9646552695804</v>
      </c>
      <c r="T46" s="18">
        <v>7179.3983341644671</v>
      </c>
      <c r="U46" s="371">
        <v>7551.6375319744557</v>
      </c>
    </row>
    <row r="47" spans="1:21" x14ac:dyDescent="0.2">
      <c r="A47" s="398"/>
      <c r="B47" s="19" t="s">
        <v>516</v>
      </c>
      <c r="C47" s="373" t="s">
        <v>71</v>
      </c>
      <c r="D47" s="20">
        <v>7236.9524812377349</v>
      </c>
      <c r="E47" s="20">
        <v>7493.7419723005933</v>
      </c>
      <c r="F47" s="20">
        <v>7755.7366557498626</v>
      </c>
      <c r="G47" s="20">
        <v>8024.6715957143442</v>
      </c>
      <c r="H47" s="20">
        <v>8293.6065356788258</v>
      </c>
      <c r="I47" s="20">
        <v>8552.1310908704872</v>
      </c>
      <c r="J47" s="20">
        <v>8763.8089145844642</v>
      </c>
      <c r="K47" s="20">
        <v>9041.4191751929593</v>
      </c>
      <c r="L47" s="20">
        <v>9312.089179286244</v>
      </c>
      <c r="M47" s="20">
        <v>9601.8448887963623</v>
      </c>
      <c r="N47" s="20">
        <v>9932.8028534265723</v>
      </c>
      <c r="O47" s="20">
        <v>10295.769959993959</v>
      </c>
      <c r="P47" s="20">
        <v>10578.356428752151</v>
      </c>
      <c r="Q47" s="20">
        <v>11097.039185516975</v>
      </c>
      <c r="R47" s="20">
        <v>11612.688096244521</v>
      </c>
      <c r="S47" s="412">
        <v>11762.549249953294</v>
      </c>
      <c r="T47" s="20">
        <v>12306.585306852225</v>
      </c>
      <c r="U47" s="374">
        <v>12729.625718108497</v>
      </c>
    </row>
    <row r="48" spans="1:21" ht="27.5" customHeight="1" x14ac:dyDescent="0.2">
      <c r="A48" s="397"/>
      <c r="B48" s="17" t="s">
        <v>517</v>
      </c>
      <c r="C48" s="370" t="s">
        <v>124</v>
      </c>
      <c r="D48" s="18">
        <v>6037.1211521695996</v>
      </c>
      <c r="E48" s="18">
        <v>6638.4280398358951</v>
      </c>
      <c r="F48" s="18">
        <v>7074.8050383137197</v>
      </c>
      <c r="G48" s="18">
        <v>7315.3277933802374</v>
      </c>
      <c r="H48" s="18">
        <v>7414.9729347649381</v>
      </c>
      <c r="I48" s="18">
        <v>7772.3210280066214</v>
      </c>
      <c r="J48" s="18">
        <v>8725.8219498774597</v>
      </c>
      <c r="K48" s="18">
        <v>9119.248456379124</v>
      </c>
      <c r="L48" s="18">
        <v>9423.3379395703632</v>
      </c>
      <c r="M48" s="18">
        <v>10160.368381881337</v>
      </c>
      <c r="N48" s="18">
        <v>10374.548477555927</v>
      </c>
      <c r="O48" s="18">
        <v>10335.68728004795</v>
      </c>
      <c r="P48" s="18">
        <v>10651.841549997253</v>
      </c>
      <c r="Q48" s="18">
        <v>11079.518612117246</v>
      </c>
      <c r="R48" s="18">
        <v>11564.039358616921</v>
      </c>
      <c r="S48" s="411">
        <v>11049.991624880293</v>
      </c>
      <c r="T48" s="18">
        <v>12204.2756852739</v>
      </c>
      <c r="U48" s="371">
        <v>13218.249320085477</v>
      </c>
    </row>
    <row r="49" spans="1:21" x14ac:dyDescent="0.2">
      <c r="A49" s="398"/>
      <c r="B49" s="19" t="s">
        <v>518</v>
      </c>
      <c r="C49" s="373" t="s">
        <v>519</v>
      </c>
      <c r="D49" s="20">
        <v>8055.0583572872156</v>
      </c>
      <c r="E49" s="20">
        <v>8367.5727455427823</v>
      </c>
      <c r="F49" s="20">
        <v>8806.6554610418534</v>
      </c>
      <c r="G49" s="20">
        <v>8769.1537344511853</v>
      </c>
      <c r="H49" s="20">
        <v>9336.3673491350364</v>
      </c>
      <c r="I49" s="20">
        <v>9641.0688776842126</v>
      </c>
      <c r="J49" s="20">
        <v>9875.4546688758874</v>
      </c>
      <c r="K49" s="20">
        <v>10416.104560558017</v>
      </c>
      <c r="L49" s="20">
        <v>11047.38362483426</v>
      </c>
      <c r="M49" s="20">
        <v>11719.289559583727</v>
      </c>
      <c r="N49" s="20">
        <v>12532.151501840759</v>
      </c>
      <c r="O49" s="20">
        <v>13001.945259808705</v>
      </c>
      <c r="P49" s="20">
        <v>13491.656776350132</v>
      </c>
      <c r="Q49" s="20">
        <v>14161.509251665897</v>
      </c>
      <c r="R49" s="20">
        <v>14975.310685405777</v>
      </c>
      <c r="S49" s="412">
        <v>15014.41181303405</v>
      </c>
      <c r="T49" s="20">
        <v>16415.769106496136</v>
      </c>
      <c r="U49" s="374">
        <v>16852.699373175416</v>
      </c>
    </row>
    <row r="50" spans="1:21" x14ac:dyDescent="0.2">
      <c r="A50" s="397"/>
      <c r="B50" s="17" t="s">
        <v>520</v>
      </c>
      <c r="C50" s="370" t="s">
        <v>521</v>
      </c>
      <c r="D50" s="18">
        <v>1644.7726057534817</v>
      </c>
      <c r="E50" s="18">
        <v>1759.0953653462127</v>
      </c>
      <c r="F50" s="18">
        <v>1888.1694487573604</v>
      </c>
      <c r="G50" s="18">
        <v>1937.3405281520836</v>
      </c>
      <c r="H50" s="18">
        <v>1934.8819741823474</v>
      </c>
      <c r="I50" s="18">
        <v>1954.5504059402367</v>
      </c>
      <c r="J50" s="18">
        <v>2091.0001512605932</v>
      </c>
      <c r="K50" s="18">
        <v>2158.6103854283374</v>
      </c>
      <c r="L50" s="18">
        <v>2293.8308537638254</v>
      </c>
      <c r="M50" s="18">
        <v>2360.211810946701</v>
      </c>
      <c r="N50" s="18">
        <v>2500.0730881368681</v>
      </c>
      <c r="O50" s="18">
        <v>2836.0590348763085</v>
      </c>
      <c r="P50" s="18">
        <v>2898.4052495337237</v>
      </c>
      <c r="Q50" s="18">
        <v>2979.5082244406121</v>
      </c>
      <c r="R50" s="18">
        <v>3372.6219126747169</v>
      </c>
      <c r="S50" s="411">
        <v>2965.5926589842306</v>
      </c>
      <c r="T50" s="18">
        <v>3849.6022628224778</v>
      </c>
      <c r="U50" s="371">
        <v>5777.395713745952</v>
      </c>
    </row>
    <row r="51" spans="1:21" x14ac:dyDescent="0.2">
      <c r="A51" s="399" t="s">
        <v>522</v>
      </c>
      <c r="B51" s="372"/>
      <c r="C51" s="376" t="s">
        <v>523</v>
      </c>
      <c r="D51" s="21">
        <v>67775.044250454172</v>
      </c>
      <c r="E51" s="21">
        <v>72500.473994346117</v>
      </c>
      <c r="F51" s="21">
        <v>77258.817179240301</v>
      </c>
      <c r="G51" s="21">
        <v>78683.498982622637</v>
      </c>
      <c r="H51" s="21">
        <v>78586.325966330332</v>
      </c>
      <c r="I51" s="21">
        <v>80774.286139621589</v>
      </c>
      <c r="J51" s="21">
        <v>86864.840031748972</v>
      </c>
      <c r="K51" s="21">
        <v>90185.96295954565</v>
      </c>
      <c r="L51" s="21">
        <v>94314.248845254246</v>
      </c>
      <c r="M51" s="21">
        <v>100804.46594955161</v>
      </c>
      <c r="N51" s="21">
        <v>104903.27584182855</v>
      </c>
      <c r="O51" s="21">
        <v>108420.6224821988</v>
      </c>
      <c r="P51" s="21">
        <v>110228.61784193014</v>
      </c>
      <c r="Q51" s="21">
        <v>114055.84117985076</v>
      </c>
      <c r="R51" s="21">
        <v>118006.42339772888</v>
      </c>
      <c r="S51" s="21">
        <v>110018.8188597166</v>
      </c>
      <c r="T51" s="21">
        <v>124827.71038614151</v>
      </c>
      <c r="U51" s="377">
        <v>132944.55830230078</v>
      </c>
    </row>
    <row r="52" spans="1:21" x14ac:dyDescent="0.2">
      <c r="A52" s="400" t="s">
        <v>524</v>
      </c>
      <c r="B52" s="23"/>
      <c r="C52" s="378" t="s">
        <v>464</v>
      </c>
      <c r="D52" s="24">
        <v>6142.9803213687528</v>
      </c>
      <c r="E52" s="24">
        <v>6712.4686165920084</v>
      </c>
      <c r="F52" s="24">
        <v>7491.7683890027802</v>
      </c>
      <c r="G52" s="24">
        <v>7502.2589628621554</v>
      </c>
      <c r="H52" s="24">
        <v>7037.6764062326565</v>
      </c>
      <c r="I52" s="24">
        <v>7707.5744798242231</v>
      </c>
      <c r="J52" s="24">
        <v>8909.4945134269892</v>
      </c>
      <c r="K52" s="24">
        <v>9471.4895416078343</v>
      </c>
      <c r="L52" s="24">
        <v>9711.2740869649933</v>
      </c>
      <c r="M52" s="24">
        <v>10331.716598076646</v>
      </c>
      <c r="N52" s="24">
        <v>10542.981141487051</v>
      </c>
      <c r="O52" s="24">
        <v>10625.7616327879</v>
      </c>
      <c r="P52" s="24">
        <v>10741.993629906479</v>
      </c>
      <c r="Q52" s="24">
        <v>11114.375749816085</v>
      </c>
      <c r="R52" s="24">
        <v>11660.296372050496</v>
      </c>
      <c r="S52" s="24">
        <v>10950.139318705125</v>
      </c>
      <c r="T52" s="24">
        <v>12787.544541028514</v>
      </c>
      <c r="U52" s="25">
        <v>14156.532940955938</v>
      </c>
    </row>
    <row r="53" spans="1:21" x14ac:dyDescent="0.2">
      <c r="A53" s="401" t="s">
        <v>522</v>
      </c>
      <c r="B53" s="27"/>
      <c r="C53" s="28" t="s">
        <v>525</v>
      </c>
      <c r="D53" s="29">
        <v>73922.532786074924</v>
      </c>
      <c r="E53" s="29">
        <v>79223.681846290463</v>
      </c>
      <c r="F53" s="29">
        <v>84784.032892955423</v>
      </c>
      <c r="G53" s="29">
        <v>86215.889649426026</v>
      </c>
      <c r="H53" s="29">
        <v>85660.010690534502</v>
      </c>
      <c r="I53" s="29">
        <v>88492.495048481767</v>
      </c>
      <c r="J53" s="29">
        <v>95753.273584564915</v>
      </c>
      <c r="K53" s="29">
        <v>99628.811719308651</v>
      </c>
      <c r="L53" s="29">
        <v>104011.82362270335</v>
      </c>
      <c r="M53" s="29">
        <v>111128.94804581454</v>
      </c>
      <c r="N53" s="29">
        <v>115446.2569833156</v>
      </c>
      <c r="O53" s="29">
        <v>119046.38411498669</v>
      </c>
      <c r="P53" s="29">
        <v>120973.26658047568</v>
      </c>
      <c r="Q53" s="29">
        <v>125172.9567513896</v>
      </c>
      <c r="R53" s="29">
        <v>129671.98068228063</v>
      </c>
      <c r="S53" s="29">
        <v>120975.50157848449</v>
      </c>
      <c r="T53" s="29">
        <v>137601.58785110028</v>
      </c>
      <c r="U53" s="379">
        <v>147073.53979714858</v>
      </c>
    </row>
    <row r="54" spans="1:21" x14ac:dyDescent="0.2">
      <c r="A54" s="402"/>
      <c r="B54" s="31"/>
      <c r="C54" s="31"/>
      <c r="D54" s="31"/>
      <c r="E54" s="31"/>
      <c r="F54" s="31"/>
      <c r="G54" s="31"/>
      <c r="H54" s="31"/>
      <c r="I54" s="31"/>
      <c r="J54" s="31"/>
      <c r="K54" s="31"/>
      <c r="L54" s="31"/>
      <c r="M54" s="381"/>
      <c r="N54" s="381"/>
      <c r="O54" s="381"/>
      <c r="P54" s="381"/>
      <c r="Q54" s="403"/>
      <c r="R54" s="403"/>
      <c r="S54" s="403"/>
      <c r="T54" s="403"/>
      <c r="U54" s="403"/>
    </row>
    <row r="55" spans="1:21" ht="14.5" customHeight="1" x14ac:dyDescent="0.2">
      <c r="A55" s="382" t="s">
        <v>526</v>
      </c>
      <c r="B55" s="383"/>
      <c r="C55" s="383"/>
      <c r="D55" s="384"/>
      <c r="E55" s="384"/>
      <c r="F55" s="384"/>
      <c r="G55" s="384"/>
      <c r="H55" s="384"/>
      <c r="I55" s="384"/>
      <c r="J55" s="384"/>
      <c r="K55" s="384"/>
      <c r="L55" s="384"/>
      <c r="M55" s="384"/>
      <c r="N55" s="384"/>
      <c r="O55" s="384"/>
      <c r="P55" s="384"/>
      <c r="Q55" s="384"/>
      <c r="R55" s="384"/>
      <c r="S55" s="384"/>
      <c r="T55" s="404"/>
      <c r="U55" s="405"/>
    </row>
    <row r="56" spans="1:21" x14ac:dyDescent="0.2">
      <c r="A56" s="386" t="s">
        <v>527</v>
      </c>
      <c r="B56" s="31"/>
      <c r="C56" s="31"/>
      <c r="D56" s="387"/>
      <c r="E56" s="387"/>
      <c r="F56" s="387"/>
      <c r="G56" s="387"/>
      <c r="H56" s="387"/>
      <c r="I56" s="387"/>
      <c r="J56" s="387"/>
      <c r="K56" s="387"/>
      <c r="L56" s="387"/>
      <c r="M56" s="387"/>
      <c r="N56" s="387"/>
      <c r="O56" s="387"/>
      <c r="P56" s="387"/>
      <c r="Q56" s="387"/>
      <c r="R56" s="387"/>
      <c r="S56" s="387"/>
      <c r="T56" s="406"/>
      <c r="U56" s="407"/>
    </row>
    <row r="57" spans="1:21" ht="14.5" customHeight="1" x14ac:dyDescent="0.2">
      <c r="A57" s="389" t="s">
        <v>528</v>
      </c>
      <c r="B57" s="31"/>
      <c r="C57" s="31"/>
      <c r="D57" s="387"/>
      <c r="E57" s="387"/>
      <c r="F57" s="387"/>
      <c r="G57" s="387"/>
      <c r="H57" s="387"/>
      <c r="I57" s="387"/>
      <c r="J57" s="387"/>
      <c r="K57" s="387"/>
      <c r="L57" s="387"/>
      <c r="M57" s="387"/>
      <c r="N57" s="387"/>
      <c r="O57" s="387"/>
      <c r="P57" s="387"/>
      <c r="Q57" s="387"/>
      <c r="R57" s="387"/>
      <c r="S57" s="387"/>
      <c r="T57" s="406"/>
      <c r="U57" s="407"/>
    </row>
    <row r="58" spans="1:21" x14ac:dyDescent="0.2">
      <c r="A58" s="390" t="s">
        <v>529</v>
      </c>
      <c r="B58" s="391"/>
      <c r="C58" s="391"/>
      <c r="D58" s="392"/>
      <c r="E58" s="392"/>
      <c r="F58" s="392"/>
      <c r="G58" s="392"/>
      <c r="H58" s="392"/>
      <c r="I58" s="392"/>
      <c r="J58" s="392"/>
      <c r="K58" s="392"/>
      <c r="L58" s="392"/>
      <c r="M58" s="392"/>
      <c r="N58" s="392"/>
      <c r="O58" s="392"/>
      <c r="P58" s="392"/>
      <c r="Q58" s="392"/>
      <c r="R58" s="392"/>
      <c r="S58" s="392"/>
      <c r="T58" s="392"/>
      <c r="U58" s="393"/>
    </row>
  </sheetData>
  <mergeCells count="5">
    <mergeCell ref="A1:U1"/>
    <mergeCell ref="A2:U3"/>
    <mergeCell ref="A4:U7"/>
    <mergeCell ref="A31:U32"/>
    <mergeCell ref="A33:U36"/>
  </mergeCells>
  <pageMargins left="0.7" right="0.7" top="0.75" bottom="0.75" header="0.3" footer="0.3"/>
  <pageSetup orientation="portrait" horizontalDpi="4294967295" verticalDpi="4294967295"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A1:W129"/>
  <sheetViews>
    <sheetView topLeftCell="A100" workbookViewId="0">
      <selection sqref="A1:W1"/>
    </sheetView>
  </sheetViews>
  <sheetFormatPr baseColWidth="10" defaultColWidth="10.83203125" defaultRowHeight="15" x14ac:dyDescent="0.2"/>
  <sheetData>
    <row r="1" spans="1:23" x14ac:dyDescent="0.2">
      <c r="A1" s="467" t="s">
        <v>47</v>
      </c>
      <c r="B1" s="467"/>
      <c r="C1" s="467"/>
      <c r="D1" s="467"/>
      <c r="E1" s="467"/>
      <c r="F1" s="467"/>
      <c r="G1" s="467"/>
      <c r="H1" s="467"/>
      <c r="I1" s="467"/>
      <c r="J1" s="467"/>
      <c r="K1" s="467"/>
      <c r="L1" s="467"/>
      <c r="M1" s="467"/>
      <c r="N1" s="467"/>
      <c r="O1" s="467"/>
      <c r="P1" s="467"/>
      <c r="Q1" s="467"/>
      <c r="R1" s="467"/>
      <c r="S1" s="467"/>
      <c r="T1" s="467"/>
      <c r="U1" s="467"/>
      <c r="V1" s="467"/>
      <c r="W1" s="467"/>
    </row>
    <row r="2" spans="1:23" x14ac:dyDescent="0.2">
      <c r="A2" s="466" t="s">
        <v>533</v>
      </c>
      <c r="B2" s="466"/>
      <c r="C2" s="466"/>
      <c r="D2" s="466"/>
      <c r="E2" s="466"/>
      <c r="F2" s="466"/>
      <c r="G2" s="466"/>
      <c r="H2" s="466"/>
      <c r="I2" s="466"/>
      <c r="J2" s="466"/>
      <c r="K2" s="466"/>
      <c r="L2" s="466"/>
      <c r="M2" s="466"/>
      <c r="N2" s="466"/>
      <c r="O2" s="466"/>
      <c r="P2" s="466"/>
      <c r="Q2" s="466"/>
      <c r="R2" s="466"/>
      <c r="S2" s="466"/>
      <c r="T2" s="466"/>
      <c r="U2" s="466"/>
      <c r="V2" s="466"/>
      <c r="W2" s="466"/>
    </row>
    <row r="3" spans="1:23" x14ac:dyDescent="0.2">
      <c r="A3" s="251" t="s">
        <v>534</v>
      </c>
      <c r="B3" s="251" t="s">
        <v>535</v>
      </c>
      <c r="C3" s="251">
        <v>2015</v>
      </c>
      <c r="D3" s="251">
        <v>2016</v>
      </c>
      <c r="E3" s="251">
        <v>2017</v>
      </c>
      <c r="F3" s="251">
        <v>2018</v>
      </c>
      <c r="G3" s="251">
        <v>2019</v>
      </c>
      <c r="H3" s="251">
        <v>2020</v>
      </c>
      <c r="I3" s="251">
        <v>2021</v>
      </c>
      <c r="J3" s="251">
        <v>2022</v>
      </c>
      <c r="K3" s="251">
        <v>2023</v>
      </c>
      <c r="L3" s="251">
        <v>2024</v>
      </c>
      <c r="M3" s="251">
        <v>2025</v>
      </c>
      <c r="N3" s="251">
        <v>2026</v>
      </c>
      <c r="O3" s="251">
        <v>2027</v>
      </c>
      <c r="P3" s="251">
        <v>2028</v>
      </c>
      <c r="Q3" s="251">
        <v>2029</v>
      </c>
      <c r="R3" s="251">
        <v>2030</v>
      </c>
      <c r="S3" s="251">
        <v>2031</v>
      </c>
      <c r="T3" s="251">
        <v>2032</v>
      </c>
      <c r="U3" s="251">
        <v>2033</v>
      </c>
      <c r="V3" s="251">
        <v>2034</v>
      </c>
      <c r="W3" s="251">
        <v>2035</v>
      </c>
    </row>
    <row r="4" spans="1:23" x14ac:dyDescent="0.2">
      <c r="A4" s="252" t="s">
        <v>93</v>
      </c>
      <c r="B4" t="s">
        <v>469</v>
      </c>
      <c r="C4" s="253">
        <v>2320791</v>
      </c>
      <c r="D4" s="253">
        <v>2351077</v>
      </c>
      <c r="E4" s="253">
        <v>2385018</v>
      </c>
      <c r="F4" s="253">
        <v>2427129</v>
      </c>
      <c r="G4" s="253">
        <v>2483545</v>
      </c>
      <c r="H4" s="253">
        <v>2519592</v>
      </c>
      <c r="I4" s="253">
        <v>2549008</v>
      </c>
      <c r="J4" s="253">
        <v>2572350</v>
      </c>
      <c r="K4" s="253">
        <v>2595300</v>
      </c>
      <c r="L4" s="253">
        <v>2616335</v>
      </c>
      <c r="M4" s="253">
        <v>2634570</v>
      </c>
      <c r="N4" s="253">
        <v>2650662</v>
      </c>
      <c r="O4" s="253">
        <v>2665474</v>
      </c>
      <c r="P4" s="253">
        <v>2679376</v>
      </c>
      <c r="Q4" s="253">
        <v>2692600</v>
      </c>
      <c r="R4" s="253">
        <v>2705382</v>
      </c>
      <c r="S4" s="253">
        <v>2717720</v>
      </c>
      <c r="T4" s="253">
        <v>2729504</v>
      </c>
      <c r="U4" s="253">
        <v>2740613</v>
      </c>
      <c r="V4" s="253">
        <v>2751052</v>
      </c>
      <c r="W4" s="253">
        <v>2760854</v>
      </c>
    </row>
    <row r="5" spans="1:23" x14ac:dyDescent="0.2">
      <c r="A5" s="252" t="s">
        <v>263</v>
      </c>
      <c r="B5" t="s">
        <v>265</v>
      </c>
      <c r="C5" s="253">
        <v>20718</v>
      </c>
      <c r="D5" s="253">
        <v>20534</v>
      </c>
      <c r="E5" s="253">
        <v>20437</v>
      </c>
      <c r="F5" s="253">
        <v>20367</v>
      </c>
      <c r="G5" s="253">
        <v>20258</v>
      </c>
      <c r="H5" s="253">
        <v>20823</v>
      </c>
      <c r="I5" s="253">
        <v>20924</v>
      </c>
      <c r="J5" s="253">
        <v>21109</v>
      </c>
      <c r="K5" s="253">
        <v>21297</v>
      </c>
      <c r="L5" s="253">
        <v>21468</v>
      </c>
      <c r="M5" s="253">
        <v>21622</v>
      </c>
      <c r="N5" s="253">
        <v>21751</v>
      </c>
      <c r="O5" s="253">
        <v>21877</v>
      </c>
      <c r="P5" s="253">
        <v>21975</v>
      </c>
      <c r="Q5" s="253">
        <v>22094</v>
      </c>
      <c r="R5" s="253">
        <v>22202</v>
      </c>
      <c r="S5" s="253">
        <v>22295</v>
      </c>
      <c r="T5" s="253">
        <v>22402</v>
      </c>
      <c r="U5" s="253">
        <v>22491</v>
      </c>
      <c r="V5" s="253">
        <v>22584</v>
      </c>
      <c r="W5" s="253">
        <v>22665</v>
      </c>
    </row>
    <row r="6" spans="1:23" x14ac:dyDescent="0.2">
      <c r="A6" s="252" t="s">
        <v>220</v>
      </c>
      <c r="B6" t="s">
        <v>223</v>
      </c>
      <c r="C6" s="253">
        <v>2630</v>
      </c>
      <c r="D6" s="253">
        <v>2629</v>
      </c>
      <c r="E6" s="253">
        <v>2652</v>
      </c>
      <c r="F6" s="253">
        <v>2695</v>
      </c>
      <c r="G6" s="253">
        <v>2710</v>
      </c>
      <c r="H6" s="253">
        <v>2775</v>
      </c>
      <c r="I6" s="253">
        <v>2777</v>
      </c>
      <c r="J6" s="253">
        <v>2804</v>
      </c>
      <c r="K6" s="253">
        <v>2841</v>
      </c>
      <c r="L6" s="253">
        <v>2855</v>
      </c>
      <c r="M6" s="253">
        <v>2872</v>
      </c>
      <c r="N6" s="253">
        <v>2903</v>
      </c>
      <c r="O6" s="253">
        <v>2919</v>
      </c>
      <c r="P6" s="253">
        <v>2936</v>
      </c>
      <c r="Q6" s="253">
        <v>2951</v>
      </c>
      <c r="R6" s="253">
        <v>2967</v>
      </c>
      <c r="S6" s="253">
        <v>2983</v>
      </c>
      <c r="T6" s="253">
        <v>2989</v>
      </c>
      <c r="U6" s="253">
        <v>3008</v>
      </c>
      <c r="V6" s="253">
        <v>3009</v>
      </c>
      <c r="W6" s="253">
        <v>3021</v>
      </c>
    </row>
    <row r="7" spans="1:23" x14ac:dyDescent="0.2">
      <c r="A7" s="252" t="s">
        <v>266</v>
      </c>
      <c r="B7" t="s">
        <v>268</v>
      </c>
      <c r="C7" s="253">
        <v>4680</v>
      </c>
      <c r="D7" s="253">
        <v>4620</v>
      </c>
      <c r="E7" s="253">
        <v>4600</v>
      </c>
      <c r="F7" s="253">
        <v>4657</v>
      </c>
      <c r="G7" s="253">
        <v>4669</v>
      </c>
      <c r="H7" s="253">
        <v>4790</v>
      </c>
      <c r="I7" s="253">
        <v>4845</v>
      </c>
      <c r="J7" s="253">
        <v>4874</v>
      </c>
      <c r="K7" s="253">
        <v>4912</v>
      </c>
      <c r="L7" s="253">
        <v>4955</v>
      </c>
      <c r="M7" s="253">
        <v>4989</v>
      </c>
      <c r="N7" s="253">
        <v>5015</v>
      </c>
      <c r="O7" s="253">
        <v>5047</v>
      </c>
      <c r="P7" s="253">
        <v>5074</v>
      </c>
      <c r="Q7" s="253">
        <v>5098</v>
      </c>
      <c r="R7" s="253">
        <v>5110</v>
      </c>
      <c r="S7" s="253">
        <v>5136</v>
      </c>
      <c r="T7" s="253">
        <v>5182</v>
      </c>
      <c r="U7" s="253">
        <v>5186</v>
      </c>
      <c r="V7" s="253">
        <v>5218</v>
      </c>
      <c r="W7" s="253">
        <v>5240</v>
      </c>
    </row>
    <row r="8" spans="1:23" x14ac:dyDescent="0.2">
      <c r="A8" s="252" t="s">
        <v>316</v>
      </c>
      <c r="B8" t="s">
        <v>318</v>
      </c>
      <c r="C8" s="253">
        <v>29136</v>
      </c>
      <c r="D8" s="253">
        <v>29394</v>
      </c>
      <c r="E8" s="253">
        <v>29663</v>
      </c>
      <c r="F8" s="253">
        <v>30227</v>
      </c>
      <c r="G8" s="253">
        <v>30777</v>
      </c>
      <c r="H8" s="253">
        <v>31262</v>
      </c>
      <c r="I8" s="253">
        <v>31548</v>
      </c>
      <c r="J8" s="253">
        <v>31851</v>
      </c>
      <c r="K8" s="253">
        <v>32142</v>
      </c>
      <c r="L8" s="253">
        <v>32412</v>
      </c>
      <c r="M8" s="253">
        <v>32628</v>
      </c>
      <c r="N8" s="253">
        <v>32821</v>
      </c>
      <c r="O8" s="253">
        <v>33006</v>
      </c>
      <c r="P8" s="253">
        <v>33176</v>
      </c>
      <c r="Q8" s="253">
        <v>33352</v>
      </c>
      <c r="R8" s="253">
        <v>33499</v>
      </c>
      <c r="S8" s="253">
        <v>33661</v>
      </c>
      <c r="T8" s="253">
        <v>33781</v>
      </c>
      <c r="U8" s="253">
        <v>33946</v>
      </c>
      <c r="V8" s="253">
        <v>34064</v>
      </c>
      <c r="W8" s="253">
        <v>34193</v>
      </c>
    </row>
    <row r="9" spans="1:23" x14ac:dyDescent="0.2">
      <c r="A9" s="252" t="s">
        <v>159</v>
      </c>
      <c r="B9" t="s">
        <v>161</v>
      </c>
      <c r="C9" s="253">
        <v>24951</v>
      </c>
      <c r="D9" s="253">
        <v>25194</v>
      </c>
      <c r="E9" s="253">
        <v>25518</v>
      </c>
      <c r="F9" s="253">
        <v>25962</v>
      </c>
      <c r="G9" s="253">
        <v>26552</v>
      </c>
      <c r="H9" s="253">
        <v>26876</v>
      </c>
      <c r="I9" s="253">
        <v>27155</v>
      </c>
      <c r="J9" s="253">
        <v>27398</v>
      </c>
      <c r="K9" s="253">
        <v>27637</v>
      </c>
      <c r="L9" s="253">
        <v>27846</v>
      </c>
      <c r="M9" s="253">
        <v>28059</v>
      </c>
      <c r="N9" s="253">
        <v>28227</v>
      </c>
      <c r="O9" s="253">
        <v>28372</v>
      </c>
      <c r="P9" s="253">
        <v>28537</v>
      </c>
      <c r="Q9" s="253">
        <v>28660</v>
      </c>
      <c r="R9" s="253">
        <v>28815</v>
      </c>
      <c r="S9" s="253">
        <v>28936</v>
      </c>
      <c r="T9" s="253">
        <v>29055</v>
      </c>
      <c r="U9" s="253">
        <v>29162</v>
      </c>
      <c r="V9" s="253">
        <v>29284</v>
      </c>
      <c r="W9" s="253">
        <v>29377</v>
      </c>
    </row>
    <row r="10" spans="1:23" x14ac:dyDescent="0.2">
      <c r="A10" s="252" t="s">
        <v>319</v>
      </c>
      <c r="B10" t="s">
        <v>321</v>
      </c>
      <c r="C10" s="253">
        <v>42505</v>
      </c>
      <c r="D10" s="253">
        <v>42683</v>
      </c>
      <c r="E10" s="253">
        <v>42817</v>
      </c>
      <c r="F10" s="253">
        <v>43269</v>
      </c>
      <c r="G10" s="253">
        <v>43713</v>
      </c>
      <c r="H10" s="253">
        <v>44614</v>
      </c>
      <c r="I10" s="253">
        <v>44983</v>
      </c>
      <c r="J10" s="253">
        <v>45394</v>
      </c>
      <c r="K10" s="253">
        <v>45796</v>
      </c>
      <c r="L10" s="253">
        <v>46183</v>
      </c>
      <c r="M10" s="253">
        <v>46485</v>
      </c>
      <c r="N10" s="253">
        <v>46783</v>
      </c>
      <c r="O10" s="253">
        <v>47053</v>
      </c>
      <c r="P10" s="253">
        <v>47298</v>
      </c>
      <c r="Q10" s="253">
        <v>47538</v>
      </c>
      <c r="R10" s="253">
        <v>47764</v>
      </c>
      <c r="S10" s="253">
        <v>47980</v>
      </c>
      <c r="T10" s="253">
        <v>48201</v>
      </c>
      <c r="U10" s="253">
        <v>48401</v>
      </c>
      <c r="V10" s="253">
        <v>48589</v>
      </c>
      <c r="W10" s="253">
        <v>48778</v>
      </c>
    </row>
    <row r="11" spans="1:23" x14ac:dyDescent="0.2">
      <c r="A11" s="252" t="s">
        <v>322</v>
      </c>
      <c r="B11" t="s">
        <v>323</v>
      </c>
      <c r="C11" s="253">
        <v>5796</v>
      </c>
      <c r="D11" s="253">
        <v>5781</v>
      </c>
      <c r="E11" s="253">
        <v>5745</v>
      </c>
      <c r="F11" s="253">
        <v>5756</v>
      </c>
      <c r="G11" s="253">
        <v>5790</v>
      </c>
      <c r="H11" s="253">
        <v>5905</v>
      </c>
      <c r="I11" s="253">
        <v>5963</v>
      </c>
      <c r="J11" s="253">
        <v>6010</v>
      </c>
      <c r="K11" s="253">
        <v>6082</v>
      </c>
      <c r="L11" s="253">
        <v>6109</v>
      </c>
      <c r="M11" s="253">
        <v>6183</v>
      </c>
      <c r="N11" s="253">
        <v>6204</v>
      </c>
      <c r="O11" s="253">
        <v>6245</v>
      </c>
      <c r="P11" s="253">
        <v>6276</v>
      </c>
      <c r="Q11" s="253">
        <v>6304</v>
      </c>
      <c r="R11" s="253">
        <v>6331</v>
      </c>
      <c r="S11" s="253">
        <v>6375</v>
      </c>
      <c r="T11" s="253">
        <v>6412</v>
      </c>
      <c r="U11" s="253">
        <v>6425</v>
      </c>
      <c r="V11" s="253">
        <v>6436</v>
      </c>
      <c r="W11" s="253">
        <v>6464</v>
      </c>
    </row>
    <row r="12" spans="1:23" x14ac:dyDescent="0.2">
      <c r="A12" s="252" t="s">
        <v>183</v>
      </c>
      <c r="B12" t="s">
        <v>185</v>
      </c>
      <c r="C12" s="253">
        <v>11538</v>
      </c>
      <c r="D12" s="253">
        <v>11486</v>
      </c>
      <c r="E12" s="253">
        <v>11396</v>
      </c>
      <c r="F12" s="253">
        <v>11437</v>
      </c>
      <c r="G12" s="253">
        <v>11462</v>
      </c>
      <c r="H12" s="253">
        <v>11742</v>
      </c>
      <c r="I12" s="253">
        <v>11783</v>
      </c>
      <c r="J12" s="253">
        <v>11909</v>
      </c>
      <c r="K12" s="253">
        <v>12005</v>
      </c>
      <c r="L12" s="253">
        <v>12121</v>
      </c>
      <c r="M12" s="253">
        <v>12190</v>
      </c>
      <c r="N12" s="253">
        <v>12271</v>
      </c>
      <c r="O12" s="253">
        <v>12344</v>
      </c>
      <c r="P12" s="253">
        <v>12400</v>
      </c>
      <c r="Q12" s="253">
        <v>12463</v>
      </c>
      <c r="R12" s="253">
        <v>12523</v>
      </c>
      <c r="S12" s="253">
        <v>12580</v>
      </c>
      <c r="T12" s="253">
        <v>12623</v>
      </c>
      <c r="U12" s="253">
        <v>12679</v>
      </c>
      <c r="V12" s="253">
        <v>12752</v>
      </c>
      <c r="W12" s="253">
        <v>12795</v>
      </c>
    </row>
    <row r="13" spans="1:23" x14ac:dyDescent="0.2">
      <c r="A13" s="252" t="s">
        <v>162</v>
      </c>
      <c r="B13" t="s">
        <v>163</v>
      </c>
      <c r="C13" s="253">
        <v>17534</v>
      </c>
      <c r="D13" s="253">
        <v>17723</v>
      </c>
      <c r="E13" s="253">
        <v>17991</v>
      </c>
      <c r="F13" s="253">
        <v>18321</v>
      </c>
      <c r="G13" s="253">
        <v>18737</v>
      </c>
      <c r="H13" s="253">
        <v>18978</v>
      </c>
      <c r="I13" s="253">
        <v>19192</v>
      </c>
      <c r="J13" s="253">
        <v>19349</v>
      </c>
      <c r="K13" s="253">
        <v>19527</v>
      </c>
      <c r="L13" s="253">
        <v>19675</v>
      </c>
      <c r="M13" s="253">
        <v>19812</v>
      </c>
      <c r="N13" s="253">
        <v>19933</v>
      </c>
      <c r="O13" s="253">
        <v>20033</v>
      </c>
      <c r="P13" s="253">
        <v>20144</v>
      </c>
      <c r="Q13" s="253">
        <v>20241</v>
      </c>
      <c r="R13" s="253">
        <v>20338</v>
      </c>
      <c r="S13" s="253">
        <v>20435</v>
      </c>
      <c r="T13" s="253">
        <v>20525</v>
      </c>
      <c r="U13" s="253">
        <v>20611</v>
      </c>
      <c r="V13" s="253">
        <v>20670</v>
      </c>
      <c r="W13" s="253">
        <v>20750</v>
      </c>
    </row>
    <row r="14" spans="1:23" x14ac:dyDescent="0.2">
      <c r="A14" s="252" t="s">
        <v>255</v>
      </c>
      <c r="B14" t="s">
        <v>536</v>
      </c>
      <c r="C14" s="253">
        <v>25252</v>
      </c>
      <c r="D14" s="253">
        <v>25462</v>
      </c>
      <c r="E14" s="253">
        <v>25808</v>
      </c>
      <c r="F14" s="253">
        <v>26164</v>
      </c>
      <c r="G14" s="253">
        <v>26598</v>
      </c>
      <c r="H14" s="253">
        <v>27071</v>
      </c>
      <c r="I14" s="253">
        <v>27327</v>
      </c>
      <c r="J14" s="253">
        <v>27596</v>
      </c>
      <c r="K14" s="253">
        <v>27831</v>
      </c>
      <c r="L14" s="253">
        <v>28049</v>
      </c>
      <c r="M14" s="253">
        <v>28246</v>
      </c>
      <c r="N14" s="253">
        <v>28422</v>
      </c>
      <c r="O14" s="253">
        <v>28588</v>
      </c>
      <c r="P14" s="253">
        <v>28726</v>
      </c>
      <c r="Q14" s="253">
        <v>28863</v>
      </c>
      <c r="R14" s="253">
        <v>29013</v>
      </c>
      <c r="S14" s="253">
        <v>29143</v>
      </c>
      <c r="T14" s="253">
        <v>29259</v>
      </c>
      <c r="U14" s="253">
        <v>29378</v>
      </c>
      <c r="V14" s="253">
        <v>29499</v>
      </c>
      <c r="W14" s="253">
        <v>29593</v>
      </c>
    </row>
    <row r="15" spans="1:23" x14ac:dyDescent="0.2">
      <c r="A15" s="252" t="s">
        <v>224</v>
      </c>
      <c r="B15" t="s">
        <v>226</v>
      </c>
      <c r="C15" s="253">
        <v>6976</v>
      </c>
      <c r="D15" s="253">
        <v>6961</v>
      </c>
      <c r="E15" s="253">
        <v>6970</v>
      </c>
      <c r="F15" s="253">
        <v>7010</v>
      </c>
      <c r="G15" s="253">
        <v>7085</v>
      </c>
      <c r="H15" s="253">
        <v>7230</v>
      </c>
      <c r="I15" s="253">
        <v>7281</v>
      </c>
      <c r="J15" s="253">
        <v>7341</v>
      </c>
      <c r="K15" s="253">
        <v>7433</v>
      </c>
      <c r="L15" s="253">
        <v>7483</v>
      </c>
      <c r="M15" s="253">
        <v>7537</v>
      </c>
      <c r="N15" s="253">
        <v>7571</v>
      </c>
      <c r="O15" s="253">
        <v>7612</v>
      </c>
      <c r="P15" s="253">
        <v>7671</v>
      </c>
      <c r="Q15" s="253">
        <v>7704</v>
      </c>
      <c r="R15" s="253">
        <v>7735</v>
      </c>
      <c r="S15" s="253">
        <v>7758</v>
      </c>
      <c r="T15" s="253">
        <v>7799</v>
      </c>
      <c r="U15" s="253">
        <v>7846</v>
      </c>
      <c r="V15" s="253">
        <v>7866</v>
      </c>
      <c r="W15" s="253">
        <v>7909</v>
      </c>
    </row>
    <row r="16" spans="1:23" x14ac:dyDescent="0.2">
      <c r="A16" s="252" t="s">
        <v>367</v>
      </c>
      <c r="B16" t="s">
        <v>370</v>
      </c>
      <c r="C16" s="253">
        <v>113243</v>
      </c>
      <c r="D16" s="253">
        <v>115555</v>
      </c>
      <c r="E16" s="253">
        <v>118064</v>
      </c>
      <c r="F16" s="253">
        <v>121003</v>
      </c>
      <c r="G16" s="253">
        <v>124647</v>
      </c>
      <c r="H16" s="253">
        <v>126239</v>
      </c>
      <c r="I16" s="253">
        <v>128054</v>
      </c>
      <c r="J16" s="253">
        <v>129245</v>
      </c>
      <c r="K16" s="253">
        <v>130362</v>
      </c>
      <c r="L16" s="253">
        <v>131422</v>
      </c>
      <c r="M16" s="253">
        <v>132328</v>
      </c>
      <c r="N16" s="253">
        <v>133140</v>
      </c>
      <c r="O16" s="253">
        <v>133885</v>
      </c>
      <c r="P16" s="253">
        <v>134567</v>
      </c>
      <c r="Q16" s="253">
        <v>135228</v>
      </c>
      <c r="R16" s="253">
        <v>135863</v>
      </c>
      <c r="S16" s="253">
        <v>136494</v>
      </c>
      <c r="T16" s="253">
        <v>137070</v>
      </c>
      <c r="U16" s="253">
        <v>137615</v>
      </c>
      <c r="V16" s="253">
        <v>138139</v>
      </c>
      <c r="W16" s="253">
        <v>138614</v>
      </c>
    </row>
    <row r="17" spans="1:23" x14ac:dyDescent="0.2">
      <c r="A17" s="252" t="s">
        <v>371</v>
      </c>
      <c r="B17" t="s">
        <v>372</v>
      </c>
      <c r="C17" s="253">
        <v>28917</v>
      </c>
      <c r="D17" s="253">
        <v>28981</v>
      </c>
      <c r="E17" s="253">
        <v>29045</v>
      </c>
      <c r="F17" s="253">
        <v>29295</v>
      </c>
      <c r="G17" s="253">
        <v>29942</v>
      </c>
      <c r="H17" s="253">
        <v>30663</v>
      </c>
      <c r="I17" s="253">
        <v>31156</v>
      </c>
      <c r="J17" s="253">
        <v>31470</v>
      </c>
      <c r="K17" s="253">
        <v>31853</v>
      </c>
      <c r="L17" s="253">
        <v>32192</v>
      </c>
      <c r="M17" s="253">
        <v>32478</v>
      </c>
      <c r="N17" s="253">
        <v>32722</v>
      </c>
      <c r="O17" s="253">
        <v>32996</v>
      </c>
      <c r="P17" s="253">
        <v>33243</v>
      </c>
      <c r="Q17" s="253">
        <v>33477</v>
      </c>
      <c r="R17" s="253">
        <v>33687</v>
      </c>
      <c r="S17" s="253">
        <v>33941</v>
      </c>
      <c r="T17" s="253">
        <v>34170</v>
      </c>
      <c r="U17" s="253">
        <v>34360</v>
      </c>
      <c r="V17" s="253">
        <v>34565</v>
      </c>
      <c r="W17" s="253">
        <v>34795</v>
      </c>
    </row>
    <row r="18" spans="1:23" x14ac:dyDescent="0.2">
      <c r="A18" s="252" t="s">
        <v>269</v>
      </c>
      <c r="B18" t="s">
        <v>271</v>
      </c>
      <c r="C18" s="253">
        <v>8098</v>
      </c>
      <c r="D18" s="253">
        <v>7929</v>
      </c>
      <c r="E18" s="253">
        <v>7771</v>
      </c>
      <c r="F18" s="253">
        <v>7689</v>
      </c>
      <c r="G18" s="253">
        <v>7577</v>
      </c>
      <c r="H18" s="253">
        <v>7828</v>
      </c>
      <c r="I18" s="253">
        <v>7831</v>
      </c>
      <c r="J18" s="253">
        <v>7903</v>
      </c>
      <c r="K18" s="253">
        <v>7975</v>
      </c>
      <c r="L18" s="253">
        <v>8024</v>
      </c>
      <c r="M18" s="253">
        <v>8075</v>
      </c>
      <c r="N18" s="253">
        <v>8132</v>
      </c>
      <c r="O18" s="253">
        <v>8181</v>
      </c>
      <c r="P18" s="253">
        <v>8210</v>
      </c>
      <c r="Q18" s="253">
        <v>8264</v>
      </c>
      <c r="R18" s="253">
        <v>8288</v>
      </c>
      <c r="S18" s="253">
        <v>8327</v>
      </c>
      <c r="T18" s="253">
        <v>8376</v>
      </c>
      <c r="U18" s="253">
        <v>8400</v>
      </c>
      <c r="V18" s="253">
        <v>8438</v>
      </c>
      <c r="W18" s="253">
        <v>8455</v>
      </c>
    </row>
    <row r="19" spans="1:23" x14ac:dyDescent="0.2">
      <c r="A19" s="252" t="s">
        <v>227</v>
      </c>
      <c r="B19" t="s">
        <v>228</v>
      </c>
      <c r="C19" s="253">
        <v>5282</v>
      </c>
      <c r="D19" s="253">
        <v>5212</v>
      </c>
      <c r="E19" s="253">
        <v>5189</v>
      </c>
      <c r="F19" s="253">
        <v>5139</v>
      </c>
      <c r="G19" s="253">
        <v>5085</v>
      </c>
      <c r="H19" s="253">
        <v>5241</v>
      </c>
      <c r="I19" s="253">
        <v>5271</v>
      </c>
      <c r="J19" s="253">
        <v>5314</v>
      </c>
      <c r="K19" s="253">
        <v>5358</v>
      </c>
      <c r="L19" s="253">
        <v>5404</v>
      </c>
      <c r="M19" s="253">
        <v>5450</v>
      </c>
      <c r="N19" s="253">
        <v>5471</v>
      </c>
      <c r="O19" s="253">
        <v>5513</v>
      </c>
      <c r="P19" s="253">
        <v>5535</v>
      </c>
      <c r="Q19" s="253">
        <v>5560</v>
      </c>
      <c r="R19" s="253">
        <v>5595</v>
      </c>
      <c r="S19" s="253">
        <v>5619</v>
      </c>
      <c r="T19" s="253">
        <v>5633</v>
      </c>
      <c r="U19" s="253">
        <v>5676</v>
      </c>
      <c r="V19" s="253">
        <v>5676</v>
      </c>
      <c r="W19" s="253">
        <v>5698</v>
      </c>
    </row>
    <row r="20" spans="1:23" x14ac:dyDescent="0.2">
      <c r="A20" s="252" t="s">
        <v>98</v>
      </c>
      <c r="B20" t="s">
        <v>99</v>
      </c>
      <c r="C20" s="253">
        <v>49550</v>
      </c>
      <c r="D20" s="253">
        <v>50281</v>
      </c>
      <c r="E20" s="253">
        <v>51049</v>
      </c>
      <c r="F20" s="253">
        <v>51969</v>
      </c>
      <c r="G20" s="253">
        <v>53242</v>
      </c>
      <c r="H20" s="253">
        <v>53996</v>
      </c>
      <c r="I20" s="253">
        <v>54639</v>
      </c>
      <c r="J20" s="253">
        <v>55137</v>
      </c>
      <c r="K20" s="253">
        <v>55649</v>
      </c>
      <c r="L20" s="253">
        <v>56103</v>
      </c>
      <c r="M20" s="253">
        <v>56505</v>
      </c>
      <c r="N20" s="253">
        <v>56866</v>
      </c>
      <c r="O20" s="253">
        <v>57178</v>
      </c>
      <c r="P20" s="253">
        <v>57484</v>
      </c>
      <c r="Q20" s="253">
        <v>57763</v>
      </c>
      <c r="R20" s="253">
        <v>58050</v>
      </c>
      <c r="S20" s="253">
        <v>58321</v>
      </c>
      <c r="T20" s="253">
        <v>58575</v>
      </c>
      <c r="U20" s="253">
        <v>58818</v>
      </c>
      <c r="V20" s="253">
        <v>59045</v>
      </c>
      <c r="W20" s="253">
        <v>59279</v>
      </c>
    </row>
    <row r="21" spans="1:23" x14ac:dyDescent="0.2">
      <c r="A21" s="252" t="s">
        <v>186</v>
      </c>
      <c r="B21" t="s">
        <v>187</v>
      </c>
      <c r="C21" s="253">
        <v>5946</v>
      </c>
      <c r="D21" s="253">
        <v>5938</v>
      </c>
      <c r="E21" s="253">
        <v>5952</v>
      </c>
      <c r="F21" s="253">
        <v>6000</v>
      </c>
      <c r="G21" s="253">
        <v>6054</v>
      </c>
      <c r="H21" s="253">
        <v>6166</v>
      </c>
      <c r="I21" s="253">
        <v>6235</v>
      </c>
      <c r="J21" s="253">
        <v>6294</v>
      </c>
      <c r="K21" s="253">
        <v>6356</v>
      </c>
      <c r="L21" s="253">
        <v>6405</v>
      </c>
      <c r="M21" s="253">
        <v>6436</v>
      </c>
      <c r="N21" s="253">
        <v>6479</v>
      </c>
      <c r="O21" s="253">
        <v>6519</v>
      </c>
      <c r="P21" s="253">
        <v>6558</v>
      </c>
      <c r="Q21" s="253">
        <v>6575</v>
      </c>
      <c r="R21" s="253">
        <v>6610</v>
      </c>
      <c r="S21" s="253">
        <v>6646</v>
      </c>
      <c r="T21" s="253">
        <v>6685</v>
      </c>
      <c r="U21" s="253">
        <v>6700</v>
      </c>
      <c r="V21" s="253">
        <v>6734</v>
      </c>
      <c r="W21" s="253">
        <v>6763</v>
      </c>
    </row>
    <row r="22" spans="1:23" x14ac:dyDescent="0.2">
      <c r="A22" s="252" t="s">
        <v>101</v>
      </c>
      <c r="B22" t="s">
        <v>102</v>
      </c>
      <c r="C22" s="253">
        <v>490014</v>
      </c>
      <c r="D22" s="253">
        <v>499621</v>
      </c>
      <c r="E22" s="253">
        <v>510031</v>
      </c>
      <c r="F22" s="253">
        <v>522264</v>
      </c>
      <c r="G22" s="253">
        <v>538527</v>
      </c>
      <c r="H22" s="253">
        <v>544549</v>
      </c>
      <c r="I22" s="253">
        <v>552073</v>
      </c>
      <c r="J22" s="253">
        <v>557071</v>
      </c>
      <c r="K22" s="253">
        <v>561955</v>
      </c>
      <c r="L22" s="253">
        <v>566456</v>
      </c>
      <c r="M22" s="253">
        <v>570329</v>
      </c>
      <c r="N22" s="253">
        <v>573769</v>
      </c>
      <c r="O22" s="253">
        <v>576889</v>
      </c>
      <c r="P22" s="253">
        <v>579837</v>
      </c>
      <c r="Q22" s="253">
        <v>582669</v>
      </c>
      <c r="R22" s="253">
        <v>585374</v>
      </c>
      <c r="S22" s="253">
        <v>587955</v>
      </c>
      <c r="T22" s="253">
        <v>590446</v>
      </c>
      <c r="U22" s="253">
        <v>592795</v>
      </c>
      <c r="V22" s="253">
        <v>594998</v>
      </c>
      <c r="W22" s="253">
        <v>597042</v>
      </c>
    </row>
    <row r="23" spans="1:23" x14ac:dyDescent="0.2">
      <c r="A23" s="252" t="s">
        <v>324</v>
      </c>
      <c r="B23" t="s">
        <v>325</v>
      </c>
      <c r="C23" s="253">
        <v>10549</v>
      </c>
      <c r="D23" s="253">
        <v>10484</v>
      </c>
      <c r="E23" s="253">
        <v>10377</v>
      </c>
      <c r="F23" s="253">
        <v>10323</v>
      </c>
      <c r="G23" s="253">
        <v>10274</v>
      </c>
      <c r="H23" s="253">
        <v>10566</v>
      </c>
      <c r="I23" s="253">
        <v>10608</v>
      </c>
      <c r="J23" s="253">
        <v>10718</v>
      </c>
      <c r="K23" s="253">
        <v>10808</v>
      </c>
      <c r="L23" s="253">
        <v>10892</v>
      </c>
      <c r="M23" s="253">
        <v>10985</v>
      </c>
      <c r="N23" s="253">
        <v>11029</v>
      </c>
      <c r="O23" s="253">
        <v>11108</v>
      </c>
      <c r="P23" s="253">
        <v>11168</v>
      </c>
      <c r="Q23" s="253">
        <v>11208</v>
      </c>
      <c r="R23" s="253">
        <v>11262</v>
      </c>
      <c r="S23" s="253">
        <v>11326</v>
      </c>
      <c r="T23" s="253">
        <v>11370</v>
      </c>
      <c r="U23" s="253">
        <v>11421</v>
      </c>
      <c r="V23" s="253">
        <v>11471</v>
      </c>
      <c r="W23" s="253">
        <v>11498</v>
      </c>
    </row>
    <row r="24" spans="1:23" x14ac:dyDescent="0.2">
      <c r="A24" s="252" t="s">
        <v>326</v>
      </c>
      <c r="B24" t="s">
        <v>327</v>
      </c>
      <c r="C24" s="253">
        <v>15427</v>
      </c>
      <c r="D24" s="253">
        <v>15445</v>
      </c>
      <c r="E24" s="253">
        <v>15494</v>
      </c>
      <c r="F24" s="253">
        <v>15607</v>
      </c>
      <c r="G24" s="253">
        <v>15736</v>
      </c>
      <c r="H24" s="253">
        <v>16059</v>
      </c>
      <c r="I24" s="253">
        <v>16178</v>
      </c>
      <c r="J24" s="253">
        <v>16320</v>
      </c>
      <c r="K24" s="253">
        <v>16485</v>
      </c>
      <c r="L24" s="253">
        <v>16604</v>
      </c>
      <c r="M24" s="253">
        <v>16722</v>
      </c>
      <c r="N24" s="253">
        <v>16826</v>
      </c>
      <c r="O24" s="253">
        <v>16921</v>
      </c>
      <c r="P24" s="253">
        <v>17021</v>
      </c>
      <c r="Q24" s="253">
        <v>17096</v>
      </c>
      <c r="R24" s="253">
        <v>17183</v>
      </c>
      <c r="S24" s="253">
        <v>17274</v>
      </c>
      <c r="T24" s="253">
        <v>17332</v>
      </c>
      <c r="U24" s="253">
        <v>17416</v>
      </c>
      <c r="V24" s="253">
        <v>17487</v>
      </c>
      <c r="W24" s="253">
        <v>17545</v>
      </c>
    </row>
    <row r="25" spans="1:23" x14ac:dyDescent="0.2">
      <c r="A25" s="252" t="s">
        <v>331</v>
      </c>
      <c r="B25" t="s">
        <v>332</v>
      </c>
      <c r="C25" s="253">
        <v>26073</v>
      </c>
      <c r="D25" s="253">
        <v>25996</v>
      </c>
      <c r="E25" s="253">
        <v>25975</v>
      </c>
      <c r="F25" s="253">
        <v>26118</v>
      </c>
      <c r="G25" s="253">
        <v>26160</v>
      </c>
      <c r="H25" s="253">
        <v>26828</v>
      </c>
      <c r="I25" s="253">
        <v>26971</v>
      </c>
      <c r="J25" s="253">
        <v>27229</v>
      </c>
      <c r="K25" s="253">
        <v>27458</v>
      </c>
      <c r="L25" s="253">
        <v>27711</v>
      </c>
      <c r="M25" s="253">
        <v>27884</v>
      </c>
      <c r="N25" s="253">
        <v>28074</v>
      </c>
      <c r="O25" s="253">
        <v>28235</v>
      </c>
      <c r="P25" s="253">
        <v>28379</v>
      </c>
      <c r="Q25" s="253">
        <v>28529</v>
      </c>
      <c r="R25" s="253">
        <v>28664</v>
      </c>
      <c r="S25" s="253">
        <v>28781</v>
      </c>
      <c r="T25" s="253">
        <v>28924</v>
      </c>
      <c r="U25" s="253">
        <v>29045</v>
      </c>
      <c r="V25" s="253">
        <v>29136</v>
      </c>
      <c r="W25" s="253">
        <v>29260</v>
      </c>
    </row>
    <row r="26" spans="1:23" x14ac:dyDescent="0.2">
      <c r="A26" s="252" t="s">
        <v>188</v>
      </c>
      <c r="B26" t="s">
        <v>189</v>
      </c>
      <c r="C26" s="253">
        <v>8088</v>
      </c>
      <c r="D26" s="253">
        <v>8075</v>
      </c>
      <c r="E26" s="253">
        <v>8053</v>
      </c>
      <c r="F26" s="253">
        <v>8039</v>
      </c>
      <c r="G26" s="253">
        <v>8065</v>
      </c>
      <c r="H26" s="253">
        <v>8241</v>
      </c>
      <c r="I26" s="253">
        <v>8311</v>
      </c>
      <c r="J26" s="253">
        <v>8389</v>
      </c>
      <c r="K26" s="253">
        <v>8473</v>
      </c>
      <c r="L26" s="253">
        <v>8523</v>
      </c>
      <c r="M26" s="253">
        <v>8599</v>
      </c>
      <c r="N26" s="253">
        <v>8640</v>
      </c>
      <c r="O26" s="253">
        <v>8682</v>
      </c>
      <c r="P26" s="253">
        <v>8739</v>
      </c>
      <c r="Q26" s="253">
        <v>8771</v>
      </c>
      <c r="R26" s="253">
        <v>8814</v>
      </c>
      <c r="S26" s="253">
        <v>8872</v>
      </c>
      <c r="T26" s="253">
        <v>8902</v>
      </c>
      <c r="U26" s="253">
        <v>8929</v>
      </c>
      <c r="V26" s="253">
        <v>8981</v>
      </c>
      <c r="W26" s="253">
        <v>9009</v>
      </c>
    </row>
    <row r="27" spans="1:23" x14ac:dyDescent="0.2">
      <c r="A27" s="252" t="s">
        <v>229</v>
      </c>
      <c r="B27" t="s">
        <v>230</v>
      </c>
      <c r="C27" s="253">
        <v>9102</v>
      </c>
      <c r="D27" s="253">
        <v>9157</v>
      </c>
      <c r="E27" s="253">
        <v>9212</v>
      </c>
      <c r="F27" s="253">
        <v>9354</v>
      </c>
      <c r="G27" s="253">
        <v>9502</v>
      </c>
      <c r="H27" s="253">
        <v>9679</v>
      </c>
      <c r="I27" s="253">
        <v>9764</v>
      </c>
      <c r="J27" s="253">
        <v>9849</v>
      </c>
      <c r="K27" s="253">
        <v>9925</v>
      </c>
      <c r="L27" s="253">
        <v>10017</v>
      </c>
      <c r="M27" s="253">
        <v>10105</v>
      </c>
      <c r="N27" s="253">
        <v>10150</v>
      </c>
      <c r="O27" s="253">
        <v>10212</v>
      </c>
      <c r="P27" s="253">
        <v>10253</v>
      </c>
      <c r="Q27" s="253">
        <v>10321</v>
      </c>
      <c r="R27" s="253">
        <v>10364</v>
      </c>
      <c r="S27" s="253">
        <v>10402</v>
      </c>
      <c r="T27" s="253">
        <v>10461</v>
      </c>
      <c r="U27" s="253">
        <v>10491</v>
      </c>
      <c r="V27" s="253">
        <v>10532</v>
      </c>
      <c r="W27" s="253">
        <v>10582</v>
      </c>
    </row>
    <row r="28" spans="1:23" x14ac:dyDescent="0.2">
      <c r="A28" s="252" t="s">
        <v>125</v>
      </c>
      <c r="B28" t="s">
        <v>128</v>
      </c>
      <c r="C28" s="253">
        <v>27811</v>
      </c>
      <c r="D28" s="253">
        <v>28134</v>
      </c>
      <c r="E28" s="253">
        <v>28551</v>
      </c>
      <c r="F28" s="253">
        <v>28996</v>
      </c>
      <c r="G28" s="253">
        <v>29716</v>
      </c>
      <c r="H28" s="253">
        <v>30047</v>
      </c>
      <c r="I28" s="253">
        <v>30370</v>
      </c>
      <c r="J28" s="253">
        <v>30642</v>
      </c>
      <c r="K28" s="253">
        <v>30925</v>
      </c>
      <c r="L28" s="253">
        <v>31160</v>
      </c>
      <c r="M28" s="253">
        <v>31368</v>
      </c>
      <c r="N28" s="253">
        <v>31563</v>
      </c>
      <c r="O28" s="253">
        <v>31727</v>
      </c>
      <c r="P28" s="253">
        <v>31890</v>
      </c>
      <c r="Q28" s="253">
        <v>32056</v>
      </c>
      <c r="R28" s="253">
        <v>32196</v>
      </c>
      <c r="S28" s="253">
        <v>32353</v>
      </c>
      <c r="T28" s="253">
        <v>32476</v>
      </c>
      <c r="U28" s="253">
        <v>32621</v>
      </c>
      <c r="V28" s="253">
        <v>32744</v>
      </c>
      <c r="W28" s="253">
        <v>32856</v>
      </c>
    </row>
    <row r="29" spans="1:23" x14ac:dyDescent="0.2">
      <c r="A29" s="252" t="s">
        <v>231</v>
      </c>
      <c r="B29" t="s">
        <v>232</v>
      </c>
      <c r="C29" s="253">
        <v>8168</v>
      </c>
      <c r="D29" s="253">
        <v>8185</v>
      </c>
      <c r="E29" s="253">
        <v>8220</v>
      </c>
      <c r="F29" s="253">
        <v>8297</v>
      </c>
      <c r="G29" s="253">
        <v>8420</v>
      </c>
      <c r="H29" s="253">
        <v>8558</v>
      </c>
      <c r="I29" s="253">
        <v>8640</v>
      </c>
      <c r="J29" s="253">
        <v>8727</v>
      </c>
      <c r="K29" s="253">
        <v>8798</v>
      </c>
      <c r="L29" s="253">
        <v>8870</v>
      </c>
      <c r="M29" s="253">
        <v>8938</v>
      </c>
      <c r="N29" s="253">
        <v>9002</v>
      </c>
      <c r="O29" s="253">
        <v>9073</v>
      </c>
      <c r="P29" s="253">
        <v>9101</v>
      </c>
      <c r="Q29" s="253">
        <v>9132</v>
      </c>
      <c r="R29" s="253">
        <v>9196</v>
      </c>
      <c r="S29" s="253">
        <v>9231</v>
      </c>
      <c r="T29" s="253">
        <v>9257</v>
      </c>
      <c r="U29" s="253">
        <v>9302</v>
      </c>
      <c r="V29" s="253">
        <v>9329</v>
      </c>
      <c r="W29" s="253">
        <v>9371</v>
      </c>
    </row>
    <row r="30" spans="1:23" x14ac:dyDescent="0.2">
      <c r="A30" s="252" t="s">
        <v>104</v>
      </c>
      <c r="B30" t="s">
        <v>105</v>
      </c>
      <c r="C30" s="253">
        <v>75622</v>
      </c>
      <c r="D30" s="253">
        <v>76766</v>
      </c>
      <c r="E30" s="253">
        <v>78000</v>
      </c>
      <c r="F30" s="253">
        <v>79638</v>
      </c>
      <c r="G30" s="253">
        <v>81658</v>
      </c>
      <c r="H30" s="253">
        <v>82827</v>
      </c>
      <c r="I30" s="253">
        <v>83850</v>
      </c>
      <c r="J30" s="253">
        <v>84631</v>
      </c>
      <c r="K30" s="253">
        <v>85385</v>
      </c>
      <c r="L30" s="253">
        <v>86081</v>
      </c>
      <c r="M30" s="253">
        <v>86667</v>
      </c>
      <c r="N30" s="253">
        <v>87216</v>
      </c>
      <c r="O30" s="253">
        <v>87689</v>
      </c>
      <c r="P30" s="253">
        <v>88161</v>
      </c>
      <c r="Q30" s="253">
        <v>88599</v>
      </c>
      <c r="R30" s="253">
        <v>89014</v>
      </c>
      <c r="S30" s="253">
        <v>89427</v>
      </c>
      <c r="T30" s="253">
        <v>89831</v>
      </c>
      <c r="U30" s="253">
        <v>90191</v>
      </c>
      <c r="V30" s="253">
        <v>90553</v>
      </c>
      <c r="W30" s="253">
        <v>90860</v>
      </c>
    </row>
    <row r="31" spans="1:23" x14ac:dyDescent="0.2">
      <c r="A31" s="252" t="s">
        <v>190</v>
      </c>
      <c r="B31" t="s">
        <v>191</v>
      </c>
      <c r="C31" s="253">
        <v>9273</v>
      </c>
      <c r="D31" s="253">
        <v>9250</v>
      </c>
      <c r="E31" s="253">
        <v>9196</v>
      </c>
      <c r="F31" s="253">
        <v>9203</v>
      </c>
      <c r="G31" s="253">
        <v>9202</v>
      </c>
      <c r="H31" s="253">
        <v>9426</v>
      </c>
      <c r="I31" s="253">
        <v>9494</v>
      </c>
      <c r="J31" s="253">
        <v>9587</v>
      </c>
      <c r="K31" s="253">
        <v>9671</v>
      </c>
      <c r="L31" s="253">
        <v>9755</v>
      </c>
      <c r="M31" s="253">
        <v>9839</v>
      </c>
      <c r="N31" s="253">
        <v>9874</v>
      </c>
      <c r="O31" s="253">
        <v>9928</v>
      </c>
      <c r="P31" s="253">
        <v>9992</v>
      </c>
      <c r="Q31" s="253">
        <v>10052</v>
      </c>
      <c r="R31" s="253">
        <v>10092</v>
      </c>
      <c r="S31" s="253">
        <v>10142</v>
      </c>
      <c r="T31" s="253">
        <v>10188</v>
      </c>
      <c r="U31" s="253">
        <v>10235</v>
      </c>
      <c r="V31" s="253">
        <v>10262</v>
      </c>
      <c r="W31" s="253">
        <v>10307</v>
      </c>
    </row>
    <row r="32" spans="1:23" x14ac:dyDescent="0.2">
      <c r="A32" s="252" t="s">
        <v>233</v>
      </c>
      <c r="B32" t="s">
        <v>234</v>
      </c>
      <c r="C32" s="253">
        <v>15744</v>
      </c>
      <c r="D32" s="253">
        <v>15670</v>
      </c>
      <c r="E32" s="253">
        <v>15566</v>
      </c>
      <c r="F32" s="253">
        <v>15523</v>
      </c>
      <c r="G32" s="253">
        <v>15490</v>
      </c>
      <c r="H32" s="253">
        <v>15889</v>
      </c>
      <c r="I32" s="253">
        <v>15959</v>
      </c>
      <c r="J32" s="253">
        <v>16097</v>
      </c>
      <c r="K32" s="253">
        <v>16256</v>
      </c>
      <c r="L32" s="253">
        <v>16371</v>
      </c>
      <c r="M32" s="253">
        <v>16487</v>
      </c>
      <c r="N32" s="253">
        <v>16591</v>
      </c>
      <c r="O32" s="253">
        <v>16692</v>
      </c>
      <c r="P32" s="253">
        <v>16783</v>
      </c>
      <c r="Q32" s="253">
        <v>16853</v>
      </c>
      <c r="R32" s="253">
        <v>16924</v>
      </c>
      <c r="S32" s="253">
        <v>17027</v>
      </c>
      <c r="T32" s="253">
        <v>17101</v>
      </c>
      <c r="U32" s="253">
        <v>17150</v>
      </c>
      <c r="V32" s="253">
        <v>17233</v>
      </c>
      <c r="W32" s="253">
        <v>17299</v>
      </c>
    </row>
    <row r="33" spans="1:23" x14ac:dyDescent="0.2">
      <c r="A33" s="252" t="s">
        <v>143</v>
      </c>
      <c r="B33" t="s">
        <v>146</v>
      </c>
      <c r="C33" s="253">
        <v>4763</v>
      </c>
      <c r="D33" s="253">
        <v>4736</v>
      </c>
      <c r="E33" s="253">
        <v>4539</v>
      </c>
      <c r="F33" s="253">
        <v>4582</v>
      </c>
      <c r="G33" s="253">
        <v>4537</v>
      </c>
      <c r="H33" s="253">
        <v>4691</v>
      </c>
      <c r="I33" s="253">
        <v>4715</v>
      </c>
      <c r="J33" s="253">
        <v>4744</v>
      </c>
      <c r="K33" s="253">
        <v>4781</v>
      </c>
      <c r="L33" s="253">
        <v>4824</v>
      </c>
      <c r="M33" s="253">
        <v>4850</v>
      </c>
      <c r="N33" s="253">
        <v>4894</v>
      </c>
      <c r="O33" s="253">
        <v>4924</v>
      </c>
      <c r="P33" s="253">
        <v>4927</v>
      </c>
      <c r="Q33" s="253">
        <v>4954</v>
      </c>
      <c r="R33" s="253">
        <v>5005</v>
      </c>
      <c r="S33" s="253">
        <v>4996</v>
      </c>
      <c r="T33" s="253">
        <v>5025</v>
      </c>
      <c r="U33" s="253">
        <v>5055</v>
      </c>
      <c r="V33" s="253">
        <v>5069</v>
      </c>
      <c r="W33" s="253">
        <v>5082</v>
      </c>
    </row>
    <row r="34" spans="1:23" x14ac:dyDescent="0.2">
      <c r="A34" s="252" t="s">
        <v>328</v>
      </c>
      <c r="B34" t="s">
        <v>330</v>
      </c>
      <c r="C34" s="253">
        <v>5012</v>
      </c>
      <c r="D34" s="253">
        <v>4952</v>
      </c>
      <c r="E34" s="253">
        <v>4789</v>
      </c>
      <c r="F34" s="253">
        <v>4743</v>
      </c>
      <c r="G34" s="253">
        <v>4670</v>
      </c>
      <c r="H34" s="253">
        <v>4813</v>
      </c>
      <c r="I34" s="253">
        <v>4804</v>
      </c>
      <c r="J34" s="253">
        <v>4869</v>
      </c>
      <c r="K34" s="253">
        <v>4907</v>
      </c>
      <c r="L34" s="253">
        <v>4951</v>
      </c>
      <c r="M34" s="253">
        <v>4973</v>
      </c>
      <c r="N34" s="253">
        <v>5005</v>
      </c>
      <c r="O34" s="253">
        <v>5049</v>
      </c>
      <c r="P34" s="253">
        <v>5072</v>
      </c>
      <c r="Q34" s="253">
        <v>5097</v>
      </c>
      <c r="R34" s="253">
        <v>5108</v>
      </c>
      <c r="S34" s="253">
        <v>5138</v>
      </c>
      <c r="T34" s="253">
        <v>5153</v>
      </c>
      <c r="U34" s="253">
        <v>5189</v>
      </c>
      <c r="V34" s="253">
        <v>5206</v>
      </c>
      <c r="W34" s="253">
        <v>5228</v>
      </c>
    </row>
    <row r="35" spans="1:23" x14ac:dyDescent="0.2">
      <c r="A35" s="252" t="s">
        <v>373</v>
      </c>
      <c r="B35" t="s">
        <v>374</v>
      </c>
      <c r="C35" s="253">
        <v>44404</v>
      </c>
      <c r="D35" s="253">
        <v>45489</v>
      </c>
      <c r="E35" s="253">
        <v>46629</v>
      </c>
      <c r="F35" s="253">
        <v>47932</v>
      </c>
      <c r="G35" s="253">
        <v>49659</v>
      </c>
      <c r="H35" s="253">
        <v>50106</v>
      </c>
      <c r="I35" s="253">
        <v>50885</v>
      </c>
      <c r="J35" s="253">
        <v>51328</v>
      </c>
      <c r="K35" s="253">
        <v>51777</v>
      </c>
      <c r="L35" s="253">
        <v>52184</v>
      </c>
      <c r="M35" s="253">
        <v>52540</v>
      </c>
      <c r="N35" s="253">
        <v>52854</v>
      </c>
      <c r="O35" s="253">
        <v>53109</v>
      </c>
      <c r="P35" s="253">
        <v>53385</v>
      </c>
      <c r="Q35" s="253">
        <v>53650</v>
      </c>
      <c r="R35" s="253">
        <v>53894</v>
      </c>
      <c r="S35" s="253">
        <v>54126</v>
      </c>
      <c r="T35" s="253">
        <v>54350</v>
      </c>
      <c r="U35" s="253">
        <v>54553</v>
      </c>
      <c r="V35" s="253">
        <v>54753</v>
      </c>
      <c r="W35" s="253">
        <v>54942</v>
      </c>
    </row>
    <row r="36" spans="1:23" x14ac:dyDescent="0.2">
      <c r="A36" s="252" t="s">
        <v>276</v>
      </c>
      <c r="B36" t="s">
        <v>277</v>
      </c>
      <c r="C36" s="253">
        <v>56346</v>
      </c>
      <c r="D36" s="253">
        <v>57208</v>
      </c>
      <c r="E36" s="253">
        <v>58120</v>
      </c>
      <c r="F36" s="253">
        <v>59416</v>
      </c>
      <c r="G36" s="253">
        <v>61122</v>
      </c>
      <c r="H36" s="253">
        <v>61820</v>
      </c>
      <c r="I36" s="253">
        <v>62600</v>
      </c>
      <c r="J36" s="253">
        <v>63183</v>
      </c>
      <c r="K36" s="253">
        <v>63761</v>
      </c>
      <c r="L36" s="253">
        <v>64265</v>
      </c>
      <c r="M36" s="253">
        <v>64717</v>
      </c>
      <c r="N36" s="253">
        <v>65125</v>
      </c>
      <c r="O36" s="253">
        <v>65503</v>
      </c>
      <c r="P36" s="253">
        <v>65847</v>
      </c>
      <c r="Q36" s="253">
        <v>66167</v>
      </c>
      <c r="R36" s="253">
        <v>66492</v>
      </c>
      <c r="S36" s="253">
        <v>66800</v>
      </c>
      <c r="T36" s="253">
        <v>67090</v>
      </c>
      <c r="U36" s="253">
        <v>67363</v>
      </c>
      <c r="V36" s="253">
        <v>67631</v>
      </c>
      <c r="W36" s="253">
        <v>67870</v>
      </c>
    </row>
    <row r="37" spans="1:23" x14ac:dyDescent="0.2">
      <c r="A37" s="252" t="s">
        <v>192</v>
      </c>
      <c r="B37" t="s">
        <v>537</v>
      </c>
      <c r="C37" s="253">
        <v>3932</v>
      </c>
      <c r="D37" s="253">
        <v>3900</v>
      </c>
      <c r="E37" s="253">
        <v>3888</v>
      </c>
      <c r="F37" s="253">
        <v>3954</v>
      </c>
      <c r="G37" s="253">
        <v>3954</v>
      </c>
      <c r="H37" s="253">
        <v>4069</v>
      </c>
      <c r="I37" s="253">
        <v>4108</v>
      </c>
      <c r="J37" s="253">
        <v>4154</v>
      </c>
      <c r="K37" s="253">
        <v>4174</v>
      </c>
      <c r="L37" s="253">
        <v>4219</v>
      </c>
      <c r="M37" s="253">
        <v>4242</v>
      </c>
      <c r="N37" s="253">
        <v>4264</v>
      </c>
      <c r="O37" s="253">
        <v>4288</v>
      </c>
      <c r="P37" s="253">
        <v>4308</v>
      </c>
      <c r="Q37" s="253">
        <v>4331</v>
      </c>
      <c r="R37" s="253">
        <v>4361</v>
      </c>
      <c r="S37" s="253">
        <v>4372</v>
      </c>
      <c r="T37" s="253">
        <v>4402</v>
      </c>
      <c r="U37" s="253">
        <v>4425</v>
      </c>
      <c r="V37" s="253">
        <v>4438</v>
      </c>
      <c r="W37" s="253">
        <v>4463</v>
      </c>
    </row>
    <row r="38" spans="1:23" x14ac:dyDescent="0.2">
      <c r="A38" s="252" t="s">
        <v>130</v>
      </c>
      <c r="B38" t="s">
        <v>131</v>
      </c>
      <c r="C38" s="253">
        <v>84926</v>
      </c>
      <c r="D38" s="253">
        <v>86492</v>
      </c>
      <c r="E38" s="253">
        <v>88188</v>
      </c>
      <c r="F38" s="253">
        <v>90213</v>
      </c>
      <c r="G38" s="253">
        <v>93044</v>
      </c>
      <c r="H38" s="253">
        <v>94010</v>
      </c>
      <c r="I38" s="253">
        <v>95274</v>
      </c>
      <c r="J38" s="253">
        <v>96148</v>
      </c>
      <c r="K38" s="253">
        <v>97025</v>
      </c>
      <c r="L38" s="253">
        <v>97803</v>
      </c>
      <c r="M38" s="253">
        <v>98488</v>
      </c>
      <c r="N38" s="253">
        <v>99102</v>
      </c>
      <c r="O38" s="253">
        <v>99651</v>
      </c>
      <c r="P38" s="253">
        <v>100171</v>
      </c>
      <c r="Q38" s="253">
        <v>100665</v>
      </c>
      <c r="R38" s="253">
        <v>101159</v>
      </c>
      <c r="S38" s="253">
        <v>101623</v>
      </c>
      <c r="T38" s="253">
        <v>102053</v>
      </c>
      <c r="U38" s="253">
        <v>102472</v>
      </c>
      <c r="V38" s="253">
        <v>102874</v>
      </c>
      <c r="W38" s="253">
        <v>103229</v>
      </c>
    </row>
    <row r="39" spans="1:23" x14ac:dyDescent="0.2">
      <c r="A39" s="252" t="s">
        <v>375</v>
      </c>
      <c r="B39" t="s">
        <v>376</v>
      </c>
      <c r="C39" s="253">
        <v>53865</v>
      </c>
      <c r="D39" s="253">
        <v>54908</v>
      </c>
      <c r="E39" s="253">
        <v>56044</v>
      </c>
      <c r="F39" s="253">
        <v>57375</v>
      </c>
      <c r="G39" s="253">
        <v>58684</v>
      </c>
      <c r="H39" s="253">
        <v>59822</v>
      </c>
      <c r="I39" s="253">
        <v>60646</v>
      </c>
      <c r="J39" s="253">
        <v>61211</v>
      </c>
      <c r="K39" s="253">
        <v>61741</v>
      </c>
      <c r="L39" s="253">
        <v>62235</v>
      </c>
      <c r="M39" s="253">
        <v>62675</v>
      </c>
      <c r="N39" s="253">
        <v>63048</v>
      </c>
      <c r="O39" s="253">
        <v>63397</v>
      </c>
      <c r="P39" s="253">
        <v>63722</v>
      </c>
      <c r="Q39" s="253">
        <v>64032</v>
      </c>
      <c r="R39" s="253">
        <v>64331</v>
      </c>
      <c r="S39" s="253">
        <v>64619</v>
      </c>
      <c r="T39" s="253">
        <v>64879</v>
      </c>
      <c r="U39" s="253">
        <v>65154</v>
      </c>
      <c r="V39" s="253">
        <v>65389</v>
      </c>
      <c r="W39" s="253">
        <v>65630</v>
      </c>
    </row>
    <row r="40" spans="1:23" x14ac:dyDescent="0.2">
      <c r="A40" s="252" t="s">
        <v>164</v>
      </c>
      <c r="B40" t="s">
        <v>165</v>
      </c>
      <c r="C40" s="253">
        <v>9587</v>
      </c>
      <c r="D40" s="253">
        <v>9617</v>
      </c>
      <c r="E40" s="253">
        <v>9747</v>
      </c>
      <c r="F40" s="253">
        <v>9775</v>
      </c>
      <c r="G40" s="253">
        <v>9844</v>
      </c>
      <c r="H40" s="253">
        <v>10053</v>
      </c>
      <c r="I40" s="253">
        <v>10147</v>
      </c>
      <c r="J40" s="253">
        <v>10253</v>
      </c>
      <c r="K40" s="253">
        <v>10326</v>
      </c>
      <c r="L40" s="253">
        <v>10422</v>
      </c>
      <c r="M40" s="253">
        <v>10495</v>
      </c>
      <c r="N40" s="253">
        <v>10562</v>
      </c>
      <c r="O40" s="253">
        <v>10616</v>
      </c>
      <c r="P40" s="253">
        <v>10674</v>
      </c>
      <c r="Q40" s="253">
        <v>10729</v>
      </c>
      <c r="R40" s="253">
        <v>10782</v>
      </c>
      <c r="S40" s="253">
        <v>10842</v>
      </c>
      <c r="T40" s="253">
        <v>10878</v>
      </c>
      <c r="U40" s="253">
        <v>10912</v>
      </c>
      <c r="V40" s="253">
        <v>10973</v>
      </c>
      <c r="W40" s="253">
        <v>10996</v>
      </c>
    </row>
    <row r="41" spans="1:23" x14ac:dyDescent="0.2">
      <c r="A41" s="252" t="s">
        <v>272</v>
      </c>
      <c r="B41" t="s">
        <v>273</v>
      </c>
      <c r="C41" s="253">
        <v>16146</v>
      </c>
      <c r="D41" s="253">
        <v>15873</v>
      </c>
      <c r="E41" s="253">
        <v>15667</v>
      </c>
      <c r="F41" s="253">
        <v>15444</v>
      </c>
      <c r="G41" s="253">
        <v>15042</v>
      </c>
      <c r="H41" s="253">
        <v>15929</v>
      </c>
      <c r="I41" s="253">
        <v>16062</v>
      </c>
      <c r="J41" s="253">
        <v>16201</v>
      </c>
      <c r="K41" s="253">
        <v>16390</v>
      </c>
      <c r="L41" s="253">
        <v>16551</v>
      </c>
      <c r="M41" s="253">
        <v>16686</v>
      </c>
      <c r="N41" s="253">
        <v>16811</v>
      </c>
      <c r="O41" s="253">
        <v>16934</v>
      </c>
      <c r="P41" s="253">
        <v>17051</v>
      </c>
      <c r="Q41" s="253">
        <v>17162</v>
      </c>
      <c r="R41" s="253">
        <v>17240</v>
      </c>
      <c r="S41" s="253">
        <v>17350</v>
      </c>
      <c r="T41" s="253">
        <v>17491</v>
      </c>
      <c r="U41" s="253">
        <v>17574</v>
      </c>
      <c r="V41" s="253">
        <v>17648</v>
      </c>
      <c r="W41" s="253">
        <v>17764</v>
      </c>
    </row>
    <row r="42" spans="1:23" x14ac:dyDescent="0.2">
      <c r="A42" s="252" t="s">
        <v>274</v>
      </c>
      <c r="B42" t="s">
        <v>275</v>
      </c>
      <c r="C42" s="253">
        <v>4877</v>
      </c>
      <c r="D42" s="253">
        <v>4850</v>
      </c>
      <c r="E42" s="253">
        <v>4833</v>
      </c>
      <c r="F42" s="253">
        <v>4797</v>
      </c>
      <c r="G42" s="253">
        <v>4760</v>
      </c>
      <c r="H42" s="253">
        <v>4899</v>
      </c>
      <c r="I42" s="253">
        <v>4927</v>
      </c>
      <c r="J42" s="253">
        <v>4965</v>
      </c>
      <c r="K42" s="253">
        <v>5020</v>
      </c>
      <c r="L42" s="253">
        <v>5049</v>
      </c>
      <c r="M42" s="253">
        <v>5093</v>
      </c>
      <c r="N42" s="253">
        <v>5116</v>
      </c>
      <c r="O42" s="253">
        <v>5163</v>
      </c>
      <c r="P42" s="253">
        <v>5179</v>
      </c>
      <c r="Q42" s="253">
        <v>5197</v>
      </c>
      <c r="R42" s="253">
        <v>5248</v>
      </c>
      <c r="S42" s="253">
        <v>5264</v>
      </c>
      <c r="T42" s="253">
        <v>5271</v>
      </c>
      <c r="U42" s="253">
        <v>5305</v>
      </c>
      <c r="V42" s="253">
        <v>5329</v>
      </c>
      <c r="W42" s="253">
        <v>5336</v>
      </c>
    </row>
    <row r="43" spans="1:23" x14ac:dyDescent="0.2">
      <c r="A43" s="252" t="s">
        <v>333</v>
      </c>
      <c r="B43" t="s">
        <v>334</v>
      </c>
      <c r="C43" s="253">
        <v>21129</v>
      </c>
      <c r="D43" s="253">
        <v>21153</v>
      </c>
      <c r="E43" s="253">
        <v>21275</v>
      </c>
      <c r="F43" s="253">
        <v>21377</v>
      </c>
      <c r="G43" s="253">
        <v>21504</v>
      </c>
      <c r="H43" s="253">
        <v>21997</v>
      </c>
      <c r="I43" s="253">
        <v>22137</v>
      </c>
      <c r="J43" s="253">
        <v>22352</v>
      </c>
      <c r="K43" s="253">
        <v>22540</v>
      </c>
      <c r="L43" s="253">
        <v>22737</v>
      </c>
      <c r="M43" s="253">
        <v>22905</v>
      </c>
      <c r="N43" s="253">
        <v>23034</v>
      </c>
      <c r="O43" s="253">
        <v>23163</v>
      </c>
      <c r="P43" s="253">
        <v>23289</v>
      </c>
      <c r="Q43" s="253">
        <v>23416</v>
      </c>
      <c r="R43" s="253">
        <v>23503</v>
      </c>
      <c r="S43" s="253">
        <v>23631</v>
      </c>
      <c r="T43" s="253">
        <v>23736</v>
      </c>
      <c r="U43" s="253">
        <v>23829</v>
      </c>
      <c r="V43" s="253">
        <v>23912</v>
      </c>
      <c r="W43" s="253">
        <v>24023</v>
      </c>
    </row>
    <row r="44" spans="1:23" x14ac:dyDescent="0.2">
      <c r="A44" s="252" t="s">
        <v>106</v>
      </c>
      <c r="B44" t="s">
        <v>107</v>
      </c>
      <c r="C44" s="253">
        <v>73796</v>
      </c>
      <c r="D44" s="253">
        <v>74957</v>
      </c>
      <c r="E44" s="253">
        <v>76210</v>
      </c>
      <c r="F44" s="253">
        <v>77884</v>
      </c>
      <c r="G44" s="253">
        <v>80000</v>
      </c>
      <c r="H44" s="253">
        <v>81005</v>
      </c>
      <c r="I44" s="253">
        <v>82038</v>
      </c>
      <c r="J44" s="253">
        <v>82781</v>
      </c>
      <c r="K44" s="253">
        <v>83559</v>
      </c>
      <c r="L44" s="253">
        <v>84209</v>
      </c>
      <c r="M44" s="253">
        <v>84787</v>
      </c>
      <c r="N44" s="253">
        <v>85324</v>
      </c>
      <c r="O44" s="253">
        <v>85805</v>
      </c>
      <c r="P44" s="253">
        <v>86253</v>
      </c>
      <c r="Q44" s="253">
        <v>86681</v>
      </c>
      <c r="R44" s="253">
        <v>87109</v>
      </c>
      <c r="S44" s="253">
        <v>87502</v>
      </c>
      <c r="T44" s="253">
        <v>87892</v>
      </c>
      <c r="U44" s="253">
        <v>88264</v>
      </c>
      <c r="V44" s="253">
        <v>88596</v>
      </c>
      <c r="W44" s="253">
        <v>88912</v>
      </c>
    </row>
    <row r="45" spans="1:23" x14ac:dyDescent="0.2">
      <c r="A45" s="252" t="s">
        <v>235</v>
      </c>
      <c r="B45" t="s">
        <v>236</v>
      </c>
      <c r="C45" s="253">
        <v>22593</v>
      </c>
      <c r="D45" s="253">
        <v>22673</v>
      </c>
      <c r="E45" s="253">
        <v>22836</v>
      </c>
      <c r="F45" s="253">
        <v>23044</v>
      </c>
      <c r="G45" s="253">
        <v>23255</v>
      </c>
      <c r="H45" s="253">
        <v>23749</v>
      </c>
      <c r="I45" s="253">
        <v>23950</v>
      </c>
      <c r="J45" s="253">
        <v>24168</v>
      </c>
      <c r="K45" s="253">
        <v>24377</v>
      </c>
      <c r="L45" s="253">
        <v>24586</v>
      </c>
      <c r="M45" s="253">
        <v>24765</v>
      </c>
      <c r="N45" s="253">
        <v>24900</v>
      </c>
      <c r="O45" s="253">
        <v>25060</v>
      </c>
      <c r="P45" s="253">
        <v>25183</v>
      </c>
      <c r="Q45" s="253">
        <v>25305</v>
      </c>
      <c r="R45" s="253">
        <v>25439</v>
      </c>
      <c r="S45" s="253">
        <v>25545</v>
      </c>
      <c r="T45" s="253">
        <v>25655</v>
      </c>
      <c r="U45" s="253">
        <v>25755</v>
      </c>
      <c r="V45" s="253">
        <v>25874</v>
      </c>
      <c r="W45" s="253">
        <v>25965</v>
      </c>
    </row>
    <row r="46" spans="1:23" x14ac:dyDescent="0.2">
      <c r="A46" s="252" t="s">
        <v>194</v>
      </c>
      <c r="B46" t="s">
        <v>195</v>
      </c>
      <c r="C46" s="253">
        <v>18084</v>
      </c>
      <c r="D46" s="253">
        <v>18332</v>
      </c>
      <c r="E46" s="253">
        <v>18533</v>
      </c>
      <c r="F46" s="253">
        <v>18902</v>
      </c>
      <c r="G46" s="253">
        <v>19332</v>
      </c>
      <c r="H46" s="253">
        <v>19610</v>
      </c>
      <c r="I46" s="253">
        <v>19839</v>
      </c>
      <c r="J46" s="253">
        <v>20020</v>
      </c>
      <c r="K46" s="253">
        <v>20198</v>
      </c>
      <c r="L46" s="253">
        <v>20360</v>
      </c>
      <c r="M46" s="253">
        <v>20498</v>
      </c>
      <c r="N46" s="253">
        <v>20634</v>
      </c>
      <c r="O46" s="253">
        <v>20733</v>
      </c>
      <c r="P46" s="253">
        <v>20860</v>
      </c>
      <c r="Q46" s="253">
        <v>20956</v>
      </c>
      <c r="R46" s="253">
        <v>21041</v>
      </c>
      <c r="S46" s="253">
        <v>21163</v>
      </c>
      <c r="T46" s="253">
        <v>21233</v>
      </c>
      <c r="U46" s="253">
        <v>21334</v>
      </c>
      <c r="V46" s="253">
        <v>21407</v>
      </c>
      <c r="W46" s="253">
        <v>21483</v>
      </c>
    </row>
    <row r="47" spans="1:23" x14ac:dyDescent="0.2">
      <c r="A47" s="252" t="s">
        <v>237</v>
      </c>
      <c r="B47" t="s">
        <v>238</v>
      </c>
      <c r="C47" s="253">
        <v>12308</v>
      </c>
      <c r="D47" s="253">
        <v>12227</v>
      </c>
      <c r="E47" s="253">
        <v>12177</v>
      </c>
      <c r="F47" s="253">
        <v>12158</v>
      </c>
      <c r="G47" s="253">
        <v>12108</v>
      </c>
      <c r="H47" s="253">
        <v>12432</v>
      </c>
      <c r="I47" s="253">
        <v>12486</v>
      </c>
      <c r="J47" s="253">
        <v>12605</v>
      </c>
      <c r="K47" s="253">
        <v>12713</v>
      </c>
      <c r="L47" s="253">
        <v>12820</v>
      </c>
      <c r="M47" s="253">
        <v>12914</v>
      </c>
      <c r="N47" s="253">
        <v>12988</v>
      </c>
      <c r="O47" s="253">
        <v>13066</v>
      </c>
      <c r="P47" s="253">
        <v>13110</v>
      </c>
      <c r="Q47" s="253">
        <v>13191</v>
      </c>
      <c r="R47" s="253">
        <v>13255</v>
      </c>
      <c r="S47" s="253">
        <v>13307</v>
      </c>
      <c r="T47" s="253">
        <v>13382</v>
      </c>
      <c r="U47" s="253">
        <v>13428</v>
      </c>
      <c r="V47" s="253">
        <v>13485</v>
      </c>
      <c r="W47" s="253">
        <v>13527</v>
      </c>
    </row>
    <row r="48" spans="1:23" x14ac:dyDescent="0.2">
      <c r="A48" s="252" t="s">
        <v>133</v>
      </c>
      <c r="B48" t="s">
        <v>134</v>
      </c>
      <c r="C48" s="253">
        <v>48493</v>
      </c>
      <c r="D48" s="253">
        <v>49488</v>
      </c>
      <c r="E48" s="253">
        <v>50544</v>
      </c>
      <c r="F48" s="253">
        <v>51862</v>
      </c>
      <c r="G48" s="253">
        <v>52925</v>
      </c>
      <c r="H48" s="253">
        <v>54096</v>
      </c>
      <c r="I48" s="253">
        <v>54863</v>
      </c>
      <c r="J48" s="253">
        <v>55363</v>
      </c>
      <c r="K48" s="253">
        <v>55845</v>
      </c>
      <c r="L48" s="253">
        <v>56306</v>
      </c>
      <c r="M48" s="253">
        <v>56681</v>
      </c>
      <c r="N48" s="253">
        <v>57032</v>
      </c>
      <c r="O48" s="253">
        <v>57339</v>
      </c>
      <c r="P48" s="253">
        <v>57646</v>
      </c>
      <c r="Q48" s="253">
        <v>57908</v>
      </c>
      <c r="R48" s="253">
        <v>58190</v>
      </c>
      <c r="S48" s="253">
        <v>58444</v>
      </c>
      <c r="T48" s="253">
        <v>58683</v>
      </c>
      <c r="U48" s="253">
        <v>58913</v>
      </c>
      <c r="V48" s="253">
        <v>59133</v>
      </c>
      <c r="W48" s="253">
        <v>59345</v>
      </c>
    </row>
    <row r="49" spans="1:23" x14ac:dyDescent="0.2">
      <c r="A49" s="252" t="s">
        <v>196</v>
      </c>
      <c r="B49" t="s">
        <v>197</v>
      </c>
      <c r="C49" s="253">
        <v>10594</v>
      </c>
      <c r="D49" s="253">
        <v>10830</v>
      </c>
      <c r="E49" s="253">
        <v>10986</v>
      </c>
      <c r="F49" s="253">
        <v>11159</v>
      </c>
      <c r="G49" s="253">
        <v>11465</v>
      </c>
      <c r="H49" s="253">
        <v>11624</v>
      </c>
      <c r="I49" s="253">
        <v>11767</v>
      </c>
      <c r="J49" s="253">
        <v>11873</v>
      </c>
      <c r="K49" s="253">
        <v>11982</v>
      </c>
      <c r="L49" s="253">
        <v>12062</v>
      </c>
      <c r="M49" s="253">
        <v>12158</v>
      </c>
      <c r="N49" s="253">
        <v>12225</v>
      </c>
      <c r="O49" s="253">
        <v>12300</v>
      </c>
      <c r="P49" s="253">
        <v>12355</v>
      </c>
      <c r="Q49" s="253">
        <v>12416</v>
      </c>
      <c r="R49" s="253">
        <v>12477</v>
      </c>
      <c r="S49" s="253">
        <v>12534</v>
      </c>
      <c r="T49" s="253">
        <v>12600</v>
      </c>
      <c r="U49" s="253">
        <v>12645</v>
      </c>
      <c r="V49" s="253">
        <v>12693</v>
      </c>
      <c r="W49" s="253">
        <v>12742</v>
      </c>
    </row>
    <row r="50" spans="1:23" x14ac:dyDescent="0.2">
      <c r="A50" s="252" t="s">
        <v>109</v>
      </c>
      <c r="B50" t="s">
        <v>110</v>
      </c>
      <c r="C50" s="253">
        <v>214539</v>
      </c>
      <c r="D50" s="253">
        <v>218805</v>
      </c>
      <c r="E50" s="253">
        <v>223456</v>
      </c>
      <c r="F50" s="253">
        <v>228848</v>
      </c>
      <c r="G50" s="253">
        <v>236114</v>
      </c>
      <c r="H50" s="253">
        <v>238656</v>
      </c>
      <c r="I50" s="253">
        <v>241984</v>
      </c>
      <c r="J50" s="253">
        <v>244188</v>
      </c>
      <c r="K50" s="253">
        <v>246327</v>
      </c>
      <c r="L50" s="253">
        <v>248304</v>
      </c>
      <c r="M50" s="253">
        <v>250012</v>
      </c>
      <c r="N50" s="253">
        <v>251521</v>
      </c>
      <c r="O50" s="253">
        <v>252884</v>
      </c>
      <c r="P50" s="253">
        <v>254190</v>
      </c>
      <c r="Q50" s="253">
        <v>255416</v>
      </c>
      <c r="R50" s="253">
        <v>256605</v>
      </c>
      <c r="S50" s="253">
        <v>257744</v>
      </c>
      <c r="T50" s="253">
        <v>258828</v>
      </c>
      <c r="U50" s="253">
        <v>259851</v>
      </c>
      <c r="V50" s="253">
        <v>260828</v>
      </c>
      <c r="W50" s="253">
        <v>261707</v>
      </c>
    </row>
    <row r="51" spans="1:23" x14ac:dyDescent="0.2">
      <c r="A51" s="252" t="s">
        <v>335</v>
      </c>
      <c r="B51" t="s">
        <v>336</v>
      </c>
      <c r="C51" s="253">
        <v>24059</v>
      </c>
      <c r="D51" s="253">
        <v>24143</v>
      </c>
      <c r="E51" s="253">
        <v>24252</v>
      </c>
      <c r="F51" s="253">
        <v>24408</v>
      </c>
      <c r="G51" s="253">
        <v>24553</v>
      </c>
      <c r="H51" s="253">
        <v>25128</v>
      </c>
      <c r="I51" s="253">
        <v>25299</v>
      </c>
      <c r="J51" s="253">
        <v>25541</v>
      </c>
      <c r="K51" s="253">
        <v>25764</v>
      </c>
      <c r="L51" s="253">
        <v>25981</v>
      </c>
      <c r="M51" s="253">
        <v>26163</v>
      </c>
      <c r="N51" s="253">
        <v>26312</v>
      </c>
      <c r="O51" s="253">
        <v>26475</v>
      </c>
      <c r="P51" s="253">
        <v>26610</v>
      </c>
      <c r="Q51" s="253">
        <v>26759</v>
      </c>
      <c r="R51" s="253">
        <v>26868</v>
      </c>
      <c r="S51" s="253">
        <v>26995</v>
      </c>
      <c r="T51" s="253">
        <v>27111</v>
      </c>
      <c r="U51" s="253">
        <v>27242</v>
      </c>
      <c r="V51" s="253">
        <v>27340</v>
      </c>
      <c r="W51" s="253">
        <v>27441</v>
      </c>
    </row>
    <row r="52" spans="1:23" x14ac:dyDescent="0.2">
      <c r="A52" s="252" t="s">
        <v>239</v>
      </c>
      <c r="B52" t="s">
        <v>240</v>
      </c>
      <c r="C52" s="253">
        <v>20944</v>
      </c>
      <c r="D52" s="253">
        <v>20813</v>
      </c>
      <c r="E52" s="253">
        <v>20820</v>
      </c>
      <c r="F52" s="253">
        <v>20739</v>
      </c>
      <c r="G52" s="253">
        <v>20657</v>
      </c>
      <c r="H52" s="253">
        <v>21243</v>
      </c>
      <c r="I52" s="253">
        <v>21345</v>
      </c>
      <c r="J52" s="253">
        <v>21525</v>
      </c>
      <c r="K52" s="253">
        <v>21737</v>
      </c>
      <c r="L52" s="253">
        <v>21905</v>
      </c>
      <c r="M52" s="253">
        <v>22049</v>
      </c>
      <c r="N52" s="253">
        <v>22204</v>
      </c>
      <c r="O52" s="253">
        <v>22312</v>
      </c>
      <c r="P52" s="253">
        <v>22428</v>
      </c>
      <c r="Q52" s="253">
        <v>22543</v>
      </c>
      <c r="R52" s="253">
        <v>22672</v>
      </c>
      <c r="S52" s="253">
        <v>22770</v>
      </c>
      <c r="T52" s="253">
        <v>22871</v>
      </c>
      <c r="U52" s="253">
        <v>22953</v>
      </c>
      <c r="V52" s="253">
        <v>23032</v>
      </c>
      <c r="W52" s="253">
        <v>23129</v>
      </c>
    </row>
    <row r="53" spans="1:23" x14ac:dyDescent="0.2">
      <c r="A53" s="252" t="s">
        <v>241</v>
      </c>
      <c r="B53" t="s">
        <v>242</v>
      </c>
      <c r="C53" s="253">
        <v>5349</v>
      </c>
      <c r="D53" s="253">
        <v>5396</v>
      </c>
      <c r="E53" s="253">
        <v>5460</v>
      </c>
      <c r="F53" s="253">
        <v>5544</v>
      </c>
      <c r="G53" s="253">
        <v>5652</v>
      </c>
      <c r="H53" s="253">
        <v>5725</v>
      </c>
      <c r="I53" s="253">
        <v>5796</v>
      </c>
      <c r="J53" s="253">
        <v>5857</v>
      </c>
      <c r="K53" s="253">
        <v>5899</v>
      </c>
      <c r="L53" s="253">
        <v>5963</v>
      </c>
      <c r="M53" s="253">
        <v>5988</v>
      </c>
      <c r="N53" s="253">
        <v>6027</v>
      </c>
      <c r="O53" s="253">
        <v>6062</v>
      </c>
      <c r="P53" s="253">
        <v>6100</v>
      </c>
      <c r="Q53" s="253">
        <v>6114</v>
      </c>
      <c r="R53" s="253">
        <v>6141</v>
      </c>
      <c r="S53" s="253">
        <v>6178</v>
      </c>
      <c r="T53" s="253">
        <v>6203</v>
      </c>
      <c r="U53" s="253">
        <v>6222</v>
      </c>
      <c r="V53" s="253">
        <v>6254</v>
      </c>
      <c r="W53" s="253">
        <v>6286</v>
      </c>
    </row>
    <row r="54" spans="1:23" x14ac:dyDescent="0.2">
      <c r="A54" s="252" t="s">
        <v>112</v>
      </c>
      <c r="B54" t="s">
        <v>113</v>
      </c>
      <c r="C54" s="253">
        <v>48759</v>
      </c>
      <c r="D54" s="253">
        <v>49613</v>
      </c>
      <c r="E54" s="253">
        <v>50456</v>
      </c>
      <c r="F54" s="253">
        <v>51662</v>
      </c>
      <c r="G54" s="253">
        <v>53162</v>
      </c>
      <c r="H54" s="253">
        <v>53781</v>
      </c>
      <c r="I54" s="253">
        <v>54489</v>
      </c>
      <c r="J54" s="253">
        <v>54986</v>
      </c>
      <c r="K54" s="253">
        <v>55483</v>
      </c>
      <c r="L54" s="253">
        <v>55902</v>
      </c>
      <c r="M54" s="253">
        <v>56312</v>
      </c>
      <c r="N54" s="253">
        <v>56651</v>
      </c>
      <c r="O54" s="253">
        <v>56986</v>
      </c>
      <c r="P54" s="253">
        <v>57261</v>
      </c>
      <c r="Q54" s="253">
        <v>57567</v>
      </c>
      <c r="R54" s="253">
        <v>57836</v>
      </c>
      <c r="S54" s="253">
        <v>58090</v>
      </c>
      <c r="T54" s="253">
        <v>58334</v>
      </c>
      <c r="U54" s="253">
        <v>58578</v>
      </c>
      <c r="V54" s="253">
        <v>58801</v>
      </c>
      <c r="W54" s="253">
        <v>59014</v>
      </c>
    </row>
    <row r="55" spans="1:23" x14ac:dyDescent="0.2">
      <c r="A55" s="252" t="s">
        <v>198</v>
      </c>
      <c r="B55" t="s">
        <v>199</v>
      </c>
      <c r="C55" s="253">
        <v>9693</v>
      </c>
      <c r="D55" s="253">
        <v>9662</v>
      </c>
      <c r="E55" s="253">
        <v>9676</v>
      </c>
      <c r="F55" s="253">
        <v>9753</v>
      </c>
      <c r="G55" s="253">
        <v>9828</v>
      </c>
      <c r="H55" s="253">
        <v>10048</v>
      </c>
      <c r="I55" s="253">
        <v>10117</v>
      </c>
      <c r="J55" s="253">
        <v>10225</v>
      </c>
      <c r="K55" s="253">
        <v>10300</v>
      </c>
      <c r="L55" s="253">
        <v>10397</v>
      </c>
      <c r="M55" s="253">
        <v>10464</v>
      </c>
      <c r="N55" s="253">
        <v>10528</v>
      </c>
      <c r="O55" s="253">
        <v>10586</v>
      </c>
      <c r="P55" s="253">
        <v>10645</v>
      </c>
      <c r="Q55" s="253">
        <v>10692</v>
      </c>
      <c r="R55" s="253">
        <v>10742</v>
      </c>
      <c r="S55" s="253">
        <v>10802</v>
      </c>
      <c r="T55" s="253">
        <v>10845</v>
      </c>
      <c r="U55" s="253">
        <v>10898</v>
      </c>
      <c r="V55" s="253">
        <v>10942</v>
      </c>
      <c r="W55" s="253">
        <v>10966</v>
      </c>
    </row>
    <row r="56" spans="1:23" x14ac:dyDescent="0.2">
      <c r="A56" s="252" t="s">
        <v>285</v>
      </c>
      <c r="B56" t="s">
        <v>286</v>
      </c>
      <c r="C56" s="253">
        <v>10947</v>
      </c>
      <c r="D56" s="253">
        <v>10654</v>
      </c>
      <c r="E56" s="253">
        <v>10397</v>
      </c>
      <c r="F56" s="253">
        <v>10117</v>
      </c>
      <c r="G56" s="253">
        <v>9870</v>
      </c>
      <c r="H56" s="253">
        <v>10414</v>
      </c>
      <c r="I56" s="253">
        <v>10497</v>
      </c>
      <c r="J56" s="253">
        <v>10587</v>
      </c>
      <c r="K56" s="253">
        <v>10700</v>
      </c>
      <c r="L56" s="253">
        <v>10785</v>
      </c>
      <c r="M56" s="253">
        <v>10855</v>
      </c>
      <c r="N56" s="253">
        <v>10921</v>
      </c>
      <c r="O56" s="253">
        <v>10981</v>
      </c>
      <c r="P56" s="253">
        <v>11051</v>
      </c>
      <c r="Q56" s="253">
        <v>11090</v>
      </c>
      <c r="R56" s="253">
        <v>11151</v>
      </c>
      <c r="S56" s="253">
        <v>11211</v>
      </c>
      <c r="T56" s="253">
        <v>11251</v>
      </c>
      <c r="U56" s="253">
        <v>11298</v>
      </c>
      <c r="V56" s="253">
        <v>11349</v>
      </c>
      <c r="W56" s="253">
        <v>11399</v>
      </c>
    </row>
    <row r="57" spans="1:23" x14ac:dyDescent="0.2">
      <c r="A57" s="252" t="s">
        <v>200</v>
      </c>
      <c r="B57" t="s">
        <v>201</v>
      </c>
      <c r="C57" s="253">
        <v>6494</v>
      </c>
      <c r="D57" s="253">
        <v>6464</v>
      </c>
      <c r="E57" s="253">
        <v>6496</v>
      </c>
      <c r="F57" s="253">
        <v>6560</v>
      </c>
      <c r="G57" s="253">
        <v>6607</v>
      </c>
      <c r="H57" s="253">
        <v>6750</v>
      </c>
      <c r="I57" s="253">
        <v>6797</v>
      </c>
      <c r="J57" s="253">
        <v>6860</v>
      </c>
      <c r="K57" s="253">
        <v>6926</v>
      </c>
      <c r="L57" s="253">
        <v>6966</v>
      </c>
      <c r="M57" s="253">
        <v>7015</v>
      </c>
      <c r="N57" s="253">
        <v>7077</v>
      </c>
      <c r="O57" s="253">
        <v>7115</v>
      </c>
      <c r="P57" s="253">
        <v>7153</v>
      </c>
      <c r="Q57" s="253">
        <v>7182</v>
      </c>
      <c r="R57" s="253">
        <v>7222</v>
      </c>
      <c r="S57" s="253">
        <v>7243</v>
      </c>
      <c r="T57" s="253">
        <v>7291</v>
      </c>
      <c r="U57" s="253">
        <v>7310</v>
      </c>
      <c r="V57" s="253">
        <v>7344</v>
      </c>
      <c r="W57" s="253">
        <v>7358</v>
      </c>
    </row>
    <row r="58" spans="1:23" x14ac:dyDescent="0.2">
      <c r="A58" s="252" t="s">
        <v>287</v>
      </c>
      <c r="B58" t="s">
        <v>288</v>
      </c>
      <c r="C58" s="253">
        <v>51910</v>
      </c>
      <c r="D58" s="253">
        <v>52793</v>
      </c>
      <c r="E58" s="253">
        <v>53835</v>
      </c>
      <c r="F58" s="253">
        <v>55121</v>
      </c>
      <c r="G58" s="253">
        <v>56774</v>
      </c>
      <c r="H58" s="253">
        <v>57407</v>
      </c>
      <c r="I58" s="253">
        <v>58183</v>
      </c>
      <c r="J58" s="253">
        <v>58715</v>
      </c>
      <c r="K58" s="253">
        <v>59226</v>
      </c>
      <c r="L58" s="253">
        <v>59710</v>
      </c>
      <c r="M58" s="253">
        <v>60148</v>
      </c>
      <c r="N58" s="253">
        <v>60502</v>
      </c>
      <c r="O58" s="253">
        <v>60843</v>
      </c>
      <c r="P58" s="253">
        <v>61143</v>
      </c>
      <c r="Q58" s="253">
        <v>61462</v>
      </c>
      <c r="R58" s="253">
        <v>61752</v>
      </c>
      <c r="S58" s="253">
        <v>62031</v>
      </c>
      <c r="T58" s="253">
        <v>62298</v>
      </c>
      <c r="U58" s="253">
        <v>62545</v>
      </c>
      <c r="V58" s="253">
        <v>62797</v>
      </c>
      <c r="W58" s="253">
        <v>63024</v>
      </c>
    </row>
    <row r="59" spans="1:23" x14ac:dyDescent="0.2">
      <c r="A59" s="252" t="s">
        <v>289</v>
      </c>
      <c r="B59" t="s">
        <v>290</v>
      </c>
      <c r="C59" s="253">
        <v>7926</v>
      </c>
      <c r="D59" s="253">
        <v>8068</v>
      </c>
      <c r="E59" s="253">
        <v>8203</v>
      </c>
      <c r="F59" s="253">
        <v>8363</v>
      </c>
      <c r="G59" s="253">
        <v>8548</v>
      </c>
      <c r="H59" s="253">
        <v>8681</v>
      </c>
      <c r="I59" s="253">
        <v>8791</v>
      </c>
      <c r="J59" s="253">
        <v>8862</v>
      </c>
      <c r="K59" s="253">
        <v>8945</v>
      </c>
      <c r="L59" s="253">
        <v>9020</v>
      </c>
      <c r="M59" s="253">
        <v>9072</v>
      </c>
      <c r="N59" s="253">
        <v>9124</v>
      </c>
      <c r="O59" s="253">
        <v>9162</v>
      </c>
      <c r="P59" s="253">
        <v>9223</v>
      </c>
      <c r="Q59" s="253">
        <v>9257</v>
      </c>
      <c r="R59" s="253">
        <v>9286</v>
      </c>
      <c r="S59" s="253">
        <v>9345</v>
      </c>
      <c r="T59" s="253">
        <v>9370</v>
      </c>
      <c r="U59" s="253">
        <v>9424</v>
      </c>
      <c r="V59" s="253">
        <v>9440</v>
      </c>
      <c r="W59" s="253">
        <v>9473</v>
      </c>
    </row>
    <row r="60" spans="1:23" x14ac:dyDescent="0.2">
      <c r="A60" s="252" t="s">
        <v>243</v>
      </c>
      <c r="B60" t="s">
        <v>244</v>
      </c>
      <c r="C60" s="253">
        <v>5610</v>
      </c>
      <c r="D60" s="253">
        <v>5562</v>
      </c>
      <c r="E60" s="253">
        <v>5526</v>
      </c>
      <c r="F60" s="253">
        <v>5451</v>
      </c>
      <c r="G60" s="253">
        <v>5400</v>
      </c>
      <c r="H60" s="253">
        <v>5564</v>
      </c>
      <c r="I60" s="253">
        <v>5575</v>
      </c>
      <c r="J60" s="253">
        <v>5636</v>
      </c>
      <c r="K60" s="253">
        <v>5682</v>
      </c>
      <c r="L60" s="253">
        <v>5716</v>
      </c>
      <c r="M60" s="253">
        <v>5754</v>
      </c>
      <c r="N60" s="253">
        <v>5784</v>
      </c>
      <c r="O60" s="253">
        <v>5844</v>
      </c>
      <c r="P60" s="253">
        <v>5850</v>
      </c>
      <c r="Q60" s="253">
        <v>5887</v>
      </c>
      <c r="R60" s="253">
        <v>5927</v>
      </c>
      <c r="S60" s="253">
        <v>5945</v>
      </c>
      <c r="T60" s="253">
        <v>5969</v>
      </c>
      <c r="U60" s="253">
        <v>5993</v>
      </c>
      <c r="V60" s="253">
        <v>5999</v>
      </c>
      <c r="W60" s="253">
        <v>6046</v>
      </c>
    </row>
    <row r="61" spans="1:23" x14ac:dyDescent="0.2">
      <c r="A61" s="252" t="s">
        <v>337</v>
      </c>
      <c r="B61" t="s">
        <v>338</v>
      </c>
      <c r="C61" s="253">
        <v>5387</v>
      </c>
      <c r="D61" s="253">
        <v>5418</v>
      </c>
      <c r="E61" s="253">
        <v>5393</v>
      </c>
      <c r="F61" s="253">
        <v>5469</v>
      </c>
      <c r="G61" s="253">
        <v>5530</v>
      </c>
      <c r="H61" s="253">
        <v>5640</v>
      </c>
      <c r="I61" s="253">
        <v>5693</v>
      </c>
      <c r="J61" s="253">
        <v>5742</v>
      </c>
      <c r="K61" s="253">
        <v>5790</v>
      </c>
      <c r="L61" s="253">
        <v>5846</v>
      </c>
      <c r="M61" s="253">
        <v>5876</v>
      </c>
      <c r="N61" s="253">
        <v>5923</v>
      </c>
      <c r="O61" s="253">
        <v>5938</v>
      </c>
      <c r="P61" s="253">
        <v>5977</v>
      </c>
      <c r="Q61" s="253">
        <v>6006</v>
      </c>
      <c r="R61" s="253">
        <v>6026</v>
      </c>
      <c r="S61" s="253">
        <v>6057</v>
      </c>
      <c r="T61" s="253">
        <v>6099</v>
      </c>
      <c r="U61" s="253">
        <v>6112</v>
      </c>
      <c r="V61" s="253">
        <v>6147</v>
      </c>
      <c r="W61" s="253">
        <v>6160</v>
      </c>
    </row>
    <row r="62" spans="1:23" x14ac:dyDescent="0.2">
      <c r="A62" s="252" t="s">
        <v>115</v>
      </c>
      <c r="B62" t="s">
        <v>116</v>
      </c>
      <c r="C62" s="253">
        <v>261957</v>
      </c>
      <c r="D62" s="253">
        <v>266257</v>
      </c>
      <c r="E62" s="253">
        <v>271038</v>
      </c>
      <c r="F62" s="253">
        <v>276744</v>
      </c>
      <c r="G62" s="253">
        <v>283794</v>
      </c>
      <c r="H62" s="253">
        <v>287981</v>
      </c>
      <c r="I62" s="253">
        <v>291662</v>
      </c>
      <c r="J62" s="253">
        <v>294328</v>
      </c>
      <c r="K62" s="253">
        <v>296953</v>
      </c>
      <c r="L62" s="253">
        <v>299348</v>
      </c>
      <c r="M62" s="253">
        <v>301428</v>
      </c>
      <c r="N62" s="253">
        <v>303251</v>
      </c>
      <c r="O62" s="253">
        <v>304935</v>
      </c>
      <c r="P62" s="253">
        <v>306513</v>
      </c>
      <c r="Q62" s="253">
        <v>308030</v>
      </c>
      <c r="R62" s="253">
        <v>309480</v>
      </c>
      <c r="S62" s="253">
        <v>310892</v>
      </c>
      <c r="T62" s="253">
        <v>312201</v>
      </c>
      <c r="U62" s="253">
        <v>313478</v>
      </c>
      <c r="V62" s="253">
        <v>314667</v>
      </c>
      <c r="W62" s="253">
        <v>315760</v>
      </c>
    </row>
    <row r="63" spans="1:23" x14ac:dyDescent="0.2">
      <c r="A63" s="252" t="s">
        <v>202</v>
      </c>
      <c r="B63" t="s">
        <v>203</v>
      </c>
      <c r="C63" s="253">
        <v>26529</v>
      </c>
      <c r="D63" s="253">
        <v>26625</v>
      </c>
      <c r="E63" s="253">
        <v>26786</v>
      </c>
      <c r="F63" s="253">
        <v>27074</v>
      </c>
      <c r="G63" s="253">
        <v>27419</v>
      </c>
      <c r="H63" s="253">
        <v>27908</v>
      </c>
      <c r="I63" s="253">
        <v>28142</v>
      </c>
      <c r="J63" s="253">
        <v>28393</v>
      </c>
      <c r="K63" s="253">
        <v>28634</v>
      </c>
      <c r="L63" s="253">
        <v>28890</v>
      </c>
      <c r="M63" s="253">
        <v>29074</v>
      </c>
      <c r="N63" s="253">
        <v>29252</v>
      </c>
      <c r="O63" s="253">
        <v>29420</v>
      </c>
      <c r="P63" s="253">
        <v>29584</v>
      </c>
      <c r="Q63" s="253">
        <v>29711</v>
      </c>
      <c r="R63" s="253">
        <v>29865</v>
      </c>
      <c r="S63" s="253">
        <v>29991</v>
      </c>
      <c r="T63" s="253">
        <v>30145</v>
      </c>
      <c r="U63" s="253">
        <v>30249</v>
      </c>
      <c r="V63" s="253">
        <v>30372</v>
      </c>
      <c r="W63" s="253">
        <v>30494</v>
      </c>
    </row>
    <row r="64" spans="1:23" x14ac:dyDescent="0.2">
      <c r="A64" s="252" t="s">
        <v>339</v>
      </c>
      <c r="B64" t="s">
        <v>340</v>
      </c>
      <c r="C64" s="253">
        <v>14287</v>
      </c>
      <c r="D64" s="253">
        <v>14357</v>
      </c>
      <c r="E64" s="253">
        <v>14459</v>
      </c>
      <c r="F64" s="253">
        <v>14518</v>
      </c>
      <c r="G64" s="253">
        <v>14662</v>
      </c>
      <c r="H64" s="253">
        <v>14987</v>
      </c>
      <c r="I64" s="253">
        <v>15115</v>
      </c>
      <c r="J64" s="253">
        <v>15257</v>
      </c>
      <c r="K64" s="253">
        <v>15400</v>
      </c>
      <c r="L64" s="253">
        <v>15513</v>
      </c>
      <c r="M64" s="253">
        <v>15637</v>
      </c>
      <c r="N64" s="253">
        <v>15734</v>
      </c>
      <c r="O64" s="253">
        <v>15816</v>
      </c>
      <c r="P64" s="253">
        <v>15896</v>
      </c>
      <c r="Q64" s="253">
        <v>15964</v>
      </c>
      <c r="R64" s="253">
        <v>16050</v>
      </c>
      <c r="S64" s="253">
        <v>16123</v>
      </c>
      <c r="T64" s="253">
        <v>16197</v>
      </c>
      <c r="U64" s="253">
        <v>16262</v>
      </c>
      <c r="V64" s="253">
        <v>16319</v>
      </c>
      <c r="W64" s="253">
        <v>16396</v>
      </c>
    </row>
    <row r="65" spans="1:23" x14ac:dyDescent="0.2">
      <c r="A65" s="252" t="s">
        <v>341</v>
      </c>
      <c r="B65" t="s">
        <v>342</v>
      </c>
      <c r="C65" s="253">
        <v>13683</v>
      </c>
      <c r="D65" s="253">
        <v>13697</v>
      </c>
      <c r="E65" s="253">
        <v>13733</v>
      </c>
      <c r="F65" s="253">
        <v>13640</v>
      </c>
      <c r="G65" s="253">
        <v>13637</v>
      </c>
      <c r="H65" s="253">
        <v>14005</v>
      </c>
      <c r="I65" s="253">
        <v>14106</v>
      </c>
      <c r="J65" s="253">
        <v>14211</v>
      </c>
      <c r="K65" s="253">
        <v>14344</v>
      </c>
      <c r="L65" s="253">
        <v>14454</v>
      </c>
      <c r="M65" s="253">
        <v>14576</v>
      </c>
      <c r="N65" s="253">
        <v>14656</v>
      </c>
      <c r="O65" s="253">
        <v>14743</v>
      </c>
      <c r="P65" s="253">
        <v>14818</v>
      </c>
      <c r="Q65" s="253">
        <v>14899</v>
      </c>
      <c r="R65" s="253">
        <v>14950</v>
      </c>
      <c r="S65" s="253">
        <v>15052</v>
      </c>
      <c r="T65" s="253">
        <v>15088</v>
      </c>
      <c r="U65" s="253">
        <v>15179</v>
      </c>
      <c r="V65" s="253">
        <v>15220</v>
      </c>
      <c r="W65" s="253">
        <v>15271</v>
      </c>
    </row>
    <row r="66" spans="1:23" x14ac:dyDescent="0.2">
      <c r="A66" s="252" t="s">
        <v>291</v>
      </c>
      <c r="B66" t="s">
        <v>538</v>
      </c>
      <c r="C66" s="253">
        <v>61050</v>
      </c>
      <c r="D66" s="253">
        <v>62185</v>
      </c>
      <c r="E66" s="253">
        <v>63394</v>
      </c>
      <c r="F66" s="253">
        <v>64889</v>
      </c>
      <c r="G66" s="253">
        <v>66746</v>
      </c>
      <c r="H66" s="253">
        <v>67628</v>
      </c>
      <c r="I66" s="253">
        <v>68554</v>
      </c>
      <c r="J66" s="253">
        <v>69202</v>
      </c>
      <c r="K66" s="253">
        <v>69831</v>
      </c>
      <c r="L66" s="253">
        <v>70387</v>
      </c>
      <c r="M66" s="253">
        <v>70868</v>
      </c>
      <c r="N66" s="253">
        <v>71319</v>
      </c>
      <c r="O66" s="253">
        <v>71728</v>
      </c>
      <c r="P66" s="253">
        <v>72101</v>
      </c>
      <c r="Q66" s="253">
        <v>72467</v>
      </c>
      <c r="R66" s="253">
        <v>72828</v>
      </c>
      <c r="S66" s="253">
        <v>73137</v>
      </c>
      <c r="T66" s="253">
        <v>73476</v>
      </c>
      <c r="U66" s="253">
        <v>73755</v>
      </c>
      <c r="V66" s="253">
        <v>74064</v>
      </c>
      <c r="W66" s="253">
        <v>74322</v>
      </c>
    </row>
    <row r="67" spans="1:23" x14ac:dyDescent="0.2">
      <c r="A67" s="252" t="s">
        <v>118</v>
      </c>
      <c r="B67" t="s">
        <v>119</v>
      </c>
      <c r="C67" s="253">
        <v>67208</v>
      </c>
      <c r="D67" s="253">
        <v>68483</v>
      </c>
      <c r="E67" s="253">
        <v>69836</v>
      </c>
      <c r="F67" s="253">
        <v>71545</v>
      </c>
      <c r="G67" s="253">
        <v>73696</v>
      </c>
      <c r="H67" s="253">
        <v>74589</v>
      </c>
      <c r="I67" s="253">
        <v>75609</v>
      </c>
      <c r="J67" s="253">
        <v>76291</v>
      </c>
      <c r="K67" s="253">
        <v>76971</v>
      </c>
      <c r="L67" s="253">
        <v>77611</v>
      </c>
      <c r="M67" s="253">
        <v>78143</v>
      </c>
      <c r="N67" s="253">
        <v>78613</v>
      </c>
      <c r="O67" s="253">
        <v>79061</v>
      </c>
      <c r="P67" s="253">
        <v>79471</v>
      </c>
      <c r="Q67" s="253">
        <v>79856</v>
      </c>
      <c r="R67" s="253">
        <v>80232</v>
      </c>
      <c r="S67" s="253">
        <v>80618</v>
      </c>
      <c r="T67" s="253">
        <v>80955</v>
      </c>
      <c r="U67" s="253">
        <v>81293</v>
      </c>
      <c r="V67" s="253">
        <v>81617</v>
      </c>
      <c r="W67" s="253">
        <v>81910</v>
      </c>
    </row>
    <row r="68" spans="1:23" x14ac:dyDescent="0.2">
      <c r="A68" s="252" t="s">
        <v>343</v>
      </c>
      <c r="B68" t="s">
        <v>344</v>
      </c>
      <c r="C68" s="253">
        <v>8468</v>
      </c>
      <c r="D68" s="253">
        <v>8343</v>
      </c>
      <c r="E68" s="253">
        <v>8256</v>
      </c>
      <c r="F68" s="253">
        <v>8114</v>
      </c>
      <c r="G68" s="253">
        <v>8298</v>
      </c>
      <c r="H68" s="253">
        <v>8321</v>
      </c>
      <c r="I68" s="253">
        <v>8373</v>
      </c>
      <c r="J68" s="253">
        <v>8459</v>
      </c>
      <c r="K68" s="253">
        <v>8571</v>
      </c>
      <c r="L68" s="253">
        <v>8614</v>
      </c>
      <c r="M68" s="253">
        <v>8689</v>
      </c>
      <c r="N68" s="253">
        <v>8769</v>
      </c>
      <c r="O68" s="253">
        <v>8809</v>
      </c>
      <c r="P68" s="253">
        <v>8876</v>
      </c>
      <c r="Q68" s="253">
        <v>8940</v>
      </c>
      <c r="R68" s="253">
        <v>8983</v>
      </c>
      <c r="S68" s="253">
        <v>9022</v>
      </c>
      <c r="T68" s="253">
        <v>9091</v>
      </c>
      <c r="U68" s="253">
        <v>9130</v>
      </c>
      <c r="V68" s="253">
        <v>9163</v>
      </c>
      <c r="W68" s="253">
        <v>9211</v>
      </c>
    </row>
    <row r="69" spans="1:23" x14ac:dyDescent="0.2">
      <c r="A69" s="252" t="s">
        <v>293</v>
      </c>
      <c r="B69" t="s">
        <v>295</v>
      </c>
      <c r="C69" s="253">
        <v>20572</v>
      </c>
      <c r="D69" s="253">
        <v>20784</v>
      </c>
      <c r="E69" s="253">
        <v>21075</v>
      </c>
      <c r="F69" s="253">
        <v>21475</v>
      </c>
      <c r="G69" s="253">
        <v>21963</v>
      </c>
      <c r="H69" s="253">
        <v>22234</v>
      </c>
      <c r="I69" s="253">
        <v>22474</v>
      </c>
      <c r="J69" s="253">
        <v>22692</v>
      </c>
      <c r="K69" s="253">
        <v>22870</v>
      </c>
      <c r="L69" s="253">
        <v>23072</v>
      </c>
      <c r="M69" s="253">
        <v>23240</v>
      </c>
      <c r="N69" s="253">
        <v>23373</v>
      </c>
      <c r="O69" s="253">
        <v>23510</v>
      </c>
      <c r="P69" s="253">
        <v>23624</v>
      </c>
      <c r="Q69" s="253">
        <v>23732</v>
      </c>
      <c r="R69" s="253">
        <v>23851</v>
      </c>
      <c r="S69" s="253">
        <v>23964</v>
      </c>
      <c r="T69" s="253">
        <v>24053</v>
      </c>
      <c r="U69" s="253">
        <v>24159</v>
      </c>
      <c r="V69" s="253">
        <v>24239</v>
      </c>
      <c r="W69" s="253">
        <v>24328</v>
      </c>
    </row>
    <row r="70" spans="1:23" x14ac:dyDescent="0.2">
      <c r="A70" s="252" t="s">
        <v>245</v>
      </c>
      <c r="B70" t="s">
        <v>246</v>
      </c>
      <c r="C70" s="253">
        <v>10093</v>
      </c>
      <c r="D70" s="253">
        <v>10094</v>
      </c>
      <c r="E70" s="253">
        <v>10007</v>
      </c>
      <c r="F70" s="253">
        <v>10028</v>
      </c>
      <c r="G70" s="253">
        <v>10040</v>
      </c>
      <c r="H70" s="253">
        <v>10313</v>
      </c>
      <c r="I70" s="253">
        <v>10361</v>
      </c>
      <c r="J70" s="253">
        <v>10466</v>
      </c>
      <c r="K70" s="253">
        <v>10556</v>
      </c>
      <c r="L70" s="253">
        <v>10649</v>
      </c>
      <c r="M70" s="253">
        <v>10709</v>
      </c>
      <c r="N70" s="253">
        <v>10772</v>
      </c>
      <c r="O70" s="253">
        <v>10843</v>
      </c>
      <c r="P70" s="253">
        <v>10910</v>
      </c>
      <c r="Q70" s="253">
        <v>10960</v>
      </c>
      <c r="R70" s="253">
        <v>11008</v>
      </c>
      <c r="S70" s="253">
        <v>11059</v>
      </c>
      <c r="T70" s="253">
        <v>11111</v>
      </c>
      <c r="U70" s="253">
        <v>11160</v>
      </c>
      <c r="V70" s="253">
        <v>11204</v>
      </c>
      <c r="W70" s="253">
        <v>11244</v>
      </c>
    </row>
    <row r="71" spans="1:23" x14ac:dyDescent="0.2">
      <c r="A71" s="252" t="s">
        <v>147</v>
      </c>
      <c r="B71" t="s">
        <v>148</v>
      </c>
      <c r="C71" s="253">
        <v>8317</v>
      </c>
      <c r="D71" s="253">
        <v>8277</v>
      </c>
      <c r="E71" s="253">
        <v>8188</v>
      </c>
      <c r="F71" s="253">
        <v>8221</v>
      </c>
      <c r="G71" s="253">
        <v>8218</v>
      </c>
      <c r="H71" s="253">
        <v>8431</v>
      </c>
      <c r="I71" s="253">
        <v>8495</v>
      </c>
      <c r="J71" s="253">
        <v>8559</v>
      </c>
      <c r="K71" s="253">
        <v>8646</v>
      </c>
      <c r="L71" s="253">
        <v>8707</v>
      </c>
      <c r="M71" s="253">
        <v>8785</v>
      </c>
      <c r="N71" s="253">
        <v>8844</v>
      </c>
      <c r="O71" s="253">
        <v>8883</v>
      </c>
      <c r="P71" s="253">
        <v>8921</v>
      </c>
      <c r="Q71" s="253">
        <v>8965</v>
      </c>
      <c r="R71" s="253">
        <v>9026</v>
      </c>
      <c r="S71" s="253">
        <v>9054</v>
      </c>
      <c r="T71" s="253">
        <v>9114</v>
      </c>
      <c r="U71" s="253">
        <v>9135</v>
      </c>
      <c r="V71" s="253">
        <v>9171</v>
      </c>
      <c r="W71" s="253">
        <v>9210</v>
      </c>
    </row>
    <row r="72" spans="1:23" x14ac:dyDescent="0.2">
      <c r="A72" s="252" t="s">
        <v>296</v>
      </c>
      <c r="B72" t="s">
        <v>297</v>
      </c>
      <c r="C72" s="253">
        <v>61201</v>
      </c>
      <c r="D72" s="253">
        <v>62194</v>
      </c>
      <c r="E72" s="253">
        <v>63234</v>
      </c>
      <c r="F72" s="253">
        <v>64645</v>
      </c>
      <c r="G72" s="253">
        <v>66399</v>
      </c>
      <c r="H72" s="253">
        <v>67241</v>
      </c>
      <c r="I72" s="253">
        <v>68112</v>
      </c>
      <c r="J72" s="253">
        <v>68738</v>
      </c>
      <c r="K72" s="253">
        <v>69343</v>
      </c>
      <c r="L72" s="253">
        <v>69898</v>
      </c>
      <c r="M72" s="253">
        <v>70392</v>
      </c>
      <c r="N72" s="253">
        <v>70819</v>
      </c>
      <c r="O72" s="253">
        <v>71197</v>
      </c>
      <c r="P72" s="253">
        <v>71581</v>
      </c>
      <c r="Q72" s="253">
        <v>71942</v>
      </c>
      <c r="R72" s="253">
        <v>72274</v>
      </c>
      <c r="S72" s="253">
        <v>72610</v>
      </c>
      <c r="T72" s="253">
        <v>72909</v>
      </c>
      <c r="U72" s="253">
        <v>73209</v>
      </c>
      <c r="V72" s="253">
        <v>73512</v>
      </c>
      <c r="W72" s="253">
        <v>73758</v>
      </c>
    </row>
    <row r="73" spans="1:23" x14ac:dyDescent="0.2">
      <c r="A73" s="252" t="s">
        <v>345</v>
      </c>
      <c r="B73" t="s">
        <v>346</v>
      </c>
      <c r="C73" s="253">
        <v>6897</v>
      </c>
      <c r="D73" s="253">
        <v>6786</v>
      </c>
      <c r="E73" s="253">
        <v>6779</v>
      </c>
      <c r="F73" s="253">
        <v>6680</v>
      </c>
      <c r="G73" s="253">
        <v>6635</v>
      </c>
      <c r="H73" s="253">
        <v>6830</v>
      </c>
      <c r="I73" s="253">
        <v>6840</v>
      </c>
      <c r="J73" s="253">
        <v>6906</v>
      </c>
      <c r="K73" s="253">
        <v>6973</v>
      </c>
      <c r="L73" s="253">
        <v>7035</v>
      </c>
      <c r="M73" s="253">
        <v>7062</v>
      </c>
      <c r="N73" s="253">
        <v>7107</v>
      </c>
      <c r="O73" s="253">
        <v>7173</v>
      </c>
      <c r="P73" s="253">
        <v>7195</v>
      </c>
      <c r="Q73" s="253">
        <v>7234</v>
      </c>
      <c r="R73" s="253">
        <v>7255</v>
      </c>
      <c r="S73" s="253">
        <v>7307</v>
      </c>
      <c r="T73" s="253">
        <v>7333</v>
      </c>
      <c r="U73" s="253">
        <v>7358</v>
      </c>
      <c r="V73" s="253">
        <v>7381</v>
      </c>
      <c r="W73" s="253">
        <v>7413</v>
      </c>
    </row>
    <row r="74" spans="1:23" x14ac:dyDescent="0.2">
      <c r="A74" s="252" t="s">
        <v>377</v>
      </c>
      <c r="B74" t="s">
        <v>378</v>
      </c>
      <c r="C74" s="253">
        <v>4589</v>
      </c>
      <c r="D74" s="253">
        <v>4696</v>
      </c>
      <c r="E74" s="253">
        <v>4808</v>
      </c>
      <c r="F74" s="253">
        <v>4911</v>
      </c>
      <c r="G74" s="253">
        <v>5088</v>
      </c>
      <c r="H74" s="253">
        <v>5119</v>
      </c>
      <c r="I74" s="253">
        <v>5183</v>
      </c>
      <c r="J74" s="253">
        <v>5235</v>
      </c>
      <c r="K74" s="253">
        <v>5263</v>
      </c>
      <c r="L74" s="253">
        <v>5300</v>
      </c>
      <c r="M74" s="253">
        <v>5332</v>
      </c>
      <c r="N74" s="253">
        <v>5377</v>
      </c>
      <c r="O74" s="253">
        <v>5397</v>
      </c>
      <c r="P74" s="253">
        <v>5415</v>
      </c>
      <c r="Q74" s="253">
        <v>5435</v>
      </c>
      <c r="R74" s="253">
        <v>5480</v>
      </c>
      <c r="S74" s="253">
        <v>5482</v>
      </c>
      <c r="T74" s="253">
        <v>5500</v>
      </c>
      <c r="U74" s="253">
        <v>5534</v>
      </c>
      <c r="V74" s="253">
        <v>5546</v>
      </c>
      <c r="W74" s="253">
        <v>5558</v>
      </c>
    </row>
    <row r="75" spans="1:23" x14ac:dyDescent="0.2">
      <c r="A75" s="252" t="s">
        <v>379</v>
      </c>
      <c r="B75" t="s">
        <v>380</v>
      </c>
      <c r="C75" s="253">
        <v>13512</v>
      </c>
      <c r="D75" s="253">
        <v>13625</v>
      </c>
      <c r="E75" s="253">
        <v>13778</v>
      </c>
      <c r="F75" s="253">
        <v>13991</v>
      </c>
      <c r="G75" s="253">
        <v>14196</v>
      </c>
      <c r="H75" s="253">
        <v>14479</v>
      </c>
      <c r="I75" s="253">
        <v>14639</v>
      </c>
      <c r="J75" s="253">
        <v>14775</v>
      </c>
      <c r="K75" s="253">
        <v>14904</v>
      </c>
      <c r="L75" s="253">
        <v>15035</v>
      </c>
      <c r="M75" s="253">
        <v>15148</v>
      </c>
      <c r="N75" s="253">
        <v>15214</v>
      </c>
      <c r="O75" s="253">
        <v>15301</v>
      </c>
      <c r="P75" s="253">
        <v>15393</v>
      </c>
      <c r="Q75" s="253">
        <v>15464</v>
      </c>
      <c r="R75" s="253">
        <v>15520</v>
      </c>
      <c r="S75" s="253">
        <v>15601</v>
      </c>
      <c r="T75" s="253">
        <v>15672</v>
      </c>
      <c r="U75" s="253">
        <v>15730</v>
      </c>
      <c r="V75" s="253">
        <v>15793</v>
      </c>
      <c r="W75" s="253">
        <v>15836</v>
      </c>
    </row>
    <row r="76" spans="1:23" x14ac:dyDescent="0.2">
      <c r="A76" s="252" t="s">
        <v>298</v>
      </c>
      <c r="B76" t="s">
        <v>299</v>
      </c>
      <c r="C76" s="253">
        <v>10650</v>
      </c>
      <c r="D76" s="253">
        <v>10501</v>
      </c>
      <c r="E76" s="253">
        <v>10254</v>
      </c>
      <c r="F76" s="253">
        <v>10153</v>
      </c>
      <c r="G76" s="253">
        <v>9997</v>
      </c>
      <c r="H76" s="253">
        <v>10464</v>
      </c>
      <c r="I76" s="253">
        <v>10541</v>
      </c>
      <c r="J76" s="253">
        <v>10629</v>
      </c>
      <c r="K76" s="253">
        <v>10723</v>
      </c>
      <c r="L76" s="253">
        <v>10812</v>
      </c>
      <c r="M76" s="253">
        <v>10889</v>
      </c>
      <c r="N76" s="253">
        <v>10953</v>
      </c>
      <c r="O76" s="253">
        <v>11017</v>
      </c>
      <c r="P76" s="253">
        <v>11077</v>
      </c>
      <c r="Q76" s="253">
        <v>11128</v>
      </c>
      <c r="R76" s="253">
        <v>11199</v>
      </c>
      <c r="S76" s="253">
        <v>11232</v>
      </c>
      <c r="T76" s="253">
        <v>11290</v>
      </c>
      <c r="U76" s="253">
        <v>11339</v>
      </c>
      <c r="V76" s="253">
        <v>11380</v>
      </c>
      <c r="W76" s="253">
        <v>11441</v>
      </c>
    </row>
    <row r="77" spans="1:23" x14ac:dyDescent="0.2">
      <c r="A77" s="252" t="s">
        <v>381</v>
      </c>
      <c r="B77" t="s">
        <v>382</v>
      </c>
      <c r="C77" s="253">
        <v>40508</v>
      </c>
      <c r="D77" s="253">
        <v>41016</v>
      </c>
      <c r="E77" s="253">
        <v>41526</v>
      </c>
      <c r="F77" s="253">
        <v>42281</v>
      </c>
      <c r="G77" s="253">
        <v>43257</v>
      </c>
      <c r="H77" s="253">
        <v>43840</v>
      </c>
      <c r="I77" s="253">
        <v>44348</v>
      </c>
      <c r="J77" s="253">
        <v>44743</v>
      </c>
      <c r="K77" s="253">
        <v>45151</v>
      </c>
      <c r="L77" s="253">
        <v>45530</v>
      </c>
      <c r="M77" s="253">
        <v>45834</v>
      </c>
      <c r="N77" s="253">
        <v>46126</v>
      </c>
      <c r="O77" s="253">
        <v>46382</v>
      </c>
      <c r="P77" s="253">
        <v>46624</v>
      </c>
      <c r="Q77" s="253">
        <v>46869</v>
      </c>
      <c r="R77" s="253">
        <v>47091</v>
      </c>
      <c r="S77" s="253">
        <v>47315</v>
      </c>
      <c r="T77" s="253">
        <v>47515</v>
      </c>
      <c r="U77" s="253">
        <v>47698</v>
      </c>
      <c r="V77" s="253">
        <v>47901</v>
      </c>
      <c r="W77" s="253">
        <v>48065</v>
      </c>
    </row>
    <row r="78" spans="1:23" x14ac:dyDescent="0.2">
      <c r="A78" s="252" t="s">
        <v>135</v>
      </c>
      <c r="B78" t="s">
        <v>136</v>
      </c>
      <c r="C78" s="253">
        <v>24258</v>
      </c>
      <c r="D78" s="253">
        <v>24697</v>
      </c>
      <c r="E78" s="253">
        <v>25165</v>
      </c>
      <c r="F78" s="253">
        <v>25790</v>
      </c>
      <c r="G78" s="253">
        <v>26652</v>
      </c>
      <c r="H78" s="253">
        <v>26852</v>
      </c>
      <c r="I78" s="253">
        <v>27195</v>
      </c>
      <c r="J78" s="253">
        <v>27451</v>
      </c>
      <c r="K78" s="253">
        <v>27705</v>
      </c>
      <c r="L78" s="253">
        <v>27901</v>
      </c>
      <c r="M78" s="253">
        <v>28100</v>
      </c>
      <c r="N78" s="253">
        <v>28268</v>
      </c>
      <c r="O78" s="253">
        <v>28435</v>
      </c>
      <c r="P78" s="253">
        <v>28577</v>
      </c>
      <c r="Q78" s="253">
        <v>28696</v>
      </c>
      <c r="R78" s="253">
        <v>28834</v>
      </c>
      <c r="S78" s="253">
        <v>28960</v>
      </c>
      <c r="T78" s="253">
        <v>29087</v>
      </c>
      <c r="U78" s="253">
        <v>29215</v>
      </c>
      <c r="V78" s="253">
        <v>29292</v>
      </c>
      <c r="W78" s="253">
        <v>29411</v>
      </c>
    </row>
    <row r="79" spans="1:23" x14ac:dyDescent="0.2">
      <c r="A79" s="252" t="s">
        <v>247</v>
      </c>
      <c r="B79" t="s">
        <v>248</v>
      </c>
      <c r="C79" s="253">
        <v>3093</v>
      </c>
      <c r="D79" s="253">
        <v>3092</v>
      </c>
      <c r="E79" s="253">
        <v>3100</v>
      </c>
      <c r="F79" s="253">
        <v>3127</v>
      </c>
      <c r="G79" s="253">
        <v>3150</v>
      </c>
      <c r="H79" s="253">
        <v>3211</v>
      </c>
      <c r="I79" s="253">
        <v>3236</v>
      </c>
      <c r="J79" s="253">
        <v>3269</v>
      </c>
      <c r="K79" s="253">
        <v>3292</v>
      </c>
      <c r="L79" s="253">
        <v>3327</v>
      </c>
      <c r="M79" s="253">
        <v>3350</v>
      </c>
      <c r="N79" s="253">
        <v>3368</v>
      </c>
      <c r="O79" s="253">
        <v>3379</v>
      </c>
      <c r="P79" s="253">
        <v>3389</v>
      </c>
      <c r="Q79" s="253">
        <v>3423</v>
      </c>
      <c r="R79" s="253">
        <v>3436</v>
      </c>
      <c r="S79" s="253">
        <v>3447</v>
      </c>
      <c r="T79" s="253">
        <v>3459</v>
      </c>
      <c r="U79" s="253">
        <v>3474</v>
      </c>
      <c r="V79" s="253">
        <v>3503</v>
      </c>
      <c r="W79" s="253">
        <v>3499</v>
      </c>
    </row>
    <row r="80" spans="1:23" x14ac:dyDescent="0.2">
      <c r="A80" s="252" t="s">
        <v>278</v>
      </c>
      <c r="B80" t="s">
        <v>539</v>
      </c>
      <c r="C80" s="253">
        <v>20119</v>
      </c>
      <c r="D80" s="253">
        <v>20351</v>
      </c>
      <c r="E80" s="253">
        <v>20694</v>
      </c>
      <c r="F80" s="253">
        <v>21049</v>
      </c>
      <c r="G80" s="253">
        <v>21427</v>
      </c>
      <c r="H80" s="253">
        <v>21795</v>
      </c>
      <c r="I80" s="253">
        <v>22008</v>
      </c>
      <c r="J80" s="253">
        <v>22217</v>
      </c>
      <c r="K80" s="253">
        <v>22410</v>
      </c>
      <c r="L80" s="253">
        <v>22592</v>
      </c>
      <c r="M80" s="253">
        <v>22736</v>
      </c>
      <c r="N80" s="253">
        <v>22894</v>
      </c>
      <c r="O80" s="253">
        <v>23016</v>
      </c>
      <c r="P80" s="253">
        <v>23137</v>
      </c>
      <c r="Q80" s="253">
        <v>23243</v>
      </c>
      <c r="R80" s="253">
        <v>23354</v>
      </c>
      <c r="S80" s="253">
        <v>23470</v>
      </c>
      <c r="T80" s="253">
        <v>23565</v>
      </c>
      <c r="U80" s="253">
        <v>23654</v>
      </c>
      <c r="V80" s="253">
        <v>23735</v>
      </c>
      <c r="W80" s="253">
        <v>23848</v>
      </c>
    </row>
    <row r="81" spans="1:23" x14ac:dyDescent="0.2">
      <c r="A81" s="252" t="s">
        <v>249</v>
      </c>
      <c r="B81" t="s">
        <v>250</v>
      </c>
      <c r="C81" s="253">
        <v>7976</v>
      </c>
      <c r="D81" s="253">
        <v>7991</v>
      </c>
      <c r="E81" s="253">
        <v>8023</v>
      </c>
      <c r="F81" s="253">
        <v>8097</v>
      </c>
      <c r="G81" s="253">
        <v>8186</v>
      </c>
      <c r="H81" s="253">
        <v>8356</v>
      </c>
      <c r="I81" s="253">
        <v>8431</v>
      </c>
      <c r="J81" s="253">
        <v>8504</v>
      </c>
      <c r="K81" s="253">
        <v>8585</v>
      </c>
      <c r="L81" s="253">
        <v>8644</v>
      </c>
      <c r="M81" s="253">
        <v>8717</v>
      </c>
      <c r="N81" s="253">
        <v>8758</v>
      </c>
      <c r="O81" s="253">
        <v>8812</v>
      </c>
      <c r="P81" s="253">
        <v>8846</v>
      </c>
      <c r="Q81" s="253">
        <v>8903</v>
      </c>
      <c r="R81" s="253">
        <v>8932</v>
      </c>
      <c r="S81" s="253">
        <v>8991</v>
      </c>
      <c r="T81" s="253">
        <v>9031</v>
      </c>
      <c r="U81" s="253">
        <v>9063</v>
      </c>
      <c r="V81" s="253">
        <v>9103</v>
      </c>
      <c r="W81" s="253">
        <v>9117</v>
      </c>
    </row>
    <row r="82" spans="1:23" x14ac:dyDescent="0.2">
      <c r="A82" s="252" t="s">
        <v>347</v>
      </c>
      <c r="B82" t="s">
        <v>348</v>
      </c>
      <c r="C82" s="253">
        <v>8741</v>
      </c>
      <c r="D82" s="253">
        <v>8739</v>
      </c>
      <c r="E82" s="253">
        <v>8618</v>
      </c>
      <c r="F82" s="253">
        <v>8664</v>
      </c>
      <c r="G82" s="253">
        <v>8681</v>
      </c>
      <c r="H82" s="253">
        <v>8899</v>
      </c>
      <c r="I82" s="253">
        <v>8959</v>
      </c>
      <c r="J82" s="253">
        <v>9041</v>
      </c>
      <c r="K82" s="253">
        <v>9124</v>
      </c>
      <c r="L82" s="253">
        <v>9198</v>
      </c>
      <c r="M82" s="253">
        <v>9280</v>
      </c>
      <c r="N82" s="253">
        <v>9333</v>
      </c>
      <c r="O82" s="253">
        <v>9386</v>
      </c>
      <c r="P82" s="253">
        <v>9431</v>
      </c>
      <c r="Q82" s="253">
        <v>9471</v>
      </c>
      <c r="R82" s="253">
        <v>9524</v>
      </c>
      <c r="S82" s="253">
        <v>9571</v>
      </c>
      <c r="T82" s="253">
        <v>9607</v>
      </c>
      <c r="U82" s="253">
        <v>9663</v>
      </c>
      <c r="V82" s="253">
        <v>9681</v>
      </c>
      <c r="W82" s="253">
        <v>9734</v>
      </c>
    </row>
    <row r="83" spans="1:23" x14ac:dyDescent="0.2">
      <c r="A83" s="252" t="s">
        <v>149</v>
      </c>
      <c r="B83" t="s">
        <v>150</v>
      </c>
      <c r="C83" s="253">
        <v>37917</v>
      </c>
      <c r="D83" s="253">
        <v>38302</v>
      </c>
      <c r="E83" s="253">
        <v>38721</v>
      </c>
      <c r="F83" s="253">
        <v>39314</v>
      </c>
      <c r="G83" s="253">
        <v>40048</v>
      </c>
      <c r="H83" s="253">
        <v>40704</v>
      </c>
      <c r="I83" s="253">
        <v>41108</v>
      </c>
      <c r="J83" s="253">
        <v>41480</v>
      </c>
      <c r="K83" s="253">
        <v>41857</v>
      </c>
      <c r="L83" s="253">
        <v>42203</v>
      </c>
      <c r="M83" s="253">
        <v>42468</v>
      </c>
      <c r="N83" s="253">
        <v>42724</v>
      </c>
      <c r="O83" s="253">
        <v>42969</v>
      </c>
      <c r="P83" s="253">
        <v>43204</v>
      </c>
      <c r="Q83" s="253">
        <v>43408</v>
      </c>
      <c r="R83" s="253">
        <v>43613</v>
      </c>
      <c r="S83" s="253">
        <v>43797</v>
      </c>
      <c r="T83" s="253">
        <v>43991</v>
      </c>
      <c r="U83" s="253">
        <v>44164</v>
      </c>
      <c r="V83" s="253">
        <v>44333</v>
      </c>
      <c r="W83" s="253">
        <v>44499</v>
      </c>
    </row>
    <row r="84" spans="1:23" x14ac:dyDescent="0.2">
      <c r="A84" s="252" t="s">
        <v>151</v>
      </c>
      <c r="B84" t="s">
        <v>152</v>
      </c>
      <c r="C84" s="253">
        <v>14474</v>
      </c>
      <c r="D84" s="253">
        <v>14370</v>
      </c>
      <c r="E84" s="253">
        <v>14389</v>
      </c>
      <c r="F84" s="253">
        <v>14380</v>
      </c>
      <c r="G84" s="253">
        <v>14384</v>
      </c>
      <c r="H84" s="253">
        <v>14752</v>
      </c>
      <c r="I84" s="253">
        <v>14855</v>
      </c>
      <c r="J84" s="253">
        <v>14993</v>
      </c>
      <c r="K84" s="253">
        <v>15124</v>
      </c>
      <c r="L84" s="253">
        <v>15232</v>
      </c>
      <c r="M84" s="253">
        <v>15350</v>
      </c>
      <c r="N84" s="253">
        <v>15451</v>
      </c>
      <c r="O84" s="253">
        <v>15528</v>
      </c>
      <c r="P84" s="253">
        <v>15617</v>
      </c>
      <c r="Q84" s="253">
        <v>15701</v>
      </c>
      <c r="R84" s="253">
        <v>15768</v>
      </c>
      <c r="S84" s="253">
        <v>15845</v>
      </c>
      <c r="T84" s="253">
        <v>15919</v>
      </c>
      <c r="U84" s="253">
        <v>15983</v>
      </c>
      <c r="V84" s="253">
        <v>16047</v>
      </c>
      <c r="W84" s="253">
        <v>16101</v>
      </c>
    </row>
    <row r="85" spans="1:23" x14ac:dyDescent="0.2">
      <c r="A85" s="252" t="s">
        <v>153</v>
      </c>
      <c r="B85" t="s">
        <v>154</v>
      </c>
      <c r="C85" s="253">
        <v>17005</v>
      </c>
      <c r="D85" s="253">
        <v>17294</v>
      </c>
      <c r="E85" s="253">
        <v>17669</v>
      </c>
      <c r="F85" s="253">
        <v>18055</v>
      </c>
      <c r="G85" s="253">
        <v>18550</v>
      </c>
      <c r="H85" s="253">
        <v>18803</v>
      </c>
      <c r="I85" s="253">
        <v>19045</v>
      </c>
      <c r="J85" s="253">
        <v>19222</v>
      </c>
      <c r="K85" s="253">
        <v>19387</v>
      </c>
      <c r="L85" s="253">
        <v>19554</v>
      </c>
      <c r="M85" s="253">
        <v>19688</v>
      </c>
      <c r="N85" s="253">
        <v>19803</v>
      </c>
      <c r="O85" s="253">
        <v>19912</v>
      </c>
      <c r="P85" s="253">
        <v>20008</v>
      </c>
      <c r="Q85" s="253">
        <v>20091</v>
      </c>
      <c r="R85" s="253">
        <v>20206</v>
      </c>
      <c r="S85" s="253">
        <v>20287</v>
      </c>
      <c r="T85" s="253">
        <v>20358</v>
      </c>
      <c r="U85" s="253">
        <v>20442</v>
      </c>
      <c r="V85" s="253">
        <v>20536</v>
      </c>
      <c r="W85" s="253">
        <v>20592</v>
      </c>
    </row>
    <row r="86" spans="1:23" x14ac:dyDescent="0.2">
      <c r="A86" s="252" t="s">
        <v>166</v>
      </c>
      <c r="B86" t="s">
        <v>168</v>
      </c>
      <c r="C86" s="253">
        <v>27214</v>
      </c>
      <c r="D86" s="253">
        <v>27530</v>
      </c>
      <c r="E86" s="253">
        <v>27869</v>
      </c>
      <c r="F86" s="253">
        <v>28415</v>
      </c>
      <c r="G86" s="253">
        <v>29061</v>
      </c>
      <c r="H86" s="253">
        <v>29429</v>
      </c>
      <c r="I86" s="253">
        <v>29747</v>
      </c>
      <c r="J86" s="253">
        <v>30001</v>
      </c>
      <c r="K86" s="253">
        <v>30277</v>
      </c>
      <c r="L86" s="253">
        <v>30501</v>
      </c>
      <c r="M86" s="253">
        <v>30723</v>
      </c>
      <c r="N86" s="253">
        <v>30916</v>
      </c>
      <c r="O86" s="253">
        <v>31082</v>
      </c>
      <c r="P86" s="253">
        <v>31244</v>
      </c>
      <c r="Q86" s="253">
        <v>31404</v>
      </c>
      <c r="R86" s="253">
        <v>31539</v>
      </c>
      <c r="S86" s="253">
        <v>31681</v>
      </c>
      <c r="T86" s="253">
        <v>31834</v>
      </c>
      <c r="U86" s="253">
        <v>31954</v>
      </c>
      <c r="V86" s="253">
        <v>32079</v>
      </c>
      <c r="W86" s="253">
        <v>32180</v>
      </c>
    </row>
    <row r="87" spans="1:23" x14ac:dyDescent="0.2">
      <c r="A87" s="252" t="s">
        <v>280</v>
      </c>
      <c r="B87" t="s">
        <v>540</v>
      </c>
      <c r="C87" s="253">
        <v>22178</v>
      </c>
      <c r="D87" s="253">
        <v>22486</v>
      </c>
      <c r="E87" s="253">
        <v>23017</v>
      </c>
      <c r="F87" s="253">
        <v>23514</v>
      </c>
      <c r="G87" s="253">
        <v>24185</v>
      </c>
      <c r="H87" s="253">
        <v>24466</v>
      </c>
      <c r="I87" s="253">
        <v>24776</v>
      </c>
      <c r="J87" s="253">
        <v>25017</v>
      </c>
      <c r="K87" s="253">
        <v>25227</v>
      </c>
      <c r="L87" s="253">
        <v>25431</v>
      </c>
      <c r="M87" s="253">
        <v>25589</v>
      </c>
      <c r="N87" s="253">
        <v>25743</v>
      </c>
      <c r="O87" s="253">
        <v>25892</v>
      </c>
      <c r="P87" s="253">
        <v>26023</v>
      </c>
      <c r="Q87" s="253">
        <v>26155</v>
      </c>
      <c r="R87" s="253">
        <v>26278</v>
      </c>
      <c r="S87" s="253">
        <v>26408</v>
      </c>
      <c r="T87" s="253">
        <v>26500</v>
      </c>
      <c r="U87" s="253">
        <v>26594</v>
      </c>
      <c r="V87" s="253">
        <v>26703</v>
      </c>
      <c r="W87" s="253">
        <v>26817</v>
      </c>
    </row>
    <row r="88" spans="1:23" x14ac:dyDescent="0.2">
      <c r="A88" s="252" t="s">
        <v>300</v>
      </c>
      <c r="B88" t="s">
        <v>301</v>
      </c>
      <c r="C88" s="253">
        <v>127391</v>
      </c>
      <c r="D88" s="253">
        <v>129753</v>
      </c>
      <c r="E88" s="253">
        <v>132301</v>
      </c>
      <c r="F88" s="253">
        <v>135465</v>
      </c>
      <c r="G88" s="253">
        <v>139553</v>
      </c>
      <c r="H88" s="253">
        <v>141173</v>
      </c>
      <c r="I88" s="253">
        <v>143102</v>
      </c>
      <c r="J88" s="253">
        <v>144418</v>
      </c>
      <c r="K88" s="253">
        <v>145704</v>
      </c>
      <c r="L88" s="253">
        <v>146880</v>
      </c>
      <c r="M88" s="253">
        <v>147907</v>
      </c>
      <c r="N88" s="253">
        <v>148832</v>
      </c>
      <c r="O88" s="253">
        <v>149675</v>
      </c>
      <c r="P88" s="253">
        <v>150430</v>
      </c>
      <c r="Q88" s="253">
        <v>151186</v>
      </c>
      <c r="R88" s="253">
        <v>151913</v>
      </c>
      <c r="S88" s="253">
        <v>152599</v>
      </c>
      <c r="T88" s="253">
        <v>153264</v>
      </c>
      <c r="U88" s="253">
        <v>153909</v>
      </c>
      <c r="V88" s="253">
        <v>154492</v>
      </c>
      <c r="W88" s="253">
        <v>155044</v>
      </c>
    </row>
    <row r="89" spans="1:23" x14ac:dyDescent="0.2">
      <c r="A89" s="252" t="s">
        <v>251</v>
      </c>
      <c r="B89" t="s">
        <v>252</v>
      </c>
      <c r="C89" s="253">
        <v>8837</v>
      </c>
      <c r="D89" s="253">
        <v>8881</v>
      </c>
      <c r="E89" s="253">
        <v>8941</v>
      </c>
      <c r="F89" s="253">
        <v>9032</v>
      </c>
      <c r="G89" s="253">
        <v>9155</v>
      </c>
      <c r="H89" s="253">
        <v>9311</v>
      </c>
      <c r="I89" s="253">
        <v>9409</v>
      </c>
      <c r="J89" s="253">
        <v>9491</v>
      </c>
      <c r="K89" s="253">
        <v>9592</v>
      </c>
      <c r="L89" s="253">
        <v>9668</v>
      </c>
      <c r="M89" s="253">
        <v>9731</v>
      </c>
      <c r="N89" s="253">
        <v>9774</v>
      </c>
      <c r="O89" s="253">
        <v>9822</v>
      </c>
      <c r="P89" s="253">
        <v>9892</v>
      </c>
      <c r="Q89" s="253">
        <v>9933</v>
      </c>
      <c r="R89" s="253">
        <v>9992</v>
      </c>
      <c r="S89" s="253">
        <v>10037</v>
      </c>
      <c r="T89" s="253">
        <v>10087</v>
      </c>
      <c r="U89" s="253">
        <v>10121</v>
      </c>
      <c r="V89" s="253">
        <v>10165</v>
      </c>
      <c r="W89" s="253">
        <v>10189</v>
      </c>
    </row>
    <row r="90" spans="1:23" x14ac:dyDescent="0.2">
      <c r="A90" s="252" t="s">
        <v>120</v>
      </c>
      <c r="B90" t="s">
        <v>121</v>
      </c>
      <c r="C90" s="253">
        <v>76089</v>
      </c>
      <c r="D90" s="253">
        <v>77966</v>
      </c>
      <c r="E90" s="253">
        <v>79983</v>
      </c>
      <c r="F90" s="253">
        <v>82375</v>
      </c>
      <c r="G90" s="253">
        <v>85484</v>
      </c>
      <c r="H90" s="253">
        <v>86154</v>
      </c>
      <c r="I90" s="253">
        <v>87446</v>
      </c>
      <c r="J90" s="253">
        <v>88227</v>
      </c>
      <c r="K90" s="253">
        <v>88966</v>
      </c>
      <c r="L90" s="253">
        <v>89647</v>
      </c>
      <c r="M90" s="253">
        <v>90253</v>
      </c>
      <c r="N90" s="253">
        <v>90793</v>
      </c>
      <c r="O90" s="253">
        <v>91249</v>
      </c>
      <c r="P90" s="253">
        <v>91692</v>
      </c>
      <c r="Q90" s="253">
        <v>92099</v>
      </c>
      <c r="R90" s="253">
        <v>92507</v>
      </c>
      <c r="S90" s="253">
        <v>92899</v>
      </c>
      <c r="T90" s="253">
        <v>93229</v>
      </c>
      <c r="U90" s="253">
        <v>93593</v>
      </c>
      <c r="V90" s="253">
        <v>93937</v>
      </c>
      <c r="W90" s="253">
        <v>94223</v>
      </c>
    </row>
    <row r="91" spans="1:23" x14ac:dyDescent="0.2">
      <c r="A91" s="252" t="s">
        <v>349</v>
      </c>
      <c r="B91" t="s">
        <v>350</v>
      </c>
      <c r="C91" s="253">
        <v>18427</v>
      </c>
      <c r="D91" s="253">
        <v>18341</v>
      </c>
      <c r="E91" s="253">
        <v>18241</v>
      </c>
      <c r="F91" s="253">
        <v>18258</v>
      </c>
      <c r="G91" s="253">
        <v>18218</v>
      </c>
      <c r="H91" s="253">
        <v>18706</v>
      </c>
      <c r="I91" s="253">
        <v>18789</v>
      </c>
      <c r="J91" s="253">
        <v>18981</v>
      </c>
      <c r="K91" s="253">
        <v>19153</v>
      </c>
      <c r="L91" s="253">
        <v>19314</v>
      </c>
      <c r="M91" s="253">
        <v>19448</v>
      </c>
      <c r="N91" s="253">
        <v>19553</v>
      </c>
      <c r="O91" s="253">
        <v>19672</v>
      </c>
      <c r="P91" s="253">
        <v>19758</v>
      </c>
      <c r="Q91" s="253">
        <v>19872</v>
      </c>
      <c r="R91" s="253">
        <v>19964</v>
      </c>
      <c r="S91" s="253">
        <v>20059</v>
      </c>
      <c r="T91" s="253">
        <v>20159</v>
      </c>
      <c r="U91" s="253">
        <v>20233</v>
      </c>
      <c r="V91" s="253">
        <v>20295</v>
      </c>
      <c r="W91" s="253">
        <v>20388</v>
      </c>
    </row>
    <row r="92" spans="1:23" x14ac:dyDescent="0.2">
      <c r="A92" s="252" t="s">
        <v>204</v>
      </c>
      <c r="B92" t="s">
        <v>541</v>
      </c>
      <c r="C92" s="253">
        <v>7280</v>
      </c>
      <c r="D92" s="253">
        <v>7270</v>
      </c>
      <c r="E92" s="253">
        <v>7243</v>
      </c>
      <c r="F92" s="253">
        <v>7235</v>
      </c>
      <c r="G92" s="253">
        <v>7240</v>
      </c>
      <c r="H92" s="253">
        <v>7411</v>
      </c>
      <c r="I92" s="253">
        <v>7478</v>
      </c>
      <c r="J92" s="253">
        <v>7531</v>
      </c>
      <c r="K92" s="253">
        <v>7598</v>
      </c>
      <c r="L92" s="253">
        <v>7649</v>
      </c>
      <c r="M92" s="253">
        <v>7697</v>
      </c>
      <c r="N92" s="253">
        <v>7760</v>
      </c>
      <c r="O92" s="253">
        <v>7799</v>
      </c>
      <c r="P92" s="253">
        <v>7854</v>
      </c>
      <c r="Q92" s="253">
        <v>7884</v>
      </c>
      <c r="R92" s="253">
        <v>7933</v>
      </c>
      <c r="S92" s="253">
        <v>7958</v>
      </c>
      <c r="T92" s="253">
        <v>8014</v>
      </c>
      <c r="U92" s="253">
        <v>8033</v>
      </c>
      <c r="V92" s="253">
        <v>8075</v>
      </c>
      <c r="W92" s="253">
        <v>8098</v>
      </c>
    </row>
    <row r="93" spans="1:23" x14ac:dyDescent="0.2">
      <c r="A93" s="252" t="s">
        <v>302</v>
      </c>
      <c r="B93" t="s">
        <v>303</v>
      </c>
      <c r="C93" s="253">
        <v>17016</v>
      </c>
      <c r="D93" s="253">
        <v>16739</v>
      </c>
      <c r="E93" s="253">
        <v>16496</v>
      </c>
      <c r="F93" s="253">
        <v>16247</v>
      </c>
      <c r="G93" s="253">
        <v>15940</v>
      </c>
      <c r="H93" s="253">
        <v>16527</v>
      </c>
      <c r="I93" s="253">
        <v>16538</v>
      </c>
      <c r="J93" s="253">
        <v>16687</v>
      </c>
      <c r="K93" s="253">
        <v>16838</v>
      </c>
      <c r="L93" s="253">
        <v>16984</v>
      </c>
      <c r="M93" s="253">
        <v>17103</v>
      </c>
      <c r="N93" s="253">
        <v>17206</v>
      </c>
      <c r="O93" s="253">
        <v>17292</v>
      </c>
      <c r="P93" s="253">
        <v>17388</v>
      </c>
      <c r="Q93" s="253">
        <v>17472</v>
      </c>
      <c r="R93" s="253">
        <v>17539</v>
      </c>
      <c r="S93" s="253">
        <v>17631</v>
      </c>
      <c r="T93" s="253">
        <v>17699</v>
      </c>
      <c r="U93" s="253">
        <v>17776</v>
      </c>
      <c r="V93" s="253">
        <v>17862</v>
      </c>
      <c r="W93" s="253">
        <v>17906</v>
      </c>
    </row>
    <row r="94" spans="1:23" x14ac:dyDescent="0.2">
      <c r="A94" s="252" t="s">
        <v>304</v>
      </c>
      <c r="B94" t="s">
        <v>305</v>
      </c>
      <c r="C94" s="253">
        <v>5672</v>
      </c>
      <c r="D94" s="253">
        <v>5649</v>
      </c>
      <c r="E94" s="253">
        <v>5602</v>
      </c>
      <c r="F94" s="253">
        <v>5648</v>
      </c>
      <c r="G94" s="253">
        <v>5776</v>
      </c>
      <c r="H94" s="253">
        <v>5805</v>
      </c>
      <c r="I94" s="253">
        <v>5839</v>
      </c>
      <c r="J94" s="253">
        <v>5901</v>
      </c>
      <c r="K94" s="253">
        <v>5945</v>
      </c>
      <c r="L94" s="253">
        <v>5996</v>
      </c>
      <c r="M94" s="253">
        <v>6048</v>
      </c>
      <c r="N94" s="253">
        <v>6077</v>
      </c>
      <c r="O94" s="253">
        <v>6121</v>
      </c>
      <c r="P94" s="253">
        <v>6144</v>
      </c>
      <c r="Q94" s="253">
        <v>6189</v>
      </c>
      <c r="R94" s="253">
        <v>6220</v>
      </c>
      <c r="S94" s="253">
        <v>6239</v>
      </c>
      <c r="T94" s="253">
        <v>6269</v>
      </c>
      <c r="U94" s="253">
        <v>6312</v>
      </c>
      <c r="V94" s="253">
        <v>6315</v>
      </c>
      <c r="W94" s="253">
        <v>6361</v>
      </c>
    </row>
    <row r="95" spans="1:23" x14ac:dyDescent="0.2">
      <c r="A95" s="252" t="s">
        <v>253</v>
      </c>
      <c r="B95" t="s">
        <v>254</v>
      </c>
      <c r="C95" s="253">
        <v>14800</v>
      </c>
      <c r="D95" s="253">
        <v>14912</v>
      </c>
      <c r="E95" s="253">
        <v>15123</v>
      </c>
      <c r="F95" s="253">
        <v>15361</v>
      </c>
      <c r="G95" s="253">
        <v>15710</v>
      </c>
      <c r="H95" s="253">
        <v>15905</v>
      </c>
      <c r="I95" s="253">
        <v>16081</v>
      </c>
      <c r="J95" s="253">
        <v>16220</v>
      </c>
      <c r="K95" s="253">
        <v>16368</v>
      </c>
      <c r="L95" s="253">
        <v>16499</v>
      </c>
      <c r="M95" s="253">
        <v>16609</v>
      </c>
      <c r="N95" s="253">
        <v>16711</v>
      </c>
      <c r="O95" s="253">
        <v>16811</v>
      </c>
      <c r="P95" s="253">
        <v>16902</v>
      </c>
      <c r="Q95" s="253">
        <v>16968</v>
      </c>
      <c r="R95" s="253">
        <v>17053</v>
      </c>
      <c r="S95" s="253">
        <v>17138</v>
      </c>
      <c r="T95" s="253">
        <v>17207</v>
      </c>
      <c r="U95" s="253">
        <v>17276</v>
      </c>
      <c r="V95" s="253">
        <v>17334</v>
      </c>
      <c r="W95" s="253">
        <v>17391</v>
      </c>
    </row>
    <row r="96" spans="1:23" x14ac:dyDescent="0.2">
      <c r="A96" s="252" t="s">
        <v>206</v>
      </c>
      <c r="B96" t="s">
        <v>542</v>
      </c>
      <c r="C96" s="253">
        <v>3591</v>
      </c>
      <c r="D96" s="253">
        <v>3576</v>
      </c>
      <c r="E96" s="253">
        <v>3581</v>
      </c>
      <c r="F96" s="253">
        <v>3646</v>
      </c>
      <c r="G96" s="253">
        <v>3706</v>
      </c>
      <c r="H96" s="253">
        <v>3776</v>
      </c>
      <c r="I96" s="253">
        <v>3796</v>
      </c>
      <c r="J96" s="253">
        <v>3851</v>
      </c>
      <c r="K96" s="253">
        <v>3867</v>
      </c>
      <c r="L96" s="253">
        <v>3920</v>
      </c>
      <c r="M96" s="253">
        <v>3941</v>
      </c>
      <c r="N96" s="253">
        <v>3952</v>
      </c>
      <c r="O96" s="253">
        <v>3981</v>
      </c>
      <c r="P96" s="253">
        <v>3993</v>
      </c>
      <c r="Q96" s="253">
        <v>4022</v>
      </c>
      <c r="R96" s="253">
        <v>4038</v>
      </c>
      <c r="S96" s="253">
        <v>4046</v>
      </c>
      <c r="T96" s="253">
        <v>4089</v>
      </c>
      <c r="U96" s="253">
        <v>4083</v>
      </c>
      <c r="V96" s="253">
        <v>4103</v>
      </c>
      <c r="W96" s="253">
        <v>4113</v>
      </c>
    </row>
    <row r="97" spans="1:23" x14ac:dyDescent="0.2">
      <c r="A97" s="252" t="s">
        <v>383</v>
      </c>
      <c r="B97" t="s">
        <v>384</v>
      </c>
      <c r="C97" s="253">
        <v>19025</v>
      </c>
      <c r="D97" s="253">
        <v>19332</v>
      </c>
      <c r="E97" s="253">
        <v>19687</v>
      </c>
      <c r="F97" s="253">
        <v>20093</v>
      </c>
      <c r="G97" s="253">
        <v>20549</v>
      </c>
      <c r="H97" s="253">
        <v>20897</v>
      </c>
      <c r="I97" s="253">
        <v>21169</v>
      </c>
      <c r="J97" s="253">
        <v>21338</v>
      </c>
      <c r="K97" s="253">
        <v>21540</v>
      </c>
      <c r="L97" s="253">
        <v>21707</v>
      </c>
      <c r="M97" s="253">
        <v>21853</v>
      </c>
      <c r="N97" s="253">
        <v>21985</v>
      </c>
      <c r="O97" s="253">
        <v>22112</v>
      </c>
      <c r="P97" s="253">
        <v>22214</v>
      </c>
      <c r="Q97" s="253">
        <v>22325</v>
      </c>
      <c r="R97" s="253">
        <v>22434</v>
      </c>
      <c r="S97" s="253">
        <v>22541</v>
      </c>
      <c r="T97" s="253">
        <v>22610</v>
      </c>
      <c r="U97" s="253">
        <v>22719</v>
      </c>
      <c r="V97" s="253">
        <v>22795</v>
      </c>
      <c r="W97" s="253">
        <v>22892</v>
      </c>
    </row>
    <row r="98" spans="1:23" x14ac:dyDescent="0.2">
      <c r="A98" s="252" t="s">
        <v>306</v>
      </c>
      <c r="B98" t="s">
        <v>307</v>
      </c>
      <c r="C98" s="253">
        <v>13022</v>
      </c>
      <c r="D98" s="253">
        <v>12993</v>
      </c>
      <c r="E98" s="253">
        <v>13005</v>
      </c>
      <c r="F98" s="253">
        <v>12995</v>
      </c>
      <c r="G98" s="253">
        <v>13035</v>
      </c>
      <c r="H98" s="253">
        <v>13350</v>
      </c>
      <c r="I98" s="253">
        <v>13434</v>
      </c>
      <c r="J98" s="253">
        <v>13564</v>
      </c>
      <c r="K98" s="253">
        <v>13690</v>
      </c>
      <c r="L98" s="253">
        <v>13791</v>
      </c>
      <c r="M98" s="253">
        <v>13893</v>
      </c>
      <c r="N98" s="253">
        <v>13988</v>
      </c>
      <c r="O98" s="253">
        <v>14053</v>
      </c>
      <c r="P98" s="253">
        <v>14147</v>
      </c>
      <c r="Q98" s="253">
        <v>14216</v>
      </c>
      <c r="R98" s="253">
        <v>14274</v>
      </c>
      <c r="S98" s="253">
        <v>14346</v>
      </c>
      <c r="T98" s="253">
        <v>14409</v>
      </c>
      <c r="U98" s="253">
        <v>14479</v>
      </c>
      <c r="V98" s="253">
        <v>14535</v>
      </c>
      <c r="W98" s="253">
        <v>14580</v>
      </c>
    </row>
    <row r="99" spans="1:23" x14ac:dyDescent="0.2">
      <c r="A99" s="252" t="s">
        <v>208</v>
      </c>
      <c r="B99" t="s">
        <v>543</v>
      </c>
      <c r="C99" s="253">
        <v>20970</v>
      </c>
      <c r="D99" s="253">
        <v>21226</v>
      </c>
      <c r="E99" s="253">
        <v>21564</v>
      </c>
      <c r="F99" s="253">
        <v>21949</v>
      </c>
      <c r="G99" s="253">
        <v>22447</v>
      </c>
      <c r="H99" s="253">
        <v>22737</v>
      </c>
      <c r="I99" s="253">
        <v>22983</v>
      </c>
      <c r="J99" s="253">
        <v>23193</v>
      </c>
      <c r="K99" s="253">
        <v>23409</v>
      </c>
      <c r="L99" s="253">
        <v>23573</v>
      </c>
      <c r="M99" s="253">
        <v>23751</v>
      </c>
      <c r="N99" s="253">
        <v>23885</v>
      </c>
      <c r="O99" s="253">
        <v>24030</v>
      </c>
      <c r="P99" s="253">
        <v>24136</v>
      </c>
      <c r="Q99" s="253">
        <v>24251</v>
      </c>
      <c r="R99" s="253">
        <v>24371</v>
      </c>
      <c r="S99" s="253">
        <v>24481</v>
      </c>
      <c r="T99" s="253">
        <v>24576</v>
      </c>
      <c r="U99" s="253">
        <v>24665</v>
      </c>
      <c r="V99" s="253">
        <v>24760</v>
      </c>
      <c r="W99" s="253">
        <v>24859</v>
      </c>
    </row>
    <row r="100" spans="1:23" x14ac:dyDescent="0.2">
      <c r="A100" s="252" t="s">
        <v>385</v>
      </c>
      <c r="B100" t="s">
        <v>386</v>
      </c>
      <c r="C100" s="253">
        <v>29792</v>
      </c>
      <c r="D100" s="253">
        <v>30106</v>
      </c>
      <c r="E100" s="253">
        <v>30431</v>
      </c>
      <c r="F100" s="253">
        <v>30932</v>
      </c>
      <c r="G100" s="253">
        <v>31571</v>
      </c>
      <c r="H100" s="253">
        <v>32003</v>
      </c>
      <c r="I100" s="253">
        <v>32322</v>
      </c>
      <c r="J100" s="253">
        <v>32615</v>
      </c>
      <c r="K100" s="253">
        <v>32895</v>
      </c>
      <c r="L100" s="253">
        <v>33180</v>
      </c>
      <c r="M100" s="253">
        <v>33393</v>
      </c>
      <c r="N100" s="253">
        <v>33603</v>
      </c>
      <c r="O100" s="253">
        <v>33785</v>
      </c>
      <c r="P100" s="253">
        <v>33962</v>
      </c>
      <c r="Q100" s="253">
        <v>34136</v>
      </c>
      <c r="R100" s="253">
        <v>34298</v>
      </c>
      <c r="S100" s="253">
        <v>34441</v>
      </c>
      <c r="T100" s="253">
        <v>34605</v>
      </c>
      <c r="U100" s="253">
        <v>34744</v>
      </c>
      <c r="V100" s="253">
        <v>34876</v>
      </c>
      <c r="W100" s="253">
        <v>34985</v>
      </c>
    </row>
    <row r="101" spans="1:23" x14ac:dyDescent="0.2">
      <c r="A101" s="252" t="s">
        <v>308</v>
      </c>
      <c r="B101" t="s">
        <v>309</v>
      </c>
      <c r="C101" s="253">
        <v>15756</v>
      </c>
      <c r="D101" s="253">
        <v>15721</v>
      </c>
      <c r="E101" s="253">
        <v>15747</v>
      </c>
      <c r="F101" s="253">
        <v>15698</v>
      </c>
      <c r="G101" s="253">
        <v>15632</v>
      </c>
      <c r="H101" s="253">
        <v>16114</v>
      </c>
      <c r="I101" s="253">
        <v>16199</v>
      </c>
      <c r="J101" s="253">
        <v>16352</v>
      </c>
      <c r="K101" s="253">
        <v>16489</v>
      </c>
      <c r="L101" s="253">
        <v>16617</v>
      </c>
      <c r="M101" s="253">
        <v>16753</v>
      </c>
      <c r="N101" s="253">
        <v>16850</v>
      </c>
      <c r="O101" s="253">
        <v>16952</v>
      </c>
      <c r="P101" s="253">
        <v>17040</v>
      </c>
      <c r="Q101" s="253">
        <v>17109</v>
      </c>
      <c r="R101" s="253">
        <v>17188</v>
      </c>
      <c r="S101" s="253">
        <v>17289</v>
      </c>
      <c r="T101" s="253">
        <v>17351</v>
      </c>
      <c r="U101" s="253">
        <v>17420</v>
      </c>
      <c r="V101" s="253">
        <v>17494</v>
      </c>
      <c r="W101" s="253">
        <v>17562</v>
      </c>
    </row>
    <row r="102" spans="1:23" x14ac:dyDescent="0.2">
      <c r="A102" s="252" t="s">
        <v>169</v>
      </c>
      <c r="B102" t="s">
        <v>170</v>
      </c>
      <c r="C102" s="253">
        <v>21171</v>
      </c>
      <c r="D102" s="253">
        <v>21217</v>
      </c>
      <c r="E102" s="253">
        <v>21246</v>
      </c>
      <c r="F102" s="253">
        <v>21519</v>
      </c>
      <c r="G102" s="253">
        <v>21533</v>
      </c>
      <c r="H102" s="253">
        <v>22171</v>
      </c>
      <c r="I102" s="253">
        <v>22355</v>
      </c>
      <c r="J102" s="253">
        <v>22563</v>
      </c>
      <c r="K102" s="253">
        <v>22775</v>
      </c>
      <c r="L102" s="253">
        <v>22966</v>
      </c>
      <c r="M102" s="253">
        <v>23105</v>
      </c>
      <c r="N102" s="253">
        <v>23263</v>
      </c>
      <c r="O102" s="253">
        <v>23389</v>
      </c>
      <c r="P102" s="253">
        <v>23522</v>
      </c>
      <c r="Q102" s="253">
        <v>23634</v>
      </c>
      <c r="R102" s="253">
        <v>23761</v>
      </c>
      <c r="S102" s="253">
        <v>23858</v>
      </c>
      <c r="T102" s="253">
        <v>23963</v>
      </c>
      <c r="U102" s="253">
        <v>24064</v>
      </c>
      <c r="V102" s="253">
        <v>24143</v>
      </c>
      <c r="W102" s="253">
        <v>24243</v>
      </c>
    </row>
    <row r="103" spans="1:23" x14ac:dyDescent="0.2">
      <c r="A103" s="252" t="s">
        <v>310</v>
      </c>
      <c r="B103" t="s">
        <v>544</v>
      </c>
      <c r="C103" s="253">
        <v>21800</v>
      </c>
      <c r="D103" s="253">
        <v>21860</v>
      </c>
      <c r="E103" s="253">
        <v>21914</v>
      </c>
      <c r="F103" s="253">
        <v>22093</v>
      </c>
      <c r="G103" s="253">
        <v>22258</v>
      </c>
      <c r="H103" s="253">
        <v>22763</v>
      </c>
      <c r="I103" s="253">
        <v>22934</v>
      </c>
      <c r="J103" s="253">
        <v>23140</v>
      </c>
      <c r="K103" s="253">
        <v>23349</v>
      </c>
      <c r="L103" s="253">
        <v>23546</v>
      </c>
      <c r="M103" s="253">
        <v>23714</v>
      </c>
      <c r="N103" s="253">
        <v>23854</v>
      </c>
      <c r="O103" s="253">
        <v>23992</v>
      </c>
      <c r="P103" s="253">
        <v>24106</v>
      </c>
      <c r="Q103" s="253">
        <v>24252</v>
      </c>
      <c r="R103" s="253">
        <v>24351</v>
      </c>
      <c r="S103" s="253">
        <v>24474</v>
      </c>
      <c r="T103" s="253">
        <v>24589</v>
      </c>
      <c r="U103" s="253">
        <v>24689</v>
      </c>
      <c r="V103" s="253">
        <v>24794</v>
      </c>
      <c r="W103" s="253">
        <v>24882</v>
      </c>
    </row>
    <row r="104" spans="1:23" x14ac:dyDescent="0.2">
      <c r="A104" s="252" t="s">
        <v>351</v>
      </c>
      <c r="B104" t="s">
        <v>352</v>
      </c>
      <c r="C104" s="253">
        <v>26771</v>
      </c>
      <c r="D104" s="253">
        <v>26671</v>
      </c>
      <c r="E104" s="253">
        <v>26627</v>
      </c>
      <c r="F104" s="253">
        <v>26784</v>
      </c>
      <c r="G104" s="253">
        <v>26944</v>
      </c>
      <c r="H104" s="253">
        <v>27219</v>
      </c>
      <c r="I104" s="253">
        <v>27249</v>
      </c>
      <c r="J104" s="253">
        <v>27493</v>
      </c>
      <c r="K104" s="253">
        <v>27647</v>
      </c>
      <c r="L104" s="253">
        <v>27862</v>
      </c>
      <c r="M104" s="253">
        <v>28051</v>
      </c>
      <c r="N104" s="253">
        <v>28219</v>
      </c>
      <c r="O104" s="253">
        <v>28252</v>
      </c>
      <c r="P104" s="253">
        <v>28417</v>
      </c>
      <c r="Q104" s="253">
        <v>28550</v>
      </c>
      <c r="R104" s="253">
        <v>28702</v>
      </c>
      <c r="S104" s="253">
        <v>28709</v>
      </c>
      <c r="T104" s="253">
        <v>28826</v>
      </c>
      <c r="U104" s="253">
        <v>28949</v>
      </c>
      <c r="V104" s="253">
        <v>29070</v>
      </c>
      <c r="W104" s="253">
        <v>29040</v>
      </c>
    </row>
    <row r="105" spans="1:23" x14ac:dyDescent="0.2">
      <c r="A105" s="252" t="s">
        <v>210</v>
      </c>
      <c r="B105" t="s">
        <v>211</v>
      </c>
      <c r="C105" s="253">
        <v>34887</v>
      </c>
      <c r="D105" s="253">
        <v>35308</v>
      </c>
      <c r="E105" s="253">
        <v>35684</v>
      </c>
      <c r="F105" s="253">
        <v>36318</v>
      </c>
      <c r="G105" s="253">
        <v>37143</v>
      </c>
      <c r="H105" s="253">
        <v>37643</v>
      </c>
      <c r="I105" s="253">
        <v>38066</v>
      </c>
      <c r="J105" s="253">
        <v>38420</v>
      </c>
      <c r="K105" s="253">
        <v>38748</v>
      </c>
      <c r="L105" s="253">
        <v>39054</v>
      </c>
      <c r="M105" s="253">
        <v>39340</v>
      </c>
      <c r="N105" s="253">
        <v>39580</v>
      </c>
      <c r="O105" s="253">
        <v>39831</v>
      </c>
      <c r="P105" s="253">
        <v>40025</v>
      </c>
      <c r="Q105" s="253">
        <v>40224</v>
      </c>
      <c r="R105" s="253">
        <v>40403</v>
      </c>
      <c r="S105" s="253">
        <v>40613</v>
      </c>
      <c r="T105" s="253">
        <v>40799</v>
      </c>
      <c r="U105" s="253">
        <v>40950</v>
      </c>
      <c r="V105" s="253">
        <v>41108</v>
      </c>
      <c r="W105" s="253">
        <v>41272</v>
      </c>
    </row>
    <row r="106" spans="1:23" x14ac:dyDescent="0.2">
      <c r="A106" s="252" t="s">
        <v>171</v>
      </c>
      <c r="B106" t="s">
        <v>172</v>
      </c>
      <c r="C106" s="253">
        <v>12604</v>
      </c>
      <c r="D106" s="253">
        <v>12535</v>
      </c>
      <c r="E106" s="253">
        <v>12426</v>
      </c>
      <c r="F106" s="253">
        <v>12394</v>
      </c>
      <c r="G106" s="253">
        <v>12326</v>
      </c>
      <c r="H106" s="253">
        <v>12672</v>
      </c>
      <c r="I106" s="253">
        <v>12729</v>
      </c>
      <c r="J106" s="253">
        <v>12836</v>
      </c>
      <c r="K106" s="253">
        <v>12970</v>
      </c>
      <c r="L106" s="253">
        <v>13075</v>
      </c>
      <c r="M106" s="253">
        <v>13163</v>
      </c>
      <c r="N106" s="253">
        <v>13245</v>
      </c>
      <c r="O106" s="253">
        <v>13312</v>
      </c>
      <c r="P106" s="253">
        <v>13389</v>
      </c>
      <c r="Q106" s="253">
        <v>13458</v>
      </c>
      <c r="R106" s="253">
        <v>13517</v>
      </c>
      <c r="S106" s="253">
        <v>13571</v>
      </c>
      <c r="T106" s="253">
        <v>13629</v>
      </c>
      <c r="U106" s="253">
        <v>13704</v>
      </c>
      <c r="V106" s="253">
        <v>13742</v>
      </c>
      <c r="W106" s="253">
        <v>13799</v>
      </c>
    </row>
    <row r="107" spans="1:23" x14ac:dyDescent="0.2">
      <c r="A107" s="252" t="s">
        <v>282</v>
      </c>
      <c r="B107" t="s">
        <v>284</v>
      </c>
      <c r="C107" s="253">
        <v>33985</v>
      </c>
      <c r="D107" s="253">
        <v>34347</v>
      </c>
      <c r="E107" s="253">
        <v>34862</v>
      </c>
      <c r="F107" s="253">
        <v>35422</v>
      </c>
      <c r="G107" s="253">
        <v>36043</v>
      </c>
      <c r="H107" s="253">
        <v>36720</v>
      </c>
      <c r="I107" s="253">
        <v>37132</v>
      </c>
      <c r="J107" s="253">
        <v>37481</v>
      </c>
      <c r="K107" s="253">
        <v>37801</v>
      </c>
      <c r="L107" s="253">
        <v>38116</v>
      </c>
      <c r="M107" s="253">
        <v>38386</v>
      </c>
      <c r="N107" s="253">
        <v>38634</v>
      </c>
      <c r="O107" s="253">
        <v>38853</v>
      </c>
      <c r="P107" s="253">
        <v>39065</v>
      </c>
      <c r="Q107" s="253">
        <v>39244</v>
      </c>
      <c r="R107" s="253">
        <v>39459</v>
      </c>
      <c r="S107" s="253">
        <v>39631</v>
      </c>
      <c r="T107" s="253">
        <v>39818</v>
      </c>
      <c r="U107" s="253">
        <v>39972</v>
      </c>
      <c r="V107" s="253">
        <v>40144</v>
      </c>
      <c r="W107" s="253">
        <v>40287</v>
      </c>
    </row>
    <row r="108" spans="1:23" x14ac:dyDescent="0.2">
      <c r="A108" s="252" t="s">
        <v>173</v>
      </c>
      <c r="B108" t="s">
        <v>174</v>
      </c>
      <c r="C108" s="253">
        <v>36088</v>
      </c>
      <c r="D108" s="253">
        <v>36605</v>
      </c>
      <c r="E108" s="253">
        <v>37171</v>
      </c>
      <c r="F108" s="253">
        <v>37900</v>
      </c>
      <c r="G108" s="253">
        <v>38692</v>
      </c>
      <c r="H108" s="253">
        <v>39377</v>
      </c>
      <c r="I108" s="253">
        <v>39856</v>
      </c>
      <c r="J108" s="253">
        <v>40231</v>
      </c>
      <c r="K108" s="253">
        <v>40602</v>
      </c>
      <c r="L108" s="253">
        <v>40922</v>
      </c>
      <c r="M108" s="253">
        <v>41222</v>
      </c>
      <c r="N108" s="253">
        <v>41452</v>
      </c>
      <c r="O108" s="253">
        <v>41701</v>
      </c>
      <c r="P108" s="253">
        <v>41903</v>
      </c>
      <c r="Q108" s="253">
        <v>42114</v>
      </c>
      <c r="R108" s="253">
        <v>42328</v>
      </c>
      <c r="S108" s="253">
        <v>42542</v>
      </c>
      <c r="T108" s="253">
        <v>42695</v>
      </c>
      <c r="U108" s="253">
        <v>42876</v>
      </c>
      <c r="V108" s="253">
        <v>43038</v>
      </c>
      <c r="W108" s="253">
        <v>43211</v>
      </c>
    </row>
    <row r="109" spans="1:23" x14ac:dyDescent="0.2">
      <c r="A109" s="252" t="s">
        <v>312</v>
      </c>
      <c r="B109" t="s">
        <v>313</v>
      </c>
      <c r="C109" s="253">
        <v>36363</v>
      </c>
      <c r="D109" s="253">
        <v>36242</v>
      </c>
      <c r="E109" s="253">
        <v>36145</v>
      </c>
      <c r="F109" s="253">
        <v>36321</v>
      </c>
      <c r="G109" s="253">
        <v>36394</v>
      </c>
      <c r="H109" s="253">
        <v>37301</v>
      </c>
      <c r="I109" s="253">
        <v>37511</v>
      </c>
      <c r="J109" s="253">
        <v>37850</v>
      </c>
      <c r="K109" s="253">
        <v>38203</v>
      </c>
      <c r="L109" s="253">
        <v>38520</v>
      </c>
      <c r="M109" s="253">
        <v>38784</v>
      </c>
      <c r="N109" s="253">
        <v>39037</v>
      </c>
      <c r="O109" s="253">
        <v>39248</v>
      </c>
      <c r="P109" s="253">
        <v>39456</v>
      </c>
      <c r="Q109" s="253">
        <v>39673</v>
      </c>
      <c r="R109" s="253">
        <v>39834</v>
      </c>
      <c r="S109" s="253">
        <v>40004</v>
      </c>
      <c r="T109" s="253">
        <v>40212</v>
      </c>
      <c r="U109" s="253">
        <v>40387</v>
      </c>
      <c r="V109" s="253">
        <v>40534</v>
      </c>
      <c r="W109" s="253">
        <v>40668</v>
      </c>
    </row>
    <row r="110" spans="1:23" x14ac:dyDescent="0.2">
      <c r="A110" s="252" t="s">
        <v>257</v>
      </c>
      <c r="B110" t="s">
        <v>258</v>
      </c>
      <c r="C110" s="253">
        <v>14773</v>
      </c>
      <c r="D110" s="253">
        <v>14882</v>
      </c>
      <c r="E110" s="253">
        <v>14885</v>
      </c>
      <c r="F110" s="253">
        <v>15053</v>
      </c>
      <c r="G110" s="253">
        <v>15293</v>
      </c>
      <c r="H110" s="253">
        <v>15512</v>
      </c>
      <c r="I110" s="253">
        <v>15672</v>
      </c>
      <c r="J110" s="253">
        <v>15826</v>
      </c>
      <c r="K110" s="253">
        <v>15949</v>
      </c>
      <c r="L110" s="253">
        <v>16089</v>
      </c>
      <c r="M110" s="253">
        <v>16200</v>
      </c>
      <c r="N110" s="253">
        <v>16294</v>
      </c>
      <c r="O110" s="253">
        <v>16388</v>
      </c>
      <c r="P110" s="253">
        <v>16489</v>
      </c>
      <c r="Q110" s="253">
        <v>16540</v>
      </c>
      <c r="R110" s="253">
        <v>16637</v>
      </c>
      <c r="S110" s="253">
        <v>16735</v>
      </c>
      <c r="T110" s="253">
        <v>16787</v>
      </c>
      <c r="U110" s="253">
        <v>16863</v>
      </c>
      <c r="V110" s="253">
        <v>16916</v>
      </c>
      <c r="W110" s="253">
        <v>16991</v>
      </c>
    </row>
    <row r="111" spans="1:23" x14ac:dyDescent="0.2">
      <c r="A111" s="252" t="s">
        <v>353</v>
      </c>
      <c r="B111" t="s">
        <v>354</v>
      </c>
      <c r="C111" s="253">
        <v>16564</v>
      </c>
      <c r="D111" s="253">
        <v>16441</v>
      </c>
      <c r="E111" s="253">
        <v>16395</v>
      </c>
      <c r="F111" s="253">
        <v>16281</v>
      </c>
      <c r="G111" s="253">
        <v>16193</v>
      </c>
      <c r="H111" s="253">
        <v>16672</v>
      </c>
      <c r="I111" s="253">
        <v>16729</v>
      </c>
      <c r="J111" s="253">
        <v>16881</v>
      </c>
      <c r="K111" s="253">
        <v>17029</v>
      </c>
      <c r="L111" s="253">
        <v>17176</v>
      </c>
      <c r="M111" s="253">
        <v>17270</v>
      </c>
      <c r="N111" s="253">
        <v>17398</v>
      </c>
      <c r="O111" s="253">
        <v>17502</v>
      </c>
      <c r="P111" s="253">
        <v>17580</v>
      </c>
      <c r="Q111" s="253">
        <v>17691</v>
      </c>
      <c r="R111" s="253">
        <v>17760</v>
      </c>
      <c r="S111" s="253">
        <v>17830</v>
      </c>
      <c r="T111" s="253">
        <v>17919</v>
      </c>
      <c r="U111" s="253">
        <v>17991</v>
      </c>
      <c r="V111" s="253">
        <v>18078</v>
      </c>
      <c r="W111" s="253">
        <v>18138</v>
      </c>
    </row>
    <row r="112" spans="1:23" x14ac:dyDescent="0.2">
      <c r="A112" s="252" t="s">
        <v>137</v>
      </c>
      <c r="B112" t="s">
        <v>138</v>
      </c>
      <c r="C112" s="253">
        <v>25566</v>
      </c>
      <c r="D112" s="253">
        <v>25973</v>
      </c>
      <c r="E112" s="253">
        <v>26401</v>
      </c>
      <c r="F112" s="253">
        <v>26964</v>
      </c>
      <c r="G112" s="253">
        <v>27517</v>
      </c>
      <c r="H112" s="253">
        <v>28009</v>
      </c>
      <c r="I112" s="253">
        <v>28352</v>
      </c>
      <c r="J112" s="253">
        <v>28611</v>
      </c>
      <c r="K112" s="253">
        <v>28874</v>
      </c>
      <c r="L112" s="253">
        <v>29082</v>
      </c>
      <c r="M112" s="253">
        <v>29306</v>
      </c>
      <c r="N112" s="253">
        <v>29477</v>
      </c>
      <c r="O112" s="253">
        <v>29623</v>
      </c>
      <c r="P112" s="253">
        <v>29777</v>
      </c>
      <c r="Q112" s="253">
        <v>29925</v>
      </c>
      <c r="R112" s="253">
        <v>30061</v>
      </c>
      <c r="S112" s="253">
        <v>30217</v>
      </c>
      <c r="T112" s="253">
        <v>30325</v>
      </c>
      <c r="U112" s="253">
        <v>30439</v>
      </c>
      <c r="V112" s="253">
        <v>30564</v>
      </c>
      <c r="W112" s="253">
        <v>30663</v>
      </c>
    </row>
    <row r="113" spans="1:23" x14ac:dyDescent="0.2">
      <c r="A113" s="252" t="s">
        <v>355</v>
      </c>
      <c r="B113" t="s">
        <v>356</v>
      </c>
      <c r="C113" s="253">
        <v>6210</v>
      </c>
      <c r="D113" s="253">
        <v>6141</v>
      </c>
      <c r="E113" s="253">
        <v>6133</v>
      </c>
      <c r="F113" s="253">
        <v>6184</v>
      </c>
      <c r="G113" s="253">
        <v>6194</v>
      </c>
      <c r="H113" s="253">
        <v>6354</v>
      </c>
      <c r="I113" s="253">
        <v>6394</v>
      </c>
      <c r="J113" s="253">
        <v>6424</v>
      </c>
      <c r="K113" s="253">
        <v>6510</v>
      </c>
      <c r="L113" s="253">
        <v>6555</v>
      </c>
      <c r="M113" s="253">
        <v>6593</v>
      </c>
      <c r="N113" s="253">
        <v>6628</v>
      </c>
      <c r="O113" s="253">
        <v>6682</v>
      </c>
      <c r="P113" s="253">
        <v>6719</v>
      </c>
      <c r="Q113" s="253">
        <v>6741</v>
      </c>
      <c r="R113" s="253">
        <v>6778</v>
      </c>
      <c r="S113" s="253">
        <v>6810</v>
      </c>
      <c r="T113" s="253">
        <v>6849</v>
      </c>
      <c r="U113" s="253">
        <v>6867</v>
      </c>
      <c r="V113" s="253">
        <v>6886</v>
      </c>
      <c r="W113" s="253">
        <v>6927</v>
      </c>
    </row>
    <row r="114" spans="1:23" x14ac:dyDescent="0.2">
      <c r="A114" s="252" t="s">
        <v>357</v>
      </c>
      <c r="B114" t="s">
        <v>358</v>
      </c>
      <c r="C114" s="253">
        <v>11013</v>
      </c>
      <c r="D114" s="253">
        <v>10992</v>
      </c>
      <c r="E114" s="253">
        <v>10865</v>
      </c>
      <c r="F114" s="253">
        <v>10775</v>
      </c>
      <c r="G114" s="253">
        <v>10716</v>
      </c>
      <c r="H114" s="253">
        <v>11021</v>
      </c>
      <c r="I114" s="253">
        <v>11054</v>
      </c>
      <c r="J114" s="253">
        <v>11183</v>
      </c>
      <c r="K114" s="253">
        <v>11259</v>
      </c>
      <c r="L114" s="253">
        <v>11364</v>
      </c>
      <c r="M114" s="253">
        <v>11457</v>
      </c>
      <c r="N114" s="253">
        <v>11523</v>
      </c>
      <c r="O114" s="253">
        <v>11584</v>
      </c>
      <c r="P114" s="253">
        <v>11641</v>
      </c>
      <c r="Q114" s="253">
        <v>11698</v>
      </c>
      <c r="R114" s="253">
        <v>11761</v>
      </c>
      <c r="S114" s="253">
        <v>11815</v>
      </c>
      <c r="T114" s="253">
        <v>11871</v>
      </c>
      <c r="U114" s="253">
        <v>11916</v>
      </c>
      <c r="V114" s="253">
        <v>11975</v>
      </c>
      <c r="W114" s="253">
        <v>12008</v>
      </c>
    </row>
    <row r="115" spans="1:23" x14ac:dyDescent="0.2">
      <c r="A115" s="252" t="s">
        <v>212</v>
      </c>
      <c r="B115" t="s">
        <v>213</v>
      </c>
      <c r="C115" s="253">
        <v>5085</v>
      </c>
      <c r="D115" s="253">
        <v>5049</v>
      </c>
      <c r="E115" s="253">
        <v>5013</v>
      </c>
      <c r="F115" s="253">
        <v>4993</v>
      </c>
      <c r="G115" s="253">
        <v>5005</v>
      </c>
      <c r="H115" s="253">
        <v>5102</v>
      </c>
      <c r="I115" s="253">
        <v>5134</v>
      </c>
      <c r="J115" s="253">
        <v>5185</v>
      </c>
      <c r="K115" s="253">
        <v>5225</v>
      </c>
      <c r="L115" s="253">
        <v>5266</v>
      </c>
      <c r="M115" s="253">
        <v>5296</v>
      </c>
      <c r="N115" s="253">
        <v>5330</v>
      </c>
      <c r="O115" s="253">
        <v>5369</v>
      </c>
      <c r="P115" s="253">
        <v>5396</v>
      </c>
      <c r="Q115" s="253">
        <v>5426</v>
      </c>
      <c r="R115" s="253">
        <v>5447</v>
      </c>
      <c r="S115" s="253">
        <v>5464</v>
      </c>
      <c r="T115" s="253">
        <v>5494</v>
      </c>
      <c r="U115" s="253">
        <v>5518</v>
      </c>
      <c r="V115" s="253">
        <v>5528</v>
      </c>
      <c r="W115" s="253">
        <v>5549</v>
      </c>
    </row>
    <row r="116" spans="1:23" x14ac:dyDescent="0.2">
      <c r="A116" s="252" t="s">
        <v>387</v>
      </c>
      <c r="B116" t="s">
        <v>494</v>
      </c>
      <c r="C116" s="253">
        <v>118571</v>
      </c>
      <c r="D116" s="253">
        <v>120238</v>
      </c>
      <c r="E116" s="253">
        <v>122168</v>
      </c>
      <c r="F116" s="253">
        <v>124552</v>
      </c>
      <c r="G116" s="253">
        <v>127565</v>
      </c>
      <c r="H116" s="253">
        <v>129443</v>
      </c>
      <c r="I116" s="253">
        <v>131021</v>
      </c>
      <c r="J116" s="253">
        <v>132225</v>
      </c>
      <c r="K116" s="253">
        <v>133430</v>
      </c>
      <c r="L116" s="253">
        <v>134517</v>
      </c>
      <c r="M116" s="253">
        <v>135464</v>
      </c>
      <c r="N116" s="253">
        <v>136324</v>
      </c>
      <c r="O116" s="253">
        <v>137076</v>
      </c>
      <c r="P116" s="253">
        <v>137808</v>
      </c>
      <c r="Q116" s="253">
        <v>138489</v>
      </c>
      <c r="R116" s="253">
        <v>139178</v>
      </c>
      <c r="S116" s="253">
        <v>139834</v>
      </c>
      <c r="T116" s="253">
        <v>140427</v>
      </c>
      <c r="U116" s="253">
        <v>141027</v>
      </c>
      <c r="V116" s="253">
        <v>141574</v>
      </c>
      <c r="W116" s="253">
        <v>142117</v>
      </c>
    </row>
    <row r="117" spans="1:23" x14ac:dyDescent="0.2">
      <c r="A117" s="252" t="s">
        <v>259</v>
      </c>
      <c r="B117" t="s">
        <v>260</v>
      </c>
      <c r="C117" s="253">
        <v>7050</v>
      </c>
      <c r="D117" s="253">
        <v>6957</v>
      </c>
      <c r="E117" s="253">
        <v>6912</v>
      </c>
      <c r="F117" s="253">
        <v>6888</v>
      </c>
      <c r="G117" s="253">
        <v>6875</v>
      </c>
      <c r="H117" s="253">
        <v>7042</v>
      </c>
      <c r="I117" s="253">
        <v>7085</v>
      </c>
      <c r="J117" s="253">
        <v>7153</v>
      </c>
      <c r="K117" s="253">
        <v>7211</v>
      </c>
      <c r="L117" s="253">
        <v>7277</v>
      </c>
      <c r="M117" s="253">
        <v>7329</v>
      </c>
      <c r="N117" s="253">
        <v>7353</v>
      </c>
      <c r="O117" s="253">
        <v>7414</v>
      </c>
      <c r="P117" s="253">
        <v>7435</v>
      </c>
      <c r="Q117" s="253">
        <v>7493</v>
      </c>
      <c r="R117" s="253">
        <v>7524</v>
      </c>
      <c r="S117" s="253">
        <v>7553</v>
      </c>
      <c r="T117" s="253">
        <v>7589</v>
      </c>
      <c r="U117" s="253">
        <v>7619</v>
      </c>
      <c r="V117" s="253">
        <v>7667</v>
      </c>
      <c r="W117" s="253">
        <v>7671</v>
      </c>
    </row>
    <row r="118" spans="1:23" x14ac:dyDescent="0.2">
      <c r="A118" s="252" t="s">
        <v>359</v>
      </c>
      <c r="B118" t="s">
        <v>360</v>
      </c>
      <c r="C118" s="253">
        <v>29540</v>
      </c>
      <c r="D118" s="253">
        <v>29631</v>
      </c>
      <c r="E118" s="253">
        <v>29791</v>
      </c>
      <c r="F118" s="253">
        <v>30127</v>
      </c>
      <c r="G118" s="253">
        <v>30484</v>
      </c>
      <c r="H118" s="253">
        <v>31063</v>
      </c>
      <c r="I118" s="253">
        <v>31312</v>
      </c>
      <c r="J118" s="253">
        <v>31602</v>
      </c>
      <c r="K118" s="253">
        <v>31885</v>
      </c>
      <c r="L118" s="253">
        <v>32139</v>
      </c>
      <c r="M118" s="253">
        <v>32366</v>
      </c>
      <c r="N118" s="253">
        <v>32582</v>
      </c>
      <c r="O118" s="253">
        <v>32755</v>
      </c>
      <c r="P118" s="253">
        <v>32936</v>
      </c>
      <c r="Q118" s="253">
        <v>33099</v>
      </c>
      <c r="R118" s="253">
        <v>33253</v>
      </c>
      <c r="S118" s="253">
        <v>33410</v>
      </c>
      <c r="T118" s="253">
        <v>33574</v>
      </c>
      <c r="U118" s="253">
        <v>33692</v>
      </c>
      <c r="V118" s="253">
        <v>33812</v>
      </c>
      <c r="W118" s="253">
        <v>33942</v>
      </c>
    </row>
    <row r="119" spans="1:23" x14ac:dyDescent="0.2">
      <c r="A119" s="252" t="s">
        <v>214</v>
      </c>
      <c r="B119" t="s">
        <v>215</v>
      </c>
      <c r="C119" s="253">
        <v>13698</v>
      </c>
      <c r="D119" s="253">
        <v>13683</v>
      </c>
      <c r="E119" s="253">
        <v>13700</v>
      </c>
      <c r="F119" s="253">
        <v>13801</v>
      </c>
      <c r="G119" s="253">
        <v>13950</v>
      </c>
      <c r="H119" s="253">
        <v>14217</v>
      </c>
      <c r="I119" s="253">
        <v>14333</v>
      </c>
      <c r="J119" s="253">
        <v>14455</v>
      </c>
      <c r="K119" s="253">
        <v>14596</v>
      </c>
      <c r="L119" s="253">
        <v>14722</v>
      </c>
      <c r="M119" s="253">
        <v>14823</v>
      </c>
      <c r="N119" s="253">
        <v>14896</v>
      </c>
      <c r="O119" s="253">
        <v>14988</v>
      </c>
      <c r="P119" s="253">
        <v>15080</v>
      </c>
      <c r="Q119" s="253">
        <v>15150</v>
      </c>
      <c r="R119" s="253">
        <v>15216</v>
      </c>
      <c r="S119" s="253">
        <v>15285</v>
      </c>
      <c r="T119" s="253">
        <v>15355</v>
      </c>
      <c r="U119" s="253">
        <v>15434</v>
      </c>
      <c r="V119" s="253">
        <v>15485</v>
      </c>
      <c r="W119" s="253">
        <v>15558</v>
      </c>
    </row>
    <row r="120" spans="1:23" x14ac:dyDescent="0.2">
      <c r="A120" s="252" t="s">
        <v>361</v>
      </c>
      <c r="B120" t="s">
        <v>362</v>
      </c>
      <c r="C120" s="253">
        <v>6821</v>
      </c>
      <c r="D120" s="253">
        <v>6747</v>
      </c>
      <c r="E120" s="253">
        <v>6556</v>
      </c>
      <c r="F120" s="253">
        <v>6498</v>
      </c>
      <c r="G120" s="253">
        <v>6462</v>
      </c>
      <c r="H120" s="253">
        <v>6682</v>
      </c>
      <c r="I120" s="253">
        <v>6739</v>
      </c>
      <c r="J120" s="253">
        <v>6820</v>
      </c>
      <c r="K120" s="253">
        <v>6876</v>
      </c>
      <c r="L120" s="253">
        <v>6916</v>
      </c>
      <c r="M120" s="253">
        <v>6966</v>
      </c>
      <c r="N120" s="253">
        <v>7016</v>
      </c>
      <c r="O120" s="253">
        <v>7062</v>
      </c>
      <c r="P120" s="253">
        <v>7086</v>
      </c>
      <c r="Q120" s="253">
        <v>7124</v>
      </c>
      <c r="R120" s="253">
        <v>7163</v>
      </c>
      <c r="S120" s="253">
        <v>7203</v>
      </c>
      <c r="T120" s="253">
        <v>7229</v>
      </c>
      <c r="U120" s="253">
        <v>7249</v>
      </c>
      <c r="V120" s="253">
        <v>7289</v>
      </c>
      <c r="W120" s="253">
        <v>7311</v>
      </c>
    </row>
    <row r="121" spans="1:23" x14ac:dyDescent="0.2">
      <c r="A121" s="252" t="s">
        <v>175</v>
      </c>
      <c r="B121" t="s">
        <v>176</v>
      </c>
      <c r="C121" s="253">
        <v>11750</v>
      </c>
      <c r="D121" s="253">
        <v>11757</v>
      </c>
      <c r="E121" s="253">
        <v>11779</v>
      </c>
      <c r="F121" s="253">
        <v>11810</v>
      </c>
      <c r="G121" s="253">
        <v>11910</v>
      </c>
      <c r="H121" s="253">
        <v>12153</v>
      </c>
      <c r="I121" s="253">
        <v>12230</v>
      </c>
      <c r="J121" s="253">
        <v>12337</v>
      </c>
      <c r="K121" s="253">
        <v>12453</v>
      </c>
      <c r="L121" s="253">
        <v>12556</v>
      </c>
      <c r="M121" s="253">
        <v>12644</v>
      </c>
      <c r="N121" s="253">
        <v>12737</v>
      </c>
      <c r="O121" s="253">
        <v>12801</v>
      </c>
      <c r="P121" s="253">
        <v>12864</v>
      </c>
      <c r="Q121" s="253">
        <v>12923</v>
      </c>
      <c r="R121" s="253">
        <v>12989</v>
      </c>
      <c r="S121" s="253">
        <v>13060</v>
      </c>
      <c r="T121" s="253">
        <v>13104</v>
      </c>
      <c r="U121" s="253">
        <v>13173</v>
      </c>
      <c r="V121" s="253">
        <v>13225</v>
      </c>
      <c r="W121" s="253">
        <v>13270</v>
      </c>
    </row>
    <row r="122" spans="1:23" x14ac:dyDescent="0.2">
      <c r="A122" s="252" t="s">
        <v>363</v>
      </c>
      <c r="B122" t="s">
        <v>364</v>
      </c>
      <c r="C122" s="253">
        <v>11626</v>
      </c>
      <c r="D122" s="253">
        <v>11634</v>
      </c>
      <c r="E122" s="253">
        <v>11557</v>
      </c>
      <c r="F122" s="253">
        <v>11602</v>
      </c>
      <c r="G122" s="253">
        <v>11636</v>
      </c>
      <c r="H122" s="253">
        <v>11915</v>
      </c>
      <c r="I122" s="253">
        <v>11991</v>
      </c>
      <c r="J122" s="253">
        <v>12107</v>
      </c>
      <c r="K122" s="253">
        <v>12208</v>
      </c>
      <c r="L122" s="253">
        <v>12322</v>
      </c>
      <c r="M122" s="253">
        <v>12407</v>
      </c>
      <c r="N122" s="253">
        <v>12463</v>
      </c>
      <c r="O122" s="253">
        <v>12544</v>
      </c>
      <c r="P122" s="253">
        <v>12623</v>
      </c>
      <c r="Q122" s="253">
        <v>12691</v>
      </c>
      <c r="R122" s="253">
        <v>12754</v>
      </c>
      <c r="S122" s="253">
        <v>12781</v>
      </c>
      <c r="T122" s="253">
        <v>12871</v>
      </c>
      <c r="U122" s="253">
        <v>12922</v>
      </c>
      <c r="V122" s="253">
        <v>12957</v>
      </c>
      <c r="W122" s="253">
        <v>13003</v>
      </c>
    </row>
    <row r="123" spans="1:23" x14ac:dyDescent="0.2">
      <c r="A123" s="252" t="s">
        <v>389</v>
      </c>
      <c r="B123" t="s">
        <v>390</v>
      </c>
      <c r="C123" s="253">
        <v>8776</v>
      </c>
      <c r="D123" s="253">
        <v>8842</v>
      </c>
      <c r="E123" s="253">
        <v>8962</v>
      </c>
      <c r="F123" s="253">
        <v>9093</v>
      </c>
      <c r="G123" s="253">
        <v>9265</v>
      </c>
      <c r="H123" s="253">
        <v>9409</v>
      </c>
      <c r="I123" s="253">
        <v>9502</v>
      </c>
      <c r="J123" s="253">
        <v>9583</v>
      </c>
      <c r="K123" s="253">
        <v>9681</v>
      </c>
      <c r="L123" s="253">
        <v>9752</v>
      </c>
      <c r="M123" s="253">
        <v>9827</v>
      </c>
      <c r="N123" s="253">
        <v>9889</v>
      </c>
      <c r="O123" s="253">
        <v>9938</v>
      </c>
      <c r="P123" s="253">
        <v>9977</v>
      </c>
      <c r="Q123" s="253">
        <v>10032</v>
      </c>
      <c r="R123" s="253">
        <v>10083</v>
      </c>
      <c r="S123" s="253">
        <v>10133</v>
      </c>
      <c r="T123" s="253">
        <v>10168</v>
      </c>
      <c r="U123" s="253">
        <v>10214</v>
      </c>
      <c r="V123" s="253">
        <v>10249</v>
      </c>
      <c r="W123" s="253">
        <v>10302</v>
      </c>
    </row>
    <row r="124" spans="1:23" x14ac:dyDescent="0.2">
      <c r="A124" s="252" t="s">
        <v>177</v>
      </c>
      <c r="B124" t="s">
        <v>178</v>
      </c>
      <c r="C124" s="253">
        <v>7606</v>
      </c>
      <c r="D124" s="253">
        <v>7618</v>
      </c>
      <c r="E124" s="253">
        <v>7541</v>
      </c>
      <c r="F124" s="253">
        <v>7608</v>
      </c>
      <c r="G124" s="253">
        <v>7630</v>
      </c>
      <c r="H124" s="253">
        <v>7826</v>
      </c>
      <c r="I124" s="253">
        <v>7893</v>
      </c>
      <c r="J124" s="253">
        <v>7957</v>
      </c>
      <c r="K124" s="253">
        <v>8026</v>
      </c>
      <c r="L124" s="253">
        <v>8091</v>
      </c>
      <c r="M124" s="253">
        <v>8152</v>
      </c>
      <c r="N124" s="253">
        <v>8208</v>
      </c>
      <c r="O124" s="253">
        <v>8247</v>
      </c>
      <c r="P124" s="253">
        <v>8291</v>
      </c>
      <c r="Q124" s="253">
        <v>8339</v>
      </c>
      <c r="R124" s="253">
        <v>8378</v>
      </c>
      <c r="S124" s="253">
        <v>8431</v>
      </c>
      <c r="T124" s="253">
        <v>8446</v>
      </c>
      <c r="U124" s="253">
        <v>8481</v>
      </c>
      <c r="V124" s="253">
        <v>8525</v>
      </c>
      <c r="W124" s="253">
        <v>8546</v>
      </c>
    </row>
    <row r="125" spans="1:23" x14ac:dyDescent="0.2">
      <c r="A125" s="252" t="s">
        <v>216</v>
      </c>
      <c r="B125" t="s">
        <v>217</v>
      </c>
      <c r="C125" s="253">
        <v>40418</v>
      </c>
      <c r="D125" s="253">
        <v>40691</v>
      </c>
      <c r="E125" s="253">
        <v>41029</v>
      </c>
      <c r="F125" s="253">
        <v>41542</v>
      </c>
      <c r="G125" s="253">
        <v>42116</v>
      </c>
      <c r="H125" s="253">
        <v>42919</v>
      </c>
      <c r="I125" s="253">
        <v>43308</v>
      </c>
      <c r="J125" s="253">
        <v>43702</v>
      </c>
      <c r="K125" s="253">
        <v>44102</v>
      </c>
      <c r="L125" s="253">
        <v>44457</v>
      </c>
      <c r="M125" s="253">
        <v>44770</v>
      </c>
      <c r="N125" s="253">
        <v>45033</v>
      </c>
      <c r="O125" s="253">
        <v>45315</v>
      </c>
      <c r="P125" s="253">
        <v>45558</v>
      </c>
      <c r="Q125" s="253">
        <v>45760</v>
      </c>
      <c r="R125" s="253">
        <v>45980</v>
      </c>
      <c r="S125" s="253">
        <v>46195</v>
      </c>
      <c r="T125" s="253">
        <v>46406</v>
      </c>
      <c r="U125" s="253">
        <v>46582</v>
      </c>
      <c r="V125" s="253">
        <v>46766</v>
      </c>
      <c r="W125" s="253">
        <v>46940</v>
      </c>
    </row>
    <row r="126" spans="1:23" x14ac:dyDescent="0.2">
      <c r="A126" s="252" t="s">
        <v>179</v>
      </c>
      <c r="B126" t="s">
        <v>180</v>
      </c>
      <c r="C126" s="253">
        <v>22209</v>
      </c>
      <c r="D126" s="253">
        <v>22278</v>
      </c>
      <c r="E126" s="253">
        <v>22345</v>
      </c>
      <c r="F126" s="253">
        <v>22538</v>
      </c>
      <c r="G126" s="253">
        <v>23050</v>
      </c>
      <c r="H126" s="253">
        <v>23210</v>
      </c>
      <c r="I126" s="253">
        <v>23387</v>
      </c>
      <c r="J126" s="253">
        <v>23605</v>
      </c>
      <c r="K126" s="253">
        <v>23825</v>
      </c>
      <c r="L126" s="253">
        <v>24023</v>
      </c>
      <c r="M126" s="253">
        <v>24178</v>
      </c>
      <c r="N126" s="253">
        <v>24332</v>
      </c>
      <c r="O126" s="253">
        <v>24464</v>
      </c>
      <c r="P126" s="253">
        <v>24596</v>
      </c>
      <c r="Q126" s="253">
        <v>24735</v>
      </c>
      <c r="R126" s="253">
        <v>24831</v>
      </c>
      <c r="S126" s="253">
        <v>24952</v>
      </c>
      <c r="T126" s="253">
        <v>25072</v>
      </c>
      <c r="U126" s="253">
        <v>25176</v>
      </c>
      <c r="V126" s="253">
        <v>25281</v>
      </c>
      <c r="W126" s="253">
        <v>25364</v>
      </c>
    </row>
    <row r="127" spans="1:23" x14ac:dyDescent="0.2">
      <c r="A127" s="252" t="s">
        <v>155</v>
      </c>
      <c r="B127" t="s">
        <v>156</v>
      </c>
      <c r="C127" s="253">
        <v>17813</v>
      </c>
      <c r="D127" s="253">
        <v>18204</v>
      </c>
      <c r="E127" s="253">
        <v>18610</v>
      </c>
      <c r="F127" s="253">
        <v>19040</v>
      </c>
      <c r="G127" s="253">
        <v>19624</v>
      </c>
      <c r="H127" s="253">
        <v>19937</v>
      </c>
      <c r="I127" s="253">
        <v>20228</v>
      </c>
      <c r="J127" s="253">
        <v>20406</v>
      </c>
      <c r="K127" s="253">
        <v>20572</v>
      </c>
      <c r="L127" s="253">
        <v>20727</v>
      </c>
      <c r="M127" s="253">
        <v>20870</v>
      </c>
      <c r="N127" s="253">
        <v>20994</v>
      </c>
      <c r="O127" s="253">
        <v>21099</v>
      </c>
      <c r="P127" s="253">
        <v>21200</v>
      </c>
      <c r="Q127" s="253">
        <v>21295</v>
      </c>
      <c r="R127" s="253">
        <v>21408</v>
      </c>
      <c r="S127" s="253">
        <v>21482</v>
      </c>
      <c r="T127" s="253">
        <v>21567</v>
      </c>
      <c r="U127" s="253">
        <v>21643</v>
      </c>
      <c r="V127" s="253">
        <v>21736</v>
      </c>
      <c r="W127" s="253">
        <v>21812</v>
      </c>
    </row>
    <row r="128" spans="1:23" x14ac:dyDescent="0.2">
      <c r="A128" s="252" t="s">
        <v>139</v>
      </c>
      <c r="B128" t="s">
        <v>140</v>
      </c>
      <c r="C128" s="253">
        <v>24145</v>
      </c>
      <c r="D128" s="253">
        <v>24233</v>
      </c>
      <c r="E128" s="253">
        <v>24430</v>
      </c>
      <c r="F128" s="253">
        <v>24651</v>
      </c>
      <c r="G128" s="253">
        <v>25210</v>
      </c>
      <c r="H128" s="253">
        <v>25321</v>
      </c>
      <c r="I128" s="253">
        <v>25520</v>
      </c>
      <c r="J128" s="253">
        <v>25772</v>
      </c>
      <c r="K128" s="253">
        <v>25989</v>
      </c>
      <c r="L128" s="253">
        <v>26207</v>
      </c>
      <c r="M128" s="253">
        <v>26392</v>
      </c>
      <c r="N128" s="253">
        <v>26551</v>
      </c>
      <c r="O128" s="253">
        <v>26700</v>
      </c>
      <c r="P128" s="253">
        <v>26852</v>
      </c>
      <c r="Q128" s="253">
        <v>26979</v>
      </c>
      <c r="R128" s="253">
        <v>27105</v>
      </c>
      <c r="S128" s="253">
        <v>27257</v>
      </c>
      <c r="T128" s="253">
        <v>27357</v>
      </c>
      <c r="U128" s="253">
        <v>27488</v>
      </c>
      <c r="V128" s="253">
        <v>27568</v>
      </c>
      <c r="W128" s="253">
        <v>27678</v>
      </c>
    </row>
    <row r="129" spans="1:23" x14ac:dyDescent="0.2">
      <c r="A129" s="254" t="s">
        <v>545</v>
      </c>
      <c r="B129" s="254"/>
      <c r="C129" s="255">
        <v>6134953</v>
      </c>
      <c r="D129" s="255">
        <v>6211312</v>
      </c>
      <c r="E129" s="255">
        <v>6296843</v>
      </c>
      <c r="F129" s="255">
        <v>6407102</v>
      </c>
      <c r="G129" s="255">
        <v>6550206</v>
      </c>
      <c r="H129" s="255">
        <v>6649401</v>
      </c>
      <c r="I129" s="255">
        <v>6726219</v>
      </c>
      <c r="J129" s="255">
        <v>6787846</v>
      </c>
      <c r="K129" s="255">
        <v>6848360</v>
      </c>
      <c r="L129" s="255">
        <v>6903721</v>
      </c>
      <c r="M129" s="255">
        <v>6951825</v>
      </c>
      <c r="N129" s="255">
        <v>6994317</v>
      </c>
      <c r="O129" s="255">
        <v>7033395</v>
      </c>
      <c r="P129" s="255">
        <v>7069991</v>
      </c>
      <c r="Q129" s="255">
        <v>7104885</v>
      </c>
      <c r="R129" s="255">
        <v>7138678</v>
      </c>
      <c r="S129" s="255">
        <v>7171276</v>
      </c>
      <c r="T129" s="255">
        <v>7202282</v>
      </c>
      <c r="U129" s="255">
        <v>7231629</v>
      </c>
      <c r="V129" s="255">
        <v>7259282</v>
      </c>
      <c r="W129" s="255">
        <v>7285210</v>
      </c>
    </row>
  </sheetData>
  <mergeCells count="2">
    <mergeCell ref="A2:W2"/>
    <mergeCell ref="A1:W1"/>
  </mergeCells>
  <pageMargins left="0.7" right="0.7" top="0.75" bottom="0.75" header="0.3" footer="0.3"/>
  <pageSetup orientation="portrait" horizontalDpi="4294967295" verticalDpi="4294967295"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3729c01-e331-46af-8f84-09bea977ed00">
      <Terms xmlns="http://schemas.microsoft.com/office/infopath/2007/PartnerControls"/>
    </lcf76f155ced4ddcb4097134ff3c332f>
    <TaxCatchAll xmlns="0b6a0b30-4523-4899-95a0-946babcdb6cb" xsi:nil="true"/>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AB170F55A8EC74185BD611F05A04793" ma:contentTypeVersion="15" ma:contentTypeDescription="Create a new document." ma:contentTypeScope="" ma:versionID="9a7766076c5b4407dfa4a29cb2dc7926">
  <xsd:schema xmlns:xsd="http://www.w3.org/2001/XMLSchema" xmlns:xs="http://www.w3.org/2001/XMLSchema" xmlns:p="http://schemas.microsoft.com/office/2006/metadata/properties" xmlns:ns1="http://schemas.microsoft.com/sharepoint/v3" xmlns:ns2="53729c01-e331-46af-8f84-09bea977ed00" xmlns:ns3="0b6a0b30-4523-4899-95a0-946babcdb6cb" targetNamespace="http://schemas.microsoft.com/office/2006/metadata/properties" ma:root="true" ma:fieldsID="fd836aff7d432d14d0dd9befd298821c" ns1:_="" ns2:_="" ns3:_="">
    <xsd:import namespace="http://schemas.microsoft.com/sharepoint/v3"/>
    <xsd:import namespace="53729c01-e331-46af-8f84-09bea977ed00"/>
    <xsd:import namespace="0b6a0b30-4523-4899-95a0-946babcdb6c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3729c01-e331-46af-8f84-09bea977ed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aef40d5-b715-412d-bec7-270c5812204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b6a0b30-4523-4899-95a0-946babcdb6c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0baf980-de20-41f9-84cd-56410328c1cb}" ma:internalName="TaxCatchAll" ma:showField="CatchAllData" ma:web="0b6a0b30-4523-4899-95a0-946babcdb6c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5501BE1-2192-4CBE-B610-84C30A6FC0AA}">
  <ds:schemaRefs>
    <ds:schemaRef ds:uri="ed36f66d-e31c-4e78-804f-e0898a3b36fb"/>
    <ds:schemaRef ds:uri="http://purl.org/dc/dcmitype/"/>
    <ds:schemaRef ds:uri="http://schemas.microsoft.com/office/2006/documentManagement/types"/>
    <ds:schemaRef ds:uri="http://purl.org/dc/elements/1.1/"/>
    <ds:schemaRef ds:uri="http://schemas.microsoft.com/office/2006/metadata/properties"/>
    <ds:schemaRef ds:uri="http://www.w3.org/XML/1998/namespace"/>
    <ds:schemaRef ds:uri="b8390636-7d61-40a6-a70d-aa7930d4c7ec"/>
    <ds:schemaRef ds:uri="http://purl.org/dc/terms/"/>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BFF1552F-A2CE-494D-A2F3-4E68DF423208}">
  <ds:schemaRefs>
    <ds:schemaRef ds:uri="http://schemas.microsoft.com/sharepoint/v3/contenttype/forms"/>
  </ds:schemaRefs>
</ds:datastoreItem>
</file>

<file path=customXml/itemProps3.xml><?xml version="1.0" encoding="utf-8"?>
<ds:datastoreItem xmlns:ds="http://schemas.openxmlformats.org/officeDocument/2006/customXml" ds:itemID="{445BF631-891A-4378-9C90-6C1DE0325CAC}"/>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INDICE</vt:lpstr>
      <vt:lpstr>PIB-MPAL CORRRIENTES ANUAL</vt:lpstr>
      <vt:lpstr>PIB-MPAL CONSTANTES ANUAL</vt:lpstr>
      <vt:lpstr>SUBREGIONAL CORRRIENTES ANUAL</vt:lpstr>
      <vt:lpstr>Ficha Municipal</vt:lpstr>
      <vt:lpstr>PIB-Mpal 2015-2022 Corrient </vt:lpstr>
      <vt:lpstr>PIB Mpal 2015-2022 Cons</vt:lpstr>
      <vt:lpstr>PIB_DEPTAL_DANE</vt:lpstr>
      <vt:lpstr>POBLACION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2023-08-31T20:26:18Z</dcterms:created>
  <dcterms:modified xsi:type="dcterms:W3CDTF">2025-01-28T17:09:38Z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0x010100EAB170F55A8EC74185BD611F05A04793</vt:lpwstr>
  </property>
  <property fmtid="{D5CDD505-2E9C-101B-9397-08002B2CF9AE}" pid="3" name="MediaServiceImageTags">
    <vt:lpwstr/>
  </property>
</Properties>
</file>
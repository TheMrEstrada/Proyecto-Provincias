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7"/>
  <workbookPr/>
  <mc:AlternateContent xmlns:mc="http://schemas.openxmlformats.org/markup-compatibility/2006">
    <mc:Choice Requires="x15">
      <x15ac:absPath xmlns:x15ac="http://schemas.microsoft.com/office/spreadsheetml/2010/11/ac" url="Z:\Respaldo\Personal\2026\EAFIT\Ejecución\"/>
    </mc:Choice>
  </mc:AlternateContent>
  <xr:revisionPtr revIDLastSave="0" documentId="13_ncr:1_{72E827B4-CC93-4D97-93FD-47B383AA13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solidado Urb + Rural" sheetId="2" r:id="rId1"/>
  </sheets>
  <definedNames>
    <definedName name="_xlnm._FilterDatabase" localSheetId="0" hidden="1">'Consolidado Urb + Rural'!$B$1:$V$114</definedName>
    <definedName name="_xlnm.Print_Area" localSheetId="0">'Consolidado Urb + Rural'!#REF!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14" i="2" l="1"/>
  <c r="W113" i="2"/>
  <c r="W112" i="2"/>
  <c r="W111" i="2"/>
  <c r="W110" i="2"/>
  <c r="W109" i="2"/>
  <c r="W108" i="2"/>
  <c r="W107" i="2"/>
  <c r="W106" i="2"/>
  <c r="W105" i="2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  <c r="W3" i="2"/>
  <c r="W2" i="2"/>
</calcChain>
</file>

<file path=xl/sharedStrings.xml><?xml version="1.0" encoding="utf-8"?>
<sst xmlns="http://schemas.openxmlformats.org/spreadsheetml/2006/main" count="362" uniqueCount="258">
  <si>
    <t>SUBREGION</t>
  </si>
  <si>
    <t>COD. MUNICIPIO</t>
  </si>
  <si>
    <t>COD DANE</t>
  </si>
  <si>
    <t>MUNICIPIO</t>
  </si>
  <si>
    <t>VIGENCIA ACTUALIZ URBANO</t>
  </si>
  <si>
    <t>PREDIOS URBANO</t>
  </si>
  <si>
    <t>No. PROP. URBANO</t>
  </si>
  <si>
    <t>TERRENO (m2) URBANO</t>
  </si>
  <si>
    <t>CONST.(m2) URBANO</t>
  </si>
  <si>
    <t>TERRENO ($) URBANO</t>
  </si>
  <si>
    <t>CONST. ($) URBANO</t>
  </si>
  <si>
    <t>AUTOESTIMACION($) URBANO</t>
  </si>
  <si>
    <t>TOTAL AVALUO($) URBANO</t>
  </si>
  <si>
    <t>VIGENCIA ACTUALIZ RURAL</t>
  </si>
  <si>
    <t>PREDIOS RURAL</t>
  </si>
  <si>
    <t>No. PROP. RURAL</t>
  </si>
  <si>
    <t>TERRENO (ha) RURAL</t>
  </si>
  <si>
    <t>CONST.(m2) RURAL</t>
  </si>
  <si>
    <t>TERRENO ($) RURAL</t>
  </si>
  <si>
    <t>CONST. ($) RURAL</t>
  </si>
  <si>
    <t>AUTOESTIMACION($) RURAL</t>
  </si>
  <si>
    <t>TOTAL AVALUO($) RURAL</t>
  </si>
  <si>
    <t>AVALUO TOTAL MUNICIPIO</t>
  </si>
  <si>
    <t>ORIENTE</t>
  </si>
  <si>
    <t>05002</t>
  </si>
  <si>
    <t>ABEJORRAL</t>
  </si>
  <si>
    <t xml:space="preserve">OCCIDENTE </t>
  </si>
  <si>
    <t>05004</t>
  </si>
  <si>
    <t>ABRIAQUI</t>
  </si>
  <si>
    <t>05021</t>
  </si>
  <si>
    <t>ALEJANDRIA</t>
  </si>
  <si>
    <t>SUROESTE</t>
  </si>
  <si>
    <t>05030</t>
  </si>
  <si>
    <t>AMAGA</t>
  </si>
  <si>
    <t>BAJO CAUCA</t>
  </si>
  <si>
    <t>05031</t>
  </si>
  <si>
    <t>AMALFI</t>
  </si>
  <si>
    <t>05034</t>
  </si>
  <si>
    <t>ANDES</t>
  </si>
  <si>
    <t>05036</t>
  </si>
  <si>
    <t>ANGELOPOLIS</t>
  </si>
  <si>
    <t>NORTE</t>
  </si>
  <si>
    <t>05038</t>
  </si>
  <si>
    <t>ANGOSTURA</t>
  </si>
  <si>
    <t>05040</t>
  </si>
  <si>
    <t>ANORI</t>
  </si>
  <si>
    <t>05042</t>
  </si>
  <si>
    <t>SANTA FE DE ANTIOQUIA</t>
  </si>
  <si>
    <t>05044</t>
  </si>
  <si>
    <t>ANZA</t>
  </si>
  <si>
    <t>URABÁ</t>
  </si>
  <si>
    <t>05045</t>
  </si>
  <si>
    <t>APARTADO</t>
  </si>
  <si>
    <t>05051</t>
  </si>
  <si>
    <t>ARBOLETES</t>
  </si>
  <si>
    <t>05055</t>
  </si>
  <si>
    <t>ARGELIA</t>
  </si>
  <si>
    <t>05059</t>
  </si>
  <si>
    <t>ARMENIA</t>
  </si>
  <si>
    <t>05086</t>
  </si>
  <si>
    <t>BELMIRA</t>
  </si>
  <si>
    <t>05091</t>
  </si>
  <si>
    <t>BETANIA</t>
  </si>
  <si>
    <t>05093</t>
  </si>
  <si>
    <t>BETULIA</t>
  </si>
  <si>
    <t>05101</t>
  </si>
  <si>
    <t>CIUDAD BOLIVAR</t>
  </si>
  <si>
    <t>05107</t>
  </si>
  <si>
    <t>BRICEÑO</t>
  </si>
  <si>
    <t>05113</t>
  </si>
  <si>
    <t>BURITICA</t>
  </si>
  <si>
    <t>05120</t>
  </si>
  <si>
    <t>CACERES</t>
  </si>
  <si>
    <t>05125</t>
  </si>
  <si>
    <t>CAICEDO</t>
  </si>
  <si>
    <t>VALLE DE ABURRA</t>
  </si>
  <si>
    <t>05129</t>
  </si>
  <si>
    <t>CALDAS</t>
  </si>
  <si>
    <t>05134</t>
  </si>
  <si>
    <t>CAMPAMENTO</t>
  </si>
  <si>
    <t>05138</t>
  </si>
  <si>
    <t>CAÑASGORDAS</t>
  </si>
  <si>
    <t>MAGDALENA MEDIO</t>
  </si>
  <si>
    <t>05142</t>
  </si>
  <si>
    <t>CARACOLI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</si>
  <si>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</si>
  <si>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</si>
  <si>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</si>
  <si>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</si>
  <si>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</si>
  <si>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</si>
  <si>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</si>
  <si>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</si>
  <si>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</si>
  <si>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</si>
  <si>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</si>
  <si>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CHIGORODO</t>
  </si>
  <si>
    <t>NORDESTE</t>
  </si>
  <si>
    <t>05190</t>
  </si>
  <si>
    <t>CISNEROS</t>
  </si>
  <si>
    <t>05197</t>
  </si>
  <si>
    <t>COCORNA</t>
  </si>
  <si>
    <t>05206</t>
  </si>
  <si>
    <t>CONCEPCION</t>
  </si>
  <si>
    <t>05209</t>
  </si>
  <si>
    <t>CONCORDIA</t>
  </si>
  <si>
    <t>05234</t>
  </si>
  <si>
    <t>DABEIBA</t>
  </si>
  <si>
    <t>05237</t>
  </si>
  <si>
    <t>DON MATIAS</t>
  </si>
  <si>
    <t>05240</t>
  </si>
  <si>
    <t>EBEJICO</t>
  </si>
  <si>
    <t>05250</t>
  </si>
  <si>
    <t>EL BAGRE</t>
  </si>
  <si>
    <t>05264</t>
  </si>
  <si>
    <t>ENTRERRIOS</t>
  </si>
  <si>
    <t>05282</t>
  </si>
  <si>
    <t>FREDONIA</t>
  </si>
  <si>
    <t>05284</t>
  </si>
  <si>
    <t>FRONTINO</t>
  </si>
  <si>
    <t>05306</t>
  </si>
  <si>
    <t>GIRALDO</t>
  </si>
  <si>
    <t>05310</t>
  </si>
  <si>
    <t>GOMEZ PLATA</t>
  </si>
  <si>
    <t>05313</t>
  </si>
  <si>
    <t>GRANADA</t>
  </si>
  <si>
    <t>05315</t>
  </si>
  <si>
    <t>GUADALUPE</t>
  </si>
  <si>
    <t>05318</t>
  </si>
  <si>
    <t>GUARNE</t>
  </si>
  <si>
    <t>05321</t>
  </si>
  <si>
    <t>GUATAPE</t>
  </si>
  <si>
    <t>05347</t>
  </si>
  <si>
    <t>HELICONIA</t>
  </si>
  <si>
    <t>05353</t>
  </si>
  <si>
    <t>HISPANIA</t>
  </si>
  <si>
    <t>05360</t>
  </si>
  <si>
    <t>ITAGUI</t>
  </si>
  <si>
    <t>05361</t>
  </si>
  <si>
    <t>ITUANGO</t>
  </si>
  <si>
    <t>05364</t>
  </si>
  <si>
    <t>JARDIN</t>
  </si>
  <si>
    <t>05368</t>
  </si>
  <si>
    <t>JERICO</t>
  </si>
  <si>
    <t>05376</t>
  </si>
  <si>
    <t>LA CEJA</t>
  </si>
  <si>
    <t>05390</t>
  </si>
  <si>
    <t>LA PINTADA</t>
  </si>
  <si>
    <t>05400</t>
  </si>
  <si>
    <t>LA UNION</t>
  </si>
  <si>
    <t>05411</t>
  </si>
  <si>
    <t>LIBORINA</t>
  </si>
  <si>
    <t>05425</t>
  </si>
  <si>
    <t>MACEO</t>
  </si>
  <si>
    <t>05467</t>
  </si>
  <si>
    <t>MONTEBELLO</t>
  </si>
  <si>
    <t>05475</t>
  </si>
  <si>
    <t>MURINDO</t>
  </si>
  <si>
    <t>05480</t>
  </si>
  <si>
    <t>MUTATA</t>
  </si>
  <si>
    <t>05483</t>
  </si>
  <si>
    <t>NARIÑO</t>
  </si>
  <si>
    <t>05490</t>
  </si>
  <si>
    <t>NECOCLI</t>
  </si>
  <si>
    <t>05495</t>
  </si>
  <si>
    <t>NECHI</t>
  </si>
  <si>
    <t>05501</t>
  </si>
  <si>
    <t>OLAYA</t>
  </si>
  <si>
    <t>05541</t>
  </si>
  <si>
    <t>EL PEÑOL</t>
  </si>
  <si>
    <t>05543</t>
  </si>
  <si>
    <t>PEQUE</t>
  </si>
  <si>
    <t>05576</t>
  </si>
  <si>
    <t>PUEBLORRICO</t>
  </si>
  <si>
    <t>05579</t>
  </si>
  <si>
    <t>PUERTO BERRIO</t>
  </si>
  <si>
    <t>05585</t>
  </si>
  <si>
    <t>PUERTO NARE</t>
  </si>
  <si>
    <t>05591</t>
  </si>
  <si>
    <t>PUERTO TRIUNFO</t>
  </si>
  <si>
    <t>05604</t>
  </si>
  <si>
    <t>REMEDIOS</t>
  </si>
  <si>
    <t>05628</t>
  </si>
  <si>
    <t>SABANALARGA</t>
  </si>
  <si>
    <t>05642</t>
  </si>
  <si>
    <t>SALGAR</t>
  </si>
  <si>
    <t>05647</t>
  </si>
  <si>
    <t>SAN ANDRES DE CUERQUIA</t>
  </si>
  <si>
    <t>05649</t>
  </si>
  <si>
    <t>SAN CARLOS</t>
  </si>
  <si>
    <t>05652</t>
  </si>
  <si>
    <t>SAN FRANCISCO</t>
  </si>
  <si>
    <t>05656</t>
  </si>
  <si>
    <t>SAN JERONIMO</t>
  </si>
  <si>
    <t>05658</t>
  </si>
  <si>
    <t>SAN JOSE DE LA MONTANA</t>
  </si>
  <si>
    <t>05659</t>
  </si>
  <si>
    <t>SAN JUAN DE URABA</t>
  </si>
  <si>
    <t>05660</t>
  </si>
  <si>
    <t>SAN LUIS</t>
  </si>
  <si>
    <t>05664</t>
  </si>
  <si>
    <t>SAN PEDRO DE LOS MILAGROS</t>
  </si>
  <si>
    <t>05665</t>
  </si>
  <si>
    <t>SAN PEDRO DE URABA</t>
  </si>
  <si>
    <t>05667</t>
  </si>
  <si>
    <t>SAN RAFAEL</t>
  </si>
  <si>
    <t>05670</t>
  </si>
  <si>
    <t>SAN ROQUE</t>
  </si>
  <si>
    <t>05679</t>
  </si>
  <si>
    <t>SANTA BARBARA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</si>
  <si>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</si>
  <si>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</si>
  <si>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</si>
  <si>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</si>
  <si>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</si>
  <si>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</si>
  <si>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</si>
  <si>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</si>
  <si>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</si>
  <si>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SONSON</t>
  </si>
  <si>
    <t>05761</t>
  </si>
  <si>
    <t>SOPETRAN</t>
  </si>
  <si>
    <t>05789</t>
  </si>
  <si>
    <t>TAMESIS</t>
  </si>
  <si>
    <t>05790</t>
  </si>
  <si>
    <t>TARAZA</t>
  </si>
  <si>
    <t>05792</t>
  </si>
  <si>
    <t>TARSO</t>
  </si>
  <si>
    <t>05809</t>
  </si>
  <si>
    <t>TITIRIBI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</si>
  <si>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</si>
  <si>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</si>
  <si>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</si>
  <si>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</si>
  <si>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</si>
  <si>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</si>
  <si>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</si>
  <si>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</si>
  <si>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</si>
  <si>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</si>
  <si>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</si>
  <si>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VALPARAISO</t>
  </si>
  <si>
    <t>05858</t>
  </si>
  <si>
    <t>VEGACHI</t>
  </si>
  <si>
    <t>05861</t>
  </si>
  <si>
    <t>VENECIA</t>
  </si>
  <si>
    <t>05873</t>
  </si>
  <si>
    <t>VIGIA DEL FUERTE</t>
  </si>
  <si>
    <t>05885</t>
  </si>
  <si>
    <t>YALI</t>
  </si>
  <si>
    <t>05887</t>
  </si>
  <si>
    <t>YARUMAL</t>
  </si>
  <si>
    <t>05890</t>
  </si>
  <si>
    <t>YOLOMBO</t>
  </si>
  <si>
    <t>05893</t>
  </si>
  <si>
    <t>YONDO</t>
  </si>
  <si>
    <t>05895</t>
  </si>
  <si>
    <t>ZARAGOZA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</si>
</sst>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_-&quot;$&quot;\ * #,##0.00_-;\-&quot;$&quot;\ * #,##0.00_-;_-&quot;$&quot;\ * &quot;-&quot;??_-;_-@_-"/>
    <numFmt numFmtId="167" formatCode="####;\(####\)"/>
    <numFmt numFmtId="168" formatCode="_-&quot;$&quot;\ * #,##0_-;\-&quot;$&quot;\ * #,##0_-;_-&quot;$&quot;\ * &quot;-&quot;??_-;_-@_-"/>
  </numFmts>
  <fonts count="6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8"/>
      <color indexed="9"/>
      <name val="Arial"/>
      <charset val="134"/>
    </font>
    <font>
      <sz val="11"/>
      <color indexed="8"/>
      <name val="Calibri"/>
      <charset val="134"/>
      <scheme val="minor"/>
    </font>
    <font>
      <sz val="10"/>
      <name val="Arial"/>
      <charset val="13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</fills>
  <borders count="2">
    <border>
      <left/>
      <right/>
      <top/>
      <bottom/>
      <diagonal/>
    </border>
    <border>
      <left style="dotted">
        <color indexed="22"/>
      </left>
      <right style="dotted">
        <color indexed="22"/>
      </right>
      <top/>
      <bottom/>
      <diagonal/>
    </border>
  </borders>
  <cellStyleXfs count="5">
    <xf numFmtId="0" fontId="0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/>
    <xf numFmtId="0" fontId="5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4"/>
    <xf numFmtId="167" fontId="3" fillId="0" borderId="0" xfId="3" applyNumberFormat="1" applyFont="1" applyAlignment="1">
      <alignment horizontal="left" vertical="top" wrapText="1"/>
    </xf>
    <xf numFmtId="168" fontId="0" fillId="0" borderId="0" xfId="2" applyNumberFormat="1" applyFont="1" applyFill="1"/>
    <xf numFmtId="0" fontId="5" fillId="0" borderId="0" xfId="4" applyAlignment="1">
      <alignment horizontal="left"/>
    </xf>
    <xf numFmtId="2" fontId="0" fillId="0" borderId="0" xfId="2" applyNumberFormat="1" applyFont="1" applyFill="1"/>
    <xf numFmtId="168" fontId="1" fillId="0" borderId="0" xfId="0" applyNumberFormat="1" applyFont="1"/>
    <xf numFmtId="165" fontId="2" fillId="2" borderId="1" xfId="1" applyFont="1" applyFill="1" applyBorder="1" applyAlignment="1">
      <alignment horizontal="center" vertical="center" wrapText="1"/>
    </xf>
    <xf numFmtId="165" fontId="0" fillId="0" borderId="0" xfId="1" applyFont="1" applyFill="1"/>
    <xf numFmtId="165" fontId="1" fillId="0" borderId="0" xfId="1" applyFont="1"/>
  </cellXfs>
  <cellStyles count="5">
    <cellStyle name="Moneda" xfId="1" builtinId="4"/>
    <cellStyle name="Moneda 3" xfId="2" xr:uid="{00000000-0005-0000-0000-000031000000}"/>
    <cellStyle name="Normal" xfId="0" builtinId="0"/>
    <cellStyle name="Normal 2 2" xfId="3" xr:uid="{00000000-0005-0000-0000-000032000000}"/>
    <cellStyle name="Normal 3" xfId="4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18"/>
  <sheetViews>
    <sheetView tabSelected="1" workbookViewId="0">
      <pane xSplit="2" ySplit="1" topLeftCell="C38" activePane="bottomRight" state="frozen"/>
      <selection pane="topRight"/>
      <selection pane="bottomLeft"/>
      <selection pane="bottomRight" activeCell="A58" sqref="A58:XFD58"/>
    </sheetView>
  </sheetViews>
  <sheetFormatPr baseColWidth="10" defaultColWidth="11.42578125" defaultRowHeight="14.25"/>
  <cols>
    <col min="1" max="1" width="19" style="1" customWidth="1"/>
    <col min="2" max="3" width="11.42578125" style="1"/>
    <col min="4" max="4" width="27.5703125" style="1" customWidth="1"/>
    <col min="5" max="5" width="14.7109375" style="1" customWidth="1"/>
    <col min="6" max="8" width="11.42578125" style="1" customWidth="1"/>
    <col min="9" max="9" width="15" style="1" customWidth="1"/>
    <col min="10" max="10" width="21.5703125" style="1" bestFit="1" customWidth="1"/>
    <col min="11" max="11" width="23.28515625" style="1" customWidth="1"/>
    <col min="12" max="12" width="19.5703125" style="1" customWidth="1"/>
    <col min="13" max="13" width="20.28515625" style="1" customWidth="1"/>
    <col min="14" max="15" width="11.42578125" style="1"/>
    <col min="16" max="16" width="11.42578125" style="1" customWidth="1"/>
    <col min="17" max="17" width="16.140625" style="1" customWidth="1"/>
    <col min="18" max="18" width="15" style="1" customWidth="1"/>
    <col min="19" max="20" width="20.7109375" style="1" customWidth="1"/>
    <col min="21" max="21" width="18" style="1" customWidth="1"/>
    <col min="22" max="22" width="25.28515625" style="13" bestFit="1" customWidth="1"/>
    <col min="23" max="23" width="23" style="13" bestFit="1" customWidth="1"/>
    <col min="24" max="16384" width="11.42578125" style="1"/>
  </cols>
  <sheetData>
    <row r="1" spans="1:23" ht="33.75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1" t="s">
        <v>21</v>
      </c>
      <c r="W1" s="11" t="s">
        <v>22</v>
      </c>
    </row>
    <row r="2" spans="1:23" ht="15">
      <c r="A2" s="5" t="s">
        <v>23</v>
      </c>
      <c r="B2" s="5">
        <v>2</v>
      </c>
      <c r="C2" s="5" t="s">
        <v>24</v>
      </c>
      <c r="D2" s="5" t="s">
        <v>25</v>
      </c>
      <c r="E2" s="6">
        <v>2025</v>
      </c>
      <c r="F2" s="5">
        <v>3861</v>
      </c>
      <c r="G2" s="5">
        <v>5730</v>
      </c>
      <c r="H2" s="5">
        <v>1040000</v>
      </c>
      <c r="I2" s="5">
        <v>407400</v>
      </c>
      <c r="J2" s="7">
        <v>232927626347</v>
      </c>
      <c r="K2" s="7">
        <v>143030948494</v>
      </c>
      <c r="L2" s="7">
        <v>0</v>
      </c>
      <c r="M2" s="7">
        <v>375958565000</v>
      </c>
      <c r="N2" s="8">
        <v>2026</v>
      </c>
      <c r="O2" s="5">
        <v>8264</v>
      </c>
      <c r="P2" s="5">
        <v>12657</v>
      </c>
      <c r="Q2" s="5">
        <v>516790000</v>
      </c>
      <c r="R2" s="5">
        <v>844743</v>
      </c>
      <c r="S2" s="9">
        <v>471136462966</v>
      </c>
      <c r="T2" s="7">
        <v>184039244624</v>
      </c>
      <c r="U2" s="7">
        <v>1489952000</v>
      </c>
      <c r="V2" s="12">
        <v>656665653240</v>
      </c>
      <c r="W2" s="12">
        <f t="shared" ref="W2:W65" si="0">M2+V2</f>
        <v>1032624218240</v>
      </c>
    </row>
    <row r="3" spans="1:23" ht="15">
      <c r="A3" s="5" t="s">
        <v>26</v>
      </c>
      <c r="B3" s="5">
        <v>4</v>
      </c>
      <c r="C3" s="5" t="s">
        <v>27</v>
      </c>
      <c r="D3" s="5" t="s">
        <v>28</v>
      </c>
      <c r="E3" s="6">
        <v>2014</v>
      </c>
      <c r="F3" s="5">
        <v>337</v>
      </c>
      <c r="G3" s="5">
        <v>496</v>
      </c>
      <c r="H3" s="5">
        <v>120000</v>
      </c>
      <c r="I3" s="5">
        <v>31784</v>
      </c>
      <c r="J3" s="7">
        <v>12483026519</v>
      </c>
      <c r="K3" s="7">
        <v>9744222039</v>
      </c>
      <c r="L3" s="7">
        <v>0</v>
      </c>
      <c r="M3" s="7">
        <v>22227246000</v>
      </c>
      <c r="N3" s="8">
        <v>2007</v>
      </c>
      <c r="O3" s="5">
        <v>855</v>
      </c>
      <c r="P3" s="5">
        <v>1372</v>
      </c>
      <c r="Q3" s="5">
        <v>296510000</v>
      </c>
      <c r="R3" s="5">
        <v>46124</v>
      </c>
      <c r="S3" s="9">
        <v>30401460270</v>
      </c>
      <c r="T3" s="7">
        <v>4685119283</v>
      </c>
      <c r="U3" s="7">
        <v>505630000</v>
      </c>
      <c r="V3" s="12">
        <v>35592226000</v>
      </c>
      <c r="W3" s="12">
        <f t="shared" si="0"/>
        <v>57819472000</v>
      </c>
    </row>
    <row r="4" spans="1:23" ht="15">
      <c r="A4" s="5" t="s">
        <v>23</v>
      </c>
      <c r="B4" s="5">
        <v>21</v>
      </c>
      <c r="C4" s="5" t="s">
        <v>29</v>
      </c>
      <c r="D4" s="5" t="s">
        <v>30</v>
      </c>
      <c r="E4" s="6">
        <v>2026</v>
      </c>
      <c r="F4" s="5">
        <v>1239</v>
      </c>
      <c r="G4" s="5">
        <v>1816</v>
      </c>
      <c r="H4" s="5">
        <v>480000</v>
      </c>
      <c r="I4" s="5">
        <v>148526</v>
      </c>
      <c r="J4" s="7">
        <v>60124134410</v>
      </c>
      <c r="K4" s="7">
        <v>64620489721</v>
      </c>
      <c r="L4" s="7">
        <v>792691000</v>
      </c>
      <c r="M4" s="7">
        <v>125537307008</v>
      </c>
      <c r="N4" s="8">
        <v>2026</v>
      </c>
      <c r="O4" s="5">
        <v>1826</v>
      </c>
      <c r="P4" s="5">
        <v>2673</v>
      </c>
      <c r="Q4" s="5">
        <v>144540000</v>
      </c>
      <c r="R4" s="5">
        <v>147049</v>
      </c>
      <c r="S4" s="9">
        <v>136360159269</v>
      </c>
      <c r="T4" s="7">
        <v>43465820316</v>
      </c>
      <c r="U4" s="7">
        <v>0</v>
      </c>
      <c r="V4" s="12">
        <v>179825976145</v>
      </c>
      <c r="W4" s="12">
        <f t="shared" si="0"/>
        <v>305363283153</v>
      </c>
    </row>
    <row r="5" spans="1:23" ht="15">
      <c r="A5" s="5" t="s">
        <v>31</v>
      </c>
      <c r="B5" s="5">
        <v>30</v>
      </c>
      <c r="C5" s="5" t="s">
        <v>32</v>
      </c>
      <c r="D5" s="5" t="s">
        <v>33</v>
      </c>
      <c r="E5" s="6">
        <v>2025</v>
      </c>
      <c r="F5" s="5">
        <v>8600</v>
      </c>
      <c r="G5" s="5">
        <v>11345</v>
      </c>
      <c r="H5" s="5">
        <v>2980000</v>
      </c>
      <c r="I5" s="5">
        <v>839407</v>
      </c>
      <c r="J5" s="7">
        <v>467920109366</v>
      </c>
      <c r="K5" s="7">
        <v>334111189663</v>
      </c>
      <c r="L5" s="7">
        <v>0</v>
      </c>
      <c r="M5" s="7">
        <v>802031263000</v>
      </c>
      <c r="N5" s="8">
        <v>2026</v>
      </c>
      <c r="O5" s="5">
        <v>6082</v>
      </c>
      <c r="P5" s="5">
        <v>9070</v>
      </c>
      <c r="Q5" s="5">
        <v>86630000</v>
      </c>
      <c r="R5" s="5">
        <v>860791</v>
      </c>
      <c r="S5" s="9">
        <v>1118216773190</v>
      </c>
      <c r="T5" s="7">
        <v>285210194108</v>
      </c>
      <c r="U5" s="7">
        <v>12873799000</v>
      </c>
      <c r="V5" s="12">
        <v>1416300774416</v>
      </c>
      <c r="W5" s="12">
        <f t="shared" si="0"/>
        <v>2218332037416</v>
      </c>
    </row>
    <row r="6" spans="1:23" ht="15">
      <c r="A6" s="5" t="s">
        <v>34</v>
      </c>
      <c r="B6" s="5">
        <v>31</v>
      </c>
      <c r="C6" s="5" t="s">
        <v>35</v>
      </c>
      <c r="D6" s="5" t="s">
        <v>36</v>
      </c>
      <c r="E6" s="6">
        <v>2025</v>
      </c>
      <c r="F6" s="5">
        <v>6020</v>
      </c>
      <c r="G6" s="5">
        <v>7714</v>
      </c>
      <c r="H6" s="5">
        <v>1610000</v>
      </c>
      <c r="I6" s="5">
        <v>569889</v>
      </c>
      <c r="J6" s="7">
        <v>362255652661</v>
      </c>
      <c r="K6" s="7">
        <v>330188997199</v>
      </c>
      <c r="L6" s="7">
        <v>0</v>
      </c>
      <c r="M6" s="7">
        <v>692444757000</v>
      </c>
      <c r="N6" s="8">
        <v>2026</v>
      </c>
      <c r="O6" s="5">
        <v>4921</v>
      </c>
      <c r="P6" s="5">
        <v>6795</v>
      </c>
      <c r="Q6" s="5">
        <v>1366830000</v>
      </c>
      <c r="R6" s="5">
        <v>590158</v>
      </c>
      <c r="S6" s="9">
        <v>233540672228</v>
      </c>
      <c r="T6" s="7">
        <v>138137299338</v>
      </c>
      <c r="U6" s="7">
        <v>0</v>
      </c>
      <c r="V6" s="12">
        <v>371677981219</v>
      </c>
      <c r="W6" s="12">
        <f t="shared" si="0"/>
        <v>1064122738219</v>
      </c>
    </row>
    <row r="7" spans="1:23" ht="15">
      <c r="A7" s="5" t="s">
        <v>31</v>
      </c>
      <c r="B7" s="5">
        <v>34</v>
      </c>
      <c r="C7" s="5" t="s">
        <v>37</v>
      </c>
      <c r="D7" s="5" t="s">
        <v>38</v>
      </c>
      <c r="E7" s="6">
        <v>2023</v>
      </c>
      <c r="F7" s="5">
        <v>8345</v>
      </c>
      <c r="G7" s="5">
        <v>11793</v>
      </c>
      <c r="H7" s="5">
        <v>2210000</v>
      </c>
      <c r="I7" s="5">
        <v>869406</v>
      </c>
      <c r="J7" s="7">
        <v>337422167349</v>
      </c>
      <c r="K7" s="7">
        <v>479167023281</v>
      </c>
      <c r="L7" s="7">
        <v>0</v>
      </c>
      <c r="M7" s="7">
        <v>816589284000</v>
      </c>
      <c r="N7" s="8">
        <v>2023</v>
      </c>
      <c r="O7" s="5">
        <v>8542</v>
      </c>
      <c r="P7" s="5">
        <v>13595</v>
      </c>
      <c r="Q7" s="5">
        <v>396070000</v>
      </c>
      <c r="R7" s="5">
        <v>992677</v>
      </c>
      <c r="S7" s="9">
        <v>388481156624</v>
      </c>
      <c r="T7" s="7">
        <v>418770758152</v>
      </c>
      <c r="U7" s="7">
        <v>0</v>
      </c>
      <c r="V7" s="12">
        <v>807251998000</v>
      </c>
      <c r="W7" s="12">
        <f t="shared" si="0"/>
        <v>1623841282000</v>
      </c>
    </row>
    <row r="8" spans="1:23" ht="15">
      <c r="A8" s="5" t="s">
        <v>31</v>
      </c>
      <c r="B8" s="5">
        <v>36</v>
      </c>
      <c r="C8" s="5" t="s">
        <v>39</v>
      </c>
      <c r="D8" s="5" t="s">
        <v>40</v>
      </c>
      <c r="E8" s="6">
        <v>2012</v>
      </c>
      <c r="F8" s="5">
        <v>887</v>
      </c>
      <c r="G8" s="5">
        <v>1265</v>
      </c>
      <c r="H8" s="5">
        <v>920000</v>
      </c>
      <c r="I8" s="5">
        <v>85173</v>
      </c>
      <c r="J8" s="7">
        <v>18427836028</v>
      </c>
      <c r="K8" s="7">
        <v>23973917532</v>
      </c>
      <c r="L8" s="7">
        <v>0</v>
      </c>
      <c r="M8" s="7">
        <v>42401748000</v>
      </c>
      <c r="N8" s="8">
        <v>2007</v>
      </c>
      <c r="O8" s="5">
        <v>1311</v>
      </c>
      <c r="P8" s="5">
        <v>1865</v>
      </c>
      <c r="Q8" s="5">
        <v>92210000</v>
      </c>
      <c r="R8" s="5">
        <v>123246</v>
      </c>
      <c r="S8" s="9">
        <v>62724198515</v>
      </c>
      <c r="T8" s="7">
        <v>25774604779</v>
      </c>
      <c r="U8" s="7">
        <v>0</v>
      </c>
      <c r="V8" s="12">
        <v>88498826000</v>
      </c>
      <c r="W8" s="12">
        <f t="shared" si="0"/>
        <v>130900574000</v>
      </c>
    </row>
    <row r="9" spans="1:23" ht="15">
      <c r="A9" s="5" t="s">
        <v>41</v>
      </c>
      <c r="B9" s="5">
        <v>38</v>
      </c>
      <c r="C9" s="5" t="s">
        <v>42</v>
      </c>
      <c r="D9" s="5" t="s">
        <v>43</v>
      </c>
      <c r="E9" s="6">
        <v>2010</v>
      </c>
      <c r="F9" s="5">
        <v>1113</v>
      </c>
      <c r="G9" s="5">
        <v>1516</v>
      </c>
      <c r="H9" s="5">
        <v>540000</v>
      </c>
      <c r="I9" s="5">
        <v>114081</v>
      </c>
      <c r="J9" s="7">
        <v>40451077640</v>
      </c>
      <c r="K9" s="7">
        <v>36751681416</v>
      </c>
      <c r="L9" s="7">
        <v>0</v>
      </c>
      <c r="M9" s="7">
        <v>77202765000</v>
      </c>
      <c r="N9" s="8">
        <v>2009</v>
      </c>
      <c r="O9" s="5">
        <v>4265</v>
      </c>
      <c r="P9" s="5">
        <v>6093</v>
      </c>
      <c r="Q9" s="5">
        <v>337980000</v>
      </c>
      <c r="R9" s="5">
        <v>340434</v>
      </c>
      <c r="S9" s="9">
        <v>116151479873</v>
      </c>
      <c r="T9" s="7">
        <v>53637644234</v>
      </c>
      <c r="U9" s="7">
        <v>0</v>
      </c>
      <c r="V9" s="12">
        <v>169789115000</v>
      </c>
      <c r="W9" s="12">
        <f t="shared" si="0"/>
        <v>246991880000</v>
      </c>
    </row>
    <row r="10" spans="1:23" ht="15">
      <c r="A10" s="5" t="s">
        <v>34</v>
      </c>
      <c r="B10" s="5">
        <v>40</v>
      </c>
      <c r="C10" s="5" t="s">
        <v>44</v>
      </c>
      <c r="D10" s="5" t="s">
        <v>45</v>
      </c>
      <c r="E10" s="6">
        <v>2015</v>
      </c>
      <c r="F10" s="5">
        <v>3208</v>
      </c>
      <c r="G10" s="5">
        <v>3843</v>
      </c>
      <c r="H10" s="5">
        <v>1370000</v>
      </c>
      <c r="I10" s="5">
        <v>209400</v>
      </c>
      <c r="J10" s="7">
        <v>55943762972</v>
      </c>
      <c r="K10" s="7">
        <v>73268519466</v>
      </c>
      <c r="L10" s="7">
        <v>0</v>
      </c>
      <c r="M10" s="7">
        <v>129212280000</v>
      </c>
      <c r="N10" s="8">
        <v>2015</v>
      </c>
      <c r="O10" s="5">
        <v>3275</v>
      </c>
      <c r="P10" s="5">
        <v>4083</v>
      </c>
      <c r="Q10" s="5">
        <v>1401200000</v>
      </c>
      <c r="R10" s="5">
        <v>230723</v>
      </c>
      <c r="S10" s="9">
        <v>228259689422</v>
      </c>
      <c r="T10" s="7">
        <v>55658162861</v>
      </c>
      <c r="U10" s="7">
        <v>77594000</v>
      </c>
      <c r="V10" s="12">
        <v>283995474000</v>
      </c>
      <c r="W10" s="12">
        <f t="shared" si="0"/>
        <v>413207754000</v>
      </c>
    </row>
    <row r="11" spans="1:23" ht="15">
      <c r="A11" s="5" t="s">
        <v>26</v>
      </c>
      <c r="B11" s="5">
        <v>42</v>
      </c>
      <c r="C11" s="5" t="s">
        <v>46</v>
      </c>
      <c r="D11" s="5" t="s">
        <v>47</v>
      </c>
      <c r="E11" s="6">
        <v>2026</v>
      </c>
      <c r="F11" s="5">
        <v>9200</v>
      </c>
      <c r="G11" s="5">
        <v>13490</v>
      </c>
      <c r="H11" s="5">
        <v>2710000</v>
      </c>
      <c r="I11" s="5">
        <v>1082365</v>
      </c>
      <c r="J11" s="7">
        <v>903525992123</v>
      </c>
      <c r="K11" s="7">
        <v>622346067283</v>
      </c>
      <c r="L11" s="7">
        <v>2815216000</v>
      </c>
      <c r="M11" s="7">
        <v>1528687230009</v>
      </c>
      <c r="N11" s="8">
        <v>2026</v>
      </c>
      <c r="O11" s="5">
        <v>9441</v>
      </c>
      <c r="P11" s="5">
        <v>14457</v>
      </c>
      <c r="Q11" s="5">
        <v>549320000</v>
      </c>
      <c r="R11" s="5">
        <v>967186</v>
      </c>
      <c r="S11" s="9">
        <v>1039673553327</v>
      </c>
      <c r="T11" s="7">
        <v>704616220781</v>
      </c>
      <c r="U11" s="7">
        <v>3040752000</v>
      </c>
      <c r="V11" s="12">
        <v>1747330522483</v>
      </c>
      <c r="W11" s="12">
        <f t="shared" si="0"/>
        <v>3276017752492</v>
      </c>
    </row>
    <row r="12" spans="1:23" ht="15">
      <c r="A12" s="5" t="s">
        <v>26</v>
      </c>
      <c r="B12" s="5">
        <v>44</v>
      </c>
      <c r="C12" s="5" t="s">
        <v>48</v>
      </c>
      <c r="D12" s="5" t="s">
        <v>49</v>
      </c>
      <c r="E12" s="6">
        <v>2014</v>
      </c>
      <c r="F12" s="5">
        <v>692</v>
      </c>
      <c r="G12" s="5">
        <v>894</v>
      </c>
      <c r="H12" s="5">
        <v>220000</v>
      </c>
      <c r="I12" s="5">
        <v>86646</v>
      </c>
      <c r="J12" s="7">
        <v>13540745885</v>
      </c>
      <c r="K12" s="7">
        <v>27426052597</v>
      </c>
      <c r="L12" s="7">
        <v>0</v>
      </c>
      <c r="M12" s="7">
        <v>40966800000</v>
      </c>
      <c r="N12" s="8">
        <v>2012</v>
      </c>
      <c r="O12" s="5">
        <v>2525</v>
      </c>
      <c r="P12" s="5">
        <v>3484</v>
      </c>
      <c r="Q12" s="5">
        <v>251270000</v>
      </c>
      <c r="R12" s="5">
        <v>132547</v>
      </c>
      <c r="S12" s="9">
        <v>132139496328</v>
      </c>
      <c r="T12" s="7">
        <v>21568448028</v>
      </c>
      <c r="U12" s="7">
        <v>0</v>
      </c>
      <c r="V12" s="12">
        <v>153707936000</v>
      </c>
      <c r="W12" s="12">
        <f t="shared" si="0"/>
        <v>194674736000</v>
      </c>
    </row>
    <row r="13" spans="1:23" ht="15">
      <c r="A13" s="5" t="s">
        <v>50</v>
      </c>
      <c r="B13" s="5">
        <v>45</v>
      </c>
      <c r="C13" s="5" t="s">
        <v>51</v>
      </c>
      <c r="D13" s="5" t="s">
        <v>52</v>
      </c>
      <c r="E13" s="6">
        <v>2026</v>
      </c>
      <c r="F13" s="5">
        <v>32760</v>
      </c>
      <c r="G13" s="5">
        <v>40415</v>
      </c>
      <c r="H13" s="5">
        <v>7600000</v>
      </c>
      <c r="I13" s="5">
        <v>3765641</v>
      </c>
      <c r="J13" s="7">
        <v>1840859184085</v>
      </c>
      <c r="K13" s="7">
        <v>2218413067356</v>
      </c>
      <c r="L13" s="7">
        <v>4277992000</v>
      </c>
      <c r="M13" s="7">
        <v>4063550320029</v>
      </c>
      <c r="N13" s="8">
        <v>2026</v>
      </c>
      <c r="O13" s="5">
        <v>10816</v>
      </c>
      <c r="P13" s="5">
        <v>12913</v>
      </c>
      <c r="Q13" s="5">
        <v>705840000</v>
      </c>
      <c r="R13" s="5">
        <v>1130909</v>
      </c>
      <c r="S13" s="9">
        <v>746491551149</v>
      </c>
      <c r="T13" s="7">
        <v>343902383627</v>
      </c>
      <c r="U13" s="7">
        <v>30881469000</v>
      </c>
      <c r="V13" s="12">
        <v>1121275437796</v>
      </c>
      <c r="W13" s="12">
        <f t="shared" si="0"/>
        <v>5184825757825</v>
      </c>
    </row>
    <row r="14" spans="1:23" ht="15">
      <c r="A14" s="5" t="s">
        <v>50</v>
      </c>
      <c r="B14" s="5">
        <v>51</v>
      </c>
      <c r="C14" s="5" t="s">
        <v>53</v>
      </c>
      <c r="D14" s="5" t="s">
        <v>54</v>
      </c>
      <c r="E14" s="6">
        <v>2024</v>
      </c>
      <c r="F14" s="5">
        <v>5004</v>
      </c>
      <c r="G14" s="5">
        <v>5879</v>
      </c>
      <c r="H14" s="5">
        <v>1100000</v>
      </c>
      <c r="I14" s="5">
        <v>438754</v>
      </c>
      <c r="J14" s="7">
        <v>146502840596</v>
      </c>
      <c r="K14" s="7">
        <v>101371011437</v>
      </c>
      <c r="L14" s="7">
        <v>0</v>
      </c>
      <c r="M14" s="7">
        <v>247873730000</v>
      </c>
      <c r="N14" s="8">
        <v>2026</v>
      </c>
      <c r="O14" s="5">
        <v>9481</v>
      </c>
      <c r="P14" s="5">
        <v>11370</v>
      </c>
      <c r="Q14" s="5">
        <v>878470000</v>
      </c>
      <c r="R14" s="5">
        <v>788970</v>
      </c>
      <c r="S14" s="9">
        <v>379383505210</v>
      </c>
      <c r="T14" s="7">
        <v>149234300551</v>
      </c>
      <c r="U14" s="7">
        <v>0</v>
      </c>
      <c r="V14" s="12">
        <v>528617815149</v>
      </c>
      <c r="W14" s="12">
        <f t="shared" si="0"/>
        <v>776491545149</v>
      </c>
    </row>
    <row r="15" spans="1:23" ht="15">
      <c r="A15" s="5" t="s">
        <v>23</v>
      </c>
      <c r="B15" s="5">
        <v>55</v>
      </c>
      <c r="C15" s="5" t="s">
        <v>55</v>
      </c>
      <c r="D15" s="5" t="s">
        <v>56</v>
      </c>
      <c r="E15" s="6">
        <v>2006</v>
      </c>
      <c r="F15" s="5">
        <v>1559</v>
      </c>
      <c r="G15" s="5">
        <v>1907</v>
      </c>
      <c r="H15" s="5">
        <v>420000</v>
      </c>
      <c r="I15" s="5">
        <v>127734</v>
      </c>
      <c r="J15" s="7">
        <v>16310527961</v>
      </c>
      <c r="K15" s="7">
        <v>43627796939</v>
      </c>
      <c r="L15" s="7">
        <v>0</v>
      </c>
      <c r="M15" s="7">
        <v>59938314000</v>
      </c>
      <c r="N15" s="8">
        <v>2007</v>
      </c>
      <c r="O15" s="5">
        <v>3085</v>
      </c>
      <c r="P15" s="5">
        <v>3891</v>
      </c>
      <c r="Q15" s="5">
        <v>257980000</v>
      </c>
      <c r="R15" s="5">
        <v>72494</v>
      </c>
      <c r="S15" s="9">
        <v>23343321099</v>
      </c>
      <c r="T15" s="7">
        <v>13057394566</v>
      </c>
      <c r="U15" s="7">
        <v>0</v>
      </c>
      <c r="V15" s="12">
        <v>36400671000</v>
      </c>
      <c r="W15" s="12">
        <f t="shared" si="0"/>
        <v>96338985000</v>
      </c>
    </row>
    <row r="16" spans="1:23" ht="15">
      <c r="A16" s="5" t="s">
        <v>26</v>
      </c>
      <c r="B16" s="5">
        <v>59</v>
      </c>
      <c r="C16" s="5" t="s">
        <v>57</v>
      </c>
      <c r="D16" s="5" t="s">
        <v>58</v>
      </c>
      <c r="E16" s="6">
        <v>2026</v>
      </c>
      <c r="F16" s="5">
        <v>608</v>
      </c>
      <c r="G16" s="5">
        <v>895</v>
      </c>
      <c r="H16" s="5">
        <v>290000</v>
      </c>
      <c r="I16" s="5">
        <v>87977</v>
      </c>
      <c r="J16" s="7">
        <v>37833457373</v>
      </c>
      <c r="K16" s="7">
        <v>33070210792</v>
      </c>
      <c r="L16" s="7">
        <v>0</v>
      </c>
      <c r="M16" s="7">
        <v>70903655006</v>
      </c>
      <c r="N16" s="8">
        <v>2026</v>
      </c>
      <c r="O16" s="5">
        <v>1771</v>
      </c>
      <c r="P16" s="5">
        <v>2867</v>
      </c>
      <c r="Q16" s="5">
        <v>109000000</v>
      </c>
      <c r="R16" s="5">
        <v>192350</v>
      </c>
      <c r="S16" s="9">
        <v>86232665395</v>
      </c>
      <c r="T16" s="7">
        <v>57907398280</v>
      </c>
      <c r="U16" s="7">
        <v>255591000</v>
      </c>
      <c r="V16" s="12">
        <v>144395666069</v>
      </c>
      <c r="W16" s="12">
        <f t="shared" si="0"/>
        <v>215299321075</v>
      </c>
    </row>
    <row r="17" spans="1:23" ht="15">
      <c r="A17" s="5" t="s">
        <v>41</v>
      </c>
      <c r="B17" s="5">
        <v>86</v>
      </c>
      <c r="C17" s="5" t="s">
        <v>59</v>
      </c>
      <c r="D17" s="5" t="s">
        <v>60</v>
      </c>
      <c r="E17" s="6">
        <v>2014</v>
      </c>
      <c r="F17" s="5">
        <v>747</v>
      </c>
      <c r="G17" s="5">
        <v>1152</v>
      </c>
      <c r="H17" s="5">
        <v>590000</v>
      </c>
      <c r="I17" s="5">
        <v>84013</v>
      </c>
      <c r="J17" s="7">
        <v>47334464039</v>
      </c>
      <c r="K17" s="7">
        <v>26939439655</v>
      </c>
      <c r="L17" s="7">
        <v>0</v>
      </c>
      <c r="M17" s="7">
        <v>74273917000</v>
      </c>
      <c r="N17" s="8">
        <v>2016</v>
      </c>
      <c r="O17" s="5">
        <v>2152</v>
      </c>
      <c r="P17" s="5">
        <v>3548</v>
      </c>
      <c r="Q17" s="5">
        <v>282500000</v>
      </c>
      <c r="R17" s="5">
        <v>231014</v>
      </c>
      <c r="S17" s="9">
        <v>172297169418</v>
      </c>
      <c r="T17" s="7">
        <v>53240682029</v>
      </c>
      <c r="U17" s="7">
        <v>0</v>
      </c>
      <c r="V17" s="12">
        <v>225537879000</v>
      </c>
      <c r="W17" s="12">
        <f t="shared" si="0"/>
        <v>299811796000</v>
      </c>
    </row>
    <row r="18" spans="1:23" ht="15">
      <c r="A18" s="5" t="s">
        <v>31</v>
      </c>
      <c r="B18" s="5">
        <v>91</v>
      </c>
      <c r="C18" s="5" t="s">
        <v>61</v>
      </c>
      <c r="D18" s="5" t="s">
        <v>62</v>
      </c>
      <c r="E18" s="6">
        <v>2025</v>
      </c>
      <c r="F18" s="5">
        <v>1205</v>
      </c>
      <c r="G18" s="5">
        <v>1629</v>
      </c>
      <c r="H18" s="5">
        <v>280000</v>
      </c>
      <c r="I18" s="5">
        <v>163834</v>
      </c>
      <c r="J18" s="7">
        <v>47991950467</v>
      </c>
      <c r="K18" s="7">
        <v>69324611425</v>
      </c>
      <c r="L18" s="7">
        <v>0</v>
      </c>
      <c r="M18" s="7">
        <v>117316579000</v>
      </c>
      <c r="N18" s="8">
        <v>2026</v>
      </c>
      <c r="O18" s="5">
        <v>2797</v>
      </c>
      <c r="P18" s="5">
        <v>4125</v>
      </c>
      <c r="Q18" s="5">
        <v>266810000</v>
      </c>
      <c r="R18" s="5">
        <v>402218</v>
      </c>
      <c r="S18" s="9">
        <v>218336598559</v>
      </c>
      <c r="T18" s="7">
        <v>99414695621</v>
      </c>
      <c r="U18" s="7">
        <v>0</v>
      </c>
      <c r="V18" s="12">
        <v>317751298069</v>
      </c>
      <c r="W18" s="12">
        <f t="shared" si="0"/>
        <v>435067877069</v>
      </c>
    </row>
    <row r="19" spans="1:23" ht="15">
      <c r="A19" s="5" t="s">
        <v>31</v>
      </c>
      <c r="B19" s="5">
        <v>93</v>
      </c>
      <c r="C19" s="5" t="s">
        <v>63</v>
      </c>
      <c r="D19" s="5" t="s">
        <v>64</v>
      </c>
      <c r="E19" s="6">
        <v>2007</v>
      </c>
      <c r="F19" s="5">
        <v>1987</v>
      </c>
      <c r="G19" s="5">
        <v>2598</v>
      </c>
      <c r="H19" s="5">
        <v>440000</v>
      </c>
      <c r="I19" s="5">
        <v>195290</v>
      </c>
      <c r="J19" s="7">
        <v>31487723819</v>
      </c>
      <c r="K19" s="7">
        <v>63240743915</v>
      </c>
      <c r="L19" s="7">
        <v>0</v>
      </c>
      <c r="M19" s="7">
        <v>94728455000</v>
      </c>
      <c r="N19" s="8">
        <v>2008</v>
      </c>
      <c r="O19" s="5">
        <v>4423</v>
      </c>
      <c r="P19" s="5">
        <v>6669</v>
      </c>
      <c r="Q19" s="5">
        <v>258020000</v>
      </c>
      <c r="R19" s="5">
        <v>290702</v>
      </c>
      <c r="S19" s="9">
        <v>165423600178</v>
      </c>
      <c r="T19" s="7">
        <v>51002581916</v>
      </c>
      <c r="U19" s="7">
        <v>0</v>
      </c>
      <c r="V19" s="12">
        <v>216426198000</v>
      </c>
      <c r="W19" s="12">
        <f t="shared" si="0"/>
        <v>311154653000</v>
      </c>
    </row>
    <row r="20" spans="1:23" ht="15">
      <c r="A20" s="5" t="s">
        <v>31</v>
      </c>
      <c r="B20" s="5">
        <v>101</v>
      </c>
      <c r="C20" s="5" t="s">
        <v>65</v>
      </c>
      <c r="D20" s="5" t="s">
        <v>66</v>
      </c>
      <c r="E20" s="6">
        <v>2026</v>
      </c>
      <c r="F20" s="5">
        <v>6222</v>
      </c>
      <c r="G20" s="5">
        <v>9310</v>
      </c>
      <c r="H20" s="5">
        <v>1440000</v>
      </c>
      <c r="I20" s="5">
        <v>750382</v>
      </c>
      <c r="J20" s="7">
        <v>372693473973</v>
      </c>
      <c r="K20" s="7">
        <v>460228525258</v>
      </c>
      <c r="L20" s="7">
        <v>0</v>
      </c>
      <c r="M20" s="7">
        <v>832922024025</v>
      </c>
      <c r="N20" s="8">
        <v>2026</v>
      </c>
      <c r="O20" s="5">
        <v>3864</v>
      </c>
      <c r="P20" s="5">
        <v>7014</v>
      </c>
      <c r="Q20" s="5">
        <v>262610000</v>
      </c>
      <c r="R20" s="5">
        <v>592986</v>
      </c>
      <c r="S20" s="9">
        <v>265948498479</v>
      </c>
      <c r="T20" s="7">
        <v>156646958219</v>
      </c>
      <c r="U20" s="7">
        <v>0</v>
      </c>
      <c r="V20" s="12">
        <v>422595476000</v>
      </c>
      <c r="W20" s="12">
        <f t="shared" si="0"/>
        <v>1255517500025</v>
      </c>
    </row>
    <row r="21" spans="1:23" ht="15">
      <c r="A21" s="5" t="s">
        <v>34</v>
      </c>
      <c r="B21" s="5">
        <v>107</v>
      </c>
      <c r="C21" s="5" t="s">
        <v>67</v>
      </c>
      <c r="D21" s="5" t="s">
        <v>68</v>
      </c>
      <c r="E21" s="6">
        <v>2008</v>
      </c>
      <c r="F21" s="5">
        <v>1276</v>
      </c>
      <c r="G21" s="5">
        <v>1463</v>
      </c>
      <c r="H21" s="5">
        <v>330000</v>
      </c>
      <c r="I21" s="5">
        <v>75390</v>
      </c>
      <c r="J21" s="7">
        <v>10428289468</v>
      </c>
      <c r="K21" s="7">
        <v>19283506581</v>
      </c>
      <c r="L21" s="7">
        <v>0</v>
      </c>
      <c r="M21" s="7">
        <v>29711783000</v>
      </c>
      <c r="N21" s="8">
        <v>2004</v>
      </c>
      <c r="O21" s="5">
        <v>1966</v>
      </c>
      <c r="P21" s="5">
        <v>2675</v>
      </c>
      <c r="Q21" s="5">
        <v>365090000</v>
      </c>
      <c r="R21" s="5">
        <v>93772</v>
      </c>
      <c r="S21" s="9">
        <v>43390756970</v>
      </c>
      <c r="T21" s="7">
        <v>13234776157</v>
      </c>
      <c r="U21" s="7">
        <v>0</v>
      </c>
      <c r="V21" s="12">
        <v>56625527000</v>
      </c>
      <c r="W21" s="12">
        <f t="shared" si="0"/>
        <v>86337310000</v>
      </c>
    </row>
    <row r="22" spans="1:23" ht="15">
      <c r="A22" s="5" t="s">
        <v>26</v>
      </c>
      <c r="B22" s="5">
        <v>113</v>
      </c>
      <c r="C22" s="5" t="s">
        <v>69</v>
      </c>
      <c r="D22" s="5" t="s">
        <v>70</v>
      </c>
      <c r="E22" s="6">
        <v>2018</v>
      </c>
      <c r="F22" s="5">
        <v>636</v>
      </c>
      <c r="G22" s="5">
        <v>919</v>
      </c>
      <c r="H22" s="5">
        <v>230000</v>
      </c>
      <c r="I22" s="5">
        <v>104442</v>
      </c>
      <c r="J22" s="7">
        <v>32366090120</v>
      </c>
      <c r="K22" s="7">
        <v>42788848073</v>
      </c>
      <c r="L22" s="7">
        <v>0</v>
      </c>
      <c r="M22" s="7">
        <v>75154951000</v>
      </c>
      <c r="N22" s="8">
        <v>2021</v>
      </c>
      <c r="O22" s="5">
        <v>2857</v>
      </c>
      <c r="P22" s="5">
        <v>3820</v>
      </c>
      <c r="Q22" s="5">
        <v>354410000</v>
      </c>
      <c r="R22" s="5">
        <v>314123</v>
      </c>
      <c r="S22" s="9">
        <v>8295352855</v>
      </c>
      <c r="T22" s="7">
        <v>35348042499</v>
      </c>
      <c r="U22" s="7">
        <v>0</v>
      </c>
      <c r="V22" s="12">
        <v>43643422000</v>
      </c>
      <c r="W22" s="12">
        <f t="shared" si="0"/>
        <v>118798373000</v>
      </c>
    </row>
    <row r="23" spans="1:23" ht="15">
      <c r="A23" s="5" t="s">
        <v>34</v>
      </c>
      <c r="B23" s="5">
        <v>120</v>
      </c>
      <c r="C23" s="5" t="s">
        <v>71</v>
      </c>
      <c r="D23" s="5" t="s">
        <v>72</v>
      </c>
      <c r="E23" s="6">
        <v>2023</v>
      </c>
      <c r="F23" s="5">
        <v>7363</v>
      </c>
      <c r="G23" s="5">
        <v>7799</v>
      </c>
      <c r="H23" s="5">
        <v>2030000</v>
      </c>
      <c r="I23" s="5">
        <v>516478</v>
      </c>
      <c r="J23" s="7">
        <v>32763410774</v>
      </c>
      <c r="K23" s="7">
        <v>133849214698</v>
      </c>
      <c r="L23" s="7">
        <v>0</v>
      </c>
      <c r="M23" s="7">
        <v>166612451000</v>
      </c>
      <c r="N23" s="8">
        <v>2024</v>
      </c>
      <c r="O23" s="5">
        <v>6194</v>
      </c>
      <c r="P23" s="5">
        <v>7817</v>
      </c>
      <c r="Q23" s="5">
        <v>2461030000</v>
      </c>
      <c r="R23" s="5">
        <v>671098</v>
      </c>
      <c r="S23" s="9">
        <v>244312880001</v>
      </c>
      <c r="T23" s="7">
        <v>80318921655</v>
      </c>
      <c r="U23" s="7">
        <v>0</v>
      </c>
      <c r="V23" s="12">
        <v>324631848000</v>
      </c>
      <c r="W23" s="12">
        <f t="shared" si="0"/>
        <v>491244299000</v>
      </c>
    </row>
    <row r="24" spans="1:23" ht="15">
      <c r="A24" s="5" t="s">
        <v>26</v>
      </c>
      <c r="B24" s="5">
        <v>125</v>
      </c>
      <c r="C24" s="5" t="s">
        <v>73</v>
      </c>
      <c r="D24" s="5" t="s">
        <v>74</v>
      </c>
      <c r="E24" s="6">
        <v>2020</v>
      </c>
      <c r="F24" s="5">
        <v>709</v>
      </c>
      <c r="G24" s="5">
        <v>915</v>
      </c>
      <c r="H24" s="5">
        <v>170000</v>
      </c>
      <c r="I24" s="5">
        <v>76686</v>
      </c>
      <c r="J24" s="7">
        <v>10455569407</v>
      </c>
      <c r="K24" s="7">
        <v>15489504954</v>
      </c>
      <c r="L24" s="7">
        <v>0</v>
      </c>
      <c r="M24" s="7">
        <v>25945074000</v>
      </c>
      <c r="N24" s="8">
        <v>2004</v>
      </c>
      <c r="O24" s="5">
        <v>2620</v>
      </c>
      <c r="P24" s="5">
        <v>3767</v>
      </c>
      <c r="Q24" s="5">
        <v>201250000</v>
      </c>
      <c r="R24" s="5">
        <v>74546</v>
      </c>
      <c r="S24" s="9">
        <v>75163535027</v>
      </c>
      <c r="T24" s="7">
        <v>10543579868</v>
      </c>
      <c r="U24" s="7">
        <v>0</v>
      </c>
      <c r="V24" s="12">
        <v>85707141000</v>
      </c>
      <c r="W24" s="12">
        <f t="shared" si="0"/>
        <v>111652215000</v>
      </c>
    </row>
    <row r="25" spans="1:23" ht="15">
      <c r="A25" s="5" t="s">
        <v>75</v>
      </c>
      <c r="B25" s="5">
        <v>129</v>
      </c>
      <c r="C25" s="5" t="s">
        <v>76</v>
      </c>
      <c r="D25" s="5" t="s">
        <v>77</v>
      </c>
      <c r="E25" s="6">
        <v>2016</v>
      </c>
      <c r="F25" s="5">
        <v>25246</v>
      </c>
      <c r="G25" s="5">
        <v>35435</v>
      </c>
      <c r="H25" s="5">
        <v>3130000</v>
      </c>
      <c r="I25" s="5">
        <v>2162770</v>
      </c>
      <c r="J25" s="7">
        <v>804424361858</v>
      </c>
      <c r="K25" s="7">
        <v>1090850438007</v>
      </c>
      <c r="L25" s="7">
        <v>18467239000</v>
      </c>
      <c r="M25" s="7">
        <v>1913742076000</v>
      </c>
      <c r="N25" s="8">
        <v>2012</v>
      </c>
      <c r="O25" s="5">
        <v>6328</v>
      </c>
      <c r="P25" s="5">
        <v>9814</v>
      </c>
      <c r="Q25" s="5">
        <v>131160000</v>
      </c>
      <c r="R25" s="5">
        <v>749703</v>
      </c>
      <c r="S25" s="9">
        <v>929952670744</v>
      </c>
      <c r="T25" s="7">
        <v>260031108707</v>
      </c>
      <c r="U25" s="7">
        <v>50485675000</v>
      </c>
      <c r="V25" s="12">
        <v>1240469504000</v>
      </c>
      <c r="W25" s="12">
        <f t="shared" si="0"/>
        <v>3154211580000</v>
      </c>
    </row>
    <row r="26" spans="1:23" ht="15">
      <c r="A26" s="5" t="s">
        <v>41</v>
      </c>
      <c r="B26" s="5">
        <v>134</v>
      </c>
      <c r="C26" s="5" t="s">
        <v>78</v>
      </c>
      <c r="D26" s="5" t="s">
        <v>79</v>
      </c>
      <c r="E26" s="6">
        <v>2009</v>
      </c>
      <c r="F26" s="5">
        <v>774</v>
      </c>
      <c r="G26" s="5">
        <v>1030</v>
      </c>
      <c r="H26" s="5">
        <v>430000</v>
      </c>
      <c r="I26" s="5">
        <v>72357</v>
      </c>
      <c r="J26" s="7">
        <v>18952011311</v>
      </c>
      <c r="K26" s="7">
        <v>22516292788</v>
      </c>
      <c r="L26" s="7">
        <v>0</v>
      </c>
      <c r="M26" s="7">
        <v>41468302000</v>
      </c>
      <c r="N26" s="8">
        <v>2010</v>
      </c>
      <c r="O26" s="5">
        <v>3093</v>
      </c>
      <c r="P26" s="5">
        <v>4073</v>
      </c>
      <c r="Q26" s="5">
        <v>229710000</v>
      </c>
      <c r="R26" s="5">
        <v>204735</v>
      </c>
      <c r="S26" s="9">
        <v>48767852353</v>
      </c>
      <c r="T26" s="7">
        <v>36804052043</v>
      </c>
      <c r="U26" s="7">
        <v>0</v>
      </c>
      <c r="V26" s="12">
        <v>85571918000</v>
      </c>
      <c r="W26" s="12">
        <f t="shared" si="0"/>
        <v>127040220000</v>
      </c>
    </row>
    <row r="27" spans="1:23" ht="15">
      <c r="A27" s="5" t="s">
        <v>26</v>
      </c>
      <c r="B27" s="5">
        <v>138</v>
      </c>
      <c r="C27" s="5" t="s">
        <v>80</v>
      </c>
      <c r="D27" s="5" t="s">
        <v>81</v>
      </c>
      <c r="E27" s="6">
        <v>2008</v>
      </c>
      <c r="F27" s="5">
        <v>2512</v>
      </c>
      <c r="G27" s="5">
        <v>3107</v>
      </c>
      <c r="H27" s="5">
        <v>840000</v>
      </c>
      <c r="I27" s="5">
        <v>231364</v>
      </c>
      <c r="J27" s="7">
        <v>38332925254</v>
      </c>
      <c r="K27" s="7">
        <v>80044240217</v>
      </c>
      <c r="L27" s="7">
        <v>0</v>
      </c>
      <c r="M27" s="7">
        <v>118377126000</v>
      </c>
      <c r="N27" s="8">
        <v>2013</v>
      </c>
      <c r="O27" s="5">
        <v>5655</v>
      </c>
      <c r="P27" s="5">
        <v>7321</v>
      </c>
      <c r="Q27" s="5">
        <v>364030000</v>
      </c>
      <c r="R27" s="5">
        <v>273111</v>
      </c>
      <c r="S27" s="9">
        <v>82103064173</v>
      </c>
      <c r="T27" s="7">
        <v>48007318053</v>
      </c>
      <c r="U27" s="7">
        <v>0</v>
      </c>
      <c r="V27" s="12">
        <v>130110408000</v>
      </c>
      <c r="W27" s="12">
        <f t="shared" si="0"/>
        <v>248487534000</v>
      </c>
    </row>
    <row r="28" spans="1:23" ht="15">
      <c r="A28" s="5" t="s">
        <v>82</v>
      </c>
      <c r="B28" s="5">
        <v>142</v>
      </c>
      <c r="C28" s="5" t="s">
        <v>83</v>
      </c>
      <c r="D28" s="5" t="s">
        <v>84</v>
      </c>
      <c r="E28" s="6">
        <v>2019</v>
      </c>
      <c r="F28" s="5">
        <v>1003</v>
      </c>
      <c r="G28" s="5">
        <v>1337</v>
      </c>
      <c r="H28" s="5">
        <v>250000</v>
      </c>
      <c r="I28" s="5">
        <v>115837</v>
      </c>
      <c r="J28" s="7">
        <v>14828108204</v>
      </c>
      <c r="K28" s="7">
        <v>24381196380</v>
      </c>
      <c r="L28" s="7">
        <v>0</v>
      </c>
      <c r="M28" s="7">
        <v>39209298000</v>
      </c>
      <c r="N28" s="8">
        <v>2020</v>
      </c>
      <c r="O28" s="5">
        <v>1041</v>
      </c>
      <c r="P28" s="5">
        <v>1401</v>
      </c>
      <c r="Q28" s="5">
        <v>275800000</v>
      </c>
      <c r="R28" s="5">
        <v>95147</v>
      </c>
      <c r="S28" s="9">
        <v>35907400355</v>
      </c>
      <c r="T28" s="7">
        <v>14702679993</v>
      </c>
      <c r="U28" s="7">
        <v>0</v>
      </c>
      <c r="V28" s="12">
        <v>50610070000</v>
      </c>
      <c r="W28" s="12">
        <f t="shared" si="0"/>
        <v>89819368000</v>
      </c>
    </row>
    <row r="29" spans="1:23" ht="15">
      <c r="A29" s="5" t="s">
        <v>31</v>
      </c>
      <c r="B29" s="5">
        <v>145</v>
      </c>
      <c r="C29" s="5" t="s">
        <v>85</v>
      </c>
      <c r="D29" s="5" t="s">
        <v>86</v>
      </c>
      <c r="E29" s="6">
        <v>2014</v>
      </c>
      <c r="F29" s="5">
        <v>933</v>
      </c>
      <c r="G29" s="5">
        <v>1412</v>
      </c>
      <c r="H29" s="5">
        <v>310000</v>
      </c>
      <c r="I29" s="5">
        <v>114408</v>
      </c>
      <c r="J29" s="7">
        <v>32322923645</v>
      </c>
      <c r="K29" s="7">
        <v>28123865472</v>
      </c>
      <c r="L29" s="7">
        <v>0</v>
      </c>
      <c r="M29" s="7">
        <v>60446781000</v>
      </c>
      <c r="N29" s="8">
        <v>2009</v>
      </c>
      <c r="O29" s="5">
        <v>2483</v>
      </c>
      <c r="P29" s="5">
        <v>3887</v>
      </c>
      <c r="Q29" s="5">
        <v>92220000</v>
      </c>
      <c r="R29" s="5">
        <v>95201</v>
      </c>
      <c r="S29" s="9">
        <v>86111577296</v>
      </c>
      <c r="T29" s="7">
        <v>9596863231</v>
      </c>
      <c r="U29" s="7">
        <v>24797134000</v>
      </c>
      <c r="V29" s="12">
        <v>120505595000</v>
      </c>
      <c r="W29" s="12">
        <f t="shared" si="0"/>
        <v>180952376000</v>
      </c>
    </row>
    <row r="30" spans="1:23" ht="15">
      <c r="A30" s="5" t="s">
        <v>50</v>
      </c>
      <c r="B30" s="5">
        <v>147</v>
      </c>
      <c r="C30" s="5" t="s">
        <v>87</v>
      </c>
      <c r="D30" s="5" t="s">
        <v>88</v>
      </c>
      <c r="E30" s="6">
        <v>2025</v>
      </c>
      <c r="F30" s="5">
        <v>13099</v>
      </c>
      <c r="G30" s="5">
        <v>14933</v>
      </c>
      <c r="H30" s="5">
        <v>3180000</v>
      </c>
      <c r="I30" s="5">
        <v>1107478</v>
      </c>
      <c r="J30" s="7">
        <v>536333884756</v>
      </c>
      <c r="K30" s="7">
        <v>449891585244</v>
      </c>
      <c r="L30" s="7">
        <v>0</v>
      </c>
      <c r="M30" s="7">
        <v>986225507000</v>
      </c>
      <c r="N30" s="8">
        <v>2026</v>
      </c>
      <c r="O30" s="5">
        <v>4888</v>
      </c>
      <c r="P30" s="5">
        <v>6090</v>
      </c>
      <c r="Q30" s="5">
        <v>438150000</v>
      </c>
      <c r="R30" s="5">
        <v>827883</v>
      </c>
      <c r="S30" s="9">
        <v>393083127410</v>
      </c>
      <c r="T30" s="7">
        <v>257613014251</v>
      </c>
      <c r="U30" s="7">
        <v>2523194000</v>
      </c>
      <c r="V30" s="12">
        <v>653219330280</v>
      </c>
      <c r="W30" s="12">
        <f t="shared" si="0"/>
        <v>1639444837280</v>
      </c>
    </row>
    <row r="31" spans="1:23" ht="15">
      <c r="A31" s="5" t="s">
        <v>23</v>
      </c>
      <c r="B31" s="5">
        <v>148</v>
      </c>
      <c r="C31" s="5" t="s">
        <v>89</v>
      </c>
      <c r="D31" s="5" t="s">
        <v>90</v>
      </c>
      <c r="E31" s="6">
        <v>2011</v>
      </c>
      <c r="F31" s="5">
        <v>17789</v>
      </c>
      <c r="G31" s="5">
        <v>23215</v>
      </c>
      <c r="H31" s="5">
        <v>2750000</v>
      </c>
      <c r="I31" s="5">
        <v>1392123</v>
      </c>
      <c r="J31" s="7">
        <v>777267870493</v>
      </c>
      <c r="K31" s="7">
        <v>815805740937</v>
      </c>
      <c r="L31" s="7">
        <v>5303009000</v>
      </c>
      <c r="M31" s="7">
        <v>1598376680000</v>
      </c>
      <c r="N31" s="8">
        <v>2013</v>
      </c>
      <c r="O31" s="5">
        <v>12701</v>
      </c>
      <c r="P31" s="5">
        <v>22533</v>
      </c>
      <c r="Q31" s="5">
        <v>447920000</v>
      </c>
      <c r="R31" s="5">
        <v>1597474</v>
      </c>
      <c r="S31" s="9">
        <v>2915524795703</v>
      </c>
      <c r="T31" s="7">
        <v>502221198802</v>
      </c>
      <c r="U31" s="7">
        <v>32871317000</v>
      </c>
      <c r="V31" s="12">
        <v>3450617459000</v>
      </c>
      <c r="W31" s="12">
        <f t="shared" si="0"/>
        <v>5048994139000</v>
      </c>
    </row>
    <row r="32" spans="1:23" ht="15">
      <c r="A32" s="5" t="s">
        <v>41</v>
      </c>
      <c r="B32" s="5">
        <v>150</v>
      </c>
      <c r="C32" s="5" t="s">
        <v>91</v>
      </c>
      <c r="D32" s="5" t="s">
        <v>92</v>
      </c>
      <c r="E32" s="6">
        <v>2026</v>
      </c>
      <c r="F32" s="5">
        <v>1670</v>
      </c>
      <c r="G32" s="5">
        <v>2365</v>
      </c>
      <c r="H32" s="5">
        <v>1040000</v>
      </c>
      <c r="I32" s="5">
        <v>193467</v>
      </c>
      <c r="J32" s="7">
        <v>119965983457</v>
      </c>
      <c r="K32" s="7">
        <v>72106976790</v>
      </c>
      <c r="L32" s="7">
        <v>0</v>
      </c>
      <c r="M32" s="7">
        <v>192072956023</v>
      </c>
      <c r="N32" s="8">
        <v>2003</v>
      </c>
      <c r="O32" s="5">
        <v>1039</v>
      </c>
      <c r="P32" s="5">
        <v>1563</v>
      </c>
      <c r="Q32" s="5">
        <v>152780000</v>
      </c>
      <c r="R32" s="5">
        <v>70537</v>
      </c>
      <c r="S32" s="9">
        <v>91504866812</v>
      </c>
      <c r="T32" s="7">
        <v>17635426869</v>
      </c>
      <c r="U32" s="7">
        <v>0</v>
      </c>
      <c r="V32" s="12">
        <v>109140295000</v>
      </c>
      <c r="W32" s="12">
        <f t="shared" si="0"/>
        <v>301213251023</v>
      </c>
    </row>
    <row r="33" spans="1:23" ht="15">
      <c r="A33" s="5" t="s">
        <v>34</v>
      </c>
      <c r="B33" s="5">
        <v>154</v>
      </c>
      <c r="C33" s="5" t="s">
        <v>93</v>
      </c>
      <c r="D33" s="5" t="s">
        <v>94</v>
      </c>
      <c r="E33" s="6">
        <v>2026</v>
      </c>
      <c r="F33" s="5">
        <v>40416</v>
      </c>
      <c r="G33" s="5">
        <v>45043</v>
      </c>
      <c r="H33" s="5">
        <v>24380000</v>
      </c>
      <c r="I33" s="5">
        <v>3537337</v>
      </c>
      <c r="J33" s="7">
        <v>2305790319782</v>
      </c>
      <c r="K33" s="7">
        <v>2002267958174</v>
      </c>
      <c r="L33" s="7">
        <v>280258000</v>
      </c>
      <c r="M33" s="7">
        <v>4308338564690</v>
      </c>
      <c r="N33" s="8">
        <v>2026</v>
      </c>
      <c r="O33" s="5">
        <v>5560</v>
      </c>
      <c r="P33" s="5">
        <v>6714</v>
      </c>
      <c r="Q33" s="5">
        <v>1668810000</v>
      </c>
      <c r="R33" s="5">
        <v>748548</v>
      </c>
      <c r="S33" s="9">
        <v>505486241108</v>
      </c>
      <c r="T33" s="7">
        <v>138269013971</v>
      </c>
      <c r="U33" s="7">
        <v>5193620000</v>
      </c>
      <c r="V33" s="12">
        <v>648948917431</v>
      </c>
      <c r="W33" s="12">
        <f t="shared" si="0"/>
        <v>4957287482121</v>
      </c>
    </row>
    <row r="34" spans="1:23" ht="15">
      <c r="A34" s="5" t="s">
        <v>50</v>
      </c>
      <c r="B34" s="5">
        <v>172</v>
      </c>
      <c r="C34" s="5" t="s">
        <v>95</v>
      </c>
      <c r="D34" s="5" t="s">
        <v>96</v>
      </c>
      <c r="E34" s="6">
        <v>2026</v>
      </c>
      <c r="F34" s="5">
        <v>18749</v>
      </c>
      <c r="G34" s="5">
        <v>22207</v>
      </c>
      <c r="H34" s="5">
        <v>5340000</v>
      </c>
      <c r="I34" s="5">
        <v>1721306</v>
      </c>
      <c r="J34" s="7">
        <v>1012460762242</v>
      </c>
      <c r="K34" s="7">
        <v>827581433639</v>
      </c>
      <c r="L34" s="7">
        <v>0</v>
      </c>
      <c r="M34" s="7">
        <v>1840042117488</v>
      </c>
      <c r="N34" s="8">
        <v>2026</v>
      </c>
      <c r="O34" s="5">
        <v>4629</v>
      </c>
      <c r="P34" s="5">
        <v>6632</v>
      </c>
      <c r="Q34" s="5">
        <v>815730000</v>
      </c>
      <c r="R34" s="5">
        <v>767448</v>
      </c>
      <c r="S34" s="9">
        <v>515792484193</v>
      </c>
      <c r="T34" s="7">
        <v>173833380592</v>
      </c>
      <c r="U34" s="7">
        <v>0</v>
      </c>
      <c r="V34" s="12">
        <v>689625869510</v>
      </c>
      <c r="W34" s="12">
        <f t="shared" si="0"/>
        <v>2529667986998</v>
      </c>
    </row>
    <row r="35" spans="1:23" ht="15">
      <c r="A35" s="5" t="s">
        <v>97</v>
      </c>
      <c r="B35" s="5">
        <v>190</v>
      </c>
      <c r="C35" s="5" t="s">
        <v>98</v>
      </c>
      <c r="D35" s="5" t="s">
        <v>99</v>
      </c>
      <c r="E35" s="6">
        <v>2026</v>
      </c>
      <c r="F35" s="5">
        <v>3509</v>
      </c>
      <c r="G35" s="5">
        <v>4916</v>
      </c>
      <c r="H35" s="5">
        <v>990000</v>
      </c>
      <c r="I35" s="5">
        <v>401577</v>
      </c>
      <c r="J35" s="7">
        <v>161113768644</v>
      </c>
      <c r="K35" s="7">
        <v>169557017283</v>
      </c>
      <c r="L35" s="7">
        <v>0</v>
      </c>
      <c r="M35" s="7">
        <v>330670815021</v>
      </c>
      <c r="N35" s="8">
        <v>2026</v>
      </c>
      <c r="O35" s="5">
        <v>1089</v>
      </c>
      <c r="P35" s="5">
        <v>1711</v>
      </c>
      <c r="Q35" s="5">
        <v>47430000</v>
      </c>
      <c r="R35" s="5">
        <v>157743</v>
      </c>
      <c r="S35" s="9">
        <v>61425509877</v>
      </c>
      <c r="T35" s="7">
        <v>50713774736</v>
      </c>
      <c r="U35" s="7">
        <v>0</v>
      </c>
      <c r="V35" s="12">
        <v>112139281038</v>
      </c>
      <c r="W35" s="12">
        <f t="shared" si="0"/>
        <v>442810096059</v>
      </c>
    </row>
    <row r="36" spans="1:23" ht="15">
      <c r="A36" s="5" t="s">
        <v>23</v>
      </c>
      <c r="B36" s="5">
        <v>197</v>
      </c>
      <c r="C36" s="5" t="s">
        <v>100</v>
      </c>
      <c r="D36" s="5" t="s">
        <v>101</v>
      </c>
      <c r="E36" s="6">
        <v>2025</v>
      </c>
      <c r="F36" s="5">
        <v>3863</v>
      </c>
      <c r="G36" s="5">
        <v>4965</v>
      </c>
      <c r="H36" s="5">
        <v>770000</v>
      </c>
      <c r="I36" s="5">
        <v>338199</v>
      </c>
      <c r="J36" s="7">
        <v>135353753764</v>
      </c>
      <c r="K36" s="7">
        <v>178053313130</v>
      </c>
      <c r="L36" s="7">
        <v>0</v>
      </c>
      <c r="M36" s="7">
        <v>313407020000</v>
      </c>
      <c r="N36" s="8">
        <v>2026</v>
      </c>
      <c r="O36" s="5">
        <v>9952</v>
      </c>
      <c r="P36" s="5">
        <v>13244</v>
      </c>
      <c r="Q36" s="5">
        <v>300250000</v>
      </c>
      <c r="R36" s="5">
        <v>952475</v>
      </c>
      <c r="S36" s="9">
        <v>306001315669</v>
      </c>
      <c r="T36" s="7">
        <v>294531357202</v>
      </c>
      <c r="U36" s="7">
        <v>119464000</v>
      </c>
      <c r="V36" s="12">
        <v>600652094887</v>
      </c>
      <c r="W36" s="12">
        <f t="shared" si="0"/>
        <v>914059114887</v>
      </c>
    </row>
    <row r="37" spans="1:23" ht="15">
      <c r="A37" s="5" t="s">
        <v>23</v>
      </c>
      <c r="B37" s="5">
        <v>206</v>
      </c>
      <c r="C37" s="5" t="s">
        <v>102</v>
      </c>
      <c r="D37" s="5" t="s">
        <v>103</v>
      </c>
      <c r="E37" s="6">
        <v>2026</v>
      </c>
      <c r="F37" s="5">
        <v>1075</v>
      </c>
      <c r="G37" s="5">
        <v>1681</v>
      </c>
      <c r="H37" s="5">
        <v>320000</v>
      </c>
      <c r="I37" s="5">
        <v>132984</v>
      </c>
      <c r="J37" s="7">
        <v>76308750146</v>
      </c>
      <c r="K37" s="7">
        <v>46926113769</v>
      </c>
      <c r="L37" s="7">
        <v>0</v>
      </c>
      <c r="M37" s="7">
        <v>123234866003</v>
      </c>
      <c r="N37" s="8">
        <v>2007</v>
      </c>
      <c r="O37" s="5">
        <v>2717</v>
      </c>
      <c r="P37" s="5">
        <v>4416</v>
      </c>
      <c r="Q37" s="5">
        <v>196770000</v>
      </c>
      <c r="R37" s="5">
        <v>149296</v>
      </c>
      <c r="S37" s="9">
        <v>47381804781</v>
      </c>
      <c r="T37" s="7">
        <v>39202673258</v>
      </c>
      <c r="U37" s="7">
        <v>5117274000</v>
      </c>
      <c r="V37" s="12">
        <v>91701789000</v>
      </c>
      <c r="W37" s="12">
        <f t="shared" si="0"/>
        <v>214936655003</v>
      </c>
    </row>
    <row r="38" spans="1:23" ht="15">
      <c r="A38" s="5" t="s">
        <v>31</v>
      </c>
      <c r="B38" s="5">
        <v>209</v>
      </c>
      <c r="C38" s="5" t="s">
        <v>104</v>
      </c>
      <c r="D38" s="5" t="s">
        <v>105</v>
      </c>
      <c r="E38" s="6">
        <v>2026</v>
      </c>
      <c r="F38" s="5">
        <v>3032</v>
      </c>
      <c r="G38" s="5">
        <v>4694</v>
      </c>
      <c r="H38" s="5">
        <v>750000</v>
      </c>
      <c r="I38" s="5">
        <v>336838</v>
      </c>
      <c r="J38" s="7">
        <v>77723293209</v>
      </c>
      <c r="K38" s="7">
        <v>156114900314</v>
      </c>
      <c r="L38" s="7">
        <v>0</v>
      </c>
      <c r="M38" s="7">
        <v>233838186011</v>
      </c>
      <c r="N38" s="8">
        <v>2008</v>
      </c>
      <c r="O38" s="5">
        <v>3719</v>
      </c>
      <c r="P38" s="5">
        <v>5795</v>
      </c>
      <c r="Q38" s="5">
        <v>239600000</v>
      </c>
      <c r="R38" s="5">
        <v>395994</v>
      </c>
      <c r="S38" s="9">
        <v>201452960915</v>
      </c>
      <c r="T38" s="7">
        <v>63984984595</v>
      </c>
      <c r="U38" s="7">
        <v>0</v>
      </c>
      <c r="V38" s="12">
        <v>265437944000</v>
      </c>
      <c r="W38" s="12">
        <f t="shared" si="0"/>
        <v>499276130011</v>
      </c>
    </row>
    <row r="39" spans="1:23" ht="15">
      <c r="A39" s="5" t="s">
        <v>26</v>
      </c>
      <c r="B39" s="5">
        <v>234</v>
      </c>
      <c r="C39" s="5" t="s">
        <v>106</v>
      </c>
      <c r="D39" s="5" t="s">
        <v>107</v>
      </c>
      <c r="E39" s="6">
        <v>2021</v>
      </c>
      <c r="F39" s="5">
        <v>3548</v>
      </c>
      <c r="G39" s="5">
        <v>4405</v>
      </c>
      <c r="H39" s="5">
        <v>1220000</v>
      </c>
      <c r="I39" s="5">
        <v>375885</v>
      </c>
      <c r="J39" s="7">
        <v>49594685426</v>
      </c>
      <c r="K39" s="7">
        <v>61116468979</v>
      </c>
      <c r="L39" s="7">
        <v>0</v>
      </c>
      <c r="M39" s="7">
        <v>110711211000</v>
      </c>
      <c r="N39" s="8">
        <v>2021</v>
      </c>
      <c r="O39" s="5">
        <v>4659</v>
      </c>
      <c r="P39" s="5">
        <v>6031</v>
      </c>
      <c r="Q39" s="5">
        <v>1939840000</v>
      </c>
      <c r="R39" s="5">
        <v>315476</v>
      </c>
      <c r="S39" s="9">
        <v>159959728157</v>
      </c>
      <c r="T39" s="7">
        <v>16556438536</v>
      </c>
      <c r="U39" s="7">
        <v>0</v>
      </c>
      <c r="V39" s="12">
        <v>176516212000</v>
      </c>
      <c r="W39" s="12">
        <f t="shared" si="0"/>
        <v>287227423000</v>
      </c>
    </row>
    <row r="40" spans="1:23" ht="15">
      <c r="A40" s="5" t="s">
        <v>41</v>
      </c>
      <c r="B40" s="5">
        <v>237</v>
      </c>
      <c r="C40" s="5" t="s">
        <v>108</v>
      </c>
      <c r="D40" s="5" t="s">
        <v>109</v>
      </c>
      <c r="E40" s="6">
        <v>2026</v>
      </c>
      <c r="F40" s="5">
        <v>6940</v>
      </c>
      <c r="G40" s="5">
        <v>9409</v>
      </c>
      <c r="H40" s="5">
        <v>1120000</v>
      </c>
      <c r="I40" s="5">
        <v>656632</v>
      </c>
      <c r="J40" s="7">
        <v>307041167632</v>
      </c>
      <c r="K40" s="7">
        <v>475587549198</v>
      </c>
      <c r="L40" s="7">
        <v>0</v>
      </c>
      <c r="M40" s="7">
        <v>782628723004</v>
      </c>
      <c r="N40" s="8">
        <v>2026</v>
      </c>
      <c r="O40" s="5">
        <v>3184</v>
      </c>
      <c r="P40" s="5">
        <v>4981</v>
      </c>
      <c r="Q40" s="5">
        <v>197040000</v>
      </c>
      <c r="R40" s="5">
        <v>788333</v>
      </c>
      <c r="S40" s="9">
        <v>392327825007</v>
      </c>
      <c r="T40" s="7">
        <v>154403882921</v>
      </c>
      <c r="U40" s="7">
        <v>0</v>
      </c>
      <c r="V40" s="12">
        <v>546731708033</v>
      </c>
      <c r="W40" s="12">
        <f t="shared" si="0"/>
        <v>1329360431037</v>
      </c>
    </row>
    <row r="41" spans="1:23" ht="15">
      <c r="A41" s="5" t="s">
        <v>26</v>
      </c>
      <c r="B41" s="5">
        <v>240</v>
      </c>
      <c r="C41" s="5" t="s">
        <v>110</v>
      </c>
      <c r="D41" s="5" t="s">
        <v>111</v>
      </c>
      <c r="E41" s="6">
        <v>2014</v>
      </c>
      <c r="F41" s="5">
        <v>1219</v>
      </c>
      <c r="G41" s="5">
        <v>1708</v>
      </c>
      <c r="H41" s="5">
        <v>320000</v>
      </c>
      <c r="I41" s="5">
        <v>140344</v>
      </c>
      <c r="J41" s="7">
        <v>46567827844</v>
      </c>
      <c r="K41" s="7">
        <v>54161550430</v>
      </c>
      <c r="L41" s="7">
        <v>0</v>
      </c>
      <c r="M41" s="7">
        <v>100729369000</v>
      </c>
      <c r="N41" s="8">
        <v>2008</v>
      </c>
      <c r="O41" s="5">
        <v>4794</v>
      </c>
      <c r="P41" s="5">
        <v>7678</v>
      </c>
      <c r="Q41" s="5">
        <v>234310000</v>
      </c>
      <c r="R41" s="5">
        <v>347054</v>
      </c>
      <c r="S41" s="9">
        <v>149092905878</v>
      </c>
      <c r="T41" s="7">
        <v>71859494591</v>
      </c>
      <c r="U41" s="7">
        <v>0</v>
      </c>
      <c r="V41" s="12">
        <v>220952402000</v>
      </c>
      <c r="W41" s="12">
        <f t="shared" si="0"/>
        <v>321681771000</v>
      </c>
    </row>
    <row r="42" spans="1:23" ht="15">
      <c r="A42" s="5" t="s">
        <v>34</v>
      </c>
      <c r="B42" s="5">
        <v>250</v>
      </c>
      <c r="C42" s="5" t="s">
        <v>112</v>
      </c>
      <c r="D42" s="5" t="s">
        <v>113</v>
      </c>
      <c r="E42" s="6">
        <v>2008</v>
      </c>
      <c r="F42" s="5">
        <v>9745</v>
      </c>
      <c r="G42" s="5">
        <v>10986</v>
      </c>
      <c r="H42" s="5">
        <v>10880000</v>
      </c>
      <c r="I42" s="5">
        <v>726280</v>
      </c>
      <c r="J42" s="7">
        <v>88646200135</v>
      </c>
      <c r="K42" s="7">
        <v>78769474380</v>
      </c>
      <c r="L42" s="7">
        <v>0</v>
      </c>
      <c r="M42" s="7">
        <v>167415567000</v>
      </c>
      <c r="N42" s="8">
        <v>2013</v>
      </c>
      <c r="O42" s="5">
        <v>2808</v>
      </c>
      <c r="P42" s="5">
        <v>3113</v>
      </c>
      <c r="Q42" s="5">
        <v>1563510000</v>
      </c>
      <c r="R42" s="5">
        <v>112746</v>
      </c>
      <c r="S42" s="9">
        <v>204583778311</v>
      </c>
      <c r="T42" s="7">
        <v>14378115142</v>
      </c>
      <c r="U42" s="7">
        <v>0</v>
      </c>
      <c r="V42" s="12">
        <v>218961894000</v>
      </c>
      <c r="W42" s="12">
        <f t="shared" si="0"/>
        <v>386377461000</v>
      </c>
    </row>
    <row r="43" spans="1:23" ht="15">
      <c r="A43" s="5" t="s">
        <v>41</v>
      </c>
      <c r="B43" s="5">
        <v>264</v>
      </c>
      <c r="C43" s="5" t="s">
        <v>114</v>
      </c>
      <c r="D43" s="5" t="s">
        <v>115</v>
      </c>
      <c r="E43" s="6">
        <v>2026</v>
      </c>
      <c r="F43" s="5">
        <v>3402</v>
      </c>
      <c r="G43" s="5">
        <v>4404</v>
      </c>
      <c r="H43" s="5">
        <v>870000</v>
      </c>
      <c r="I43" s="5">
        <v>345257</v>
      </c>
      <c r="J43" s="7">
        <v>263828392420</v>
      </c>
      <c r="K43" s="7">
        <v>214249167014</v>
      </c>
      <c r="L43" s="7">
        <v>0</v>
      </c>
      <c r="M43" s="7">
        <v>478077568002</v>
      </c>
      <c r="N43" s="8">
        <v>2026</v>
      </c>
      <c r="O43" s="5">
        <v>2524</v>
      </c>
      <c r="P43" s="5">
        <v>3716</v>
      </c>
      <c r="Q43" s="5">
        <v>217560000</v>
      </c>
      <c r="R43" s="5">
        <v>506439</v>
      </c>
      <c r="S43" s="9">
        <v>415284171499</v>
      </c>
      <c r="T43" s="7">
        <v>129989255302</v>
      </c>
      <c r="U43" s="7">
        <v>2496460000</v>
      </c>
      <c r="V43" s="12">
        <v>547769893016</v>
      </c>
      <c r="W43" s="12">
        <f t="shared" si="0"/>
        <v>1025847461018</v>
      </c>
    </row>
    <row r="44" spans="1:23" ht="15">
      <c r="A44" s="5" t="s">
        <v>31</v>
      </c>
      <c r="B44" s="5">
        <v>282</v>
      </c>
      <c r="C44" s="5" t="s">
        <v>116</v>
      </c>
      <c r="D44" s="5" t="s">
        <v>117</v>
      </c>
      <c r="E44" s="6">
        <v>2023</v>
      </c>
      <c r="F44" s="5">
        <v>3166</v>
      </c>
      <c r="G44" s="5">
        <v>4693</v>
      </c>
      <c r="H44" s="5">
        <v>1970000</v>
      </c>
      <c r="I44" s="5">
        <v>394958</v>
      </c>
      <c r="J44" s="7">
        <v>139763287634</v>
      </c>
      <c r="K44" s="7">
        <v>189232402161</v>
      </c>
      <c r="L44" s="7">
        <v>0</v>
      </c>
      <c r="M44" s="7">
        <v>328995724000</v>
      </c>
      <c r="N44" s="8">
        <v>2020</v>
      </c>
      <c r="O44" s="5">
        <v>6682</v>
      </c>
      <c r="P44" s="5">
        <v>11849</v>
      </c>
      <c r="Q44" s="5">
        <v>245960000</v>
      </c>
      <c r="R44" s="5">
        <v>946788</v>
      </c>
      <c r="S44" s="9">
        <v>149389774824</v>
      </c>
      <c r="T44" s="7">
        <v>173059189960</v>
      </c>
      <c r="U44" s="7">
        <v>24693727000</v>
      </c>
      <c r="V44" s="12">
        <v>347142732000</v>
      </c>
      <c r="W44" s="12">
        <f t="shared" si="0"/>
        <v>676138456000</v>
      </c>
    </row>
    <row r="45" spans="1:23" ht="15">
      <c r="A45" s="5" t="s">
        <v>26</v>
      </c>
      <c r="B45" s="5">
        <v>284</v>
      </c>
      <c r="C45" s="5" t="s">
        <v>118</v>
      </c>
      <c r="D45" s="5" t="s">
        <v>119</v>
      </c>
      <c r="E45" s="6">
        <v>2018</v>
      </c>
      <c r="F45" s="5">
        <v>4181</v>
      </c>
      <c r="G45" s="5">
        <v>5511</v>
      </c>
      <c r="H45" s="5">
        <v>2700000</v>
      </c>
      <c r="I45" s="5">
        <v>447629</v>
      </c>
      <c r="J45" s="7">
        <v>117646107887</v>
      </c>
      <c r="K45" s="7">
        <v>173380168535</v>
      </c>
      <c r="L45" s="7">
        <v>0</v>
      </c>
      <c r="M45" s="7">
        <v>291026304000</v>
      </c>
      <c r="N45" s="8">
        <v>2019</v>
      </c>
      <c r="O45" s="5">
        <v>3360</v>
      </c>
      <c r="P45" s="5">
        <v>5016</v>
      </c>
      <c r="Q45" s="5">
        <v>1379350000</v>
      </c>
      <c r="R45" s="5">
        <v>391656</v>
      </c>
      <c r="S45" s="9">
        <v>110174988877</v>
      </c>
      <c r="T45" s="7">
        <v>26864582336</v>
      </c>
      <c r="U45" s="7">
        <v>0</v>
      </c>
      <c r="V45" s="12">
        <v>137039568000</v>
      </c>
      <c r="W45" s="12">
        <f t="shared" si="0"/>
        <v>428065872000</v>
      </c>
    </row>
    <row r="46" spans="1:23" ht="15">
      <c r="A46" s="5" t="s">
        <v>26</v>
      </c>
      <c r="B46" s="5">
        <v>306</v>
      </c>
      <c r="C46" s="5" t="s">
        <v>120</v>
      </c>
      <c r="D46" s="5" t="s">
        <v>121</v>
      </c>
      <c r="E46" s="6">
        <v>2012</v>
      </c>
      <c r="F46" s="5">
        <v>710</v>
      </c>
      <c r="G46" s="5">
        <v>922</v>
      </c>
      <c r="H46" s="5">
        <v>570000</v>
      </c>
      <c r="I46" s="5">
        <v>68154</v>
      </c>
      <c r="J46" s="7">
        <v>16559360906</v>
      </c>
      <c r="K46" s="7">
        <v>26490396837</v>
      </c>
      <c r="L46" s="7">
        <v>0</v>
      </c>
      <c r="M46" s="7">
        <v>43049771000</v>
      </c>
      <c r="N46" s="8">
        <v>2008</v>
      </c>
      <c r="O46" s="5">
        <v>1810</v>
      </c>
      <c r="P46" s="5">
        <v>2390</v>
      </c>
      <c r="Q46" s="5">
        <v>92140000</v>
      </c>
      <c r="R46" s="5">
        <v>77880</v>
      </c>
      <c r="S46" s="9">
        <v>17918569704</v>
      </c>
      <c r="T46" s="7">
        <v>15703560301</v>
      </c>
      <c r="U46" s="7">
        <v>0</v>
      </c>
      <c r="V46" s="12">
        <v>33622166000</v>
      </c>
      <c r="W46" s="12">
        <f t="shared" si="0"/>
        <v>76671937000</v>
      </c>
    </row>
    <row r="47" spans="1:23" ht="15">
      <c r="A47" s="5" t="s">
        <v>41</v>
      </c>
      <c r="B47" s="5">
        <v>310</v>
      </c>
      <c r="C47" s="5" t="s">
        <v>122</v>
      </c>
      <c r="D47" s="5" t="s">
        <v>123</v>
      </c>
      <c r="E47" s="6">
        <v>2023</v>
      </c>
      <c r="F47" s="5">
        <v>2219</v>
      </c>
      <c r="G47" s="5">
        <v>3251</v>
      </c>
      <c r="H47" s="5">
        <v>630000</v>
      </c>
      <c r="I47" s="5">
        <v>264955</v>
      </c>
      <c r="J47" s="7">
        <v>80375112281</v>
      </c>
      <c r="K47" s="7">
        <v>149240130144</v>
      </c>
      <c r="L47" s="7">
        <v>0</v>
      </c>
      <c r="M47" s="7">
        <v>229615240000</v>
      </c>
      <c r="N47" s="8">
        <v>2016</v>
      </c>
      <c r="O47" s="5">
        <v>3610</v>
      </c>
      <c r="P47" s="5">
        <v>5367</v>
      </c>
      <c r="Q47" s="5">
        <v>327800000</v>
      </c>
      <c r="R47" s="5">
        <v>294052</v>
      </c>
      <c r="S47" s="9">
        <v>234466254687</v>
      </c>
      <c r="T47" s="7">
        <v>76033779279</v>
      </c>
      <c r="U47" s="7">
        <v>0</v>
      </c>
      <c r="V47" s="12">
        <v>310500108000</v>
      </c>
      <c r="W47" s="12">
        <f t="shared" si="0"/>
        <v>540115348000</v>
      </c>
    </row>
    <row r="48" spans="1:23" ht="15">
      <c r="A48" s="5" t="s">
        <v>23</v>
      </c>
      <c r="B48" s="5">
        <v>313</v>
      </c>
      <c r="C48" s="5" t="s">
        <v>124</v>
      </c>
      <c r="D48" s="5" t="s">
        <v>125</v>
      </c>
      <c r="E48" s="6">
        <v>2015</v>
      </c>
      <c r="F48" s="5">
        <v>3584</v>
      </c>
      <c r="G48" s="5">
        <v>5001</v>
      </c>
      <c r="H48" s="5">
        <v>370000</v>
      </c>
      <c r="I48" s="5">
        <v>271836</v>
      </c>
      <c r="J48" s="7">
        <v>70803043441</v>
      </c>
      <c r="K48" s="7">
        <v>94107230244</v>
      </c>
      <c r="L48" s="7">
        <v>220168000</v>
      </c>
      <c r="M48" s="7">
        <v>165130445000</v>
      </c>
      <c r="N48" s="8">
        <v>2023</v>
      </c>
      <c r="O48" s="5">
        <v>6103</v>
      </c>
      <c r="P48" s="5">
        <v>8021</v>
      </c>
      <c r="Q48" s="5">
        <v>189750000</v>
      </c>
      <c r="R48" s="5">
        <v>308530</v>
      </c>
      <c r="S48" s="9">
        <v>169111324033</v>
      </c>
      <c r="T48" s="7">
        <v>126213895822</v>
      </c>
      <c r="U48" s="7">
        <v>0</v>
      </c>
      <c r="V48" s="12">
        <v>295325278000</v>
      </c>
      <c r="W48" s="12">
        <f t="shared" si="0"/>
        <v>460455723000</v>
      </c>
    </row>
    <row r="49" spans="1:23" ht="15">
      <c r="A49" s="5" t="s">
        <v>41</v>
      </c>
      <c r="B49" s="5">
        <v>315</v>
      </c>
      <c r="C49" s="5" t="s">
        <v>126</v>
      </c>
      <c r="D49" s="5" t="s">
        <v>127</v>
      </c>
      <c r="E49" s="6">
        <v>2016</v>
      </c>
      <c r="F49" s="5">
        <v>836</v>
      </c>
      <c r="G49" s="5">
        <v>1126</v>
      </c>
      <c r="H49" s="5">
        <v>270000</v>
      </c>
      <c r="I49" s="5">
        <v>72397</v>
      </c>
      <c r="J49" s="7">
        <v>23440650987</v>
      </c>
      <c r="K49" s="7">
        <v>28727304010</v>
      </c>
      <c r="L49" s="7">
        <v>0</v>
      </c>
      <c r="M49" s="7">
        <v>52167955000</v>
      </c>
      <c r="N49" s="8">
        <v>2016</v>
      </c>
      <c r="O49" s="5">
        <v>1900</v>
      </c>
      <c r="P49" s="5">
        <v>2629</v>
      </c>
      <c r="Q49" s="5">
        <v>115150000</v>
      </c>
      <c r="R49" s="5">
        <v>196192</v>
      </c>
      <c r="S49" s="9">
        <v>43982507207</v>
      </c>
      <c r="T49" s="7">
        <v>106665915872</v>
      </c>
      <c r="U49" s="7">
        <v>0</v>
      </c>
      <c r="V49" s="12">
        <v>150648441000</v>
      </c>
      <c r="W49" s="12">
        <f t="shared" si="0"/>
        <v>202816396000</v>
      </c>
    </row>
    <row r="50" spans="1:23" ht="15">
      <c r="A50" s="5" t="s">
        <v>23</v>
      </c>
      <c r="B50" s="5">
        <v>318</v>
      </c>
      <c r="C50" s="5" t="s">
        <v>128</v>
      </c>
      <c r="D50" s="5" t="s">
        <v>129</v>
      </c>
      <c r="E50" s="6">
        <v>2026</v>
      </c>
      <c r="F50" s="5">
        <v>9150</v>
      </c>
      <c r="G50" s="5">
        <v>12513</v>
      </c>
      <c r="H50" s="5">
        <v>1960000</v>
      </c>
      <c r="I50" s="5">
        <v>913259</v>
      </c>
      <c r="J50" s="7">
        <v>620361792784</v>
      </c>
      <c r="K50" s="7">
        <v>544737951663</v>
      </c>
      <c r="L50" s="7">
        <v>3050598000</v>
      </c>
      <c r="M50" s="7">
        <v>1168150259005</v>
      </c>
      <c r="N50" s="8">
        <v>2026</v>
      </c>
      <c r="O50" s="5">
        <v>17348</v>
      </c>
      <c r="P50" s="5">
        <v>31579</v>
      </c>
      <c r="Q50" s="5">
        <v>156710000</v>
      </c>
      <c r="R50" s="5">
        <v>3805144</v>
      </c>
      <c r="S50" s="9">
        <v>1805001524885</v>
      </c>
      <c r="T50" s="7">
        <v>1329222911321</v>
      </c>
      <c r="U50" s="7">
        <v>150379925000</v>
      </c>
      <c r="V50" s="12">
        <v>3284604377102</v>
      </c>
      <c r="W50" s="12">
        <f t="shared" si="0"/>
        <v>4452754636107</v>
      </c>
    </row>
    <row r="51" spans="1:23" ht="15">
      <c r="A51" s="5" t="s">
        <v>23</v>
      </c>
      <c r="B51" s="5">
        <v>321</v>
      </c>
      <c r="C51" s="5" t="s">
        <v>130</v>
      </c>
      <c r="D51" s="5" t="s">
        <v>131</v>
      </c>
      <c r="E51" s="6">
        <v>2025</v>
      </c>
      <c r="F51" s="5">
        <v>3971</v>
      </c>
      <c r="G51" s="5">
        <v>5370</v>
      </c>
      <c r="H51" s="5">
        <v>970000</v>
      </c>
      <c r="I51" s="5">
        <v>419310</v>
      </c>
      <c r="J51" s="7">
        <v>843995742229</v>
      </c>
      <c r="K51" s="7">
        <v>296336949851</v>
      </c>
      <c r="L51" s="7">
        <v>0</v>
      </c>
      <c r="M51" s="7">
        <v>1140332826000</v>
      </c>
      <c r="N51" s="8">
        <v>2025</v>
      </c>
      <c r="O51" s="5">
        <v>2810</v>
      </c>
      <c r="P51" s="5">
        <v>4084</v>
      </c>
      <c r="Q51" s="5">
        <v>79250000</v>
      </c>
      <c r="R51" s="5">
        <v>324667</v>
      </c>
      <c r="S51" s="9">
        <v>1499875729555</v>
      </c>
      <c r="T51" s="7">
        <v>245667339291</v>
      </c>
      <c r="U51" s="7">
        <v>514798000</v>
      </c>
      <c r="V51" s="12">
        <v>1746057916000</v>
      </c>
      <c r="W51" s="12">
        <f t="shared" si="0"/>
        <v>2886390742000</v>
      </c>
    </row>
    <row r="52" spans="1:23" ht="15">
      <c r="A52" s="5" t="s">
        <v>26</v>
      </c>
      <c r="B52" s="5">
        <v>347</v>
      </c>
      <c r="C52" s="5" t="s">
        <v>132</v>
      </c>
      <c r="D52" s="5" t="s">
        <v>133</v>
      </c>
      <c r="E52" s="6">
        <v>2014</v>
      </c>
      <c r="F52" s="5">
        <v>842</v>
      </c>
      <c r="G52" s="5">
        <v>1158</v>
      </c>
      <c r="H52" s="5">
        <v>480000</v>
      </c>
      <c r="I52" s="5">
        <v>78465</v>
      </c>
      <c r="J52" s="7">
        <v>19427348564</v>
      </c>
      <c r="K52" s="7">
        <v>25674219812</v>
      </c>
      <c r="L52" s="7">
        <v>0</v>
      </c>
      <c r="M52" s="7">
        <v>45101557000</v>
      </c>
      <c r="N52" s="8">
        <v>2007</v>
      </c>
      <c r="O52" s="5">
        <v>2186</v>
      </c>
      <c r="P52" s="5">
        <v>3261</v>
      </c>
      <c r="Q52" s="5">
        <v>117630000</v>
      </c>
      <c r="R52" s="5">
        <v>197251</v>
      </c>
      <c r="S52" s="9">
        <v>72804376637</v>
      </c>
      <c r="T52" s="7">
        <v>40661426783</v>
      </c>
      <c r="U52" s="7">
        <v>0</v>
      </c>
      <c r="V52" s="12">
        <v>113465841000</v>
      </c>
      <c r="W52" s="12">
        <f t="shared" si="0"/>
        <v>158567398000</v>
      </c>
    </row>
    <row r="53" spans="1:23" ht="15">
      <c r="A53" s="5" t="s">
        <v>31</v>
      </c>
      <c r="B53" s="5">
        <v>353</v>
      </c>
      <c r="C53" s="5" t="s">
        <v>134</v>
      </c>
      <c r="D53" s="5" t="s">
        <v>135</v>
      </c>
      <c r="E53" s="6">
        <v>2010</v>
      </c>
      <c r="F53" s="5">
        <v>1349</v>
      </c>
      <c r="G53" s="5">
        <v>1767</v>
      </c>
      <c r="H53" s="5">
        <v>280000</v>
      </c>
      <c r="I53" s="5">
        <v>127595</v>
      </c>
      <c r="J53" s="7">
        <v>29846418568</v>
      </c>
      <c r="K53" s="7">
        <v>45112189554</v>
      </c>
      <c r="L53" s="7">
        <v>190232000</v>
      </c>
      <c r="M53" s="7">
        <v>75148859000</v>
      </c>
      <c r="N53" s="8">
        <v>2006</v>
      </c>
      <c r="O53" s="5">
        <v>777</v>
      </c>
      <c r="P53" s="5">
        <v>1160</v>
      </c>
      <c r="Q53" s="5">
        <v>57450000</v>
      </c>
      <c r="R53" s="5">
        <v>107326</v>
      </c>
      <c r="S53" s="9">
        <v>71891900453</v>
      </c>
      <c r="T53" s="7">
        <v>21311193134</v>
      </c>
      <c r="U53" s="7">
        <v>0</v>
      </c>
      <c r="V53" s="12">
        <v>93203104000</v>
      </c>
      <c r="W53" s="12">
        <f t="shared" si="0"/>
        <v>168351963000</v>
      </c>
    </row>
    <row r="54" spans="1:23" ht="15">
      <c r="A54" s="5" t="s">
        <v>75</v>
      </c>
      <c r="B54" s="5">
        <v>360</v>
      </c>
      <c r="C54" s="5" t="s">
        <v>136</v>
      </c>
      <c r="D54" s="5" t="s">
        <v>137</v>
      </c>
      <c r="E54" s="6">
        <v>2024</v>
      </c>
      <c r="F54" s="5">
        <v>146749</v>
      </c>
      <c r="G54" s="5">
        <v>196372</v>
      </c>
      <c r="H54" s="5">
        <v>12100000</v>
      </c>
      <c r="I54" s="5">
        <v>10535866</v>
      </c>
      <c r="J54" s="7">
        <v>10221535383963</v>
      </c>
      <c r="K54" s="7">
        <v>10599895744864</v>
      </c>
      <c r="L54" s="7">
        <v>105724310000</v>
      </c>
      <c r="M54" s="7">
        <v>20927165457000</v>
      </c>
      <c r="N54" s="8">
        <v>2011</v>
      </c>
      <c r="O54" s="5">
        <v>723</v>
      </c>
      <c r="P54" s="5">
        <v>1143</v>
      </c>
      <c r="Q54" s="5">
        <v>5260000</v>
      </c>
      <c r="R54" s="5">
        <v>83244</v>
      </c>
      <c r="S54" s="9">
        <v>84050305585</v>
      </c>
      <c r="T54" s="7">
        <v>46512497910</v>
      </c>
      <c r="U54" s="7">
        <v>0</v>
      </c>
      <c r="V54" s="12">
        <v>130562798005</v>
      </c>
      <c r="W54" s="12">
        <f t="shared" si="0"/>
        <v>21057728255005</v>
      </c>
    </row>
    <row r="55" spans="1:23" ht="15">
      <c r="A55" s="5" t="s">
        <v>34</v>
      </c>
      <c r="B55" s="5">
        <v>361</v>
      </c>
      <c r="C55" s="5" t="s">
        <v>138</v>
      </c>
      <c r="D55" s="5" t="s">
        <v>139</v>
      </c>
      <c r="E55" s="6">
        <v>2004</v>
      </c>
      <c r="F55" s="5">
        <v>3127</v>
      </c>
      <c r="G55" s="5">
        <v>4073</v>
      </c>
      <c r="H55" s="5">
        <v>1600000</v>
      </c>
      <c r="I55" s="5">
        <v>263551</v>
      </c>
      <c r="J55" s="7">
        <v>57933507241</v>
      </c>
      <c r="K55" s="7">
        <v>79473941192</v>
      </c>
      <c r="L55" s="7">
        <v>0</v>
      </c>
      <c r="M55" s="7">
        <v>137407431000</v>
      </c>
      <c r="N55" s="8">
        <v>1998</v>
      </c>
      <c r="O55" s="5">
        <v>4612</v>
      </c>
      <c r="P55" s="5">
        <v>5952</v>
      </c>
      <c r="Q55" s="5">
        <v>3408500000</v>
      </c>
      <c r="R55" s="5">
        <v>177354</v>
      </c>
      <c r="S55" s="9">
        <v>349764355926</v>
      </c>
      <c r="T55" s="7">
        <v>21299596413</v>
      </c>
      <c r="U55" s="7">
        <v>0</v>
      </c>
      <c r="V55" s="12">
        <v>371063990000</v>
      </c>
      <c r="W55" s="12">
        <f t="shared" si="0"/>
        <v>508471421000</v>
      </c>
    </row>
    <row r="56" spans="1:23" ht="15">
      <c r="A56" s="5" t="s">
        <v>31</v>
      </c>
      <c r="B56" s="5">
        <v>364</v>
      </c>
      <c r="C56" s="5" t="s">
        <v>140</v>
      </c>
      <c r="D56" s="5" t="s">
        <v>141</v>
      </c>
      <c r="E56" s="6">
        <v>2023</v>
      </c>
      <c r="F56" s="5">
        <v>3900</v>
      </c>
      <c r="G56" s="5">
        <v>5844</v>
      </c>
      <c r="H56" s="5">
        <v>880000</v>
      </c>
      <c r="I56" s="5">
        <v>474353</v>
      </c>
      <c r="J56" s="7">
        <v>343736368290</v>
      </c>
      <c r="K56" s="7">
        <v>229333313885</v>
      </c>
      <c r="L56" s="7">
        <v>0</v>
      </c>
      <c r="M56" s="7">
        <v>573069746000</v>
      </c>
      <c r="N56" s="8">
        <v>2024</v>
      </c>
      <c r="O56" s="5">
        <v>3129</v>
      </c>
      <c r="P56" s="5">
        <v>5961</v>
      </c>
      <c r="Q56" s="5">
        <v>197560000</v>
      </c>
      <c r="R56" s="5">
        <v>520571</v>
      </c>
      <c r="S56" s="9">
        <v>180885394875</v>
      </c>
      <c r="T56" s="7">
        <v>95510108234</v>
      </c>
      <c r="U56" s="7">
        <v>12324889000</v>
      </c>
      <c r="V56" s="12">
        <v>288720380000</v>
      </c>
      <c r="W56" s="12">
        <f t="shared" si="0"/>
        <v>861790126000</v>
      </c>
    </row>
    <row r="57" spans="1:23" ht="15">
      <c r="A57" s="5" t="s">
        <v>31</v>
      </c>
      <c r="B57" s="5">
        <v>368</v>
      </c>
      <c r="C57" s="5" t="s">
        <v>142</v>
      </c>
      <c r="D57" s="5" t="s">
        <v>143</v>
      </c>
      <c r="E57" s="6">
        <v>2026</v>
      </c>
      <c r="F57" s="5">
        <v>3281</v>
      </c>
      <c r="G57" s="5">
        <v>4973</v>
      </c>
      <c r="H57" s="5">
        <v>1310000</v>
      </c>
      <c r="I57" s="5">
        <v>440223</v>
      </c>
      <c r="J57" s="7">
        <v>340997743851</v>
      </c>
      <c r="K57" s="7">
        <v>215369875920</v>
      </c>
      <c r="L57" s="7">
        <v>2847123000</v>
      </c>
      <c r="M57" s="7">
        <v>559214794002</v>
      </c>
      <c r="N57" s="8">
        <v>2023</v>
      </c>
      <c r="O57" s="5">
        <v>3085</v>
      </c>
      <c r="P57" s="5">
        <v>5005</v>
      </c>
      <c r="Q57" s="5">
        <v>212680000</v>
      </c>
      <c r="R57" s="5">
        <v>485982</v>
      </c>
      <c r="S57" s="9">
        <v>911597773791</v>
      </c>
      <c r="T57" s="7">
        <v>275241527699</v>
      </c>
      <c r="U57" s="7">
        <v>111581581000</v>
      </c>
      <c r="V57" s="12">
        <v>1298420865000</v>
      </c>
      <c r="W57" s="12">
        <f t="shared" si="0"/>
        <v>1857635659002</v>
      </c>
    </row>
    <row r="58" spans="1:23" ht="15">
      <c r="A58" s="5" t="s">
        <v>23</v>
      </c>
      <c r="B58" s="5">
        <v>376</v>
      </c>
      <c r="C58" s="5" t="s">
        <v>144</v>
      </c>
      <c r="D58" s="5" t="s">
        <v>145</v>
      </c>
      <c r="E58" s="6">
        <v>2026</v>
      </c>
      <c r="F58" s="5">
        <v>31891</v>
      </c>
      <c r="G58" s="5">
        <v>43792</v>
      </c>
      <c r="H58" s="5">
        <v>5300000</v>
      </c>
      <c r="I58" s="5">
        <v>2776926</v>
      </c>
      <c r="J58" s="7">
        <v>3995874430429</v>
      </c>
      <c r="K58" s="7">
        <v>2047373076538</v>
      </c>
      <c r="L58" s="7">
        <v>15858661000</v>
      </c>
      <c r="M58" s="7">
        <v>6059106243001</v>
      </c>
      <c r="N58" s="8">
        <v>2026</v>
      </c>
      <c r="O58" s="5">
        <v>6469</v>
      </c>
      <c r="P58" s="5">
        <v>10508</v>
      </c>
      <c r="Q58" s="5">
        <v>127840000</v>
      </c>
      <c r="R58" s="5">
        <v>1386737</v>
      </c>
      <c r="S58" s="9">
        <v>3002454998595</v>
      </c>
      <c r="T58" s="7">
        <v>579602229477</v>
      </c>
      <c r="U58" s="7">
        <v>71418210000</v>
      </c>
      <c r="V58" s="12">
        <v>3653475464000</v>
      </c>
      <c r="W58" s="12">
        <f t="shared" si="0"/>
        <v>9712581707001</v>
      </c>
    </row>
    <row r="59" spans="1:23" ht="15">
      <c r="A59" s="5" t="s">
        <v>31</v>
      </c>
      <c r="B59" s="5">
        <v>390</v>
      </c>
      <c r="C59" s="5" t="s">
        <v>146</v>
      </c>
      <c r="D59" s="5" t="s">
        <v>147</v>
      </c>
      <c r="E59" s="6">
        <v>2025</v>
      </c>
      <c r="F59" s="5">
        <v>2818</v>
      </c>
      <c r="G59" s="5">
        <v>3674</v>
      </c>
      <c r="H59" s="5">
        <v>1000000</v>
      </c>
      <c r="I59" s="5">
        <v>293333</v>
      </c>
      <c r="J59" s="7">
        <v>171942289217</v>
      </c>
      <c r="K59" s="7">
        <v>151305212967</v>
      </c>
      <c r="L59" s="7">
        <v>0</v>
      </c>
      <c r="M59" s="7">
        <v>323247541000</v>
      </c>
      <c r="N59" s="8">
        <v>2025</v>
      </c>
      <c r="O59" s="5">
        <v>603</v>
      </c>
      <c r="P59" s="5">
        <v>932</v>
      </c>
      <c r="Q59" s="5">
        <v>51590000</v>
      </c>
      <c r="R59" s="5">
        <v>118617</v>
      </c>
      <c r="S59" s="9">
        <v>193245264938</v>
      </c>
      <c r="T59" s="7">
        <v>115925385341</v>
      </c>
      <c r="U59" s="7">
        <v>0</v>
      </c>
      <c r="V59" s="12">
        <v>309170649000</v>
      </c>
      <c r="W59" s="12">
        <f t="shared" si="0"/>
        <v>632418190000</v>
      </c>
    </row>
    <row r="60" spans="1:23" ht="15">
      <c r="A60" s="5" t="s">
        <v>23</v>
      </c>
      <c r="B60" s="5">
        <v>400</v>
      </c>
      <c r="C60" s="5" t="s">
        <v>148</v>
      </c>
      <c r="D60" s="5" t="s">
        <v>149</v>
      </c>
      <c r="E60" s="6">
        <v>2025</v>
      </c>
      <c r="F60" s="5">
        <v>6561</v>
      </c>
      <c r="G60" s="5">
        <v>8740</v>
      </c>
      <c r="H60" s="5">
        <v>2030000</v>
      </c>
      <c r="I60" s="5">
        <v>660013</v>
      </c>
      <c r="J60" s="7">
        <v>678314608893</v>
      </c>
      <c r="K60" s="7">
        <v>244016195803</v>
      </c>
      <c r="L60" s="7">
        <v>0</v>
      </c>
      <c r="M60" s="7">
        <v>922330848000</v>
      </c>
      <c r="N60" s="8">
        <v>2026</v>
      </c>
      <c r="O60" s="5">
        <v>3941</v>
      </c>
      <c r="P60" s="5">
        <v>6517</v>
      </c>
      <c r="Q60" s="5">
        <v>166740000</v>
      </c>
      <c r="R60" s="5">
        <v>518194</v>
      </c>
      <c r="S60" s="9">
        <v>571896593312</v>
      </c>
      <c r="T60" s="7">
        <v>127084640884</v>
      </c>
      <c r="U60" s="7">
        <v>0</v>
      </c>
      <c r="V60" s="12">
        <v>698981228026</v>
      </c>
      <c r="W60" s="12">
        <f t="shared" si="0"/>
        <v>1621312076026</v>
      </c>
    </row>
    <row r="61" spans="1:23" ht="15">
      <c r="A61" s="5" t="s">
        <v>26</v>
      </c>
      <c r="B61" s="5">
        <v>411</v>
      </c>
      <c r="C61" s="5" t="s">
        <v>150</v>
      </c>
      <c r="D61" s="5" t="s">
        <v>151</v>
      </c>
      <c r="E61" s="6">
        <v>2014</v>
      </c>
      <c r="F61" s="5">
        <v>1822</v>
      </c>
      <c r="G61" s="5">
        <v>2603</v>
      </c>
      <c r="H61" s="5">
        <v>400000</v>
      </c>
      <c r="I61" s="5">
        <v>164697</v>
      </c>
      <c r="J61" s="7">
        <v>58561859505</v>
      </c>
      <c r="K61" s="7">
        <v>50412420295</v>
      </c>
      <c r="L61" s="7">
        <v>0</v>
      </c>
      <c r="M61" s="7">
        <v>108974284000</v>
      </c>
      <c r="N61" s="8">
        <v>2020</v>
      </c>
      <c r="O61" s="5">
        <v>3926</v>
      </c>
      <c r="P61" s="5">
        <v>5672</v>
      </c>
      <c r="Q61" s="5">
        <v>212930000</v>
      </c>
      <c r="R61" s="5">
        <v>219049</v>
      </c>
      <c r="S61" s="9">
        <v>38244104056</v>
      </c>
      <c r="T61" s="7">
        <v>26213933404</v>
      </c>
      <c r="U61" s="7">
        <v>0</v>
      </c>
      <c r="V61" s="12">
        <v>64458092000</v>
      </c>
      <c r="W61" s="12">
        <f t="shared" si="0"/>
        <v>173432376000</v>
      </c>
    </row>
    <row r="62" spans="1:23" ht="15">
      <c r="A62" s="5" t="s">
        <v>82</v>
      </c>
      <c r="B62" s="5">
        <v>425</v>
      </c>
      <c r="C62" s="5" t="s">
        <v>152</v>
      </c>
      <c r="D62" s="5" t="s">
        <v>153</v>
      </c>
      <c r="E62" s="6">
        <v>2017</v>
      </c>
      <c r="F62" s="5">
        <v>1130</v>
      </c>
      <c r="G62" s="5">
        <v>1544</v>
      </c>
      <c r="H62" s="5">
        <v>270000</v>
      </c>
      <c r="I62" s="5">
        <v>117865</v>
      </c>
      <c r="J62" s="7">
        <v>42906289092</v>
      </c>
      <c r="K62" s="7">
        <v>45755469448</v>
      </c>
      <c r="L62" s="7">
        <v>0</v>
      </c>
      <c r="M62" s="7">
        <v>88661749000</v>
      </c>
      <c r="N62" s="8">
        <v>2007</v>
      </c>
      <c r="O62" s="5">
        <v>3222</v>
      </c>
      <c r="P62" s="5">
        <v>4285</v>
      </c>
      <c r="Q62" s="5">
        <v>453470000</v>
      </c>
      <c r="R62" s="5">
        <v>231644</v>
      </c>
      <c r="S62" s="9">
        <v>156657973381</v>
      </c>
      <c r="T62" s="7">
        <v>64113625832</v>
      </c>
      <c r="U62" s="7">
        <v>0</v>
      </c>
      <c r="V62" s="12">
        <v>220771634000</v>
      </c>
      <c r="W62" s="12">
        <f t="shared" si="0"/>
        <v>309433383000</v>
      </c>
    </row>
    <row r="63" spans="1:23" ht="15">
      <c r="A63" s="5" t="s">
        <v>31</v>
      </c>
      <c r="B63" s="5">
        <v>467</v>
      </c>
      <c r="C63" s="5" t="s">
        <v>154</v>
      </c>
      <c r="D63" s="5" t="s">
        <v>155</v>
      </c>
      <c r="E63" s="6">
        <v>2021</v>
      </c>
      <c r="F63" s="5">
        <v>869</v>
      </c>
      <c r="G63" s="5">
        <v>1163</v>
      </c>
      <c r="H63" s="5">
        <v>520000</v>
      </c>
      <c r="I63" s="5">
        <v>90054</v>
      </c>
      <c r="J63" s="7">
        <v>20300470263</v>
      </c>
      <c r="K63" s="7">
        <v>20628280947</v>
      </c>
      <c r="L63" s="7">
        <v>0</v>
      </c>
      <c r="M63" s="7">
        <v>40928771000</v>
      </c>
      <c r="N63" s="8">
        <v>2023</v>
      </c>
      <c r="O63" s="5">
        <v>4309</v>
      </c>
      <c r="P63" s="5">
        <v>6543</v>
      </c>
      <c r="Q63" s="5">
        <v>89250000</v>
      </c>
      <c r="R63" s="5">
        <v>274866</v>
      </c>
      <c r="S63" s="9">
        <v>124549984400</v>
      </c>
      <c r="T63" s="7">
        <v>69000713459</v>
      </c>
      <c r="U63" s="7">
        <v>0</v>
      </c>
      <c r="V63" s="12">
        <v>193550737000</v>
      </c>
      <c r="W63" s="12">
        <f t="shared" si="0"/>
        <v>234479508000</v>
      </c>
    </row>
    <row r="64" spans="1:23" ht="15">
      <c r="A64" s="5" t="s">
        <v>50</v>
      </c>
      <c r="B64" s="5">
        <v>475</v>
      </c>
      <c r="C64" s="5" t="s">
        <v>156</v>
      </c>
      <c r="D64" s="5" t="s">
        <v>157</v>
      </c>
      <c r="E64" s="6">
        <v>2010</v>
      </c>
      <c r="F64" s="5">
        <v>427</v>
      </c>
      <c r="G64" s="5">
        <v>438</v>
      </c>
      <c r="H64" s="5">
        <v>620000</v>
      </c>
      <c r="I64" s="5">
        <v>29386</v>
      </c>
      <c r="J64" s="7">
        <v>1716339367</v>
      </c>
      <c r="K64" s="7">
        <v>4676496641</v>
      </c>
      <c r="L64" s="7">
        <v>0</v>
      </c>
      <c r="M64" s="7">
        <v>6392836000</v>
      </c>
      <c r="N64" s="8">
        <v>2012</v>
      </c>
      <c r="O64" s="5">
        <v>16</v>
      </c>
      <c r="P64" s="5">
        <v>16</v>
      </c>
      <c r="Q64" s="5">
        <v>1441300000</v>
      </c>
      <c r="R64" s="5">
        <v>18168</v>
      </c>
      <c r="S64" s="9">
        <v>140408119446</v>
      </c>
      <c r="T64" s="7">
        <v>826669665</v>
      </c>
      <c r="U64" s="7">
        <v>0</v>
      </c>
      <c r="V64" s="12">
        <v>141234790000</v>
      </c>
      <c r="W64" s="12">
        <f t="shared" si="0"/>
        <v>147627626000</v>
      </c>
    </row>
    <row r="65" spans="1:23" ht="15">
      <c r="A65" s="5" t="s">
        <v>50</v>
      </c>
      <c r="B65" s="5">
        <v>480</v>
      </c>
      <c r="C65" s="5" t="s">
        <v>158</v>
      </c>
      <c r="D65" s="5" t="s">
        <v>159</v>
      </c>
      <c r="E65" s="6">
        <v>2014</v>
      </c>
      <c r="F65" s="5">
        <v>1927</v>
      </c>
      <c r="G65" s="5">
        <v>2228</v>
      </c>
      <c r="H65" s="5">
        <v>630000</v>
      </c>
      <c r="I65" s="5">
        <v>148904</v>
      </c>
      <c r="J65" s="7">
        <v>20789018525</v>
      </c>
      <c r="K65" s="7">
        <v>20024027171</v>
      </c>
      <c r="L65" s="7">
        <v>0</v>
      </c>
      <c r="M65" s="7">
        <v>40813029000</v>
      </c>
      <c r="N65" s="8">
        <v>2016</v>
      </c>
      <c r="O65" s="5">
        <v>2519</v>
      </c>
      <c r="P65" s="5">
        <v>3490</v>
      </c>
      <c r="Q65" s="5">
        <v>1001710000</v>
      </c>
      <c r="R65" s="5">
        <v>182785</v>
      </c>
      <c r="S65" s="9">
        <v>567784228839</v>
      </c>
      <c r="T65" s="7">
        <v>31257398520</v>
      </c>
      <c r="U65" s="7">
        <v>0</v>
      </c>
      <c r="V65" s="12">
        <v>599041638000</v>
      </c>
      <c r="W65" s="12">
        <f t="shared" si="0"/>
        <v>639854667000</v>
      </c>
    </row>
    <row r="66" spans="1:23" ht="15">
      <c r="A66" s="5" t="s">
        <v>23</v>
      </c>
      <c r="B66" s="5">
        <v>483</v>
      </c>
      <c r="C66" s="5" t="s">
        <v>160</v>
      </c>
      <c r="D66" s="5" t="s">
        <v>161</v>
      </c>
      <c r="E66" s="6">
        <v>2012</v>
      </c>
      <c r="F66" s="5">
        <v>1729</v>
      </c>
      <c r="G66" s="5">
        <v>2243</v>
      </c>
      <c r="H66" s="5">
        <v>700000</v>
      </c>
      <c r="I66" s="5">
        <v>146277</v>
      </c>
      <c r="J66" s="7">
        <v>15031158679</v>
      </c>
      <c r="K66" s="7">
        <v>58687328799</v>
      </c>
      <c r="L66" s="7">
        <v>0</v>
      </c>
      <c r="M66" s="7">
        <v>73718470000</v>
      </c>
      <c r="N66" s="8">
        <v>2021</v>
      </c>
      <c r="O66" s="5">
        <v>3685</v>
      </c>
      <c r="P66" s="5">
        <v>4664</v>
      </c>
      <c r="Q66" s="5">
        <v>307370000</v>
      </c>
      <c r="R66" s="5">
        <v>137336</v>
      </c>
      <c r="S66" s="9">
        <v>34992410719</v>
      </c>
      <c r="T66" s="7">
        <v>11131276097</v>
      </c>
      <c r="U66" s="7">
        <v>0</v>
      </c>
      <c r="V66" s="12">
        <v>46123724000</v>
      </c>
      <c r="W66" s="12">
        <f t="shared" ref="W66:W114" si="1">M66+V66</f>
        <v>119842194000</v>
      </c>
    </row>
    <row r="67" spans="1:23" ht="15">
      <c r="A67" s="5" t="s">
        <v>50</v>
      </c>
      <c r="B67" s="5">
        <v>490</v>
      </c>
      <c r="C67" s="5" t="s">
        <v>162</v>
      </c>
      <c r="D67" s="5" t="s">
        <v>163</v>
      </c>
      <c r="E67" s="6">
        <v>2026</v>
      </c>
      <c r="F67" s="5">
        <v>9600</v>
      </c>
      <c r="G67" s="5">
        <v>10273</v>
      </c>
      <c r="H67" s="5">
        <v>5050000</v>
      </c>
      <c r="I67" s="5">
        <v>985934</v>
      </c>
      <c r="J67" s="7">
        <v>384410031968</v>
      </c>
      <c r="K67" s="7">
        <v>476409352896</v>
      </c>
      <c r="L67" s="7">
        <v>1746545000</v>
      </c>
      <c r="M67" s="7">
        <v>862565970294</v>
      </c>
      <c r="N67" s="8">
        <v>2026</v>
      </c>
      <c r="O67" s="5">
        <v>14957</v>
      </c>
      <c r="P67" s="5">
        <v>16791</v>
      </c>
      <c r="Q67" s="5">
        <v>1513790000</v>
      </c>
      <c r="R67" s="5">
        <v>1342848</v>
      </c>
      <c r="S67" s="9">
        <v>781981251476</v>
      </c>
      <c r="T67" s="7">
        <v>283652457380</v>
      </c>
      <c r="U67" s="7">
        <v>1415183000</v>
      </c>
      <c r="V67" s="12">
        <v>1067048724245</v>
      </c>
      <c r="W67" s="12">
        <f t="shared" si="1"/>
        <v>1929614694539</v>
      </c>
    </row>
    <row r="68" spans="1:23" ht="15">
      <c r="A68" s="5" t="s">
        <v>34</v>
      </c>
      <c r="B68" s="5">
        <v>495</v>
      </c>
      <c r="C68" s="5" t="s">
        <v>164</v>
      </c>
      <c r="D68" s="5" t="s">
        <v>165</v>
      </c>
      <c r="E68" s="6">
        <v>2008</v>
      </c>
      <c r="F68" s="5">
        <v>3650</v>
      </c>
      <c r="G68" s="5">
        <v>4108</v>
      </c>
      <c r="H68" s="5">
        <v>960000</v>
      </c>
      <c r="I68" s="5">
        <v>260344</v>
      </c>
      <c r="J68" s="7">
        <v>72929183451</v>
      </c>
      <c r="K68" s="7">
        <v>72015874881</v>
      </c>
      <c r="L68" s="7">
        <v>0</v>
      </c>
      <c r="M68" s="7">
        <v>144945046000</v>
      </c>
      <c r="N68" s="8">
        <v>1994</v>
      </c>
      <c r="O68" s="5">
        <v>1645</v>
      </c>
      <c r="P68" s="5">
        <v>1948</v>
      </c>
      <c r="Q68" s="5">
        <v>938070000</v>
      </c>
      <c r="R68" s="5">
        <v>79573</v>
      </c>
      <c r="S68" s="9">
        <v>51330380444</v>
      </c>
      <c r="T68" s="7">
        <v>10885904931</v>
      </c>
      <c r="U68" s="7">
        <v>0</v>
      </c>
      <c r="V68" s="12">
        <v>62216294000</v>
      </c>
      <c r="W68" s="12">
        <f t="shared" si="1"/>
        <v>207161340000</v>
      </c>
    </row>
    <row r="69" spans="1:23" ht="15">
      <c r="A69" s="5" t="s">
        <v>26</v>
      </c>
      <c r="B69" s="5">
        <v>501</v>
      </c>
      <c r="C69" s="5" t="s">
        <v>166</v>
      </c>
      <c r="D69" s="5" t="s">
        <v>167</v>
      </c>
      <c r="E69" s="6">
        <v>2025</v>
      </c>
      <c r="F69" s="5">
        <v>668</v>
      </c>
      <c r="G69" s="5">
        <v>898</v>
      </c>
      <c r="H69" s="5">
        <v>360000</v>
      </c>
      <c r="I69" s="5">
        <v>71266</v>
      </c>
      <c r="J69" s="7">
        <v>36476470521</v>
      </c>
      <c r="K69" s="7">
        <v>39034001916</v>
      </c>
      <c r="L69" s="7">
        <v>0</v>
      </c>
      <c r="M69" s="7">
        <v>75510483000</v>
      </c>
      <c r="N69" s="8">
        <v>2026</v>
      </c>
      <c r="O69" s="5">
        <v>2579</v>
      </c>
      <c r="P69" s="5">
        <v>3311</v>
      </c>
      <c r="Q69" s="5">
        <v>105310000</v>
      </c>
      <c r="R69" s="5">
        <v>216087</v>
      </c>
      <c r="S69" s="9">
        <v>95037913601</v>
      </c>
      <c r="T69" s="7">
        <v>85072307680</v>
      </c>
      <c r="U69" s="7">
        <v>0</v>
      </c>
      <c r="V69" s="12">
        <v>180110224523</v>
      </c>
      <c r="W69" s="12">
        <f t="shared" si="1"/>
        <v>255620707523</v>
      </c>
    </row>
    <row r="70" spans="1:23" ht="15">
      <c r="A70" s="5" t="s">
        <v>23</v>
      </c>
      <c r="B70" s="5">
        <v>541</v>
      </c>
      <c r="C70" s="5" t="s">
        <v>168</v>
      </c>
      <c r="D70" s="5" t="s">
        <v>169</v>
      </c>
      <c r="E70" s="6">
        <v>2023</v>
      </c>
      <c r="F70" s="5">
        <v>5448</v>
      </c>
      <c r="G70" s="5">
        <v>7413</v>
      </c>
      <c r="H70" s="5">
        <v>1270000</v>
      </c>
      <c r="I70" s="5">
        <v>537536</v>
      </c>
      <c r="J70" s="7">
        <v>210040857249</v>
      </c>
      <c r="K70" s="7">
        <v>299378707630</v>
      </c>
      <c r="L70" s="7">
        <v>0</v>
      </c>
      <c r="M70" s="7">
        <v>509419646000</v>
      </c>
      <c r="N70" s="8">
        <v>2023</v>
      </c>
      <c r="O70" s="5">
        <v>9664</v>
      </c>
      <c r="P70" s="5">
        <v>14986</v>
      </c>
      <c r="Q70" s="5">
        <v>113710000</v>
      </c>
      <c r="R70" s="5">
        <v>1035832</v>
      </c>
      <c r="S70" s="9">
        <v>1813225978580</v>
      </c>
      <c r="T70" s="7">
        <v>333588435517</v>
      </c>
      <c r="U70" s="7">
        <v>11692703000</v>
      </c>
      <c r="V70" s="12">
        <v>2158507178000</v>
      </c>
      <c r="W70" s="12">
        <f t="shared" si="1"/>
        <v>2667926824000</v>
      </c>
    </row>
    <row r="71" spans="1:23" ht="15">
      <c r="A71" s="5" t="s">
        <v>26</v>
      </c>
      <c r="B71" s="5">
        <v>543</v>
      </c>
      <c r="C71" s="5" t="s">
        <v>170</v>
      </c>
      <c r="D71" s="5" t="s">
        <v>171</v>
      </c>
      <c r="E71" s="6">
        <v>2007</v>
      </c>
      <c r="F71" s="5">
        <v>1159</v>
      </c>
      <c r="G71" s="5">
        <v>1399</v>
      </c>
      <c r="H71" s="5">
        <v>440000</v>
      </c>
      <c r="I71" s="5">
        <v>97561</v>
      </c>
      <c r="J71" s="7">
        <v>12341562232</v>
      </c>
      <c r="K71" s="7">
        <v>33084192433</v>
      </c>
      <c r="L71" s="7">
        <v>0</v>
      </c>
      <c r="M71" s="7">
        <v>45425754000</v>
      </c>
      <c r="N71" s="8">
        <v>2007</v>
      </c>
      <c r="O71" s="5">
        <v>3329</v>
      </c>
      <c r="P71" s="5">
        <v>4119</v>
      </c>
      <c r="Q71" s="5">
        <v>432290000</v>
      </c>
      <c r="R71" s="5">
        <v>99196</v>
      </c>
      <c r="S71" s="9">
        <v>22554710027</v>
      </c>
      <c r="T71" s="7">
        <v>10556873909</v>
      </c>
      <c r="U71" s="7">
        <v>0</v>
      </c>
      <c r="V71" s="12">
        <v>33111590000</v>
      </c>
      <c r="W71" s="12">
        <f t="shared" si="1"/>
        <v>78537344000</v>
      </c>
    </row>
    <row r="72" spans="1:23" ht="15">
      <c r="A72" s="5" t="s">
        <v>31</v>
      </c>
      <c r="B72" s="5">
        <v>576</v>
      </c>
      <c r="C72" s="5" t="s">
        <v>172</v>
      </c>
      <c r="D72" s="5" t="s">
        <v>173</v>
      </c>
      <c r="E72" s="6">
        <v>2026</v>
      </c>
      <c r="F72" s="5">
        <v>1847</v>
      </c>
      <c r="G72" s="5">
        <v>2554</v>
      </c>
      <c r="H72" s="5">
        <v>560000</v>
      </c>
      <c r="I72" s="5">
        <v>239208</v>
      </c>
      <c r="J72" s="7">
        <v>75079284742</v>
      </c>
      <c r="K72" s="7">
        <v>99862587197</v>
      </c>
      <c r="L72" s="7">
        <v>0</v>
      </c>
      <c r="M72" s="7">
        <v>174941851000</v>
      </c>
      <c r="N72" s="8">
        <v>2011</v>
      </c>
      <c r="O72" s="5">
        <v>1754</v>
      </c>
      <c r="P72" s="5">
        <v>2698</v>
      </c>
      <c r="Q72" s="5">
        <v>74620000</v>
      </c>
      <c r="R72" s="5">
        <v>136577</v>
      </c>
      <c r="S72" s="9">
        <v>104054569345</v>
      </c>
      <c r="T72" s="7">
        <v>24728073657</v>
      </c>
      <c r="U72" s="7">
        <v>0</v>
      </c>
      <c r="V72" s="12">
        <v>128782674000</v>
      </c>
      <c r="W72" s="12">
        <f t="shared" si="1"/>
        <v>303724525000</v>
      </c>
    </row>
    <row r="73" spans="1:23" ht="15">
      <c r="A73" s="5" t="s">
        <v>82</v>
      </c>
      <c r="B73" s="5">
        <v>579</v>
      </c>
      <c r="C73" s="5" t="s">
        <v>174</v>
      </c>
      <c r="D73" s="5" t="s">
        <v>175</v>
      </c>
      <c r="E73" s="6">
        <v>2026</v>
      </c>
      <c r="F73" s="5">
        <v>12968</v>
      </c>
      <c r="G73" s="5">
        <v>15510</v>
      </c>
      <c r="H73" s="5">
        <v>4960000</v>
      </c>
      <c r="I73" s="5">
        <v>1231620</v>
      </c>
      <c r="J73" s="7">
        <v>672009117884</v>
      </c>
      <c r="K73" s="7">
        <v>678126643313</v>
      </c>
      <c r="L73" s="7">
        <v>0</v>
      </c>
      <c r="M73" s="7">
        <v>1350135725323</v>
      </c>
      <c r="N73" s="8">
        <v>2026</v>
      </c>
      <c r="O73" s="5">
        <v>2621</v>
      </c>
      <c r="P73" s="5">
        <v>3506</v>
      </c>
      <c r="Q73" s="5">
        <v>1211730000</v>
      </c>
      <c r="R73" s="5">
        <v>441587</v>
      </c>
      <c r="S73" s="9">
        <v>508265149587</v>
      </c>
      <c r="T73" s="7">
        <v>159767352084</v>
      </c>
      <c r="U73" s="7">
        <v>0</v>
      </c>
      <c r="V73" s="12">
        <v>668032521162</v>
      </c>
      <c r="W73" s="12">
        <f t="shared" si="1"/>
        <v>2018168246485</v>
      </c>
    </row>
    <row r="74" spans="1:23" ht="15">
      <c r="A74" s="5" t="s">
        <v>82</v>
      </c>
      <c r="B74" s="5">
        <v>585</v>
      </c>
      <c r="C74" s="5" t="s">
        <v>176</v>
      </c>
      <c r="D74" s="5" t="s">
        <v>177</v>
      </c>
      <c r="E74" s="6">
        <v>2007</v>
      </c>
      <c r="F74" s="5">
        <v>3889</v>
      </c>
      <c r="G74" s="5">
        <v>5142</v>
      </c>
      <c r="H74" s="5">
        <v>1750000</v>
      </c>
      <c r="I74" s="5">
        <v>381874</v>
      </c>
      <c r="J74" s="7">
        <v>88413396610</v>
      </c>
      <c r="K74" s="7">
        <v>135180492665</v>
      </c>
      <c r="L74" s="7">
        <v>0</v>
      </c>
      <c r="M74" s="7">
        <v>223593869000</v>
      </c>
      <c r="N74" s="8">
        <v>2010</v>
      </c>
      <c r="O74" s="5">
        <v>1166</v>
      </c>
      <c r="P74" s="5">
        <v>2097</v>
      </c>
      <c r="Q74" s="5">
        <v>522530000</v>
      </c>
      <c r="R74" s="5">
        <v>111297</v>
      </c>
      <c r="S74" s="9">
        <v>151506132888</v>
      </c>
      <c r="T74" s="7">
        <v>20963740357</v>
      </c>
      <c r="U74" s="7">
        <v>0</v>
      </c>
      <c r="V74" s="12">
        <v>172469864000</v>
      </c>
      <c r="W74" s="12">
        <f t="shared" si="1"/>
        <v>396063733000</v>
      </c>
    </row>
    <row r="75" spans="1:23" ht="15">
      <c r="A75" s="5" t="s">
        <v>82</v>
      </c>
      <c r="B75" s="5">
        <v>591</v>
      </c>
      <c r="C75" s="5" t="s">
        <v>178</v>
      </c>
      <c r="D75" s="5" t="s">
        <v>179</v>
      </c>
      <c r="E75" s="6">
        <v>2025</v>
      </c>
      <c r="F75" s="5">
        <v>6317</v>
      </c>
      <c r="G75" s="5">
        <v>7367</v>
      </c>
      <c r="H75" s="5">
        <v>2270000</v>
      </c>
      <c r="I75" s="5">
        <v>534328</v>
      </c>
      <c r="J75" s="7">
        <v>416954176142</v>
      </c>
      <c r="K75" s="7">
        <v>323176118786</v>
      </c>
      <c r="L75" s="7">
        <v>1590299258000</v>
      </c>
      <c r="M75" s="7">
        <v>2330429609000</v>
      </c>
      <c r="N75" s="8">
        <v>2026</v>
      </c>
      <c r="O75" s="5">
        <v>2555</v>
      </c>
      <c r="P75" s="5">
        <v>3504</v>
      </c>
      <c r="Q75" s="5">
        <v>367280000</v>
      </c>
      <c r="R75" s="5">
        <v>373220</v>
      </c>
      <c r="S75" s="9">
        <v>652020320645</v>
      </c>
      <c r="T75" s="7">
        <v>173664950497</v>
      </c>
      <c r="U75" s="7">
        <v>8683800000</v>
      </c>
      <c r="V75" s="12">
        <v>834369092128</v>
      </c>
      <c r="W75" s="12">
        <f t="shared" si="1"/>
        <v>3164798701128</v>
      </c>
    </row>
    <row r="76" spans="1:23" ht="15">
      <c r="A76" s="5" t="s">
        <v>34</v>
      </c>
      <c r="B76" s="5">
        <v>604</v>
      </c>
      <c r="C76" s="5" t="s">
        <v>180</v>
      </c>
      <c r="D76" s="5" t="s">
        <v>181</v>
      </c>
      <c r="E76" s="6">
        <v>2021</v>
      </c>
      <c r="F76" s="5">
        <v>6809</v>
      </c>
      <c r="G76" s="5">
        <v>8061</v>
      </c>
      <c r="H76" s="5">
        <v>2930000</v>
      </c>
      <c r="I76" s="5">
        <v>617870</v>
      </c>
      <c r="J76" s="7">
        <v>112558725060</v>
      </c>
      <c r="K76" s="7">
        <v>225677544661</v>
      </c>
      <c r="L76" s="7">
        <v>0</v>
      </c>
      <c r="M76" s="7">
        <v>338236265000</v>
      </c>
      <c r="N76" s="8">
        <v>2019</v>
      </c>
      <c r="O76" s="5">
        <v>5177</v>
      </c>
      <c r="P76" s="5">
        <v>6196</v>
      </c>
      <c r="Q76" s="5">
        <v>1969650000</v>
      </c>
      <c r="R76" s="5">
        <v>461190</v>
      </c>
      <c r="S76" s="9">
        <v>128306913581</v>
      </c>
      <c r="T76" s="7">
        <v>36154267766</v>
      </c>
      <c r="U76" s="7">
        <v>2557309000</v>
      </c>
      <c r="V76" s="12">
        <v>167018559000</v>
      </c>
      <c r="W76" s="12">
        <f t="shared" si="1"/>
        <v>505254824000</v>
      </c>
    </row>
    <row r="77" spans="1:23" ht="15">
      <c r="A77" s="5" t="s">
        <v>26</v>
      </c>
      <c r="B77" s="5">
        <v>628</v>
      </c>
      <c r="C77" s="5" t="s">
        <v>182</v>
      </c>
      <c r="D77" s="5" t="s">
        <v>183</v>
      </c>
      <c r="E77" s="6">
        <v>2023</v>
      </c>
      <c r="F77" s="5">
        <v>1360</v>
      </c>
      <c r="G77" s="5">
        <v>1672</v>
      </c>
      <c r="H77" s="5">
        <v>1240000</v>
      </c>
      <c r="I77" s="5">
        <v>128708</v>
      </c>
      <c r="J77" s="7">
        <v>59667791054</v>
      </c>
      <c r="K77" s="7">
        <v>76143726333</v>
      </c>
      <c r="L77" s="7">
        <v>0</v>
      </c>
      <c r="M77" s="7">
        <v>135811600000</v>
      </c>
      <c r="N77" s="8">
        <v>2015</v>
      </c>
      <c r="O77" s="5">
        <v>4824</v>
      </c>
      <c r="P77" s="5">
        <v>5705</v>
      </c>
      <c r="Q77" s="5">
        <v>264250000</v>
      </c>
      <c r="R77" s="5">
        <v>144865</v>
      </c>
      <c r="S77" s="9">
        <v>38412502698</v>
      </c>
      <c r="T77" s="7">
        <v>30666031469</v>
      </c>
      <c r="U77" s="7">
        <v>0</v>
      </c>
      <c r="V77" s="12">
        <v>69078578000</v>
      </c>
      <c r="W77" s="12">
        <f t="shared" si="1"/>
        <v>204890178000</v>
      </c>
    </row>
    <row r="78" spans="1:23" ht="15">
      <c r="A78" s="5" t="s">
        <v>31</v>
      </c>
      <c r="B78" s="5">
        <v>642</v>
      </c>
      <c r="C78" s="5" t="s">
        <v>184</v>
      </c>
      <c r="D78" s="5" t="s">
        <v>185</v>
      </c>
      <c r="E78" s="6">
        <v>2026</v>
      </c>
      <c r="F78" s="5">
        <v>3110</v>
      </c>
      <c r="G78" s="5">
        <v>4289</v>
      </c>
      <c r="H78" s="5">
        <v>1100000</v>
      </c>
      <c r="I78" s="5">
        <v>339105</v>
      </c>
      <c r="J78" s="7">
        <v>59877723747</v>
      </c>
      <c r="K78" s="7">
        <v>119820400849</v>
      </c>
      <c r="L78" s="7">
        <v>0</v>
      </c>
      <c r="M78" s="7">
        <v>179698096087</v>
      </c>
      <c r="N78" s="8">
        <v>2008</v>
      </c>
      <c r="O78" s="5">
        <v>4105</v>
      </c>
      <c r="P78" s="5">
        <v>6843</v>
      </c>
      <c r="Q78" s="5">
        <v>285730000</v>
      </c>
      <c r="R78" s="5">
        <v>346054</v>
      </c>
      <c r="S78" s="9">
        <v>162043938812</v>
      </c>
      <c r="T78" s="7">
        <v>65339977287</v>
      </c>
      <c r="U78" s="7">
        <v>0</v>
      </c>
      <c r="V78" s="12">
        <v>227383961000</v>
      </c>
      <c r="W78" s="12">
        <f t="shared" si="1"/>
        <v>407082057087</v>
      </c>
    </row>
    <row r="79" spans="1:23" ht="15">
      <c r="A79" s="5" t="s">
        <v>41</v>
      </c>
      <c r="B79" s="5">
        <v>647</v>
      </c>
      <c r="C79" s="5" t="s">
        <v>186</v>
      </c>
      <c r="D79" s="5" t="s">
        <v>187</v>
      </c>
      <c r="E79" s="6">
        <v>2014</v>
      </c>
      <c r="F79" s="5">
        <v>1124</v>
      </c>
      <c r="G79" s="5">
        <v>1540</v>
      </c>
      <c r="H79" s="5">
        <v>390000</v>
      </c>
      <c r="I79" s="5">
        <v>99366</v>
      </c>
      <c r="J79" s="7">
        <v>32978409828</v>
      </c>
      <c r="K79" s="7">
        <v>32145801937</v>
      </c>
      <c r="L79" s="7">
        <v>0</v>
      </c>
      <c r="M79" s="7">
        <v>65124212000</v>
      </c>
      <c r="N79" s="8">
        <v>2016</v>
      </c>
      <c r="O79" s="5">
        <v>2514</v>
      </c>
      <c r="P79" s="5">
        <v>3225</v>
      </c>
      <c r="Q79" s="5">
        <v>204150000</v>
      </c>
      <c r="R79" s="5">
        <v>142343</v>
      </c>
      <c r="S79" s="9">
        <v>41092678489</v>
      </c>
      <c r="T79" s="7">
        <v>29322224532</v>
      </c>
      <c r="U79" s="7">
        <v>0</v>
      </c>
      <c r="V79" s="12">
        <v>70414904000</v>
      </c>
      <c r="W79" s="12">
        <f t="shared" si="1"/>
        <v>135539116000</v>
      </c>
    </row>
    <row r="80" spans="1:23" ht="15">
      <c r="A80" s="5" t="s">
        <v>23</v>
      </c>
      <c r="B80" s="5">
        <v>649</v>
      </c>
      <c r="C80" s="5" t="s">
        <v>188</v>
      </c>
      <c r="D80" s="5" t="s">
        <v>189</v>
      </c>
      <c r="E80" s="6">
        <v>2025</v>
      </c>
      <c r="F80" s="5">
        <v>4492</v>
      </c>
      <c r="G80" s="5">
        <v>5538</v>
      </c>
      <c r="H80" s="5">
        <v>2600000</v>
      </c>
      <c r="I80" s="5">
        <v>512884</v>
      </c>
      <c r="J80" s="7">
        <v>373577206046</v>
      </c>
      <c r="K80" s="7">
        <v>210268863231</v>
      </c>
      <c r="L80" s="7">
        <v>0</v>
      </c>
      <c r="M80" s="7">
        <v>583846095000</v>
      </c>
      <c r="N80" s="8">
        <v>2026</v>
      </c>
      <c r="O80" s="5">
        <v>6853</v>
      </c>
      <c r="P80" s="5">
        <v>8959</v>
      </c>
      <c r="Q80" s="5">
        <v>937160000</v>
      </c>
      <c r="R80" s="5">
        <v>859572</v>
      </c>
      <c r="S80" s="9">
        <v>1284067385474</v>
      </c>
      <c r="T80" s="7">
        <v>313354626600</v>
      </c>
      <c r="U80" s="7">
        <v>693829000</v>
      </c>
      <c r="V80" s="12">
        <v>1598115827281</v>
      </c>
      <c r="W80" s="12">
        <f t="shared" si="1"/>
        <v>2181961922281</v>
      </c>
    </row>
    <row r="81" spans="1:23" ht="15">
      <c r="A81" s="5" t="s">
        <v>23</v>
      </c>
      <c r="B81" s="5">
        <v>652</v>
      </c>
      <c r="C81" s="5" t="s">
        <v>190</v>
      </c>
      <c r="D81" s="5" t="s">
        <v>191</v>
      </c>
      <c r="E81" s="6">
        <v>2023</v>
      </c>
      <c r="F81" s="5">
        <v>1571</v>
      </c>
      <c r="G81" s="5">
        <v>1809</v>
      </c>
      <c r="H81" s="5">
        <v>360000</v>
      </c>
      <c r="I81" s="5">
        <v>132687</v>
      </c>
      <c r="J81" s="7">
        <v>20068249660</v>
      </c>
      <c r="K81" s="7">
        <v>67301986083</v>
      </c>
      <c r="L81" s="7">
        <v>0</v>
      </c>
      <c r="M81" s="7">
        <v>87370277000</v>
      </c>
      <c r="N81" s="8">
        <v>1994</v>
      </c>
      <c r="O81" s="5">
        <v>2365</v>
      </c>
      <c r="P81" s="5">
        <v>2879</v>
      </c>
      <c r="Q81" s="5">
        <v>390180000</v>
      </c>
      <c r="R81" s="5">
        <v>69064</v>
      </c>
      <c r="S81" s="9">
        <v>48596876579</v>
      </c>
      <c r="T81" s="7">
        <v>14561989837</v>
      </c>
      <c r="U81" s="7">
        <v>0</v>
      </c>
      <c r="V81" s="12">
        <v>63158905000</v>
      </c>
      <c r="W81" s="12">
        <f t="shared" si="1"/>
        <v>150529182000</v>
      </c>
    </row>
    <row r="82" spans="1:23" ht="15">
      <c r="A82" s="5" t="s">
        <v>26</v>
      </c>
      <c r="B82" s="5">
        <v>656</v>
      </c>
      <c r="C82" s="5" t="s">
        <v>192</v>
      </c>
      <c r="D82" s="5" t="s">
        <v>193</v>
      </c>
      <c r="E82" s="6">
        <v>2023</v>
      </c>
      <c r="F82" s="5">
        <v>5028</v>
      </c>
      <c r="G82" s="5">
        <v>7143</v>
      </c>
      <c r="H82" s="5">
        <v>2540000</v>
      </c>
      <c r="I82" s="5">
        <v>597262</v>
      </c>
      <c r="J82" s="7">
        <v>625829132848</v>
      </c>
      <c r="K82" s="7">
        <v>482381871331</v>
      </c>
      <c r="L82" s="7">
        <v>0</v>
      </c>
      <c r="M82" s="7">
        <v>1108211071000</v>
      </c>
      <c r="N82" s="8">
        <v>2022</v>
      </c>
      <c r="O82" s="5">
        <v>6574</v>
      </c>
      <c r="P82" s="5">
        <v>10132</v>
      </c>
      <c r="Q82" s="5">
        <v>147060000</v>
      </c>
      <c r="R82" s="5">
        <v>817953</v>
      </c>
      <c r="S82" s="9">
        <v>388539686903</v>
      </c>
      <c r="T82" s="7">
        <v>381861300028</v>
      </c>
      <c r="U82" s="7">
        <v>25392690000</v>
      </c>
      <c r="V82" s="12">
        <v>795793677000</v>
      </c>
      <c r="W82" s="12">
        <f t="shared" si="1"/>
        <v>1904004748000</v>
      </c>
    </row>
    <row r="83" spans="1:23" ht="15">
      <c r="A83" s="5" t="s">
        <v>41</v>
      </c>
      <c r="B83" s="5">
        <v>658</v>
      </c>
      <c r="C83" s="5" t="s">
        <v>194</v>
      </c>
      <c r="D83" s="5" t="s">
        <v>195</v>
      </c>
      <c r="E83" s="6">
        <v>2006</v>
      </c>
      <c r="F83" s="5">
        <v>931</v>
      </c>
      <c r="G83" s="5">
        <v>1126</v>
      </c>
      <c r="H83" s="5">
        <v>300000</v>
      </c>
      <c r="I83" s="5">
        <v>108701</v>
      </c>
      <c r="J83" s="7">
        <v>22060306247</v>
      </c>
      <c r="K83" s="7">
        <v>42657675000</v>
      </c>
      <c r="L83" s="7">
        <v>0</v>
      </c>
      <c r="M83" s="7">
        <v>64717982000</v>
      </c>
      <c r="N83" s="8">
        <v>2006</v>
      </c>
      <c r="O83" s="5">
        <v>415</v>
      </c>
      <c r="P83" s="5">
        <v>692</v>
      </c>
      <c r="Q83" s="5">
        <v>137370000</v>
      </c>
      <c r="R83" s="5">
        <v>34488</v>
      </c>
      <c r="S83" s="9">
        <v>37733437325</v>
      </c>
      <c r="T83" s="7">
        <v>7182692765</v>
      </c>
      <c r="U83" s="7">
        <v>0</v>
      </c>
      <c r="V83" s="12">
        <v>44916124000</v>
      </c>
      <c r="W83" s="12">
        <f t="shared" si="1"/>
        <v>109634106000</v>
      </c>
    </row>
    <row r="84" spans="1:23" ht="15">
      <c r="A84" s="5" t="s">
        <v>50</v>
      </c>
      <c r="B84" s="5">
        <v>659</v>
      </c>
      <c r="C84" s="5" t="s">
        <v>196</v>
      </c>
      <c r="D84" s="5" t="s">
        <v>197</v>
      </c>
      <c r="E84" s="6">
        <v>2026</v>
      </c>
      <c r="F84" s="5">
        <v>3361</v>
      </c>
      <c r="G84" s="5">
        <v>3606</v>
      </c>
      <c r="H84" s="5">
        <v>2020000</v>
      </c>
      <c r="I84" s="5">
        <v>321642</v>
      </c>
      <c r="J84" s="7">
        <v>76795610332</v>
      </c>
      <c r="K84" s="7">
        <v>158150438237</v>
      </c>
      <c r="L84" s="7">
        <v>0</v>
      </c>
      <c r="M84" s="7">
        <v>234946023208</v>
      </c>
      <c r="N84" s="8">
        <v>2026</v>
      </c>
      <c r="O84" s="5">
        <v>7034</v>
      </c>
      <c r="P84" s="5">
        <v>7794</v>
      </c>
      <c r="Q84" s="5">
        <v>344200000</v>
      </c>
      <c r="R84" s="5">
        <v>588048</v>
      </c>
      <c r="S84" s="9">
        <v>193716659636</v>
      </c>
      <c r="T84" s="7">
        <v>131036911618</v>
      </c>
      <c r="U84" s="7">
        <v>0</v>
      </c>
      <c r="V84" s="12">
        <v>324753541807</v>
      </c>
      <c r="W84" s="12">
        <f t="shared" si="1"/>
        <v>559699565015</v>
      </c>
    </row>
    <row r="85" spans="1:23" ht="15">
      <c r="A85" s="5" t="s">
        <v>23</v>
      </c>
      <c r="B85" s="5">
        <v>660</v>
      </c>
      <c r="C85" s="5" t="s">
        <v>198</v>
      </c>
      <c r="D85" s="5" t="s">
        <v>199</v>
      </c>
      <c r="E85" s="6">
        <v>2024</v>
      </c>
      <c r="F85" s="5">
        <v>3222</v>
      </c>
      <c r="G85" s="5">
        <v>3728</v>
      </c>
      <c r="H85" s="5">
        <v>720000</v>
      </c>
      <c r="I85" s="5">
        <v>297511</v>
      </c>
      <c r="J85" s="7">
        <v>47976068568</v>
      </c>
      <c r="K85" s="7">
        <v>78691058319</v>
      </c>
      <c r="L85" s="7">
        <v>0</v>
      </c>
      <c r="M85" s="7">
        <v>126667146000</v>
      </c>
      <c r="N85" s="8">
        <v>2024</v>
      </c>
      <c r="O85" s="5">
        <v>5919</v>
      </c>
      <c r="P85" s="5">
        <v>7201</v>
      </c>
      <c r="Q85" s="5">
        <v>514410000</v>
      </c>
      <c r="R85" s="5">
        <v>337057</v>
      </c>
      <c r="S85" s="9">
        <v>731805289775</v>
      </c>
      <c r="T85" s="7">
        <v>64972164182</v>
      </c>
      <c r="U85" s="7">
        <v>0</v>
      </c>
      <c r="V85" s="12">
        <v>796777531000</v>
      </c>
      <c r="W85" s="12">
        <f t="shared" si="1"/>
        <v>923444677000</v>
      </c>
    </row>
    <row r="86" spans="1:23" ht="15">
      <c r="A86" s="5" t="s">
        <v>41</v>
      </c>
      <c r="B86" s="5">
        <v>664</v>
      </c>
      <c r="C86" s="5" t="s">
        <v>200</v>
      </c>
      <c r="D86" s="5" t="s">
        <v>201</v>
      </c>
      <c r="E86" s="6">
        <v>2023</v>
      </c>
      <c r="F86" s="5">
        <v>6558</v>
      </c>
      <c r="G86" s="5">
        <v>8741</v>
      </c>
      <c r="H86" s="5">
        <v>1820000</v>
      </c>
      <c r="I86" s="5">
        <v>754950</v>
      </c>
      <c r="J86" s="7">
        <v>533225021630</v>
      </c>
      <c r="K86" s="7">
        <v>496259941390</v>
      </c>
      <c r="L86" s="7">
        <v>0</v>
      </c>
      <c r="M86" s="7">
        <v>1029485010000</v>
      </c>
      <c r="N86" s="8">
        <v>2026</v>
      </c>
      <c r="O86" s="5">
        <v>6761</v>
      </c>
      <c r="P86" s="5">
        <v>11119</v>
      </c>
      <c r="Q86" s="5">
        <v>242930000</v>
      </c>
      <c r="R86" s="5">
        <v>1151308</v>
      </c>
      <c r="S86" s="9">
        <v>1165735772804</v>
      </c>
      <c r="T86" s="7">
        <v>474140933614</v>
      </c>
      <c r="U86" s="7">
        <v>16272271000</v>
      </c>
      <c r="V86" s="12">
        <v>1656148980060</v>
      </c>
      <c r="W86" s="12">
        <f t="shared" si="1"/>
        <v>2685633990060</v>
      </c>
    </row>
    <row r="87" spans="1:23" ht="15">
      <c r="A87" s="5" t="s">
        <v>50</v>
      </c>
      <c r="B87" s="5">
        <v>665</v>
      </c>
      <c r="C87" s="5" t="s">
        <v>202</v>
      </c>
      <c r="D87" s="5" t="s">
        <v>203</v>
      </c>
      <c r="E87" s="6">
        <v>2026</v>
      </c>
      <c r="F87" s="5">
        <v>4347</v>
      </c>
      <c r="G87" s="5">
        <v>4966</v>
      </c>
      <c r="H87" s="5">
        <v>1910000</v>
      </c>
      <c r="I87" s="5">
        <v>545863</v>
      </c>
      <c r="J87" s="7">
        <v>232668679323</v>
      </c>
      <c r="K87" s="7">
        <v>256748034815</v>
      </c>
      <c r="L87" s="7">
        <v>0</v>
      </c>
      <c r="M87" s="7">
        <v>489416727043</v>
      </c>
      <c r="N87" s="8">
        <v>2026</v>
      </c>
      <c r="O87" s="5">
        <v>6845</v>
      </c>
      <c r="P87" s="5">
        <v>8108</v>
      </c>
      <c r="Q87" s="5">
        <v>719610000</v>
      </c>
      <c r="R87" s="5">
        <v>880479</v>
      </c>
      <c r="S87" s="9">
        <v>681051019180</v>
      </c>
      <c r="T87" s="7">
        <v>147118191585</v>
      </c>
      <c r="U87" s="7">
        <v>0</v>
      </c>
      <c r="V87" s="12">
        <v>828169230412</v>
      </c>
      <c r="W87" s="12">
        <f t="shared" si="1"/>
        <v>1317585957455</v>
      </c>
    </row>
    <row r="88" spans="1:23" ht="15">
      <c r="A88" s="5" t="s">
        <v>23</v>
      </c>
      <c r="B88" s="5">
        <v>667</v>
      </c>
      <c r="C88" s="5" t="s">
        <v>204</v>
      </c>
      <c r="D88" s="5" t="s">
        <v>205</v>
      </c>
      <c r="E88" s="6">
        <v>2025</v>
      </c>
      <c r="F88" s="5">
        <v>3519</v>
      </c>
      <c r="G88" s="5">
        <v>4981</v>
      </c>
      <c r="H88" s="5">
        <v>1170000</v>
      </c>
      <c r="I88" s="5">
        <v>404553</v>
      </c>
      <c r="J88" s="7">
        <v>322492870183</v>
      </c>
      <c r="K88" s="7">
        <v>203812533199</v>
      </c>
      <c r="L88" s="7">
        <v>0</v>
      </c>
      <c r="M88" s="7">
        <v>526305420000</v>
      </c>
      <c r="N88" s="8">
        <v>2026</v>
      </c>
      <c r="O88" s="5">
        <v>6312</v>
      </c>
      <c r="P88" s="5">
        <v>8499</v>
      </c>
      <c r="Q88" s="5">
        <v>440000000</v>
      </c>
      <c r="R88" s="5">
        <v>836627</v>
      </c>
      <c r="S88" s="9">
        <v>610190388477</v>
      </c>
      <c r="T88" s="7">
        <v>288258535928</v>
      </c>
      <c r="U88" s="7">
        <v>0</v>
      </c>
      <c r="V88" s="12">
        <v>898448913630</v>
      </c>
      <c r="W88" s="12">
        <f t="shared" si="1"/>
        <v>1424754333630</v>
      </c>
    </row>
    <row r="89" spans="1:23" ht="15">
      <c r="A89" s="5" t="s">
        <v>97</v>
      </c>
      <c r="B89" s="5">
        <v>670</v>
      </c>
      <c r="C89" s="5" t="s">
        <v>206</v>
      </c>
      <c r="D89" s="5" t="s">
        <v>207</v>
      </c>
      <c r="E89" s="6">
        <v>2006</v>
      </c>
      <c r="F89" s="5">
        <v>4058</v>
      </c>
      <c r="G89" s="5">
        <v>5585</v>
      </c>
      <c r="H89" s="5">
        <v>970000</v>
      </c>
      <c r="I89" s="5">
        <v>322196</v>
      </c>
      <c r="J89" s="7">
        <v>68093269074</v>
      </c>
      <c r="K89" s="7">
        <v>123446301331</v>
      </c>
      <c r="L89" s="7">
        <v>0</v>
      </c>
      <c r="M89" s="7">
        <v>191539561000</v>
      </c>
      <c r="N89" s="8">
        <v>2007</v>
      </c>
      <c r="O89" s="5">
        <v>4706</v>
      </c>
      <c r="P89" s="5">
        <v>6553</v>
      </c>
      <c r="Q89" s="5">
        <v>404650000</v>
      </c>
      <c r="R89" s="5">
        <v>225948</v>
      </c>
      <c r="S89" s="9">
        <v>323523895018</v>
      </c>
      <c r="T89" s="7">
        <v>46204999217</v>
      </c>
      <c r="U89" s="7">
        <v>24672862000</v>
      </c>
      <c r="V89" s="12">
        <v>394401740000</v>
      </c>
      <c r="W89" s="12">
        <f t="shared" si="1"/>
        <v>585941301000</v>
      </c>
    </row>
    <row r="90" spans="1:23" ht="15">
      <c r="A90" s="5" t="s">
        <v>31</v>
      </c>
      <c r="B90" s="5">
        <v>679</v>
      </c>
      <c r="C90" s="5" t="s">
        <v>208</v>
      </c>
      <c r="D90" s="5" t="s">
        <v>209</v>
      </c>
      <c r="E90" s="6">
        <v>2023</v>
      </c>
      <c r="F90" s="5">
        <v>4720</v>
      </c>
      <c r="G90" s="5">
        <v>6857</v>
      </c>
      <c r="H90" s="5">
        <v>1080000</v>
      </c>
      <c r="I90" s="5">
        <v>490942</v>
      </c>
      <c r="J90" s="7">
        <v>101506409719</v>
      </c>
      <c r="K90" s="7">
        <v>303192839498</v>
      </c>
      <c r="L90" s="7">
        <v>0</v>
      </c>
      <c r="M90" s="7">
        <v>404699201000</v>
      </c>
      <c r="N90" s="8">
        <v>2023</v>
      </c>
      <c r="O90" s="5">
        <v>8059</v>
      </c>
      <c r="P90" s="5">
        <v>12906</v>
      </c>
      <c r="Q90" s="5">
        <v>174400000</v>
      </c>
      <c r="R90" s="5">
        <v>673722</v>
      </c>
      <c r="S90" s="9">
        <v>396932475538</v>
      </c>
      <c r="T90" s="7">
        <v>295774591512</v>
      </c>
      <c r="U90" s="7">
        <v>0</v>
      </c>
      <c r="V90" s="12">
        <v>692707081000</v>
      </c>
      <c r="W90" s="12">
        <f t="shared" si="1"/>
        <v>1097406282000</v>
      </c>
    </row>
    <row r="91" spans="1:23" ht="15">
      <c r="A91" s="5" t="s">
        <v>41</v>
      </c>
      <c r="B91" s="5">
        <v>686</v>
      </c>
      <c r="C91" s="5" t="s">
        <v>210</v>
      </c>
      <c r="D91" s="5" t="s">
        <v>211</v>
      </c>
      <c r="E91" s="6">
        <v>2026</v>
      </c>
      <c r="F91" s="5">
        <v>9528</v>
      </c>
      <c r="G91" s="5">
        <v>14234</v>
      </c>
      <c r="H91" s="5">
        <v>3210000</v>
      </c>
      <c r="I91" s="5">
        <v>1047718</v>
      </c>
      <c r="J91" s="7">
        <v>625346999036</v>
      </c>
      <c r="K91" s="7">
        <v>793961047731</v>
      </c>
      <c r="L91" s="7">
        <v>0</v>
      </c>
      <c r="M91" s="7">
        <v>1419308047036</v>
      </c>
      <c r="N91" s="8">
        <v>2026</v>
      </c>
      <c r="O91" s="5">
        <v>9614</v>
      </c>
      <c r="P91" s="5">
        <v>15861</v>
      </c>
      <c r="Q91" s="5">
        <v>899710000</v>
      </c>
      <c r="R91" s="5">
        <v>1692687</v>
      </c>
      <c r="S91" s="9">
        <v>794004150290</v>
      </c>
      <c r="T91" s="7">
        <v>537551700430</v>
      </c>
      <c r="U91" s="7">
        <v>0</v>
      </c>
      <c r="V91" s="12">
        <v>1331555834296</v>
      </c>
      <c r="W91" s="12">
        <f t="shared" si="1"/>
        <v>2750863881332</v>
      </c>
    </row>
    <row r="92" spans="1:23" ht="15">
      <c r="A92" s="5" t="s">
        <v>97</v>
      </c>
      <c r="B92" s="5">
        <v>690</v>
      </c>
      <c r="C92" s="5" t="s">
        <v>212</v>
      </c>
      <c r="D92" s="5" t="s">
        <v>213</v>
      </c>
      <c r="E92" s="6">
        <v>2007</v>
      </c>
      <c r="F92" s="5">
        <v>2054</v>
      </c>
      <c r="G92" s="5">
        <v>3081</v>
      </c>
      <c r="H92" s="5">
        <v>1160000</v>
      </c>
      <c r="I92" s="5">
        <v>200057</v>
      </c>
      <c r="J92" s="7">
        <v>47767377246</v>
      </c>
      <c r="K92" s="7">
        <v>70804531963</v>
      </c>
      <c r="L92" s="7">
        <v>4241952000</v>
      </c>
      <c r="M92" s="7">
        <v>122813861000</v>
      </c>
      <c r="N92" s="8">
        <v>2007</v>
      </c>
      <c r="O92" s="5">
        <v>4510</v>
      </c>
      <c r="P92" s="5">
        <v>7570</v>
      </c>
      <c r="Q92" s="5">
        <v>275430000</v>
      </c>
      <c r="R92" s="5">
        <v>288693</v>
      </c>
      <c r="S92" s="9">
        <v>175277546923</v>
      </c>
      <c r="T92" s="7">
        <v>64686269798</v>
      </c>
      <c r="U92" s="7">
        <v>28954366000</v>
      </c>
      <c r="V92" s="12">
        <v>268918252000</v>
      </c>
      <c r="W92" s="12">
        <f t="shared" si="1"/>
        <v>391732113000</v>
      </c>
    </row>
    <row r="93" spans="1:23" ht="15">
      <c r="A93" s="5" t="s">
        <v>23</v>
      </c>
      <c r="B93" s="5">
        <v>697</v>
      </c>
      <c r="C93" s="5" t="s">
        <v>214</v>
      </c>
      <c r="D93" s="5" t="s">
        <v>215</v>
      </c>
      <c r="E93" s="6">
        <v>2026</v>
      </c>
      <c r="F93" s="5">
        <v>13272</v>
      </c>
      <c r="G93" s="5">
        <v>19547</v>
      </c>
      <c r="H93" s="5">
        <v>2290000</v>
      </c>
      <c r="I93" s="5">
        <v>1161356</v>
      </c>
      <c r="J93" s="7">
        <v>635316752914</v>
      </c>
      <c r="K93" s="7">
        <v>749540488870</v>
      </c>
      <c r="L93" s="7">
        <v>529675000</v>
      </c>
      <c r="M93" s="7">
        <v>1385386952032</v>
      </c>
      <c r="N93" s="8">
        <v>2026</v>
      </c>
      <c r="O93" s="5">
        <v>6062</v>
      </c>
      <c r="P93" s="5">
        <v>10331</v>
      </c>
      <c r="Q93" s="5">
        <v>87800000</v>
      </c>
      <c r="R93" s="5">
        <v>840463</v>
      </c>
      <c r="S93" s="9">
        <v>803062570415</v>
      </c>
      <c r="T93" s="7">
        <v>215246486538</v>
      </c>
      <c r="U93" s="7">
        <v>5326709000</v>
      </c>
      <c r="V93" s="12">
        <v>1023635777250</v>
      </c>
      <c r="W93" s="12">
        <f t="shared" si="1"/>
        <v>2409022729282</v>
      </c>
    </row>
    <row r="94" spans="1:23" ht="15">
      <c r="A94" s="5" t="s">
        <v>34</v>
      </c>
      <c r="B94" s="5">
        <v>736</v>
      </c>
      <c r="C94" s="5" t="s">
        <v>216</v>
      </c>
      <c r="D94" s="5" t="s">
        <v>217</v>
      </c>
      <c r="E94" s="6">
        <v>2018</v>
      </c>
      <c r="F94" s="5">
        <v>9953</v>
      </c>
      <c r="G94" s="5">
        <v>12359</v>
      </c>
      <c r="H94" s="5">
        <v>2880000</v>
      </c>
      <c r="I94" s="5">
        <v>983568</v>
      </c>
      <c r="J94" s="7">
        <v>105423021918</v>
      </c>
      <c r="K94" s="7">
        <v>294530806981</v>
      </c>
      <c r="L94" s="7">
        <v>0</v>
      </c>
      <c r="M94" s="7">
        <v>399953939000</v>
      </c>
      <c r="N94" s="8">
        <v>2019</v>
      </c>
      <c r="O94" s="5">
        <v>3327</v>
      </c>
      <c r="P94" s="5">
        <v>3866</v>
      </c>
      <c r="Q94" s="5">
        <v>1253230000</v>
      </c>
      <c r="R94" s="5">
        <v>343072</v>
      </c>
      <c r="S94" s="9">
        <v>57543887704</v>
      </c>
      <c r="T94" s="7">
        <v>28912086803</v>
      </c>
      <c r="U94" s="7">
        <v>0</v>
      </c>
      <c r="V94" s="12">
        <v>86455865000</v>
      </c>
      <c r="W94" s="12">
        <f t="shared" si="1"/>
        <v>486409804000</v>
      </c>
    </row>
    <row r="95" spans="1:23" ht="15">
      <c r="A95" s="5" t="s">
        <v>23</v>
      </c>
      <c r="B95" s="5">
        <v>756</v>
      </c>
      <c r="C95" s="5" t="s">
        <v>218</v>
      </c>
      <c r="D95" s="5" t="s">
        <v>219</v>
      </c>
      <c r="E95" s="6">
        <v>2026</v>
      </c>
      <c r="F95" s="5">
        <v>8581</v>
      </c>
      <c r="G95" s="5">
        <v>11331</v>
      </c>
      <c r="H95" s="5">
        <v>2850000</v>
      </c>
      <c r="I95" s="5">
        <v>1106312</v>
      </c>
      <c r="J95" s="7">
        <v>475537536024</v>
      </c>
      <c r="K95" s="7">
        <v>547777995801</v>
      </c>
      <c r="L95" s="7">
        <v>0</v>
      </c>
      <c r="M95" s="7">
        <v>1023315541000</v>
      </c>
      <c r="N95" s="8">
        <v>2026</v>
      </c>
      <c r="O95" s="5">
        <v>10809</v>
      </c>
      <c r="P95" s="5">
        <v>15109</v>
      </c>
      <c r="Q95" s="5">
        <v>1543000000</v>
      </c>
      <c r="R95" s="5">
        <v>1268953</v>
      </c>
      <c r="S95" s="9">
        <v>922428446471</v>
      </c>
      <c r="T95" s="7">
        <v>395940303050</v>
      </c>
      <c r="U95" s="7">
        <v>852558000</v>
      </c>
      <c r="V95" s="12">
        <v>1319221342627</v>
      </c>
      <c r="W95" s="12">
        <f t="shared" si="1"/>
        <v>2342536883627</v>
      </c>
    </row>
    <row r="96" spans="1:23" ht="15">
      <c r="A96" s="5" t="s">
        <v>26</v>
      </c>
      <c r="B96" s="5">
        <v>761</v>
      </c>
      <c r="C96" s="5" t="s">
        <v>220</v>
      </c>
      <c r="D96" s="5" t="s">
        <v>221</v>
      </c>
      <c r="E96" s="6">
        <v>2026</v>
      </c>
      <c r="F96" s="5">
        <v>6291</v>
      </c>
      <c r="G96" s="5">
        <v>8866</v>
      </c>
      <c r="H96" s="5">
        <v>3890000</v>
      </c>
      <c r="I96" s="5">
        <v>615924</v>
      </c>
      <c r="J96" s="7">
        <v>600843518602</v>
      </c>
      <c r="K96" s="7">
        <v>383089653993</v>
      </c>
      <c r="L96" s="7">
        <v>6112754000</v>
      </c>
      <c r="M96" s="7">
        <v>990045960007</v>
      </c>
      <c r="N96" s="8">
        <v>2026</v>
      </c>
      <c r="O96" s="5">
        <v>9641</v>
      </c>
      <c r="P96" s="5">
        <v>15413</v>
      </c>
      <c r="Q96" s="5">
        <v>215270000</v>
      </c>
      <c r="R96" s="5">
        <v>1066415</v>
      </c>
      <c r="S96" s="9">
        <v>1709821589986</v>
      </c>
      <c r="T96" s="7">
        <v>452068858764</v>
      </c>
      <c r="U96" s="7">
        <v>25765117000</v>
      </c>
      <c r="V96" s="12">
        <v>2187655542256</v>
      </c>
      <c r="W96" s="12">
        <f t="shared" si="1"/>
        <v>3177701502263</v>
      </c>
    </row>
    <row r="97" spans="1:23" ht="15">
      <c r="A97" s="5" t="s">
        <v>31</v>
      </c>
      <c r="B97" s="5">
        <v>789</v>
      </c>
      <c r="C97" s="5" t="s">
        <v>222</v>
      </c>
      <c r="D97" s="5" t="s">
        <v>223</v>
      </c>
      <c r="E97" s="6">
        <v>2023</v>
      </c>
      <c r="F97" s="5">
        <v>3652</v>
      </c>
      <c r="G97" s="5">
        <v>5209</v>
      </c>
      <c r="H97" s="5">
        <v>1090000</v>
      </c>
      <c r="I97" s="5">
        <v>456722</v>
      </c>
      <c r="J97" s="7">
        <v>206663643083</v>
      </c>
      <c r="K97" s="7">
        <v>200500561687</v>
      </c>
      <c r="L97" s="7">
        <v>0</v>
      </c>
      <c r="M97" s="7">
        <v>407164238000</v>
      </c>
      <c r="N97" s="8">
        <v>2023</v>
      </c>
      <c r="O97" s="5">
        <v>4952</v>
      </c>
      <c r="P97" s="5">
        <v>8477</v>
      </c>
      <c r="Q97" s="5">
        <v>247880000</v>
      </c>
      <c r="R97" s="5">
        <v>559076</v>
      </c>
      <c r="S97" s="9">
        <v>465605692961</v>
      </c>
      <c r="T97" s="7">
        <v>177611787506</v>
      </c>
      <c r="U97" s="7">
        <v>4957400000</v>
      </c>
      <c r="V97" s="12">
        <v>648174930000</v>
      </c>
      <c r="W97" s="12">
        <f t="shared" si="1"/>
        <v>1055339168000</v>
      </c>
    </row>
    <row r="98" spans="1:23" ht="15">
      <c r="A98" s="5" t="s">
        <v>34</v>
      </c>
      <c r="B98" s="5">
        <v>790</v>
      </c>
      <c r="C98" s="5" t="s">
        <v>224</v>
      </c>
      <c r="D98" s="5" t="s">
        <v>225</v>
      </c>
      <c r="E98" s="6">
        <v>2010</v>
      </c>
      <c r="F98" s="5">
        <v>9489</v>
      </c>
      <c r="G98" s="5">
        <v>10794</v>
      </c>
      <c r="H98" s="5">
        <v>2690000</v>
      </c>
      <c r="I98" s="5">
        <v>573926</v>
      </c>
      <c r="J98" s="7">
        <v>133464540331</v>
      </c>
      <c r="K98" s="7">
        <v>186090670606</v>
      </c>
      <c r="L98" s="7">
        <v>0</v>
      </c>
      <c r="M98" s="7">
        <v>319555391000</v>
      </c>
      <c r="N98" s="8">
        <v>2010</v>
      </c>
      <c r="O98" s="5">
        <v>2225</v>
      </c>
      <c r="P98" s="5">
        <v>2546</v>
      </c>
      <c r="Q98" s="5">
        <v>1120990000</v>
      </c>
      <c r="R98" s="5">
        <v>187227</v>
      </c>
      <c r="S98" s="9">
        <v>123354668964</v>
      </c>
      <c r="T98" s="7">
        <v>35327267815</v>
      </c>
      <c r="U98" s="7">
        <v>0</v>
      </c>
      <c r="V98" s="12">
        <v>158681975000</v>
      </c>
      <c r="W98" s="12">
        <f t="shared" si="1"/>
        <v>478237366000</v>
      </c>
    </row>
    <row r="99" spans="1:23" ht="15">
      <c r="A99" s="5" t="s">
        <v>31</v>
      </c>
      <c r="B99" s="5">
        <v>792</v>
      </c>
      <c r="C99" s="5" t="s">
        <v>226</v>
      </c>
      <c r="D99" s="5" t="s">
        <v>227</v>
      </c>
      <c r="E99" s="6">
        <v>2023</v>
      </c>
      <c r="F99" s="5">
        <v>1076</v>
      </c>
      <c r="G99" s="5">
        <v>1416</v>
      </c>
      <c r="H99" s="5">
        <v>320000</v>
      </c>
      <c r="I99" s="5">
        <v>110536</v>
      </c>
      <c r="J99" s="7">
        <v>35615491062</v>
      </c>
      <c r="K99" s="7">
        <v>50682850105</v>
      </c>
      <c r="L99" s="7">
        <v>0</v>
      </c>
      <c r="M99" s="7">
        <v>86298367000</v>
      </c>
      <c r="N99" s="8">
        <v>2023</v>
      </c>
      <c r="O99" s="5">
        <v>1732</v>
      </c>
      <c r="P99" s="5">
        <v>2685</v>
      </c>
      <c r="Q99" s="5">
        <v>105930000</v>
      </c>
      <c r="R99" s="5">
        <v>240731</v>
      </c>
      <c r="S99" s="9">
        <v>369007864393</v>
      </c>
      <c r="T99" s="7">
        <v>125380620624</v>
      </c>
      <c r="U99" s="7">
        <v>27554346000</v>
      </c>
      <c r="V99" s="12">
        <v>521942855000</v>
      </c>
      <c r="W99" s="12">
        <f t="shared" si="1"/>
        <v>608241222000</v>
      </c>
    </row>
    <row r="100" spans="1:23" ht="15">
      <c r="A100" s="5" t="s">
        <v>31</v>
      </c>
      <c r="B100" s="5">
        <v>809</v>
      </c>
      <c r="C100" s="5" t="s">
        <v>228</v>
      </c>
      <c r="D100" s="5" t="s">
        <v>229</v>
      </c>
      <c r="E100" s="6">
        <v>2016</v>
      </c>
      <c r="F100" s="5">
        <v>1435</v>
      </c>
      <c r="G100" s="5">
        <v>2121</v>
      </c>
      <c r="H100" s="5">
        <v>370000</v>
      </c>
      <c r="I100" s="5">
        <v>166281</v>
      </c>
      <c r="J100" s="7">
        <v>63479547769</v>
      </c>
      <c r="K100" s="7">
        <v>63611067189</v>
      </c>
      <c r="L100" s="7">
        <v>0</v>
      </c>
      <c r="M100" s="7">
        <v>127090620000</v>
      </c>
      <c r="N100" s="8">
        <v>2016</v>
      </c>
      <c r="O100" s="5">
        <v>3216</v>
      </c>
      <c r="P100" s="5">
        <v>5887</v>
      </c>
      <c r="Q100" s="5">
        <v>138240000</v>
      </c>
      <c r="R100" s="5">
        <v>376008</v>
      </c>
      <c r="S100" s="9">
        <v>249669519824</v>
      </c>
      <c r="T100" s="7">
        <v>94272846509</v>
      </c>
      <c r="U100" s="7">
        <v>37403298000</v>
      </c>
      <c r="V100" s="12">
        <v>381345731000</v>
      </c>
      <c r="W100" s="12">
        <f t="shared" si="1"/>
        <v>508436351000</v>
      </c>
    </row>
    <row r="101" spans="1:23" ht="15">
      <c r="A101" s="5" t="s">
        <v>41</v>
      </c>
      <c r="B101" s="5">
        <v>819</v>
      </c>
      <c r="C101" s="5" t="s">
        <v>230</v>
      </c>
      <c r="D101" s="5" t="s">
        <v>231</v>
      </c>
      <c r="E101" s="6">
        <v>2018</v>
      </c>
      <c r="F101" s="5">
        <v>800</v>
      </c>
      <c r="G101" s="5">
        <v>1054</v>
      </c>
      <c r="H101" s="5">
        <v>240000</v>
      </c>
      <c r="I101" s="5">
        <v>91869</v>
      </c>
      <c r="J101" s="7">
        <v>17285784799</v>
      </c>
      <c r="K101" s="7">
        <v>36639055845</v>
      </c>
      <c r="L101" s="7">
        <v>0</v>
      </c>
      <c r="M101" s="7">
        <v>53924844000</v>
      </c>
      <c r="N101" s="8">
        <v>2013</v>
      </c>
      <c r="O101" s="5">
        <v>2416</v>
      </c>
      <c r="P101" s="5">
        <v>2928</v>
      </c>
      <c r="Q101" s="5">
        <v>132880000</v>
      </c>
      <c r="R101" s="5">
        <v>96784</v>
      </c>
      <c r="S101" s="9">
        <v>18306840218</v>
      </c>
      <c r="T101" s="7">
        <v>18222783446</v>
      </c>
      <c r="U101" s="7">
        <v>0</v>
      </c>
      <c r="V101" s="12">
        <v>36529642000</v>
      </c>
      <c r="W101" s="12">
        <f t="shared" si="1"/>
        <v>90454486000</v>
      </c>
    </row>
    <row r="102" spans="1:23" ht="15">
      <c r="A102" s="5" t="s">
        <v>50</v>
      </c>
      <c r="B102" s="5">
        <v>837</v>
      </c>
      <c r="C102" s="5" t="s">
        <v>232</v>
      </c>
      <c r="D102" s="5" t="s">
        <v>233</v>
      </c>
      <c r="E102" s="6">
        <v>2012</v>
      </c>
      <c r="F102" s="5">
        <v>23459</v>
      </c>
      <c r="G102" s="5">
        <v>26930</v>
      </c>
      <c r="H102" s="5">
        <v>7250000</v>
      </c>
      <c r="I102" s="5">
        <v>1927436</v>
      </c>
      <c r="J102" s="7">
        <v>336845672097</v>
      </c>
      <c r="K102" s="7">
        <v>393921228109</v>
      </c>
      <c r="L102" s="7">
        <v>0</v>
      </c>
      <c r="M102" s="7">
        <v>730767002000</v>
      </c>
      <c r="N102" s="8">
        <v>2003</v>
      </c>
      <c r="O102" s="5">
        <v>15517</v>
      </c>
      <c r="P102" s="5">
        <v>22501</v>
      </c>
      <c r="Q102" s="5">
        <v>2752680000</v>
      </c>
      <c r="R102" s="5">
        <v>1014591</v>
      </c>
      <c r="S102" s="9">
        <v>1788302655396</v>
      </c>
      <c r="T102" s="7">
        <v>165909192139</v>
      </c>
      <c r="U102" s="7">
        <v>16441389000</v>
      </c>
      <c r="V102" s="12">
        <v>1970653330000</v>
      </c>
      <c r="W102" s="12">
        <f t="shared" si="1"/>
        <v>2701420332000</v>
      </c>
    </row>
    <row r="103" spans="1:23" ht="15">
      <c r="A103" s="5" t="s">
        <v>26</v>
      </c>
      <c r="B103" s="5">
        <v>842</v>
      </c>
      <c r="C103" s="5" t="s">
        <v>234</v>
      </c>
      <c r="D103" s="5" t="s">
        <v>235</v>
      </c>
      <c r="E103" s="6">
        <v>2019</v>
      </c>
      <c r="F103" s="5">
        <v>918</v>
      </c>
      <c r="G103" s="5">
        <v>1052</v>
      </c>
      <c r="H103" s="5">
        <v>260000</v>
      </c>
      <c r="I103" s="5">
        <v>87747</v>
      </c>
      <c r="J103" s="7">
        <v>11170849041</v>
      </c>
      <c r="K103" s="7">
        <v>15783690192</v>
      </c>
      <c r="L103" s="7">
        <v>0</v>
      </c>
      <c r="M103" s="7">
        <v>26954540000</v>
      </c>
      <c r="N103" s="8">
        <v>2005</v>
      </c>
      <c r="O103" s="5">
        <v>1600</v>
      </c>
      <c r="P103" s="5">
        <v>2118</v>
      </c>
      <c r="Q103" s="5">
        <v>259080000</v>
      </c>
      <c r="R103" s="5">
        <v>96774</v>
      </c>
      <c r="S103" s="9">
        <v>25446946615</v>
      </c>
      <c r="T103" s="7">
        <v>28732090366</v>
      </c>
      <c r="U103" s="7">
        <v>0</v>
      </c>
      <c r="V103" s="12">
        <v>54179082000</v>
      </c>
      <c r="W103" s="12">
        <f t="shared" si="1"/>
        <v>81133622000</v>
      </c>
    </row>
    <row r="104" spans="1:23" ht="15">
      <c r="A104" s="5" t="s">
        <v>31</v>
      </c>
      <c r="B104" s="5">
        <v>847</v>
      </c>
      <c r="C104" s="5" t="s">
        <v>236</v>
      </c>
      <c r="D104" s="5" t="s">
        <v>237</v>
      </c>
      <c r="E104" s="6">
        <v>2025</v>
      </c>
      <c r="F104" s="5">
        <v>6708</v>
      </c>
      <c r="G104" s="5">
        <v>8948</v>
      </c>
      <c r="H104" s="5">
        <v>2180000</v>
      </c>
      <c r="I104" s="5">
        <v>694453</v>
      </c>
      <c r="J104" s="7">
        <v>546279930411</v>
      </c>
      <c r="K104" s="7">
        <v>270956044003</v>
      </c>
      <c r="L104" s="7">
        <v>0</v>
      </c>
      <c r="M104" s="7">
        <v>817236039000</v>
      </c>
      <c r="N104" s="8">
        <v>2025</v>
      </c>
      <c r="O104" s="5">
        <v>6936</v>
      </c>
      <c r="P104" s="5">
        <v>11355</v>
      </c>
      <c r="Q104" s="5">
        <v>2579160000</v>
      </c>
      <c r="R104" s="5">
        <v>675377</v>
      </c>
      <c r="S104" s="9">
        <v>498679745484</v>
      </c>
      <c r="T104" s="7">
        <v>112729265581</v>
      </c>
      <c r="U104" s="7">
        <v>7795462000</v>
      </c>
      <c r="V104" s="12">
        <v>619204501000</v>
      </c>
      <c r="W104" s="12">
        <f t="shared" si="1"/>
        <v>1436440540000</v>
      </c>
    </row>
    <row r="105" spans="1:23" ht="15">
      <c r="A105" s="5" t="s">
        <v>34</v>
      </c>
      <c r="B105" s="5">
        <v>854</v>
      </c>
      <c r="C105" s="5" t="s">
        <v>238</v>
      </c>
      <c r="D105" s="5" t="s">
        <v>239</v>
      </c>
      <c r="E105" s="6">
        <v>2006</v>
      </c>
      <c r="F105" s="5">
        <v>1927</v>
      </c>
      <c r="G105" s="5">
        <v>2300</v>
      </c>
      <c r="H105" s="5">
        <v>460000</v>
      </c>
      <c r="I105" s="5">
        <v>132779</v>
      </c>
      <c r="J105" s="7">
        <v>11037591457</v>
      </c>
      <c r="K105" s="7">
        <v>46711429518</v>
      </c>
      <c r="L105" s="7">
        <v>0</v>
      </c>
      <c r="M105" s="7">
        <v>57749002000</v>
      </c>
      <c r="N105" s="8">
        <v>2006</v>
      </c>
      <c r="O105" s="5">
        <v>2487</v>
      </c>
      <c r="P105" s="5">
        <v>3054</v>
      </c>
      <c r="Q105" s="5">
        <v>576760000</v>
      </c>
      <c r="R105" s="5">
        <v>140746</v>
      </c>
      <c r="S105" s="9">
        <v>34635792132</v>
      </c>
      <c r="T105" s="7">
        <v>30408004824</v>
      </c>
      <c r="U105" s="7">
        <v>0</v>
      </c>
      <c r="V105" s="12">
        <v>65043804000</v>
      </c>
      <c r="W105" s="12">
        <f t="shared" si="1"/>
        <v>122792806000</v>
      </c>
    </row>
    <row r="106" spans="1:23" ht="15">
      <c r="A106" s="5" t="s">
        <v>31</v>
      </c>
      <c r="B106" s="5">
        <v>856</v>
      </c>
      <c r="C106" s="5" t="s">
        <v>240</v>
      </c>
      <c r="D106" s="5" t="s">
        <v>241</v>
      </c>
      <c r="E106" s="6">
        <v>2011</v>
      </c>
      <c r="F106" s="5">
        <v>1610</v>
      </c>
      <c r="G106" s="5">
        <v>2367</v>
      </c>
      <c r="H106" s="5">
        <v>560000</v>
      </c>
      <c r="I106" s="5">
        <v>156536</v>
      </c>
      <c r="J106" s="7">
        <v>57209732319</v>
      </c>
      <c r="K106" s="7">
        <v>63040165139</v>
      </c>
      <c r="L106" s="7">
        <v>0</v>
      </c>
      <c r="M106" s="7">
        <v>120249886000</v>
      </c>
      <c r="N106" s="8">
        <v>2023</v>
      </c>
      <c r="O106" s="5">
        <v>1824</v>
      </c>
      <c r="P106" s="5">
        <v>2761</v>
      </c>
      <c r="Q106" s="5">
        <v>123820000</v>
      </c>
      <c r="R106" s="5">
        <v>215536</v>
      </c>
      <c r="S106" s="9">
        <v>397750495549</v>
      </c>
      <c r="T106" s="7">
        <v>53263893338</v>
      </c>
      <c r="U106" s="7">
        <v>0</v>
      </c>
      <c r="V106" s="12">
        <v>451014386000</v>
      </c>
      <c r="W106" s="12">
        <f t="shared" si="1"/>
        <v>571264272000</v>
      </c>
    </row>
    <row r="107" spans="1:23" ht="15">
      <c r="A107" s="5" t="s">
        <v>97</v>
      </c>
      <c r="B107" s="5">
        <v>858</v>
      </c>
      <c r="C107" s="5" t="s">
        <v>242</v>
      </c>
      <c r="D107" s="5" t="s">
        <v>243</v>
      </c>
      <c r="E107" s="6">
        <v>2016</v>
      </c>
      <c r="F107" s="5">
        <v>3075</v>
      </c>
      <c r="G107" s="5">
        <v>3698</v>
      </c>
      <c r="H107" s="5">
        <v>990000</v>
      </c>
      <c r="I107" s="5">
        <v>282464</v>
      </c>
      <c r="J107" s="7">
        <v>49756611199</v>
      </c>
      <c r="K107" s="7">
        <v>103955958156</v>
      </c>
      <c r="L107" s="7">
        <v>0</v>
      </c>
      <c r="M107" s="7">
        <v>153712542000</v>
      </c>
      <c r="N107" s="8">
        <v>2016</v>
      </c>
      <c r="O107" s="5">
        <v>1979</v>
      </c>
      <c r="P107" s="5">
        <v>2615</v>
      </c>
      <c r="Q107" s="5">
        <v>536740000</v>
      </c>
      <c r="R107" s="5">
        <v>163711</v>
      </c>
      <c r="S107" s="9">
        <v>174742367856</v>
      </c>
      <c r="T107" s="7">
        <v>30775930053</v>
      </c>
      <c r="U107" s="7">
        <v>0</v>
      </c>
      <c r="V107" s="12">
        <v>205518288000</v>
      </c>
      <c r="W107" s="12">
        <f t="shared" si="1"/>
        <v>359230830000</v>
      </c>
    </row>
    <row r="108" spans="1:23" ht="15">
      <c r="A108" s="5" t="s">
        <v>31</v>
      </c>
      <c r="B108" s="5">
        <v>861</v>
      </c>
      <c r="C108" s="5" t="s">
        <v>244</v>
      </c>
      <c r="D108" s="5" t="s">
        <v>245</v>
      </c>
      <c r="E108" s="6">
        <v>2026</v>
      </c>
      <c r="F108" s="5">
        <v>3926</v>
      </c>
      <c r="G108" s="5">
        <v>5211</v>
      </c>
      <c r="H108" s="5">
        <v>1550000</v>
      </c>
      <c r="I108" s="5">
        <v>391190</v>
      </c>
      <c r="J108" s="7">
        <v>200688099094</v>
      </c>
      <c r="K108" s="7">
        <v>162224982951</v>
      </c>
      <c r="L108" s="7">
        <v>0</v>
      </c>
      <c r="M108" s="7">
        <v>362913121004</v>
      </c>
      <c r="N108" s="8">
        <v>2026</v>
      </c>
      <c r="O108" s="5">
        <v>3204</v>
      </c>
      <c r="P108" s="5">
        <v>5187</v>
      </c>
      <c r="Q108" s="5">
        <v>143870000</v>
      </c>
      <c r="R108" s="5">
        <v>471080</v>
      </c>
      <c r="S108" s="9">
        <v>559774028231</v>
      </c>
      <c r="T108" s="7">
        <v>189154498434</v>
      </c>
      <c r="U108" s="7">
        <v>0</v>
      </c>
      <c r="V108" s="12">
        <v>748928552097</v>
      </c>
      <c r="W108" s="12">
        <f t="shared" si="1"/>
        <v>1111841673101</v>
      </c>
    </row>
    <row r="109" spans="1:23" ht="15">
      <c r="A109" s="5" t="s">
        <v>50</v>
      </c>
      <c r="B109" s="5">
        <v>873</v>
      </c>
      <c r="C109" s="5" t="s">
        <v>246</v>
      </c>
      <c r="D109" s="5" t="s">
        <v>247</v>
      </c>
      <c r="E109" s="6">
        <v>2016</v>
      </c>
      <c r="F109" s="5">
        <v>1123</v>
      </c>
      <c r="G109" s="5">
        <v>1172</v>
      </c>
      <c r="H109" s="5">
        <v>420000</v>
      </c>
      <c r="I109" s="5">
        <v>80647</v>
      </c>
      <c r="J109" s="7">
        <v>13143738779</v>
      </c>
      <c r="K109" s="7">
        <v>12699772884</v>
      </c>
      <c r="L109" s="7">
        <v>0</v>
      </c>
      <c r="M109" s="7">
        <v>25843519000</v>
      </c>
      <c r="N109" s="8">
        <v>1983</v>
      </c>
      <c r="O109" s="5">
        <v>72</v>
      </c>
      <c r="P109" s="5">
        <v>75</v>
      </c>
      <c r="Q109" s="5">
        <v>1641330000</v>
      </c>
      <c r="R109" s="5">
        <v>0</v>
      </c>
      <c r="S109" s="9">
        <v>97689973460</v>
      </c>
      <c r="T109" s="7">
        <v>0</v>
      </c>
      <c r="U109" s="7">
        <v>0</v>
      </c>
      <c r="V109" s="12">
        <v>97689978000</v>
      </c>
      <c r="W109" s="12">
        <f t="shared" si="1"/>
        <v>123533497000</v>
      </c>
    </row>
    <row r="110" spans="1:23" ht="15">
      <c r="A110" s="5" t="s">
        <v>97</v>
      </c>
      <c r="B110" s="5">
        <v>885</v>
      </c>
      <c r="C110" s="5" t="s">
        <v>248</v>
      </c>
      <c r="D110" s="5" t="s">
        <v>249</v>
      </c>
      <c r="E110" s="6">
        <v>2020</v>
      </c>
      <c r="F110" s="5">
        <v>1241</v>
      </c>
      <c r="G110" s="5">
        <v>1565</v>
      </c>
      <c r="H110" s="5">
        <v>820000</v>
      </c>
      <c r="I110" s="5">
        <v>126347</v>
      </c>
      <c r="J110" s="7">
        <v>17323279216</v>
      </c>
      <c r="K110" s="7">
        <v>21890070031</v>
      </c>
      <c r="L110" s="7">
        <v>0</v>
      </c>
      <c r="M110" s="7">
        <v>39213358000</v>
      </c>
      <c r="N110" s="8">
        <v>2021</v>
      </c>
      <c r="O110" s="5">
        <v>1710</v>
      </c>
      <c r="P110" s="5">
        <v>2123</v>
      </c>
      <c r="Q110" s="5">
        <v>432650000</v>
      </c>
      <c r="R110" s="5">
        <v>205926</v>
      </c>
      <c r="S110" s="9">
        <v>52542702403</v>
      </c>
      <c r="T110" s="7">
        <v>21192286150</v>
      </c>
      <c r="U110" s="7">
        <v>0</v>
      </c>
      <c r="V110" s="12">
        <v>73735008000</v>
      </c>
      <c r="W110" s="12">
        <f t="shared" si="1"/>
        <v>112948366000</v>
      </c>
    </row>
    <row r="111" spans="1:23" ht="15">
      <c r="A111" s="5" t="s">
        <v>41</v>
      </c>
      <c r="B111" s="5">
        <v>887</v>
      </c>
      <c r="C111" s="5" t="s">
        <v>250</v>
      </c>
      <c r="D111" s="5" t="s">
        <v>251</v>
      </c>
      <c r="E111" s="6">
        <v>2026</v>
      </c>
      <c r="F111" s="5">
        <v>12705</v>
      </c>
      <c r="G111" s="5">
        <v>16198</v>
      </c>
      <c r="H111" s="5">
        <v>2510000</v>
      </c>
      <c r="I111" s="5">
        <v>1419203</v>
      </c>
      <c r="J111" s="7">
        <v>473482020995</v>
      </c>
      <c r="K111" s="7">
        <v>874691116256</v>
      </c>
      <c r="L111" s="7">
        <v>0</v>
      </c>
      <c r="M111" s="7">
        <v>1348173138033</v>
      </c>
      <c r="N111" s="8">
        <v>2026</v>
      </c>
      <c r="O111" s="5">
        <v>5412</v>
      </c>
      <c r="P111" s="5">
        <v>7448</v>
      </c>
      <c r="Q111" s="5">
        <v>741410000</v>
      </c>
      <c r="R111" s="5">
        <v>715926</v>
      </c>
      <c r="S111" s="9">
        <v>346855629580</v>
      </c>
      <c r="T111" s="7">
        <v>282456060324</v>
      </c>
      <c r="U111" s="7">
        <v>0</v>
      </c>
      <c r="V111" s="12">
        <v>629311671215</v>
      </c>
      <c r="W111" s="12">
        <f t="shared" si="1"/>
        <v>1977484809248</v>
      </c>
    </row>
    <row r="112" spans="1:23" ht="15">
      <c r="A112" s="5" t="s">
        <v>97</v>
      </c>
      <c r="B112" s="5">
        <v>890</v>
      </c>
      <c r="C112" s="5" t="s">
        <v>252</v>
      </c>
      <c r="D112" s="5" t="s">
        <v>253</v>
      </c>
      <c r="E112" s="6">
        <v>2008</v>
      </c>
      <c r="F112" s="5">
        <v>2323</v>
      </c>
      <c r="G112" s="5">
        <v>3098</v>
      </c>
      <c r="H112" s="5">
        <v>2030000</v>
      </c>
      <c r="I112" s="5">
        <v>269178</v>
      </c>
      <c r="J112" s="7">
        <v>50750432699</v>
      </c>
      <c r="K112" s="7">
        <v>106936405805</v>
      </c>
      <c r="L112" s="7">
        <v>0</v>
      </c>
      <c r="M112" s="7">
        <v>157686840000</v>
      </c>
      <c r="N112" s="8">
        <v>2007</v>
      </c>
      <c r="O112" s="5">
        <v>6240</v>
      </c>
      <c r="P112" s="5">
        <v>8758</v>
      </c>
      <c r="Q112" s="5">
        <v>914760000</v>
      </c>
      <c r="R112" s="5">
        <v>519632</v>
      </c>
      <c r="S112" s="9">
        <v>242685699493</v>
      </c>
      <c r="T112" s="7">
        <v>107991575395</v>
      </c>
      <c r="U112" s="7">
        <v>43436911000</v>
      </c>
      <c r="V112" s="12">
        <v>394114205000</v>
      </c>
      <c r="W112" s="12">
        <f t="shared" si="1"/>
        <v>551801045000</v>
      </c>
    </row>
    <row r="113" spans="1:23" ht="15">
      <c r="A113" s="5" t="s">
        <v>82</v>
      </c>
      <c r="B113" s="5">
        <v>893</v>
      </c>
      <c r="C113" s="5" t="s">
        <v>254</v>
      </c>
      <c r="D113" s="5" t="s">
        <v>255</v>
      </c>
      <c r="E113" s="6">
        <v>2016</v>
      </c>
      <c r="F113" s="5">
        <v>4136</v>
      </c>
      <c r="G113" s="5">
        <v>4756</v>
      </c>
      <c r="H113" s="5">
        <v>2820000</v>
      </c>
      <c r="I113" s="5">
        <v>379543</v>
      </c>
      <c r="J113" s="7">
        <v>107689387941</v>
      </c>
      <c r="K113" s="7">
        <v>125866793214</v>
      </c>
      <c r="L113" s="7">
        <v>0</v>
      </c>
      <c r="M113" s="7">
        <v>233556179000</v>
      </c>
      <c r="N113" s="8">
        <v>2013</v>
      </c>
      <c r="O113" s="5">
        <v>4616</v>
      </c>
      <c r="P113" s="5">
        <v>5949</v>
      </c>
      <c r="Q113" s="5">
        <v>1789060000</v>
      </c>
      <c r="R113" s="5">
        <v>383896</v>
      </c>
      <c r="S113" s="9">
        <v>372225000808</v>
      </c>
      <c r="T113" s="7">
        <v>106964367758</v>
      </c>
      <c r="U113" s="7">
        <v>2187805000</v>
      </c>
      <c r="V113" s="12">
        <v>481377225000</v>
      </c>
      <c r="W113" s="12">
        <f t="shared" si="1"/>
        <v>714933404000</v>
      </c>
    </row>
    <row r="114" spans="1:23" ht="15">
      <c r="A114" s="5" t="s">
        <v>34</v>
      </c>
      <c r="B114" s="5">
        <v>895</v>
      </c>
      <c r="C114" s="5" t="s">
        <v>256</v>
      </c>
      <c r="D114" s="5" t="s">
        <v>257</v>
      </c>
      <c r="E114" s="6">
        <v>2012</v>
      </c>
      <c r="F114" s="5">
        <v>4834</v>
      </c>
      <c r="G114" s="5">
        <v>5557</v>
      </c>
      <c r="H114" s="5">
        <v>1570000</v>
      </c>
      <c r="I114" s="5">
        <v>404845</v>
      </c>
      <c r="J114" s="7">
        <v>35416007078</v>
      </c>
      <c r="K114" s="7">
        <v>69686590739</v>
      </c>
      <c r="L114" s="7">
        <v>0</v>
      </c>
      <c r="M114" s="7">
        <v>105102589000</v>
      </c>
      <c r="N114" s="8">
        <v>2012</v>
      </c>
      <c r="O114" s="5">
        <v>3348</v>
      </c>
      <c r="P114" s="5">
        <v>3924</v>
      </c>
      <c r="Q114" s="5">
        <v>1005220000</v>
      </c>
      <c r="R114" s="5">
        <v>179289</v>
      </c>
      <c r="S114" s="9">
        <v>232095554431</v>
      </c>
      <c r="T114" s="7">
        <v>27705616840</v>
      </c>
      <c r="U114" s="7">
        <v>0</v>
      </c>
      <c r="V114" s="12">
        <v>259801035000</v>
      </c>
      <c r="W114" s="12">
        <f t="shared" si="1"/>
        <v>364903624000</v>
      </c>
    </row>
    <row r="115" spans="1:23">
      <c r="M115" s="10"/>
    </row>
    <row r="118" spans="1:23">
      <c r="M118" s="10"/>
    </row>
  </sheetData>
  <autoFilter ref="B1:V114" xr:uid="{00000000-0009-0000-0000-000000000000}"/>
  <pageMargins left="0.7" right="0.7" top="0.75" bottom="0.75" header="0.3" footer="0.3"/>
  <pageSetup scale="40" fitToWidth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2e59e4-8c2d-4add-a5f5-c309b4ca3eb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9B151B82D38940A01757953CF638FC" ma:contentTypeVersion="18" ma:contentTypeDescription="Create a new document." ma:contentTypeScope="" ma:versionID="b95cb93b58c78e9091ff82b26d14e938">
  <xsd:schema xmlns:xsd="http://www.w3.org/2001/XMLSchema" xmlns:xs="http://www.w3.org/2001/XMLSchema" xmlns:p="http://schemas.microsoft.com/office/2006/metadata/properties" xmlns:ns3="72356287-6c51-4b3c-86d4-024174e67e91" xmlns:ns4="5f2e59e4-8c2d-4add-a5f5-c309b4ca3ebc" targetNamespace="http://schemas.microsoft.com/office/2006/metadata/properties" ma:root="true" ma:fieldsID="1c3cd9a2a9df8894c673d1cc416fddd9" ns3:_="" ns4:_="">
    <xsd:import namespace="72356287-6c51-4b3c-86d4-024174e67e91"/>
    <xsd:import namespace="5f2e59e4-8c2d-4add-a5f5-c309b4ca3eb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356287-6c51-4b3c-86d4-024174e67e9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e59e4-8c2d-4add-a5f5-c309b4ca3e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7F8E74-3B56-4453-9DE6-DE5CC61B2242}">
  <ds:schemaRefs/>
</ds:datastoreItem>
</file>

<file path=customXml/itemProps2.xml><?xml version="1.0" encoding="utf-8"?>
<ds:datastoreItem xmlns:ds="http://schemas.openxmlformats.org/officeDocument/2006/customXml" ds:itemID="{89DD4716-B04B-4581-BA7D-CFF47351C756}">
  <ds:schemaRefs/>
</ds:datastoreItem>
</file>

<file path=customXml/itemProps3.xml><?xml version="1.0" encoding="utf-8"?>
<ds:datastoreItem xmlns:ds="http://schemas.openxmlformats.org/officeDocument/2006/customXml" ds:itemID="{92D4605E-EC16-4E9E-931A-3696409C107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 Urb + Rural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LUDWYG LONDONO SERNA</dc:creator>
  <cp:lastModifiedBy>e78640</cp:lastModifiedBy>
  <dcterms:created xsi:type="dcterms:W3CDTF">2025-11-26T14:42:00Z</dcterms:created>
  <dcterms:modified xsi:type="dcterms:W3CDTF">2026-05-21T16:57:01Z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0x010100319B151B82D38940A01757953CF638FC</vt:lpwstr>
  </property>
  <property fmtid="{D5CDD505-2E9C-101B-9397-08002B2CF9AE}" pid="3" name="ICV">
    <vt:lpwstr>39A7DF2BDF2645E5B5F8D71CBD550D49_12</vt:lpwstr>
  </property>
  <property fmtid="{D5CDD505-2E9C-101B-9397-08002B2CF9AE}" pid="4" name="KSOProductBuildVer">
    <vt:lpwstr>3082-12.2.0.23202</vt:lpwstr>
  </property>
</Properties>
</file>
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2.xml" ContentType="application/vnd.ms-excel.documenttask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e35ec19c0f25579/VP/Las Antioquias/pulso_antioquia/01_Data/00_Inputs/"/>
    </mc:Choice>
  </mc:AlternateContent>
  <xr:revisionPtr revIDLastSave="324" documentId="8_{76553892-A1DF-4B8D-98EE-F9753BF33357}" xr6:coauthVersionLast="47" xr6:coauthVersionMax="47" xr10:uidLastSave="{CC4F769F-08C0-4CFC-9B9E-49BF6A97E092}"/>
  <bookViews>
    <workbookView xWindow="-108" yWindow="-108" windowWidth="23256" windowHeight="12456" firstSheet="1" activeTab="1" xr2:uid="{87AE0CA6-2098-4AEE-924F-4FDC71F02AC8}"/>
  </bookViews>
  <sheets>
    <sheet name="Diccionario" sheetId="3" r:id="rId1"/>
    <sheet name="Diccionario_Base" sheetId="11" r:id="rId2"/>
    <sheet name="Inventario variables" sheetId="1" state="hidden" r:id="rId3"/>
    <sheet name="Variables nuevas (propuesta)" sheetId="5" state="hidden" r:id="rId4"/>
    <sheet name="20250627_rev" sheetId="12" state="hidden" r:id="rId5"/>
    <sheet name="Indicadores clave" sheetId="7" r:id="rId6"/>
    <sheet name="Indicadores adicionales" sheetId="10" state="hidden" r:id="rId7"/>
    <sheet name="Distribución homogeneización" sheetId="9" state="hidden" r:id="rId8"/>
    <sheet name="Tabla dinámica" sheetId="2" state="hidden" r:id="rId9"/>
  </sheets>
  <definedNames>
    <definedName name="_xlnm._FilterDatabase" localSheetId="4" hidden="1">'20250627_rev'!$A$1:$P$221</definedName>
    <definedName name="_xlnm._FilterDatabase" localSheetId="1" hidden="1">Diccionario_Base!$A$1:$I$221</definedName>
    <definedName name="_xlnm._FilterDatabase" localSheetId="7" hidden="1">'Distribución homogeneización'!$A$1:$C$13</definedName>
    <definedName name="_xlnm._FilterDatabase" localSheetId="6" hidden="1">'Indicadores adicionales'!$A$1:$C$21</definedName>
    <definedName name="_xlnm._FilterDatabase" localSheetId="5" hidden="1">'Indicadores clave'!$A$1:$P$221</definedName>
    <definedName name="_xlnm._FilterDatabase" localSheetId="2" hidden="1">'Inventario variables'!$A$1:$Q$182</definedName>
    <definedName name="_xlnm._FilterDatabase" localSheetId="3" hidden="1">'Variables nuevas (propuesta)'!$A$1:$J$2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2" l="1"/>
  <c r="F69" i="12"/>
  <c r="F70" i="12"/>
  <c r="F71" i="12"/>
  <c r="F202" i="12"/>
  <c r="G202" i="12"/>
  <c r="F203" i="12"/>
  <c r="G203" i="12"/>
  <c r="F204" i="12"/>
  <c r="G204" i="12"/>
  <c r="F205" i="12"/>
  <c r="G205" i="12"/>
  <c r="F206" i="12"/>
  <c r="G206" i="12"/>
  <c r="F207" i="12"/>
  <c r="G207" i="12"/>
  <c r="F208" i="12"/>
  <c r="G208" i="12"/>
  <c r="F209" i="12"/>
  <c r="G209" i="12"/>
  <c r="F210" i="12"/>
  <c r="G210" i="12"/>
  <c r="F211" i="12"/>
  <c r="G211" i="12"/>
  <c r="F212" i="12"/>
  <c r="G212" i="12"/>
  <c r="F213" i="12"/>
  <c r="G213" i="12"/>
  <c r="F214" i="12"/>
  <c r="G214" i="12"/>
  <c r="F215" i="12"/>
  <c r="G215" i="12"/>
  <c r="F216" i="12"/>
  <c r="G216" i="12"/>
  <c r="F217" i="12"/>
  <c r="G217" i="12"/>
  <c r="F218" i="12"/>
  <c r="G218" i="12"/>
  <c r="F219" i="12"/>
  <c r="G219" i="12"/>
  <c r="F220" i="12"/>
  <c r="G220" i="12"/>
  <c r="F221" i="12"/>
  <c r="G221" i="12"/>
  <c r="E188" i="12"/>
  <c r="E187" i="12"/>
  <c r="E186" i="12"/>
  <c r="E185" i="12"/>
  <c r="E184" i="12"/>
  <c r="E177" i="12"/>
  <c r="E176" i="12"/>
  <c r="E175" i="12"/>
  <c r="E174" i="12"/>
  <c r="E173" i="12"/>
  <c r="E172" i="12"/>
  <c r="E171" i="12"/>
  <c r="E170" i="12"/>
  <c r="E169" i="12"/>
  <c r="E168" i="12"/>
  <c r="E167" i="12"/>
  <c r="E73" i="12"/>
  <c r="F30" i="7" l="1"/>
  <c r="F31" i="7"/>
  <c r="F32" i="7"/>
  <c r="F29" i="7"/>
  <c r="E33" i="7" l="1"/>
  <c r="E36" i="7"/>
  <c r="E37" i="7"/>
  <c r="E151" i="7"/>
  <c r="E149" i="7"/>
  <c r="E136" i="7"/>
  <c r="E150" i="7"/>
  <c r="E137" i="7"/>
  <c r="E35" i="7"/>
  <c r="E145" i="7"/>
  <c r="E132" i="7"/>
  <c r="E146" i="7"/>
  <c r="E133" i="7"/>
  <c r="E9" i="7"/>
  <c r="E147" i="7"/>
  <c r="E134" i="7"/>
  <c r="E148" i="7"/>
  <c r="E135" i="7"/>
  <c r="E10" i="7"/>
  <c r="E144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0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tc={A0715ACF-1C06-4618-8752-C308F0FDF587}</author>
  </authors>
  <commentList>
    <comment ref="N1" authorId="0" shapeId="0" xr:uid="{A0715ACF-1C06-4618-8752-C308F0FDF5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Mensual, anual, bianual, etc.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tc={9A28272A-D5C2-49DD-940A-0405E92A9978}</author>
  </authors>
  <commentList>
    <comment ref="G1" authorId="0" shapeId="0" xr:uid="{9A28272A-D5C2-49DD-940A-0405E92A9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Mensual, anual, bianual, etc.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tc={F00FBEF4-27AC-48B6-BB86-09B794C6A060}</author>
    <author>tc={9B11C532-7C0C-4E15-8D24-9D240F7DF03B}</author>
    <author>tc={9985BEF2-B5B7-49FE-97CD-36E0FA9735F2}</author>
  </authors>
  <commentList>
    <comment ref="L1" authorId="0" shapeId="0" xr:uid="{F00FBEF4-27AC-48B6-BB86-09B794C6A0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Año (o grupo de años) más reciente al que corresponde la observación incluida en la base de datos.</t>
      </text>
    </comment>
    <comment ref="M1" authorId="1" shapeId="0" xr:uid="{9B11C532-7C0C-4E15-8D24-9D240F7DF0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Mensual, anual, bianual, etc.</t>
      </text>
    </comment>
    <comment ref="D76" authorId="2" shapeId="0" xr:uid="{9985BEF2-B5B7-49FE-97CD-36E0FA9735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@Felipe  Carmona Saldarriaga Evaluar si tiene desagregación por zonas (rural, urbano) y si tiene suficiente variabilidad para segmentar los municipios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tc={8EE87CA6-9640-4E73-ACC8-615BE95310E1}</author>
    <author>tc={C8D1CE16-F4A6-41F6-821A-F00165202F80}</author>
    <author>tc={A9C9F461-A59E-4027-9CF8-4045F6E85D7C}</author>
  </authors>
  <commentList>
    <comment ref="L1" authorId="0" shapeId="0" xr:uid="{8EE87CA6-9640-4E73-ACC8-615BE95310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Año (o grupo de años) más reciente al que corresponde la observación incluida en la base de datos.</t>
      </text>
    </comment>
    <comment ref="M1" authorId="1" shapeId="0" xr:uid="{C8D1CE16-F4A6-41F6-821A-F00165202F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Mensual, anual, bianual, etc.</t>
      </text>
    </comment>
    <comment ref="C4" authorId="2" shapeId="0" xr:uid="{A9C9F461-A59E-4027-9CF8-4045F6E85D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@Felipe  Carmona Saldarriaga Evaluar si tiene desagregación por zonas (rural, urbano) y si tiene suficiente variabilidad para segmentar los municipios</t>
      </text>
    </comment>
  </commentList>
</comments>
</file>

<file path=xl/sharedStrings.xml><?xml version="1.0" encoding="utf-8"?>
<sst xmlns="http://schemas.openxmlformats.org/spreadsheetml/2006/main" count="8234" uniqueCount="1207">
  <si>
    <t>Tipo</t>
  </si>
  <si>
    <t>Tipo de Indicador (contexto o resultados)</t>
  </si>
  <si>
    <t>dimension</t>
  </si>
  <si>
    <t>Dimensión</t>
  </si>
  <si>
    <t>subdimension</t>
  </si>
  <si>
    <t>Sub-Dimensión</t>
  </si>
  <si>
    <t>var_id</t>
  </si>
  <si>
    <t>Valor único de identificacación de la variable</t>
  </si>
  <si>
    <t>variable</t>
  </si>
  <si>
    <t>Nombre de la variable</t>
  </si>
  <si>
    <t>id_nivel</t>
  </si>
  <si>
    <t>Identificación de los niveles de desagregación</t>
  </si>
  <si>
    <t>var_etiqueta</t>
  </si>
  <si>
    <t>Etiqueta de las variables</t>
  </si>
  <si>
    <t>var_periodos</t>
  </si>
  <si>
    <t>Unidad de medida</t>
  </si>
  <si>
    <t>Unidad de medida_descriptiva</t>
  </si>
  <si>
    <t>Subdimensión</t>
  </si>
  <si>
    <t>Sentido</t>
  </si>
  <si>
    <t>Fuente</t>
  </si>
  <si>
    <t>Responsable homogeneización</t>
  </si>
  <si>
    <t>Ajuste necesario por tasa volatil con población pequeña</t>
  </si>
  <si>
    <t>afectados_dn</t>
  </si>
  <si>
    <t>Tasa de personas afectadas por desastres naturales</t>
  </si>
  <si>
    <t>2001-2023</t>
  </si>
  <si>
    <t>Tasa</t>
  </si>
  <si>
    <t>Contexto</t>
  </si>
  <si>
    <t>Cambio climático</t>
  </si>
  <si>
    <t>Negativo</t>
  </si>
  <si>
    <t>DAGRAN y DAGRD</t>
  </si>
  <si>
    <t>Yeison</t>
  </si>
  <si>
    <t>Medias móviles trianuales</t>
  </si>
  <si>
    <t>Población_2023</t>
  </si>
  <si>
    <t>Número</t>
  </si>
  <si>
    <t>Control</t>
  </si>
  <si>
    <t>control</t>
  </si>
  <si>
    <t>NA</t>
  </si>
  <si>
    <t>DANE</t>
  </si>
  <si>
    <t>No se requiere ajuste</t>
  </si>
  <si>
    <t>bajo_peso</t>
  </si>
  <si>
    <t>Porcentaje de nacidos vivos con bajo peso al nacer</t>
  </si>
  <si>
    <t>Porcentaje</t>
  </si>
  <si>
    <t>Resultados</t>
  </si>
  <si>
    <t>Infancia y Niñez (0-11)</t>
  </si>
  <si>
    <t>Dirección Seccional de Salud y Seguridad Social de Antioquia - Gobernación de Antioquia</t>
  </si>
  <si>
    <t>*Para Medellín se usó un proxy tomado del DAGRD -&gt; Número total de emergencias o eventos calamitosos (hay subregistro pero es menor al de la Gobernación- DAGRAN)</t>
  </si>
  <si>
    <t>controles_prenatales</t>
  </si>
  <si>
    <t xml:space="preserve">Porcentaje de nacidos vivos con madres que tuvieron menos de cuatro controles prenatales </t>
  </si>
  <si>
    <t>dengue</t>
  </si>
  <si>
    <t>Tasa de casos de dengue por cada cien mil habitantes</t>
  </si>
  <si>
    <t>2021-2023</t>
  </si>
  <si>
    <t>Salud</t>
  </si>
  <si>
    <t>dens_emp</t>
  </si>
  <si>
    <t>Densidad empresarial (número de empresas por cada mil habitantes)</t>
  </si>
  <si>
    <t>Tasa por cada 1.000 habitantes</t>
  </si>
  <si>
    <t>Desarrollo económico</t>
  </si>
  <si>
    <t>Positivo</t>
  </si>
  <si>
    <t>Cámaras de Comercio de Antioquia</t>
  </si>
  <si>
    <t>Miguel</t>
  </si>
  <si>
    <t>Tasa de desnutrición aguda por cada cien mil menores de cinco años</t>
  </si>
  <si>
    <t>EDA</t>
  </si>
  <si>
    <t>Tasa de mortalidad por EDA por cada cien mil niños menores de cinco años</t>
  </si>
  <si>
    <t>fecundidad_adolescentes</t>
  </si>
  <si>
    <t>Tasa de fecundidad de adolescentes entre 15 y 19 años por cada cien mil adolescentes entre 15 y 19 años</t>
  </si>
  <si>
    <t>Juventud (12 -28)</t>
  </si>
  <si>
    <t>Tasa de fecundidad de niñas entre 10 y 14 años por cada cien mil niñas entre 10 y 14 años</t>
  </si>
  <si>
    <t>Tasa de mortalidad por IRA por cada cien mil niños menores de cinco años</t>
  </si>
  <si>
    <t>leishmaniasis</t>
  </si>
  <si>
    <t>Tasa de casos de leishmaniasis por cada cien mil habitantes rurales</t>
  </si>
  <si>
    <t>fin_banc_pc</t>
  </si>
  <si>
    <t>Número de corresponsalespor cada 1.000 habitantes</t>
  </si>
  <si>
    <t>Banca de las Oportunidades y Superintendencia Financiera de Colombia</t>
  </si>
  <si>
    <t>fin_microcr_pc</t>
  </si>
  <si>
    <t>Número de microcréditopor cada 1.000 habitantes</t>
  </si>
  <si>
    <t>malaria</t>
  </si>
  <si>
    <t>Tasa de casos de malaria por cada cien mil habitantes</t>
  </si>
  <si>
    <t>IDV_pri</t>
  </si>
  <si>
    <t>Kilómetros de vía primaria por el área del municipio</t>
  </si>
  <si>
    <t>cada 1000 habitantes</t>
  </si>
  <si>
    <t>RV CIRCULAR 10 - Gobernación de Antioquia</t>
  </si>
  <si>
    <t>IDV_sec</t>
  </si>
  <si>
    <t>Kilómetros de vía secundaria por el área del municipio</t>
  </si>
  <si>
    <t>IDV_ter</t>
  </si>
  <si>
    <t>Kilómetros de vía terciaria por el área del municipio</t>
  </si>
  <si>
    <t>IDV_total</t>
  </si>
  <si>
    <t>Kilómetros de vía total por el área del municipio</t>
  </si>
  <si>
    <t>Tasa de mortalidad por desnutrición por cada mil niños menores de cinco años</t>
  </si>
  <si>
    <t>agua_rural</t>
  </si>
  <si>
    <t>Porcentaje de viviendas sin SP Acueducto - Rural</t>
  </si>
  <si>
    <t>Características de las viviendas</t>
  </si>
  <si>
    <t>Encuesta de Calidad de Vida - Gobernación de Antioquia</t>
  </si>
  <si>
    <t>agua_urbano</t>
  </si>
  <si>
    <t>Porcentaje de viviendas sin SP Acueducto - Urbano</t>
  </si>
  <si>
    <t>alcantarillado_rural</t>
  </si>
  <si>
    <t>Porcentaje de viviendas sin SP de alcantarillado - Rural</t>
  </si>
  <si>
    <t>alcantarillado_urbano</t>
  </si>
  <si>
    <t>Porcentaje de viviendas sin SP de alcantarillado - Urbano</t>
  </si>
  <si>
    <t>deficit_cuali</t>
  </si>
  <si>
    <t>Cualitativo - Déficit de vivienda</t>
  </si>
  <si>
    <t>deficit_cuanti</t>
  </si>
  <si>
    <t>Cuantitativo - Déficit de vivienda</t>
  </si>
  <si>
    <t>hacinamiento_rural</t>
  </si>
  <si>
    <t>Hacinamiento - Rural</t>
  </si>
  <si>
    <t>hacinamiento_urbano</t>
  </si>
  <si>
    <t>Hacinamiento - Urbano</t>
  </si>
  <si>
    <t>Porcentaje de jefes(a) de hogar o informantes calificados que se sienten seguros(a) y muy seguros(a) en el municipio</t>
  </si>
  <si>
    <t>Seguridad</t>
  </si>
  <si>
    <t>tasa_delitos</t>
  </si>
  <si>
    <t xml:space="preserve">Tasa de delitos </t>
  </si>
  <si>
    <t>perdida_ca</t>
  </si>
  <si>
    <t>Porcentaje de pérdida de cobertura árborea total entre 2001 y 2023</t>
  </si>
  <si>
    <t>GFW</t>
  </si>
  <si>
    <t>IRCC</t>
  </si>
  <si>
    <t>Indice Riesgo al Cambio Climatico para Colombia TCNCC Año 2017</t>
  </si>
  <si>
    <t>Índice</t>
  </si>
  <si>
    <t>IDEAM</t>
  </si>
  <si>
    <t>cat_mun</t>
  </si>
  <si>
    <t>Categoria municipios</t>
  </si>
  <si>
    <t>Capacidad fiscal</t>
  </si>
  <si>
    <t>Departamento Nacional de Planeación</t>
  </si>
  <si>
    <t>clas_cole</t>
  </si>
  <si>
    <t>Proporción de planteles en la clasificación C y D</t>
  </si>
  <si>
    <t>ICFES</t>
  </si>
  <si>
    <t>Alejo</t>
  </si>
  <si>
    <t>emp_informal</t>
  </si>
  <si>
    <t>Tasa de empleo informal</t>
  </si>
  <si>
    <t>Adultez</t>
  </si>
  <si>
    <t>Encuesta de Calidad de Vida de Antioquia - Gobernación de Antioquia</t>
  </si>
  <si>
    <t>camas</t>
  </si>
  <si>
    <t>Número de camas en el municipio por cada mil habitantes</t>
  </si>
  <si>
    <t>REPS</t>
  </si>
  <si>
    <t>homicidios</t>
  </si>
  <si>
    <t>Tasa de homicidios por cada 100 mil habitantes</t>
  </si>
  <si>
    <t>SIEDCO</t>
  </si>
  <si>
    <t>gini_hog</t>
  </si>
  <si>
    <t>Gini: Ingresos de los hogares</t>
  </si>
  <si>
    <t>Índice (escala propia)</t>
  </si>
  <si>
    <t>Desigualdad</t>
  </si>
  <si>
    <t>ECV Antioquia</t>
  </si>
  <si>
    <t>gini_lab</t>
  </si>
  <si>
    <t>Gini: Ingresos laborales de las personas ocupadas</t>
  </si>
  <si>
    <t>hog_mono_fem</t>
  </si>
  <si>
    <t>Porcentaje de hogares con jefe de hogar mujer sin presencia de cónyuge y con hijos menores de 18 años</t>
  </si>
  <si>
    <t>Estructura demográfica</t>
  </si>
  <si>
    <t>I_enve_T_c</t>
  </si>
  <si>
    <t>Índice de envejecimiento total en zona urbana</t>
  </si>
  <si>
    <t>indice</t>
  </si>
  <si>
    <t>Vejez</t>
  </si>
  <si>
    <t>DANE Censo 2018 actualizaciones post covid</t>
  </si>
  <si>
    <t>Laura</t>
  </si>
  <si>
    <t>I_enve_H</t>
  </si>
  <si>
    <t>Índice de envejecimiento de los hombres</t>
  </si>
  <si>
    <t>Indice</t>
  </si>
  <si>
    <t>I_enve_H_c</t>
  </si>
  <si>
    <t>Índice de envejecimiento de los hombres en zona urbana</t>
  </si>
  <si>
    <t>I_enve_H_r</t>
  </si>
  <si>
    <t>Índice de envejecimiento de los hombres en zona rural</t>
  </si>
  <si>
    <t>I_enve_M</t>
  </si>
  <si>
    <t>Índice de envejecimiento de las mujeres</t>
  </si>
  <si>
    <t>I_enve_M_c</t>
  </si>
  <si>
    <t>Índice de envejecimiento de las mujeres en zona urbana</t>
  </si>
  <si>
    <t>laura</t>
  </si>
  <si>
    <t>I_enve_M_r</t>
  </si>
  <si>
    <t>Índice de envejecimiento de las mujeres en zona rural</t>
  </si>
  <si>
    <t>I_enve_T</t>
  </si>
  <si>
    <t>Índice de envejecimiento total</t>
  </si>
  <si>
    <t>I_enve_T_r</t>
  </si>
  <si>
    <t>Índice de envejecimiento total en zona rural</t>
  </si>
  <si>
    <t>IDE_H</t>
  </si>
  <si>
    <t>Índice de dependencia económica de los hombres</t>
  </si>
  <si>
    <t>IDE_H_c</t>
  </si>
  <si>
    <t>Índice de dependencia económica de los hombres en zona urbana</t>
  </si>
  <si>
    <t>IDE_H_r</t>
  </si>
  <si>
    <t>Índice de dependencia económica de los hombres en zona rural</t>
  </si>
  <si>
    <t>IDE_M</t>
  </si>
  <si>
    <t>Índice de dependencia económica de las mujeres</t>
  </si>
  <si>
    <t>IDE_M_c</t>
  </si>
  <si>
    <t>Índice de dependencia económica de las mujeres en zona urbana</t>
  </si>
  <si>
    <t>IDE_M_r</t>
  </si>
  <si>
    <t>Índice de dependencia económica de las mujeres en zona rural</t>
  </si>
  <si>
    <t>IDE_T</t>
  </si>
  <si>
    <t>Índice de dependencia económica total</t>
  </si>
  <si>
    <t>IDE_T_c</t>
  </si>
  <si>
    <t>Índice de dependencia económica total en zona urbana</t>
  </si>
  <si>
    <t>IDE_T_r</t>
  </si>
  <si>
    <t>Índice de dependencia económica total en zona rural</t>
  </si>
  <si>
    <t>idf</t>
  </si>
  <si>
    <t>Índice de desempeño fiscal</t>
  </si>
  <si>
    <t>Contaduría General de la Nación</t>
  </si>
  <si>
    <t>Incidencia de VCM VIF VSX  por cada 100.000 habitantes</t>
  </si>
  <si>
    <t>SIVIGILA</t>
  </si>
  <si>
    <t>TIS_15_29</t>
  </si>
  <si>
    <t>Tasa de intento de suicidios por cada 100 mil habitantes entre 15 y 29 años</t>
  </si>
  <si>
    <t>Tasa por cada 100 mil habitantes</t>
  </si>
  <si>
    <t>Salud mental</t>
  </si>
  <si>
    <t>TIS_15_64</t>
  </si>
  <si>
    <t>Tasa de intento de suicidios por cada 100 mil habitantes entre 15 y 64 años</t>
  </si>
  <si>
    <t>TIS_30_59</t>
  </si>
  <si>
    <t>Tasa de intento de suicidios por cada 100 mil habitantes entre 30 y 59 años</t>
  </si>
  <si>
    <t>ins_alim</t>
  </si>
  <si>
    <t>Inseguridad alimentaria</t>
  </si>
  <si>
    <t>Pobreza</t>
  </si>
  <si>
    <t>ins_alim_18</t>
  </si>
  <si>
    <t>Inseguridad alimentaria para hogares con personas menores de 18 años</t>
  </si>
  <si>
    <t>ins_alim_5</t>
  </si>
  <si>
    <t>Inseguridad alimentaria para hogares con personas de 5 años o menos</t>
  </si>
  <si>
    <t>ins_alim_mod</t>
  </si>
  <si>
    <t>Inseguridad alimentaria_moderada</t>
  </si>
  <si>
    <t>ins_alim_mod_18</t>
  </si>
  <si>
    <t>Inseguridad alimentaria_moderada para hogares con personas menores de 18 años</t>
  </si>
  <si>
    <t>ins_alim_mod_5</t>
  </si>
  <si>
    <t>Inseguridad alimentaria_moderada para hogares con personas de 5 años o menos</t>
  </si>
  <si>
    <t>ins_alim_sev</t>
  </si>
  <si>
    <t>Inseguridad alimentaria_severa</t>
  </si>
  <si>
    <t>ins_alim_sev_18</t>
  </si>
  <si>
    <t>Inseguridad alimentaria_severa para hogares con personas menores de 18 años</t>
  </si>
  <si>
    <t>ins_alim_sev_5</t>
  </si>
  <si>
    <t>Inseguridad alimentaria_severa para hogares con personas de 5 años o menos</t>
  </si>
  <si>
    <t>internet</t>
  </si>
  <si>
    <t>Porcentaje de viviendas con servicio de conexión a internet</t>
  </si>
  <si>
    <t/>
  </si>
  <si>
    <t>IRCArural_dec</t>
  </si>
  <si>
    <t>Índice de Riesgo de Calidad del Agua (IRCA) rural – decreto 1575 del 2007</t>
  </si>
  <si>
    <t>Acceso a servicio de agua potable y saneamiento</t>
  </si>
  <si>
    <t>SIVICAP</t>
  </si>
  <si>
    <t>IRCArural_res</t>
  </si>
  <si>
    <t>Índice de Riesgo de Calidad del Agua (IRCA) rural – resolución 622 del 2020</t>
  </si>
  <si>
    <t>IRCAurbano_dec</t>
  </si>
  <si>
    <t xml:space="preserve">Índice de Riesgo de Calidad del Agua (IRCA) urbano – decreto 1575 del 2007
</t>
  </si>
  <si>
    <t>IRCAurbano_res</t>
  </si>
  <si>
    <t>Índice de Riesgo de Calidad del Agua (IRCA) urbano – resolución 622 del 2020</t>
  </si>
  <si>
    <t>med_d_mun</t>
  </si>
  <si>
    <t>Medición de desempeño municipal</t>
  </si>
  <si>
    <t>ninis</t>
  </si>
  <si>
    <t>Jóvenes entre 15 y 28 años que no estudian ni se encuentran ocupados</t>
  </si>
  <si>
    <t>P_ad_H_29_59</t>
  </si>
  <si>
    <t>Porcentaje de adultos (29 a 59 años) hombres sobre el total de la población total</t>
  </si>
  <si>
    <t>?</t>
  </si>
  <si>
    <t>P_ad_H_29_59_c</t>
  </si>
  <si>
    <t>Porcentaje de adultos (29 a 59 años) hombres sobre el total de la población cabecera municipal</t>
  </si>
  <si>
    <t>P_ad_H_29_59_r</t>
  </si>
  <si>
    <t>Porcentaje de adultos (29 a 59 años) hombres sobre el total de la población rural</t>
  </si>
  <si>
    <t>P_ad_M_29_59</t>
  </si>
  <si>
    <t>Porcentaje de adultos (29 a 59 años) mujeres sobre el total de la población total</t>
  </si>
  <si>
    <t>porcentaje</t>
  </si>
  <si>
    <t>P_ad_M_29_59_c</t>
  </si>
  <si>
    <t>Porcentaje de adultos (29 a 59 años) mujeres sobre el total de la población cabecera municipal</t>
  </si>
  <si>
    <t>P_ad_M_29_59_r</t>
  </si>
  <si>
    <t>Porcentaje de adultos (29 a 59 años) mujeres sobre el total de la población rural</t>
  </si>
  <si>
    <t>P_ad_T_29_59</t>
  </si>
  <si>
    <t>Porcentaje de adultos (29 a 59 años) sobre el total de la población total</t>
  </si>
  <si>
    <t>P_ad_T_29_59_c</t>
  </si>
  <si>
    <t>Porcentaje de adultos (29 a 59 años) sobre el total de la población cabecera municipal</t>
  </si>
  <si>
    <t>P_ad_T_29_59_r</t>
  </si>
  <si>
    <t>Porcentaje de adultos (29 a 59 años) sobre el total de la población rural</t>
  </si>
  <si>
    <t>P_H</t>
  </si>
  <si>
    <t>Porcentaje de la población de hombres sobre el total de la población total</t>
  </si>
  <si>
    <t>P_H_c</t>
  </si>
  <si>
    <t>Porcentaje de la población hombres sobre el total de la población cabecera municipal</t>
  </si>
  <si>
    <t>P_H_r</t>
  </si>
  <si>
    <t>Porcentaje de la población hombres sobre el total de la población rural</t>
  </si>
  <si>
    <t>P_inf_H_0_11</t>
  </si>
  <si>
    <t>Porcentaje de niños (0 a 11 años) hombres sobre el total de la población total</t>
  </si>
  <si>
    <t>P_inf_H_0_11_c</t>
  </si>
  <si>
    <t>Porcentaje de niños y niñas (0 a 11 años) hombres sobre el total de la población cabecera municipal</t>
  </si>
  <si>
    <t>P_inf_H_0_11_r</t>
  </si>
  <si>
    <t>Porcentaje de niños y niñas (0 a 11 años) hombres sobre el total de la población rural</t>
  </si>
  <si>
    <t>P_inf_M_0_11</t>
  </si>
  <si>
    <t>Porcentaje de niñas (0 a 11 años) mujeres sobre el total de la población total</t>
  </si>
  <si>
    <t>P_inf_M_0_11_c</t>
  </si>
  <si>
    <t>Porcentaje de niños y niñas (0 a 11 años) mujeres sobre el total de la población cabecera municipal</t>
  </si>
  <si>
    <t>P_inf_M_0_11_r</t>
  </si>
  <si>
    <t>Porcentaje de niños y niñas (0 a 11 años) mujeres sobre el total de la población rural</t>
  </si>
  <si>
    <t>P_inf_T_0_11</t>
  </si>
  <si>
    <t>Porcentaje de niños y niñas (0 a 11 años) sobre el total de la población total</t>
  </si>
  <si>
    <t>P_inf_T_0_11_c</t>
  </si>
  <si>
    <t>Porcentaje de niños y niñas (0 a 11 años) sobre el total de la población cabecera municipal</t>
  </si>
  <si>
    <t>P_inf_T_0_11_r</t>
  </si>
  <si>
    <t>Porcentaje de niños y niñas (0 a 11 años) sobre el total de la población rural</t>
  </si>
  <si>
    <t>P_j_H_12_28</t>
  </si>
  <si>
    <t>Porcentaje de jóvenes (12 a 28 años) hombres sobre el total de la población total</t>
  </si>
  <si>
    <t>P_j_H_12_28_c</t>
  </si>
  <si>
    <t>Porcentaje de jóvenes (12 a 28 años) hombres sobre el total de la población cabecera municipal</t>
  </si>
  <si>
    <t>P_j_H_12_28_r</t>
  </si>
  <si>
    <t>Porcentaje de jóvenes (12 a 28 años) hombres sobre el total de la población rural</t>
  </si>
  <si>
    <t>P_j_M_12_28</t>
  </si>
  <si>
    <t>Porcentaje de jóvenes (12 a 28 años) mujeres sobre el total de la población total</t>
  </si>
  <si>
    <t>P_j_M_12_28_c</t>
  </si>
  <si>
    <t>Porcentaje de jóvenes (12 a 28 años) mujeres sobre el total de la población cabecera municipal</t>
  </si>
  <si>
    <t>P_j_M_12_28_r</t>
  </si>
  <si>
    <t>Porcentaje de jóvenes (12 a 28 años) mujeres sobre el total de la población rural</t>
  </si>
  <si>
    <t>P_j_T_12_28</t>
  </si>
  <si>
    <t>Porcentaje de jóvenes (12 a 28 años) sobre el total de la población total</t>
  </si>
  <si>
    <t>P_j_T_12_28_c</t>
  </si>
  <si>
    <t>Porcentaje de jóvenes (12 a 28 años) sobre el total de la población cabecera municipal</t>
  </si>
  <si>
    <t>P_j_T_12_28_r</t>
  </si>
  <si>
    <t>Porcentaje de jóvenes (12 a 28 años) sobre el total de la población rural</t>
  </si>
  <si>
    <t>P_M</t>
  </si>
  <si>
    <t>Porcentaje de la población de mujeres sobre el total de la población total</t>
  </si>
  <si>
    <t>P_M_Anticonceptivos</t>
  </si>
  <si>
    <t>Porcentaje de cobertura de mujeres con suministro de métodos de anticoncepción</t>
  </si>
  <si>
    <t>Terri Data - DNP</t>
  </si>
  <si>
    <t>P_M_c</t>
  </si>
  <si>
    <t>Porcentaje de la población mujeres sobre el total de la población cabecera municipal</t>
  </si>
  <si>
    <t>P_M_r</t>
  </si>
  <si>
    <t>Porcentaje de la población mujeres sobre el total de la población rural</t>
  </si>
  <si>
    <t>P_T</t>
  </si>
  <si>
    <t>Porcentaje de la población sobre el total de la población total</t>
  </si>
  <si>
    <t>P_T_c</t>
  </si>
  <si>
    <t>Porcentaje de la población sobre el total de la población cabecera municipal</t>
  </si>
  <si>
    <t>P_T_r</t>
  </si>
  <si>
    <t>Porcentaje de la población sobre el total de la población rural</t>
  </si>
  <si>
    <t>P_v_H_60_85</t>
  </si>
  <si>
    <t>Índice de vejez hombres: Porcentaje de personas mayores (60 años o más) hombres sobre el total de la población total</t>
  </si>
  <si>
    <t>P_v_H_60_85_c</t>
  </si>
  <si>
    <t>Índice de vejez urbano hombres: Porcentaje de personas mayores (60 años o más) hombres sobre el total de la población cabecera municipal</t>
  </si>
  <si>
    <t>P_v_H_60_85_r</t>
  </si>
  <si>
    <t>Índice de vejez rural hombres: Porcentaje de personas mayores (60 años o más) hombres sobre el total de la población rural</t>
  </si>
  <si>
    <t>P_v_M_60_85</t>
  </si>
  <si>
    <t>Índice de vejez mujeres: Porcentaje de personas mayores (60 años o más) mujeres sobre el total de la población total</t>
  </si>
  <si>
    <t>P_v_M_60_85_c</t>
  </si>
  <si>
    <t>Índice de vejez urbano mujeres: Porcentaje de personas mayores (60 años o más) mujeres sobre el total de la población cabecera municipal</t>
  </si>
  <si>
    <t>P_v_M_60_85_r</t>
  </si>
  <si>
    <t>Índice de vejez rural mujeres: Porcentaje de personas mayores (60 años o más) mujeres sobre el total de la población rural</t>
  </si>
  <si>
    <t>P_v_T_60_85</t>
  </si>
  <si>
    <t>Índice de vejez: Porcentaje de personas mayores (60 años o más) sobre el total de la población total</t>
  </si>
  <si>
    <t>P_v_T_60_85_c</t>
  </si>
  <si>
    <t>Índice de vejez urbano: Porcentaje de personas mayores (60 años o más) sobre el total de la población cabecera municipal</t>
  </si>
  <si>
    <t>P_v_T_60_85_r</t>
  </si>
  <si>
    <t>Índice de vejez rural: Porcentaje de personas mayores (60 años o más) sobre el total de la población rural</t>
  </si>
  <si>
    <t>pbl_camp</t>
  </si>
  <si>
    <t>Porcentaje de personas de 15 años o más que pertenecen a la población campesina</t>
  </si>
  <si>
    <t>pob_ext</t>
  </si>
  <si>
    <t>Porcentaje de personas con ingreso per cápita por debajo de la LI</t>
  </si>
  <si>
    <t>pob_ext_hombres</t>
  </si>
  <si>
    <t>Porcentaje de hombres con ingreso per cápita por debajo de la LI</t>
  </si>
  <si>
    <t>pob_ext_mujeres</t>
  </si>
  <si>
    <t>Porcentaje de mujeres con ingreso per cápita por debajo de la LI</t>
  </si>
  <si>
    <t>pob_ipm</t>
  </si>
  <si>
    <t>Porcentaje de personas pobres - IPM</t>
  </si>
  <si>
    <t>pob_ipm_hogares</t>
  </si>
  <si>
    <t>Porcentaje de hogares pobres - IPM</t>
  </si>
  <si>
    <t>pob_ipm_hombres</t>
  </si>
  <si>
    <t>Porcentaje de hombres pobres - IPM</t>
  </si>
  <si>
    <t>pob_ipm_mujeres</t>
  </si>
  <si>
    <t>Porcentaje de mujeres pobres - IPM</t>
  </si>
  <si>
    <t>pob_mon</t>
  </si>
  <si>
    <t>Porcentaje de personas con ingreso per cápita por debajo de la LP</t>
  </si>
  <si>
    <t>pob_mon_hombres</t>
  </si>
  <si>
    <t>Porcentaje de hombres con ingreso per cápita por debajo de la LP</t>
  </si>
  <si>
    <t>pob_mon_mujeres</t>
  </si>
  <si>
    <t>Porcentaje de mujeres con ingreso per cápita por debajo de la LP</t>
  </si>
  <si>
    <t>pob_nbi</t>
  </si>
  <si>
    <t>Porcentaje de personas en condición de pobreza por NBI</t>
  </si>
  <si>
    <t>pob_nbi_hogares</t>
  </si>
  <si>
    <t>Porcentaje de hogares en condición de pobreza por NBI</t>
  </si>
  <si>
    <t>pob_nbi_hombres</t>
  </si>
  <si>
    <t>Porcentaje de hombres en condición de pobreza por NBI</t>
  </si>
  <si>
    <t>pob_nbi_mujeres</t>
  </si>
  <si>
    <t>Porcentaje de mujeres en condición de pobreza por NBI</t>
  </si>
  <si>
    <t>PR_ad_H_29_59</t>
  </si>
  <si>
    <t xml:space="preserve">Porcentaje de adultos (29 a 59 años) hombres rural respecto al total de adultos (29 a 59 años) hombres </t>
  </si>
  <si>
    <t>PR_ad_M_29_59</t>
  </si>
  <si>
    <t>Porcentaje de adultos (29 a 59 años) mujeres rural respecto al total de adultos (29 a 59 años) mujeres</t>
  </si>
  <si>
    <t>PR_ad_T_29_59</t>
  </si>
  <si>
    <t>Porcentaje de adultos (29 a 59 años) rural respecto al total de adultos (29 a 59 años)</t>
  </si>
  <si>
    <t>PR_H</t>
  </si>
  <si>
    <t>Porcentaje de la población de hombres rural respecto al total de la población de hombres</t>
  </si>
  <si>
    <t>PR_inf_H_0_11</t>
  </si>
  <si>
    <t>Porcentaje de niños (0 a 11 años) hombres respecto al total de niños y niñas (0 a 11 años) hombres</t>
  </si>
  <si>
    <t>PR_inf_M_0_11</t>
  </si>
  <si>
    <t xml:space="preserve">Porcentaje de niñas (0 a 11 años) mujeres rural respecto al total de niñas (0 a 11 años) mujeres </t>
  </si>
  <si>
    <t>PR_inf_T_0_11</t>
  </si>
  <si>
    <t>Porcentaje de niños y niñas (0 a 11 años) rural respecto al total de niños y niñas (0 a 11 años)</t>
  </si>
  <si>
    <t>PR_j_H_12_28</t>
  </si>
  <si>
    <t>Porcentaje de jóvenes (12 a 28 años) hombres rural respecto al total de jóvenes (12 a 28 años) hombres</t>
  </si>
  <si>
    <t>PR_j_M_12_28</t>
  </si>
  <si>
    <t>Porcentaje de jóvenes (12 a 28 años) mujeres rural respecto al total de jóvenes (12 a 28 años) mujeres</t>
  </si>
  <si>
    <t>PR_j_T_12_28</t>
  </si>
  <si>
    <t>Porcentaje de jóvenes (12 a 28 años) rural respecto al total de jóvenes (12 a 28 años)</t>
  </si>
  <si>
    <t>PR_M</t>
  </si>
  <si>
    <t>Porcentaje de la población mujeres rural respecto al total de la población mujeres</t>
  </si>
  <si>
    <t>PR_T</t>
  </si>
  <si>
    <t>Porcentaje de la población rural respecto al total de la población</t>
  </si>
  <si>
    <t>PR_v_H_60_85</t>
  </si>
  <si>
    <t>Porcentaje de personas mayores (60 años o más) hombres rural respecto al total de personas mayores (60 años o más) hombres</t>
  </si>
  <si>
    <t>PR_v_M_60_85</t>
  </si>
  <si>
    <t xml:space="preserve">Porcentaje de personas mayores (60 años o más) mujeres rural respecto al total de personas mayores (60 años o más) mujeres </t>
  </si>
  <si>
    <t>PR_v_T_60_85</t>
  </si>
  <si>
    <t>Porcentaje de personas mayores (60 años o más) rural respecto al total de personas mayores (60 años o más)</t>
  </si>
  <si>
    <t>PU_ad_H_29_59</t>
  </si>
  <si>
    <t>Porcentaje de adultos (29 a 59 años) hombres urbana respecto al total de adultos (29 a 59 años) hombres</t>
  </si>
  <si>
    <t>PU_ad_M_29_59</t>
  </si>
  <si>
    <t>Porcentaje de adultos (29 a 59 años) mujeres urbana respecto al total de adultos (29 a 59 años) mujeres</t>
  </si>
  <si>
    <t>PU_ad_T_29_59</t>
  </si>
  <si>
    <t>Porcentaje de adultos (29 a 59 años) urbana respecto al total de adultos (29 a 59 años)</t>
  </si>
  <si>
    <t>PU_H</t>
  </si>
  <si>
    <t>Porcentaje de la población de hombres urbana respecto al total de la población de hombres</t>
  </si>
  <si>
    <t>PU_inf_H_0_11</t>
  </si>
  <si>
    <t>Porcentaje de niños (0 a 11 años) hombres urbana respecto al total de niños y niñas (0 a 11 años) hombres</t>
  </si>
  <si>
    <t>PU_inf_M_0_11</t>
  </si>
  <si>
    <t>Porcentaje de niñas (0 a 11 años) mujeres urbana respecto al total de niñas (0 a 11 años) mujeres</t>
  </si>
  <si>
    <t>PU_inf_T_0_11</t>
  </si>
  <si>
    <t>Porcentaje de niños y niñas (0 a 11 años) urbana respecto al total de niños y niñas (0 a 11 años)</t>
  </si>
  <si>
    <t>PU_j_H_12_28</t>
  </si>
  <si>
    <t>Porcentaje de jóvenes (12 a 28 años) hombres urbana respecto al total de jóvenes (12 a 28 años) hombres</t>
  </si>
  <si>
    <t>PU_j_M_12_28</t>
  </si>
  <si>
    <t>Porcentaje de jóvenes (12 a 28 años) mujeres urbana respecto al total de jóvenes (12 a 28 años) mujeres</t>
  </si>
  <si>
    <t>PU_j_T_12_28</t>
  </si>
  <si>
    <t>Porcentaje de jóvenes (12 a 28 años) urbana respecto al total de jóvenes (12 a 28 años)</t>
  </si>
  <si>
    <t>PU_M</t>
  </si>
  <si>
    <t>Porcentaje de la población mujeres urbana respecto al total de la población mujeres</t>
  </si>
  <si>
    <t>PU_T</t>
  </si>
  <si>
    <t>Porcentaje de la población urbana respecto al total de la población</t>
  </si>
  <si>
    <t>PU_v_H_60_85</t>
  </si>
  <si>
    <t>Porcentaje de personas mayores (60 años o más) hombres urbana respecto al total de personas mayores (60 años o más) hombres</t>
  </si>
  <si>
    <t>PU_v_M_60_85</t>
  </si>
  <si>
    <t>Porcentaje de personas mayores (60 años o más) mujeres urbana respecto al total de personas mayores (60 años o más) mujeres</t>
  </si>
  <si>
    <t>PU_v_T_60_85</t>
  </si>
  <si>
    <t>Porcentaje de personas mayores (60 años o más) urbana respecto al total de personas mayores (60 años o más)</t>
  </si>
  <si>
    <t>ss_pension_hombres</t>
  </si>
  <si>
    <t>Porcentaje de personas ocupadas que tienen afiliación al sistema de pensiones como cotizantes: Hombre</t>
  </si>
  <si>
    <t>ss_pension_mujeres</t>
  </si>
  <si>
    <t>Porcentaje de personas ocupadas que tienen afiliación al sistema de pensiones como cotizantes: Mujer</t>
  </si>
  <si>
    <t>ss_salud_hombres</t>
  </si>
  <si>
    <t>Porcentaje de personas afiliadas al sistema de seguridad social en salud: Hombre</t>
  </si>
  <si>
    <t>ss_salud_mujeres</t>
  </si>
  <si>
    <t>Porcentaje de personas afiliadas al sistema de seguridad social en salud: Mujer</t>
  </si>
  <si>
    <t>T_B_N</t>
  </si>
  <si>
    <t>Tasa bruta de natalidad</t>
  </si>
  <si>
    <t>Estadísticas Vitales - Seccional de Salud para Antioquia</t>
  </si>
  <si>
    <t>tcb_edsup</t>
  </si>
  <si>
    <t>Tasa de cobertura bruta en educación superior</t>
  </si>
  <si>
    <t>SNIES</t>
  </si>
  <si>
    <t>tcb_media</t>
  </si>
  <si>
    <t>Tasa de cobertura bruta en media</t>
  </si>
  <si>
    <t>MEN</t>
  </si>
  <si>
    <t>tcb_primaria</t>
  </si>
  <si>
    <t>Tasa de cobertura bruta en primaria</t>
  </si>
  <si>
    <t>tcb_secundaria</t>
  </si>
  <si>
    <t>Tasa de cobertura bruta en secundaria</t>
  </si>
  <si>
    <t>tcb_transicion</t>
  </si>
  <si>
    <t>Tasa de cobertura bruta en transición</t>
  </si>
  <si>
    <t>td_brecha</t>
  </si>
  <si>
    <t>Tasa de desocupados en […] Son dos indicadores para cada categoria:
- […] en las mujeres.
- […] en los hombres.</t>
  </si>
  <si>
    <t>td_hombres</t>
  </si>
  <si>
    <t>Tasa de desocupados en los hombres</t>
  </si>
  <si>
    <t>td_mujeres</t>
  </si>
  <si>
    <t>Tasa de desocupados en las mujeres</t>
  </si>
  <si>
    <t>tdes_media</t>
  </si>
  <si>
    <t>Tasa de deserción intraanual en media</t>
  </si>
  <si>
    <t>tdes_primaria</t>
  </si>
  <si>
    <t>Tasa de deserción intraanual en primaria</t>
  </si>
  <si>
    <t>tdes_secundaria</t>
  </si>
  <si>
    <t>Tasa de deserción intraanual en secundaria</t>
  </si>
  <si>
    <t>tdes_transicion</t>
  </si>
  <si>
    <t>Tasa de deserción intraanual en transición</t>
  </si>
  <si>
    <t>tgp_mujeres</t>
  </si>
  <si>
    <t>Tasa bruta de participación de las mujeres</t>
  </si>
  <si>
    <t>time_rural_dec</t>
  </si>
  <si>
    <t>time_rural_res</t>
  </si>
  <si>
    <t>time_urbano_dec</t>
  </si>
  <si>
    <t>time_urbano_res</t>
  </si>
  <si>
    <t>TIS_hombres</t>
  </si>
  <si>
    <t>Tasa de intento de suicidios por cada 100 mil habitantes de hombres</t>
  </si>
  <si>
    <t>TIS_mujeres</t>
  </si>
  <si>
    <t>Tasa de intento de suicidios por cada 100 mil habitantes de mujeres</t>
  </si>
  <si>
    <t>TIS_total</t>
  </si>
  <si>
    <t>Tasa de intento de suicidios por cada 100 mil habitantes</t>
  </si>
  <si>
    <t>TS_15_29</t>
  </si>
  <si>
    <t>Tasa de suicidios por cada 100 mil habitantes entre 15 y 29 años</t>
  </si>
  <si>
    <t>Estadísticas Vitales - DANE</t>
  </si>
  <si>
    <t>TS_15_64</t>
  </si>
  <si>
    <t>Tasa de suicidios por cada 100 mil habitantes entre 15 y 64 años</t>
  </si>
  <si>
    <t>TS_30_59</t>
  </si>
  <si>
    <t>Tasa de suicidios por cada 100 mil habitantes entre 30 y 59 años</t>
  </si>
  <si>
    <t>tnat_emp</t>
  </si>
  <si>
    <t>Tasa de natalidad empresarial neta</t>
  </si>
  <si>
    <t>trep_media</t>
  </si>
  <si>
    <t>Tasa de repitencia en media</t>
  </si>
  <si>
    <t>trep_primaria</t>
  </si>
  <si>
    <t>Tasa de repitencia en primaria</t>
  </si>
  <si>
    <t>trep_secundaria</t>
  </si>
  <si>
    <t>Tasa de repitencia en secundaria</t>
  </si>
  <si>
    <t>trep_transicion</t>
  </si>
  <si>
    <t>Tasa de repitencia en transición</t>
  </si>
  <si>
    <t>TS_hombres</t>
  </si>
  <si>
    <t>Tasa de suicidios por cada 100 mil habitantes de hombres</t>
  </si>
  <si>
    <t>TS_mujeres</t>
  </si>
  <si>
    <t>Tasa de suicidios por cada 100 mil habitantes de mujeres</t>
  </si>
  <si>
    <t>TS_total</t>
  </si>
  <si>
    <t>Tasa de suicidios por cada 100 mil habitantes</t>
  </si>
  <si>
    <t>va_pc</t>
  </si>
  <si>
    <t>Valor agregado per capita</t>
  </si>
  <si>
    <t>Miles de pesos por habitante</t>
  </si>
  <si>
    <t>Gobernación de Antioquía</t>
  </si>
  <si>
    <t>Incidencia de VCM VIF VSX en adolescentes (12 - 17 años) por cada 100 mil</t>
  </si>
  <si>
    <t>Juventud</t>
  </si>
  <si>
    <t>Incidencia de VCM VIF VSX en jóvenes (18 - 28 años) por cada 100 mil</t>
  </si>
  <si>
    <t>Índice de Riesgo de Victimización</t>
  </si>
  <si>
    <t>UARIV</t>
  </si>
  <si>
    <t>tti_edsup</t>
  </si>
  <si>
    <t>Tasa de tránsito inmediato a educación superior</t>
  </si>
  <si>
    <t>vinculacion_nna</t>
  </si>
  <si>
    <t>Vinculación de niños, niñas y adolescentes en las actividades de Grupos Armados Organizados y Grupos Delictivos Organizados (tasa por cada 100 mil)</t>
  </si>
  <si>
    <t>2022-2024</t>
  </si>
  <si>
    <t>va_primario</t>
  </si>
  <si>
    <t>Participacion por actidad economica del Valor agregado - Actividades Primarias</t>
  </si>
  <si>
    <t>VPC_pri</t>
  </si>
  <si>
    <t>Kilómetros de vías primarias por cada 1000 habitantes</t>
  </si>
  <si>
    <t>VPC_sec</t>
  </si>
  <si>
    <t>Kilómetros de vías secundarias por cada 1000 habitantes</t>
  </si>
  <si>
    <t>VPC_ter</t>
  </si>
  <si>
    <t>Kilómetros de vías terciarias por cada 1000 habitantes</t>
  </si>
  <si>
    <t>VPC_total</t>
  </si>
  <si>
    <t>Kilómetros de vías en total por cada 1000 habitantes</t>
  </si>
  <si>
    <t>Reponsable</t>
  </si>
  <si>
    <t>Disponible a nivel municipal (Si/No)</t>
  </si>
  <si>
    <t>Nombre indicador equivalente</t>
  </si>
  <si>
    <t>Periodo</t>
  </si>
  <si>
    <t>Periodicidad</t>
  </si>
  <si>
    <t>Subido (Si/No)</t>
  </si>
  <si>
    <t>Nombre archivo</t>
  </si>
  <si>
    <t>Observaciones</t>
  </si>
  <si>
    <t>contexto</t>
  </si>
  <si>
    <t>acceso a servicio de agua potable y saneamiento</t>
  </si>
  <si>
    <t>fuente_agua_1</t>
  </si>
  <si>
    <t>Fuente de agua - acueducto público</t>
  </si>
  <si>
    <t>dpto</t>
  </si>
  <si>
    <t>2010 - 2020</t>
  </si>
  <si>
    <t>Felipe</t>
  </si>
  <si>
    <t>fuente_agua_10</t>
  </si>
  <si>
    <t>Fuente de agua - aguatero</t>
  </si>
  <si>
    <t>fuente_agua_2</t>
  </si>
  <si>
    <t>Fuente de agua - acueducto comunal</t>
  </si>
  <si>
    <t>fuente_agua_3</t>
  </si>
  <si>
    <t>Fuente de agua - pozo bomba</t>
  </si>
  <si>
    <t>fuente_agua_4</t>
  </si>
  <si>
    <t>Fuente de agua - pozo no bomba</t>
  </si>
  <si>
    <t>fuente_agua_5</t>
  </si>
  <si>
    <t>Fuente de agua - agua lluvia</t>
  </si>
  <si>
    <t>fuente_agua_6</t>
  </si>
  <si>
    <t>Fuente de agua - rio quebrada</t>
  </si>
  <si>
    <t>fuente_agua_7</t>
  </si>
  <si>
    <t>Fuente de agua - agua botella o bolsa</t>
  </si>
  <si>
    <t>fuente_agua_8</t>
  </si>
  <si>
    <t>Fuente de agua - pila pública</t>
  </si>
  <si>
    <t>fuente_agua_9</t>
  </si>
  <si>
    <t>Fuente de agua - carrotanque</t>
  </si>
  <si>
    <t>saneamiento_adentro</t>
  </si>
  <si>
    <t>Saneamiento dentro de la vivienda</t>
  </si>
  <si>
    <t>saneamiento_fuera</t>
  </si>
  <si>
    <t>Saneamiento fuera de la vivienda</t>
  </si>
  <si>
    <t>cambio climático</t>
  </si>
  <si>
    <t>area_vul_clim</t>
  </si>
  <si>
    <t>Área vulnerable al cambio climático</t>
  </si>
  <si>
    <t>2071-2100 (promedio periodo)</t>
  </si>
  <si>
    <t>características de las viviendas</t>
  </si>
  <si>
    <t>calidad materiales</t>
  </si>
  <si>
    <t>material_par_1</t>
  </si>
  <si>
    <t>Material de la pared - ladrillo</t>
  </si>
  <si>
    <t>material_par_2</t>
  </si>
  <si>
    <t>Material de la pared - bahareque no revocado</t>
  </si>
  <si>
    <t>material_par_3</t>
  </si>
  <si>
    <t>Material de la pared - bahareque revocado</t>
  </si>
  <si>
    <t>material_par_4</t>
  </si>
  <si>
    <t>Material de la pared - guadua</t>
  </si>
  <si>
    <t>material_par_5</t>
  </si>
  <si>
    <t>Material de la pared - latas deshechables</t>
  </si>
  <si>
    <t>material_par_6</t>
  </si>
  <si>
    <t>Material de la pared - madera</t>
  </si>
  <si>
    <t>material_par_7</t>
  </si>
  <si>
    <t>Material de la pared - no hay</t>
  </si>
  <si>
    <t>material_par_8</t>
  </si>
  <si>
    <t>Material de la pared - prefabricado</t>
  </si>
  <si>
    <t>material_par_9</t>
  </si>
  <si>
    <t>Material de la pared - tapia</t>
  </si>
  <si>
    <t>material_par</t>
  </si>
  <si>
    <t>Material de la pared</t>
  </si>
  <si>
    <t>zona_tipo</t>
  </si>
  <si>
    <t>material_piso_1</t>
  </si>
  <si>
    <t>Material del piso - alfombra</t>
  </si>
  <si>
    <t>zona</t>
  </si>
  <si>
    <t>material_piso_2</t>
  </si>
  <si>
    <t>Material del piso - madera</t>
  </si>
  <si>
    <t>material_piso_3</t>
  </si>
  <si>
    <t>Material del piso - marmol</t>
  </si>
  <si>
    <t>material_piso_4</t>
  </si>
  <si>
    <t>Material del piso - baldosa</t>
  </si>
  <si>
    <t>material_piso_5</t>
  </si>
  <si>
    <t>Material del piso - madera burda</t>
  </si>
  <si>
    <t>material_piso_6</t>
  </si>
  <si>
    <t>Material del piso - cemento</t>
  </si>
  <si>
    <t>material_piso_7</t>
  </si>
  <si>
    <t>Material del piso - tierra</t>
  </si>
  <si>
    <t>hacinamiento</t>
  </si>
  <si>
    <t>Hacinamiento crítico (%)</t>
  </si>
  <si>
    <t>2010-2020</t>
  </si>
  <si>
    <t>covid</t>
  </si>
  <si>
    <t>incidencia</t>
  </si>
  <si>
    <t>casos</t>
  </si>
  <si>
    <t>Casos totales de Covid - 19</t>
  </si>
  <si>
    <t>2020 - 2021</t>
  </si>
  <si>
    <t>N/A</t>
  </si>
  <si>
    <t>fallecidos</t>
  </si>
  <si>
    <t>Fallecidos por Covid - 19</t>
  </si>
  <si>
    <t>fallecidos_contagios</t>
  </si>
  <si>
    <t>Porcentaje de fallecidos de Covid - 19</t>
  </si>
  <si>
    <t>crecimiento económicoy productivo</t>
  </si>
  <si>
    <t>indicadores convencionales</t>
  </si>
  <si>
    <t>ind_div_econ</t>
  </si>
  <si>
    <t>Índice de diversidad económica</t>
  </si>
  <si>
    <t>2005-2020</t>
  </si>
  <si>
    <t>establecimientos</t>
  </si>
  <si>
    <t>Establecimientos</t>
  </si>
  <si>
    <t>1992 - 2019</t>
  </si>
  <si>
    <t>Si</t>
  </si>
  <si>
    <t>Número de empresas</t>
  </si>
  <si>
    <t>Anual</t>
  </si>
  <si>
    <t>personal_prom</t>
  </si>
  <si>
    <t>Personal promedio por empresa</t>
  </si>
  <si>
    <t>No</t>
  </si>
  <si>
    <t>produccion</t>
  </si>
  <si>
    <t>Producción bruta</t>
  </si>
  <si>
    <t>valor_agregado</t>
  </si>
  <si>
    <t>Valor agregado</t>
  </si>
  <si>
    <t>Valor agregado según actividad económica: Valor agregado bruto</t>
  </si>
  <si>
    <t>Gobernación de Antioquia</t>
  </si>
  <si>
    <t>2015-2022</t>
  </si>
  <si>
    <t>VALOR AGREGADO MUNICIPAL 2015-2022 - GOB ANT</t>
  </si>
  <si>
    <t xml:space="preserve">Este indicador tambien cuenta con </t>
  </si>
  <si>
    <t>indicadores no convencionales</t>
  </si>
  <si>
    <t>log_luces_nocturnas</t>
  </si>
  <si>
    <t>Logaritmo de la intensidad lumínica promedio</t>
  </si>
  <si>
    <t>2012-2020</t>
  </si>
  <si>
    <t>desigualdad</t>
  </si>
  <si>
    <t>gini</t>
  </si>
  <si>
    <t>Coeficiente de Gini</t>
  </si>
  <si>
    <t>2002 - 2020</t>
  </si>
  <si>
    <t>Ona</t>
  </si>
  <si>
    <t>Bianual</t>
  </si>
  <si>
    <t>INDICADORES ECV 2023 MUNICIPIOS / Hoja: "GINI_HOG"</t>
  </si>
  <si>
    <t>Además de este Gini que se calcula para los hogares, la Gobernación calcula otro Gini asociado a los ingresos de las personas ocupadas, también lo compartimos en caso de que consideremos relevante incluirlo también</t>
  </si>
  <si>
    <t>estructura demográfica</t>
  </si>
  <si>
    <t>poblacion_etaria</t>
  </si>
  <si>
    <t>Población por grupo etario</t>
  </si>
  <si>
    <t>dpto_grupo</t>
  </si>
  <si>
    <t>2018 y 2026</t>
  </si>
  <si>
    <t>Proyecciones población Rangos Otros</t>
  </si>
  <si>
    <t>1985-2035</t>
  </si>
  <si>
    <t>POBLACION MUNICIPAL</t>
  </si>
  <si>
    <t>Tenemos calculada la población municipal para hombres, mujeres, total y por zonas, esta agrupada en edad simple, rango judicial, quinquenios y por ciclo de vida, esta última esta denominada "otros rangos"</t>
  </si>
  <si>
    <t>ingreso familiar</t>
  </si>
  <si>
    <t>ingreso laboral</t>
  </si>
  <si>
    <t>inglab_p25</t>
  </si>
  <si>
    <t>Percentil 25 del ingreso laboral (Millones de pesos)</t>
  </si>
  <si>
    <t>nacional</t>
  </si>
  <si>
    <t>La medida de percentiles no se encuentra calculada por el momento</t>
  </si>
  <si>
    <t>nacional_etnia</t>
  </si>
  <si>
    <t>nacional_gen</t>
  </si>
  <si>
    <t>inglab_p50</t>
  </si>
  <si>
    <t>Percentil 50 del ingreso laboral (Millones de pesos)</t>
  </si>
  <si>
    <t>inglab_p75</t>
  </si>
  <si>
    <t>Percentil 75 del ingreso laboral (Millones de pesos)</t>
  </si>
  <si>
    <t>migración</t>
  </si>
  <si>
    <t>saldo</t>
  </si>
  <si>
    <t>Saldos de entradas y salidas</t>
  </si>
  <si>
    <t>2012 - 2019</t>
  </si>
  <si>
    <t>nacional_edad</t>
  </si>
  <si>
    <t>nacional_col_extr</t>
  </si>
  <si>
    <t>pobreza</t>
  </si>
  <si>
    <t>pobreza monetaria</t>
  </si>
  <si>
    <t>clase_social_4</t>
  </si>
  <si>
    <t>Población por clase social (%) - Clase alta</t>
  </si>
  <si>
    <t>ciudad</t>
  </si>
  <si>
    <t>Tal vez podría calcularse con los microdatos de la ECV</t>
  </si>
  <si>
    <t>clase_social_3</t>
  </si>
  <si>
    <t>Población por clase social (%) - Clase media</t>
  </si>
  <si>
    <t>clase_social_1</t>
  </si>
  <si>
    <t>Población por clase social (%) - Pobres</t>
  </si>
  <si>
    <t>clase_social_2</t>
  </si>
  <si>
    <t>Población por clase social (%) - Vulnerables</t>
  </si>
  <si>
    <t>pobreza_extrema</t>
  </si>
  <si>
    <t>Pobreza extrema (%)</t>
  </si>
  <si>
    <t>INDICADORES ECV 2023 MUNICIPIOS / Hoja: "POBREZA"</t>
  </si>
  <si>
    <t>Esta calculado también para hombres y mujeres</t>
  </si>
  <si>
    <t>pobreza_monetaria</t>
  </si>
  <si>
    <t>Pobreza monetaria (%)</t>
  </si>
  <si>
    <t>pobreza no monetaria</t>
  </si>
  <si>
    <t>ipm</t>
  </si>
  <si>
    <t>IPM (%)</t>
  </si>
  <si>
    <t>INDICADORES ECV 2023 MUNICIPIOS / Hoja: "IPM"</t>
  </si>
  <si>
    <t>Esta calculado también para porcentaje de  hombres, mujeres y hogares</t>
  </si>
  <si>
    <t>nbi</t>
  </si>
  <si>
    <t>NBI (%)</t>
  </si>
  <si>
    <t>2018</t>
  </si>
  <si>
    <t>INDICADORES ECV 2023 MUNICIPIOS / Hoja: "NBI"</t>
  </si>
  <si>
    <t>dpto_etnia</t>
  </si>
  <si>
    <t>resultados</t>
  </si>
  <si>
    <t>adultez</t>
  </si>
  <si>
    <t>desempleo</t>
  </si>
  <si>
    <t>tasa_desempleo_adulto</t>
  </si>
  <si>
    <t>Tasa de desempleo entre adultos (%)</t>
  </si>
  <si>
    <t>tasa_desempleo</t>
  </si>
  <si>
    <t>Tasa de desempleo (%)</t>
  </si>
  <si>
    <t>ciudad_etnia</t>
  </si>
  <si>
    <t>ciudad_gen</t>
  </si>
  <si>
    <t>empleo formal</t>
  </si>
  <si>
    <t>tasa_formal_adulto</t>
  </si>
  <si>
    <t>Tasa de formalidad entre adultos (%)</t>
  </si>
  <si>
    <t>tasa_formal</t>
  </si>
  <si>
    <t>Tasa de formalidad (%)</t>
  </si>
  <si>
    <t>empleo informal</t>
  </si>
  <si>
    <t>tasa_informal_adulto</t>
  </si>
  <si>
    <t>Tasa de informalidad entre adultos (%)</t>
  </si>
  <si>
    <t>tasa_informal</t>
  </si>
  <si>
    <t>Tasa de informalidad (%)</t>
  </si>
  <si>
    <t>escolaridad</t>
  </si>
  <si>
    <t>dif_educ_ind</t>
  </si>
  <si>
    <t>Diferencias en los años de educación promedio entre indígenas y no indígenas</t>
  </si>
  <si>
    <t>inglab_p25_adulto</t>
  </si>
  <si>
    <t>Percentil 25 del ingreso laboral de los adultos (Millones de pesos)</t>
  </si>
  <si>
    <t>inglab_p50_adulto</t>
  </si>
  <si>
    <t>Percentil 50 del ingreso laboral de los adultos (Millones de pesos)</t>
  </si>
  <si>
    <t>inglab_p75_adulto</t>
  </si>
  <si>
    <t>Percentil 75 del ingreso laboral de los adultos (Millones de pesos)</t>
  </si>
  <si>
    <t>muerte violenta</t>
  </si>
  <si>
    <t>Agresiones (homicidios)</t>
  </si>
  <si>
    <t>dpto_edad</t>
  </si>
  <si>
    <t>dpto_gen</t>
  </si>
  <si>
    <t>participación laboral femenina</t>
  </si>
  <si>
    <t>tasa_part_adulto</t>
  </si>
  <si>
    <t>Tasa global de participación entre adultos (%)</t>
  </si>
  <si>
    <t>tasa_part</t>
  </si>
  <si>
    <t>Tasa global de participación (%)</t>
  </si>
  <si>
    <t>salud mental</t>
  </si>
  <si>
    <t>suicidios_15_64</t>
  </si>
  <si>
    <t>Adultos fallecidos por lesiones autoinfligidas intencionalmente (suicidios)</t>
  </si>
  <si>
    <t>Sara</t>
  </si>
  <si>
    <t>suicidios</t>
  </si>
  <si>
    <t>Lesiones autoinfligidas intencionalmente (suicidios)</t>
  </si>
  <si>
    <t>infancia y niñez</t>
  </si>
  <si>
    <t>asistencia escolar, preescolar y primaria</t>
  </si>
  <si>
    <t>asistencia_escolar_menor5</t>
  </si>
  <si>
    <t>Asistencia escolar de menores de 5 años (%)</t>
  </si>
  <si>
    <t>Sí</t>
  </si>
  <si>
    <t>Tasa de asistencia escolar_Edad 0-4</t>
  </si>
  <si>
    <t>2021 - 2023</t>
  </si>
  <si>
    <t>DATALAKE EDUCACION</t>
  </si>
  <si>
    <t>asistencia_escolar_menor5_1</t>
  </si>
  <si>
    <t>Asistencia escolar de menores de 5 años por quintil de ingreso (%) - quintil 1</t>
  </si>
  <si>
    <t>asistencia_escolar_menor5_2</t>
  </si>
  <si>
    <t>Asistencia escolar de menores de 5 años por quintil de ingreso (%) - quintil 2</t>
  </si>
  <si>
    <t>asistencia_escolar_menor5_3</t>
  </si>
  <si>
    <t>Asistencia escolar de menores de 5 años por quintil de ingreso (%) - quintil 3</t>
  </si>
  <si>
    <t>asistencia_escolar_menor5_4</t>
  </si>
  <si>
    <t>Asistencia escolar de menores de 5 años por quintil de ingreso (%) - quintil 4</t>
  </si>
  <si>
    <t>asistencia_escolar_menor5_5</t>
  </si>
  <si>
    <t>Asistencia escolar de menores de 5 años por quintil de ingreso (%) - quintil 5</t>
  </si>
  <si>
    <t>asistencia_escolar_primaria</t>
  </si>
  <si>
    <t>Asistencia escolar a educación primaria (%)</t>
  </si>
  <si>
    <t>Tasa bruta de escolaridad - Básica primaria</t>
  </si>
  <si>
    <t>asistencia_escolar_primaria_1</t>
  </si>
  <si>
    <t>Asistencia escolar a educación primaria por quintil de ingreso (%) - quintil 1</t>
  </si>
  <si>
    <t>asistencia_escolar_primaria_2</t>
  </si>
  <si>
    <t>Asistencia escolar a educación primaria por quintil de ingreso (%) - quintil 2</t>
  </si>
  <si>
    <t>asistencia_escolar_primaria_3</t>
  </si>
  <si>
    <t>Asistencia escolar a educación primaria por quintil de ingreso (%) - quintil 3</t>
  </si>
  <si>
    <t>asistencia_escolar_primaria_4</t>
  </si>
  <si>
    <t>Asistencia escolar a educación primaria por quintil de ingreso (%) - quintil 4</t>
  </si>
  <si>
    <t>asistencia_escolar_primaria_5</t>
  </si>
  <si>
    <t>Asistencia escolar a educación primaria por quintil de ingreso (%) - quintil 5</t>
  </si>
  <si>
    <t>calidad de la educación</t>
  </si>
  <si>
    <t>tamano_clase_prim</t>
  </si>
  <si>
    <t>Tamaño de clase en primaria</t>
  </si>
  <si>
    <t>2014 - 2020</t>
  </si>
  <si>
    <t>Pendiente</t>
  </si>
  <si>
    <t>mortalidad infantil</t>
  </si>
  <si>
    <t>mortalidad_inf_cinco</t>
  </si>
  <si>
    <t>Tasa de mortalidad infantil en menores de 5 años para 10 años</t>
  </si>
  <si>
    <t>2005 - 2015</t>
  </si>
  <si>
    <t>mortalidad_inf_eds</t>
  </si>
  <si>
    <t>Tasa de mortalidad infantil para 10 años</t>
  </si>
  <si>
    <t>nacidos_vivos</t>
  </si>
  <si>
    <t>Nacidos vivos en 5 años (%)</t>
  </si>
  <si>
    <t>mortalidad_inf</t>
  </si>
  <si>
    <t>Tasa de mortalidad infantil</t>
  </si>
  <si>
    <t>2010 - 2019</t>
  </si>
  <si>
    <t>juventud</t>
  </si>
  <si>
    <t>asistencia escolar secundaria</t>
  </si>
  <si>
    <t>asistencia_escolar_13-17</t>
  </si>
  <si>
    <t>Asistencia escolar de 13 a 17 años (%)</t>
  </si>
  <si>
    <t>- Tasa de asistencia escolar_Edad 11-16
- Tasa de asistencia escolar_Edad 11-14
- Tasa de asistencia escolar_Edad 15-16</t>
  </si>
  <si>
    <t>asistencia_escolar_13-17_1</t>
  </si>
  <si>
    <t>Asistencia escolar de 13 a 17 años por quintil de ingreso (%) - quintil 1</t>
  </si>
  <si>
    <t>asistencia_escolar_13-17_2</t>
  </si>
  <si>
    <t>Asistencia escolar de 13 a 17 años por quintil de ingreso (%) - quintil 2</t>
  </si>
  <si>
    <t>asistencia_escolar_13-17_3</t>
  </si>
  <si>
    <t>Asistencia escolar de 13 a 17 años por quintil de ingreso (%) - quintil 3</t>
  </si>
  <si>
    <t>asistencia_escolar_13-17_4</t>
  </si>
  <si>
    <t>Asistencia escolar de 13 a 17 años por quintil de ingreso (%) - quintil 4</t>
  </si>
  <si>
    <t>asistencia_escolar_13-17_5</t>
  </si>
  <si>
    <t>Asistencia escolar de 13 a 17 años por quintil de ingreso (%) - quintil 5</t>
  </si>
  <si>
    <t>dif_sec_ind</t>
  </si>
  <si>
    <t>Diferencias en la terminación de educación secundaria entre indígenas y no indígenas</t>
  </si>
  <si>
    <t>rezago_escolar_13-17</t>
  </si>
  <si>
    <t>Rezago escolar de 13 a 17 años (%)</t>
  </si>
  <si>
    <t>Porcentaje de personas privadas por rezago escolar</t>
  </si>
  <si>
    <t>Es para todas las personas, no solo para el rango de los 13 a 17 años; también se podrían usar como proxy indicadores de tasa de deserción o repitencia.</t>
  </si>
  <si>
    <t>rezago_escolar_13-17_1</t>
  </si>
  <si>
    <t>Rezago escolar de 13 a 17 años por quintil de ingreso (%) - quintil 1</t>
  </si>
  <si>
    <t>rezago_escolar_13-17_2</t>
  </si>
  <si>
    <t>Rezago escolar de 13 a 17 años por quintil de ingreso (%) - quintil 2</t>
  </si>
  <si>
    <t>rezago_escolar_13-17_3</t>
  </si>
  <si>
    <t>Rezago escolar de 13 a 17 años por quintil de ingreso (%) - quintil 3</t>
  </si>
  <si>
    <t>rezago_escolar_13-17_4</t>
  </si>
  <si>
    <t>Rezago escolar de 13 a 17 años por quintil de ingreso (%) - quintil 4</t>
  </si>
  <si>
    <t>rezago_escolar_13-17_5</t>
  </si>
  <si>
    <t>Rezago escolar de 13 a 17 años por quintil de ingreso (%) - quintil 5</t>
  </si>
  <si>
    <t>tamano_clase_sec_med</t>
  </si>
  <si>
    <t>Tamaño de clase en secundaria y media</t>
  </si>
  <si>
    <t>desempleo e inactividad</t>
  </si>
  <si>
    <t>ninis_adulto</t>
  </si>
  <si>
    <t>Porcentaje de adultos que no estudian, ni trabajan (%)</t>
  </si>
  <si>
    <t>2010-2021</t>
  </si>
  <si>
    <t>Porcentaje de personas que no estudian, ni trabajan (%)</t>
  </si>
  <si>
    <t>ninis_joven</t>
  </si>
  <si>
    <t>Porcentaje de jóvenes que no estudian, ni trabajan (%)</t>
  </si>
  <si>
    <t>- Jóvenes hombres entre 15 y 28 años que no estudian ni se encuentran ocupados
- Jóvenes mujeres entre 15 y 28 años que no estudian ni se encuentran ocupados</t>
  </si>
  <si>
    <t>tasa_desempleo_joven</t>
  </si>
  <si>
    <t>Tasa de desempleo entre jóvenes (%)</t>
  </si>
  <si>
    <t>tasa_part_joven</t>
  </si>
  <si>
    <t>Tasa global de participación entre jóvenes (%)</t>
  </si>
  <si>
    <t>educación superior</t>
  </si>
  <si>
    <t>educ_superior</t>
  </si>
  <si>
    <t>Jóvenes de 18 a 28 años que han asistido a una institución de educación superior (%)</t>
  </si>
  <si>
    <t>Un proxy podría ser la 'Tasa bruta de escolaridad en educación superior', pero esta solo cobijaría al rango de población que tenía entre 17 y 21 años en el momento en que se realizó la medición.</t>
  </si>
  <si>
    <t>mujer_secund_super_educ</t>
  </si>
  <si>
    <t>Mujeres con educación secundaria o superior</t>
  </si>
  <si>
    <t>tasa_formal_joven</t>
  </si>
  <si>
    <t>Tasa de formalidad entre jóvenes (%)</t>
  </si>
  <si>
    <t>tasa_informal_joven</t>
  </si>
  <si>
    <t>Tasa de informalidad entre jóvenes (%)</t>
  </si>
  <si>
    <t>fecundidad</t>
  </si>
  <si>
    <t>anticonceptivo_algun</t>
  </si>
  <si>
    <t>Uso algún metodo anticonceptivo</t>
  </si>
  <si>
    <t>region</t>
  </si>
  <si>
    <t>1986 - 2015</t>
  </si>
  <si>
    <t>anticonceptivo_modern</t>
  </si>
  <si>
    <t>Método de anticonceptivo moderno</t>
  </si>
  <si>
    <t>dda_planif_mod_satis</t>
  </si>
  <si>
    <t>Demanda de planificación familiar satisfecha con métodos modernos</t>
  </si>
  <si>
    <t>edad_prom_matrimonio</t>
  </si>
  <si>
    <t>Edad promedio del primer matrimonio</t>
  </si>
  <si>
    <t>edad_prom_sex</t>
  </si>
  <si>
    <t>Edad promedio del primer encuentro sexual de mujeres entre 15 y 49 años</t>
  </si>
  <si>
    <t>fertilidad_tres_ant</t>
  </si>
  <si>
    <t>Tasa de fertilidad últimos tres años en mujeres de 15 a 49 años</t>
  </si>
  <si>
    <t>neces_inst_planificacion</t>
  </si>
  <si>
    <t>Necesidad de planificación insatisfecha</t>
  </si>
  <si>
    <t>total_dda_planificacion</t>
  </si>
  <si>
    <t>Demanda de métodos de planificación familiar</t>
  </si>
  <si>
    <t>tradicional_metodo</t>
  </si>
  <si>
    <t>Uso de algún método tradicional</t>
  </si>
  <si>
    <t>fecundidad adolescente</t>
  </si>
  <si>
    <t>fecundidad_joven</t>
  </si>
  <si>
    <t>Tasa de fecundidad de mujeres jóvenes</t>
  </si>
  <si>
    <t>inglab_p25_joven</t>
  </si>
  <si>
    <t>Percentil 25 del ingreso laboral de los jóvenes (Millones de pesos)</t>
  </si>
  <si>
    <t>inglab_p50_joven</t>
  </si>
  <si>
    <t>Percentil 50 del ingreso laboral de los jóvenes (Millones de pesos)</t>
  </si>
  <si>
    <t>inglab_p75_joven</t>
  </si>
  <si>
    <t>Percentil 75 del ingreso laboral de los jóvenes (Millones de pesos)</t>
  </si>
  <si>
    <t>vejez</t>
  </si>
  <si>
    <t>enfermedades no transmisibles y obesidad</t>
  </si>
  <si>
    <t>defunciones_ent</t>
  </si>
  <si>
    <t>Defunciones por enfermedades no transmisibles</t>
  </si>
  <si>
    <t>dpto_causa</t>
  </si>
  <si>
    <t>defunciones_prematuras</t>
  </si>
  <si>
    <t>Defunciones prematuras</t>
  </si>
  <si>
    <t>Dimensión nueva (dummy: 1/0)</t>
  </si>
  <si>
    <t>Nombre indicador</t>
  </si>
  <si>
    <t>Puntaje promedio en el examen Saber 11</t>
  </si>
  <si>
    <t>2022 - 2023</t>
  </si>
  <si>
    <t>Tasa de inmigración</t>
  </si>
  <si>
    <t>INDICADORES ECV 2023 MUNICIPIOS / Hoja: "DEMOGRAFIA"</t>
  </si>
  <si>
    <t>Esta calculada para la población en general, para adultos mayores, población jóven, hombres y mujeres</t>
  </si>
  <si>
    <t>Tasa de emigración</t>
  </si>
  <si>
    <t>dependencia económica</t>
  </si>
  <si>
    <t>Índice de dependencia económica</t>
  </si>
  <si>
    <t>Hemos identificado que dada la composición de los hogares y las proyecciones de cambio demográfico la dependencia económica de los hogares esta aumentando, podría ser interesante incluir este indicador</t>
  </si>
  <si>
    <t>Cobertura cajas de compensación</t>
  </si>
  <si>
    <t>Cajas de Compensación Familiar Comfenalco Antioquia y Comfama</t>
  </si>
  <si>
    <t>2021-2024</t>
  </si>
  <si>
    <t>Mensual</t>
  </si>
  <si>
    <t>AFILIADOS CAJAS POR MCPIO</t>
  </si>
  <si>
    <t>El cálculo se realiza tomando el número de personas afiliadas a alguna de las dos cajas de compensación familiar del departamento (Comfenalco Antioquia y Comfama) como proporción del total de personas en edad de trabajar. Cabe destacar que las afiliaciones registradas en esta base corresponden únicamente a empleados que cotizan al sistema de cajas de compensación familiar, excluyendo a los familiares que figuran como beneficiarios.</t>
  </si>
  <si>
    <t>inclusión financiera</t>
  </si>
  <si>
    <t>Número de corresponsales bancarios por municipio</t>
  </si>
  <si>
    <t>Banca de las oportunidades/Superintendencia Financiera de Colombia</t>
  </si>
  <si>
    <t>Inclusi_n_Financiera_20240722</t>
  </si>
  <si>
    <t>Nombre indicador codificado</t>
  </si>
  <si>
    <t>Rev</t>
  </si>
  <si>
    <t>Indicador</t>
  </si>
  <si>
    <t>Nombre indicador oficial</t>
  </si>
  <si>
    <t>Año BD</t>
  </si>
  <si>
    <t>Subido (Sí/No)</t>
  </si>
  <si>
    <t>na</t>
  </si>
  <si>
    <t>Luces Nocturnas</t>
  </si>
  <si>
    <t>Índice de inclusión financiera</t>
  </si>
  <si>
    <t xml:space="preserve">Este indicador no se calcula ni se tiene referencia de cómo se puede construir de manera correcta dentro de la base de datos. </t>
  </si>
  <si>
    <t>2017-2023</t>
  </si>
  <si>
    <t>Déficit cualitativo por municipio 2023 &amp; Déficit cuantitativo por municipio 2027</t>
  </si>
  <si>
    <t>Déficit cualitativo por municipio 2023 &amp; Déficit cuantitativo por municipio 2028</t>
  </si>
  <si>
    <t>Déficit cualitativo por municipio 2023 &amp; Déficit cuantitativo por municipio 2029</t>
  </si>
  <si>
    <t>Déficit cualitativo por municipio 2023 &amp; Déficit cuantitativo por municipio 2030</t>
  </si>
  <si>
    <t>Afectación de desastres naturales</t>
  </si>
  <si>
    <t>Eventos de desastres naturales registrados</t>
  </si>
  <si>
    <t>DAGRAN</t>
  </si>
  <si>
    <t>1903-2025</t>
  </si>
  <si>
    <t>20250612_Afectados_DN</t>
  </si>
  <si>
    <t>Perdida cobertura arborea</t>
  </si>
  <si>
    <t>Global Forest Watch</t>
  </si>
  <si>
    <t>Pérdida de cobertura árborea</t>
  </si>
  <si>
    <t>Calentamiento global</t>
  </si>
  <si>
    <t>Datos solicitados; de no recibirlos, dejar nota especificando la dificultad para incluir datos de este tema en Antioquia.</t>
  </si>
  <si>
    <t>Esta el insumo pero habría que hacer el cálculo del índice a nivel municipal "Para su cálculo se obtiene el cociente entre el conjunto de personas que se ubican por encima de 65 años y por debajo de 15 años, respecto a la población que se encuentra entre 15 y 65 años."</t>
  </si>
  <si>
    <t>Proporción de población NARP e indígena</t>
  </si>
  <si>
    <t>No existe una fuente de información confiable con este dato.</t>
  </si>
  <si>
    <t>Distribución de la población según área (rural, urbano)</t>
  </si>
  <si>
    <t>Porcentaje de población urbana</t>
  </si>
  <si>
    <t>Esta el insumo pero habría que filtrar por área geográfica el total general y cálcular el % de población total general en cabecera urbana a nivel municipal</t>
  </si>
  <si>
    <t>Porcentaje de población rural</t>
  </si>
  <si>
    <t>Esta el insumo pero habría que filtrar por área geográfica el total general y cálcular el % de población en cabecera urbana y el % de total general en centros poblados y rural disperso a nivel municipal</t>
  </si>
  <si>
    <t>Índice de Desempeño Integral</t>
  </si>
  <si>
    <t>2016-2022</t>
  </si>
  <si>
    <t>DATALAKE GESTION PUBLICA.xlsx</t>
  </si>
  <si>
    <t>Categorías del municipio</t>
  </si>
  <si>
    <t>Categoría 99 hace referencia a municipios de categotía especial.</t>
  </si>
  <si>
    <t>Percepción de seguridad en el municipio</t>
  </si>
  <si>
    <t>20250409 Seguridad, Convivencia y DDHH.xlsx</t>
  </si>
  <si>
    <t>Hoja "ECV_2023"</t>
  </si>
  <si>
    <t>Índice de victimización - Seguridad y convivencia</t>
  </si>
  <si>
    <t>Tasa de delitos - Seguridad y convivencia</t>
  </si>
  <si>
    <t>Hoja "ECV_2023"; El indicador considera el porcentaje de personas que indicaron haber sido víctimas de delitos como hurto, extorsión y violencia intrafamiliar</t>
  </si>
  <si>
    <t>Índice de riesgo de victimización - Vulneraciones y hechos victimizantes</t>
  </si>
  <si>
    <t>Índice de Riesgo de Victimización (IRV)</t>
  </si>
  <si>
    <t xml:space="preserve">Unidad para la Atención y Reparación Integral a las Víctimas (UARIV) </t>
  </si>
  <si>
    <t>Hoja "IRV_2023"; El Índice de Riesgo de Victimización es un indicador compuesto formulado por la Unidad para la Atención y Reparación Integral a las Víctimas (UARIV) y producto de un análisis de riesgo de violaciones a los Derechos Humanos e infracciones al Derecho Internacional Humanitario. Este índice se calcula a partir de un modelo estadístico multivariado y geoestadístico que articula y sintetiza la información relacionada con riesgo de violaciones a los derechos a la vida, libertad, integridad, seguridad y libre circulación. Para más detalles metodologicos consultar https://datospaz.unidadvictimas.gov.co/archivos/datosPaz/infografias/Documento-IRV-2023.pdf</t>
  </si>
  <si>
    <t>Incidencia de la violencia de género e intrafamiliar x 100.000 hab</t>
  </si>
  <si>
    <t>Incidencia de VCM VIF VSX</t>
  </si>
  <si>
    <t>SIVIGE con datos del SIVIGILA</t>
  </si>
  <si>
    <t>Hoja "VBG_2023"; Filtro: Edad == "General"</t>
  </si>
  <si>
    <t>Tasa de homicidios x 100.000 hab</t>
  </si>
  <si>
    <t>Tasa de homicidios</t>
  </si>
  <si>
    <t>SIEDCO - Policía Nacional</t>
  </si>
  <si>
    <t>Hoja "Homicidios_2024"</t>
  </si>
  <si>
    <t>Mortalidad por Enfermedad Diarreica Aguda (EDA)</t>
  </si>
  <si>
    <t>2005-2023</t>
  </si>
  <si>
    <t>DATOS SALUD (hoja: EDA &lt; 5AÑOS)</t>
  </si>
  <si>
    <t>Mortalidad infantil por desnutrición</t>
  </si>
  <si>
    <t>DATOS SALUD (hoja: DESNUTRICION &lt; 5AÑOS)</t>
  </si>
  <si>
    <t>Bajo peso al nacer</t>
  </si>
  <si>
    <t>DATOS SALUD (hoja: Peso)</t>
  </si>
  <si>
    <t>Desnutrición aguda en menores de 5 años</t>
  </si>
  <si>
    <t>DATOS SALUD (hoja: desnutri_aguda&lt;5 tasax100mil&lt;5)</t>
  </si>
  <si>
    <t>Madres con menos de 4 controles prenatales</t>
  </si>
  <si>
    <t>DATOS SALUD (hoja: Controles)</t>
  </si>
  <si>
    <t>Tasa de reclutamiento forzado de menores de 18 años</t>
  </si>
  <si>
    <t>Hoja "Vinculación de NNA_2020-2024"</t>
  </si>
  <si>
    <t>Tasa de embarazo infantil</t>
  </si>
  <si>
    <t>2006-2023</t>
  </si>
  <si>
    <t>DATOS SALUD (hoja: fecundidad 10-19)</t>
  </si>
  <si>
    <t>Tasa de embarazo adolescente</t>
  </si>
  <si>
    <t>Incidencia de la violencia de género e intrafamiliar en jóvenes (12-28 años) x 100.000 hab</t>
  </si>
  <si>
    <t>Incidencia de VCM VIF VSX en adolescentes y jóvenes (12 - 28 años)</t>
  </si>
  <si>
    <t>Hoja "VBG_2023"; Filtro: Edad == "Jóvenes (12-28 años)"</t>
  </si>
  <si>
    <t>Índice de vejez</t>
  </si>
  <si>
    <t>Esta el insumo pero habría que hacer el cálculo del índice municipal "Relación entre la población de 60 años y más y el total de la población por 100. La vejez fue establecida según los ciclos de vida establecidos por el Ministerio de Salud."</t>
  </si>
  <si>
    <t>Índice de envejecimiento</t>
  </si>
  <si>
    <t>Esta el insumo pero habría que hacer el cálculo del índice municipal "Cociente entre personas de 65 años y más con respecto a las personas menores de 15 años, multiplicado por 100"</t>
  </si>
  <si>
    <t>Número de camas x 1000 habitantes</t>
  </si>
  <si>
    <t>Diaria</t>
  </si>
  <si>
    <t>El indicador debe ser calculado con datos poblacionales del DANE</t>
  </si>
  <si>
    <t>Mortalidad por Infección Respiratoria Aguda (IRA)</t>
  </si>
  <si>
    <t>DATOS SALUD (hoja: IRA &lt; 5AÑOS)</t>
  </si>
  <si>
    <t>Enfermedades tropicales - Dengue</t>
  </si>
  <si>
    <t>2018-2023</t>
  </si>
  <si>
    <t>DATOS SALUD (hoja: enfermedades tropicales)</t>
  </si>
  <si>
    <t>Enfermedades tropicales - Malaria</t>
  </si>
  <si>
    <t>Enfermedades tropicales - Leishmaniasis</t>
  </si>
  <si>
    <t>Calidad educativa</t>
  </si>
  <si>
    <t>Número de empresas x 1000 hab</t>
  </si>
  <si>
    <t>DATALAKE DEyC.xlsx</t>
  </si>
  <si>
    <t>Tasa de informalidad</t>
  </si>
  <si>
    <t>INDICADORES ECV 2023 MUNICIPIOS.xlsx / Hoja: EMPLEO</t>
  </si>
  <si>
    <t>Nro. de corresponsales bancarios  x 1000 habitantes</t>
  </si>
  <si>
    <t>Este indicador es calculado con la población total.</t>
  </si>
  <si>
    <t>Microcréditos</t>
  </si>
  <si>
    <t>GINI - Hogares</t>
  </si>
  <si>
    <t>GINI - Laboral</t>
  </si>
  <si>
    <t>INDICADORES ECV 2023 MUNICIPIOS / Hoja: "GINI_LAB"</t>
  </si>
  <si>
    <t>Porcentaje de hogares monoparentales con jefatura femenina</t>
  </si>
  <si>
    <t>Proyección - 2025</t>
  </si>
  <si>
    <t>Índice Desempeño Fiscal</t>
  </si>
  <si>
    <t>INDICADORES ECV 2023 MUNICIPIOS / Hoja: "INSEGURIDAD ALIMENTARIA"</t>
  </si>
  <si>
    <t>Esta el indicador por nivel de inseguridad alimentaria (leve, moderada y severa), normalmente se considera que un hogar esta en inseguridad alimentaria si tiene moderada o severa. También estan calculados los niveles de inseguridad alimentaria para hogares con menores de 18 años y con menores de 5 años</t>
  </si>
  <si>
    <t>Conectividad  (acceso a Internet)</t>
  </si>
  <si>
    <t xml:space="preserve">Índice de Riesgo de Calidad del Agua (IRCA) rural </t>
  </si>
  <si>
    <t>Todos los indicadores que se agrupan aquí están presentes en los dos archivos anteriormente mencionados, con distinción urbano y rural, además de número total y porcentaje de viviendas por municipio</t>
  </si>
  <si>
    <t>Índice de Riesgo de Calidad del Agua (IRCA) urbano</t>
  </si>
  <si>
    <t>Indice de riesgo de calidad del agua (IRCA) 2023</t>
  </si>
  <si>
    <t>El IRCA esta disponible desde 2007 hasta 2024 en este Power BI del SIVICAP: https://app.powerbi.com/view?r=eyJrIjoiNjY4MmVmNWEtNjNkNS00YWE0LTk4YWItYzE3ZWRkY2VkMzQyIiwidCI6ImE2MmQ2YzdiLTlmNTktNDQ2OS05MzU5LTM1MzcxNDc1OTRiYiIsImMiOjR9&amp;pageName=ReportSection0aac771691325bb3e001 Sin embargo, los datos exportables a Excel están hasta 2023 y fueron extraidos del siguiente portal: https://www.datos.gov.co/Salud-y-Protecci-n-Social/Calidad-del-Agua-para-Consumo-Humano-en-Colombia/nxt2-39c3/data_preview</t>
  </si>
  <si>
    <t>Riesgo al cambio climatico</t>
  </si>
  <si>
    <t>20250513 Riesgo al Cambio climático - 2017</t>
  </si>
  <si>
    <t>Disponible en: https://visualizador.ideam.gov.co/GEOVISOR_IDEAM/?page=Geovisor---IDEAM</t>
  </si>
  <si>
    <t>Jóvenes que no estudian ni se encuentran ocupados</t>
  </si>
  <si>
    <t>Métodos anticonceptivos</t>
  </si>
  <si>
    <t>Antes hacia parte de juventud pero no fue posible encontrar los datos con la desagregación requerida</t>
  </si>
  <si>
    <t>Proporción de población campesina (autorreconocimiento)</t>
  </si>
  <si>
    <t>Pobreza extrema</t>
  </si>
  <si>
    <t>Índice de Pobreza Multidimensional (IPM)</t>
  </si>
  <si>
    <t>Pobreza monetaria</t>
  </si>
  <si>
    <t>Necesidades Básicas Insatisfechas (NBI)</t>
  </si>
  <si>
    <t>Afiliación a pensión según sexo</t>
  </si>
  <si>
    <t>Afiliación a seguridad social según sexo</t>
  </si>
  <si>
    <t>Tasa de natalidad</t>
  </si>
  <si>
    <t xml:space="preserve">T_B_N
</t>
  </si>
  <si>
    <t>NATALIDAD</t>
  </si>
  <si>
    <t>Tasa de cobertura en educación superior</t>
  </si>
  <si>
    <t>Hay que tener cuidado con la interpretación de este indicador debido a que no refleja exactamente el acceso a educación superior de los habitantes de un municipio, sino más bien la oferta que hay un municipio, que puede beneficiar también a los habitantes de otros municipios aledaños. En este caso, sugeriría conservar únicamente la tasa de tránsito inmediato a educación superior.</t>
  </si>
  <si>
    <t>Tasa de cobertura en media</t>
  </si>
  <si>
    <t>Tasa de cobertura en primaria</t>
  </si>
  <si>
    <t>Tasa de cobertura en secundaria</t>
  </si>
  <si>
    <t>Tasa de cobertura en preescolar</t>
  </si>
  <si>
    <t>Tasa de desempleo según sexo (brecha)</t>
  </si>
  <si>
    <t>Tasa de deserción en media</t>
  </si>
  <si>
    <t>Tasa de deserción en primaria</t>
  </si>
  <si>
    <t>Tasa de deserción en secundaria</t>
  </si>
  <si>
    <t>Tasa de deserción en preescolar</t>
  </si>
  <si>
    <t>Participación laboral de las mujeres</t>
  </si>
  <si>
    <t>Creacion neta de empresas</t>
  </si>
  <si>
    <t>Tasa de repitencia en preescolar</t>
  </si>
  <si>
    <t>Revisar bien este indicador, no tienen mucha variabilidad y para algunos municipios tiene una escala extraña. Puede ser mejor prescindir de él.</t>
  </si>
  <si>
    <t>Acceso a educación terciaria</t>
  </si>
  <si>
    <t>Valor agregado municipal</t>
  </si>
  <si>
    <t>Complejidad de la actividad económica</t>
  </si>
  <si>
    <t>Responsable</t>
  </si>
  <si>
    <t>EAFIT</t>
  </si>
  <si>
    <t>x</t>
  </si>
  <si>
    <t>Indicador del que se desprende</t>
  </si>
  <si>
    <t>Indicador adicional</t>
  </si>
  <si>
    <t>Archivos</t>
  </si>
  <si>
    <t>Estado</t>
  </si>
  <si>
    <t>ROUND 1</t>
  </si>
  <si>
    <t>intento_suicidio</t>
  </si>
  <si>
    <t>Listo</t>
  </si>
  <si>
    <t>suicidio</t>
  </si>
  <si>
    <t>DATALAKE GESTION PUBLICA</t>
  </si>
  <si>
    <t>DATOS SALUD</t>
  </si>
  <si>
    <t>Déficit cualitativo por municipio 2023 &amp; Déficit cuantitativo por municipio 2023</t>
  </si>
  <si>
    <t>INDICADORES ECV 2023 MUNICIPIOS</t>
  </si>
  <si>
    <t>Alejo/Yeison</t>
  </si>
  <si>
    <t>ROUND 2</t>
  </si>
  <si>
    <t>Desastres 2024</t>
  </si>
  <si>
    <t>Perdida cobertura arborea en Antioquia 2001-2023</t>
  </si>
  <si>
    <t>Etiquetas de fila</t>
  </si>
  <si>
    <t>Count of var_id</t>
  </si>
  <si>
    <t>Total general</t>
  </si>
  <si>
    <t xml:space="preserve">Índice de riesgo de la calidad del agua para consumo humano </t>
  </si>
  <si>
    <t>Índice de riesgo de la calidad del agua para consumo humano  - Rural</t>
  </si>
  <si>
    <t>Índice de riesgo de la calidad del agua para consumo humano  - Urbano</t>
  </si>
  <si>
    <t>Infancia y Niñez</t>
  </si>
  <si>
    <t>Cambio climatico</t>
  </si>
  <si>
    <t>percepcion_seguridad</t>
  </si>
  <si>
    <t>vpc_pri</t>
  </si>
  <si>
    <t>vpc_sec</t>
  </si>
  <si>
    <t>vpc_ter</t>
  </si>
  <si>
    <t>vpc_total</t>
  </si>
  <si>
    <t>vbg</t>
  </si>
  <si>
    <t>vbg_adolescentes</t>
  </si>
  <si>
    <t>vbg_jovenes</t>
  </si>
  <si>
    <t>ts_15_29</t>
  </si>
  <si>
    <t>ts_15_64</t>
  </si>
  <si>
    <t>ts_30_59</t>
  </si>
  <si>
    <t>ts_hombres</t>
  </si>
  <si>
    <t>ts_mujeres</t>
  </si>
  <si>
    <t>ts_total</t>
  </si>
  <si>
    <t>tis_15_29</t>
  </si>
  <si>
    <t>tis_15_64</t>
  </si>
  <si>
    <t>tis_30_59</t>
  </si>
  <si>
    <t>tis_hombres</t>
  </si>
  <si>
    <t>tis_mujeres</t>
  </si>
  <si>
    <t>tis_total</t>
  </si>
  <si>
    <t>t_b_n</t>
  </si>
  <si>
    <t>pu_v_h_60_85</t>
  </si>
  <si>
    <t>pu_v_m_60_85</t>
  </si>
  <si>
    <t>pu_v_t_60_85</t>
  </si>
  <si>
    <t>pu_ad_h_29_59</t>
  </si>
  <si>
    <t>pu_ad_m_29_59</t>
  </si>
  <si>
    <t>pu_ad_t_29_59</t>
  </si>
  <si>
    <t>pu_h</t>
  </si>
  <si>
    <t>pu_inf_h_0_11</t>
  </si>
  <si>
    <t>pu_inf_m_0_11</t>
  </si>
  <si>
    <t>pu_inf_t_0_11</t>
  </si>
  <si>
    <t>pu_j_h_12_28</t>
  </si>
  <si>
    <t>pu_j_m_12_28</t>
  </si>
  <si>
    <t>pu_j_t_12_28</t>
  </si>
  <si>
    <t>pu_m</t>
  </si>
  <si>
    <t>pu_t</t>
  </si>
  <si>
    <t>pr_ad_h_29_59</t>
  </si>
  <si>
    <t>pr_ad_m_29_59</t>
  </si>
  <si>
    <t>pr_ad_t_29_59</t>
  </si>
  <si>
    <t>pr_h</t>
  </si>
  <si>
    <t>pr_inf_h_0_11</t>
  </si>
  <si>
    <t>pr_inf_m_0_11</t>
  </si>
  <si>
    <t>pr_inf_t_0_11</t>
  </si>
  <si>
    <t>pr_j_h_12_28</t>
  </si>
  <si>
    <t>pr_j_m_12_28</t>
  </si>
  <si>
    <t>pr_j_t_12_28</t>
  </si>
  <si>
    <t>pr_m</t>
  </si>
  <si>
    <t>pr_t</t>
  </si>
  <si>
    <t>pr_v_h_60_85</t>
  </si>
  <si>
    <t>pr_v_m_60_85</t>
  </si>
  <si>
    <t>pr_v_t_60_85</t>
  </si>
  <si>
    <t>p_ad_h_29_59</t>
  </si>
  <si>
    <t>p_ad_h_29_59_c</t>
  </si>
  <si>
    <t>p_ad_h_29_59_r</t>
  </si>
  <si>
    <t>p_ad_m_29_59</t>
  </si>
  <si>
    <t>p_ad_m_29_59_c</t>
  </si>
  <si>
    <t>p_ad_m_29_59_r</t>
  </si>
  <si>
    <t>p_ad_t_29_59</t>
  </si>
  <si>
    <t>p_ad_t_29_59_c</t>
  </si>
  <si>
    <t>p_ad_t_29_59_r</t>
  </si>
  <si>
    <t>p_h</t>
  </si>
  <si>
    <t>p_h_c</t>
  </si>
  <si>
    <t>p_h_r</t>
  </si>
  <si>
    <t>p_inf_h_0_11</t>
  </si>
  <si>
    <t>p_inf_h_0_11_c</t>
  </si>
  <si>
    <t>p_inf_h_0_11_r</t>
  </si>
  <si>
    <t>p_inf_m_0_11</t>
  </si>
  <si>
    <t>p_inf_m_0_11_c</t>
  </si>
  <si>
    <t>p_inf_m_0_11_r</t>
  </si>
  <si>
    <t>p_inf_t_0_11</t>
  </si>
  <si>
    <t>p_inf_t_0_11_c</t>
  </si>
  <si>
    <t>p_inf_t_0_11_r</t>
  </si>
  <si>
    <t>p_j_h_12_28</t>
  </si>
  <si>
    <t>p_j_h_12_28_c</t>
  </si>
  <si>
    <t>p_j_h_12_28_r</t>
  </si>
  <si>
    <t>p_j_m_12_28</t>
  </si>
  <si>
    <t>p_j_m_12_28_c</t>
  </si>
  <si>
    <t>p_j_m_12_28_r</t>
  </si>
  <si>
    <t>p_j_t_12_28</t>
  </si>
  <si>
    <t>p_j_t_12_28_c</t>
  </si>
  <si>
    <t>p_j_t_12_28_r</t>
  </si>
  <si>
    <t>p_m</t>
  </si>
  <si>
    <t>p_m_anticonceptivos</t>
  </si>
  <si>
    <t>p_m_c</t>
  </si>
  <si>
    <t>p_m_r</t>
  </si>
  <si>
    <t>p_t</t>
  </si>
  <si>
    <t>p_t_c</t>
  </si>
  <si>
    <t>p_t_r</t>
  </si>
  <si>
    <t>p_v_h_60_85</t>
  </si>
  <si>
    <t>p_v_h_60_85_c</t>
  </si>
  <si>
    <t>p_v_h_60_85_r</t>
  </si>
  <si>
    <t>p_v_m_60_85</t>
  </si>
  <si>
    <t>p_v_m_60_85_c</t>
  </si>
  <si>
    <t>p_v_m_60_85_r</t>
  </si>
  <si>
    <t>p_v_t_60_85</t>
  </si>
  <si>
    <t>p_v_t_60_85_c</t>
  </si>
  <si>
    <t>p_v_t_60_85_r</t>
  </si>
  <si>
    <t>mortalidad_desnutricion</t>
  </si>
  <si>
    <t>irv</t>
  </si>
  <si>
    <t>ircc</t>
  </si>
  <si>
    <t>irca</t>
  </si>
  <si>
    <t>ircarural</t>
  </si>
  <si>
    <t>ircarural_dec</t>
  </si>
  <si>
    <t>ircarural_res</t>
  </si>
  <si>
    <t>ircaurbano</t>
  </si>
  <si>
    <t>ircaurbano_dec</t>
  </si>
  <si>
    <t>ircaurbano_res</t>
  </si>
  <si>
    <t>ira</t>
  </si>
  <si>
    <t>idv_pri</t>
  </si>
  <si>
    <t>idv_sec</t>
  </si>
  <si>
    <t>idv_ter</t>
  </si>
  <si>
    <t>idv_total</t>
  </si>
  <si>
    <t>ide_h</t>
  </si>
  <si>
    <t>ide_h_c</t>
  </si>
  <si>
    <t>ide_h_r</t>
  </si>
  <si>
    <t>ide_m</t>
  </si>
  <si>
    <t>ide_m_c</t>
  </si>
  <si>
    <t>ide_m_r</t>
  </si>
  <si>
    <t>ide_t</t>
  </si>
  <si>
    <t>ide_t_c</t>
  </si>
  <si>
    <t>ide_t_r</t>
  </si>
  <si>
    <t>i_enve_h</t>
  </si>
  <si>
    <t>i_enve_h_c</t>
  </si>
  <si>
    <t>i_enve_h_r</t>
  </si>
  <si>
    <t>i_enve_m</t>
  </si>
  <si>
    <t>i_enve_m_c</t>
  </si>
  <si>
    <t>i_enve_m_r</t>
  </si>
  <si>
    <t>i_enve_t</t>
  </si>
  <si>
    <t>i_enve_t_r</t>
  </si>
  <si>
    <t>fecundidad_ninas</t>
  </si>
  <si>
    <t>desnutricion_aguda</t>
  </si>
  <si>
    <t>poblacion_2023</t>
  </si>
  <si>
    <t>i_enve_c_t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</si>
</sst>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0"/>
      <name val="Segoe UI"/>
      <family val="2"/>
    </font>
    <font>
      <u/>
      <sz val="10"/>
      <color theme="1"/>
      <name val="Segoe U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quotePrefix="1" applyFont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7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8B4E0F4D-A3A2-4723-9D39-2B737E1EE46A}">
    <Anchor>
      <Comment id="{9985BEF2-B5B7-49FE-97CD-36E0FA9735F2}"/>
    </Anchor>
    <History>
      <Event time="2025-04-07T22:59:17.48" id="{F9701A9C-A412-4B62-9AB8-6596CF1C5E96}">
        <Attribution userId="S::aarenas@proantioquia.org.co::6448b5be-ed6b-46fb-92bf-8679705b766a" userName="Alejandro Arenas Alzate" userProvider="AD"/>
        <Anchor>
          <Comment id="{9985BEF2-B5B7-49FE-97CD-36E0FA9735F2}"/>
        </Anchor>
        <Create/>
      </Event>
      <Event time="2025-04-07T22:59:17.48" id="{ED44461D-BB28-487F-8EDB-8986F683389D}">
        <Attribution userId="S::aarenas@proantioquia.org.co::6448b5be-ed6b-46fb-92bf-8679705b766a" userName="Alejandro Arenas Alzate" userProvider="AD"/>
        <Anchor>
          <Comment id="{9985BEF2-B5B7-49FE-97CD-36E0FA9735F2}"/>
        </Anchor>
        <Assign userId="S::fcarmona@proantioquia.org.co::42963891-c010-44fc-a060-1716e0326458" userName="Felipe  Carmona Saldarriaga" userProvider="AD"/>
      </Event>
      <Event time="2025-04-07T22:59:17.48" id="{4CE24AC5-37EB-4FE6-9912-A875DA043688}">
        <Attribution userId="S::aarenas@proantioquia.org.co::6448b5be-ed6b-46fb-92bf-8679705b766a" userName="Alejandro Arenas Alzate" userProvider="AD"/>
        <Anchor>
          <Comment id="{9985BEF2-B5B7-49FE-97CD-36E0FA9735F2}"/>
        </Anchor>
        <SetTitle title="@Felipe Carmona Saldarriaga Evaluar si tiene desagregación por zonas (rural, urbano) y si tiene suficiente variabilidad para segmentar los municipios"/>
      </Event>
      <Event time="2025-04-11T14:53:26.89" id="{1531CDEA-140C-468A-9F4A-EB46190005AE}">
        <Attribution userId="S::fcarmona@proantioquia.org.co::42963891-c010-44fc-a060-1716e0326458" userName="Felipe  Carmona Saldarriaga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67704864-4596-4C27-B15C-8DD7C9EADE4B}">
    <Anchor>
      <Comment id="{A9C9F461-A59E-4027-9CF8-4045F6E85D7C}"/>
    </Anchor>
    <History>
      <Event time="2025-04-07T22:59:17.48" id="{F9701A9C-A412-4B62-9AB8-6596CF1C5E96}">
        <Attribution userId="S::aarenas@proantioquia.org.co::6448b5be-ed6b-46fb-92bf-8679705b766a" userName="Alejandro Arenas Alzate" userProvider="AD"/>
        <Anchor>
          <Comment id="{A9C9F461-A59E-4027-9CF8-4045F6E85D7C}"/>
        </Anchor>
        <Create/>
      </Event>
      <Event time="2025-04-07T22:59:17.48" id="{ED44461D-BB28-487F-8EDB-8986F683389D}">
        <Attribution userId="S::aarenas@proantioquia.org.co::6448b5be-ed6b-46fb-92bf-8679705b766a" userName="Alejandro Arenas Alzate" userProvider="AD"/>
        <Anchor>
          <Comment id="{A9C9F461-A59E-4027-9CF8-4045F6E85D7C}"/>
        </Anchor>
        <Assign userId="S::fcarmona@proantioquia.org.co::42963891-c010-44fc-a060-1716e0326458" userName="Felipe  Carmona Saldarriaga" userProvider="AD"/>
      </Event>
      <Event time="2025-04-07T22:59:17.48" id="{4CE24AC5-37EB-4FE6-9912-A875DA043688}">
        <Attribution userId="S::aarenas@proantioquia.org.co::6448b5be-ed6b-46fb-92bf-8679705b766a" userName="Alejandro Arenas Alzate" userProvider="AD"/>
        <Anchor>
          <Comment id="{A9C9F461-A59E-4027-9CF8-4045F6E85D7C}"/>
        </Anchor>
        <SetTitle title="@Felipe Carmona Saldarriaga Evaluar si tiene desagregación por zonas (rural, urbano) y si tiene suficiente variabilidad para segmentar los municipios"/>
      </Event>
      <Event time="2025-04-11T14:53:26.89" id="{1531CDEA-140C-468A-9F4A-EB46190005AE}">
        <Attribution userId="S::fcarmona@proantioquia.org.co::42963891-c010-44fc-a060-1716e0326458" userName="Felipe  Carmona Saldarriaga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Felipe  Carmona Saldarriaga" id="{C930925A-415A-4194-AAF4-E5F755B1BA72}" userId="fcarmona@proantioquia.org.co" providerId="PeoplePicker"/>
  <person displayName="Alejandro Arenas Alzate" id="{A021C69C-3400-4578-9EE1-49976545986F}" userId="S::aarenas@proantioquia.org.co::6448b5be-ed6b-46fb-92bf-8679705b766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Arenas Alzate" refreshedDate="45737.816397800925" createdVersion="8" refreshedVersion="8" minRefreshableVersion="3" recordCount="181" xr:uid="{A4E27CFE-3875-49C4-A624-682DA543B29F}">
  <cacheSource type="worksheet">
    <worksheetSource ref="A1:Q182" sheet="Inventario variables"/>
  </cacheSource>
  <cacheFields count="17">
    <cacheField name="Tipo" numFmtId="0">
      <sharedItems/>
    </cacheField>
    <cacheField name="dimension" numFmtId="0">
      <sharedItems count="14">
        <s v="acceso a servicio de agua potable y saneamiento"/>
        <s v="cambio climático"/>
        <s v="características de las viviendas"/>
        <s v="covid"/>
        <s v="crecimiento económicoy productivo"/>
        <s v="desigualdad"/>
        <s v="estructura demográfica"/>
        <s v="ingreso familiar"/>
        <s v="migración"/>
        <s v="pobreza"/>
        <s v="adultez"/>
        <s v="infancia y niñez"/>
        <s v="juventud"/>
        <s v="vejez"/>
      </sharedItems>
    </cacheField>
    <cacheField name="subdimension" numFmtId="0">
      <sharedItems/>
    </cacheField>
    <cacheField name="var_id" numFmtId="0">
      <sharedItems containsSemiMixedTypes="0" containsString="0" containsNumber="1" containsInteger="1" minValue="3" maxValue="301"/>
    </cacheField>
    <cacheField name="variable" numFmtId="0">
      <sharedItems/>
    </cacheField>
    <cacheField name="var_etiqueta" numFmtId="0">
      <sharedItems count="124">
        <s v="Fuente de agua - acueducto público"/>
        <s v="Fuente de agua - aguatero"/>
        <s v="Fuente de agua - acueducto comunal"/>
        <s v="Fuente de agua - pozo bomba"/>
        <s v="Fuente de agua - pozo no bomba"/>
        <s v="Fuente de agua - agua lluvia"/>
        <s v="Fuente de agua - rio quebrada"/>
        <s v="Fuente de agua - agua botella o bolsa"/>
        <s v="Fuente de agua - pila pública"/>
        <s v="Fuente de agua - carrotanque"/>
        <s v="Saneamiento dentro de la vivienda"/>
        <s v="Saneamiento fuera de la vivienda"/>
        <s v="Área vulnerable al cambio climático"/>
        <s v="Material de la pared - ladrillo"/>
        <s v="Material de la pared - bahareque no revocado"/>
        <s v="Material de la pared - bahareque revocado"/>
        <s v="Material de la pared - guadua"/>
        <s v="Material de la pared - latas deshechables"/>
        <s v="Material de la pared - madera"/>
        <s v="Material de la pared - no hay"/>
        <s v="Material de la pared - prefabricado"/>
        <s v="Material de la pared - tapia"/>
        <s v="Material de la pared"/>
        <s v="Material del piso - alfombra"/>
        <s v="Material del piso - madera"/>
        <s v="Material del piso - marmol"/>
        <s v="Material del piso - baldosa"/>
        <s v="Material del piso - madera burda"/>
        <s v="Material del piso - cemento"/>
        <s v="Material del piso - tierra"/>
        <s v="Hacinamiento crítico (%)"/>
        <s v="Casos totales de Covid - 19"/>
        <s v="Fallecidos por Covid - 19"/>
        <s v="Porcentaje de fallecidos de Covid - 19"/>
        <s v="Índice de diversidad económica"/>
        <s v="Establecimientos"/>
        <s v="Personal promedio por empresa"/>
        <s v="Producción bruta"/>
        <s v="Valor agregado"/>
        <s v="Logaritmo de la intensidad lumínica promedio"/>
        <s v="Coeficiente de Gini"/>
        <s v="Población por grupo etario"/>
        <s v="Percentil 25 del ingreso laboral (Millones de pesos)"/>
        <s v="Percentil 50 del ingreso laboral (Millones de pesos)"/>
        <s v="Percentil 75 del ingreso laboral (Millones de pesos)"/>
        <s v="Saldos de entradas y salidas"/>
        <s v="Población por clase social (%) - Clase alta"/>
        <s v="Población por clase social (%) - Clase media"/>
        <s v="Población por clase social (%) - Pobres"/>
        <s v="Población por clase social (%) - Vulnerables"/>
        <s v="Pobreza extrema (%)"/>
        <s v="Pobreza monetaria (%)"/>
        <s v="IPM (%)"/>
        <s v="NBI (%)"/>
        <s v="Tasa de desempleo entre adultos (%)"/>
        <s v="Tasa de desempleo (%)"/>
        <s v="Tasa de formalidad entre adultos (%)"/>
        <s v="Tasa de formalidad (%)"/>
        <s v="Tasa de informalidad entre adultos (%)"/>
        <s v="Tasa de informalidad (%)"/>
        <s v="Diferencias en los años de educación promedio entre indígenas y no indígenas"/>
        <s v="Percentil 25 del ingreso laboral de los adultos (Millones de pesos)"/>
        <s v="Percentil 50 del ingreso laboral de los adultos (Millones de pesos)"/>
        <s v="Percentil 75 del ingreso laboral de los adultos (Millones de pesos)"/>
        <s v="Agresiones (homicidios)"/>
        <s v="Tasa global de participación entre adultos (%)"/>
        <s v="Tasa global de participación (%)"/>
        <s v="Adultos fallecidos por lesiones autoinfligidas intencionalmente (suicidios)"/>
        <s v="Lesiones autoinfligidas intencionalmente (suicidios)"/>
        <s v="Asistencia escolar de menores de 5 años (%)"/>
        <s v="Asistencia escolar de menores de 5 años por quintil de ingreso (%) - quintil 1"/>
        <s v="Asistencia escolar de menores de 5 años por quintil de ingreso (%) - quintil 2"/>
        <s v="Asistencia escolar de menores de 5 años por quintil de ingreso (%) - quintil 3"/>
        <s v="Asistencia escolar de menores de 5 años por quintil de ingreso (%) - quintil 4"/>
        <s v="Asistencia escolar de menores de 5 años por quintil de ingreso (%) - quintil 5"/>
        <s v="Asistencia escolar a educación primaria (%)"/>
        <s v="Asistencia escolar a educación primaria por quintil de ingreso (%) - quintil 1"/>
        <s v="Asistencia escolar a educación primaria por quintil de ingreso (%) - quintil 2"/>
        <s v="Asistencia escolar a educación primaria por quintil de ingreso (%) - quintil 3"/>
        <s v="Asistencia escolar a educación primaria por quintil de ingreso (%) - quintil 4"/>
        <s v="Asistencia escolar a educación primaria por quintil de ingreso (%) - quintil 5"/>
        <s v="Tamaño de clase en primaria"/>
        <s v="Tasa de mortalidad infantil en menores de 5 años para 10 años"/>
        <s v="Tasa de mortalidad infantil para 10 años"/>
        <s v="Nacidos vivos en 5 años (%)"/>
        <s v="Tasa de mortalidad infantil"/>
        <s v="Asistencia escolar de 13 a 17 años (%)"/>
        <s v="Asistencia escolar de 13 a 17 años por quintil de ingreso (%) - quintil 1"/>
        <s v="Asistencia escolar de 13 a 17 años por quintil de ingreso (%) - quintil 2"/>
        <s v="Asistencia escolar de 13 a 17 años por quintil de ingreso (%) - quintil 3"/>
        <s v="Asistencia escolar de 13 a 17 años por quintil de ingreso (%) - quintil 4"/>
        <s v="Asistencia escolar de 13 a 17 años por quintil de ingreso (%) - quintil 5"/>
        <s v="Diferencias en la terminación de educación secundaria entre indígenas y no indígenas"/>
        <s v="Rezago escolar de 13 a 17 años (%)"/>
        <s v="Rezago escolar de 13 a 17 años por quintil de ingreso (%) - quintil 1"/>
        <s v="Rezago escolar de 13 a 17 años por quintil de ingreso (%) - quintil 2"/>
        <s v="Rezago escolar de 13 a 17 años por quintil de ingreso (%) - quintil 3"/>
        <s v="Rezago escolar de 13 a 17 años por quintil de ingreso (%) - quintil 4"/>
        <s v="Rezago escolar de 13 a 17 años por quintil de ingreso (%) - quintil 5"/>
        <s v="Tamaño de clase en secundaria y media"/>
        <s v="Porcentaje de adultos que no estudian, ni trabajan (%)"/>
        <s v="Porcentaje de personas que no estudian, ni trabajan (%)"/>
        <s v="Porcentaje de jóvenes que no estudian, ni trabajan (%)"/>
        <s v="Tasa de desempleo entre jóvenes (%)"/>
        <s v="Tasa global de participación entre jóvenes (%)"/>
        <s v="Jóvenes de 18 a 28 años que han asistido a una institución de educación superior (%)"/>
        <s v="Mujeres con educación secundaria o superior"/>
        <s v="Tasa de formalidad entre jóvenes (%)"/>
        <s v="Tasa de informalidad entre jóvenes (%)"/>
        <s v="Uso algún metodo anticonceptivo"/>
        <s v="Método de anticonceptivo moderno"/>
        <s v="Demanda de planificación familiar satisfecha con métodos modernos"/>
        <s v="Edad promedio del primer matrimonio"/>
        <s v="Edad promedio del primer encuentro sexual de mujeres entre 15 y 49 años"/>
        <s v="Tasa de fertilidad últimos tres años en mujeres de 15 a 49 años"/>
        <s v="Necesidad de planificación insatisfecha"/>
        <s v="Demanda de métodos de planificación familiar"/>
        <s v="Uso de algún método tradicional"/>
        <s v="Tasa de fecundidad de mujeres jóvenes"/>
        <s v="Percentil 25 del ingreso laboral de los jóvenes (Millones de pesos)"/>
        <s v="Percentil 50 del ingreso laboral de los jóvenes (Millones de pesos)"/>
        <s v="Percentil 75 del ingreso laboral de los jóvenes (Millones de pesos)"/>
        <s v="Defunciones por enfermedades no transmisibles"/>
        <s v="Defunciones prematuras"/>
      </sharedItems>
    </cacheField>
    <cacheField name="id_nivel" numFmtId="0">
      <sharedItems/>
    </cacheField>
    <cacheField name="var_periodos" numFmtId="0">
      <sharedItems/>
    </cacheField>
    <cacheField name="Reponsable" numFmtId="0">
      <sharedItems count="7">
        <s v="Felipe"/>
        <s v="N/A"/>
        <s v="Miguel"/>
        <s v="Ona"/>
        <s v="Alejo"/>
        <s v="Yeison"/>
        <s v="Sara"/>
      </sharedItems>
    </cacheField>
    <cacheField name="Disponible a nivel municipal (Si/No)" numFmtId="0">
      <sharedItems containsBlank="1"/>
    </cacheField>
    <cacheField name="Nombre indicador equivalente" numFmtId="0">
      <sharedItems containsBlank="1"/>
    </cacheField>
    <cacheField name="Fuente" numFmtId="0">
      <sharedItems containsBlank="1"/>
    </cacheField>
    <cacheField name="Periodo" numFmtId="0">
      <sharedItems containsBlank="1"/>
    </cacheField>
    <cacheField name="Periodicidad" numFmtId="0">
      <sharedItems containsBlank="1"/>
    </cacheField>
    <cacheField name="Subido (Si/No)" numFmtId="0">
      <sharedItems containsBlank="1"/>
    </cacheField>
    <cacheField name="Nombre archivo" numFmtId="0">
      <sharedItems containsBlank="1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contexto"/>
    <x v="0"/>
    <s v=""/>
    <n v="129"/>
    <s v="fuente_agua_1"/>
    <x v="0"/>
    <s v="dpto"/>
    <s v="2010 - 2020"/>
    <x v="0"/>
    <m/>
    <m/>
    <m/>
    <m/>
    <m/>
    <m/>
    <m/>
    <m/>
  </r>
  <r>
    <s v="contexto"/>
    <x v="0"/>
    <s v=""/>
    <n v="131"/>
    <s v="fuente_agua_10"/>
    <x v="1"/>
    <s v="dpto"/>
    <s v="2010 - 2020"/>
    <x v="0"/>
    <m/>
    <m/>
    <m/>
    <m/>
    <m/>
    <m/>
    <m/>
    <m/>
  </r>
  <r>
    <s v="contexto"/>
    <x v="0"/>
    <s v=""/>
    <n v="133"/>
    <s v="fuente_agua_2"/>
    <x v="2"/>
    <s v="dpto"/>
    <s v="2010 - 2020"/>
    <x v="0"/>
    <m/>
    <m/>
    <m/>
    <m/>
    <m/>
    <m/>
    <m/>
    <m/>
  </r>
  <r>
    <s v="contexto"/>
    <x v="0"/>
    <s v=""/>
    <n v="135"/>
    <s v="fuente_agua_3"/>
    <x v="3"/>
    <s v="dpto"/>
    <s v="2010 - 2020"/>
    <x v="0"/>
    <m/>
    <m/>
    <m/>
    <m/>
    <m/>
    <m/>
    <m/>
    <m/>
  </r>
  <r>
    <s v="contexto"/>
    <x v="0"/>
    <s v=""/>
    <n v="137"/>
    <s v="fuente_agua_4"/>
    <x v="4"/>
    <s v="dpto"/>
    <s v="2010 - 2020"/>
    <x v="0"/>
    <m/>
    <m/>
    <m/>
    <m/>
    <m/>
    <m/>
    <m/>
    <m/>
  </r>
  <r>
    <s v="contexto"/>
    <x v="0"/>
    <s v=""/>
    <n v="139"/>
    <s v="fuente_agua_5"/>
    <x v="5"/>
    <s v="dpto"/>
    <s v="2010 - 2020"/>
    <x v="0"/>
    <m/>
    <m/>
    <m/>
    <m/>
    <m/>
    <m/>
    <m/>
    <m/>
  </r>
  <r>
    <s v="contexto"/>
    <x v="0"/>
    <s v=""/>
    <n v="141"/>
    <s v="fuente_agua_6"/>
    <x v="6"/>
    <s v="dpto"/>
    <s v="2010 - 2020"/>
    <x v="0"/>
    <m/>
    <m/>
    <m/>
    <m/>
    <m/>
    <m/>
    <m/>
    <m/>
  </r>
  <r>
    <s v="contexto"/>
    <x v="0"/>
    <s v=""/>
    <n v="143"/>
    <s v="fuente_agua_7"/>
    <x v="7"/>
    <s v="dpto"/>
    <s v="2010 - 2020"/>
    <x v="0"/>
    <m/>
    <m/>
    <m/>
    <m/>
    <m/>
    <m/>
    <m/>
    <m/>
  </r>
  <r>
    <s v="contexto"/>
    <x v="0"/>
    <s v=""/>
    <n v="145"/>
    <s v="fuente_agua_8"/>
    <x v="8"/>
    <s v="dpto"/>
    <s v="2010 - 2020"/>
    <x v="0"/>
    <m/>
    <m/>
    <m/>
    <m/>
    <m/>
    <m/>
    <m/>
    <m/>
  </r>
  <r>
    <s v="contexto"/>
    <x v="0"/>
    <s v=""/>
    <n v="147"/>
    <s v="fuente_agua_9"/>
    <x v="9"/>
    <s v="dpto"/>
    <s v="2010 - 2020"/>
    <x v="0"/>
    <m/>
    <m/>
    <m/>
    <m/>
    <m/>
    <m/>
    <m/>
    <m/>
  </r>
  <r>
    <s v="contexto"/>
    <x v="0"/>
    <s v=""/>
    <n v="193"/>
    <s v="saneamiento_adentro"/>
    <x v="10"/>
    <s v="dpto"/>
    <s v="2010 - 2020"/>
    <x v="0"/>
    <m/>
    <m/>
    <m/>
    <m/>
    <m/>
    <m/>
    <m/>
    <m/>
  </r>
  <r>
    <s v="contexto"/>
    <x v="0"/>
    <s v=""/>
    <n v="195"/>
    <s v="saneamiento_fuera"/>
    <x v="11"/>
    <s v="dpto"/>
    <s v="2010 - 2020"/>
    <x v="0"/>
    <m/>
    <m/>
    <m/>
    <m/>
    <m/>
    <m/>
    <m/>
    <m/>
  </r>
  <r>
    <s v="contexto"/>
    <x v="1"/>
    <s v=""/>
    <n v="299"/>
    <s v="area_vul_clim"/>
    <x v="12"/>
    <s v="dpto"/>
    <s v="2071-2100 (promedio periodo)"/>
    <x v="0"/>
    <m/>
    <m/>
    <m/>
    <m/>
    <m/>
    <m/>
    <m/>
    <m/>
  </r>
  <r>
    <s v="contexto"/>
    <x v="2"/>
    <s v="calidad materiales"/>
    <n v="150"/>
    <s v="material_par_1"/>
    <x v="13"/>
    <s v="dpto"/>
    <s v="2010 - 2020"/>
    <x v="0"/>
    <m/>
    <m/>
    <m/>
    <m/>
    <m/>
    <m/>
    <m/>
    <m/>
  </r>
  <r>
    <s v="contexto"/>
    <x v="2"/>
    <s v="calidad materiales"/>
    <n v="152"/>
    <s v="material_par_2"/>
    <x v="14"/>
    <s v="dpto"/>
    <s v="2010 - 2020"/>
    <x v="0"/>
    <m/>
    <m/>
    <m/>
    <m/>
    <m/>
    <m/>
    <m/>
    <m/>
  </r>
  <r>
    <s v="contexto"/>
    <x v="2"/>
    <s v="calidad materiales"/>
    <n v="154"/>
    <s v="material_par_3"/>
    <x v="15"/>
    <s v="dpto"/>
    <s v="2010 - 2020"/>
    <x v="0"/>
    <m/>
    <m/>
    <m/>
    <m/>
    <m/>
    <m/>
    <m/>
    <m/>
  </r>
  <r>
    <s v="contexto"/>
    <x v="2"/>
    <s v="calidad materiales"/>
    <n v="156"/>
    <s v="material_par_4"/>
    <x v="16"/>
    <s v="dpto"/>
    <s v="2010 - 2020"/>
    <x v="0"/>
    <m/>
    <m/>
    <m/>
    <m/>
    <m/>
    <m/>
    <m/>
    <m/>
  </r>
  <r>
    <s v="contexto"/>
    <x v="2"/>
    <s v="calidad materiales"/>
    <n v="158"/>
    <s v="material_par_5"/>
    <x v="17"/>
    <s v="dpto"/>
    <s v="2010 - 2020"/>
    <x v="0"/>
    <m/>
    <m/>
    <m/>
    <m/>
    <m/>
    <m/>
    <m/>
    <m/>
  </r>
  <r>
    <s v="contexto"/>
    <x v="2"/>
    <s v="calidad materiales"/>
    <n v="160"/>
    <s v="material_par_6"/>
    <x v="18"/>
    <s v="dpto"/>
    <s v="2010 - 2020"/>
    <x v="0"/>
    <m/>
    <m/>
    <m/>
    <m/>
    <m/>
    <m/>
    <m/>
    <m/>
  </r>
  <r>
    <s v="contexto"/>
    <x v="2"/>
    <s v="calidad materiales"/>
    <n v="162"/>
    <s v="material_par_7"/>
    <x v="19"/>
    <s v="dpto"/>
    <s v="2010 - 2020"/>
    <x v="0"/>
    <m/>
    <m/>
    <m/>
    <m/>
    <m/>
    <m/>
    <m/>
    <m/>
  </r>
  <r>
    <s v="contexto"/>
    <x v="2"/>
    <s v="calidad materiales"/>
    <n v="164"/>
    <s v="material_par_8"/>
    <x v="20"/>
    <s v="dpto"/>
    <s v="2010 - 2020"/>
    <x v="0"/>
    <m/>
    <m/>
    <m/>
    <m/>
    <m/>
    <m/>
    <m/>
    <m/>
  </r>
  <r>
    <s v="contexto"/>
    <x v="2"/>
    <s v="calidad materiales"/>
    <n v="166"/>
    <s v="material_par_9"/>
    <x v="21"/>
    <s v="dpto"/>
    <s v="2010 - 2020"/>
    <x v="0"/>
    <m/>
    <m/>
    <m/>
    <m/>
    <m/>
    <m/>
    <m/>
    <m/>
  </r>
  <r>
    <s v="contexto"/>
    <x v="2"/>
    <s v="calidad materiales"/>
    <n v="149"/>
    <s v="material_par"/>
    <x v="22"/>
    <s v="zona_tipo"/>
    <s v="2010 - 2020"/>
    <x v="0"/>
    <m/>
    <m/>
    <m/>
    <m/>
    <m/>
    <m/>
    <m/>
    <m/>
  </r>
  <r>
    <s v="contexto"/>
    <x v="2"/>
    <s v="calidad materiales"/>
    <n v="168"/>
    <s v="material_piso_1"/>
    <x v="23"/>
    <s v="zona"/>
    <s v="2010 - 2020"/>
    <x v="0"/>
    <m/>
    <m/>
    <m/>
    <m/>
    <m/>
    <m/>
    <m/>
    <m/>
  </r>
  <r>
    <s v="contexto"/>
    <x v="2"/>
    <s v="calidad materiales"/>
    <n v="169"/>
    <s v="material_piso_2"/>
    <x v="24"/>
    <s v="dpto"/>
    <s v="2010 - 2020"/>
    <x v="0"/>
    <m/>
    <m/>
    <m/>
    <m/>
    <m/>
    <m/>
    <m/>
    <m/>
  </r>
  <r>
    <s v="contexto"/>
    <x v="2"/>
    <s v="calidad materiales"/>
    <n v="171"/>
    <s v="material_piso_3"/>
    <x v="25"/>
    <s v="dpto"/>
    <s v="2010 - 2020"/>
    <x v="0"/>
    <m/>
    <m/>
    <m/>
    <m/>
    <m/>
    <m/>
    <m/>
    <m/>
  </r>
  <r>
    <s v="contexto"/>
    <x v="2"/>
    <s v="calidad materiales"/>
    <n v="173"/>
    <s v="material_piso_4"/>
    <x v="26"/>
    <s v="dpto"/>
    <s v="2010 - 2020"/>
    <x v="0"/>
    <m/>
    <m/>
    <m/>
    <m/>
    <m/>
    <m/>
    <m/>
    <m/>
  </r>
  <r>
    <s v="contexto"/>
    <x v="2"/>
    <s v="calidad materiales"/>
    <n v="175"/>
    <s v="material_piso_5"/>
    <x v="27"/>
    <s v="dpto"/>
    <s v="2010 - 2020"/>
    <x v="0"/>
    <m/>
    <m/>
    <m/>
    <m/>
    <m/>
    <m/>
    <m/>
    <m/>
  </r>
  <r>
    <s v="contexto"/>
    <x v="2"/>
    <s v="calidad materiales"/>
    <n v="177"/>
    <s v="material_piso_6"/>
    <x v="28"/>
    <s v="dpto"/>
    <s v="2010 - 2020"/>
    <x v="0"/>
    <m/>
    <m/>
    <m/>
    <m/>
    <m/>
    <m/>
    <m/>
    <m/>
  </r>
  <r>
    <s v="contexto"/>
    <x v="2"/>
    <s v="calidad materiales"/>
    <n v="179"/>
    <s v="material_piso_7"/>
    <x v="29"/>
    <s v="dpto"/>
    <s v="2010 - 2020"/>
    <x v="0"/>
    <m/>
    <m/>
    <m/>
    <m/>
    <m/>
    <m/>
    <m/>
    <m/>
  </r>
  <r>
    <s v="contexto"/>
    <x v="2"/>
    <s v="hacinamiento"/>
    <n v="265"/>
    <s v="hacinamiento"/>
    <x v="30"/>
    <s v="dpto"/>
    <s v="2010-2020"/>
    <x v="0"/>
    <m/>
    <m/>
    <m/>
    <m/>
    <m/>
    <m/>
    <m/>
    <m/>
  </r>
  <r>
    <s v="contexto"/>
    <x v="3"/>
    <s v="incidencia"/>
    <n v="232"/>
    <s v="casos"/>
    <x v="31"/>
    <s v="dpto"/>
    <s v="2020 - 2021"/>
    <x v="1"/>
    <m/>
    <m/>
    <m/>
    <m/>
    <m/>
    <m/>
    <m/>
    <m/>
  </r>
  <r>
    <s v="contexto"/>
    <x v="3"/>
    <s v="incidencia"/>
    <n v="234"/>
    <s v="fallecidos"/>
    <x v="32"/>
    <s v="dpto"/>
    <s v="2020 - 2021"/>
    <x v="1"/>
    <m/>
    <m/>
    <m/>
    <m/>
    <m/>
    <m/>
    <m/>
    <m/>
  </r>
  <r>
    <s v="contexto"/>
    <x v="3"/>
    <s v="incidencia"/>
    <n v="236"/>
    <s v="fallecidos_contagios"/>
    <x v="33"/>
    <s v="dpto"/>
    <s v="2020 - 2021"/>
    <x v="1"/>
    <m/>
    <m/>
    <m/>
    <m/>
    <m/>
    <m/>
    <m/>
    <m/>
  </r>
  <r>
    <s v="contexto"/>
    <x v="3"/>
    <s v="incidencia"/>
    <n v="235"/>
    <s v="fallecidos"/>
    <x v="32"/>
    <s v="dpto"/>
    <s v="2020 - 2021"/>
    <x v="1"/>
    <m/>
    <m/>
    <m/>
    <m/>
    <m/>
    <m/>
    <m/>
    <m/>
  </r>
  <r>
    <s v="contexto"/>
    <x v="4"/>
    <s v="indicadores convencionales"/>
    <n v="300"/>
    <s v="ind_div_econ"/>
    <x v="34"/>
    <s v="dpto"/>
    <s v="2005-2020"/>
    <x v="2"/>
    <m/>
    <m/>
    <m/>
    <m/>
    <m/>
    <m/>
    <m/>
    <m/>
  </r>
  <r>
    <s v="contexto"/>
    <x v="4"/>
    <s v="indicadores convencionales"/>
    <n v="217"/>
    <s v="establecimientos"/>
    <x v="35"/>
    <s v="dpto"/>
    <s v="1992 - 2019"/>
    <x v="2"/>
    <m/>
    <m/>
    <m/>
    <m/>
    <m/>
    <m/>
    <m/>
    <m/>
  </r>
  <r>
    <s v="contexto"/>
    <x v="4"/>
    <s v="indicadores convencionales"/>
    <n v="220"/>
    <s v="personal_prom"/>
    <x v="36"/>
    <s v="dpto"/>
    <s v="1992 - 2019"/>
    <x v="2"/>
    <m/>
    <m/>
    <m/>
    <m/>
    <m/>
    <m/>
    <m/>
    <m/>
  </r>
  <r>
    <s v="contexto"/>
    <x v="4"/>
    <s v="indicadores convencionales"/>
    <n v="223"/>
    <s v="produccion"/>
    <x v="37"/>
    <s v="dpto"/>
    <s v="1992 - 2019"/>
    <x v="2"/>
    <m/>
    <m/>
    <m/>
    <m/>
    <m/>
    <m/>
    <m/>
    <m/>
  </r>
  <r>
    <s v="contexto"/>
    <x v="4"/>
    <s v="indicadores convencionales"/>
    <n v="226"/>
    <s v="valor_agregado"/>
    <x v="38"/>
    <s v="dpto"/>
    <s v="1992 - 2019"/>
    <x v="2"/>
    <m/>
    <m/>
    <m/>
    <m/>
    <m/>
    <m/>
    <m/>
    <m/>
  </r>
  <r>
    <s v="contexto"/>
    <x v="4"/>
    <s v="indicadores no convencionales"/>
    <n v="301"/>
    <s v="log_luces_nocturnas"/>
    <x v="39"/>
    <s v="dpto"/>
    <s v="2012-2020"/>
    <x v="2"/>
    <m/>
    <m/>
    <m/>
    <m/>
    <m/>
    <m/>
    <m/>
    <m/>
  </r>
  <r>
    <s v="contexto"/>
    <x v="5"/>
    <s v="indicadores convencionales"/>
    <n v="254"/>
    <s v="gini"/>
    <x v="40"/>
    <s v="dpto"/>
    <s v="2002 - 2020"/>
    <x v="3"/>
    <m/>
    <m/>
    <m/>
    <m/>
    <m/>
    <m/>
    <m/>
    <m/>
  </r>
  <r>
    <s v="contexto"/>
    <x v="6"/>
    <s v=""/>
    <n v="277"/>
    <s v="poblacion_etaria"/>
    <x v="41"/>
    <s v="dpto_grupo"/>
    <s v="2018 y 2026"/>
    <x v="3"/>
    <s v="Si"/>
    <m/>
    <m/>
    <m/>
    <m/>
    <s v="Si"/>
    <s v="POBLACION MUNICIPAL"/>
    <m/>
  </r>
  <r>
    <s v="contexto"/>
    <x v="7"/>
    <s v="ingreso laboral"/>
    <n v="5"/>
    <s v="inglab_p25"/>
    <x v="42"/>
    <s v="nacional"/>
    <s v="2010 - 2020"/>
    <x v="2"/>
    <m/>
    <m/>
    <m/>
    <m/>
    <m/>
    <m/>
    <m/>
    <m/>
  </r>
  <r>
    <s v="contexto"/>
    <x v="7"/>
    <s v="ingreso laboral"/>
    <n v="3"/>
    <s v="inglab_p25"/>
    <x v="42"/>
    <s v="nacional_etnia"/>
    <s v="2010 - 2020"/>
    <x v="2"/>
    <m/>
    <m/>
    <m/>
    <m/>
    <m/>
    <m/>
    <m/>
    <m/>
  </r>
  <r>
    <s v="contexto"/>
    <x v="7"/>
    <s v="ingreso laboral"/>
    <n v="4"/>
    <s v="inglab_p25"/>
    <x v="42"/>
    <s v="nacional_gen"/>
    <s v="2010 - 2020"/>
    <x v="2"/>
    <m/>
    <m/>
    <m/>
    <m/>
    <m/>
    <m/>
    <m/>
    <m/>
  </r>
  <r>
    <s v="contexto"/>
    <x v="7"/>
    <s v="ingreso laboral"/>
    <n v="17"/>
    <s v="inglab_p50"/>
    <x v="43"/>
    <s v="nacional"/>
    <s v="2010 - 2020"/>
    <x v="2"/>
    <m/>
    <m/>
    <m/>
    <m/>
    <m/>
    <m/>
    <m/>
    <m/>
  </r>
  <r>
    <s v="contexto"/>
    <x v="7"/>
    <s v="ingreso laboral"/>
    <n v="15"/>
    <s v="inglab_p50"/>
    <x v="43"/>
    <s v="nacional_etnia"/>
    <s v="2010 - 2020"/>
    <x v="2"/>
    <m/>
    <m/>
    <m/>
    <m/>
    <m/>
    <m/>
    <m/>
    <m/>
  </r>
  <r>
    <s v="contexto"/>
    <x v="7"/>
    <s v="ingreso laboral"/>
    <n v="16"/>
    <s v="inglab_p50"/>
    <x v="43"/>
    <s v="nacional_gen"/>
    <s v="2010 - 2020"/>
    <x v="2"/>
    <m/>
    <m/>
    <m/>
    <m/>
    <m/>
    <m/>
    <m/>
    <m/>
  </r>
  <r>
    <s v="contexto"/>
    <x v="7"/>
    <s v="ingreso laboral"/>
    <n v="27"/>
    <s v="inglab_p75"/>
    <x v="44"/>
    <s v="nacional"/>
    <s v="2010 - 2020"/>
    <x v="2"/>
    <m/>
    <m/>
    <m/>
    <m/>
    <m/>
    <m/>
    <m/>
    <m/>
  </r>
  <r>
    <s v="contexto"/>
    <x v="7"/>
    <s v="ingreso laboral"/>
    <n v="25"/>
    <s v="inglab_p75"/>
    <x v="44"/>
    <s v="nacional_etnia"/>
    <s v="2010 - 2020"/>
    <x v="2"/>
    <m/>
    <m/>
    <m/>
    <m/>
    <m/>
    <m/>
    <m/>
    <m/>
  </r>
  <r>
    <s v="contexto"/>
    <x v="7"/>
    <s v="ingreso laboral"/>
    <n v="26"/>
    <s v="inglab_p75"/>
    <x v="44"/>
    <s v="nacional_gen"/>
    <s v="2010 - 2020"/>
    <x v="2"/>
    <m/>
    <m/>
    <m/>
    <m/>
    <m/>
    <m/>
    <m/>
    <m/>
  </r>
  <r>
    <s v="contexto"/>
    <x v="8"/>
    <s v=""/>
    <n v="240"/>
    <s v="saldo"/>
    <x v="45"/>
    <s v="nacional"/>
    <s v="2012 - 2019"/>
    <x v="3"/>
    <m/>
    <m/>
    <m/>
    <m/>
    <m/>
    <m/>
    <m/>
    <m/>
  </r>
  <r>
    <s v="contexto"/>
    <x v="8"/>
    <s v=""/>
    <n v="238"/>
    <s v="saldo"/>
    <x v="45"/>
    <s v="nacional_edad"/>
    <s v="2012 - 2019"/>
    <x v="3"/>
    <m/>
    <m/>
    <m/>
    <m/>
    <m/>
    <m/>
    <m/>
    <m/>
  </r>
  <r>
    <s v="contexto"/>
    <x v="8"/>
    <s v=""/>
    <n v="239"/>
    <s v="saldo"/>
    <x v="45"/>
    <s v="nacional_gen"/>
    <s v="2012 - 2019"/>
    <x v="3"/>
    <m/>
    <m/>
    <m/>
    <m/>
    <m/>
    <m/>
    <m/>
    <m/>
  </r>
  <r>
    <s v="contexto"/>
    <x v="8"/>
    <s v=""/>
    <n v="237"/>
    <s v="saldo"/>
    <x v="45"/>
    <s v="nacional_col_extr"/>
    <s v="2012 - 2019"/>
    <x v="3"/>
    <m/>
    <m/>
    <m/>
    <m/>
    <m/>
    <m/>
    <m/>
    <m/>
  </r>
  <r>
    <s v="contexto"/>
    <x v="9"/>
    <s v="pobreza monetaria"/>
    <n v="250"/>
    <s v="clase_social_4"/>
    <x v="46"/>
    <s v="ciudad"/>
    <s v="2012-2020"/>
    <x v="3"/>
    <m/>
    <m/>
    <m/>
    <m/>
    <m/>
    <m/>
    <m/>
    <m/>
  </r>
  <r>
    <s v="contexto"/>
    <x v="9"/>
    <s v="pobreza monetaria"/>
    <n v="247"/>
    <s v="clase_social_3"/>
    <x v="47"/>
    <s v="ciudad"/>
    <s v="2012-2020"/>
    <x v="3"/>
    <m/>
    <m/>
    <m/>
    <m/>
    <m/>
    <m/>
    <m/>
    <m/>
  </r>
  <r>
    <s v="contexto"/>
    <x v="9"/>
    <s v="pobreza monetaria"/>
    <n v="241"/>
    <s v="clase_social_1"/>
    <x v="48"/>
    <s v="ciudad"/>
    <s v="2012-2020"/>
    <x v="3"/>
    <m/>
    <m/>
    <m/>
    <m/>
    <m/>
    <m/>
    <m/>
    <m/>
  </r>
  <r>
    <s v="contexto"/>
    <x v="9"/>
    <s v="pobreza monetaria"/>
    <n v="244"/>
    <s v="clase_social_2"/>
    <x v="49"/>
    <s v="ciudad"/>
    <s v="2012-2020"/>
    <x v="3"/>
    <m/>
    <m/>
    <m/>
    <m/>
    <m/>
    <m/>
    <m/>
    <m/>
  </r>
  <r>
    <s v="contexto"/>
    <x v="9"/>
    <s v="pobreza monetaria"/>
    <n v="257"/>
    <s v="pobreza_extrema"/>
    <x v="50"/>
    <s v="ciudad"/>
    <s v="2012-2020"/>
    <x v="3"/>
    <m/>
    <m/>
    <m/>
    <m/>
    <m/>
    <m/>
    <m/>
    <m/>
  </r>
  <r>
    <s v="contexto"/>
    <x v="9"/>
    <s v="pobreza monetaria"/>
    <n v="261"/>
    <s v="pobreza_monetaria"/>
    <x v="51"/>
    <s v="ciudad"/>
    <s v="2012-2020"/>
    <x v="3"/>
    <m/>
    <m/>
    <m/>
    <m/>
    <m/>
    <m/>
    <m/>
    <m/>
  </r>
  <r>
    <s v="contexto"/>
    <x v="9"/>
    <s v="pobreza no monetaria"/>
    <n v="268"/>
    <s v="ipm"/>
    <x v="52"/>
    <s v="dpto"/>
    <s v="2010 - 2020"/>
    <x v="3"/>
    <m/>
    <m/>
    <m/>
    <m/>
    <m/>
    <m/>
    <m/>
    <m/>
  </r>
  <r>
    <s v="contexto"/>
    <x v="9"/>
    <s v="pobreza no monetaria"/>
    <n v="273"/>
    <s v="nbi"/>
    <x v="53"/>
    <s v="dpto"/>
    <s v="2018"/>
    <x v="3"/>
    <m/>
    <m/>
    <m/>
    <m/>
    <m/>
    <m/>
    <m/>
    <m/>
  </r>
  <r>
    <s v="contexto"/>
    <x v="9"/>
    <s v="pobreza no monetaria"/>
    <n v="272"/>
    <s v="nbi"/>
    <x v="53"/>
    <s v="dpto_etnia"/>
    <s v="2018"/>
    <x v="3"/>
    <m/>
    <m/>
    <m/>
    <m/>
    <m/>
    <m/>
    <m/>
    <m/>
  </r>
  <r>
    <s v="resultados"/>
    <x v="10"/>
    <s v="desempleo"/>
    <n v="53"/>
    <s v="tasa_desempleo_adulto"/>
    <x v="54"/>
    <s v="nacional"/>
    <s v="2010-2020"/>
    <x v="2"/>
    <m/>
    <m/>
    <m/>
    <m/>
    <m/>
    <m/>
    <m/>
    <m/>
  </r>
  <r>
    <s v="resultados"/>
    <x v="10"/>
    <s v="desempleo"/>
    <n v="51"/>
    <s v="tasa_desempleo_adulto"/>
    <x v="54"/>
    <s v="nacional_etnia"/>
    <s v="2010-2020"/>
    <x v="2"/>
    <m/>
    <m/>
    <m/>
    <m/>
    <m/>
    <m/>
    <m/>
    <m/>
  </r>
  <r>
    <s v="resultados"/>
    <x v="10"/>
    <s v="desempleo"/>
    <n v="52"/>
    <s v="tasa_desempleo_adulto"/>
    <x v="54"/>
    <s v="nacional_gen"/>
    <s v="2010-2020"/>
    <x v="2"/>
    <m/>
    <m/>
    <m/>
    <m/>
    <m/>
    <m/>
    <m/>
    <m/>
  </r>
  <r>
    <s v="resultados"/>
    <x v="10"/>
    <s v="desempleo"/>
    <n v="45"/>
    <s v="tasa_desempleo"/>
    <x v="55"/>
    <s v="ciudad"/>
    <s v="2010-2020"/>
    <x v="2"/>
    <m/>
    <m/>
    <m/>
    <m/>
    <m/>
    <m/>
    <m/>
    <m/>
  </r>
  <r>
    <s v="resultados"/>
    <x v="10"/>
    <s v="desempleo"/>
    <n v="43"/>
    <s v="tasa_desempleo"/>
    <x v="55"/>
    <s v="ciudad_etnia"/>
    <s v="2010-2020"/>
    <x v="2"/>
    <m/>
    <m/>
    <m/>
    <m/>
    <m/>
    <m/>
    <m/>
    <m/>
  </r>
  <r>
    <s v="resultados"/>
    <x v="10"/>
    <s v="desempleo"/>
    <n v="44"/>
    <s v="tasa_desempleo"/>
    <x v="55"/>
    <s v="ciudad_gen"/>
    <s v="2010-2020"/>
    <x v="2"/>
    <m/>
    <m/>
    <m/>
    <m/>
    <m/>
    <m/>
    <m/>
    <m/>
  </r>
  <r>
    <s v="resultados"/>
    <x v="10"/>
    <s v="empleo formal"/>
    <n v="63"/>
    <s v="tasa_formal_adulto"/>
    <x v="56"/>
    <s v="nacional"/>
    <s v="2010 - 2020"/>
    <x v="2"/>
    <m/>
    <m/>
    <m/>
    <m/>
    <m/>
    <m/>
    <m/>
    <m/>
  </r>
  <r>
    <s v="resultados"/>
    <x v="10"/>
    <s v="empleo formal"/>
    <n v="61"/>
    <s v="tasa_formal_adulto"/>
    <x v="56"/>
    <s v="nacional_etnia"/>
    <s v="2010 - 2020"/>
    <x v="2"/>
    <m/>
    <m/>
    <m/>
    <m/>
    <m/>
    <m/>
    <m/>
    <m/>
  </r>
  <r>
    <s v="resultados"/>
    <x v="10"/>
    <s v="empleo formal"/>
    <n v="62"/>
    <s v="tasa_formal_adulto"/>
    <x v="56"/>
    <s v="nacional_gen"/>
    <s v="2010 - 2020"/>
    <x v="2"/>
    <m/>
    <m/>
    <m/>
    <m/>
    <m/>
    <m/>
    <m/>
    <m/>
  </r>
  <r>
    <s v="resultados"/>
    <x v="10"/>
    <s v="empleo formal"/>
    <n v="60"/>
    <s v="tasa_formal"/>
    <x v="57"/>
    <s v="nacional"/>
    <s v="2010 - 2020"/>
    <x v="2"/>
    <m/>
    <m/>
    <m/>
    <m/>
    <m/>
    <m/>
    <m/>
    <m/>
  </r>
  <r>
    <s v="resultados"/>
    <x v="10"/>
    <s v="empleo formal"/>
    <n v="58"/>
    <s v="tasa_formal"/>
    <x v="57"/>
    <s v="nacional_etnia"/>
    <s v="2010 - 2020"/>
    <x v="2"/>
    <m/>
    <m/>
    <m/>
    <m/>
    <m/>
    <m/>
    <m/>
    <m/>
  </r>
  <r>
    <s v="resultados"/>
    <x v="10"/>
    <s v="empleo formal"/>
    <n v="59"/>
    <s v="tasa_formal"/>
    <x v="57"/>
    <s v="nacional_gen"/>
    <s v="2010 - 2020"/>
    <x v="2"/>
    <m/>
    <m/>
    <m/>
    <m/>
    <m/>
    <m/>
    <m/>
    <m/>
  </r>
  <r>
    <s v="resultados"/>
    <x v="10"/>
    <s v="empleo informal"/>
    <n v="73"/>
    <s v="tasa_informal_adulto"/>
    <x v="58"/>
    <s v="nacional"/>
    <s v="2010 - 2020"/>
    <x v="2"/>
    <m/>
    <m/>
    <m/>
    <m/>
    <m/>
    <m/>
    <m/>
    <m/>
  </r>
  <r>
    <s v="resultados"/>
    <x v="10"/>
    <s v="empleo informal"/>
    <n v="71"/>
    <s v="tasa_informal_adulto"/>
    <x v="58"/>
    <s v="nacional_etnia"/>
    <s v="2010 - 2020"/>
    <x v="2"/>
    <m/>
    <m/>
    <m/>
    <m/>
    <m/>
    <m/>
    <m/>
    <m/>
  </r>
  <r>
    <s v="resultados"/>
    <x v="10"/>
    <s v="empleo informal"/>
    <n v="72"/>
    <s v="tasa_informal_adulto"/>
    <x v="58"/>
    <s v="nacional_gen"/>
    <s v="2010 - 2020"/>
    <x v="2"/>
    <m/>
    <m/>
    <m/>
    <m/>
    <m/>
    <m/>
    <m/>
    <m/>
  </r>
  <r>
    <s v="resultados"/>
    <x v="10"/>
    <s v="empleo informal"/>
    <n v="70"/>
    <s v="tasa_informal"/>
    <x v="59"/>
    <s v="nacional"/>
    <s v="2010 - 2020"/>
    <x v="2"/>
    <m/>
    <m/>
    <m/>
    <m/>
    <m/>
    <m/>
    <m/>
    <m/>
  </r>
  <r>
    <s v="resultados"/>
    <x v="10"/>
    <s v="empleo informal"/>
    <n v="68"/>
    <s v="tasa_informal"/>
    <x v="59"/>
    <s v="nacional_etnia"/>
    <s v="2010 - 2020"/>
    <x v="2"/>
    <m/>
    <m/>
    <m/>
    <m/>
    <m/>
    <m/>
    <m/>
    <m/>
  </r>
  <r>
    <s v="resultados"/>
    <x v="10"/>
    <s v="empleo informal"/>
    <n v="69"/>
    <s v="tasa_informal"/>
    <x v="59"/>
    <s v="nacional_gen"/>
    <s v="2010 - 2020"/>
    <x v="2"/>
    <m/>
    <m/>
    <m/>
    <m/>
    <m/>
    <m/>
    <m/>
    <m/>
  </r>
  <r>
    <s v="resultados"/>
    <x v="10"/>
    <s v="escolaridad"/>
    <n v="123"/>
    <s v="dif_educ_ind"/>
    <x v="60"/>
    <s v="dpto"/>
    <s v="2010 - 2020"/>
    <x v="4"/>
    <s v="No"/>
    <m/>
    <m/>
    <m/>
    <m/>
    <m/>
    <m/>
    <m/>
  </r>
  <r>
    <s v="resultados"/>
    <x v="10"/>
    <s v="ingreso laboral"/>
    <n v="10"/>
    <s v="inglab_p25_adulto"/>
    <x v="61"/>
    <s v="nacional"/>
    <s v="2010 - 2020"/>
    <x v="2"/>
    <m/>
    <m/>
    <m/>
    <m/>
    <m/>
    <m/>
    <m/>
    <m/>
  </r>
  <r>
    <s v="resultados"/>
    <x v="10"/>
    <s v="ingreso laboral"/>
    <n v="8"/>
    <s v="inglab_p25_adulto"/>
    <x v="61"/>
    <s v="nacional_etnia"/>
    <s v="2010 - 2020"/>
    <x v="2"/>
    <m/>
    <m/>
    <m/>
    <m/>
    <m/>
    <m/>
    <m/>
    <m/>
  </r>
  <r>
    <s v="resultados"/>
    <x v="10"/>
    <s v="ingreso laboral"/>
    <n v="9"/>
    <s v="inglab_p25_adulto"/>
    <x v="61"/>
    <s v="nacional_gen"/>
    <s v="2010 - 2020"/>
    <x v="2"/>
    <m/>
    <m/>
    <m/>
    <m/>
    <m/>
    <m/>
    <m/>
    <m/>
  </r>
  <r>
    <s v="resultados"/>
    <x v="10"/>
    <s v="ingreso laboral"/>
    <n v="20"/>
    <s v="inglab_p50_adulto"/>
    <x v="62"/>
    <s v="nacional"/>
    <s v="2010 - 2020"/>
    <x v="2"/>
    <m/>
    <m/>
    <m/>
    <m/>
    <m/>
    <m/>
    <m/>
    <m/>
  </r>
  <r>
    <s v="resultados"/>
    <x v="10"/>
    <s v="ingreso laboral"/>
    <n v="18"/>
    <s v="inglab_p50_adulto"/>
    <x v="62"/>
    <s v="nacional_etnia"/>
    <s v="2010 - 2020"/>
    <x v="2"/>
    <m/>
    <m/>
    <m/>
    <m/>
    <m/>
    <m/>
    <m/>
    <m/>
  </r>
  <r>
    <s v="resultados"/>
    <x v="10"/>
    <s v="ingreso laboral"/>
    <n v="19"/>
    <s v="inglab_p50_adulto"/>
    <x v="62"/>
    <s v="nacional_gen"/>
    <s v="2010 - 2020"/>
    <x v="2"/>
    <m/>
    <m/>
    <m/>
    <m/>
    <m/>
    <m/>
    <m/>
    <m/>
  </r>
  <r>
    <s v="resultados"/>
    <x v="10"/>
    <s v="ingreso laboral"/>
    <n v="30"/>
    <s v="inglab_p75_adulto"/>
    <x v="63"/>
    <s v="nacional"/>
    <s v="2010 - 2020"/>
    <x v="2"/>
    <m/>
    <m/>
    <m/>
    <m/>
    <m/>
    <m/>
    <m/>
    <m/>
  </r>
  <r>
    <s v="resultados"/>
    <x v="10"/>
    <s v="ingreso laboral"/>
    <n v="28"/>
    <s v="inglab_p75_adulto"/>
    <x v="63"/>
    <s v="nacional_etnia"/>
    <s v="2010 - 2020"/>
    <x v="2"/>
    <m/>
    <m/>
    <m/>
    <m/>
    <m/>
    <m/>
    <m/>
    <m/>
  </r>
  <r>
    <s v="resultados"/>
    <x v="10"/>
    <s v="ingreso laboral"/>
    <n v="29"/>
    <s v="inglab_p75_adulto"/>
    <x v="63"/>
    <s v="nacional_gen"/>
    <s v="2010 - 2020"/>
    <x v="2"/>
    <m/>
    <m/>
    <m/>
    <m/>
    <m/>
    <m/>
    <m/>
    <m/>
  </r>
  <r>
    <s v="resultados"/>
    <x v="10"/>
    <s v="muerte violenta"/>
    <n v="286"/>
    <s v="homicidios"/>
    <x v="64"/>
    <s v="dpto"/>
    <s v="2010 - 2020"/>
    <x v="5"/>
    <m/>
    <m/>
    <m/>
    <m/>
    <m/>
    <m/>
    <m/>
    <m/>
  </r>
  <r>
    <s v="resultados"/>
    <x v="10"/>
    <s v="muerte violenta"/>
    <n v="284"/>
    <s v="homicidios"/>
    <x v="64"/>
    <s v="dpto_edad"/>
    <s v="2010 - 2020"/>
    <x v="5"/>
    <m/>
    <m/>
    <m/>
    <m/>
    <m/>
    <m/>
    <m/>
    <m/>
  </r>
  <r>
    <s v="resultados"/>
    <x v="10"/>
    <s v="muerte violenta"/>
    <n v="285"/>
    <s v="homicidios"/>
    <x v="64"/>
    <s v="dpto_gen"/>
    <s v="2010 - 2020"/>
    <x v="5"/>
    <m/>
    <m/>
    <m/>
    <m/>
    <m/>
    <m/>
    <m/>
    <m/>
  </r>
  <r>
    <s v="resultados"/>
    <x v="10"/>
    <s v="participación laboral femenina"/>
    <n v="83"/>
    <s v="tasa_part_adulto"/>
    <x v="65"/>
    <s v="nacional"/>
    <s v="2010 - 2020"/>
    <x v="2"/>
    <m/>
    <m/>
    <m/>
    <m/>
    <m/>
    <m/>
    <m/>
    <m/>
  </r>
  <r>
    <s v="resultados"/>
    <x v="10"/>
    <s v="participación laboral femenina"/>
    <n v="81"/>
    <s v="tasa_part_adulto"/>
    <x v="65"/>
    <s v="nacional_etnia"/>
    <s v="2010 - 2020"/>
    <x v="2"/>
    <m/>
    <m/>
    <m/>
    <m/>
    <m/>
    <m/>
    <m/>
    <m/>
  </r>
  <r>
    <s v="resultados"/>
    <x v="10"/>
    <s v="participación laboral femenina"/>
    <n v="82"/>
    <s v="tasa_part_adulto"/>
    <x v="65"/>
    <s v="nacional_gen"/>
    <s v="2010 - 2020"/>
    <x v="2"/>
    <m/>
    <m/>
    <m/>
    <m/>
    <m/>
    <m/>
    <m/>
    <m/>
  </r>
  <r>
    <s v="resultados"/>
    <x v="10"/>
    <s v="participación laboral femenina"/>
    <n v="80"/>
    <s v="tasa_part"/>
    <x v="66"/>
    <s v="nacional"/>
    <s v="2010 - 2020"/>
    <x v="2"/>
    <m/>
    <m/>
    <m/>
    <m/>
    <m/>
    <m/>
    <m/>
    <m/>
  </r>
  <r>
    <s v="resultados"/>
    <x v="10"/>
    <s v="participación laboral femenina"/>
    <n v="78"/>
    <s v="tasa_part"/>
    <x v="66"/>
    <s v="nacional_etnia"/>
    <s v="2010 - 2020"/>
    <x v="2"/>
    <m/>
    <m/>
    <m/>
    <m/>
    <m/>
    <m/>
    <m/>
    <m/>
  </r>
  <r>
    <s v="resultados"/>
    <x v="10"/>
    <s v="participación laboral femenina"/>
    <n v="79"/>
    <s v="tasa_part"/>
    <x v="66"/>
    <s v="nacional_gen"/>
    <s v="2010 - 2020"/>
    <x v="2"/>
    <m/>
    <m/>
    <m/>
    <m/>
    <m/>
    <m/>
    <m/>
    <m/>
  </r>
  <r>
    <s v="resultados"/>
    <x v="10"/>
    <s v="salud mental"/>
    <n v="298"/>
    <s v="suicidios_15_64"/>
    <x v="67"/>
    <s v="dpto_edad"/>
    <s v="2010 - 2020"/>
    <x v="6"/>
    <m/>
    <m/>
    <m/>
    <m/>
    <m/>
    <m/>
    <m/>
    <m/>
  </r>
  <r>
    <s v="resultados"/>
    <x v="10"/>
    <s v="salud mental"/>
    <n v="294"/>
    <s v="suicidios"/>
    <x v="68"/>
    <s v="dpto"/>
    <s v="2010 - 2020"/>
    <x v="6"/>
    <m/>
    <m/>
    <m/>
    <m/>
    <m/>
    <m/>
    <m/>
    <m/>
  </r>
  <r>
    <s v="resultados"/>
    <x v="10"/>
    <s v="salud mental"/>
    <n v="292"/>
    <s v="suicidios"/>
    <x v="68"/>
    <s v="dpto_edad"/>
    <s v="2010 - 2020"/>
    <x v="6"/>
    <m/>
    <m/>
    <m/>
    <m/>
    <m/>
    <m/>
    <m/>
    <m/>
  </r>
  <r>
    <s v="resultados"/>
    <x v="10"/>
    <s v="salud mental"/>
    <n v="293"/>
    <s v="suicidios"/>
    <x v="68"/>
    <s v="dpto_gen"/>
    <s v="2010 - 2020"/>
    <x v="6"/>
    <m/>
    <m/>
    <m/>
    <m/>
    <m/>
    <m/>
    <m/>
    <m/>
  </r>
  <r>
    <s v="resultados"/>
    <x v="11"/>
    <s v="asistencia escolar, preescolar y primaria"/>
    <n v="99"/>
    <s v="asistencia_escolar_menor5"/>
    <x v="69"/>
    <s v="dpto"/>
    <s v="2010 - 2020"/>
    <x v="4"/>
    <s v="Sí"/>
    <m/>
    <m/>
    <m/>
    <m/>
    <m/>
    <m/>
    <m/>
  </r>
  <r>
    <s v="resultados"/>
    <x v="11"/>
    <s v="asistencia escolar, preescolar y primaria"/>
    <n v="101"/>
    <s v="asistencia_escolar_menor5_1"/>
    <x v="70"/>
    <s v="dpto"/>
    <s v="2010 - 2020"/>
    <x v="4"/>
    <s v="No"/>
    <m/>
    <m/>
    <m/>
    <m/>
    <m/>
    <m/>
    <m/>
  </r>
  <r>
    <s v="resultados"/>
    <x v="11"/>
    <s v="asistencia escolar, preescolar y primaria"/>
    <n v="103"/>
    <s v="asistencia_escolar_menor5_2"/>
    <x v="71"/>
    <s v="dpto"/>
    <s v="2010 - 2020"/>
    <x v="4"/>
    <s v="No"/>
    <m/>
    <m/>
    <m/>
    <m/>
    <m/>
    <m/>
    <m/>
  </r>
  <r>
    <s v="resultados"/>
    <x v="11"/>
    <s v="asistencia escolar, preescolar y primaria"/>
    <n v="105"/>
    <s v="asistencia_escolar_menor5_3"/>
    <x v="72"/>
    <s v="dpto"/>
    <s v="2010 - 2020"/>
    <x v="4"/>
    <s v="No"/>
    <m/>
    <m/>
    <m/>
    <m/>
    <m/>
    <m/>
    <m/>
  </r>
  <r>
    <s v="resultados"/>
    <x v="11"/>
    <s v="asistencia escolar, preescolar y primaria"/>
    <n v="107"/>
    <s v="asistencia_escolar_menor5_4"/>
    <x v="73"/>
    <s v="dpto"/>
    <s v="2010 - 2020"/>
    <x v="4"/>
    <s v="No"/>
    <m/>
    <m/>
    <m/>
    <m/>
    <m/>
    <m/>
    <m/>
  </r>
  <r>
    <s v="resultados"/>
    <x v="11"/>
    <s v="asistencia escolar, preescolar y primaria"/>
    <n v="109"/>
    <s v="asistencia_escolar_menor5_5"/>
    <x v="74"/>
    <s v="dpto"/>
    <s v="2010 - 2020"/>
    <x v="4"/>
    <s v="No"/>
    <m/>
    <m/>
    <m/>
    <m/>
    <m/>
    <m/>
    <m/>
  </r>
  <r>
    <s v="resultados"/>
    <x v="11"/>
    <s v="asistencia escolar, preescolar y primaria"/>
    <n v="111"/>
    <s v="asistencia_escolar_primaria"/>
    <x v="75"/>
    <s v="dpto"/>
    <s v="2010 - 2020"/>
    <x v="4"/>
    <m/>
    <m/>
    <m/>
    <m/>
    <m/>
    <m/>
    <m/>
    <m/>
  </r>
  <r>
    <s v="resultados"/>
    <x v="11"/>
    <s v="asistencia escolar, preescolar y primaria"/>
    <n v="113"/>
    <s v="asistencia_escolar_primaria_1"/>
    <x v="76"/>
    <s v="dpto"/>
    <s v="2010 - 2020"/>
    <x v="4"/>
    <s v="No"/>
    <m/>
    <m/>
    <m/>
    <m/>
    <m/>
    <m/>
    <m/>
  </r>
  <r>
    <s v="resultados"/>
    <x v="11"/>
    <s v="asistencia escolar, preescolar y primaria"/>
    <n v="115"/>
    <s v="asistencia_escolar_primaria_2"/>
    <x v="77"/>
    <s v="dpto"/>
    <s v="2010 - 2020"/>
    <x v="4"/>
    <m/>
    <m/>
    <m/>
    <m/>
    <m/>
    <m/>
    <m/>
    <m/>
  </r>
  <r>
    <s v="resultados"/>
    <x v="11"/>
    <s v="asistencia escolar, preescolar y primaria"/>
    <n v="117"/>
    <s v="asistencia_escolar_primaria_3"/>
    <x v="78"/>
    <s v="dpto"/>
    <s v="2010 - 2020"/>
    <x v="4"/>
    <m/>
    <m/>
    <m/>
    <m/>
    <m/>
    <m/>
    <m/>
    <m/>
  </r>
  <r>
    <s v="resultados"/>
    <x v="11"/>
    <s v="asistencia escolar, preescolar y primaria"/>
    <n v="119"/>
    <s v="asistencia_escolar_primaria_4"/>
    <x v="79"/>
    <s v="dpto"/>
    <s v="2010 - 2020"/>
    <x v="4"/>
    <m/>
    <m/>
    <m/>
    <m/>
    <m/>
    <m/>
    <m/>
    <m/>
  </r>
  <r>
    <s v="resultados"/>
    <x v="11"/>
    <s v="asistencia escolar, preescolar y primaria"/>
    <n v="121"/>
    <s v="asistencia_escolar_primaria_5"/>
    <x v="80"/>
    <s v="dpto"/>
    <s v="2010 - 2020"/>
    <x v="4"/>
    <m/>
    <m/>
    <m/>
    <m/>
    <m/>
    <m/>
    <m/>
    <m/>
  </r>
  <r>
    <s v="resultados"/>
    <x v="11"/>
    <s v="calidad de la educación"/>
    <n v="228"/>
    <s v="tamano_clase_prim"/>
    <x v="81"/>
    <s v="dpto"/>
    <s v="2014 - 2020"/>
    <x v="4"/>
    <m/>
    <m/>
    <m/>
    <m/>
    <m/>
    <m/>
    <m/>
    <m/>
  </r>
  <r>
    <s v="resultados"/>
    <x v="11"/>
    <s v="mortalidad infantil"/>
    <n v="206"/>
    <s v="mortalidad_inf_cinco"/>
    <x v="82"/>
    <s v="dpto"/>
    <s v="2005 - 2015"/>
    <x v="6"/>
    <m/>
    <m/>
    <m/>
    <m/>
    <m/>
    <m/>
    <m/>
    <m/>
  </r>
  <r>
    <s v="resultados"/>
    <x v="11"/>
    <s v="mortalidad infantil"/>
    <n v="207"/>
    <s v="mortalidad_inf_eds"/>
    <x v="83"/>
    <s v="dpto"/>
    <s v="2005 - 2015"/>
    <x v="6"/>
    <m/>
    <m/>
    <m/>
    <m/>
    <m/>
    <m/>
    <m/>
    <m/>
  </r>
  <r>
    <s v="resultados"/>
    <x v="11"/>
    <s v="mortalidad infantil"/>
    <n v="209"/>
    <s v="nacidos_vivos"/>
    <x v="84"/>
    <s v="dpto"/>
    <s v="2005 - 2015"/>
    <x v="6"/>
    <m/>
    <m/>
    <m/>
    <m/>
    <m/>
    <m/>
    <m/>
    <m/>
  </r>
  <r>
    <s v="resultados"/>
    <x v="11"/>
    <s v="mortalidad infantil"/>
    <n v="290"/>
    <s v="mortalidad_inf"/>
    <x v="85"/>
    <s v="dpto"/>
    <s v="2010 - 2019"/>
    <x v="6"/>
    <m/>
    <m/>
    <m/>
    <m/>
    <m/>
    <m/>
    <m/>
    <m/>
  </r>
  <r>
    <s v="resultados"/>
    <x v="12"/>
    <s v="asistencia escolar secundaria"/>
    <n v="87"/>
    <s v="asistencia_escolar_13-17"/>
    <x v="86"/>
    <s v="dpto"/>
    <s v="2010 - 2020"/>
    <x v="4"/>
    <m/>
    <m/>
    <m/>
    <m/>
    <m/>
    <m/>
    <m/>
    <m/>
  </r>
  <r>
    <s v="resultados"/>
    <x v="12"/>
    <s v="asistencia escolar secundaria"/>
    <n v="89"/>
    <s v="asistencia_escolar_13-17_1"/>
    <x v="87"/>
    <s v="dpto"/>
    <s v="2010 - 2020"/>
    <x v="4"/>
    <m/>
    <m/>
    <m/>
    <m/>
    <m/>
    <m/>
    <m/>
    <m/>
  </r>
  <r>
    <s v="resultados"/>
    <x v="12"/>
    <s v="asistencia escolar secundaria"/>
    <n v="91"/>
    <s v="asistencia_escolar_13-17_2"/>
    <x v="88"/>
    <s v="dpto"/>
    <s v="2010 - 2020"/>
    <x v="4"/>
    <m/>
    <m/>
    <m/>
    <m/>
    <m/>
    <m/>
    <m/>
    <m/>
  </r>
  <r>
    <s v="resultados"/>
    <x v="12"/>
    <s v="asistencia escolar secundaria"/>
    <n v="93"/>
    <s v="asistencia_escolar_13-17_3"/>
    <x v="89"/>
    <s v="dpto"/>
    <s v="2010 - 2020"/>
    <x v="4"/>
    <m/>
    <m/>
    <m/>
    <m/>
    <m/>
    <m/>
    <m/>
    <m/>
  </r>
  <r>
    <s v="resultados"/>
    <x v="12"/>
    <s v="asistencia escolar secundaria"/>
    <n v="95"/>
    <s v="asistencia_escolar_13-17_4"/>
    <x v="90"/>
    <s v="dpto"/>
    <s v="2010 - 2020"/>
    <x v="4"/>
    <m/>
    <m/>
    <m/>
    <m/>
    <m/>
    <m/>
    <m/>
    <m/>
  </r>
  <r>
    <s v="resultados"/>
    <x v="12"/>
    <s v="asistencia escolar secundaria"/>
    <n v="97"/>
    <s v="asistencia_escolar_13-17_5"/>
    <x v="91"/>
    <s v="dpto"/>
    <s v="2010 - 2020"/>
    <x v="4"/>
    <m/>
    <m/>
    <m/>
    <m/>
    <m/>
    <m/>
    <m/>
    <m/>
  </r>
  <r>
    <s v="resultados"/>
    <x v="12"/>
    <s v="asistencia escolar secundaria"/>
    <n v="125"/>
    <s v="dif_sec_ind"/>
    <x v="92"/>
    <s v="dpto"/>
    <s v="2010 - 2020"/>
    <x v="4"/>
    <m/>
    <m/>
    <m/>
    <m/>
    <m/>
    <m/>
    <m/>
    <m/>
  </r>
  <r>
    <s v="resultados"/>
    <x v="12"/>
    <s v="asistencia escolar secundaria"/>
    <n v="181"/>
    <s v="rezago_escolar_13-17"/>
    <x v="93"/>
    <s v="dpto"/>
    <s v="2010 - 2020"/>
    <x v="4"/>
    <m/>
    <m/>
    <m/>
    <m/>
    <m/>
    <m/>
    <m/>
    <m/>
  </r>
  <r>
    <s v="resultados"/>
    <x v="12"/>
    <s v="asistencia escolar secundaria"/>
    <n v="183"/>
    <s v="rezago_escolar_13-17_1"/>
    <x v="94"/>
    <s v="dpto"/>
    <s v="2010 - 2020"/>
    <x v="4"/>
    <m/>
    <m/>
    <m/>
    <m/>
    <m/>
    <m/>
    <m/>
    <m/>
  </r>
  <r>
    <s v="resultados"/>
    <x v="12"/>
    <s v="asistencia escolar secundaria"/>
    <n v="185"/>
    <s v="rezago_escolar_13-17_2"/>
    <x v="95"/>
    <s v="dpto"/>
    <s v="2010 - 2020"/>
    <x v="4"/>
    <m/>
    <m/>
    <m/>
    <m/>
    <m/>
    <m/>
    <m/>
    <m/>
  </r>
  <r>
    <s v="resultados"/>
    <x v="12"/>
    <s v="asistencia escolar secundaria"/>
    <n v="187"/>
    <s v="rezago_escolar_13-17_3"/>
    <x v="96"/>
    <s v="dpto"/>
    <s v="2010 - 2020"/>
    <x v="4"/>
    <m/>
    <m/>
    <m/>
    <m/>
    <m/>
    <m/>
    <m/>
    <m/>
  </r>
  <r>
    <s v="resultados"/>
    <x v="12"/>
    <s v="asistencia escolar secundaria"/>
    <n v="189"/>
    <s v="rezago_escolar_13-17_4"/>
    <x v="97"/>
    <s v="dpto"/>
    <s v="2010 - 2020"/>
    <x v="4"/>
    <m/>
    <m/>
    <m/>
    <m/>
    <m/>
    <m/>
    <m/>
    <m/>
  </r>
  <r>
    <s v="resultados"/>
    <x v="12"/>
    <s v="asistencia escolar secundaria"/>
    <n v="191"/>
    <s v="rezago_escolar_13-17_5"/>
    <x v="98"/>
    <s v="dpto"/>
    <s v="2010 - 2020"/>
    <x v="4"/>
    <m/>
    <m/>
    <m/>
    <m/>
    <m/>
    <m/>
    <m/>
    <m/>
  </r>
  <r>
    <s v="resultados"/>
    <x v="12"/>
    <s v="calidad de la educación"/>
    <n v="230"/>
    <s v="tamano_clase_sec_med"/>
    <x v="99"/>
    <s v="dpto"/>
    <s v="2010 - 2020"/>
    <x v="4"/>
    <m/>
    <m/>
    <m/>
    <m/>
    <m/>
    <m/>
    <m/>
    <m/>
  </r>
  <r>
    <s v="resultados"/>
    <x v="12"/>
    <s v="desempleo e inactividad"/>
    <n v="39"/>
    <s v="ninis_adulto"/>
    <x v="100"/>
    <s v="nacional"/>
    <s v="2010-2021"/>
    <x v="4"/>
    <s v="No"/>
    <m/>
    <m/>
    <m/>
    <m/>
    <m/>
    <m/>
    <m/>
  </r>
  <r>
    <s v="resultados"/>
    <x v="12"/>
    <s v="desempleo e inactividad"/>
    <n v="37"/>
    <s v="ninis_adulto"/>
    <x v="100"/>
    <s v="nacional_etnia"/>
    <s v="2010-2021"/>
    <x v="4"/>
    <s v="No"/>
    <m/>
    <m/>
    <m/>
    <m/>
    <m/>
    <m/>
    <m/>
  </r>
  <r>
    <s v="resultados"/>
    <x v="12"/>
    <s v="desempleo e inactividad"/>
    <n v="38"/>
    <s v="ninis_adulto"/>
    <x v="100"/>
    <s v="nacional_gen"/>
    <s v="2010-2021"/>
    <x v="4"/>
    <s v="No"/>
    <m/>
    <m/>
    <m/>
    <m/>
    <m/>
    <m/>
    <m/>
  </r>
  <r>
    <s v="resultados"/>
    <x v="12"/>
    <s v="desempleo e inactividad"/>
    <n v="36"/>
    <s v="ninis"/>
    <x v="101"/>
    <s v="nacional"/>
    <s v="2010-2021"/>
    <x v="4"/>
    <s v="No"/>
    <m/>
    <m/>
    <m/>
    <m/>
    <m/>
    <m/>
    <m/>
  </r>
  <r>
    <s v="resultados"/>
    <x v="12"/>
    <s v="desempleo e inactividad"/>
    <n v="34"/>
    <s v="ninis"/>
    <x v="101"/>
    <s v="nacional_etnia"/>
    <s v="2010-2021"/>
    <x v="4"/>
    <s v="No"/>
    <m/>
    <m/>
    <m/>
    <m/>
    <m/>
    <m/>
    <m/>
  </r>
  <r>
    <s v="resultados"/>
    <x v="12"/>
    <s v="desempleo e inactividad"/>
    <n v="35"/>
    <s v="ninis"/>
    <x v="101"/>
    <s v="nacional_gen"/>
    <s v="2010-2021"/>
    <x v="4"/>
    <s v="No"/>
    <m/>
    <m/>
    <m/>
    <m/>
    <m/>
    <m/>
    <m/>
  </r>
  <r>
    <s v="resultados"/>
    <x v="12"/>
    <s v="desempleo e inactividad"/>
    <n v="42"/>
    <s v="ninis_joven"/>
    <x v="102"/>
    <s v="nacional"/>
    <s v="2010-2021"/>
    <x v="4"/>
    <s v="Sí"/>
    <s v="Jóvenes entre 15 y 28 años que no estudian ni se encuentran ocupados"/>
    <s v="ECV Antioquia"/>
    <s v="2023 - 2023"/>
    <s v="Anual"/>
    <s v="Sí"/>
    <s v="DATALAKE EDUCACION"/>
    <m/>
  </r>
  <r>
    <s v="resultados"/>
    <x v="12"/>
    <s v="desempleo e inactividad"/>
    <n v="40"/>
    <s v="ninis_joven"/>
    <x v="102"/>
    <s v="nacional_etnia"/>
    <s v="2010-2021"/>
    <x v="4"/>
    <s v="No"/>
    <m/>
    <m/>
    <m/>
    <m/>
    <m/>
    <m/>
    <m/>
  </r>
  <r>
    <s v="resultados"/>
    <x v="12"/>
    <s v="desempleo e inactividad"/>
    <n v="41"/>
    <s v="ninis_joven"/>
    <x v="102"/>
    <s v="nacional_gen"/>
    <s v="2010-2021"/>
    <x v="4"/>
    <s v="Sí"/>
    <s v="- Jóvenes hombres entre 15 y 28 años que no estudian ni se encuentran ocupados_x000a_- Jóvenes mujeres entre 15 y 28 años que no estudian ni se encuentran ocupados"/>
    <s v="ECV Antioquia"/>
    <s v="2023 - 2023"/>
    <s v="Anual"/>
    <s v="Sí"/>
    <s v="DATALAKE EDUCACION"/>
    <m/>
  </r>
  <r>
    <s v="resultados"/>
    <x v="12"/>
    <s v="desempleo e inactividad"/>
    <n v="56"/>
    <s v="tasa_desempleo_joven"/>
    <x v="103"/>
    <s v="nacional"/>
    <s v="2010-2020"/>
    <x v="2"/>
    <m/>
    <m/>
    <m/>
    <m/>
    <m/>
    <m/>
    <m/>
    <m/>
  </r>
  <r>
    <s v="resultados"/>
    <x v="12"/>
    <s v="desempleo e inactividad"/>
    <n v="54"/>
    <s v="tasa_desempleo_joven"/>
    <x v="103"/>
    <s v="nacional_etnia"/>
    <s v="2010-2020"/>
    <x v="2"/>
    <m/>
    <m/>
    <m/>
    <m/>
    <m/>
    <m/>
    <m/>
    <m/>
  </r>
  <r>
    <s v="resultados"/>
    <x v="12"/>
    <s v="desempleo e inactividad"/>
    <n v="55"/>
    <s v="tasa_desempleo_joven"/>
    <x v="103"/>
    <s v="nacional_gen"/>
    <s v="2010-2020"/>
    <x v="2"/>
    <m/>
    <m/>
    <m/>
    <m/>
    <m/>
    <m/>
    <m/>
    <m/>
  </r>
  <r>
    <s v="resultados"/>
    <x v="12"/>
    <s v="desempleo e inactividad"/>
    <n v="86"/>
    <s v="tasa_part_joven"/>
    <x v="104"/>
    <s v="nacional"/>
    <s v="2010 - 2020"/>
    <x v="2"/>
    <m/>
    <m/>
    <m/>
    <m/>
    <m/>
    <m/>
    <m/>
    <m/>
  </r>
  <r>
    <s v="resultados"/>
    <x v="12"/>
    <s v="desempleo e inactividad"/>
    <n v="84"/>
    <s v="tasa_part_joven"/>
    <x v="104"/>
    <s v="nacional_etnia"/>
    <s v="2010 - 2020"/>
    <x v="2"/>
    <m/>
    <m/>
    <m/>
    <m/>
    <m/>
    <m/>
    <m/>
    <m/>
  </r>
  <r>
    <s v="resultados"/>
    <x v="12"/>
    <s v="desempleo e inactividad"/>
    <n v="85"/>
    <s v="tasa_part_joven"/>
    <x v="104"/>
    <s v="nacional_gen"/>
    <s v="2010 - 2020"/>
    <x v="2"/>
    <m/>
    <m/>
    <m/>
    <m/>
    <m/>
    <m/>
    <m/>
    <m/>
  </r>
  <r>
    <s v="resultados"/>
    <x v="12"/>
    <s v="educación superior"/>
    <n v="127"/>
    <s v="educ_superior"/>
    <x v="105"/>
    <s v="dpto"/>
    <s v="2010 - 2020"/>
    <x v="4"/>
    <m/>
    <m/>
    <m/>
    <m/>
    <m/>
    <m/>
    <m/>
    <m/>
  </r>
  <r>
    <s v="resultados"/>
    <x v="12"/>
    <s v="educación superior"/>
    <n v="208"/>
    <s v="mujer_secund_super_educ"/>
    <x v="106"/>
    <s v="dpto"/>
    <s v="2005 - 2015"/>
    <x v="4"/>
    <m/>
    <m/>
    <m/>
    <m/>
    <m/>
    <m/>
    <m/>
    <m/>
  </r>
  <r>
    <s v="resultados"/>
    <x v="12"/>
    <s v="empleo formal"/>
    <n v="66"/>
    <s v="tasa_formal_joven"/>
    <x v="107"/>
    <s v="nacional"/>
    <s v="2010 - 2020"/>
    <x v="2"/>
    <m/>
    <m/>
    <m/>
    <m/>
    <m/>
    <m/>
    <m/>
    <m/>
  </r>
  <r>
    <s v="resultados"/>
    <x v="12"/>
    <s v="empleo formal"/>
    <n v="64"/>
    <s v="tasa_formal_joven"/>
    <x v="107"/>
    <s v="nacional_etnia"/>
    <s v="2010 - 2020"/>
    <x v="2"/>
    <m/>
    <m/>
    <m/>
    <m/>
    <m/>
    <m/>
    <m/>
    <m/>
  </r>
  <r>
    <s v="resultados"/>
    <x v="12"/>
    <s v="empleo formal"/>
    <n v="65"/>
    <s v="tasa_formal_joven"/>
    <x v="107"/>
    <s v="nacional_gen"/>
    <s v="2010 - 2020"/>
    <x v="2"/>
    <m/>
    <m/>
    <m/>
    <m/>
    <m/>
    <m/>
    <m/>
    <m/>
  </r>
  <r>
    <s v="resultados"/>
    <x v="12"/>
    <s v="empleo informal"/>
    <n v="76"/>
    <s v="tasa_informal_joven"/>
    <x v="108"/>
    <s v="nacional"/>
    <s v="2010 - 2020"/>
    <x v="2"/>
    <m/>
    <m/>
    <m/>
    <m/>
    <m/>
    <m/>
    <m/>
    <m/>
  </r>
  <r>
    <s v="resultados"/>
    <x v="12"/>
    <s v="empleo informal"/>
    <n v="74"/>
    <s v="tasa_informal_joven"/>
    <x v="108"/>
    <s v="nacional_etnia"/>
    <s v="2010 - 2020"/>
    <x v="2"/>
    <m/>
    <m/>
    <m/>
    <m/>
    <m/>
    <m/>
    <m/>
    <m/>
  </r>
  <r>
    <s v="resultados"/>
    <x v="12"/>
    <s v="empleo informal"/>
    <n v="75"/>
    <s v="tasa_informal_joven"/>
    <x v="108"/>
    <s v="nacional_gen"/>
    <s v="2010 - 2020"/>
    <x v="2"/>
    <m/>
    <m/>
    <m/>
    <m/>
    <m/>
    <m/>
    <m/>
    <m/>
  </r>
  <r>
    <s v="resultados"/>
    <x v="12"/>
    <s v="fecundidad"/>
    <n v="198"/>
    <s v="anticonceptivo_algun"/>
    <x v="109"/>
    <s v="region"/>
    <s v="1986 - 2015"/>
    <x v="6"/>
    <m/>
    <m/>
    <m/>
    <m/>
    <m/>
    <m/>
    <m/>
    <m/>
  </r>
  <r>
    <s v="resultados"/>
    <x v="12"/>
    <s v="fecundidad"/>
    <n v="200"/>
    <s v="anticonceptivo_modern"/>
    <x v="110"/>
    <s v="region"/>
    <s v="1986 - 2015"/>
    <x v="6"/>
    <m/>
    <m/>
    <m/>
    <m/>
    <m/>
    <m/>
    <m/>
    <m/>
  </r>
  <r>
    <s v="resultados"/>
    <x v="12"/>
    <s v="fecundidad"/>
    <n v="202"/>
    <s v="dda_planif_mod_satis"/>
    <x v="111"/>
    <s v="region"/>
    <s v="1986 - 2015"/>
    <x v="6"/>
    <m/>
    <m/>
    <m/>
    <m/>
    <m/>
    <m/>
    <m/>
    <m/>
  </r>
  <r>
    <s v="resultados"/>
    <x v="12"/>
    <s v="fecundidad"/>
    <n v="203"/>
    <s v="edad_prom_matrimonio"/>
    <x v="112"/>
    <s v="dpto"/>
    <s v="2005 - 2015"/>
    <x v="6"/>
    <m/>
    <m/>
    <m/>
    <m/>
    <m/>
    <m/>
    <m/>
    <m/>
  </r>
  <r>
    <s v="resultados"/>
    <x v="12"/>
    <s v="fecundidad"/>
    <n v="204"/>
    <s v="edad_prom_sex"/>
    <x v="113"/>
    <s v="dpto"/>
    <s v="2005 - 2015"/>
    <x v="6"/>
    <m/>
    <m/>
    <m/>
    <m/>
    <m/>
    <m/>
    <m/>
    <m/>
  </r>
  <r>
    <s v="resultados"/>
    <x v="12"/>
    <s v="fecundidad"/>
    <n v="205"/>
    <s v="fertilidad_tres_ant"/>
    <x v="114"/>
    <s v="dpto"/>
    <s v="2005 - 2015"/>
    <x v="6"/>
    <m/>
    <m/>
    <m/>
    <m/>
    <m/>
    <m/>
    <m/>
    <m/>
  </r>
  <r>
    <s v="resultados"/>
    <x v="12"/>
    <s v="fecundidad"/>
    <n v="211"/>
    <s v="neces_inst_planificacion"/>
    <x v="115"/>
    <s v="region"/>
    <s v="1986 - 2015"/>
    <x v="6"/>
    <m/>
    <m/>
    <m/>
    <m/>
    <m/>
    <m/>
    <m/>
    <m/>
  </r>
  <r>
    <s v="resultados"/>
    <x v="12"/>
    <s v="fecundidad"/>
    <n v="213"/>
    <s v="total_dda_planificacion"/>
    <x v="116"/>
    <s v="region"/>
    <s v="1986 - 2015"/>
    <x v="6"/>
    <m/>
    <m/>
    <m/>
    <m/>
    <m/>
    <m/>
    <m/>
    <m/>
  </r>
  <r>
    <s v="resultados"/>
    <x v="12"/>
    <s v="fecundidad"/>
    <n v="215"/>
    <s v="tradicional_metodo"/>
    <x v="117"/>
    <s v="region"/>
    <s v="1986 - 2015"/>
    <x v="6"/>
    <m/>
    <m/>
    <m/>
    <m/>
    <m/>
    <m/>
    <m/>
    <m/>
  </r>
  <r>
    <s v="resultados"/>
    <x v="12"/>
    <s v="fecundidad adolescente"/>
    <n v="282"/>
    <s v="fecundidad_joven"/>
    <x v="118"/>
    <s v="dpto"/>
    <s v="2010 - 2020"/>
    <x v="6"/>
    <m/>
    <m/>
    <m/>
    <m/>
    <m/>
    <m/>
    <m/>
    <m/>
  </r>
  <r>
    <s v="resultados"/>
    <x v="12"/>
    <s v="ingreso laboral"/>
    <n v="13"/>
    <s v="inglab_p25_joven"/>
    <x v="119"/>
    <s v="nacional"/>
    <s v="2010 - 2020"/>
    <x v="2"/>
    <m/>
    <m/>
    <m/>
    <m/>
    <m/>
    <m/>
    <m/>
    <m/>
  </r>
  <r>
    <s v="resultados"/>
    <x v="12"/>
    <s v="ingreso laboral"/>
    <n v="11"/>
    <s v="inglab_p25_joven"/>
    <x v="119"/>
    <s v="nacional_etnia"/>
    <s v="2010 - 2020"/>
    <x v="2"/>
    <m/>
    <m/>
    <m/>
    <m/>
    <m/>
    <m/>
    <m/>
    <m/>
  </r>
  <r>
    <s v="resultados"/>
    <x v="12"/>
    <s v="ingreso laboral"/>
    <n v="12"/>
    <s v="inglab_p25_joven"/>
    <x v="119"/>
    <s v="nacional_gen"/>
    <s v="2010 - 2020"/>
    <x v="2"/>
    <m/>
    <m/>
    <m/>
    <m/>
    <m/>
    <m/>
    <m/>
    <m/>
  </r>
  <r>
    <s v="resultados"/>
    <x v="12"/>
    <s v="ingreso laboral"/>
    <n v="23"/>
    <s v="inglab_p50_joven"/>
    <x v="120"/>
    <s v="nacional"/>
    <s v="2010 - 2020"/>
    <x v="2"/>
    <m/>
    <m/>
    <m/>
    <m/>
    <m/>
    <m/>
    <m/>
    <m/>
  </r>
  <r>
    <s v="resultados"/>
    <x v="12"/>
    <s v="ingreso laboral"/>
    <n v="21"/>
    <s v="inglab_p50_joven"/>
    <x v="120"/>
    <s v="nacional_etnia"/>
    <s v="2010 - 2020"/>
    <x v="2"/>
    <m/>
    <m/>
    <m/>
    <m/>
    <m/>
    <m/>
    <m/>
    <m/>
  </r>
  <r>
    <s v="resultados"/>
    <x v="12"/>
    <s v="ingreso laboral"/>
    <n v="22"/>
    <s v="inglab_p50_joven"/>
    <x v="120"/>
    <s v="nacional_gen"/>
    <s v="2010 - 2020"/>
    <x v="2"/>
    <m/>
    <m/>
    <m/>
    <m/>
    <m/>
    <m/>
    <m/>
    <m/>
  </r>
  <r>
    <s v="resultados"/>
    <x v="12"/>
    <s v="ingreso laboral"/>
    <n v="33"/>
    <s v="inglab_p75_joven"/>
    <x v="121"/>
    <s v="nacional"/>
    <s v="2010 - 2020"/>
    <x v="2"/>
    <m/>
    <m/>
    <m/>
    <m/>
    <m/>
    <m/>
    <m/>
    <m/>
  </r>
  <r>
    <s v="resultados"/>
    <x v="12"/>
    <s v="ingreso laboral"/>
    <n v="31"/>
    <s v="inglab_p75_joven"/>
    <x v="121"/>
    <s v="nacional_etnia"/>
    <s v="2010 - 2020"/>
    <x v="2"/>
    <m/>
    <m/>
    <m/>
    <m/>
    <m/>
    <m/>
    <m/>
    <m/>
  </r>
  <r>
    <s v="resultados"/>
    <x v="12"/>
    <s v="ingreso laboral"/>
    <n v="32"/>
    <s v="inglab_p75_joven"/>
    <x v="121"/>
    <s v="nacional_gen"/>
    <s v="2010 - 2020"/>
    <x v="2"/>
    <m/>
    <m/>
    <m/>
    <m/>
    <m/>
    <m/>
    <m/>
    <m/>
  </r>
  <r>
    <s v="resultados"/>
    <x v="13"/>
    <s v="enfermedades no transmisibles y obesidad"/>
    <n v="278"/>
    <s v="defunciones_ent"/>
    <x v="122"/>
    <s v="dpto_causa"/>
    <s v="2010 - 2020"/>
    <x v="6"/>
    <m/>
    <m/>
    <m/>
    <m/>
    <m/>
    <m/>
    <m/>
    <m/>
  </r>
  <r>
    <s v="resultados"/>
    <x v="13"/>
    <s v="enfermedades no transmisibles y obesidad"/>
    <n v="280"/>
    <s v="defunciones_prematuras"/>
    <x v="123"/>
    <s v="dpto"/>
    <s v="2010 - 2020"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FD70E-783B-46DF-ACED-476E396A4C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1" firstHeaderRow="1" firstDataRow="1" firstDataCol="1"/>
  <pivotFields count="17">
    <pivotField showAll="0"/>
    <pivotField axis="axisRow" showAll="0">
      <items count="15">
        <item sd="0" x="0"/>
        <item x="10"/>
        <item sd="0" x="1"/>
        <item sd="0" x="2"/>
        <item x="3"/>
        <item x="4"/>
        <item x="5"/>
        <item x="6"/>
        <item x="11"/>
        <item x="7"/>
        <item x="12"/>
        <item x="8"/>
        <item x="9"/>
        <item x="13"/>
        <item t="default"/>
      </items>
    </pivotField>
    <pivotField showAll="0"/>
    <pivotField dataField="1" showAll="0"/>
    <pivotField showAll="0"/>
    <pivotField axis="axisRow" showAll="0">
      <items count="125">
        <item x="67"/>
        <item x="64"/>
        <item x="12"/>
        <item x="75"/>
        <item x="76"/>
        <item x="77"/>
        <item x="78"/>
        <item x="79"/>
        <item x="80"/>
        <item x="86"/>
        <item x="87"/>
        <item x="88"/>
        <item x="89"/>
        <item x="90"/>
        <item x="91"/>
        <item x="69"/>
        <item x="70"/>
        <item x="71"/>
        <item x="72"/>
        <item x="73"/>
        <item x="74"/>
        <item x="31"/>
        <item x="40"/>
        <item x="122"/>
        <item x="123"/>
        <item x="116"/>
        <item x="111"/>
        <item x="92"/>
        <item x="60"/>
        <item x="113"/>
        <item x="112"/>
        <item x="35"/>
        <item x="32"/>
        <item x="2"/>
        <item x="0"/>
        <item x="7"/>
        <item x="5"/>
        <item x="1"/>
        <item x="9"/>
        <item x="8"/>
        <item x="3"/>
        <item x="4"/>
        <item x="6"/>
        <item x="30"/>
        <item x="34"/>
        <item x="52"/>
        <item x="105"/>
        <item x="68"/>
        <item x="39"/>
        <item x="22"/>
        <item x="14"/>
        <item x="15"/>
        <item x="16"/>
        <item x="13"/>
        <item x="17"/>
        <item x="18"/>
        <item x="19"/>
        <item x="20"/>
        <item x="21"/>
        <item x="23"/>
        <item x="26"/>
        <item x="28"/>
        <item x="24"/>
        <item x="27"/>
        <item x="25"/>
        <item x="29"/>
        <item x="110"/>
        <item x="106"/>
        <item x="84"/>
        <item x="53"/>
        <item x="115"/>
        <item x="42"/>
        <item x="61"/>
        <item x="119"/>
        <item x="43"/>
        <item x="62"/>
        <item x="120"/>
        <item x="44"/>
        <item x="63"/>
        <item x="121"/>
        <item x="36"/>
        <item x="46"/>
        <item x="47"/>
        <item x="48"/>
        <item x="49"/>
        <item x="41"/>
        <item x="50"/>
        <item x="51"/>
        <item x="100"/>
        <item x="33"/>
        <item x="102"/>
        <item x="101"/>
        <item x="37"/>
        <item x="93"/>
        <item x="94"/>
        <item x="95"/>
        <item x="96"/>
        <item x="97"/>
        <item x="98"/>
        <item x="45"/>
        <item x="10"/>
        <item x="11"/>
        <item x="81"/>
        <item x="99"/>
        <item x="55"/>
        <item x="54"/>
        <item x="103"/>
        <item x="118"/>
        <item x="114"/>
        <item x="57"/>
        <item x="56"/>
        <item x="107"/>
        <item x="59"/>
        <item x="58"/>
        <item x="108"/>
        <item x="85"/>
        <item x="82"/>
        <item x="83"/>
        <item x="66"/>
        <item x="65"/>
        <item x="104"/>
        <item x="109"/>
        <item x="117"/>
        <item x="38"/>
        <item t="default"/>
      </items>
    </pivotField>
    <pivotField showAll="0"/>
    <pivotField showAll="0"/>
    <pivotField axis="axisRow" showAll="0">
      <items count="8">
        <item x="4"/>
        <item x="0"/>
        <item x="2"/>
        <item sd="0" x="1"/>
        <item sd="0" x="3"/>
        <item sd="0" x="6"/>
        <item sd="0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8"/>
    <field x="1"/>
    <field x="5"/>
  </rowFields>
  <rowItems count="78">
    <i>
      <x/>
    </i>
    <i r="1">
      <x v="1"/>
    </i>
    <i r="2">
      <x v="28"/>
    </i>
    <i r="1">
      <x v="8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102"/>
    </i>
    <i r="1">
      <x v="10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27"/>
    </i>
    <i r="2">
      <x v="46"/>
    </i>
    <i r="2">
      <x v="67"/>
    </i>
    <i r="2">
      <x v="88"/>
    </i>
    <i r="2">
      <x v="90"/>
    </i>
    <i r="2">
      <x v="91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103"/>
    </i>
    <i>
      <x v="1"/>
    </i>
    <i r="1">
      <x/>
    </i>
    <i r="1">
      <x v="2"/>
    </i>
    <i r="1">
      <x v="3"/>
    </i>
    <i>
      <x v="2"/>
    </i>
    <i r="1">
      <x v="1"/>
    </i>
    <i r="2">
      <x v="72"/>
    </i>
    <i r="2">
      <x v="75"/>
    </i>
    <i r="2">
      <x v="78"/>
    </i>
    <i r="2">
      <x v="104"/>
    </i>
    <i r="2">
      <x v="105"/>
    </i>
    <i r="2">
      <x v="109"/>
    </i>
    <i r="2">
      <x v="110"/>
    </i>
    <i r="2">
      <x v="112"/>
    </i>
    <i r="2">
      <x v="113"/>
    </i>
    <i r="2">
      <x v="118"/>
    </i>
    <i r="2">
      <x v="119"/>
    </i>
    <i r="1">
      <x v="5"/>
    </i>
    <i r="2">
      <x v="31"/>
    </i>
    <i r="2">
      <x v="44"/>
    </i>
    <i r="2">
      <x v="48"/>
    </i>
    <i r="2">
      <x v="80"/>
    </i>
    <i r="2">
      <x v="92"/>
    </i>
    <i r="2">
      <x v="123"/>
    </i>
    <i r="1">
      <x v="9"/>
    </i>
    <i r="2">
      <x v="71"/>
    </i>
    <i r="2">
      <x v="74"/>
    </i>
    <i r="2">
      <x v="77"/>
    </i>
    <i r="1">
      <x v="10"/>
    </i>
    <i r="2">
      <x v="73"/>
    </i>
    <i r="2">
      <x v="76"/>
    </i>
    <i r="2">
      <x v="79"/>
    </i>
    <i r="2">
      <x v="106"/>
    </i>
    <i r="2">
      <x v="111"/>
    </i>
    <i r="2">
      <x v="114"/>
    </i>
    <i r="2">
      <x v="120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var_id" fld="3" subtotal="count" baseField="1" baseItem="0"/>
  </dataFields>
  <formats count="6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8" type="button" dataOnly="0" labelOnly="1" outline="0" axis="axisRow" fieldPosition="0"/>
    </format>
    <format dxfId="68">
      <pivotArea dataOnly="0" labelOnly="1" fieldPosition="0">
        <references count="1">
          <reference field="8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2">
          <reference field="1" count="3">
            <x v="1"/>
            <x v="8"/>
            <x v="10"/>
          </reference>
          <reference field="8" count="1" selected="0">
            <x v="0"/>
          </reference>
        </references>
      </pivotArea>
    </format>
    <format dxfId="65">
      <pivotArea dataOnly="0" labelOnly="1" fieldPosition="0">
        <references count="2">
          <reference field="1" count="3">
            <x v="0"/>
            <x v="2"/>
            <x v="3"/>
          </reference>
          <reference field="8" count="1" selected="0">
            <x v="1"/>
          </reference>
        </references>
      </pivotArea>
    </format>
    <format dxfId="64">
      <pivotArea dataOnly="0" labelOnly="1" fieldPosition="0">
        <references count="2">
          <reference field="1" count="4">
            <x v="1"/>
            <x v="5"/>
            <x v="9"/>
            <x v="10"/>
          </reference>
          <reference field="8" count="1" selected="0">
            <x v="2"/>
          </reference>
        </references>
      </pivotArea>
    </format>
    <format dxfId="63">
      <pivotArea dataOnly="0" labelOnly="1" fieldPosition="0">
        <references count="2">
          <reference field="1" count="1">
            <x v="4"/>
          </reference>
          <reference field="8" count="1" selected="0">
            <x v="3"/>
          </reference>
        </references>
      </pivotArea>
    </format>
    <format dxfId="62">
      <pivotArea dataOnly="0" labelOnly="1" fieldPosition="0">
        <references count="2">
          <reference field="1" count="4">
            <x v="6"/>
            <x v="7"/>
            <x v="11"/>
            <x v="12"/>
          </reference>
          <reference field="8" count="1" selected="0">
            <x v="4"/>
          </reference>
        </references>
      </pivotArea>
    </format>
    <format dxfId="61">
      <pivotArea dataOnly="0" labelOnly="1" fieldPosition="0">
        <references count="2">
          <reference field="1" count="4">
            <x v="1"/>
            <x v="8"/>
            <x v="10"/>
            <x v="13"/>
          </reference>
          <reference field="8" count="1" selected="0">
            <x v="5"/>
          </reference>
        </references>
      </pivotArea>
    </format>
    <format dxfId="60">
      <pivotArea dataOnly="0" labelOnly="1" fieldPosition="0">
        <references count="2">
          <reference field="1" count="1">
            <x v="1"/>
          </reference>
          <reference field="8" count="1" selected="0">
            <x v="6"/>
          </reference>
        </references>
      </pivotArea>
    </format>
    <format dxfId="59">
      <pivotArea dataOnly="0" labelOnly="1" fieldPosition="0">
        <references count="3">
          <reference field="1" count="1" selected="0">
            <x v="1"/>
          </reference>
          <reference field="5" count="1">
            <x v="28"/>
          </reference>
          <reference field="8" count="1" selected="0">
            <x v="0"/>
          </reference>
        </references>
      </pivotArea>
    </format>
    <format dxfId="58">
      <pivotArea dataOnly="0" labelOnly="1" fieldPosition="0">
        <references count="3">
          <reference field="1" count="1" selected="0">
            <x v="8"/>
          </reference>
          <reference field="5" count="13">
            <x v="3"/>
            <x v="4"/>
            <x v="5"/>
            <x v="6"/>
            <x v="7"/>
            <x v="8"/>
            <x v="15"/>
            <x v="16"/>
            <x v="17"/>
            <x v="18"/>
            <x v="19"/>
            <x v="20"/>
            <x v="102"/>
          </reference>
          <reference field="8" count="1" selected="0">
            <x v="0"/>
          </reference>
        </references>
      </pivotArea>
    </format>
    <format dxfId="57">
      <pivotArea dataOnly="0" labelOnly="1" fieldPosition="0">
        <references count="3">
          <reference field="1" count="1" selected="0">
            <x v="10"/>
          </reference>
          <reference field="5" count="19">
            <x v="9"/>
            <x v="10"/>
            <x v="11"/>
            <x v="12"/>
            <x v="13"/>
            <x v="14"/>
            <x v="27"/>
            <x v="46"/>
            <x v="67"/>
            <x v="88"/>
            <x v="90"/>
            <x v="91"/>
            <x v="93"/>
            <x v="94"/>
            <x v="95"/>
            <x v="96"/>
            <x v="97"/>
            <x v="98"/>
            <x v="103"/>
          </reference>
          <reference field="8" count="1" selected="0">
            <x v="0"/>
          </reference>
        </references>
      </pivotArea>
    </format>
    <format dxfId="56">
      <pivotArea dataOnly="0" labelOnly="1" fieldPosition="0">
        <references count="3">
          <reference field="1" count="1" selected="0">
            <x v="0"/>
          </reference>
          <reference field="5" count="12">
            <x v="33"/>
            <x v="34"/>
            <x v="35"/>
            <x v="36"/>
            <x v="37"/>
            <x v="38"/>
            <x v="39"/>
            <x v="40"/>
            <x v="41"/>
            <x v="42"/>
            <x v="100"/>
            <x v="101"/>
          </reference>
          <reference field="8" count="1" selected="0">
            <x v="1"/>
          </reference>
        </references>
      </pivotArea>
    </format>
    <format dxfId="55">
      <pivotArea dataOnly="0" labelOnly="1" fieldPosition="0">
        <references count="3">
          <reference field="1" count="1" selected="0">
            <x v="2"/>
          </reference>
          <reference field="5" count="1">
            <x v="2"/>
          </reference>
          <reference field="8" count="1" selected="0">
            <x v="1"/>
          </reference>
        </references>
      </pivotArea>
    </format>
    <format dxfId="54">
      <pivotArea dataOnly="0" labelOnly="1" fieldPosition="0">
        <references count="3">
          <reference field="1" count="1" selected="0">
            <x v="3"/>
          </reference>
          <reference field="5" count="18">
            <x v="43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8" count="1" selected="0">
            <x v="1"/>
          </reference>
        </references>
      </pivotArea>
    </format>
    <format dxfId="53">
      <pivotArea dataOnly="0" labelOnly="1" fieldPosition="0">
        <references count="3">
          <reference field="1" count="1" selected="0">
            <x v="1"/>
          </reference>
          <reference field="5" count="11">
            <x v="72"/>
            <x v="75"/>
            <x v="78"/>
            <x v="104"/>
            <x v="105"/>
            <x v="109"/>
            <x v="110"/>
            <x v="112"/>
            <x v="113"/>
            <x v="118"/>
            <x v="119"/>
          </reference>
          <reference field="8" count="1" selected="0">
            <x v="2"/>
          </reference>
        </references>
      </pivotArea>
    </format>
    <format dxfId="52">
      <pivotArea dataOnly="0" labelOnly="1" fieldPosition="0">
        <references count="3">
          <reference field="1" count="1" selected="0">
            <x v="5"/>
          </reference>
          <reference field="5" count="6">
            <x v="31"/>
            <x v="44"/>
            <x v="48"/>
            <x v="80"/>
            <x v="92"/>
            <x v="123"/>
          </reference>
          <reference field="8" count="1" selected="0">
            <x v="2"/>
          </reference>
        </references>
      </pivotArea>
    </format>
    <format dxfId="51">
      <pivotArea dataOnly="0" labelOnly="1" fieldPosition="0">
        <references count="3">
          <reference field="1" count="1" selected="0">
            <x v="9"/>
          </reference>
          <reference field="5" count="3">
            <x v="71"/>
            <x v="74"/>
            <x v="77"/>
          </reference>
          <reference field="8" count="1" selected="0">
            <x v="2"/>
          </reference>
        </references>
      </pivotArea>
    </format>
    <format dxfId="50">
      <pivotArea dataOnly="0" labelOnly="1" fieldPosition="0">
        <references count="3">
          <reference field="1" count="1" selected="0">
            <x v="10"/>
          </reference>
          <reference field="5" count="7">
            <x v="73"/>
            <x v="76"/>
            <x v="79"/>
            <x v="106"/>
            <x v="111"/>
            <x v="114"/>
            <x v="120"/>
          </reference>
          <reference field="8" count="1" selected="0">
            <x v="2"/>
          </reference>
        </references>
      </pivotArea>
    </format>
    <format dxfId="49">
      <pivotArea dataOnly="0" labelOnly="1" fieldPosition="0">
        <references count="3">
          <reference field="1" count="1" selected="0">
            <x v="4"/>
          </reference>
          <reference field="5" count="3">
            <x v="21"/>
            <x v="32"/>
            <x v="89"/>
          </reference>
          <reference field="8" count="1" selected="0">
            <x v="3"/>
          </reference>
        </references>
      </pivotArea>
    </format>
    <format dxfId="48">
      <pivotArea dataOnly="0" labelOnly="1" fieldPosition="0">
        <references count="3">
          <reference field="1" count="1" selected="0">
            <x v="6"/>
          </reference>
          <reference field="5" count="1">
            <x v="22"/>
          </reference>
          <reference field="8" count="1" selected="0">
            <x v="4"/>
          </reference>
        </references>
      </pivotArea>
    </format>
    <format dxfId="47">
      <pivotArea dataOnly="0" labelOnly="1" fieldPosition="0">
        <references count="3">
          <reference field="1" count="1" selected="0">
            <x v="7"/>
          </reference>
          <reference field="5" count="1">
            <x v="85"/>
          </reference>
          <reference field="8" count="1" selected="0">
            <x v="4"/>
          </reference>
        </references>
      </pivotArea>
    </format>
    <format dxfId="46">
      <pivotArea dataOnly="0" labelOnly="1" fieldPosition="0">
        <references count="3">
          <reference field="1" count="1" selected="0">
            <x v="11"/>
          </reference>
          <reference field="5" count="1">
            <x v="99"/>
          </reference>
          <reference field="8" count="1" selected="0">
            <x v="4"/>
          </reference>
        </references>
      </pivotArea>
    </format>
    <format dxfId="45">
      <pivotArea dataOnly="0" labelOnly="1" fieldPosition="0">
        <references count="3">
          <reference field="1" count="1" selected="0">
            <x v="12"/>
          </reference>
          <reference field="5" count="8">
            <x v="45"/>
            <x v="69"/>
            <x v="81"/>
            <x v="82"/>
            <x v="83"/>
            <x v="84"/>
            <x v="86"/>
            <x v="87"/>
          </reference>
          <reference field="8" count="1" selected="0">
            <x v="4"/>
          </reference>
        </references>
      </pivotArea>
    </format>
    <format dxfId="44">
      <pivotArea dataOnly="0" labelOnly="1" fieldPosition="0">
        <references count="3">
          <reference field="1" count="1" selected="0">
            <x v="1"/>
          </reference>
          <reference field="5" count="2">
            <x v="0"/>
            <x v="47"/>
          </reference>
          <reference field="8" count="1" selected="0">
            <x v="5"/>
          </reference>
        </references>
      </pivotArea>
    </format>
    <format dxfId="43">
      <pivotArea dataOnly="0" labelOnly="1" fieldPosition="0">
        <references count="3">
          <reference field="1" count="1" selected="0">
            <x v="8"/>
          </reference>
          <reference field="5" count="4">
            <x v="68"/>
            <x v="115"/>
            <x v="116"/>
            <x v="117"/>
          </reference>
          <reference field="8" count="1" selected="0">
            <x v="5"/>
          </reference>
        </references>
      </pivotArea>
    </format>
    <format dxfId="42">
      <pivotArea dataOnly="0" labelOnly="1" fieldPosition="0">
        <references count="3">
          <reference field="1" count="1" selected="0">
            <x v="10"/>
          </reference>
          <reference field="5" count="10">
            <x v="25"/>
            <x v="26"/>
            <x v="29"/>
            <x v="30"/>
            <x v="66"/>
            <x v="70"/>
            <x v="107"/>
            <x v="108"/>
            <x v="121"/>
            <x v="122"/>
          </reference>
          <reference field="8" count="1" selected="0">
            <x v="5"/>
          </reference>
        </references>
      </pivotArea>
    </format>
    <format dxfId="41">
      <pivotArea dataOnly="0" labelOnly="1" fieldPosition="0">
        <references count="3">
          <reference field="1" count="1" selected="0">
            <x v="13"/>
          </reference>
          <reference field="5" count="2">
            <x v="23"/>
            <x v="24"/>
          </reference>
          <reference field="8" count="1" selected="0">
            <x v="5"/>
          </reference>
        </references>
      </pivotArea>
    </format>
    <format dxfId="40">
      <pivotArea dataOnly="0" labelOnly="1" fieldPosition="0">
        <references count="3">
          <reference field="1" count="1" selected="0">
            <x v="1"/>
          </reference>
          <reference field="5" count="1">
            <x v="1"/>
          </reference>
          <reference field="8" count="1" selected="0">
            <x v="6"/>
          </reference>
        </references>
      </pivotArea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8" type="button" dataOnly="0" labelOnly="1" outline="0" axis="axisRow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1" count="3">
            <x v="1"/>
            <x v="8"/>
            <x v="10"/>
          </reference>
          <reference field="8" count="1" selected="0">
            <x v="0"/>
          </reference>
        </references>
      </pivotArea>
    </format>
    <format dxfId="32">
      <pivotArea dataOnly="0" labelOnly="1" fieldPosition="0">
        <references count="2">
          <reference field="1" count="3">
            <x v="0"/>
            <x v="2"/>
            <x v="3"/>
          </reference>
          <reference field="8" count="1" selected="0">
            <x v="1"/>
          </reference>
        </references>
      </pivotArea>
    </format>
    <format dxfId="31">
      <pivotArea dataOnly="0" labelOnly="1" fieldPosition="0">
        <references count="2">
          <reference field="1" count="4">
            <x v="1"/>
            <x v="5"/>
            <x v="9"/>
            <x v="10"/>
          </reference>
          <reference field="8" count="1" selected="0">
            <x v="2"/>
          </reference>
        </references>
      </pivotArea>
    </format>
    <format dxfId="30">
      <pivotArea dataOnly="0" labelOnly="1" fieldPosition="0">
        <references count="2">
          <reference field="1" count="1">
            <x v="4"/>
          </reference>
          <reference field="8" count="1" selected="0">
            <x v="3"/>
          </reference>
        </references>
      </pivotArea>
    </format>
    <format dxfId="29">
      <pivotArea dataOnly="0" labelOnly="1" fieldPosition="0">
        <references count="2">
          <reference field="1" count="4">
            <x v="6"/>
            <x v="7"/>
            <x v="11"/>
            <x v="12"/>
          </reference>
          <reference field="8" count="1" selected="0">
            <x v="4"/>
          </reference>
        </references>
      </pivotArea>
    </format>
    <format dxfId="28">
      <pivotArea dataOnly="0" labelOnly="1" fieldPosition="0">
        <references count="2">
          <reference field="1" count="4">
            <x v="1"/>
            <x v="8"/>
            <x v="10"/>
            <x v="13"/>
          </reference>
          <reference field="8" count="1" selected="0">
            <x v="5"/>
          </reference>
        </references>
      </pivotArea>
    </format>
    <format dxfId="27">
      <pivotArea dataOnly="0" labelOnly="1" fieldPosition="0">
        <references count="2">
          <reference field="1" count="1">
            <x v="1"/>
          </reference>
          <reference field="8" count="1" selected="0">
            <x v="6"/>
          </reference>
        </references>
      </pivotArea>
    </format>
    <format dxfId="26">
      <pivotArea dataOnly="0" labelOnly="1" fieldPosition="0">
        <references count="3">
          <reference field="1" count="1" selected="0">
            <x v="1"/>
          </reference>
          <reference field="5" count="1">
            <x v="28"/>
          </reference>
          <reference field="8" count="1" selected="0">
            <x v="0"/>
          </reference>
        </references>
      </pivotArea>
    </format>
    <format dxfId="25">
      <pivotArea dataOnly="0" labelOnly="1" fieldPosition="0">
        <references count="3">
          <reference field="1" count="1" selected="0">
            <x v="8"/>
          </reference>
          <reference field="5" count="13">
            <x v="3"/>
            <x v="4"/>
            <x v="5"/>
            <x v="6"/>
            <x v="7"/>
            <x v="8"/>
            <x v="15"/>
            <x v="16"/>
            <x v="17"/>
            <x v="18"/>
            <x v="19"/>
            <x v="20"/>
            <x v="102"/>
          </reference>
          <reference field="8" count="1" selected="0">
            <x v="0"/>
          </reference>
        </references>
      </pivotArea>
    </format>
    <format dxfId="24">
      <pivotArea dataOnly="0" labelOnly="1" fieldPosition="0">
        <references count="3">
          <reference field="1" count="1" selected="0">
            <x v="10"/>
          </reference>
          <reference field="5" count="19">
            <x v="9"/>
            <x v="10"/>
            <x v="11"/>
            <x v="12"/>
            <x v="13"/>
            <x v="14"/>
            <x v="27"/>
            <x v="46"/>
            <x v="67"/>
            <x v="88"/>
            <x v="90"/>
            <x v="91"/>
            <x v="93"/>
            <x v="94"/>
            <x v="95"/>
            <x v="96"/>
            <x v="97"/>
            <x v="98"/>
            <x v="103"/>
          </reference>
          <reference field="8" count="1" selected="0">
            <x v="0"/>
          </reference>
        </references>
      </pivotArea>
    </format>
    <format dxfId="23">
      <pivotArea dataOnly="0" labelOnly="1" fieldPosition="0">
        <references count="3">
          <reference field="1" count="1" selected="0">
            <x v="0"/>
          </reference>
          <reference field="5" count="12">
            <x v="33"/>
            <x v="34"/>
            <x v="35"/>
            <x v="36"/>
            <x v="37"/>
            <x v="38"/>
            <x v="39"/>
            <x v="40"/>
            <x v="41"/>
            <x v="42"/>
            <x v="100"/>
            <x v="101"/>
          </reference>
          <reference field="8" count="1" selected="0">
            <x v="1"/>
          </reference>
        </references>
      </pivotArea>
    </format>
    <format dxfId="22">
      <pivotArea dataOnly="0" labelOnly="1" fieldPosition="0">
        <references count="3">
          <reference field="1" count="1" selected="0">
            <x v="2"/>
          </reference>
          <reference field="5" count="1">
            <x v="2"/>
          </reference>
          <reference field="8" count="1" selected="0">
            <x v="1"/>
          </reference>
        </references>
      </pivotArea>
    </format>
    <format dxfId="21">
      <pivotArea dataOnly="0" labelOnly="1" fieldPosition="0">
        <references count="3">
          <reference field="1" count="1" selected="0">
            <x v="3"/>
          </reference>
          <reference field="5" count="18">
            <x v="43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8" count="1" selected="0">
            <x v="1"/>
          </reference>
        </references>
      </pivotArea>
    </format>
    <format dxfId="20">
      <pivotArea dataOnly="0" labelOnly="1" fieldPosition="0">
        <references count="3">
          <reference field="1" count="1" selected="0">
            <x v="1"/>
          </reference>
          <reference field="5" count="11">
            <x v="72"/>
            <x v="75"/>
            <x v="78"/>
            <x v="104"/>
            <x v="105"/>
            <x v="109"/>
            <x v="110"/>
            <x v="112"/>
            <x v="113"/>
            <x v="118"/>
            <x v="119"/>
          </reference>
          <reference field="8" count="1" selected="0">
            <x v="2"/>
          </reference>
        </references>
      </pivotArea>
    </format>
    <format dxfId="19">
      <pivotArea dataOnly="0" labelOnly="1" fieldPosition="0">
        <references count="3">
          <reference field="1" count="1" selected="0">
            <x v="5"/>
          </reference>
          <reference field="5" count="6">
            <x v="31"/>
            <x v="44"/>
            <x v="48"/>
            <x v="80"/>
            <x v="92"/>
            <x v="123"/>
          </reference>
          <reference field="8" count="1" selected="0">
            <x v="2"/>
          </reference>
        </references>
      </pivotArea>
    </format>
    <format dxfId="18">
      <pivotArea dataOnly="0" labelOnly="1" fieldPosition="0">
        <references count="3">
          <reference field="1" count="1" selected="0">
            <x v="9"/>
          </reference>
          <reference field="5" count="3">
            <x v="71"/>
            <x v="74"/>
            <x v="77"/>
          </reference>
          <reference field="8" count="1" selected="0">
            <x v="2"/>
          </reference>
        </references>
      </pivotArea>
    </format>
    <format dxfId="17">
      <pivotArea dataOnly="0" labelOnly="1" fieldPosition="0">
        <references count="3">
          <reference field="1" count="1" selected="0">
            <x v="10"/>
          </reference>
          <reference field="5" count="7">
            <x v="73"/>
            <x v="76"/>
            <x v="79"/>
            <x v="106"/>
            <x v="111"/>
            <x v="114"/>
            <x v="120"/>
          </reference>
          <reference field="8" count="1" selected="0">
            <x v="2"/>
          </reference>
        </references>
      </pivotArea>
    </format>
    <format dxfId="16">
      <pivotArea dataOnly="0" labelOnly="1" fieldPosition="0">
        <references count="3">
          <reference field="1" count="1" selected="0">
            <x v="4"/>
          </reference>
          <reference field="5" count="3">
            <x v="21"/>
            <x v="32"/>
            <x v="89"/>
          </reference>
          <reference field="8" count="1" selected="0">
            <x v="3"/>
          </reference>
        </references>
      </pivotArea>
    </format>
    <format dxfId="15">
      <pivotArea dataOnly="0" labelOnly="1" fieldPosition="0">
        <references count="3">
          <reference field="1" count="1" selected="0">
            <x v="6"/>
          </reference>
          <reference field="5" count="1">
            <x v="22"/>
          </reference>
          <reference field="8" count="1" selected="0">
            <x v="4"/>
          </reference>
        </references>
      </pivotArea>
    </format>
    <format dxfId="14">
      <pivotArea dataOnly="0" labelOnly="1" fieldPosition="0">
        <references count="3">
          <reference field="1" count="1" selected="0">
            <x v="7"/>
          </reference>
          <reference field="5" count="1">
            <x v="85"/>
          </reference>
          <reference field="8" count="1" selected="0">
            <x v="4"/>
          </reference>
        </references>
      </pivotArea>
    </format>
    <format dxfId="13">
      <pivotArea dataOnly="0" labelOnly="1" fieldPosition="0">
        <references count="3">
          <reference field="1" count="1" selected="0">
            <x v="11"/>
          </reference>
          <reference field="5" count="1">
            <x v="99"/>
          </reference>
          <reference field="8" count="1" selected="0">
            <x v="4"/>
          </reference>
        </references>
      </pivotArea>
    </format>
    <format dxfId="12">
      <pivotArea dataOnly="0" labelOnly="1" fieldPosition="0">
        <references count="3">
          <reference field="1" count="1" selected="0">
            <x v="12"/>
          </reference>
          <reference field="5" count="8">
            <x v="45"/>
            <x v="69"/>
            <x v="81"/>
            <x v="82"/>
            <x v="83"/>
            <x v="84"/>
            <x v="86"/>
            <x v="87"/>
          </reference>
          <reference field="8" count="1" selected="0">
            <x v="4"/>
          </reference>
        </references>
      </pivotArea>
    </format>
    <format dxfId="11">
      <pivotArea dataOnly="0" labelOnly="1" fieldPosition="0">
        <references count="3">
          <reference field="1" count="1" selected="0">
            <x v="1"/>
          </reference>
          <reference field="5" count="2">
            <x v="0"/>
            <x v="47"/>
          </reference>
          <reference field="8" count="1" selected="0">
            <x v="5"/>
          </reference>
        </references>
      </pivotArea>
    </format>
    <format dxfId="10">
      <pivotArea dataOnly="0" labelOnly="1" fieldPosition="0">
        <references count="3">
          <reference field="1" count="1" selected="0">
            <x v="8"/>
          </reference>
          <reference field="5" count="4">
            <x v="68"/>
            <x v="115"/>
            <x v="116"/>
            <x v="117"/>
          </reference>
          <reference field="8" count="1" selected="0">
            <x v="5"/>
          </reference>
        </references>
      </pivotArea>
    </format>
    <format dxfId="9">
      <pivotArea dataOnly="0" labelOnly="1" fieldPosition="0">
        <references count="3">
          <reference field="1" count="1" selected="0">
            <x v="10"/>
          </reference>
          <reference field="5" count="10">
            <x v="25"/>
            <x v="26"/>
            <x v="29"/>
            <x v="30"/>
            <x v="66"/>
            <x v="70"/>
            <x v="107"/>
            <x v="108"/>
            <x v="121"/>
            <x v="122"/>
          </reference>
          <reference field="8" count="1" selected="0">
            <x v="5"/>
          </reference>
        </references>
      </pivotArea>
    </format>
    <format dxfId="8">
      <pivotArea dataOnly="0" labelOnly="1" fieldPosition="0">
        <references count="3">
          <reference field="1" count="1" selected="0">
            <x v="13"/>
          </reference>
          <reference field="5" count="2">
            <x v="23"/>
            <x v="24"/>
          </reference>
          <reference field="8" count="1" selected="0">
            <x v="5"/>
          </reference>
        </references>
      </pivotArea>
    </format>
    <format dxfId="7">
      <pivotArea dataOnly="0" labelOnly="1" fieldPosition="0">
        <references count="3">
          <reference field="1" count="1" selected="0">
            <x v="1"/>
          </reference>
          <reference field="5" count="1">
            <x v="1"/>
          </reference>
          <reference field="8" count="1" selected="0">
            <x v="6"/>
          </reference>
        </references>
      </pivotArea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03-21T17:40:19.03" personId="{A021C69C-3400-4578-9EE1-49976545986F}" id="{A0715ACF-1C06-4618-8752-C308F0FDF587}">
    <text>Mensual, anual, bianual, etc.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3-21T17:40:19.03" personId="{A021C69C-3400-4578-9EE1-49976545986F}" id="{9A28272A-D5C2-49DD-940A-0405E92A9978}">
    <text>Mensual, anual, bianual, etc.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5-05-06T19:31:43.01" personId="{A021C69C-3400-4578-9EE1-49976545986F}" id="{F00FBEF4-27AC-48B6-BB86-09B794C6A060}">
    <text>Año (o grupo de años) más reciente al que corresponde la observación incluida en la base de datos.</text>
  </threadedComment>
  <threadedComment ref="M1" dT="2025-03-21T17:40:19.03" personId="{A021C69C-3400-4578-9EE1-49976545986F}" id="{9B11C532-7C0C-4E15-8D24-9D240F7DF03B}">
    <text>Mensual, anual, bianual, etc.</text>
  </threadedComment>
  <threadedComment ref="D76" dT="2025-04-07T22:59:17.49" personId="{A021C69C-3400-4578-9EE1-49976545986F}" id="{9985BEF2-B5B7-49FE-97CD-36E0FA9735F2}" done="1">
    <text>@Felipe  Carmona Saldarriaga Evaluar si tiene desagregación por zonas (rural, urbano) y si tiene suficiente variabilidad para segmentar los municipios</text>
    <mentions>
      <mention mentionpersonId="{C930925A-415A-4194-AAF4-E5F755B1BA72}" mentionId="{1229DB62-1DC8-4399-9AE6-A0AA1C3E12B0}" startIndex="0" length="28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5-05-06T19:31:43.01" personId="{A021C69C-3400-4578-9EE1-49976545986F}" id="{8EE87CA6-9640-4E73-ACC8-615BE95310E1}">
    <text>Año (o grupo de años) más reciente al que corresponde la observación incluida en la base de datos.</text>
  </threadedComment>
  <threadedComment ref="M1" dT="2025-03-21T17:40:19.03" personId="{A021C69C-3400-4578-9EE1-49976545986F}" id="{C8D1CE16-F4A6-41F6-821A-F00165202F80}">
    <text>Mensual, anual, bianual, etc.</text>
  </threadedComment>
  <threadedComment ref="C4" dT="2025-04-07T22:59:17.49" personId="{A021C69C-3400-4578-9EE1-49976545986F}" id="{A9C9F461-A59E-4027-9CF8-4045F6E85D7C}" done="1">
    <text>@Felipe  Carmona Saldarriaga Evaluar si tiene desagregación por zonas (rural, urbano) y si tiene suficiente variabilidad para segmentar los municipios</text>
    <mentions>
      <mention mentionpersonId="{C930925A-415A-4194-AAF4-E5F755B1BA72}" mentionId="{5928791D-70C3-48C5-A2A9-539AD7BA360C}" startIndex="0" length="28"/>
    </mentions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6F69-DAAC-4623-B3F0-6F14E8BD5CB6}">
  <dimension ref="A1:B8"/>
  <sheetViews>
    <sheetView workbookViewId="0"/>
  </sheetViews>
  <sheetFormatPr baseColWidth="10" defaultColWidth="8.6640625" defaultRowHeight="15" x14ac:dyDescent="0.35"/>
  <cols>
    <col min="1" max="1" width="12.88671875" style="2" bestFit="1" customWidth="1"/>
    <col min="2" max="2" width="42.44140625" style="2" bestFit="1" customWidth="1"/>
    <col min="3" max="16384" width="8.6640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2" t="s">
        <v>7</v>
      </c>
    </row>
    <row r="5" spans="1:2" x14ac:dyDescent="0.35">
      <c r="A5" s="1" t="s">
        <v>8</v>
      </c>
      <c r="B5" s="2" t="s">
        <v>9</v>
      </c>
    </row>
    <row r="6" spans="1:2" x14ac:dyDescent="0.35">
      <c r="A6" s="1" t="s">
        <v>10</v>
      </c>
      <c r="B6" s="2" t="s">
        <v>11</v>
      </c>
    </row>
    <row r="7" spans="1:2" x14ac:dyDescent="0.35">
      <c r="A7" s="1" t="s">
        <v>12</v>
      </c>
      <c r="B7" s="2" t="s">
        <v>13</v>
      </c>
    </row>
    <row r="8" spans="1:2" x14ac:dyDescent="0.35">
      <c r="A8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3AE0-F27C-42FB-A3B3-1843B75A22EB}">
  <dimension ref="A1:I221"/>
  <sheetViews>
    <sheetView tabSelected="1" zoomScale="125" zoomScaleNormal="80" workbookViewId="0">
      <selection activeCell="A210" sqref="A62:A210"/>
    </sheetView>
  </sheetViews>
  <sheetFormatPr baseColWidth="10" defaultColWidth="11.44140625" defaultRowHeight="14.4" x14ac:dyDescent="0.3"/>
  <cols>
    <col min="1" max="1" width="22.5546875" style="44" bestFit="1" customWidth="1"/>
    <col min="2" max="2" width="114.44140625" style="44" customWidth="1"/>
    <col min="3" max="3" width="19.88671875" style="44" bestFit="1" customWidth="1"/>
    <col min="4" max="4" width="26.109375" style="44" hidden="1" customWidth="1"/>
    <col min="5" max="5" width="10.109375" style="44" bestFit="1" customWidth="1"/>
    <col min="6" max="6" width="41" style="44" bestFit="1" customWidth="1"/>
    <col min="7" max="7" width="42.6640625" style="48" customWidth="1"/>
    <col min="8" max="8" width="74.109375" style="44" bestFit="1" customWidth="1"/>
    <col min="9" max="9" width="50.109375" style="44" bestFit="1" customWidth="1"/>
    <col min="10" max="16384" width="11.44140625" style="44"/>
  </cols>
  <sheetData>
    <row r="1" spans="1:9" x14ac:dyDescent="0.3">
      <c r="A1" s="40" t="s">
        <v>6</v>
      </c>
      <c r="B1" s="40" t="s">
        <v>8</v>
      </c>
      <c r="C1" s="40" t="s">
        <v>15</v>
      </c>
      <c r="D1" s="40" t="s">
        <v>16</v>
      </c>
      <c r="E1" s="40" t="s">
        <v>0</v>
      </c>
      <c r="F1" s="40" t="s">
        <v>17</v>
      </c>
      <c r="G1" s="46" t="s">
        <v>18</v>
      </c>
      <c r="H1" s="40" t="s">
        <v>19</v>
      </c>
      <c r="I1" s="40" t="s">
        <v>21</v>
      </c>
    </row>
    <row r="2" spans="1:9" x14ac:dyDescent="0.3">
      <c r="A2" s="41" t="s">
        <v>22</v>
      </c>
      <c r="B2" s="41" t="s">
        <v>23</v>
      </c>
      <c r="C2" s="41" t="s">
        <v>25</v>
      </c>
      <c r="D2" s="41"/>
      <c r="E2" s="41" t="s">
        <v>26</v>
      </c>
      <c r="F2" s="41" t="s">
        <v>1073</v>
      </c>
      <c r="G2" s="47" t="s">
        <v>28</v>
      </c>
      <c r="H2" s="41" t="s">
        <v>29</v>
      </c>
      <c r="I2" s="42" t="s">
        <v>31</v>
      </c>
    </row>
    <row r="3" spans="1:9" x14ac:dyDescent="0.3">
      <c r="A3" s="41" t="s">
        <v>1205</v>
      </c>
      <c r="B3" s="41" t="s">
        <v>32</v>
      </c>
      <c r="C3" s="41" t="s">
        <v>33</v>
      </c>
      <c r="D3" s="41"/>
      <c r="E3" s="41" t="s">
        <v>34</v>
      </c>
      <c r="F3" s="41" t="s">
        <v>35</v>
      </c>
      <c r="G3" s="47" t="s">
        <v>36</v>
      </c>
      <c r="H3" s="41" t="s">
        <v>37</v>
      </c>
      <c r="I3" s="41" t="s">
        <v>38</v>
      </c>
    </row>
    <row r="4" spans="1:9" x14ac:dyDescent="0.3">
      <c r="A4" s="41" t="s">
        <v>39</v>
      </c>
      <c r="B4" s="41" t="s">
        <v>40</v>
      </c>
      <c r="C4" s="41" t="s">
        <v>41</v>
      </c>
      <c r="D4" s="41"/>
      <c r="E4" s="41" t="s">
        <v>42</v>
      </c>
      <c r="F4" s="41" t="s">
        <v>1072</v>
      </c>
      <c r="G4" s="47" t="s">
        <v>28</v>
      </c>
      <c r="H4" s="41" t="s">
        <v>44</v>
      </c>
      <c r="I4" s="41" t="s">
        <v>38</v>
      </c>
    </row>
    <row r="5" spans="1:9" x14ac:dyDescent="0.3">
      <c r="A5" s="41" t="s">
        <v>46</v>
      </c>
      <c r="B5" s="41" t="s">
        <v>47</v>
      </c>
      <c r="C5" s="41" t="s">
        <v>41</v>
      </c>
      <c r="D5" s="41"/>
      <c r="E5" s="41" t="s">
        <v>42</v>
      </c>
      <c r="F5" s="41" t="s">
        <v>1072</v>
      </c>
      <c r="G5" s="47" t="s">
        <v>28</v>
      </c>
      <c r="H5" s="41" t="s">
        <v>44</v>
      </c>
      <c r="I5" s="41" t="s">
        <v>38</v>
      </c>
    </row>
    <row r="6" spans="1:9" x14ac:dyDescent="0.3">
      <c r="A6" s="41" t="s">
        <v>48</v>
      </c>
      <c r="B6" s="41" t="s">
        <v>49</v>
      </c>
      <c r="C6" s="41" t="s">
        <v>25</v>
      </c>
      <c r="D6" s="41"/>
      <c r="E6" s="41" t="s">
        <v>26</v>
      </c>
      <c r="F6" s="41" t="s">
        <v>51</v>
      </c>
      <c r="G6" s="47" t="s">
        <v>28</v>
      </c>
      <c r="H6" s="41" t="s">
        <v>44</v>
      </c>
      <c r="I6" s="43" t="s">
        <v>31</v>
      </c>
    </row>
    <row r="7" spans="1:9" x14ac:dyDescent="0.3">
      <c r="A7" s="41" t="s">
        <v>52</v>
      </c>
      <c r="B7" s="41" t="s">
        <v>53</v>
      </c>
      <c r="C7" s="41" t="s">
        <v>25</v>
      </c>
      <c r="D7" s="41" t="s">
        <v>54</v>
      </c>
      <c r="E7" s="41" t="s">
        <v>26</v>
      </c>
      <c r="F7" s="41" t="s">
        <v>55</v>
      </c>
      <c r="G7" s="47" t="s">
        <v>56</v>
      </c>
      <c r="H7" s="41" t="s">
        <v>57</v>
      </c>
      <c r="I7" s="41" t="s">
        <v>38</v>
      </c>
    </row>
    <row r="8" spans="1:9" x14ac:dyDescent="0.3">
      <c r="A8" s="41" t="s">
        <v>1204</v>
      </c>
      <c r="B8" s="41" t="s">
        <v>59</v>
      </c>
      <c r="C8" s="41" t="s">
        <v>25</v>
      </c>
      <c r="D8" s="41"/>
      <c r="E8" s="41" t="s">
        <v>42</v>
      </c>
      <c r="F8" s="41" t="s">
        <v>1072</v>
      </c>
      <c r="G8" s="47" t="s">
        <v>28</v>
      </c>
      <c r="H8" s="41" t="s">
        <v>44</v>
      </c>
      <c r="I8" s="42" t="s">
        <v>31</v>
      </c>
    </row>
    <row r="9" spans="1:9" x14ac:dyDescent="0.3">
      <c r="A9" s="41" t="s">
        <v>60</v>
      </c>
      <c r="B9" s="41" t="s">
        <v>61</v>
      </c>
      <c r="C9" s="41" t="s">
        <v>25</v>
      </c>
      <c r="D9" s="41"/>
      <c r="E9" s="41" t="s">
        <v>42</v>
      </c>
      <c r="F9" s="41" t="s">
        <v>1072</v>
      </c>
      <c r="G9" s="47" t="s">
        <v>28</v>
      </c>
      <c r="H9" s="41" t="s">
        <v>44</v>
      </c>
      <c r="I9" s="43" t="s">
        <v>31</v>
      </c>
    </row>
    <row r="10" spans="1:9" ht="15" x14ac:dyDescent="0.3">
      <c r="A10" s="41" t="s">
        <v>62</v>
      </c>
      <c r="B10" s="45" t="s">
        <v>63</v>
      </c>
      <c r="C10" s="41" t="s">
        <v>25</v>
      </c>
      <c r="D10" s="41"/>
      <c r="E10" s="41" t="s">
        <v>42</v>
      </c>
      <c r="F10" s="41" t="s">
        <v>497</v>
      </c>
      <c r="G10" s="47" t="s">
        <v>28</v>
      </c>
      <c r="H10" s="41" t="s">
        <v>44</v>
      </c>
      <c r="I10" s="43" t="s">
        <v>31</v>
      </c>
    </row>
    <row r="11" spans="1:9" x14ac:dyDescent="0.3">
      <c r="A11" s="41" t="s">
        <v>1203</v>
      </c>
      <c r="B11" s="41" t="s">
        <v>65</v>
      </c>
      <c r="C11" s="41" t="s">
        <v>25</v>
      </c>
      <c r="D11" s="41"/>
      <c r="E11" s="41" t="s">
        <v>42</v>
      </c>
      <c r="F11" s="41" t="s">
        <v>497</v>
      </c>
      <c r="G11" s="47" t="s">
        <v>28</v>
      </c>
      <c r="H11" s="41" t="s">
        <v>44</v>
      </c>
      <c r="I11" s="43" t="s">
        <v>31</v>
      </c>
    </row>
    <row r="12" spans="1:9" ht="15" x14ac:dyDescent="0.3">
      <c r="A12" s="41" t="s">
        <v>1181</v>
      </c>
      <c r="B12" s="45" t="s">
        <v>66</v>
      </c>
      <c r="C12" s="41" t="s">
        <v>25</v>
      </c>
      <c r="D12" s="41"/>
      <c r="E12" s="41" t="s">
        <v>42</v>
      </c>
      <c r="F12" s="41" t="s">
        <v>1072</v>
      </c>
      <c r="G12" s="47" t="s">
        <v>28</v>
      </c>
      <c r="H12" s="41" t="s">
        <v>44</v>
      </c>
      <c r="I12" s="43" t="s">
        <v>31</v>
      </c>
    </row>
    <row r="13" spans="1:9" x14ac:dyDescent="0.3">
      <c r="A13" s="41" t="s">
        <v>67</v>
      </c>
      <c r="B13" s="41" t="s">
        <v>68</v>
      </c>
      <c r="C13" s="41" t="s">
        <v>25</v>
      </c>
      <c r="D13" s="41"/>
      <c r="E13" s="41" t="s">
        <v>26</v>
      </c>
      <c r="F13" s="41" t="s">
        <v>51</v>
      </c>
      <c r="G13" s="47" t="s">
        <v>28</v>
      </c>
      <c r="H13" s="41" t="s">
        <v>44</v>
      </c>
      <c r="I13" s="43" t="s">
        <v>31</v>
      </c>
    </row>
    <row r="14" spans="1:9" x14ac:dyDescent="0.3">
      <c r="A14" s="41" t="s">
        <v>69</v>
      </c>
      <c r="B14" s="41" t="s">
        <v>70</v>
      </c>
      <c r="C14" s="41" t="s">
        <v>25</v>
      </c>
      <c r="D14" s="41" t="s">
        <v>54</v>
      </c>
      <c r="E14" s="41" t="s">
        <v>26</v>
      </c>
      <c r="F14" s="41" t="s">
        <v>55</v>
      </c>
      <c r="G14" s="47" t="s">
        <v>56</v>
      </c>
      <c r="H14" s="41" t="s">
        <v>71</v>
      </c>
      <c r="I14" s="41" t="s">
        <v>38</v>
      </c>
    </row>
    <row r="15" spans="1:9" x14ac:dyDescent="0.3">
      <c r="A15" s="41" t="s">
        <v>72</v>
      </c>
      <c r="B15" s="41" t="s">
        <v>73</v>
      </c>
      <c r="C15" s="41" t="s">
        <v>25</v>
      </c>
      <c r="D15" s="41" t="s">
        <v>54</v>
      </c>
      <c r="E15" s="41" t="s">
        <v>26</v>
      </c>
      <c r="F15" s="41" t="s">
        <v>55</v>
      </c>
      <c r="G15" s="47" t="s">
        <v>56</v>
      </c>
      <c r="H15" s="41" t="s">
        <v>71</v>
      </c>
      <c r="I15" s="41" t="s">
        <v>38</v>
      </c>
    </row>
    <row r="16" spans="1:9" x14ac:dyDescent="0.3">
      <c r="A16" s="41" t="s">
        <v>74</v>
      </c>
      <c r="B16" s="41" t="s">
        <v>75</v>
      </c>
      <c r="C16" s="41" t="s">
        <v>25</v>
      </c>
      <c r="D16" s="41"/>
      <c r="E16" s="41" t="s">
        <v>26</v>
      </c>
      <c r="F16" s="41" t="s">
        <v>51</v>
      </c>
      <c r="G16" s="47" t="s">
        <v>28</v>
      </c>
      <c r="H16" s="41" t="s">
        <v>44</v>
      </c>
      <c r="I16" s="43" t="s">
        <v>31</v>
      </c>
    </row>
    <row r="17" spans="1:9" x14ac:dyDescent="0.3">
      <c r="A17" s="41" t="s">
        <v>1182</v>
      </c>
      <c r="B17" s="41" t="s">
        <v>77</v>
      </c>
      <c r="C17" s="41" t="s">
        <v>25</v>
      </c>
      <c r="D17" s="41" t="s">
        <v>78</v>
      </c>
      <c r="E17" s="41" t="s">
        <v>26</v>
      </c>
      <c r="F17" s="41" t="s">
        <v>55</v>
      </c>
      <c r="G17" s="47" t="s">
        <v>56</v>
      </c>
      <c r="H17" s="41" t="s">
        <v>79</v>
      </c>
      <c r="I17" s="41" t="s">
        <v>38</v>
      </c>
    </row>
    <row r="18" spans="1:9" x14ac:dyDescent="0.3">
      <c r="A18" s="41" t="s">
        <v>1183</v>
      </c>
      <c r="B18" s="41" t="s">
        <v>81</v>
      </c>
      <c r="C18" s="41" t="s">
        <v>25</v>
      </c>
      <c r="D18" s="41" t="s">
        <v>78</v>
      </c>
      <c r="E18" s="41" t="s">
        <v>26</v>
      </c>
      <c r="F18" s="41" t="s">
        <v>55</v>
      </c>
      <c r="G18" s="47" t="s">
        <v>56</v>
      </c>
      <c r="H18" s="41" t="s">
        <v>79</v>
      </c>
      <c r="I18" s="41" t="s">
        <v>38</v>
      </c>
    </row>
    <row r="19" spans="1:9" x14ac:dyDescent="0.3">
      <c r="A19" s="41" t="s">
        <v>1184</v>
      </c>
      <c r="B19" s="41" t="s">
        <v>83</v>
      </c>
      <c r="C19" s="41" t="s">
        <v>25</v>
      </c>
      <c r="D19" s="41" t="s">
        <v>78</v>
      </c>
      <c r="E19" s="41" t="s">
        <v>26</v>
      </c>
      <c r="F19" s="41" t="s">
        <v>55</v>
      </c>
      <c r="G19" s="47" t="s">
        <v>56</v>
      </c>
      <c r="H19" s="41" t="s">
        <v>79</v>
      </c>
      <c r="I19" s="41" t="s">
        <v>38</v>
      </c>
    </row>
    <row r="20" spans="1:9" x14ac:dyDescent="0.3">
      <c r="A20" s="41" t="s">
        <v>1185</v>
      </c>
      <c r="B20" s="41" t="s">
        <v>85</v>
      </c>
      <c r="C20" s="41" t="s">
        <v>25</v>
      </c>
      <c r="D20" s="41" t="s">
        <v>78</v>
      </c>
      <c r="E20" s="41" t="s">
        <v>26</v>
      </c>
      <c r="F20" s="41" t="s">
        <v>55</v>
      </c>
      <c r="G20" s="47" t="s">
        <v>56</v>
      </c>
      <c r="H20" s="41" t="s">
        <v>79</v>
      </c>
      <c r="I20" s="41" t="s">
        <v>38</v>
      </c>
    </row>
    <row r="21" spans="1:9" x14ac:dyDescent="0.3">
      <c r="A21" s="41" t="s">
        <v>1171</v>
      </c>
      <c r="B21" s="41" t="s">
        <v>86</v>
      </c>
      <c r="C21" s="41" t="s">
        <v>25</v>
      </c>
      <c r="D21" s="41"/>
      <c r="E21" s="41" t="s">
        <v>42</v>
      </c>
      <c r="F21" s="41" t="s">
        <v>1072</v>
      </c>
      <c r="G21" s="47" t="s">
        <v>28</v>
      </c>
      <c r="H21" s="41" t="s">
        <v>44</v>
      </c>
      <c r="I21" s="43" t="s">
        <v>31</v>
      </c>
    </row>
    <row r="22" spans="1:9" x14ac:dyDescent="0.3">
      <c r="A22" s="41" t="s">
        <v>87</v>
      </c>
      <c r="B22" s="41" t="s">
        <v>88</v>
      </c>
      <c r="C22" s="41" t="s">
        <v>41</v>
      </c>
      <c r="D22" s="41"/>
      <c r="E22" s="41" t="s">
        <v>26</v>
      </c>
      <c r="F22" s="41" t="s">
        <v>89</v>
      </c>
      <c r="G22" s="47" t="s">
        <v>28</v>
      </c>
      <c r="H22" s="41" t="s">
        <v>90</v>
      </c>
      <c r="I22" s="41" t="s">
        <v>38</v>
      </c>
    </row>
    <row r="23" spans="1:9" x14ac:dyDescent="0.3">
      <c r="A23" s="41" t="s">
        <v>91</v>
      </c>
      <c r="B23" s="41" t="s">
        <v>92</v>
      </c>
      <c r="C23" s="41" t="s">
        <v>41</v>
      </c>
      <c r="D23" s="41"/>
      <c r="E23" s="41" t="s">
        <v>26</v>
      </c>
      <c r="F23" s="41" t="s">
        <v>89</v>
      </c>
      <c r="G23" s="47" t="s">
        <v>28</v>
      </c>
      <c r="H23" s="41" t="s">
        <v>90</v>
      </c>
      <c r="I23" s="41" t="s">
        <v>38</v>
      </c>
    </row>
    <row r="24" spans="1:9" x14ac:dyDescent="0.3">
      <c r="A24" s="41" t="s">
        <v>93</v>
      </c>
      <c r="B24" s="41" t="s">
        <v>94</v>
      </c>
      <c r="C24" s="41" t="s">
        <v>41</v>
      </c>
      <c r="D24" s="41"/>
      <c r="E24" s="41" t="s">
        <v>26</v>
      </c>
      <c r="F24" s="41" t="s">
        <v>89</v>
      </c>
      <c r="G24" s="47" t="s">
        <v>28</v>
      </c>
      <c r="H24" s="41" t="s">
        <v>90</v>
      </c>
      <c r="I24" s="41" t="s">
        <v>38</v>
      </c>
    </row>
    <row r="25" spans="1:9" x14ac:dyDescent="0.3">
      <c r="A25" s="41" t="s">
        <v>95</v>
      </c>
      <c r="B25" s="41" t="s">
        <v>96</v>
      </c>
      <c r="C25" s="41" t="s">
        <v>41</v>
      </c>
      <c r="D25" s="41"/>
      <c r="E25" s="41" t="s">
        <v>26</v>
      </c>
      <c r="F25" s="41" t="s">
        <v>89</v>
      </c>
      <c r="G25" s="47" t="s">
        <v>28</v>
      </c>
      <c r="H25" s="41" t="s">
        <v>90</v>
      </c>
      <c r="I25" s="41" t="s">
        <v>38</v>
      </c>
    </row>
    <row r="26" spans="1:9" x14ac:dyDescent="0.3">
      <c r="A26" s="41" t="s">
        <v>97</v>
      </c>
      <c r="B26" s="41" t="s">
        <v>98</v>
      </c>
      <c r="C26" s="41" t="s">
        <v>41</v>
      </c>
      <c r="D26" s="41"/>
      <c r="E26" s="41" t="s">
        <v>26</v>
      </c>
      <c r="F26" s="41" t="s">
        <v>89</v>
      </c>
      <c r="G26" s="47" t="s">
        <v>28</v>
      </c>
      <c r="H26" s="41" t="s">
        <v>90</v>
      </c>
      <c r="I26" s="41" t="s">
        <v>38</v>
      </c>
    </row>
    <row r="27" spans="1:9" x14ac:dyDescent="0.3">
      <c r="A27" s="41" t="s">
        <v>99</v>
      </c>
      <c r="B27" s="41" t="s">
        <v>100</v>
      </c>
      <c r="C27" s="41" t="s">
        <v>41</v>
      </c>
      <c r="D27" s="41"/>
      <c r="E27" s="41" t="s">
        <v>26</v>
      </c>
      <c r="F27" s="41" t="s">
        <v>89</v>
      </c>
      <c r="G27" s="47" t="s">
        <v>28</v>
      </c>
      <c r="H27" s="41" t="s">
        <v>90</v>
      </c>
      <c r="I27" s="41" t="s">
        <v>38</v>
      </c>
    </row>
    <row r="28" spans="1:9" x14ac:dyDescent="0.3">
      <c r="A28" s="41" t="s">
        <v>101</v>
      </c>
      <c r="B28" s="41" t="s">
        <v>102</v>
      </c>
      <c r="C28" s="41" t="s">
        <v>41</v>
      </c>
      <c r="D28" s="41"/>
      <c r="E28" s="41" t="s">
        <v>26</v>
      </c>
      <c r="F28" s="41" t="s">
        <v>89</v>
      </c>
      <c r="G28" s="47" t="s">
        <v>28</v>
      </c>
      <c r="H28" s="41" t="s">
        <v>90</v>
      </c>
      <c r="I28" s="41" t="s">
        <v>38</v>
      </c>
    </row>
    <row r="29" spans="1:9" x14ac:dyDescent="0.3">
      <c r="A29" s="41" t="s">
        <v>103</v>
      </c>
      <c r="B29" s="41" t="s">
        <v>104</v>
      </c>
      <c r="C29" s="41" t="s">
        <v>41</v>
      </c>
      <c r="D29" s="41"/>
      <c r="E29" s="41" t="s">
        <v>26</v>
      </c>
      <c r="F29" s="41" t="s">
        <v>89</v>
      </c>
      <c r="G29" s="47" t="s">
        <v>28</v>
      </c>
      <c r="H29" s="41" t="s">
        <v>90</v>
      </c>
      <c r="I29" s="41" t="s">
        <v>38</v>
      </c>
    </row>
    <row r="30" spans="1:9" x14ac:dyDescent="0.3">
      <c r="A30" s="41" t="s">
        <v>1074</v>
      </c>
      <c r="B30" s="41" t="s">
        <v>105</v>
      </c>
      <c r="C30" s="41" t="s">
        <v>41</v>
      </c>
      <c r="D30" s="41"/>
      <c r="E30" s="41" t="s">
        <v>26</v>
      </c>
      <c r="F30" s="41" t="s">
        <v>106</v>
      </c>
      <c r="G30" s="47" t="s">
        <v>28</v>
      </c>
      <c r="H30" s="41" t="s">
        <v>90</v>
      </c>
      <c r="I30" s="41" t="s">
        <v>38</v>
      </c>
    </row>
    <row r="31" spans="1:9" x14ac:dyDescent="0.3">
      <c r="A31" s="41" t="s">
        <v>107</v>
      </c>
      <c r="B31" s="41" t="s">
        <v>108</v>
      </c>
      <c r="C31" s="41" t="s">
        <v>25</v>
      </c>
      <c r="D31" s="41"/>
      <c r="E31" s="41" t="s">
        <v>26</v>
      </c>
      <c r="F31" s="41" t="s">
        <v>106</v>
      </c>
      <c r="G31" s="47" t="s">
        <v>28</v>
      </c>
      <c r="H31" s="41" t="s">
        <v>90</v>
      </c>
      <c r="I31" s="41" t="s">
        <v>38</v>
      </c>
    </row>
    <row r="32" spans="1:9" x14ac:dyDescent="0.3">
      <c r="A32" s="41" t="s">
        <v>109</v>
      </c>
      <c r="B32" s="41" t="s">
        <v>110</v>
      </c>
      <c r="C32" s="41" t="s">
        <v>41</v>
      </c>
      <c r="D32" s="41"/>
      <c r="E32" s="41" t="s">
        <v>26</v>
      </c>
      <c r="F32" s="41" t="s">
        <v>1073</v>
      </c>
      <c r="G32" s="47" t="s">
        <v>28</v>
      </c>
      <c r="H32" s="41" t="s">
        <v>111</v>
      </c>
      <c r="I32" s="41" t="s">
        <v>38</v>
      </c>
    </row>
    <row r="33" spans="1:9" x14ac:dyDescent="0.3">
      <c r="A33" s="41" t="s">
        <v>1173</v>
      </c>
      <c r="B33" s="41" t="s">
        <v>113</v>
      </c>
      <c r="C33" s="41" t="s">
        <v>152</v>
      </c>
      <c r="D33" s="41"/>
      <c r="E33" s="41" t="s">
        <v>26</v>
      </c>
      <c r="F33" s="41" t="s">
        <v>1073</v>
      </c>
      <c r="G33" s="47" t="s">
        <v>28</v>
      </c>
      <c r="H33" s="41" t="s">
        <v>115</v>
      </c>
      <c r="I33" s="41" t="s">
        <v>38</v>
      </c>
    </row>
    <row r="34" spans="1:9" x14ac:dyDescent="0.3">
      <c r="A34" s="41" t="s">
        <v>116</v>
      </c>
      <c r="B34" s="41" t="s">
        <v>117</v>
      </c>
      <c r="C34" s="41" t="s">
        <v>41</v>
      </c>
      <c r="D34" s="41"/>
      <c r="E34" s="41" t="s">
        <v>26</v>
      </c>
      <c r="F34" s="41" t="s">
        <v>118</v>
      </c>
      <c r="G34" s="47" t="s">
        <v>56</v>
      </c>
      <c r="H34" s="41" t="s">
        <v>119</v>
      </c>
      <c r="I34" s="41" t="s">
        <v>38</v>
      </c>
    </row>
    <row r="35" spans="1:9" x14ac:dyDescent="0.3">
      <c r="A35" s="41" t="s">
        <v>120</v>
      </c>
      <c r="B35" s="41" t="s">
        <v>121</v>
      </c>
      <c r="C35" s="41" t="s">
        <v>41</v>
      </c>
      <c r="D35" s="41" t="s">
        <v>41</v>
      </c>
      <c r="E35" s="41" t="s">
        <v>42</v>
      </c>
      <c r="F35" s="41" t="s">
        <v>497</v>
      </c>
      <c r="G35" s="47" t="s">
        <v>28</v>
      </c>
      <c r="H35" s="41" t="s">
        <v>122</v>
      </c>
      <c r="I35" s="41" t="s">
        <v>38</v>
      </c>
    </row>
    <row r="36" spans="1:9" x14ac:dyDescent="0.3">
      <c r="A36" s="41" t="s">
        <v>124</v>
      </c>
      <c r="B36" s="41" t="s">
        <v>125</v>
      </c>
      <c r="C36" s="41" t="s">
        <v>41</v>
      </c>
      <c r="D36" s="41" t="s">
        <v>41</v>
      </c>
      <c r="E36" s="41" t="s">
        <v>42</v>
      </c>
      <c r="F36" s="41" t="s">
        <v>126</v>
      </c>
      <c r="G36" s="47" t="s">
        <v>28</v>
      </c>
      <c r="H36" s="41" t="s">
        <v>127</v>
      </c>
      <c r="I36" s="41" t="s">
        <v>38</v>
      </c>
    </row>
    <row r="37" spans="1:9" ht="15" x14ac:dyDescent="0.3">
      <c r="A37" s="41" t="s">
        <v>128</v>
      </c>
      <c r="B37" s="41" t="s">
        <v>129</v>
      </c>
      <c r="C37" s="41" t="s">
        <v>25</v>
      </c>
      <c r="D37" s="41"/>
      <c r="E37" s="41" t="s">
        <v>26</v>
      </c>
      <c r="F37" s="41" t="s">
        <v>51</v>
      </c>
      <c r="G37" s="47" t="s">
        <v>56</v>
      </c>
      <c r="H37" s="45" t="s">
        <v>130</v>
      </c>
      <c r="I37" s="41" t="s">
        <v>38</v>
      </c>
    </row>
    <row r="38" spans="1:9" x14ac:dyDescent="0.3">
      <c r="A38" s="41" t="s">
        <v>131</v>
      </c>
      <c r="B38" s="41" t="s">
        <v>132</v>
      </c>
      <c r="C38" s="41" t="s">
        <v>25</v>
      </c>
      <c r="D38" s="41"/>
      <c r="E38" s="41" t="s">
        <v>26</v>
      </c>
      <c r="F38" s="41" t="s">
        <v>106</v>
      </c>
      <c r="G38" s="47" t="s">
        <v>28</v>
      </c>
      <c r="H38" s="41" t="s">
        <v>133</v>
      </c>
      <c r="I38" s="42" t="s">
        <v>31</v>
      </c>
    </row>
    <row r="39" spans="1:9" x14ac:dyDescent="0.3">
      <c r="A39" s="41" t="s">
        <v>134</v>
      </c>
      <c r="B39" s="41" t="s">
        <v>135</v>
      </c>
      <c r="C39" s="41" t="s">
        <v>152</v>
      </c>
      <c r="D39" s="41" t="s">
        <v>136</v>
      </c>
      <c r="E39" s="41" t="s">
        <v>26</v>
      </c>
      <c r="F39" s="41" t="s">
        <v>137</v>
      </c>
      <c r="G39" s="47" t="s">
        <v>28</v>
      </c>
      <c r="H39" s="41" t="s">
        <v>138</v>
      </c>
      <c r="I39" s="41" t="s">
        <v>38</v>
      </c>
    </row>
    <row r="40" spans="1:9" x14ac:dyDescent="0.3">
      <c r="A40" s="41" t="s">
        <v>139</v>
      </c>
      <c r="B40" s="41" t="s">
        <v>140</v>
      </c>
      <c r="C40" s="41" t="s">
        <v>152</v>
      </c>
      <c r="D40" s="41" t="s">
        <v>136</v>
      </c>
      <c r="E40" s="41" t="s">
        <v>26</v>
      </c>
      <c r="F40" s="41" t="s">
        <v>137</v>
      </c>
      <c r="G40" s="47" t="s">
        <v>28</v>
      </c>
      <c r="H40" s="41" t="s">
        <v>138</v>
      </c>
      <c r="I40" s="41" t="s">
        <v>38</v>
      </c>
    </row>
    <row r="41" spans="1:9" x14ac:dyDescent="0.3">
      <c r="A41" s="41" t="s">
        <v>141</v>
      </c>
      <c r="B41" s="41" t="s">
        <v>142</v>
      </c>
      <c r="C41" s="41" t="s">
        <v>41</v>
      </c>
      <c r="D41" s="41" t="s">
        <v>41</v>
      </c>
      <c r="E41" s="41" t="s">
        <v>26</v>
      </c>
      <c r="F41" s="41" t="s">
        <v>143</v>
      </c>
      <c r="G41" s="47" t="s">
        <v>28</v>
      </c>
      <c r="H41" s="41" t="s">
        <v>138</v>
      </c>
      <c r="I41" s="41" t="s">
        <v>38</v>
      </c>
    </row>
    <row r="42" spans="1:9" x14ac:dyDescent="0.3">
      <c r="A42" s="41" t="s">
        <v>1206</v>
      </c>
      <c r="B42" s="41" t="s">
        <v>145</v>
      </c>
      <c r="C42" s="41" t="s">
        <v>152</v>
      </c>
      <c r="D42" s="41" t="s">
        <v>146</v>
      </c>
      <c r="E42" s="41" t="s">
        <v>42</v>
      </c>
      <c r="F42" s="41" t="s">
        <v>147</v>
      </c>
      <c r="G42" s="47" t="s">
        <v>28</v>
      </c>
      <c r="H42" s="41" t="s">
        <v>148</v>
      </c>
      <c r="I42" s="41" t="s">
        <v>38</v>
      </c>
    </row>
    <row r="43" spans="1:9" x14ac:dyDescent="0.3">
      <c r="A43" s="41" t="s">
        <v>1195</v>
      </c>
      <c r="B43" s="41" t="s">
        <v>151</v>
      </c>
      <c r="C43" s="41" t="s">
        <v>152</v>
      </c>
      <c r="D43" s="41" t="s">
        <v>152</v>
      </c>
      <c r="E43" s="41" t="s">
        <v>42</v>
      </c>
      <c r="F43" s="41" t="s">
        <v>147</v>
      </c>
      <c r="G43" s="47" t="s">
        <v>28</v>
      </c>
      <c r="H43" s="41" t="s">
        <v>148</v>
      </c>
      <c r="I43" s="41" t="s">
        <v>38</v>
      </c>
    </row>
    <row r="44" spans="1:9" x14ac:dyDescent="0.3">
      <c r="A44" s="41" t="s">
        <v>1196</v>
      </c>
      <c r="B44" s="41" t="s">
        <v>154</v>
      </c>
      <c r="C44" s="41" t="s">
        <v>152</v>
      </c>
      <c r="D44" s="41" t="s">
        <v>146</v>
      </c>
      <c r="E44" s="41" t="s">
        <v>42</v>
      </c>
      <c r="F44" s="41" t="s">
        <v>147</v>
      </c>
      <c r="G44" s="47" t="s">
        <v>28</v>
      </c>
      <c r="H44" s="41" t="s">
        <v>148</v>
      </c>
      <c r="I44" s="41" t="s">
        <v>38</v>
      </c>
    </row>
    <row r="45" spans="1:9" x14ac:dyDescent="0.3">
      <c r="A45" s="41" t="s">
        <v>1197</v>
      </c>
      <c r="B45" s="41" t="s">
        <v>156</v>
      </c>
      <c r="C45" s="41" t="s">
        <v>152</v>
      </c>
      <c r="D45" s="41" t="s">
        <v>146</v>
      </c>
      <c r="E45" s="41" t="s">
        <v>42</v>
      </c>
      <c r="F45" s="41" t="s">
        <v>147</v>
      </c>
      <c r="G45" s="47" t="s">
        <v>28</v>
      </c>
      <c r="H45" s="41" t="s">
        <v>148</v>
      </c>
      <c r="I45" s="41" t="s">
        <v>38</v>
      </c>
    </row>
    <row r="46" spans="1:9" x14ac:dyDescent="0.3">
      <c r="A46" s="41" t="s">
        <v>1198</v>
      </c>
      <c r="B46" s="41" t="s">
        <v>158</v>
      </c>
      <c r="C46" s="41" t="s">
        <v>152</v>
      </c>
      <c r="D46" s="41" t="s">
        <v>152</v>
      </c>
      <c r="E46" s="41" t="s">
        <v>42</v>
      </c>
      <c r="F46" s="41" t="s">
        <v>147</v>
      </c>
      <c r="G46" s="47" t="s">
        <v>28</v>
      </c>
      <c r="H46" s="41" t="s">
        <v>148</v>
      </c>
      <c r="I46" s="41" t="s">
        <v>38</v>
      </c>
    </row>
    <row r="47" spans="1:9" x14ac:dyDescent="0.3">
      <c r="A47" s="41" t="s">
        <v>1199</v>
      </c>
      <c r="B47" s="41" t="s">
        <v>160</v>
      </c>
      <c r="C47" s="41" t="s">
        <v>152</v>
      </c>
      <c r="D47" s="41" t="s">
        <v>146</v>
      </c>
      <c r="E47" s="41" t="s">
        <v>42</v>
      </c>
      <c r="F47" s="41" t="s">
        <v>147</v>
      </c>
      <c r="G47" s="47" t="s">
        <v>28</v>
      </c>
      <c r="H47" s="41" t="s">
        <v>148</v>
      </c>
      <c r="I47" s="41" t="s">
        <v>38</v>
      </c>
    </row>
    <row r="48" spans="1:9" x14ac:dyDescent="0.3">
      <c r="A48" s="41" t="s">
        <v>1200</v>
      </c>
      <c r="B48" s="41" t="s">
        <v>163</v>
      </c>
      <c r="C48" s="41" t="s">
        <v>152</v>
      </c>
      <c r="D48" s="41" t="s">
        <v>146</v>
      </c>
      <c r="E48" s="41" t="s">
        <v>42</v>
      </c>
      <c r="F48" s="41" t="s">
        <v>147</v>
      </c>
      <c r="G48" s="47" t="s">
        <v>28</v>
      </c>
      <c r="H48" s="41" t="s">
        <v>148</v>
      </c>
      <c r="I48" s="41" t="s">
        <v>38</v>
      </c>
    </row>
    <row r="49" spans="1:9" x14ac:dyDescent="0.3">
      <c r="A49" s="49" t="s">
        <v>1201</v>
      </c>
      <c r="B49" s="41" t="s">
        <v>165</v>
      </c>
      <c r="C49" s="41" t="s">
        <v>152</v>
      </c>
      <c r="D49" s="41" t="s">
        <v>152</v>
      </c>
      <c r="E49" s="41" t="s">
        <v>42</v>
      </c>
      <c r="F49" s="41" t="s">
        <v>147</v>
      </c>
      <c r="G49" s="47" t="s">
        <v>28</v>
      </c>
      <c r="H49" s="41" t="s">
        <v>148</v>
      </c>
      <c r="I49" s="41" t="s">
        <v>38</v>
      </c>
    </row>
    <row r="50" spans="1:9" x14ac:dyDescent="0.3">
      <c r="A50" s="41" t="s">
        <v>1202</v>
      </c>
      <c r="B50" s="41" t="s">
        <v>167</v>
      </c>
      <c r="C50" s="41" t="s">
        <v>152</v>
      </c>
      <c r="D50" s="41" t="s">
        <v>146</v>
      </c>
      <c r="E50" s="41" t="s">
        <v>42</v>
      </c>
      <c r="F50" s="41" t="s">
        <v>147</v>
      </c>
      <c r="G50" s="47" t="s">
        <v>28</v>
      </c>
      <c r="H50" s="41" t="s">
        <v>148</v>
      </c>
      <c r="I50" s="41" t="s">
        <v>38</v>
      </c>
    </row>
    <row r="51" spans="1:9" x14ac:dyDescent="0.3">
      <c r="A51" s="41" t="s">
        <v>1186</v>
      </c>
      <c r="B51" s="41" t="s">
        <v>169</v>
      </c>
      <c r="C51" s="41" t="s">
        <v>152</v>
      </c>
      <c r="D51" s="41" t="s">
        <v>152</v>
      </c>
      <c r="E51" s="41" t="s">
        <v>26</v>
      </c>
      <c r="F51" s="41" t="s">
        <v>143</v>
      </c>
      <c r="G51" s="47" t="s">
        <v>28</v>
      </c>
      <c r="H51" s="41" t="s">
        <v>148</v>
      </c>
      <c r="I51" s="41" t="s">
        <v>38</v>
      </c>
    </row>
    <row r="52" spans="1:9" x14ac:dyDescent="0.3">
      <c r="A52" s="41" t="s">
        <v>1187</v>
      </c>
      <c r="B52" s="41" t="s">
        <v>171</v>
      </c>
      <c r="C52" s="41" t="s">
        <v>152</v>
      </c>
      <c r="D52" s="41" t="s">
        <v>152</v>
      </c>
      <c r="E52" s="41" t="s">
        <v>26</v>
      </c>
      <c r="F52" s="41" t="s">
        <v>143</v>
      </c>
      <c r="G52" s="47" t="s">
        <v>28</v>
      </c>
      <c r="H52" s="41" t="s">
        <v>148</v>
      </c>
      <c r="I52" s="41" t="s">
        <v>38</v>
      </c>
    </row>
    <row r="53" spans="1:9" x14ac:dyDescent="0.3">
      <c r="A53" s="41" t="s">
        <v>1188</v>
      </c>
      <c r="B53" s="41" t="s">
        <v>173</v>
      </c>
      <c r="C53" s="41" t="s">
        <v>152</v>
      </c>
      <c r="D53" s="41" t="s">
        <v>152</v>
      </c>
      <c r="E53" s="41" t="s">
        <v>26</v>
      </c>
      <c r="F53" s="41" t="s">
        <v>143</v>
      </c>
      <c r="G53" s="47" t="s">
        <v>28</v>
      </c>
      <c r="H53" s="41" t="s">
        <v>148</v>
      </c>
      <c r="I53" s="41" t="s">
        <v>38</v>
      </c>
    </row>
    <row r="54" spans="1:9" x14ac:dyDescent="0.3">
      <c r="A54" s="41" t="s">
        <v>1189</v>
      </c>
      <c r="B54" s="41" t="s">
        <v>175</v>
      </c>
      <c r="C54" s="41" t="s">
        <v>152</v>
      </c>
      <c r="D54" s="41" t="s">
        <v>152</v>
      </c>
      <c r="E54" s="41" t="s">
        <v>26</v>
      </c>
      <c r="F54" s="41" t="s">
        <v>143</v>
      </c>
      <c r="G54" s="47" t="s">
        <v>28</v>
      </c>
      <c r="H54" s="41" t="s">
        <v>148</v>
      </c>
      <c r="I54" s="41" t="s">
        <v>38</v>
      </c>
    </row>
    <row r="55" spans="1:9" x14ac:dyDescent="0.3">
      <c r="A55" s="41" t="s">
        <v>1190</v>
      </c>
      <c r="B55" s="41" t="s">
        <v>177</v>
      </c>
      <c r="C55" s="41" t="s">
        <v>152</v>
      </c>
      <c r="D55" s="41" t="s">
        <v>152</v>
      </c>
      <c r="E55" s="41" t="s">
        <v>26</v>
      </c>
      <c r="F55" s="41" t="s">
        <v>143</v>
      </c>
      <c r="G55" s="47" t="s">
        <v>28</v>
      </c>
      <c r="H55" s="41" t="s">
        <v>148</v>
      </c>
      <c r="I55" s="41" t="s">
        <v>38</v>
      </c>
    </row>
    <row r="56" spans="1:9" x14ac:dyDescent="0.3">
      <c r="A56" s="41" t="s">
        <v>1191</v>
      </c>
      <c r="B56" s="41" t="s">
        <v>179</v>
      </c>
      <c r="C56" s="41" t="s">
        <v>152</v>
      </c>
      <c r="D56" s="41" t="s">
        <v>152</v>
      </c>
      <c r="E56" s="41" t="s">
        <v>26</v>
      </c>
      <c r="F56" s="41" t="s">
        <v>143</v>
      </c>
      <c r="G56" s="47" t="s">
        <v>28</v>
      </c>
      <c r="H56" s="41" t="s">
        <v>148</v>
      </c>
      <c r="I56" s="41" t="s">
        <v>38</v>
      </c>
    </row>
    <row r="57" spans="1:9" x14ac:dyDescent="0.3">
      <c r="A57" s="41" t="s">
        <v>1192</v>
      </c>
      <c r="B57" s="41" t="s">
        <v>181</v>
      </c>
      <c r="C57" s="41" t="s">
        <v>152</v>
      </c>
      <c r="D57" s="41" t="s">
        <v>152</v>
      </c>
      <c r="E57" s="41" t="s">
        <v>26</v>
      </c>
      <c r="F57" s="41" t="s">
        <v>143</v>
      </c>
      <c r="G57" s="47" t="s">
        <v>28</v>
      </c>
      <c r="H57" s="41" t="s">
        <v>148</v>
      </c>
      <c r="I57" s="41" t="s">
        <v>38</v>
      </c>
    </row>
    <row r="58" spans="1:9" x14ac:dyDescent="0.3">
      <c r="A58" s="41" t="s">
        <v>1193</v>
      </c>
      <c r="B58" s="41" t="s">
        <v>183</v>
      </c>
      <c r="C58" s="41" t="s">
        <v>152</v>
      </c>
      <c r="D58" s="41" t="s">
        <v>152</v>
      </c>
      <c r="E58" s="41" t="s">
        <v>26</v>
      </c>
      <c r="F58" s="41" t="s">
        <v>143</v>
      </c>
      <c r="G58" s="47" t="s">
        <v>28</v>
      </c>
      <c r="H58" s="41" t="s">
        <v>148</v>
      </c>
      <c r="I58" s="41" t="s">
        <v>38</v>
      </c>
    </row>
    <row r="59" spans="1:9" x14ac:dyDescent="0.3">
      <c r="A59" s="41" t="s">
        <v>1194</v>
      </c>
      <c r="B59" s="41" t="s">
        <v>185</v>
      </c>
      <c r="C59" s="41" t="s">
        <v>152</v>
      </c>
      <c r="D59" s="41" t="s">
        <v>152</v>
      </c>
      <c r="E59" s="41" t="s">
        <v>26</v>
      </c>
      <c r="F59" s="41" t="s">
        <v>143</v>
      </c>
      <c r="G59" s="47" t="s">
        <v>28</v>
      </c>
      <c r="H59" s="41" t="s">
        <v>148</v>
      </c>
      <c r="I59" s="41" t="s">
        <v>38</v>
      </c>
    </row>
    <row r="60" spans="1:9" x14ac:dyDescent="0.3">
      <c r="A60" s="41" t="s">
        <v>186</v>
      </c>
      <c r="B60" s="41" t="s">
        <v>187</v>
      </c>
      <c r="C60" s="41" t="s">
        <v>152</v>
      </c>
      <c r="D60" s="41" t="s">
        <v>152</v>
      </c>
      <c r="E60" s="41" t="s">
        <v>26</v>
      </c>
      <c r="F60" s="41" t="s">
        <v>118</v>
      </c>
      <c r="G60" s="47" t="s">
        <v>56</v>
      </c>
      <c r="H60" s="41" t="s">
        <v>188</v>
      </c>
      <c r="I60" s="41" t="s">
        <v>38</v>
      </c>
    </row>
    <row r="61" spans="1:9" x14ac:dyDescent="0.3">
      <c r="A61" s="41" t="s">
        <v>1079</v>
      </c>
      <c r="B61" s="41" t="s">
        <v>189</v>
      </c>
      <c r="C61" s="41" t="s">
        <v>25</v>
      </c>
      <c r="D61" s="41"/>
      <c r="E61" s="41" t="s">
        <v>26</v>
      </c>
      <c r="F61" s="41" t="s">
        <v>106</v>
      </c>
      <c r="G61" s="47" t="s">
        <v>28</v>
      </c>
      <c r="H61" s="41" t="s">
        <v>190</v>
      </c>
      <c r="I61" s="42" t="s">
        <v>31</v>
      </c>
    </row>
    <row r="62" spans="1:9" x14ac:dyDescent="0.3">
      <c r="A62" s="41" t="s">
        <v>1088</v>
      </c>
      <c r="B62" s="41" t="s">
        <v>192</v>
      </c>
      <c r="C62" s="41" t="s">
        <v>25</v>
      </c>
      <c r="D62" s="41" t="s">
        <v>193</v>
      </c>
      <c r="E62" s="41" t="s">
        <v>26</v>
      </c>
      <c r="F62" s="41" t="s">
        <v>194</v>
      </c>
      <c r="G62" s="47" t="s">
        <v>28</v>
      </c>
      <c r="H62" s="41" t="s">
        <v>190</v>
      </c>
      <c r="I62" s="42" t="s">
        <v>31</v>
      </c>
    </row>
    <row r="63" spans="1:9" x14ac:dyDescent="0.3">
      <c r="A63" s="41" t="s">
        <v>1089</v>
      </c>
      <c r="B63" s="41" t="s">
        <v>196</v>
      </c>
      <c r="C63" s="41" t="s">
        <v>25</v>
      </c>
      <c r="D63" s="41" t="s">
        <v>193</v>
      </c>
      <c r="E63" s="41" t="s">
        <v>26</v>
      </c>
      <c r="F63" s="41" t="s">
        <v>194</v>
      </c>
      <c r="G63" s="47" t="s">
        <v>28</v>
      </c>
      <c r="H63" s="41" t="s">
        <v>190</v>
      </c>
      <c r="I63" s="42" t="s">
        <v>31</v>
      </c>
    </row>
    <row r="64" spans="1:9" x14ac:dyDescent="0.3">
      <c r="A64" s="41" t="s">
        <v>1090</v>
      </c>
      <c r="B64" s="41" t="s">
        <v>198</v>
      </c>
      <c r="C64" s="41" t="s">
        <v>25</v>
      </c>
      <c r="D64" s="41" t="s">
        <v>193</v>
      </c>
      <c r="E64" s="41" t="s">
        <v>26</v>
      </c>
      <c r="F64" s="41" t="s">
        <v>194</v>
      </c>
      <c r="G64" s="47" t="s">
        <v>28</v>
      </c>
      <c r="H64" s="41" t="s">
        <v>190</v>
      </c>
      <c r="I64" s="42" t="s">
        <v>31</v>
      </c>
    </row>
    <row r="65" spans="1:9" x14ac:dyDescent="0.3">
      <c r="A65" s="41" t="s">
        <v>199</v>
      </c>
      <c r="B65" s="41" t="s">
        <v>200</v>
      </c>
      <c r="C65" s="41" t="s">
        <v>41</v>
      </c>
      <c r="D65" s="41" t="s">
        <v>41</v>
      </c>
      <c r="E65" s="41" t="s">
        <v>26</v>
      </c>
      <c r="F65" s="41" t="s">
        <v>201</v>
      </c>
      <c r="G65" s="47" t="s">
        <v>28</v>
      </c>
      <c r="H65" s="41" t="s">
        <v>138</v>
      </c>
      <c r="I65" s="41" t="s">
        <v>38</v>
      </c>
    </row>
    <row r="66" spans="1:9" x14ac:dyDescent="0.3">
      <c r="A66" s="41" t="s">
        <v>202</v>
      </c>
      <c r="B66" s="41" t="s">
        <v>203</v>
      </c>
      <c r="C66" s="41" t="s">
        <v>41</v>
      </c>
      <c r="D66" s="41" t="s">
        <v>41</v>
      </c>
      <c r="E66" s="41" t="s">
        <v>26</v>
      </c>
      <c r="F66" s="41" t="s">
        <v>201</v>
      </c>
      <c r="G66" s="47" t="s">
        <v>28</v>
      </c>
      <c r="H66" s="41" t="s">
        <v>138</v>
      </c>
      <c r="I66" s="41" t="s">
        <v>38</v>
      </c>
    </row>
    <row r="67" spans="1:9" x14ac:dyDescent="0.3">
      <c r="A67" s="41" t="s">
        <v>204</v>
      </c>
      <c r="B67" s="41" t="s">
        <v>205</v>
      </c>
      <c r="C67" s="41" t="s">
        <v>41</v>
      </c>
      <c r="D67" s="41" t="s">
        <v>41</v>
      </c>
      <c r="E67" s="41" t="s">
        <v>26</v>
      </c>
      <c r="F67" s="41" t="s">
        <v>201</v>
      </c>
      <c r="G67" s="47" t="s">
        <v>28</v>
      </c>
      <c r="H67" s="41" t="s">
        <v>138</v>
      </c>
      <c r="I67" s="41" t="s">
        <v>38</v>
      </c>
    </row>
    <row r="68" spans="1:9" x14ac:dyDescent="0.3">
      <c r="A68" s="41" t="s">
        <v>206</v>
      </c>
      <c r="B68" s="41" t="s">
        <v>207</v>
      </c>
      <c r="C68" s="41" t="s">
        <v>41</v>
      </c>
      <c r="D68" s="41" t="s">
        <v>41</v>
      </c>
      <c r="E68" s="41" t="s">
        <v>26</v>
      </c>
      <c r="F68" s="41" t="s">
        <v>201</v>
      </c>
      <c r="G68" s="47" t="s">
        <v>28</v>
      </c>
      <c r="H68" s="41" t="s">
        <v>138</v>
      </c>
      <c r="I68" s="41" t="s">
        <v>38</v>
      </c>
    </row>
    <row r="69" spans="1:9" x14ac:dyDescent="0.3">
      <c r="A69" s="41" t="s">
        <v>208</v>
      </c>
      <c r="B69" s="41" t="s">
        <v>209</v>
      </c>
      <c r="C69" s="41" t="s">
        <v>41</v>
      </c>
      <c r="D69" s="41" t="s">
        <v>41</v>
      </c>
      <c r="E69" s="41" t="s">
        <v>26</v>
      </c>
      <c r="F69" s="41" t="s">
        <v>201</v>
      </c>
      <c r="G69" s="47" t="s">
        <v>28</v>
      </c>
      <c r="H69" s="41" t="s">
        <v>138</v>
      </c>
      <c r="I69" s="41" t="s">
        <v>38</v>
      </c>
    </row>
    <row r="70" spans="1:9" x14ac:dyDescent="0.3">
      <c r="A70" s="41" t="s">
        <v>210</v>
      </c>
      <c r="B70" s="41" t="s">
        <v>211</v>
      </c>
      <c r="C70" s="41" t="s">
        <v>41</v>
      </c>
      <c r="D70" s="41" t="s">
        <v>41</v>
      </c>
      <c r="E70" s="41" t="s">
        <v>26</v>
      </c>
      <c r="F70" s="41" t="s">
        <v>201</v>
      </c>
      <c r="G70" s="47" t="s">
        <v>28</v>
      </c>
      <c r="H70" s="41" t="s">
        <v>138</v>
      </c>
      <c r="I70" s="41" t="s">
        <v>38</v>
      </c>
    </row>
    <row r="71" spans="1:9" x14ac:dyDescent="0.3">
      <c r="A71" s="41" t="s">
        <v>212</v>
      </c>
      <c r="B71" s="41" t="s">
        <v>213</v>
      </c>
      <c r="C71" s="41" t="s">
        <v>41</v>
      </c>
      <c r="D71" s="41" t="s">
        <v>41</v>
      </c>
      <c r="E71" s="41" t="s">
        <v>26</v>
      </c>
      <c r="F71" s="41" t="s">
        <v>201</v>
      </c>
      <c r="G71" s="47" t="s">
        <v>28</v>
      </c>
      <c r="H71" s="41" t="s">
        <v>138</v>
      </c>
      <c r="I71" s="41" t="s">
        <v>38</v>
      </c>
    </row>
    <row r="72" spans="1:9" x14ac:dyDescent="0.3">
      <c r="A72" s="41" t="s">
        <v>214</v>
      </c>
      <c r="B72" s="41" t="s">
        <v>215</v>
      </c>
      <c r="C72" s="41" t="s">
        <v>41</v>
      </c>
      <c r="D72" s="41" t="s">
        <v>41</v>
      </c>
      <c r="E72" s="41" t="s">
        <v>26</v>
      </c>
      <c r="F72" s="41" t="s">
        <v>201</v>
      </c>
      <c r="G72" s="47" t="s">
        <v>28</v>
      </c>
      <c r="H72" s="41" t="s">
        <v>138</v>
      </c>
      <c r="I72" s="41" t="s">
        <v>38</v>
      </c>
    </row>
    <row r="73" spans="1:9" x14ac:dyDescent="0.3">
      <c r="A73" s="41" t="s">
        <v>216</v>
      </c>
      <c r="B73" s="41" t="s">
        <v>217</v>
      </c>
      <c r="C73" s="41" t="s">
        <v>41</v>
      </c>
      <c r="D73" s="41" t="s">
        <v>41</v>
      </c>
      <c r="E73" s="41" t="s">
        <v>26</v>
      </c>
      <c r="F73" s="41" t="s">
        <v>201</v>
      </c>
      <c r="G73" s="47" t="s">
        <v>28</v>
      </c>
      <c r="H73" s="41" t="s">
        <v>138</v>
      </c>
      <c r="I73" s="41" t="s">
        <v>38</v>
      </c>
    </row>
    <row r="74" spans="1:9" x14ac:dyDescent="0.3">
      <c r="A74" s="41" t="s">
        <v>218</v>
      </c>
      <c r="B74" s="41" t="s">
        <v>219</v>
      </c>
      <c r="C74" s="41" t="s">
        <v>41</v>
      </c>
      <c r="D74" s="41" t="s">
        <v>41</v>
      </c>
      <c r="E74" s="41" t="s">
        <v>26</v>
      </c>
      <c r="F74" s="41" t="s">
        <v>55</v>
      </c>
      <c r="G74" s="47" t="s">
        <v>56</v>
      </c>
      <c r="H74" s="41" t="s">
        <v>127</v>
      </c>
      <c r="I74" s="41" t="s">
        <v>38</v>
      </c>
    </row>
    <row r="75" spans="1:9" x14ac:dyDescent="0.3">
      <c r="A75" s="42" t="s">
        <v>1174</v>
      </c>
      <c r="B75" s="41" t="s">
        <v>1069</v>
      </c>
      <c r="C75" s="41" t="s">
        <v>152</v>
      </c>
      <c r="D75" s="41"/>
      <c r="E75" s="41" t="s">
        <v>26</v>
      </c>
      <c r="F75" s="41" t="s">
        <v>223</v>
      </c>
      <c r="G75" s="47" t="s">
        <v>28</v>
      </c>
      <c r="H75" s="41"/>
      <c r="I75" s="41" t="s">
        <v>38</v>
      </c>
    </row>
    <row r="76" spans="1:9" x14ac:dyDescent="0.3">
      <c r="A76" s="42" t="s">
        <v>1175</v>
      </c>
      <c r="B76" s="41" t="s">
        <v>1070</v>
      </c>
      <c r="C76" s="41" t="s">
        <v>152</v>
      </c>
      <c r="D76" s="41"/>
      <c r="E76" s="41" t="s">
        <v>26</v>
      </c>
      <c r="F76" s="41" t="s">
        <v>223</v>
      </c>
      <c r="G76" s="47" t="s">
        <v>28</v>
      </c>
      <c r="H76" s="41"/>
      <c r="I76" s="41" t="s">
        <v>38</v>
      </c>
    </row>
    <row r="77" spans="1:9" x14ac:dyDescent="0.3">
      <c r="A77" s="41" t="s">
        <v>1176</v>
      </c>
      <c r="B77" s="41" t="s">
        <v>222</v>
      </c>
      <c r="C77" s="41" t="s">
        <v>152</v>
      </c>
      <c r="D77" s="41" t="s">
        <v>146</v>
      </c>
      <c r="E77" s="41" t="s">
        <v>26</v>
      </c>
      <c r="F77" s="41" t="s">
        <v>223</v>
      </c>
      <c r="G77" s="47" t="s">
        <v>28</v>
      </c>
      <c r="H77" s="41" t="s">
        <v>224</v>
      </c>
      <c r="I77" s="41" t="s">
        <v>38</v>
      </c>
    </row>
    <row r="78" spans="1:9" x14ac:dyDescent="0.3">
      <c r="A78" s="41" t="s">
        <v>1177</v>
      </c>
      <c r="B78" s="41" t="s">
        <v>226</v>
      </c>
      <c r="C78" s="41" t="s">
        <v>152</v>
      </c>
      <c r="D78" s="41" t="s">
        <v>146</v>
      </c>
      <c r="E78" s="41" t="s">
        <v>26</v>
      </c>
      <c r="F78" s="41" t="s">
        <v>223</v>
      </c>
      <c r="G78" s="47" t="s">
        <v>28</v>
      </c>
      <c r="H78" s="41" t="s">
        <v>224</v>
      </c>
      <c r="I78" s="41" t="s">
        <v>38</v>
      </c>
    </row>
    <row r="79" spans="1:9" x14ac:dyDescent="0.3">
      <c r="A79" s="42" t="s">
        <v>1178</v>
      </c>
      <c r="B79" s="41" t="s">
        <v>1071</v>
      </c>
      <c r="C79" s="41" t="s">
        <v>152</v>
      </c>
      <c r="D79" s="41"/>
      <c r="E79" s="41" t="s">
        <v>26</v>
      </c>
      <c r="F79" s="41" t="s">
        <v>223</v>
      </c>
      <c r="G79" s="47" t="s">
        <v>28</v>
      </c>
      <c r="H79" s="41"/>
      <c r="I79" s="41" t="s">
        <v>38</v>
      </c>
    </row>
    <row r="80" spans="1:9" x14ac:dyDescent="0.3">
      <c r="A80" s="41" t="s">
        <v>1179</v>
      </c>
      <c r="B80" s="41" t="s">
        <v>228</v>
      </c>
      <c r="C80" s="41" t="s">
        <v>152</v>
      </c>
      <c r="D80" s="41" t="s">
        <v>146</v>
      </c>
      <c r="E80" s="41" t="s">
        <v>26</v>
      </c>
      <c r="F80" s="41" t="s">
        <v>223</v>
      </c>
      <c r="G80" s="47" t="s">
        <v>28</v>
      </c>
      <c r="H80" s="41" t="s">
        <v>224</v>
      </c>
      <c r="I80" s="41" t="s">
        <v>38</v>
      </c>
    </row>
    <row r="81" spans="1:9" x14ac:dyDescent="0.3">
      <c r="A81" s="41" t="s">
        <v>1180</v>
      </c>
      <c r="B81" s="41" t="s">
        <v>230</v>
      </c>
      <c r="C81" s="41" t="s">
        <v>152</v>
      </c>
      <c r="D81" s="41" t="s">
        <v>146</v>
      </c>
      <c r="E81" s="41" t="s">
        <v>26</v>
      </c>
      <c r="F81" s="41" t="s">
        <v>223</v>
      </c>
      <c r="G81" s="47" t="s">
        <v>28</v>
      </c>
      <c r="H81" s="41" t="s">
        <v>224</v>
      </c>
      <c r="I81" s="41" t="s">
        <v>38</v>
      </c>
    </row>
    <row r="82" spans="1:9" x14ac:dyDescent="0.3">
      <c r="A82" s="41" t="s">
        <v>231</v>
      </c>
      <c r="B82" s="41" t="s">
        <v>232</v>
      </c>
      <c r="C82" s="41" t="s">
        <v>152</v>
      </c>
      <c r="D82" s="41" t="s">
        <v>152</v>
      </c>
      <c r="E82" s="41" t="s">
        <v>26</v>
      </c>
      <c r="F82" s="41" t="s">
        <v>118</v>
      </c>
      <c r="G82" s="47" t="s">
        <v>56</v>
      </c>
      <c r="H82" s="41" t="s">
        <v>119</v>
      </c>
      <c r="I82" s="41" t="s">
        <v>38</v>
      </c>
    </row>
    <row r="83" spans="1:9" x14ac:dyDescent="0.3">
      <c r="A83" s="41" t="s">
        <v>233</v>
      </c>
      <c r="B83" s="41" t="s">
        <v>234</v>
      </c>
      <c r="C83" s="41" t="s">
        <v>41</v>
      </c>
      <c r="D83" s="41" t="s">
        <v>41</v>
      </c>
      <c r="E83" s="41" t="s">
        <v>42</v>
      </c>
      <c r="F83" s="41" t="s">
        <v>497</v>
      </c>
      <c r="G83" s="47" t="s">
        <v>28</v>
      </c>
      <c r="H83" s="41" t="s">
        <v>138</v>
      </c>
      <c r="I83" s="41" t="s">
        <v>38</v>
      </c>
    </row>
    <row r="84" spans="1:9" x14ac:dyDescent="0.3">
      <c r="A84" s="41" t="s">
        <v>1125</v>
      </c>
      <c r="B84" s="41" t="s">
        <v>236</v>
      </c>
      <c r="C84" s="41" t="s">
        <v>41</v>
      </c>
      <c r="D84" s="41" t="s">
        <v>41</v>
      </c>
      <c r="E84" s="41" t="s">
        <v>26</v>
      </c>
      <c r="F84" s="41" t="s">
        <v>143</v>
      </c>
      <c r="G84" s="47" t="s">
        <v>237</v>
      </c>
      <c r="H84" s="41" t="s">
        <v>148</v>
      </c>
      <c r="I84" s="41" t="s">
        <v>38</v>
      </c>
    </row>
    <row r="85" spans="1:9" x14ac:dyDescent="0.3">
      <c r="A85" s="41" t="s">
        <v>1126</v>
      </c>
      <c r="B85" s="41" t="s">
        <v>239</v>
      </c>
      <c r="C85" s="41" t="s">
        <v>41</v>
      </c>
      <c r="D85" s="41" t="s">
        <v>41</v>
      </c>
      <c r="E85" s="41" t="s">
        <v>26</v>
      </c>
      <c r="F85" s="41" t="s">
        <v>143</v>
      </c>
      <c r="G85" s="47" t="s">
        <v>237</v>
      </c>
      <c r="H85" s="41" t="s">
        <v>148</v>
      </c>
      <c r="I85" s="41" t="s">
        <v>38</v>
      </c>
    </row>
    <row r="86" spans="1:9" x14ac:dyDescent="0.3">
      <c r="A86" s="41" t="s">
        <v>1127</v>
      </c>
      <c r="B86" s="41" t="s">
        <v>241</v>
      </c>
      <c r="C86" s="41" t="s">
        <v>41</v>
      </c>
      <c r="D86" s="41" t="s">
        <v>41</v>
      </c>
      <c r="E86" s="41" t="s">
        <v>26</v>
      </c>
      <c r="F86" s="41" t="s">
        <v>143</v>
      </c>
      <c r="G86" s="47" t="s">
        <v>237</v>
      </c>
      <c r="H86" s="41" t="s">
        <v>148</v>
      </c>
      <c r="I86" s="41" t="s">
        <v>38</v>
      </c>
    </row>
    <row r="87" spans="1:9" x14ac:dyDescent="0.3">
      <c r="A87" s="41" t="s">
        <v>1128</v>
      </c>
      <c r="B87" s="41" t="s">
        <v>243</v>
      </c>
      <c r="C87" s="41" t="s">
        <v>41</v>
      </c>
      <c r="D87" s="41" t="s">
        <v>244</v>
      </c>
      <c r="E87" s="41" t="s">
        <v>26</v>
      </c>
      <c r="F87" s="41" t="s">
        <v>143</v>
      </c>
      <c r="G87" s="47" t="s">
        <v>237</v>
      </c>
      <c r="H87" s="41" t="s">
        <v>148</v>
      </c>
      <c r="I87" s="41" t="s">
        <v>38</v>
      </c>
    </row>
    <row r="88" spans="1:9" x14ac:dyDescent="0.3">
      <c r="A88" s="41" t="s">
        <v>1129</v>
      </c>
      <c r="B88" s="41" t="s">
        <v>246</v>
      </c>
      <c r="C88" s="41" t="s">
        <v>41</v>
      </c>
      <c r="D88" s="41" t="s">
        <v>41</v>
      </c>
      <c r="E88" s="41" t="s">
        <v>26</v>
      </c>
      <c r="F88" s="41" t="s">
        <v>143</v>
      </c>
      <c r="G88" s="47" t="s">
        <v>237</v>
      </c>
      <c r="H88" s="41" t="s">
        <v>148</v>
      </c>
      <c r="I88" s="41" t="s">
        <v>38</v>
      </c>
    </row>
    <row r="89" spans="1:9" x14ac:dyDescent="0.3">
      <c r="A89" s="41" t="s">
        <v>1130</v>
      </c>
      <c r="B89" s="41" t="s">
        <v>248</v>
      </c>
      <c r="C89" s="41" t="s">
        <v>41</v>
      </c>
      <c r="D89" s="41" t="s">
        <v>41</v>
      </c>
      <c r="E89" s="41" t="s">
        <v>26</v>
      </c>
      <c r="F89" s="41" t="s">
        <v>143</v>
      </c>
      <c r="G89" s="47" t="s">
        <v>237</v>
      </c>
      <c r="H89" s="41" t="s">
        <v>148</v>
      </c>
      <c r="I89" s="41" t="s">
        <v>38</v>
      </c>
    </row>
    <row r="90" spans="1:9" x14ac:dyDescent="0.3">
      <c r="A90" s="41" t="s">
        <v>1131</v>
      </c>
      <c r="B90" s="41" t="s">
        <v>250</v>
      </c>
      <c r="C90" s="41" t="s">
        <v>41</v>
      </c>
      <c r="D90" s="41" t="s">
        <v>41</v>
      </c>
      <c r="E90" s="41" t="s">
        <v>26</v>
      </c>
      <c r="F90" s="41" t="s">
        <v>143</v>
      </c>
      <c r="G90" s="47" t="s">
        <v>237</v>
      </c>
      <c r="H90" s="41" t="s">
        <v>148</v>
      </c>
      <c r="I90" s="41" t="s">
        <v>38</v>
      </c>
    </row>
    <row r="91" spans="1:9" x14ac:dyDescent="0.3">
      <c r="A91" s="41" t="s">
        <v>1132</v>
      </c>
      <c r="B91" s="41" t="s">
        <v>252</v>
      </c>
      <c r="C91" s="41" t="s">
        <v>41</v>
      </c>
      <c r="D91" s="41" t="s">
        <v>41</v>
      </c>
      <c r="E91" s="41" t="s">
        <v>26</v>
      </c>
      <c r="F91" s="41" t="s">
        <v>143</v>
      </c>
      <c r="G91" s="47" t="s">
        <v>237</v>
      </c>
      <c r="H91" s="41" t="s">
        <v>148</v>
      </c>
      <c r="I91" s="41" t="s">
        <v>38</v>
      </c>
    </row>
    <row r="92" spans="1:9" x14ac:dyDescent="0.3">
      <c r="A92" s="41" t="s">
        <v>1133</v>
      </c>
      <c r="B92" s="41" t="s">
        <v>254</v>
      </c>
      <c r="C92" s="41" t="s">
        <v>41</v>
      </c>
      <c r="D92" s="41" t="s">
        <v>41</v>
      </c>
      <c r="E92" s="41" t="s">
        <v>26</v>
      </c>
      <c r="F92" s="41" t="s">
        <v>143</v>
      </c>
      <c r="G92" s="47" t="s">
        <v>237</v>
      </c>
      <c r="H92" s="41" t="s">
        <v>148</v>
      </c>
      <c r="I92" s="41" t="s">
        <v>38</v>
      </c>
    </row>
    <row r="93" spans="1:9" x14ac:dyDescent="0.3">
      <c r="A93" s="41" t="s">
        <v>1134</v>
      </c>
      <c r="B93" s="41" t="s">
        <v>256</v>
      </c>
      <c r="C93" s="41" t="s">
        <v>41</v>
      </c>
      <c r="D93" s="41" t="s">
        <v>41</v>
      </c>
      <c r="E93" s="41" t="s">
        <v>26</v>
      </c>
      <c r="F93" s="41" t="s">
        <v>143</v>
      </c>
      <c r="G93" s="47" t="s">
        <v>237</v>
      </c>
      <c r="H93" s="41" t="s">
        <v>148</v>
      </c>
      <c r="I93" s="41" t="s">
        <v>38</v>
      </c>
    </row>
    <row r="94" spans="1:9" x14ac:dyDescent="0.3">
      <c r="A94" s="41" t="s">
        <v>1135</v>
      </c>
      <c r="B94" s="41" t="s">
        <v>258</v>
      </c>
      <c r="C94" s="41" t="s">
        <v>41</v>
      </c>
      <c r="D94" s="41" t="s">
        <v>41</v>
      </c>
      <c r="E94" s="41" t="s">
        <v>26</v>
      </c>
      <c r="F94" s="41" t="s">
        <v>143</v>
      </c>
      <c r="G94" s="47" t="s">
        <v>237</v>
      </c>
      <c r="H94" s="41" t="s">
        <v>148</v>
      </c>
      <c r="I94" s="41" t="s">
        <v>38</v>
      </c>
    </row>
    <row r="95" spans="1:9" x14ac:dyDescent="0.3">
      <c r="A95" s="41" t="s">
        <v>1136</v>
      </c>
      <c r="B95" s="41" t="s">
        <v>260</v>
      </c>
      <c r="C95" s="41" t="s">
        <v>41</v>
      </c>
      <c r="D95" s="41" t="s">
        <v>244</v>
      </c>
      <c r="E95" s="41" t="s">
        <v>26</v>
      </c>
      <c r="F95" s="41" t="s">
        <v>143</v>
      </c>
      <c r="G95" s="47" t="s">
        <v>237</v>
      </c>
      <c r="H95" s="41" t="s">
        <v>148</v>
      </c>
      <c r="I95" s="41" t="s">
        <v>38</v>
      </c>
    </row>
    <row r="96" spans="1:9" x14ac:dyDescent="0.3">
      <c r="A96" s="41" t="s">
        <v>1137</v>
      </c>
      <c r="B96" s="41" t="s">
        <v>262</v>
      </c>
      <c r="C96" s="41" t="s">
        <v>41</v>
      </c>
      <c r="D96" s="41" t="s">
        <v>41</v>
      </c>
      <c r="E96" s="41" t="s">
        <v>26</v>
      </c>
      <c r="F96" s="41" t="s">
        <v>143</v>
      </c>
      <c r="G96" s="47" t="s">
        <v>237</v>
      </c>
      <c r="H96" s="41" t="s">
        <v>148</v>
      </c>
      <c r="I96" s="41" t="s">
        <v>38</v>
      </c>
    </row>
    <row r="97" spans="1:9" x14ac:dyDescent="0.3">
      <c r="A97" s="41" t="s">
        <v>1138</v>
      </c>
      <c r="B97" s="41" t="s">
        <v>264</v>
      </c>
      <c r="C97" s="41" t="s">
        <v>41</v>
      </c>
      <c r="D97" s="41" t="s">
        <v>41</v>
      </c>
      <c r="E97" s="41" t="s">
        <v>26</v>
      </c>
      <c r="F97" s="41" t="s">
        <v>143</v>
      </c>
      <c r="G97" s="47" t="s">
        <v>237</v>
      </c>
      <c r="H97" s="41" t="s">
        <v>148</v>
      </c>
      <c r="I97" s="41" t="s">
        <v>38</v>
      </c>
    </row>
    <row r="98" spans="1:9" x14ac:dyDescent="0.3">
      <c r="A98" s="41" t="s">
        <v>1139</v>
      </c>
      <c r="B98" s="41" t="s">
        <v>266</v>
      </c>
      <c r="C98" s="41" t="s">
        <v>41</v>
      </c>
      <c r="D98" s="41" t="s">
        <v>41</v>
      </c>
      <c r="E98" s="41" t="s">
        <v>26</v>
      </c>
      <c r="F98" s="41" t="s">
        <v>143</v>
      </c>
      <c r="G98" s="47" t="s">
        <v>237</v>
      </c>
      <c r="H98" s="41" t="s">
        <v>148</v>
      </c>
      <c r="I98" s="41" t="s">
        <v>38</v>
      </c>
    </row>
    <row r="99" spans="1:9" x14ac:dyDescent="0.3">
      <c r="A99" s="41" t="s">
        <v>1140</v>
      </c>
      <c r="B99" s="41" t="s">
        <v>268</v>
      </c>
      <c r="C99" s="41" t="s">
        <v>41</v>
      </c>
      <c r="D99" s="41" t="s">
        <v>244</v>
      </c>
      <c r="E99" s="41" t="s">
        <v>26</v>
      </c>
      <c r="F99" s="41" t="s">
        <v>143</v>
      </c>
      <c r="G99" s="47" t="s">
        <v>237</v>
      </c>
      <c r="H99" s="41" t="s">
        <v>148</v>
      </c>
      <c r="I99" s="41" t="s">
        <v>38</v>
      </c>
    </row>
    <row r="100" spans="1:9" x14ac:dyDescent="0.3">
      <c r="A100" s="41" t="s">
        <v>1141</v>
      </c>
      <c r="B100" s="41" t="s">
        <v>270</v>
      </c>
      <c r="C100" s="41" t="s">
        <v>41</v>
      </c>
      <c r="D100" s="41" t="s">
        <v>41</v>
      </c>
      <c r="E100" s="41" t="s">
        <v>26</v>
      </c>
      <c r="F100" s="41" t="s">
        <v>143</v>
      </c>
      <c r="G100" s="47" t="s">
        <v>237</v>
      </c>
      <c r="H100" s="41" t="s">
        <v>148</v>
      </c>
      <c r="I100" s="41" t="s">
        <v>38</v>
      </c>
    </row>
    <row r="101" spans="1:9" x14ac:dyDescent="0.3">
      <c r="A101" s="41" t="s">
        <v>1142</v>
      </c>
      <c r="B101" s="41" t="s">
        <v>272</v>
      </c>
      <c r="C101" s="41" t="s">
        <v>41</v>
      </c>
      <c r="D101" s="41" t="s">
        <v>41</v>
      </c>
      <c r="E101" s="41" t="s">
        <v>26</v>
      </c>
      <c r="F101" s="41" t="s">
        <v>143</v>
      </c>
      <c r="G101" s="47" t="s">
        <v>237</v>
      </c>
      <c r="H101" s="41" t="s">
        <v>148</v>
      </c>
      <c r="I101" s="41" t="s">
        <v>38</v>
      </c>
    </row>
    <row r="102" spans="1:9" x14ac:dyDescent="0.3">
      <c r="A102" s="41" t="s">
        <v>1143</v>
      </c>
      <c r="B102" s="41" t="s">
        <v>274</v>
      </c>
      <c r="C102" s="41" t="s">
        <v>41</v>
      </c>
      <c r="D102" s="41" t="s">
        <v>41</v>
      </c>
      <c r="E102" s="41" t="s">
        <v>26</v>
      </c>
      <c r="F102" s="41" t="s">
        <v>143</v>
      </c>
      <c r="G102" s="47" t="s">
        <v>237</v>
      </c>
      <c r="H102" s="41" t="s">
        <v>148</v>
      </c>
      <c r="I102" s="41" t="s">
        <v>38</v>
      </c>
    </row>
    <row r="103" spans="1:9" x14ac:dyDescent="0.3">
      <c r="A103" s="41" t="s">
        <v>1144</v>
      </c>
      <c r="B103" s="41" t="s">
        <v>276</v>
      </c>
      <c r="C103" s="41" t="s">
        <v>41</v>
      </c>
      <c r="D103" s="41" t="s">
        <v>41</v>
      </c>
      <c r="E103" s="41" t="s">
        <v>26</v>
      </c>
      <c r="F103" s="41" t="s">
        <v>143</v>
      </c>
      <c r="G103" s="47" t="s">
        <v>237</v>
      </c>
      <c r="H103" s="41" t="s">
        <v>148</v>
      </c>
      <c r="I103" s="41" t="s">
        <v>38</v>
      </c>
    </row>
    <row r="104" spans="1:9" x14ac:dyDescent="0.3">
      <c r="A104" s="41" t="s">
        <v>1145</v>
      </c>
      <c r="B104" s="41" t="s">
        <v>278</v>
      </c>
      <c r="C104" s="41" t="s">
        <v>41</v>
      </c>
      <c r="D104" s="41" t="s">
        <v>41</v>
      </c>
      <c r="E104" s="41" t="s">
        <v>26</v>
      </c>
      <c r="F104" s="41" t="s">
        <v>143</v>
      </c>
      <c r="G104" s="47" t="s">
        <v>237</v>
      </c>
      <c r="H104" s="41" t="s">
        <v>148</v>
      </c>
      <c r="I104" s="41" t="s">
        <v>38</v>
      </c>
    </row>
    <row r="105" spans="1:9" x14ac:dyDescent="0.3">
      <c r="A105" s="41" t="s">
        <v>1146</v>
      </c>
      <c r="B105" s="41" t="s">
        <v>280</v>
      </c>
      <c r="C105" s="41" t="s">
        <v>41</v>
      </c>
      <c r="D105" s="41" t="s">
        <v>41</v>
      </c>
      <c r="E105" s="41" t="s">
        <v>26</v>
      </c>
      <c r="F105" s="41" t="s">
        <v>143</v>
      </c>
      <c r="G105" s="47" t="s">
        <v>237</v>
      </c>
      <c r="H105" s="41" t="s">
        <v>148</v>
      </c>
      <c r="I105" s="41" t="s">
        <v>38</v>
      </c>
    </row>
    <row r="106" spans="1:9" x14ac:dyDescent="0.3">
      <c r="A106" s="41" t="s">
        <v>1147</v>
      </c>
      <c r="B106" s="41" t="s">
        <v>282</v>
      </c>
      <c r="C106" s="41" t="s">
        <v>41</v>
      </c>
      <c r="D106" s="41" t="s">
        <v>41</v>
      </c>
      <c r="E106" s="41" t="s">
        <v>26</v>
      </c>
      <c r="F106" s="41" t="s">
        <v>143</v>
      </c>
      <c r="G106" s="47" t="s">
        <v>237</v>
      </c>
      <c r="H106" s="41" t="s">
        <v>148</v>
      </c>
      <c r="I106" s="41" t="s">
        <v>38</v>
      </c>
    </row>
    <row r="107" spans="1:9" x14ac:dyDescent="0.3">
      <c r="A107" s="41" t="s">
        <v>1148</v>
      </c>
      <c r="B107" s="41" t="s">
        <v>284</v>
      </c>
      <c r="C107" s="41" t="s">
        <v>41</v>
      </c>
      <c r="D107" s="41" t="s">
        <v>41</v>
      </c>
      <c r="E107" s="41" t="s">
        <v>26</v>
      </c>
      <c r="F107" s="41" t="s">
        <v>143</v>
      </c>
      <c r="G107" s="47" t="s">
        <v>237</v>
      </c>
      <c r="H107" s="41" t="s">
        <v>148</v>
      </c>
      <c r="I107" s="41" t="s">
        <v>38</v>
      </c>
    </row>
    <row r="108" spans="1:9" x14ac:dyDescent="0.3">
      <c r="A108" s="41" t="s">
        <v>1149</v>
      </c>
      <c r="B108" s="41" t="s">
        <v>286</v>
      </c>
      <c r="C108" s="41" t="s">
        <v>41</v>
      </c>
      <c r="D108" s="41" t="s">
        <v>244</v>
      </c>
      <c r="E108" s="41" t="s">
        <v>26</v>
      </c>
      <c r="F108" s="41" t="s">
        <v>143</v>
      </c>
      <c r="G108" s="47" t="s">
        <v>237</v>
      </c>
      <c r="H108" s="41" t="s">
        <v>148</v>
      </c>
      <c r="I108" s="41" t="s">
        <v>38</v>
      </c>
    </row>
    <row r="109" spans="1:9" x14ac:dyDescent="0.3">
      <c r="A109" s="41" t="s">
        <v>1150</v>
      </c>
      <c r="B109" s="41" t="s">
        <v>288</v>
      </c>
      <c r="C109" s="41" t="s">
        <v>41</v>
      </c>
      <c r="D109" s="41" t="s">
        <v>41</v>
      </c>
      <c r="E109" s="41" t="s">
        <v>26</v>
      </c>
      <c r="F109" s="41" t="s">
        <v>143</v>
      </c>
      <c r="G109" s="47" t="s">
        <v>237</v>
      </c>
      <c r="H109" s="41" t="s">
        <v>148</v>
      </c>
      <c r="I109" s="41" t="s">
        <v>38</v>
      </c>
    </row>
    <row r="110" spans="1:9" x14ac:dyDescent="0.3">
      <c r="A110" s="41" t="s">
        <v>1151</v>
      </c>
      <c r="B110" s="41" t="s">
        <v>290</v>
      </c>
      <c r="C110" s="41" t="s">
        <v>41</v>
      </c>
      <c r="D110" s="41" t="s">
        <v>41</v>
      </c>
      <c r="E110" s="41" t="s">
        <v>26</v>
      </c>
      <c r="F110" s="41" t="s">
        <v>143</v>
      </c>
      <c r="G110" s="47" t="s">
        <v>237</v>
      </c>
      <c r="H110" s="41" t="s">
        <v>148</v>
      </c>
      <c r="I110" s="41" t="s">
        <v>38</v>
      </c>
    </row>
    <row r="111" spans="1:9" x14ac:dyDescent="0.3">
      <c r="A111" s="41" t="s">
        <v>1152</v>
      </c>
      <c r="B111" s="41" t="s">
        <v>292</v>
      </c>
      <c r="C111" s="41" t="s">
        <v>41</v>
      </c>
      <c r="D111" s="41" t="s">
        <v>41</v>
      </c>
      <c r="E111" s="41" t="s">
        <v>26</v>
      </c>
      <c r="F111" s="41" t="s">
        <v>143</v>
      </c>
      <c r="G111" s="47" t="s">
        <v>237</v>
      </c>
      <c r="H111" s="41" t="s">
        <v>148</v>
      </c>
      <c r="I111" s="41" t="s">
        <v>38</v>
      </c>
    </row>
    <row r="112" spans="1:9" x14ac:dyDescent="0.3">
      <c r="A112" s="41" t="s">
        <v>1153</v>
      </c>
      <c r="B112" s="41" t="s">
        <v>294</v>
      </c>
      <c r="C112" s="41" t="s">
        <v>41</v>
      </c>
      <c r="D112" s="41" t="s">
        <v>41</v>
      </c>
      <c r="E112" s="41" t="s">
        <v>26</v>
      </c>
      <c r="F112" s="41" t="s">
        <v>143</v>
      </c>
      <c r="G112" s="47" t="s">
        <v>237</v>
      </c>
      <c r="H112" s="41" t="s">
        <v>148</v>
      </c>
      <c r="I112" s="41" t="s">
        <v>38</v>
      </c>
    </row>
    <row r="113" spans="1:9" x14ac:dyDescent="0.3">
      <c r="A113" s="41" t="s">
        <v>1154</v>
      </c>
      <c r="B113" s="41" t="s">
        <v>296</v>
      </c>
      <c r="C113" s="41" t="s">
        <v>41</v>
      </c>
      <c r="D113" s="41" t="s">
        <v>41</v>
      </c>
      <c r="E113" s="41" t="s">
        <v>26</v>
      </c>
      <c r="F113" s="41" t="s">
        <v>143</v>
      </c>
      <c r="G113" s="47" t="s">
        <v>237</v>
      </c>
      <c r="H113" s="41" t="s">
        <v>148</v>
      </c>
      <c r="I113" s="41" t="s">
        <v>38</v>
      </c>
    </row>
    <row r="114" spans="1:9" x14ac:dyDescent="0.3">
      <c r="A114" s="41" t="s">
        <v>1155</v>
      </c>
      <c r="B114" s="41" t="s">
        <v>298</v>
      </c>
      <c r="C114" s="41" t="s">
        <v>41</v>
      </c>
      <c r="D114" s="41" t="s">
        <v>41</v>
      </c>
      <c r="E114" s="41" t="s">
        <v>26</v>
      </c>
      <c r="F114" s="41" t="s">
        <v>143</v>
      </c>
      <c r="G114" s="47" t="s">
        <v>237</v>
      </c>
      <c r="H114" s="41" t="s">
        <v>148</v>
      </c>
      <c r="I114" s="41" t="s">
        <v>38</v>
      </c>
    </row>
    <row r="115" spans="1:9" x14ac:dyDescent="0.3">
      <c r="A115" s="41" t="s">
        <v>1156</v>
      </c>
      <c r="B115" s="41" t="s">
        <v>300</v>
      </c>
      <c r="C115" s="41" t="s">
        <v>41</v>
      </c>
      <c r="D115" s="41"/>
      <c r="E115" s="41" t="s">
        <v>26</v>
      </c>
      <c r="F115" s="41" t="s">
        <v>55</v>
      </c>
      <c r="G115" s="47" t="s">
        <v>237</v>
      </c>
      <c r="H115" s="41" t="s">
        <v>301</v>
      </c>
      <c r="I115" s="41" t="s">
        <v>38</v>
      </c>
    </row>
    <row r="116" spans="1:9" x14ac:dyDescent="0.3">
      <c r="A116" s="41" t="s">
        <v>1157</v>
      </c>
      <c r="B116" s="41" t="s">
        <v>303</v>
      </c>
      <c r="C116" s="41" t="s">
        <v>41</v>
      </c>
      <c r="D116" s="41" t="s">
        <v>41</v>
      </c>
      <c r="E116" s="41" t="s">
        <v>26</v>
      </c>
      <c r="F116" s="41" t="s">
        <v>143</v>
      </c>
      <c r="G116" s="47" t="s">
        <v>237</v>
      </c>
      <c r="H116" s="41" t="s">
        <v>148</v>
      </c>
      <c r="I116" s="41" t="s">
        <v>38</v>
      </c>
    </row>
    <row r="117" spans="1:9" x14ac:dyDescent="0.3">
      <c r="A117" s="41" t="s">
        <v>1158</v>
      </c>
      <c r="B117" s="41" t="s">
        <v>305</v>
      </c>
      <c r="C117" s="41" t="s">
        <v>41</v>
      </c>
      <c r="D117" s="41" t="s">
        <v>41</v>
      </c>
      <c r="E117" s="41" t="s">
        <v>26</v>
      </c>
      <c r="F117" s="41" t="s">
        <v>143</v>
      </c>
      <c r="G117" s="47" t="s">
        <v>237</v>
      </c>
      <c r="H117" s="41" t="s">
        <v>148</v>
      </c>
      <c r="I117" s="41" t="s">
        <v>38</v>
      </c>
    </row>
    <row r="118" spans="1:9" x14ac:dyDescent="0.3">
      <c r="A118" s="41" t="s">
        <v>1159</v>
      </c>
      <c r="B118" s="41" t="s">
        <v>307</v>
      </c>
      <c r="C118" s="41" t="s">
        <v>41</v>
      </c>
      <c r="D118" s="41" t="s">
        <v>41</v>
      </c>
      <c r="E118" s="41" t="s">
        <v>26</v>
      </c>
      <c r="F118" s="41" t="s">
        <v>143</v>
      </c>
      <c r="G118" s="47" t="s">
        <v>237</v>
      </c>
      <c r="H118" s="41" t="s">
        <v>148</v>
      </c>
      <c r="I118" s="41" t="s">
        <v>38</v>
      </c>
    </row>
    <row r="119" spans="1:9" x14ac:dyDescent="0.3">
      <c r="A119" s="41" t="s">
        <v>1160</v>
      </c>
      <c r="B119" s="41" t="s">
        <v>309</v>
      </c>
      <c r="C119" s="41" t="s">
        <v>41</v>
      </c>
      <c r="D119" s="41" t="s">
        <v>41</v>
      </c>
      <c r="E119" s="41" t="s">
        <v>26</v>
      </c>
      <c r="F119" s="41" t="s">
        <v>143</v>
      </c>
      <c r="G119" s="47" t="s">
        <v>237</v>
      </c>
      <c r="H119" s="41" t="s">
        <v>148</v>
      </c>
      <c r="I119" s="41" t="s">
        <v>38</v>
      </c>
    </row>
    <row r="120" spans="1:9" x14ac:dyDescent="0.3">
      <c r="A120" s="41" t="s">
        <v>1161</v>
      </c>
      <c r="B120" s="41" t="s">
        <v>311</v>
      </c>
      <c r="C120" s="41" t="s">
        <v>41</v>
      </c>
      <c r="D120" s="41" t="s">
        <v>244</v>
      </c>
      <c r="E120" s="41" t="s">
        <v>26</v>
      </c>
      <c r="F120" s="41" t="s">
        <v>143</v>
      </c>
      <c r="G120" s="47" t="s">
        <v>237</v>
      </c>
      <c r="H120" s="41" t="s">
        <v>148</v>
      </c>
      <c r="I120" s="41" t="s">
        <v>38</v>
      </c>
    </row>
    <row r="121" spans="1:9" x14ac:dyDescent="0.3">
      <c r="A121" s="41" t="s">
        <v>1162</v>
      </c>
      <c r="B121" s="41" t="s">
        <v>313</v>
      </c>
      <c r="C121" s="41" t="s">
        <v>152</v>
      </c>
      <c r="D121" s="41" t="s">
        <v>152</v>
      </c>
      <c r="E121" s="41" t="s">
        <v>42</v>
      </c>
      <c r="F121" s="41" t="s">
        <v>147</v>
      </c>
      <c r="G121" s="47" t="s">
        <v>237</v>
      </c>
      <c r="H121" s="41" t="s">
        <v>148</v>
      </c>
      <c r="I121" s="41" t="s">
        <v>38</v>
      </c>
    </row>
    <row r="122" spans="1:9" x14ac:dyDescent="0.3">
      <c r="A122" s="41" t="s">
        <v>1163</v>
      </c>
      <c r="B122" s="41" t="s">
        <v>315</v>
      </c>
      <c r="C122" s="41" t="s">
        <v>152</v>
      </c>
      <c r="D122" s="41" t="s">
        <v>146</v>
      </c>
      <c r="E122" s="41" t="s">
        <v>42</v>
      </c>
      <c r="F122" s="41" t="s">
        <v>147</v>
      </c>
      <c r="G122" s="47" t="s">
        <v>237</v>
      </c>
      <c r="H122" s="41" t="s">
        <v>148</v>
      </c>
      <c r="I122" s="41" t="s">
        <v>38</v>
      </c>
    </row>
    <row r="123" spans="1:9" x14ac:dyDescent="0.3">
      <c r="A123" s="41" t="s">
        <v>1164</v>
      </c>
      <c r="B123" s="41" t="s">
        <v>317</v>
      </c>
      <c r="C123" s="41" t="s">
        <v>152</v>
      </c>
      <c r="D123" s="41" t="s">
        <v>146</v>
      </c>
      <c r="E123" s="41" t="s">
        <v>42</v>
      </c>
      <c r="F123" s="41" t="s">
        <v>147</v>
      </c>
      <c r="G123" s="47" t="s">
        <v>237</v>
      </c>
      <c r="H123" s="41" t="s">
        <v>148</v>
      </c>
      <c r="I123" s="41" t="s">
        <v>38</v>
      </c>
    </row>
    <row r="124" spans="1:9" x14ac:dyDescent="0.3">
      <c r="A124" s="41" t="s">
        <v>1165</v>
      </c>
      <c r="B124" s="41" t="s">
        <v>319</v>
      </c>
      <c r="C124" s="41" t="s">
        <v>152</v>
      </c>
      <c r="D124" s="41" t="s">
        <v>152</v>
      </c>
      <c r="E124" s="41" t="s">
        <v>42</v>
      </c>
      <c r="F124" s="41" t="s">
        <v>147</v>
      </c>
      <c r="G124" s="47" t="s">
        <v>237</v>
      </c>
      <c r="H124" s="41" t="s">
        <v>148</v>
      </c>
      <c r="I124" s="41" t="s">
        <v>38</v>
      </c>
    </row>
    <row r="125" spans="1:9" x14ac:dyDescent="0.3">
      <c r="A125" s="41" t="s">
        <v>1166</v>
      </c>
      <c r="B125" s="41" t="s">
        <v>321</v>
      </c>
      <c r="C125" s="41" t="s">
        <v>152</v>
      </c>
      <c r="D125" s="41" t="s">
        <v>146</v>
      </c>
      <c r="E125" s="41" t="s">
        <v>42</v>
      </c>
      <c r="F125" s="41" t="s">
        <v>147</v>
      </c>
      <c r="G125" s="47" t="s">
        <v>237</v>
      </c>
      <c r="H125" s="41" t="s">
        <v>148</v>
      </c>
      <c r="I125" s="41" t="s">
        <v>38</v>
      </c>
    </row>
    <row r="126" spans="1:9" x14ac:dyDescent="0.3">
      <c r="A126" s="41" t="s">
        <v>1167</v>
      </c>
      <c r="B126" s="41" t="s">
        <v>323</v>
      </c>
      <c r="C126" s="41" t="s">
        <v>152</v>
      </c>
      <c r="D126" s="41" t="s">
        <v>146</v>
      </c>
      <c r="E126" s="41" t="s">
        <v>42</v>
      </c>
      <c r="F126" s="41" t="s">
        <v>147</v>
      </c>
      <c r="G126" s="47" t="s">
        <v>237</v>
      </c>
      <c r="H126" s="41" t="s">
        <v>148</v>
      </c>
      <c r="I126" s="41" t="s">
        <v>38</v>
      </c>
    </row>
    <row r="127" spans="1:9" x14ac:dyDescent="0.3">
      <c r="A127" s="41" t="s">
        <v>1168</v>
      </c>
      <c r="B127" s="41" t="s">
        <v>325</v>
      </c>
      <c r="C127" s="41" t="s">
        <v>152</v>
      </c>
      <c r="D127" s="41" t="s">
        <v>152</v>
      </c>
      <c r="E127" s="41" t="s">
        <v>42</v>
      </c>
      <c r="F127" s="41" t="s">
        <v>147</v>
      </c>
      <c r="G127" s="47" t="s">
        <v>237</v>
      </c>
      <c r="H127" s="41" t="s">
        <v>148</v>
      </c>
      <c r="I127" s="41" t="s">
        <v>38</v>
      </c>
    </row>
    <row r="128" spans="1:9" x14ac:dyDescent="0.3">
      <c r="A128" s="41" t="s">
        <v>1169</v>
      </c>
      <c r="B128" s="41" t="s">
        <v>327</v>
      </c>
      <c r="C128" s="41" t="s">
        <v>152</v>
      </c>
      <c r="D128" s="41" t="s">
        <v>146</v>
      </c>
      <c r="E128" s="41" t="s">
        <v>42</v>
      </c>
      <c r="F128" s="41" t="s">
        <v>147</v>
      </c>
      <c r="G128" s="47" t="s">
        <v>237</v>
      </c>
      <c r="H128" s="41" t="s">
        <v>148</v>
      </c>
      <c r="I128" s="41" t="s">
        <v>38</v>
      </c>
    </row>
    <row r="129" spans="1:9" x14ac:dyDescent="0.3">
      <c r="A129" s="41" t="s">
        <v>1170</v>
      </c>
      <c r="B129" s="41" t="s">
        <v>329</v>
      </c>
      <c r="C129" s="41" t="s">
        <v>152</v>
      </c>
      <c r="D129" s="41" t="s">
        <v>146</v>
      </c>
      <c r="E129" s="41" t="s">
        <v>42</v>
      </c>
      <c r="F129" s="41" t="s">
        <v>147</v>
      </c>
      <c r="G129" s="47" t="s">
        <v>237</v>
      </c>
      <c r="H129" s="41" t="s">
        <v>148</v>
      </c>
      <c r="I129" s="41" t="s">
        <v>38</v>
      </c>
    </row>
    <row r="130" spans="1:9" x14ac:dyDescent="0.3">
      <c r="A130" s="41" t="s">
        <v>330</v>
      </c>
      <c r="B130" s="41" t="s">
        <v>331</v>
      </c>
      <c r="C130" s="41" t="s">
        <v>41</v>
      </c>
      <c r="D130" s="41" t="s">
        <v>41</v>
      </c>
      <c r="E130" s="41" t="s">
        <v>26</v>
      </c>
      <c r="F130" s="41" t="s">
        <v>143</v>
      </c>
      <c r="G130" s="47" t="s">
        <v>237</v>
      </c>
      <c r="H130" s="41" t="s">
        <v>138</v>
      </c>
      <c r="I130" s="41" t="s">
        <v>38</v>
      </c>
    </row>
    <row r="131" spans="1:9" x14ac:dyDescent="0.3">
      <c r="A131" s="41" t="s">
        <v>332</v>
      </c>
      <c r="B131" s="41" t="s">
        <v>333</v>
      </c>
      <c r="C131" s="41" t="s">
        <v>41</v>
      </c>
      <c r="D131" s="41" t="s">
        <v>41</v>
      </c>
      <c r="E131" s="41" t="s">
        <v>26</v>
      </c>
      <c r="F131" s="41" t="s">
        <v>201</v>
      </c>
      <c r="G131" s="47" t="s">
        <v>28</v>
      </c>
      <c r="H131" s="41" t="s">
        <v>138</v>
      </c>
      <c r="I131" s="41" t="s">
        <v>38</v>
      </c>
    </row>
    <row r="132" spans="1:9" x14ac:dyDescent="0.3">
      <c r="A132" s="41" t="s">
        <v>334</v>
      </c>
      <c r="B132" s="41" t="s">
        <v>335</v>
      </c>
      <c r="C132" s="41" t="s">
        <v>41</v>
      </c>
      <c r="D132" s="41" t="s">
        <v>41</v>
      </c>
      <c r="E132" s="41" t="s">
        <v>26</v>
      </c>
      <c r="F132" s="41" t="s">
        <v>201</v>
      </c>
      <c r="G132" s="47" t="s">
        <v>28</v>
      </c>
      <c r="H132" s="41" t="s">
        <v>138</v>
      </c>
      <c r="I132" s="41" t="s">
        <v>38</v>
      </c>
    </row>
    <row r="133" spans="1:9" x14ac:dyDescent="0.3">
      <c r="A133" s="41" t="s">
        <v>336</v>
      </c>
      <c r="B133" s="41" t="s">
        <v>337</v>
      </c>
      <c r="C133" s="41" t="s">
        <v>41</v>
      </c>
      <c r="D133" s="41" t="s">
        <v>41</v>
      </c>
      <c r="E133" s="41" t="s">
        <v>26</v>
      </c>
      <c r="F133" s="41" t="s">
        <v>201</v>
      </c>
      <c r="G133" s="47" t="s">
        <v>28</v>
      </c>
      <c r="H133" s="41" t="s">
        <v>138</v>
      </c>
      <c r="I133" s="41" t="s">
        <v>38</v>
      </c>
    </row>
    <row r="134" spans="1:9" x14ac:dyDescent="0.3">
      <c r="A134" s="41" t="s">
        <v>338</v>
      </c>
      <c r="B134" s="41" t="s">
        <v>339</v>
      </c>
      <c r="C134" s="41" t="s">
        <v>41</v>
      </c>
      <c r="D134" s="41" t="s">
        <v>41</v>
      </c>
      <c r="E134" s="41" t="s">
        <v>26</v>
      </c>
      <c r="F134" s="41" t="s">
        <v>201</v>
      </c>
      <c r="G134" s="47" t="s">
        <v>28</v>
      </c>
      <c r="H134" s="41" t="s">
        <v>138</v>
      </c>
      <c r="I134" s="41" t="s">
        <v>38</v>
      </c>
    </row>
    <row r="135" spans="1:9" x14ac:dyDescent="0.3">
      <c r="A135" s="41" t="s">
        <v>340</v>
      </c>
      <c r="B135" s="41" t="s">
        <v>341</v>
      </c>
      <c r="C135" s="41" t="s">
        <v>41</v>
      </c>
      <c r="D135" s="41" t="s">
        <v>41</v>
      </c>
      <c r="E135" s="41" t="s">
        <v>26</v>
      </c>
      <c r="F135" s="41" t="s">
        <v>201</v>
      </c>
      <c r="G135" s="47" t="s">
        <v>28</v>
      </c>
      <c r="H135" s="41" t="s">
        <v>138</v>
      </c>
      <c r="I135" s="41" t="s">
        <v>38</v>
      </c>
    </row>
    <row r="136" spans="1:9" x14ac:dyDescent="0.3">
      <c r="A136" s="41" t="s">
        <v>342</v>
      </c>
      <c r="B136" s="41" t="s">
        <v>343</v>
      </c>
      <c r="C136" s="41" t="s">
        <v>41</v>
      </c>
      <c r="D136" s="41" t="s">
        <v>41</v>
      </c>
      <c r="E136" s="41" t="s">
        <v>26</v>
      </c>
      <c r="F136" s="41" t="s">
        <v>201</v>
      </c>
      <c r="G136" s="47" t="s">
        <v>28</v>
      </c>
      <c r="H136" s="41" t="s">
        <v>138</v>
      </c>
      <c r="I136" s="41" t="s">
        <v>38</v>
      </c>
    </row>
    <row r="137" spans="1:9" x14ac:dyDescent="0.3">
      <c r="A137" s="41" t="s">
        <v>344</v>
      </c>
      <c r="B137" s="41" t="s">
        <v>345</v>
      </c>
      <c r="C137" s="41" t="s">
        <v>41</v>
      </c>
      <c r="D137" s="41" t="s">
        <v>41</v>
      </c>
      <c r="E137" s="41" t="s">
        <v>26</v>
      </c>
      <c r="F137" s="41" t="s">
        <v>201</v>
      </c>
      <c r="G137" s="47" t="s">
        <v>28</v>
      </c>
      <c r="H137" s="41" t="s">
        <v>138</v>
      </c>
      <c r="I137" s="41" t="s">
        <v>38</v>
      </c>
    </row>
    <row r="138" spans="1:9" x14ac:dyDescent="0.3">
      <c r="A138" s="41" t="s">
        <v>346</v>
      </c>
      <c r="B138" s="41" t="s">
        <v>347</v>
      </c>
      <c r="C138" s="41" t="s">
        <v>41</v>
      </c>
      <c r="D138" s="41" t="s">
        <v>41</v>
      </c>
      <c r="E138" s="41" t="s">
        <v>26</v>
      </c>
      <c r="F138" s="41" t="s">
        <v>201</v>
      </c>
      <c r="G138" s="47" t="s">
        <v>28</v>
      </c>
      <c r="H138" s="41" t="s">
        <v>138</v>
      </c>
      <c r="I138" s="41" t="s">
        <v>38</v>
      </c>
    </row>
    <row r="139" spans="1:9" x14ac:dyDescent="0.3">
      <c r="A139" s="41" t="s">
        <v>348</v>
      </c>
      <c r="B139" s="41" t="s">
        <v>349</v>
      </c>
      <c r="C139" s="41" t="s">
        <v>41</v>
      </c>
      <c r="D139" s="41" t="s">
        <v>41</v>
      </c>
      <c r="E139" s="41" t="s">
        <v>26</v>
      </c>
      <c r="F139" s="41" t="s">
        <v>201</v>
      </c>
      <c r="G139" s="47" t="s">
        <v>28</v>
      </c>
      <c r="H139" s="41" t="s">
        <v>138</v>
      </c>
      <c r="I139" s="41" t="s">
        <v>38</v>
      </c>
    </row>
    <row r="140" spans="1:9" x14ac:dyDescent="0.3">
      <c r="A140" s="41" t="s">
        <v>350</v>
      </c>
      <c r="B140" s="41" t="s">
        <v>351</v>
      </c>
      <c r="C140" s="41" t="s">
        <v>41</v>
      </c>
      <c r="D140" s="41" t="s">
        <v>41</v>
      </c>
      <c r="E140" s="41" t="s">
        <v>26</v>
      </c>
      <c r="F140" s="41" t="s">
        <v>201</v>
      </c>
      <c r="G140" s="47" t="s">
        <v>28</v>
      </c>
      <c r="H140" s="41" t="s">
        <v>138</v>
      </c>
      <c r="I140" s="41" t="s">
        <v>38</v>
      </c>
    </row>
    <row r="141" spans="1:9" x14ac:dyDescent="0.3">
      <c r="A141" s="41" t="s">
        <v>352</v>
      </c>
      <c r="B141" s="41" t="s">
        <v>353</v>
      </c>
      <c r="C141" s="41" t="s">
        <v>41</v>
      </c>
      <c r="D141" s="41" t="s">
        <v>41</v>
      </c>
      <c r="E141" s="41" t="s">
        <v>26</v>
      </c>
      <c r="F141" s="41" t="s">
        <v>201</v>
      </c>
      <c r="G141" s="47" t="s">
        <v>28</v>
      </c>
      <c r="H141" s="41" t="s">
        <v>138</v>
      </c>
      <c r="I141" s="41" t="s">
        <v>38</v>
      </c>
    </row>
    <row r="142" spans="1:9" x14ac:dyDescent="0.3">
      <c r="A142" s="41" t="s">
        <v>354</v>
      </c>
      <c r="B142" s="41" t="s">
        <v>355</v>
      </c>
      <c r="C142" s="41" t="s">
        <v>41</v>
      </c>
      <c r="D142" s="41" t="s">
        <v>41</v>
      </c>
      <c r="E142" s="41" t="s">
        <v>26</v>
      </c>
      <c r="F142" s="41" t="s">
        <v>201</v>
      </c>
      <c r="G142" s="47" t="s">
        <v>28</v>
      </c>
      <c r="H142" s="41" t="s">
        <v>138</v>
      </c>
      <c r="I142" s="41" t="s">
        <v>38</v>
      </c>
    </row>
    <row r="143" spans="1:9" x14ac:dyDescent="0.3">
      <c r="A143" s="41" t="s">
        <v>356</v>
      </c>
      <c r="B143" s="41" t="s">
        <v>357</v>
      </c>
      <c r="C143" s="41" t="s">
        <v>41</v>
      </c>
      <c r="D143" s="41" t="s">
        <v>41</v>
      </c>
      <c r="E143" s="41" t="s">
        <v>26</v>
      </c>
      <c r="F143" s="41" t="s">
        <v>201</v>
      </c>
      <c r="G143" s="47" t="s">
        <v>28</v>
      </c>
      <c r="H143" s="41" t="s">
        <v>138</v>
      </c>
      <c r="I143" s="41" t="s">
        <v>38</v>
      </c>
    </row>
    <row r="144" spans="1:9" x14ac:dyDescent="0.3">
      <c r="A144" s="41" t="s">
        <v>358</v>
      </c>
      <c r="B144" s="41" t="s">
        <v>359</v>
      </c>
      <c r="C144" s="41" t="s">
        <v>41</v>
      </c>
      <c r="D144" s="41" t="s">
        <v>41</v>
      </c>
      <c r="E144" s="41" t="s">
        <v>26</v>
      </c>
      <c r="F144" s="41" t="s">
        <v>201</v>
      </c>
      <c r="G144" s="47" t="s">
        <v>28</v>
      </c>
      <c r="H144" s="41" t="s">
        <v>138</v>
      </c>
      <c r="I144" s="41" t="s">
        <v>38</v>
      </c>
    </row>
    <row r="145" spans="1:9" x14ac:dyDescent="0.3">
      <c r="A145" s="41" t="s">
        <v>1110</v>
      </c>
      <c r="B145" s="41" t="s">
        <v>361</v>
      </c>
      <c r="C145" s="41" t="s">
        <v>41</v>
      </c>
      <c r="D145" s="41" t="s">
        <v>244</v>
      </c>
      <c r="E145" s="41" t="s">
        <v>26</v>
      </c>
      <c r="F145" s="41" t="s">
        <v>143</v>
      </c>
      <c r="G145" s="47" t="s">
        <v>237</v>
      </c>
      <c r="H145" s="41" t="s">
        <v>148</v>
      </c>
      <c r="I145" s="41" t="s">
        <v>38</v>
      </c>
    </row>
    <row r="146" spans="1:9" x14ac:dyDescent="0.3">
      <c r="A146" s="41" t="s">
        <v>1111</v>
      </c>
      <c r="B146" s="41" t="s">
        <v>363</v>
      </c>
      <c r="C146" s="41" t="s">
        <v>41</v>
      </c>
      <c r="D146" s="41" t="s">
        <v>244</v>
      </c>
      <c r="E146" s="41" t="s">
        <v>26</v>
      </c>
      <c r="F146" s="41" t="s">
        <v>143</v>
      </c>
      <c r="G146" s="47" t="s">
        <v>237</v>
      </c>
      <c r="H146" s="41" t="s">
        <v>148</v>
      </c>
      <c r="I146" s="41" t="s">
        <v>38</v>
      </c>
    </row>
    <row r="147" spans="1:9" x14ac:dyDescent="0.3">
      <c r="A147" s="41" t="s">
        <v>1112</v>
      </c>
      <c r="B147" s="41" t="s">
        <v>365</v>
      </c>
      <c r="C147" s="41" t="s">
        <v>41</v>
      </c>
      <c r="D147" s="41" t="s">
        <v>244</v>
      </c>
      <c r="E147" s="41" t="s">
        <v>26</v>
      </c>
      <c r="F147" s="41" t="s">
        <v>143</v>
      </c>
      <c r="G147" s="47" t="s">
        <v>237</v>
      </c>
      <c r="H147" s="41" t="s">
        <v>148</v>
      </c>
      <c r="I147" s="41" t="s">
        <v>38</v>
      </c>
    </row>
    <row r="148" spans="1:9" x14ac:dyDescent="0.3">
      <c r="A148" s="41" t="s">
        <v>1113</v>
      </c>
      <c r="B148" s="41" t="s">
        <v>367</v>
      </c>
      <c r="C148" s="41" t="s">
        <v>41</v>
      </c>
      <c r="D148" s="41" t="s">
        <v>244</v>
      </c>
      <c r="E148" s="41" t="s">
        <v>26</v>
      </c>
      <c r="F148" s="41" t="s">
        <v>143</v>
      </c>
      <c r="G148" s="47" t="s">
        <v>237</v>
      </c>
      <c r="H148" s="41" t="s">
        <v>148</v>
      </c>
      <c r="I148" s="41" t="s">
        <v>38</v>
      </c>
    </row>
    <row r="149" spans="1:9" x14ac:dyDescent="0.3">
      <c r="A149" s="41" t="s">
        <v>1114</v>
      </c>
      <c r="B149" s="41" t="s">
        <v>369</v>
      </c>
      <c r="C149" s="41" t="s">
        <v>41</v>
      </c>
      <c r="D149" s="41" t="s">
        <v>244</v>
      </c>
      <c r="E149" s="41" t="s">
        <v>26</v>
      </c>
      <c r="F149" s="41" t="s">
        <v>143</v>
      </c>
      <c r="G149" s="47" t="s">
        <v>237</v>
      </c>
      <c r="H149" s="41" t="s">
        <v>148</v>
      </c>
      <c r="I149" s="41" t="s">
        <v>38</v>
      </c>
    </row>
    <row r="150" spans="1:9" x14ac:dyDescent="0.3">
      <c r="A150" s="41" t="s">
        <v>1115</v>
      </c>
      <c r="B150" s="41" t="s">
        <v>371</v>
      </c>
      <c r="C150" s="41" t="s">
        <v>41</v>
      </c>
      <c r="D150" s="41" t="s">
        <v>244</v>
      </c>
      <c r="E150" s="41" t="s">
        <v>26</v>
      </c>
      <c r="F150" s="41" t="s">
        <v>143</v>
      </c>
      <c r="G150" s="47" t="s">
        <v>237</v>
      </c>
      <c r="H150" s="41" t="s">
        <v>148</v>
      </c>
      <c r="I150" s="41" t="s">
        <v>38</v>
      </c>
    </row>
    <row r="151" spans="1:9" x14ac:dyDescent="0.3">
      <c r="A151" s="41" t="s">
        <v>1116</v>
      </c>
      <c r="B151" s="41" t="s">
        <v>373</v>
      </c>
      <c r="C151" s="41" t="s">
        <v>41</v>
      </c>
      <c r="D151" s="41" t="s">
        <v>244</v>
      </c>
      <c r="E151" s="41" t="s">
        <v>26</v>
      </c>
      <c r="F151" s="41" t="s">
        <v>143</v>
      </c>
      <c r="G151" s="47" t="s">
        <v>237</v>
      </c>
      <c r="H151" s="41" t="s">
        <v>148</v>
      </c>
      <c r="I151" s="41" t="s">
        <v>38</v>
      </c>
    </row>
    <row r="152" spans="1:9" x14ac:dyDescent="0.3">
      <c r="A152" s="41" t="s">
        <v>1117</v>
      </c>
      <c r="B152" s="41" t="s">
        <v>375</v>
      </c>
      <c r="C152" s="41" t="s">
        <v>41</v>
      </c>
      <c r="D152" s="41" t="s">
        <v>244</v>
      </c>
      <c r="E152" s="41" t="s">
        <v>26</v>
      </c>
      <c r="F152" s="41" t="s">
        <v>143</v>
      </c>
      <c r="G152" s="47" t="s">
        <v>237</v>
      </c>
      <c r="H152" s="41" t="s">
        <v>148</v>
      </c>
      <c r="I152" s="41" t="s">
        <v>38</v>
      </c>
    </row>
    <row r="153" spans="1:9" x14ac:dyDescent="0.3">
      <c r="A153" s="41" t="s">
        <v>1118</v>
      </c>
      <c r="B153" s="41" t="s">
        <v>377</v>
      </c>
      <c r="C153" s="41" t="s">
        <v>41</v>
      </c>
      <c r="D153" s="41" t="s">
        <v>244</v>
      </c>
      <c r="E153" s="41" t="s">
        <v>26</v>
      </c>
      <c r="F153" s="41" t="s">
        <v>143</v>
      </c>
      <c r="G153" s="47" t="s">
        <v>237</v>
      </c>
      <c r="H153" s="41" t="s">
        <v>148</v>
      </c>
      <c r="I153" s="41" t="s">
        <v>38</v>
      </c>
    </row>
    <row r="154" spans="1:9" x14ac:dyDescent="0.3">
      <c r="A154" s="41" t="s">
        <v>1119</v>
      </c>
      <c r="B154" s="41" t="s">
        <v>379</v>
      </c>
      <c r="C154" s="41" t="s">
        <v>41</v>
      </c>
      <c r="D154" s="41" t="s">
        <v>244</v>
      </c>
      <c r="E154" s="41" t="s">
        <v>26</v>
      </c>
      <c r="F154" s="41" t="s">
        <v>143</v>
      </c>
      <c r="G154" s="47" t="s">
        <v>237</v>
      </c>
      <c r="H154" s="41" t="s">
        <v>148</v>
      </c>
      <c r="I154" s="41" t="s">
        <v>38</v>
      </c>
    </row>
    <row r="155" spans="1:9" x14ac:dyDescent="0.3">
      <c r="A155" s="41" t="s">
        <v>1120</v>
      </c>
      <c r="B155" s="41" t="s">
        <v>381</v>
      </c>
      <c r="C155" s="41" t="s">
        <v>41</v>
      </c>
      <c r="D155" s="41" t="s">
        <v>244</v>
      </c>
      <c r="E155" s="41" t="s">
        <v>26</v>
      </c>
      <c r="F155" s="41" t="s">
        <v>143</v>
      </c>
      <c r="G155" s="47" t="s">
        <v>237</v>
      </c>
      <c r="H155" s="41" t="s">
        <v>148</v>
      </c>
      <c r="I155" s="41" t="s">
        <v>38</v>
      </c>
    </row>
    <row r="156" spans="1:9" x14ac:dyDescent="0.3">
      <c r="A156" s="41" t="s">
        <v>1121</v>
      </c>
      <c r="B156" s="41" t="s">
        <v>383</v>
      </c>
      <c r="C156" s="41" t="s">
        <v>41</v>
      </c>
      <c r="D156" s="41" t="s">
        <v>244</v>
      </c>
      <c r="E156" s="41" t="s">
        <v>26</v>
      </c>
      <c r="F156" s="41" t="s">
        <v>143</v>
      </c>
      <c r="G156" s="47" t="s">
        <v>237</v>
      </c>
      <c r="H156" s="41" t="s">
        <v>148</v>
      </c>
      <c r="I156" s="41" t="s">
        <v>38</v>
      </c>
    </row>
    <row r="157" spans="1:9" x14ac:dyDescent="0.3">
      <c r="A157" s="41" t="s">
        <v>1122</v>
      </c>
      <c r="B157" s="41" t="s">
        <v>385</v>
      </c>
      <c r="C157" s="41" t="s">
        <v>41</v>
      </c>
      <c r="D157" s="41" t="s">
        <v>244</v>
      </c>
      <c r="E157" s="41" t="s">
        <v>26</v>
      </c>
      <c r="F157" s="41" t="s">
        <v>143</v>
      </c>
      <c r="G157" s="47" t="s">
        <v>237</v>
      </c>
      <c r="H157" s="41" t="s">
        <v>148</v>
      </c>
      <c r="I157" s="41" t="s">
        <v>38</v>
      </c>
    </row>
    <row r="158" spans="1:9" x14ac:dyDescent="0.3">
      <c r="A158" s="41" t="s">
        <v>1123</v>
      </c>
      <c r="B158" s="41" t="s">
        <v>387</v>
      </c>
      <c r="C158" s="41" t="s">
        <v>41</v>
      </c>
      <c r="D158" s="41" t="s">
        <v>244</v>
      </c>
      <c r="E158" s="41" t="s">
        <v>26</v>
      </c>
      <c r="F158" s="41" t="s">
        <v>143</v>
      </c>
      <c r="G158" s="47" t="s">
        <v>237</v>
      </c>
      <c r="H158" s="41" t="s">
        <v>148</v>
      </c>
      <c r="I158" s="41" t="s">
        <v>38</v>
      </c>
    </row>
    <row r="159" spans="1:9" x14ac:dyDescent="0.3">
      <c r="A159" s="41" t="s">
        <v>1124</v>
      </c>
      <c r="B159" s="41" t="s">
        <v>389</v>
      </c>
      <c r="C159" s="41" t="s">
        <v>41</v>
      </c>
      <c r="D159" s="41" t="s">
        <v>244</v>
      </c>
      <c r="E159" s="41" t="s">
        <v>26</v>
      </c>
      <c r="F159" s="41" t="s">
        <v>143</v>
      </c>
      <c r="G159" s="47" t="s">
        <v>237</v>
      </c>
      <c r="H159" s="41" t="s">
        <v>148</v>
      </c>
      <c r="I159" s="41" t="s">
        <v>38</v>
      </c>
    </row>
    <row r="160" spans="1:9" x14ac:dyDescent="0.3">
      <c r="A160" s="41" t="s">
        <v>1098</v>
      </c>
      <c r="B160" s="41" t="s">
        <v>391</v>
      </c>
      <c r="C160" s="41" t="s">
        <v>41</v>
      </c>
      <c r="D160" s="41" t="s">
        <v>244</v>
      </c>
      <c r="E160" s="41" t="s">
        <v>26</v>
      </c>
      <c r="F160" s="41" t="s">
        <v>143</v>
      </c>
      <c r="G160" s="47" t="s">
        <v>237</v>
      </c>
      <c r="H160" s="41" t="s">
        <v>148</v>
      </c>
      <c r="I160" s="41" t="s">
        <v>38</v>
      </c>
    </row>
    <row r="161" spans="1:9" x14ac:dyDescent="0.3">
      <c r="A161" s="41" t="s">
        <v>1099</v>
      </c>
      <c r="B161" s="41" t="s">
        <v>393</v>
      </c>
      <c r="C161" s="41" t="s">
        <v>41</v>
      </c>
      <c r="D161" s="41" t="s">
        <v>244</v>
      </c>
      <c r="E161" s="41" t="s">
        <v>26</v>
      </c>
      <c r="F161" s="41" t="s">
        <v>143</v>
      </c>
      <c r="G161" s="47" t="s">
        <v>237</v>
      </c>
      <c r="H161" s="41" t="s">
        <v>148</v>
      </c>
      <c r="I161" s="41" t="s">
        <v>38</v>
      </c>
    </row>
    <row r="162" spans="1:9" x14ac:dyDescent="0.3">
      <c r="A162" s="41" t="s">
        <v>1100</v>
      </c>
      <c r="B162" s="41" t="s">
        <v>395</v>
      </c>
      <c r="C162" s="41" t="s">
        <v>41</v>
      </c>
      <c r="D162" s="41" t="s">
        <v>244</v>
      </c>
      <c r="E162" s="41" t="s">
        <v>26</v>
      </c>
      <c r="F162" s="41" t="s">
        <v>143</v>
      </c>
      <c r="G162" s="47" t="s">
        <v>237</v>
      </c>
      <c r="H162" s="41" t="s">
        <v>148</v>
      </c>
      <c r="I162" s="41" t="s">
        <v>38</v>
      </c>
    </row>
    <row r="163" spans="1:9" x14ac:dyDescent="0.3">
      <c r="A163" s="41" t="s">
        <v>1101</v>
      </c>
      <c r="B163" s="41" t="s">
        <v>397</v>
      </c>
      <c r="C163" s="41" t="s">
        <v>41</v>
      </c>
      <c r="D163" s="41" t="s">
        <v>244</v>
      </c>
      <c r="E163" s="41" t="s">
        <v>26</v>
      </c>
      <c r="F163" s="41" t="s">
        <v>143</v>
      </c>
      <c r="G163" s="47" t="s">
        <v>237</v>
      </c>
      <c r="H163" s="41" t="s">
        <v>148</v>
      </c>
      <c r="I163" s="41" t="s">
        <v>38</v>
      </c>
    </row>
    <row r="164" spans="1:9" x14ac:dyDescent="0.3">
      <c r="A164" s="41" t="s">
        <v>1102</v>
      </c>
      <c r="B164" s="41" t="s">
        <v>399</v>
      </c>
      <c r="C164" s="41" t="s">
        <v>41</v>
      </c>
      <c r="D164" s="41" t="s">
        <v>244</v>
      </c>
      <c r="E164" s="41" t="s">
        <v>26</v>
      </c>
      <c r="F164" s="41" t="s">
        <v>143</v>
      </c>
      <c r="G164" s="47" t="s">
        <v>237</v>
      </c>
      <c r="H164" s="41" t="s">
        <v>148</v>
      </c>
      <c r="I164" s="41" t="s">
        <v>38</v>
      </c>
    </row>
    <row r="165" spans="1:9" x14ac:dyDescent="0.3">
      <c r="A165" s="41" t="s">
        <v>1103</v>
      </c>
      <c r="B165" s="41" t="s">
        <v>401</v>
      </c>
      <c r="C165" s="41" t="s">
        <v>41</v>
      </c>
      <c r="D165" s="41" t="s">
        <v>244</v>
      </c>
      <c r="E165" s="41" t="s">
        <v>26</v>
      </c>
      <c r="F165" s="41" t="s">
        <v>143</v>
      </c>
      <c r="G165" s="47" t="s">
        <v>237</v>
      </c>
      <c r="H165" s="41" t="s">
        <v>148</v>
      </c>
      <c r="I165" s="41" t="s">
        <v>38</v>
      </c>
    </row>
    <row r="166" spans="1:9" x14ac:dyDescent="0.3">
      <c r="A166" s="41" t="s">
        <v>1104</v>
      </c>
      <c r="B166" s="41" t="s">
        <v>403</v>
      </c>
      <c r="C166" s="41" t="s">
        <v>41</v>
      </c>
      <c r="D166" s="41" t="s">
        <v>244</v>
      </c>
      <c r="E166" s="41" t="s">
        <v>26</v>
      </c>
      <c r="F166" s="41" t="s">
        <v>143</v>
      </c>
      <c r="G166" s="47" t="s">
        <v>237</v>
      </c>
      <c r="H166" s="41" t="s">
        <v>148</v>
      </c>
      <c r="I166" s="41" t="s">
        <v>38</v>
      </c>
    </row>
    <row r="167" spans="1:9" x14ac:dyDescent="0.3">
      <c r="A167" s="41" t="s">
        <v>1105</v>
      </c>
      <c r="B167" s="41" t="s">
        <v>405</v>
      </c>
      <c r="C167" s="41" t="s">
        <v>41</v>
      </c>
      <c r="D167" s="41" t="s">
        <v>244</v>
      </c>
      <c r="E167" s="41" t="s">
        <v>26</v>
      </c>
      <c r="F167" s="41" t="s">
        <v>143</v>
      </c>
      <c r="G167" s="47" t="s">
        <v>237</v>
      </c>
      <c r="H167" s="41" t="s">
        <v>148</v>
      </c>
      <c r="I167" s="41" t="s">
        <v>38</v>
      </c>
    </row>
    <row r="168" spans="1:9" x14ac:dyDescent="0.3">
      <c r="A168" s="41" t="s">
        <v>1106</v>
      </c>
      <c r="B168" s="41" t="s">
        <v>407</v>
      </c>
      <c r="C168" s="41" t="s">
        <v>41</v>
      </c>
      <c r="D168" s="41" t="s">
        <v>244</v>
      </c>
      <c r="E168" s="41" t="s">
        <v>26</v>
      </c>
      <c r="F168" s="41" t="s">
        <v>143</v>
      </c>
      <c r="G168" s="47" t="s">
        <v>237</v>
      </c>
      <c r="H168" s="41" t="s">
        <v>148</v>
      </c>
      <c r="I168" s="41" t="s">
        <v>38</v>
      </c>
    </row>
    <row r="169" spans="1:9" x14ac:dyDescent="0.3">
      <c r="A169" s="41" t="s">
        <v>1107</v>
      </c>
      <c r="B169" s="41" t="s">
        <v>409</v>
      </c>
      <c r="C169" s="41" t="s">
        <v>41</v>
      </c>
      <c r="D169" s="41" t="s">
        <v>244</v>
      </c>
      <c r="E169" s="41" t="s">
        <v>26</v>
      </c>
      <c r="F169" s="41" t="s">
        <v>143</v>
      </c>
      <c r="G169" s="47" t="s">
        <v>237</v>
      </c>
      <c r="H169" s="41" t="s">
        <v>148</v>
      </c>
      <c r="I169" s="41" t="s">
        <v>38</v>
      </c>
    </row>
    <row r="170" spans="1:9" x14ac:dyDescent="0.3">
      <c r="A170" s="41" t="s">
        <v>1108</v>
      </c>
      <c r="B170" s="41" t="s">
        <v>411</v>
      </c>
      <c r="C170" s="41" t="s">
        <v>41</v>
      </c>
      <c r="D170" s="41" t="s">
        <v>244</v>
      </c>
      <c r="E170" s="41" t="s">
        <v>26</v>
      </c>
      <c r="F170" s="41" t="s">
        <v>143</v>
      </c>
      <c r="G170" s="47" t="s">
        <v>237</v>
      </c>
      <c r="H170" s="41" t="s">
        <v>148</v>
      </c>
      <c r="I170" s="41" t="s">
        <v>38</v>
      </c>
    </row>
    <row r="171" spans="1:9" x14ac:dyDescent="0.3">
      <c r="A171" s="41" t="s">
        <v>1109</v>
      </c>
      <c r="B171" s="41" t="s">
        <v>413</v>
      </c>
      <c r="C171" s="41" t="s">
        <v>41</v>
      </c>
      <c r="D171" s="41" t="s">
        <v>244</v>
      </c>
      <c r="E171" s="41" t="s">
        <v>26</v>
      </c>
      <c r="F171" s="41" t="s">
        <v>143</v>
      </c>
      <c r="G171" s="47" t="s">
        <v>237</v>
      </c>
      <c r="H171" s="41" t="s">
        <v>148</v>
      </c>
      <c r="I171" s="41" t="s">
        <v>38</v>
      </c>
    </row>
    <row r="172" spans="1:9" x14ac:dyDescent="0.3">
      <c r="A172" s="41" t="s">
        <v>1095</v>
      </c>
      <c r="B172" s="41" t="s">
        <v>415</v>
      </c>
      <c r="C172" s="41" t="s">
        <v>41</v>
      </c>
      <c r="D172" s="41" t="s">
        <v>244</v>
      </c>
      <c r="E172" s="41" t="s">
        <v>26</v>
      </c>
      <c r="F172" s="41" t="s">
        <v>143</v>
      </c>
      <c r="G172" s="47" t="s">
        <v>237</v>
      </c>
      <c r="H172" s="41" t="s">
        <v>148</v>
      </c>
      <c r="I172" s="41" t="s">
        <v>38</v>
      </c>
    </row>
    <row r="173" spans="1:9" x14ac:dyDescent="0.3">
      <c r="A173" s="41" t="s">
        <v>1096</v>
      </c>
      <c r="B173" s="41" t="s">
        <v>417</v>
      </c>
      <c r="C173" s="41" t="s">
        <v>41</v>
      </c>
      <c r="D173" s="41" t="s">
        <v>244</v>
      </c>
      <c r="E173" s="41" t="s">
        <v>26</v>
      </c>
      <c r="F173" s="41" t="s">
        <v>143</v>
      </c>
      <c r="G173" s="47" t="s">
        <v>237</v>
      </c>
      <c r="H173" s="41" t="s">
        <v>148</v>
      </c>
      <c r="I173" s="41" t="s">
        <v>38</v>
      </c>
    </row>
    <row r="174" spans="1:9" x14ac:dyDescent="0.3">
      <c r="A174" s="41" t="s">
        <v>1097</v>
      </c>
      <c r="B174" s="41" t="s">
        <v>419</v>
      </c>
      <c r="C174" s="41" t="s">
        <v>41</v>
      </c>
      <c r="D174" s="41" t="s">
        <v>244</v>
      </c>
      <c r="E174" s="41" t="s">
        <v>26</v>
      </c>
      <c r="F174" s="41" t="s">
        <v>143</v>
      </c>
      <c r="G174" s="47" t="s">
        <v>237</v>
      </c>
      <c r="H174" s="41" t="s">
        <v>148</v>
      </c>
      <c r="I174" s="41" t="s">
        <v>38</v>
      </c>
    </row>
    <row r="175" spans="1:9" x14ac:dyDescent="0.3">
      <c r="A175" s="41" t="s">
        <v>420</v>
      </c>
      <c r="B175" s="41" t="s">
        <v>421</v>
      </c>
      <c r="C175" s="41" t="s">
        <v>41</v>
      </c>
      <c r="D175" s="41" t="s">
        <v>41</v>
      </c>
      <c r="E175" s="41" t="s">
        <v>42</v>
      </c>
      <c r="F175" s="41" t="s">
        <v>147</v>
      </c>
      <c r="G175" s="47" t="s">
        <v>56</v>
      </c>
      <c r="H175" s="41" t="s">
        <v>127</v>
      </c>
      <c r="I175" s="41" t="s">
        <v>38</v>
      </c>
    </row>
    <row r="176" spans="1:9" x14ac:dyDescent="0.3">
      <c r="A176" s="41" t="s">
        <v>422</v>
      </c>
      <c r="B176" s="41" t="s">
        <v>423</v>
      </c>
      <c r="C176" s="41" t="s">
        <v>41</v>
      </c>
      <c r="D176" s="41" t="s">
        <v>41</v>
      </c>
      <c r="E176" s="41" t="s">
        <v>42</v>
      </c>
      <c r="F176" s="41" t="s">
        <v>147</v>
      </c>
      <c r="G176" s="47" t="s">
        <v>56</v>
      </c>
      <c r="H176" s="41" t="s">
        <v>127</v>
      </c>
      <c r="I176" s="41" t="s">
        <v>38</v>
      </c>
    </row>
    <row r="177" spans="1:9" x14ac:dyDescent="0.3">
      <c r="A177" s="41" t="s">
        <v>424</v>
      </c>
      <c r="B177" s="41" t="s">
        <v>425</v>
      </c>
      <c r="C177" s="41" t="s">
        <v>41</v>
      </c>
      <c r="D177" s="41" t="s">
        <v>41</v>
      </c>
      <c r="E177" s="41" t="s">
        <v>42</v>
      </c>
      <c r="F177" s="41" t="s">
        <v>126</v>
      </c>
      <c r="G177" s="47" t="s">
        <v>56</v>
      </c>
      <c r="H177" s="41" t="s">
        <v>127</v>
      </c>
      <c r="I177" s="41" t="s">
        <v>38</v>
      </c>
    </row>
    <row r="178" spans="1:9" x14ac:dyDescent="0.3">
      <c r="A178" s="41" t="s">
        <v>426</v>
      </c>
      <c r="B178" s="41" t="s">
        <v>427</v>
      </c>
      <c r="C178" s="41" t="s">
        <v>41</v>
      </c>
      <c r="D178" s="41" t="s">
        <v>41</v>
      </c>
      <c r="E178" s="41" t="s">
        <v>42</v>
      </c>
      <c r="F178" s="41" t="s">
        <v>126</v>
      </c>
      <c r="G178" s="47" t="s">
        <v>56</v>
      </c>
      <c r="H178" s="41" t="s">
        <v>127</v>
      </c>
      <c r="I178" s="41" t="s">
        <v>38</v>
      </c>
    </row>
    <row r="179" spans="1:9" x14ac:dyDescent="0.3">
      <c r="A179" s="41" t="s">
        <v>1094</v>
      </c>
      <c r="B179" s="41" t="s">
        <v>429</v>
      </c>
      <c r="C179" s="41" t="s">
        <v>25</v>
      </c>
      <c r="D179" s="41" t="s">
        <v>41</v>
      </c>
      <c r="E179" s="41" t="s">
        <v>26</v>
      </c>
      <c r="F179" s="41" t="s">
        <v>143</v>
      </c>
      <c r="G179" s="47" t="s">
        <v>237</v>
      </c>
      <c r="H179" s="41" t="s">
        <v>430</v>
      </c>
      <c r="I179" s="41" t="s">
        <v>38</v>
      </c>
    </row>
    <row r="180" spans="1:9" x14ac:dyDescent="0.3">
      <c r="A180" s="41" t="s">
        <v>431</v>
      </c>
      <c r="B180" s="41" t="s">
        <v>432</v>
      </c>
      <c r="C180" s="41" t="s">
        <v>41</v>
      </c>
      <c r="D180" s="41" t="s">
        <v>41</v>
      </c>
      <c r="E180" s="41" t="s">
        <v>42</v>
      </c>
      <c r="F180" s="41" t="s">
        <v>497</v>
      </c>
      <c r="G180" s="47" t="s">
        <v>56</v>
      </c>
      <c r="H180" s="41" t="s">
        <v>433</v>
      </c>
      <c r="I180" s="41" t="s">
        <v>38</v>
      </c>
    </row>
    <row r="181" spans="1:9" x14ac:dyDescent="0.3">
      <c r="A181" s="41" t="s">
        <v>434</v>
      </c>
      <c r="B181" s="41" t="s">
        <v>435</v>
      </c>
      <c r="C181" s="41" t="s">
        <v>41</v>
      </c>
      <c r="D181" s="41" t="s">
        <v>41</v>
      </c>
      <c r="E181" s="41" t="s">
        <v>42</v>
      </c>
      <c r="F181" s="41" t="s">
        <v>497</v>
      </c>
      <c r="G181" s="47" t="s">
        <v>56</v>
      </c>
      <c r="H181" s="41" t="s">
        <v>436</v>
      </c>
      <c r="I181" s="41" t="s">
        <v>38</v>
      </c>
    </row>
    <row r="182" spans="1:9" x14ac:dyDescent="0.3">
      <c r="A182" s="41" t="s">
        <v>437</v>
      </c>
      <c r="B182" s="41" t="s">
        <v>438</v>
      </c>
      <c r="C182" s="41" t="s">
        <v>41</v>
      </c>
      <c r="D182" s="41" t="s">
        <v>41</v>
      </c>
      <c r="E182" s="41" t="s">
        <v>42</v>
      </c>
      <c r="F182" s="41" t="s">
        <v>1072</v>
      </c>
      <c r="G182" s="47" t="s">
        <v>56</v>
      </c>
      <c r="H182" s="41" t="s">
        <v>436</v>
      </c>
      <c r="I182" s="41" t="s">
        <v>38</v>
      </c>
    </row>
    <row r="183" spans="1:9" x14ac:dyDescent="0.3">
      <c r="A183" s="41" t="s">
        <v>439</v>
      </c>
      <c r="B183" s="41" t="s">
        <v>440</v>
      </c>
      <c r="C183" s="41" t="s">
        <v>41</v>
      </c>
      <c r="D183" s="41" t="s">
        <v>41</v>
      </c>
      <c r="E183" s="41" t="s">
        <v>42</v>
      </c>
      <c r="F183" s="41" t="s">
        <v>497</v>
      </c>
      <c r="G183" s="47" t="s">
        <v>56</v>
      </c>
      <c r="H183" s="41" t="s">
        <v>436</v>
      </c>
      <c r="I183" s="41" t="s">
        <v>38</v>
      </c>
    </row>
    <row r="184" spans="1:9" x14ac:dyDescent="0.3">
      <c r="A184" s="41" t="s">
        <v>441</v>
      </c>
      <c r="B184" s="41" t="s">
        <v>442</v>
      </c>
      <c r="C184" s="41" t="s">
        <v>41</v>
      </c>
      <c r="D184" s="41" t="s">
        <v>41</v>
      </c>
      <c r="E184" s="41" t="s">
        <v>42</v>
      </c>
      <c r="F184" s="41" t="s">
        <v>1072</v>
      </c>
      <c r="G184" s="47" t="s">
        <v>56</v>
      </c>
      <c r="H184" s="41" t="s">
        <v>436</v>
      </c>
      <c r="I184" s="41" t="s">
        <v>38</v>
      </c>
    </row>
    <row r="185" spans="1:9" x14ac:dyDescent="0.3">
      <c r="A185" s="41" t="s">
        <v>443</v>
      </c>
      <c r="B185" s="41" t="s">
        <v>444</v>
      </c>
      <c r="C185" s="41" t="s">
        <v>41</v>
      </c>
      <c r="D185" s="41" t="s">
        <v>41</v>
      </c>
      <c r="E185" s="41" t="s">
        <v>42</v>
      </c>
      <c r="F185" s="41" t="s">
        <v>126</v>
      </c>
      <c r="G185" s="47" t="s">
        <v>28</v>
      </c>
      <c r="H185" s="41" t="s">
        <v>127</v>
      </c>
      <c r="I185" s="41" t="s">
        <v>38</v>
      </c>
    </row>
    <row r="186" spans="1:9" x14ac:dyDescent="0.3">
      <c r="A186" s="41" t="s">
        <v>445</v>
      </c>
      <c r="B186" s="41" t="s">
        <v>446</v>
      </c>
      <c r="C186" s="41" t="s">
        <v>41</v>
      </c>
      <c r="D186" s="41" t="s">
        <v>41</v>
      </c>
      <c r="E186" s="41" t="s">
        <v>42</v>
      </c>
      <c r="F186" s="41" t="s">
        <v>126</v>
      </c>
      <c r="G186" s="47" t="s">
        <v>28</v>
      </c>
      <c r="H186" s="41" t="s">
        <v>138</v>
      </c>
      <c r="I186" s="41" t="s">
        <v>38</v>
      </c>
    </row>
    <row r="187" spans="1:9" x14ac:dyDescent="0.3">
      <c r="A187" s="41" t="s">
        <v>447</v>
      </c>
      <c r="B187" s="41" t="s">
        <v>448</v>
      </c>
      <c r="C187" s="41" t="s">
        <v>41</v>
      </c>
      <c r="D187" s="41" t="s">
        <v>41</v>
      </c>
      <c r="E187" s="41" t="s">
        <v>42</v>
      </c>
      <c r="F187" s="41" t="s">
        <v>126</v>
      </c>
      <c r="G187" s="47" t="s">
        <v>28</v>
      </c>
      <c r="H187" s="41" t="s">
        <v>138</v>
      </c>
      <c r="I187" s="41" t="s">
        <v>38</v>
      </c>
    </row>
    <row r="188" spans="1:9" x14ac:dyDescent="0.3">
      <c r="A188" s="41" t="s">
        <v>449</v>
      </c>
      <c r="B188" s="41" t="s">
        <v>450</v>
      </c>
      <c r="C188" s="41" t="s">
        <v>41</v>
      </c>
      <c r="D188" s="41" t="s">
        <v>41</v>
      </c>
      <c r="E188" s="41" t="s">
        <v>42</v>
      </c>
      <c r="F188" s="41" t="s">
        <v>497</v>
      </c>
      <c r="G188" s="47" t="s">
        <v>28</v>
      </c>
      <c r="H188" s="41" t="s">
        <v>436</v>
      </c>
      <c r="I188" s="41" t="s">
        <v>38</v>
      </c>
    </row>
    <row r="189" spans="1:9" x14ac:dyDescent="0.3">
      <c r="A189" s="41" t="s">
        <v>451</v>
      </c>
      <c r="B189" s="41" t="s">
        <v>452</v>
      </c>
      <c r="C189" s="41" t="s">
        <v>41</v>
      </c>
      <c r="D189" s="41" t="s">
        <v>41</v>
      </c>
      <c r="E189" s="41" t="s">
        <v>42</v>
      </c>
      <c r="F189" s="41" t="s">
        <v>1072</v>
      </c>
      <c r="G189" s="47" t="s">
        <v>28</v>
      </c>
      <c r="H189" s="41" t="s">
        <v>436</v>
      </c>
      <c r="I189" s="41" t="s">
        <v>38</v>
      </c>
    </row>
    <row r="190" spans="1:9" x14ac:dyDescent="0.3">
      <c r="A190" s="41" t="s">
        <v>453</v>
      </c>
      <c r="B190" s="41" t="s">
        <v>454</v>
      </c>
      <c r="C190" s="41" t="s">
        <v>41</v>
      </c>
      <c r="D190" s="41" t="s">
        <v>41</v>
      </c>
      <c r="E190" s="41" t="s">
        <v>42</v>
      </c>
      <c r="F190" s="41" t="s">
        <v>497</v>
      </c>
      <c r="G190" s="47" t="s">
        <v>28</v>
      </c>
      <c r="H190" s="41" t="s">
        <v>436</v>
      </c>
      <c r="I190" s="41" t="s">
        <v>38</v>
      </c>
    </row>
    <row r="191" spans="1:9" x14ac:dyDescent="0.3">
      <c r="A191" s="41" t="s">
        <v>455</v>
      </c>
      <c r="B191" s="41" t="s">
        <v>456</v>
      </c>
      <c r="C191" s="41" t="s">
        <v>41</v>
      </c>
      <c r="D191" s="41" t="s">
        <v>41</v>
      </c>
      <c r="E191" s="41" t="s">
        <v>42</v>
      </c>
      <c r="F191" s="41" t="s">
        <v>1072</v>
      </c>
      <c r="G191" s="47" t="s">
        <v>28</v>
      </c>
      <c r="H191" s="41" t="s">
        <v>436</v>
      </c>
      <c r="I191" s="41" t="s">
        <v>38</v>
      </c>
    </row>
    <row r="192" spans="1:9" x14ac:dyDescent="0.3">
      <c r="A192" s="41" t="s">
        <v>457</v>
      </c>
      <c r="B192" s="41" t="s">
        <v>458</v>
      </c>
      <c r="C192" s="41" t="s">
        <v>41</v>
      </c>
      <c r="D192" s="41" t="s">
        <v>41</v>
      </c>
      <c r="E192" s="41" t="s">
        <v>42</v>
      </c>
      <c r="F192" s="41" t="s">
        <v>126</v>
      </c>
      <c r="G192" s="47" t="s">
        <v>56</v>
      </c>
      <c r="H192" s="41" t="s">
        <v>127</v>
      </c>
      <c r="I192" s="41" t="s">
        <v>38</v>
      </c>
    </row>
    <row r="193" spans="1:9" x14ac:dyDescent="0.3">
      <c r="A193" s="42" t="s">
        <v>459</v>
      </c>
      <c r="B193" s="41" t="e">
        <v>#N/A</v>
      </c>
      <c r="C193" s="41"/>
      <c r="D193" s="41" t="e">
        <v>#N/A</v>
      </c>
      <c r="E193" s="41"/>
      <c r="F193" s="41" t="e">
        <v>#N/A</v>
      </c>
      <c r="G193" s="47" t="s">
        <v>220</v>
      </c>
      <c r="H193" s="41" t="e">
        <v>#N/A</v>
      </c>
      <c r="I193" s="41" t="s">
        <v>38</v>
      </c>
    </row>
    <row r="194" spans="1:9" x14ac:dyDescent="0.3">
      <c r="A194" s="42" t="s">
        <v>460</v>
      </c>
      <c r="B194" s="41" t="e">
        <v>#N/A</v>
      </c>
      <c r="C194" s="41"/>
      <c r="D194" s="41" t="e">
        <v>#N/A</v>
      </c>
      <c r="E194" s="41"/>
      <c r="F194" s="41" t="e">
        <v>#N/A</v>
      </c>
      <c r="G194" s="47" t="s">
        <v>220</v>
      </c>
      <c r="H194" s="41" t="e">
        <v>#N/A</v>
      </c>
      <c r="I194" s="41" t="s">
        <v>38</v>
      </c>
    </row>
    <row r="195" spans="1:9" x14ac:dyDescent="0.3">
      <c r="A195" s="42" t="s">
        <v>461</v>
      </c>
      <c r="B195" s="41" t="e">
        <v>#N/A</v>
      </c>
      <c r="C195" s="41"/>
      <c r="D195" s="41" t="e">
        <v>#N/A</v>
      </c>
      <c r="E195" s="41"/>
      <c r="F195" s="41" t="e">
        <v>#N/A</v>
      </c>
      <c r="G195" s="47" t="s">
        <v>220</v>
      </c>
      <c r="H195" s="41" t="e">
        <v>#N/A</v>
      </c>
      <c r="I195" s="41" t="s">
        <v>38</v>
      </c>
    </row>
    <row r="196" spans="1:9" x14ac:dyDescent="0.3">
      <c r="A196" s="42" t="s">
        <v>462</v>
      </c>
      <c r="B196" s="41" t="e">
        <v>#N/A</v>
      </c>
      <c r="C196" s="41"/>
      <c r="D196" s="41" t="e">
        <v>#N/A</v>
      </c>
      <c r="E196" s="41"/>
      <c r="F196" s="41" t="e">
        <v>#N/A</v>
      </c>
      <c r="G196" s="47" t="s">
        <v>220</v>
      </c>
      <c r="H196" s="41" t="e">
        <v>#N/A</v>
      </c>
      <c r="I196" s="41" t="s">
        <v>38</v>
      </c>
    </row>
    <row r="197" spans="1:9" x14ac:dyDescent="0.3">
      <c r="A197" s="41" t="s">
        <v>1091</v>
      </c>
      <c r="B197" s="41" t="s">
        <v>464</v>
      </c>
      <c r="C197" s="41" t="s">
        <v>25</v>
      </c>
      <c r="D197" s="41" t="s">
        <v>193</v>
      </c>
      <c r="E197" s="41" t="s">
        <v>26</v>
      </c>
      <c r="F197" s="41" t="s">
        <v>194</v>
      </c>
      <c r="G197" s="47" t="s">
        <v>28</v>
      </c>
      <c r="H197" s="41" t="s">
        <v>190</v>
      </c>
      <c r="I197" s="42" t="s">
        <v>31</v>
      </c>
    </row>
    <row r="198" spans="1:9" x14ac:dyDescent="0.3">
      <c r="A198" s="41" t="s">
        <v>1092</v>
      </c>
      <c r="B198" s="41" t="s">
        <v>466</v>
      </c>
      <c r="C198" s="41" t="s">
        <v>25</v>
      </c>
      <c r="D198" s="41" t="s">
        <v>193</v>
      </c>
      <c r="E198" s="41" t="s">
        <v>26</v>
      </c>
      <c r="F198" s="41" t="s">
        <v>194</v>
      </c>
      <c r="G198" s="47" t="s">
        <v>28</v>
      </c>
      <c r="H198" s="41" t="s">
        <v>190</v>
      </c>
      <c r="I198" s="42" t="s">
        <v>31</v>
      </c>
    </row>
    <row r="199" spans="1:9" x14ac:dyDescent="0.3">
      <c r="A199" s="41" t="s">
        <v>1093</v>
      </c>
      <c r="B199" s="41" t="s">
        <v>468</v>
      </c>
      <c r="C199" s="41" t="s">
        <v>25</v>
      </c>
      <c r="D199" s="41" t="s">
        <v>193</v>
      </c>
      <c r="E199" s="41" t="s">
        <v>26</v>
      </c>
      <c r="F199" s="41" t="s">
        <v>194</v>
      </c>
      <c r="G199" s="47" t="s">
        <v>28</v>
      </c>
      <c r="H199" s="41" t="s">
        <v>190</v>
      </c>
      <c r="I199" s="42" t="s">
        <v>31</v>
      </c>
    </row>
    <row r="200" spans="1:9" x14ac:dyDescent="0.3">
      <c r="A200" s="41" t="s">
        <v>1082</v>
      </c>
      <c r="B200" s="41" t="s">
        <v>470</v>
      </c>
      <c r="C200" s="41" t="s">
        <v>25</v>
      </c>
      <c r="D200" s="41" t="s">
        <v>193</v>
      </c>
      <c r="E200" s="41" t="s">
        <v>26</v>
      </c>
      <c r="F200" s="41" t="s">
        <v>194</v>
      </c>
      <c r="G200" s="47" t="s">
        <v>28</v>
      </c>
      <c r="H200" s="41" t="s">
        <v>471</v>
      </c>
      <c r="I200" s="42" t="s">
        <v>31</v>
      </c>
    </row>
    <row r="201" spans="1:9" x14ac:dyDescent="0.3">
      <c r="A201" s="41" t="s">
        <v>1083</v>
      </c>
      <c r="B201" s="41" t="s">
        <v>473</v>
      </c>
      <c r="C201" s="41" t="s">
        <v>25</v>
      </c>
      <c r="D201" s="41" t="s">
        <v>193</v>
      </c>
      <c r="E201" s="41" t="s">
        <v>26</v>
      </c>
      <c r="F201" s="41" t="s">
        <v>194</v>
      </c>
      <c r="G201" s="47" t="s">
        <v>28</v>
      </c>
      <c r="H201" s="41" t="s">
        <v>471</v>
      </c>
      <c r="I201" s="42" t="s">
        <v>31</v>
      </c>
    </row>
    <row r="202" spans="1:9" x14ac:dyDescent="0.3">
      <c r="A202" s="41" t="s">
        <v>1084</v>
      </c>
      <c r="B202" s="41" t="s">
        <v>475</v>
      </c>
      <c r="C202" s="41" t="s">
        <v>25</v>
      </c>
      <c r="D202" s="41" t="s">
        <v>193</v>
      </c>
      <c r="E202" s="41" t="s">
        <v>26</v>
      </c>
      <c r="F202" s="41" t="s">
        <v>194</v>
      </c>
      <c r="G202" s="47" t="s">
        <v>28</v>
      </c>
      <c r="H202" s="41" t="s">
        <v>471</v>
      </c>
      <c r="I202" s="42" t="s">
        <v>31</v>
      </c>
    </row>
    <row r="203" spans="1:9" x14ac:dyDescent="0.3">
      <c r="A203" s="41" t="s">
        <v>476</v>
      </c>
      <c r="B203" s="41" t="s">
        <v>477</v>
      </c>
      <c r="C203" s="41" t="s">
        <v>41</v>
      </c>
      <c r="D203" s="41" t="s">
        <v>41</v>
      </c>
      <c r="E203" s="41" t="s">
        <v>26</v>
      </c>
      <c r="F203" s="41" t="s">
        <v>55</v>
      </c>
      <c r="G203" s="47" t="s">
        <v>56</v>
      </c>
      <c r="H203" s="41" t="s">
        <v>57</v>
      </c>
      <c r="I203" s="41" t="s">
        <v>38</v>
      </c>
    </row>
    <row r="204" spans="1:9" x14ac:dyDescent="0.3">
      <c r="A204" s="41" t="s">
        <v>478</v>
      </c>
      <c r="B204" s="41" t="s">
        <v>479</v>
      </c>
      <c r="C204" s="41" t="s">
        <v>41</v>
      </c>
      <c r="D204" s="41" t="s">
        <v>41</v>
      </c>
      <c r="E204" s="41" t="s">
        <v>42</v>
      </c>
      <c r="F204" s="41" t="s">
        <v>497</v>
      </c>
      <c r="G204" s="47" t="s">
        <v>28</v>
      </c>
      <c r="H204" s="41" t="s">
        <v>436</v>
      </c>
      <c r="I204" s="41" t="s">
        <v>38</v>
      </c>
    </row>
    <row r="205" spans="1:9" x14ac:dyDescent="0.3">
      <c r="A205" s="41" t="s">
        <v>480</v>
      </c>
      <c r="B205" s="41" t="s">
        <v>481</v>
      </c>
      <c r="C205" s="41" t="s">
        <v>41</v>
      </c>
      <c r="D205" s="41" t="s">
        <v>41</v>
      </c>
      <c r="E205" s="41" t="s">
        <v>42</v>
      </c>
      <c r="F205" s="41" t="s">
        <v>1072</v>
      </c>
      <c r="G205" s="47" t="s">
        <v>28</v>
      </c>
      <c r="H205" s="41" t="s">
        <v>436</v>
      </c>
      <c r="I205" s="41" t="s">
        <v>38</v>
      </c>
    </row>
    <row r="206" spans="1:9" x14ac:dyDescent="0.3">
      <c r="A206" s="41" t="s">
        <v>482</v>
      </c>
      <c r="B206" s="41" t="s">
        <v>483</v>
      </c>
      <c r="C206" s="41" t="s">
        <v>41</v>
      </c>
      <c r="D206" s="41" t="s">
        <v>41</v>
      </c>
      <c r="E206" s="41" t="s">
        <v>42</v>
      </c>
      <c r="F206" s="41" t="s">
        <v>497</v>
      </c>
      <c r="G206" s="47" t="s">
        <v>28</v>
      </c>
      <c r="H206" s="41" t="s">
        <v>436</v>
      </c>
      <c r="I206" s="41" t="s">
        <v>38</v>
      </c>
    </row>
    <row r="207" spans="1:9" x14ac:dyDescent="0.3">
      <c r="A207" s="41" t="s">
        <v>484</v>
      </c>
      <c r="B207" s="41" t="s">
        <v>485</v>
      </c>
      <c r="C207" s="41" t="s">
        <v>41</v>
      </c>
      <c r="D207" s="41" t="s">
        <v>41</v>
      </c>
      <c r="E207" s="41" t="s">
        <v>42</v>
      </c>
      <c r="F207" s="41" t="s">
        <v>1072</v>
      </c>
      <c r="G207" s="47" t="s">
        <v>28</v>
      </c>
      <c r="H207" s="41" t="s">
        <v>436</v>
      </c>
      <c r="I207" s="41" t="s">
        <v>38</v>
      </c>
    </row>
    <row r="208" spans="1:9" x14ac:dyDescent="0.3">
      <c r="A208" s="41" t="s">
        <v>1085</v>
      </c>
      <c r="B208" s="41" t="s">
        <v>487</v>
      </c>
      <c r="C208" s="41" t="s">
        <v>25</v>
      </c>
      <c r="D208" s="41" t="s">
        <v>193</v>
      </c>
      <c r="E208" s="41" t="s">
        <v>26</v>
      </c>
      <c r="F208" s="41" t="s">
        <v>194</v>
      </c>
      <c r="G208" s="47" t="s">
        <v>28</v>
      </c>
      <c r="H208" s="41" t="s">
        <v>471</v>
      </c>
      <c r="I208" s="42" t="s">
        <v>31</v>
      </c>
    </row>
    <row r="209" spans="1:9" x14ac:dyDescent="0.3">
      <c r="A209" s="41" t="s">
        <v>1086</v>
      </c>
      <c r="B209" s="41" t="s">
        <v>489</v>
      </c>
      <c r="C209" s="41" t="s">
        <v>25</v>
      </c>
      <c r="D209" s="41" t="s">
        <v>193</v>
      </c>
      <c r="E209" s="41" t="s">
        <v>26</v>
      </c>
      <c r="F209" s="41" t="s">
        <v>194</v>
      </c>
      <c r="G209" s="47" t="s">
        <v>28</v>
      </c>
      <c r="H209" s="41" t="s">
        <v>471</v>
      </c>
      <c r="I209" s="42" t="s">
        <v>31</v>
      </c>
    </row>
    <row r="210" spans="1:9" x14ac:dyDescent="0.3">
      <c r="A210" s="41" t="s">
        <v>1087</v>
      </c>
      <c r="B210" s="41" t="s">
        <v>491</v>
      </c>
      <c r="C210" s="41" t="s">
        <v>25</v>
      </c>
      <c r="D210" s="41" t="s">
        <v>193</v>
      </c>
      <c r="E210" s="41" t="s">
        <v>26</v>
      </c>
      <c r="F210" s="41" t="s">
        <v>194</v>
      </c>
      <c r="G210" s="47" t="s">
        <v>28</v>
      </c>
      <c r="H210" s="41" t="s">
        <v>471</v>
      </c>
      <c r="I210" s="42" t="s">
        <v>31</v>
      </c>
    </row>
    <row r="211" spans="1:9" x14ac:dyDescent="0.3">
      <c r="A211" s="41" t="s">
        <v>492</v>
      </c>
      <c r="B211" s="41" t="s">
        <v>493</v>
      </c>
      <c r="C211" s="41" t="s">
        <v>25</v>
      </c>
      <c r="D211" s="41" t="s">
        <v>494</v>
      </c>
      <c r="E211" s="41" t="s">
        <v>26</v>
      </c>
      <c r="F211" s="41" t="s">
        <v>55</v>
      </c>
      <c r="G211" s="47" t="s">
        <v>56</v>
      </c>
      <c r="H211" s="41" t="s">
        <v>495</v>
      </c>
      <c r="I211" s="41" t="s">
        <v>38</v>
      </c>
    </row>
    <row r="212" spans="1:9" x14ac:dyDescent="0.3">
      <c r="A212" s="37" t="s">
        <v>1080</v>
      </c>
      <c r="B212" s="37" t="s">
        <v>496</v>
      </c>
      <c r="C212" s="41" t="s">
        <v>25</v>
      </c>
      <c r="D212" s="41"/>
      <c r="E212" s="41" t="s">
        <v>42</v>
      </c>
      <c r="F212" s="41" t="s">
        <v>497</v>
      </c>
      <c r="G212" s="47" t="s">
        <v>28</v>
      </c>
      <c r="H212" s="41" t="s">
        <v>190</v>
      </c>
      <c r="I212" s="42" t="s">
        <v>31</v>
      </c>
    </row>
    <row r="213" spans="1:9" x14ac:dyDescent="0.3">
      <c r="A213" s="41" t="s">
        <v>1081</v>
      </c>
      <c r="B213" s="37" t="s">
        <v>498</v>
      </c>
      <c r="C213" s="41" t="s">
        <v>25</v>
      </c>
      <c r="D213" s="41"/>
      <c r="E213" s="41" t="s">
        <v>42</v>
      </c>
      <c r="F213" s="41" t="s">
        <v>497</v>
      </c>
      <c r="G213" s="47" t="s">
        <v>28</v>
      </c>
      <c r="H213" s="41" t="s">
        <v>190</v>
      </c>
      <c r="I213" s="42" t="s">
        <v>31</v>
      </c>
    </row>
    <row r="214" spans="1:9" x14ac:dyDescent="0.3">
      <c r="A214" s="44" t="s">
        <v>1172</v>
      </c>
      <c r="B214" s="41" t="s">
        <v>499</v>
      </c>
      <c r="C214" s="41" t="s">
        <v>152</v>
      </c>
      <c r="D214" s="41"/>
      <c r="E214" s="41" t="s">
        <v>26</v>
      </c>
      <c r="F214" s="41" t="s">
        <v>106</v>
      </c>
      <c r="G214" s="47" t="s">
        <v>28</v>
      </c>
      <c r="H214" s="41" t="s">
        <v>500</v>
      </c>
      <c r="I214" s="41" t="s">
        <v>38</v>
      </c>
    </row>
    <row r="215" spans="1:9" x14ac:dyDescent="0.3">
      <c r="A215" s="41" t="s">
        <v>501</v>
      </c>
      <c r="B215" s="41" t="s">
        <v>502</v>
      </c>
      <c r="C215" s="41" t="s">
        <v>41</v>
      </c>
      <c r="D215" s="41" t="s">
        <v>41</v>
      </c>
      <c r="E215" s="41" t="s">
        <v>42</v>
      </c>
      <c r="F215" s="41" t="s">
        <v>497</v>
      </c>
      <c r="G215" s="47" t="s">
        <v>56</v>
      </c>
      <c r="H215" s="41" t="s">
        <v>433</v>
      </c>
      <c r="I215" s="41" t="s">
        <v>38</v>
      </c>
    </row>
    <row r="216" spans="1:9" x14ac:dyDescent="0.3">
      <c r="A216" s="41" t="s">
        <v>503</v>
      </c>
      <c r="B216" s="41" t="s">
        <v>504</v>
      </c>
      <c r="C216" s="41" t="s">
        <v>25</v>
      </c>
      <c r="D216" s="41"/>
      <c r="E216" s="41" t="s">
        <v>42</v>
      </c>
      <c r="F216" s="41" t="s">
        <v>497</v>
      </c>
      <c r="G216" s="47" t="s">
        <v>28</v>
      </c>
      <c r="H216" s="41" t="s">
        <v>500</v>
      </c>
      <c r="I216" s="42" t="s">
        <v>31</v>
      </c>
    </row>
    <row r="217" spans="1:9" x14ac:dyDescent="0.3">
      <c r="A217" s="41" t="s">
        <v>506</v>
      </c>
      <c r="B217" s="41" t="s">
        <v>507</v>
      </c>
      <c r="C217" s="41" t="s">
        <v>41</v>
      </c>
      <c r="D217" s="41" t="s">
        <v>41</v>
      </c>
      <c r="E217" s="41" t="s">
        <v>26</v>
      </c>
      <c r="F217" s="41" t="s">
        <v>55</v>
      </c>
      <c r="G217" s="47" t="s">
        <v>237</v>
      </c>
      <c r="H217" s="41" t="s">
        <v>495</v>
      </c>
      <c r="I217" s="41" t="s">
        <v>38</v>
      </c>
    </row>
    <row r="218" spans="1:9" x14ac:dyDescent="0.3">
      <c r="A218" s="41" t="s">
        <v>1075</v>
      </c>
      <c r="B218" s="41" t="s">
        <v>509</v>
      </c>
      <c r="C218" s="41" t="s">
        <v>25</v>
      </c>
      <c r="D218" s="41" t="s">
        <v>78</v>
      </c>
      <c r="E218" s="41" t="s">
        <v>26</v>
      </c>
      <c r="F218" s="41" t="s">
        <v>55</v>
      </c>
      <c r="G218" s="47" t="s">
        <v>56</v>
      </c>
      <c r="H218" s="41" t="s">
        <v>79</v>
      </c>
      <c r="I218" s="41" t="s">
        <v>38</v>
      </c>
    </row>
    <row r="219" spans="1:9" x14ac:dyDescent="0.3">
      <c r="A219" s="41" t="s">
        <v>1076</v>
      </c>
      <c r="B219" s="41" t="s">
        <v>511</v>
      </c>
      <c r="C219" s="41" t="s">
        <v>25</v>
      </c>
      <c r="D219" s="41" t="s">
        <v>78</v>
      </c>
      <c r="E219" s="41" t="s">
        <v>26</v>
      </c>
      <c r="F219" s="41" t="s">
        <v>55</v>
      </c>
      <c r="G219" s="47" t="s">
        <v>56</v>
      </c>
      <c r="H219" s="41" t="s">
        <v>79</v>
      </c>
      <c r="I219" s="41" t="s">
        <v>38</v>
      </c>
    </row>
    <row r="220" spans="1:9" x14ac:dyDescent="0.3">
      <c r="A220" s="41" t="s">
        <v>1077</v>
      </c>
      <c r="B220" s="41" t="s">
        <v>513</v>
      </c>
      <c r="C220" s="41" t="s">
        <v>25</v>
      </c>
      <c r="D220" s="41" t="s">
        <v>78</v>
      </c>
      <c r="E220" s="41" t="s">
        <v>26</v>
      </c>
      <c r="F220" s="41" t="s">
        <v>55</v>
      </c>
      <c r="G220" s="47" t="s">
        <v>56</v>
      </c>
      <c r="H220" s="41" t="s">
        <v>79</v>
      </c>
      <c r="I220" s="41" t="s">
        <v>38</v>
      </c>
    </row>
    <row r="221" spans="1:9" x14ac:dyDescent="0.3">
      <c r="A221" s="41" t="s">
        <v>1078</v>
      </c>
      <c r="B221" s="41" t="s">
        <v>515</v>
      </c>
      <c r="C221" s="41" t="s">
        <v>25</v>
      </c>
      <c r="D221" s="41" t="s">
        <v>78</v>
      </c>
      <c r="E221" s="41" t="s">
        <v>26</v>
      </c>
      <c r="F221" s="41" t="s">
        <v>55</v>
      </c>
      <c r="G221" s="47" t="s">
        <v>56</v>
      </c>
      <c r="H221" s="41" t="s">
        <v>79</v>
      </c>
      <c r="I221" s="41" t="s">
        <v>38</v>
      </c>
    </row>
  </sheetData>
  <autoFilter ref="A1:I221" xr:uid="{DC5E3AE0-F27C-42FB-A3B3-1843B75A22E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5F36-76F6-46CB-AAFD-DD157D92E011}">
  <dimension ref="A1:Q182"/>
  <sheetViews>
    <sheetView topLeftCell="E1" zoomScale="51" workbookViewId="0">
      <pane ySplit="1" topLeftCell="A125" activePane="bottomLeft" state="frozen"/>
      <selection pane="bottomLeft" activeCell="I125" sqref="I125"/>
    </sheetView>
  </sheetViews>
  <sheetFormatPr baseColWidth="10" defaultColWidth="10.88671875" defaultRowHeight="15" x14ac:dyDescent="0.3"/>
  <cols>
    <col min="1" max="1" width="9.109375" style="6" bestFit="1" customWidth="1"/>
    <col min="2" max="2" width="39.88671875" style="6" bestFit="1" customWidth="1"/>
    <col min="3" max="3" width="35" style="6" bestFit="1" customWidth="1"/>
    <col min="4" max="4" width="10.44140625" style="6" bestFit="1" customWidth="1"/>
    <col min="5" max="5" width="24" style="6" bestFit="1" customWidth="1"/>
    <col min="6" max="6" width="69.44140625" style="6" bestFit="1" customWidth="1"/>
    <col min="7" max="7" width="14.44140625" style="6" bestFit="1" customWidth="1"/>
    <col min="8" max="8" width="26.109375" style="6" bestFit="1" customWidth="1"/>
    <col min="9" max="9" width="15.33203125" style="6" bestFit="1" customWidth="1"/>
    <col min="10" max="10" width="20.88671875" style="7" bestFit="1" customWidth="1"/>
    <col min="11" max="11" width="50.5546875" style="7" customWidth="1"/>
    <col min="12" max="12" width="12.109375" style="7" bestFit="1" customWidth="1"/>
    <col min="13" max="13" width="12" style="3" bestFit="1" customWidth="1"/>
    <col min="14" max="14" width="16.109375" style="7" bestFit="1" customWidth="1"/>
    <col min="15" max="15" width="11.5546875" style="7" bestFit="1" customWidth="1"/>
    <col min="16" max="16" width="42.33203125" style="7" bestFit="1" customWidth="1"/>
    <col min="17" max="17" width="50.5546875" style="7" customWidth="1"/>
    <col min="18" max="16384" width="10.88671875" style="6"/>
  </cols>
  <sheetData>
    <row r="1" spans="1:17" ht="30" x14ac:dyDescent="0.3">
      <c r="A1" s="3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12</v>
      </c>
      <c r="G1" s="3" t="s">
        <v>10</v>
      </c>
      <c r="H1" s="3" t="s">
        <v>14</v>
      </c>
      <c r="I1" s="4" t="s">
        <v>516</v>
      </c>
      <c r="J1" s="5" t="s">
        <v>517</v>
      </c>
      <c r="K1" s="5" t="s">
        <v>518</v>
      </c>
      <c r="L1" s="4" t="s">
        <v>19</v>
      </c>
      <c r="M1" s="4" t="s">
        <v>519</v>
      </c>
      <c r="N1" s="4" t="s">
        <v>520</v>
      </c>
      <c r="O1" s="8" t="s">
        <v>521</v>
      </c>
      <c r="P1" s="9" t="s">
        <v>522</v>
      </c>
      <c r="Q1" s="4" t="s">
        <v>523</v>
      </c>
    </row>
    <row r="2" spans="1:17" x14ac:dyDescent="0.3">
      <c r="A2" s="6" t="s">
        <v>524</v>
      </c>
      <c r="B2" s="6" t="s">
        <v>525</v>
      </c>
      <c r="C2" s="6" t="s">
        <v>220</v>
      </c>
      <c r="D2" s="6">
        <v>129</v>
      </c>
      <c r="E2" s="6" t="s">
        <v>526</v>
      </c>
      <c r="F2" s="6" t="s">
        <v>527</v>
      </c>
      <c r="G2" s="6" t="s">
        <v>528</v>
      </c>
      <c r="H2" s="6" t="s">
        <v>529</v>
      </c>
      <c r="I2" s="6" t="s">
        <v>530</v>
      </c>
      <c r="J2" s="6"/>
      <c r="K2" s="6"/>
      <c r="L2" s="6"/>
      <c r="M2" s="13"/>
      <c r="N2" s="6"/>
      <c r="O2" s="6"/>
      <c r="P2" s="6"/>
      <c r="Q2" s="6"/>
    </row>
    <row r="3" spans="1:17" x14ac:dyDescent="0.3">
      <c r="A3" s="6" t="s">
        <v>524</v>
      </c>
      <c r="B3" s="6" t="s">
        <v>525</v>
      </c>
      <c r="C3" s="6" t="s">
        <v>220</v>
      </c>
      <c r="D3" s="6">
        <v>131</v>
      </c>
      <c r="E3" s="6" t="s">
        <v>531</v>
      </c>
      <c r="F3" s="6" t="s">
        <v>532</v>
      </c>
      <c r="G3" s="6" t="s">
        <v>528</v>
      </c>
      <c r="H3" s="6" t="s">
        <v>529</v>
      </c>
      <c r="I3" s="6" t="s">
        <v>530</v>
      </c>
      <c r="J3" s="6"/>
      <c r="K3" s="6"/>
      <c r="L3" s="6"/>
      <c r="M3" s="13"/>
      <c r="N3" s="6"/>
      <c r="O3" s="6"/>
      <c r="P3" s="6"/>
      <c r="Q3" s="6"/>
    </row>
    <row r="4" spans="1:17" x14ac:dyDescent="0.3">
      <c r="A4" s="6" t="s">
        <v>524</v>
      </c>
      <c r="B4" s="6" t="s">
        <v>525</v>
      </c>
      <c r="C4" s="6" t="s">
        <v>220</v>
      </c>
      <c r="D4" s="6">
        <v>133</v>
      </c>
      <c r="E4" s="6" t="s">
        <v>533</v>
      </c>
      <c r="F4" s="6" t="s">
        <v>534</v>
      </c>
      <c r="G4" s="6" t="s">
        <v>528</v>
      </c>
      <c r="H4" s="6" t="s">
        <v>529</v>
      </c>
      <c r="I4" s="6" t="s">
        <v>530</v>
      </c>
      <c r="J4" s="6"/>
      <c r="K4" s="6"/>
      <c r="L4" s="6"/>
      <c r="M4" s="13"/>
      <c r="N4" s="6"/>
      <c r="O4" s="6"/>
      <c r="P4" s="6"/>
      <c r="Q4" s="6"/>
    </row>
    <row r="5" spans="1:17" x14ac:dyDescent="0.3">
      <c r="A5" s="6" t="s">
        <v>524</v>
      </c>
      <c r="B5" s="6" t="s">
        <v>525</v>
      </c>
      <c r="C5" s="6" t="s">
        <v>220</v>
      </c>
      <c r="D5" s="6">
        <v>135</v>
      </c>
      <c r="E5" s="6" t="s">
        <v>535</v>
      </c>
      <c r="F5" s="6" t="s">
        <v>536</v>
      </c>
      <c r="G5" s="6" t="s">
        <v>528</v>
      </c>
      <c r="H5" s="6" t="s">
        <v>529</v>
      </c>
      <c r="I5" s="6" t="s">
        <v>530</v>
      </c>
      <c r="J5" s="6"/>
      <c r="K5" s="6"/>
      <c r="L5" s="6"/>
      <c r="M5" s="13"/>
      <c r="N5" s="6"/>
      <c r="O5" s="6"/>
      <c r="P5" s="6"/>
      <c r="Q5" s="6"/>
    </row>
    <row r="6" spans="1:17" x14ac:dyDescent="0.3">
      <c r="A6" s="6" t="s">
        <v>524</v>
      </c>
      <c r="B6" s="6" t="s">
        <v>525</v>
      </c>
      <c r="C6" s="6" t="s">
        <v>220</v>
      </c>
      <c r="D6" s="6">
        <v>137</v>
      </c>
      <c r="E6" s="6" t="s">
        <v>537</v>
      </c>
      <c r="F6" s="6" t="s">
        <v>538</v>
      </c>
      <c r="G6" s="6" t="s">
        <v>528</v>
      </c>
      <c r="H6" s="6" t="s">
        <v>529</v>
      </c>
      <c r="I6" s="6" t="s">
        <v>530</v>
      </c>
      <c r="J6" s="6"/>
      <c r="K6" s="6"/>
      <c r="L6" s="6"/>
      <c r="M6" s="13"/>
      <c r="N6" s="6"/>
      <c r="O6" s="6"/>
      <c r="P6" s="6"/>
      <c r="Q6" s="6"/>
    </row>
    <row r="7" spans="1:17" x14ac:dyDescent="0.3">
      <c r="A7" s="6" t="s">
        <v>524</v>
      </c>
      <c r="B7" s="6" t="s">
        <v>525</v>
      </c>
      <c r="C7" s="6" t="s">
        <v>220</v>
      </c>
      <c r="D7" s="6">
        <v>139</v>
      </c>
      <c r="E7" s="6" t="s">
        <v>539</v>
      </c>
      <c r="F7" s="6" t="s">
        <v>540</v>
      </c>
      <c r="G7" s="6" t="s">
        <v>528</v>
      </c>
      <c r="H7" s="6" t="s">
        <v>529</v>
      </c>
      <c r="I7" s="6" t="s">
        <v>530</v>
      </c>
      <c r="J7" s="6"/>
      <c r="K7" s="6"/>
      <c r="L7" s="6"/>
      <c r="M7" s="13"/>
      <c r="N7" s="6"/>
      <c r="O7" s="6"/>
      <c r="P7" s="6"/>
      <c r="Q7" s="6"/>
    </row>
    <row r="8" spans="1:17" x14ac:dyDescent="0.3">
      <c r="A8" s="6" t="s">
        <v>524</v>
      </c>
      <c r="B8" s="6" t="s">
        <v>525</v>
      </c>
      <c r="C8" s="6" t="s">
        <v>220</v>
      </c>
      <c r="D8" s="6">
        <v>141</v>
      </c>
      <c r="E8" s="6" t="s">
        <v>541</v>
      </c>
      <c r="F8" s="6" t="s">
        <v>542</v>
      </c>
      <c r="G8" s="6" t="s">
        <v>528</v>
      </c>
      <c r="H8" s="6" t="s">
        <v>529</v>
      </c>
      <c r="I8" s="6" t="s">
        <v>530</v>
      </c>
      <c r="J8" s="6"/>
      <c r="K8" s="6"/>
      <c r="L8" s="6"/>
      <c r="M8" s="13"/>
      <c r="N8" s="6"/>
      <c r="O8" s="6"/>
      <c r="P8" s="6"/>
      <c r="Q8" s="6"/>
    </row>
    <row r="9" spans="1:17" x14ac:dyDescent="0.3">
      <c r="A9" s="6" t="s">
        <v>524</v>
      </c>
      <c r="B9" s="6" t="s">
        <v>525</v>
      </c>
      <c r="C9" s="6" t="s">
        <v>220</v>
      </c>
      <c r="D9" s="6">
        <v>143</v>
      </c>
      <c r="E9" s="6" t="s">
        <v>543</v>
      </c>
      <c r="F9" s="6" t="s">
        <v>544</v>
      </c>
      <c r="G9" s="6" t="s">
        <v>528</v>
      </c>
      <c r="H9" s="6" t="s">
        <v>529</v>
      </c>
      <c r="I9" s="6" t="s">
        <v>530</v>
      </c>
      <c r="J9" s="6"/>
      <c r="K9" s="6"/>
      <c r="L9" s="6"/>
      <c r="M9" s="13"/>
      <c r="N9" s="6"/>
      <c r="O9" s="6"/>
      <c r="P9" s="6"/>
      <c r="Q9" s="6"/>
    </row>
    <row r="10" spans="1:17" x14ac:dyDescent="0.3">
      <c r="A10" s="6" t="s">
        <v>524</v>
      </c>
      <c r="B10" s="6" t="s">
        <v>525</v>
      </c>
      <c r="C10" s="6" t="s">
        <v>220</v>
      </c>
      <c r="D10" s="6">
        <v>145</v>
      </c>
      <c r="E10" s="6" t="s">
        <v>545</v>
      </c>
      <c r="F10" s="6" t="s">
        <v>546</v>
      </c>
      <c r="G10" s="6" t="s">
        <v>528</v>
      </c>
      <c r="H10" s="6" t="s">
        <v>529</v>
      </c>
      <c r="I10" s="6" t="s">
        <v>530</v>
      </c>
      <c r="J10" s="6"/>
      <c r="K10" s="6"/>
      <c r="L10" s="6"/>
      <c r="M10" s="13"/>
      <c r="N10" s="6"/>
      <c r="O10" s="6"/>
      <c r="P10" s="6"/>
      <c r="Q10" s="6"/>
    </row>
    <row r="11" spans="1:17" x14ac:dyDescent="0.3">
      <c r="A11" s="6" t="s">
        <v>524</v>
      </c>
      <c r="B11" s="6" t="s">
        <v>525</v>
      </c>
      <c r="C11" s="6" t="s">
        <v>220</v>
      </c>
      <c r="D11" s="6">
        <v>147</v>
      </c>
      <c r="E11" s="6" t="s">
        <v>547</v>
      </c>
      <c r="F11" s="6" t="s">
        <v>548</v>
      </c>
      <c r="G11" s="6" t="s">
        <v>528</v>
      </c>
      <c r="H11" s="6" t="s">
        <v>529</v>
      </c>
      <c r="I11" s="6" t="s">
        <v>530</v>
      </c>
      <c r="J11" s="6"/>
      <c r="K11" s="6"/>
      <c r="L11" s="6"/>
      <c r="M11" s="13"/>
      <c r="N11" s="6"/>
      <c r="O11" s="6"/>
      <c r="P11" s="6"/>
      <c r="Q11" s="6"/>
    </row>
    <row r="12" spans="1:17" x14ac:dyDescent="0.3">
      <c r="A12" s="6" t="s">
        <v>524</v>
      </c>
      <c r="B12" s="6" t="s">
        <v>525</v>
      </c>
      <c r="C12" s="6" t="s">
        <v>220</v>
      </c>
      <c r="D12" s="6">
        <v>193</v>
      </c>
      <c r="E12" s="6" t="s">
        <v>549</v>
      </c>
      <c r="F12" s="6" t="s">
        <v>550</v>
      </c>
      <c r="G12" s="6" t="s">
        <v>528</v>
      </c>
      <c r="H12" s="6" t="s">
        <v>529</v>
      </c>
      <c r="I12" s="6" t="s">
        <v>530</v>
      </c>
      <c r="J12" s="6"/>
      <c r="K12" s="6"/>
      <c r="L12" s="6"/>
      <c r="M12" s="13"/>
      <c r="N12" s="6"/>
      <c r="O12" s="6"/>
      <c r="P12" s="6"/>
      <c r="Q12" s="6"/>
    </row>
    <row r="13" spans="1:17" x14ac:dyDescent="0.3">
      <c r="A13" s="6" t="s">
        <v>524</v>
      </c>
      <c r="B13" s="6" t="s">
        <v>525</v>
      </c>
      <c r="C13" s="6" t="s">
        <v>220</v>
      </c>
      <c r="D13" s="6">
        <v>195</v>
      </c>
      <c r="E13" s="6" t="s">
        <v>551</v>
      </c>
      <c r="F13" s="6" t="s">
        <v>552</v>
      </c>
      <c r="G13" s="6" t="s">
        <v>528</v>
      </c>
      <c r="H13" s="6" t="s">
        <v>529</v>
      </c>
      <c r="I13" s="6" t="s">
        <v>530</v>
      </c>
      <c r="J13" s="6"/>
      <c r="K13" s="6"/>
      <c r="L13" s="6"/>
      <c r="M13" s="13"/>
      <c r="N13" s="6"/>
      <c r="O13" s="6"/>
      <c r="P13" s="6"/>
      <c r="Q13" s="6"/>
    </row>
    <row r="14" spans="1:17" x14ac:dyDescent="0.3">
      <c r="A14" s="6" t="s">
        <v>524</v>
      </c>
      <c r="B14" s="6" t="s">
        <v>553</v>
      </c>
      <c r="C14" s="6" t="s">
        <v>220</v>
      </c>
      <c r="D14" s="6">
        <v>299</v>
      </c>
      <c r="E14" s="6" t="s">
        <v>554</v>
      </c>
      <c r="F14" s="6" t="s">
        <v>555</v>
      </c>
      <c r="G14" s="6" t="s">
        <v>528</v>
      </c>
      <c r="H14" s="6" t="s">
        <v>556</v>
      </c>
      <c r="I14" s="6" t="s">
        <v>530</v>
      </c>
      <c r="J14" s="6"/>
      <c r="K14" s="6"/>
      <c r="L14" s="6"/>
      <c r="M14" s="13"/>
      <c r="N14" s="6"/>
      <c r="O14" s="6"/>
      <c r="P14" s="6"/>
      <c r="Q14" s="6"/>
    </row>
    <row r="15" spans="1:17" x14ac:dyDescent="0.3">
      <c r="A15" s="6" t="s">
        <v>524</v>
      </c>
      <c r="B15" s="6" t="s">
        <v>557</v>
      </c>
      <c r="C15" s="6" t="s">
        <v>558</v>
      </c>
      <c r="D15" s="6">
        <v>150</v>
      </c>
      <c r="E15" s="6" t="s">
        <v>559</v>
      </c>
      <c r="F15" s="6" t="s">
        <v>560</v>
      </c>
      <c r="G15" s="6" t="s">
        <v>528</v>
      </c>
      <c r="H15" s="6" t="s">
        <v>529</v>
      </c>
      <c r="I15" s="6" t="s">
        <v>530</v>
      </c>
      <c r="J15" s="6"/>
      <c r="K15" s="6"/>
      <c r="L15" s="6"/>
      <c r="M15" s="13"/>
      <c r="N15" s="6"/>
      <c r="O15" s="6"/>
      <c r="P15" s="6"/>
      <c r="Q15" s="6"/>
    </row>
    <row r="16" spans="1:17" x14ac:dyDescent="0.3">
      <c r="A16" s="6" t="s">
        <v>524</v>
      </c>
      <c r="B16" s="6" t="s">
        <v>557</v>
      </c>
      <c r="C16" s="6" t="s">
        <v>558</v>
      </c>
      <c r="D16" s="6">
        <v>152</v>
      </c>
      <c r="E16" s="6" t="s">
        <v>561</v>
      </c>
      <c r="F16" s="6" t="s">
        <v>562</v>
      </c>
      <c r="G16" s="6" t="s">
        <v>528</v>
      </c>
      <c r="H16" s="6" t="s">
        <v>529</v>
      </c>
      <c r="I16" s="6" t="s">
        <v>530</v>
      </c>
      <c r="J16" s="6"/>
      <c r="K16" s="6"/>
      <c r="L16" s="6"/>
      <c r="M16" s="13"/>
      <c r="N16" s="6"/>
      <c r="O16" s="6"/>
      <c r="P16" s="6"/>
      <c r="Q16" s="6"/>
    </row>
    <row r="17" spans="1:17" x14ac:dyDescent="0.3">
      <c r="A17" s="6" t="s">
        <v>524</v>
      </c>
      <c r="B17" s="6" t="s">
        <v>557</v>
      </c>
      <c r="C17" s="6" t="s">
        <v>558</v>
      </c>
      <c r="D17" s="6">
        <v>154</v>
      </c>
      <c r="E17" s="6" t="s">
        <v>563</v>
      </c>
      <c r="F17" s="6" t="s">
        <v>564</v>
      </c>
      <c r="G17" s="6" t="s">
        <v>528</v>
      </c>
      <c r="H17" s="6" t="s">
        <v>529</v>
      </c>
      <c r="I17" s="6" t="s">
        <v>530</v>
      </c>
      <c r="J17" s="6"/>
      <c r="K17" s="6"/>
      <c r="L17" s="6"/>
      <c r="M17" s="13"/>
      <c r="N17" s="6"/>
      <c r="O17" s="6"/>
      <c r="P17" s="6"/>
      <c r="Q17" s="6"/>
    </row>
    <row r="18" spans="1:17" x14ac:dyDescent="0.3">
      <c r="A18" s="6" t="s">
        <v>524</v>
      </c>
      <c r="B18" s="6" t="s">
        <v>557</v>
      </c>
      <c r="C18" s="6" t="s">
        <v>558</v>
      </c>
      <c r="D18" s="6">
        <v>156</v>
      </c>
      <c r="E18" s="6" t="s">
        <v>565</v>
      </c>
      <c r="F18" s="6" t="s">
        <v>566</v>
      </c>
      <c r="G18" s="6" t="s">
        <v>528</v>
      </c>
      <c r="H18" s="6" t="s">
        <v>529</v>
      </c>
      <c r="I18" s="6" t="s">
        <v>530</v>
      </c>
      <c r="J18" s="6"/>
      <c r="K18" s="6"/>
      <c r="L18" s="6"/>
      <c r="M18" s="13"/>
      <c r="N18" s="6"/>
      <c r="O18" s="6"/>
      <c r="P18" s="6"/>
      <c r="Q18" s="6"/>
    </row>
    <row r="19" spans="1:17" x14ac:dyDescent="0.3">
      <c r="A19" s="6" t="s">
        <v>524</v>
      </c>
      <c r="B19" s="6" t="s">
        <v>557</v>
      </c>
      <c r="C19" s="6" t="s">
        <v>558</v>
      </c>
      <c r="D19" s="6">
        <v>158</v>
      </c>
      <c r="E19" s="6" t="s">
        <v>567</v>
      </c>
      <c r="F19" s="6" t="s">
        <v>568</v>
      </c>
      <c r="G19" s="6" t="s">
        <v>528</v>
      </c>
      <c r="H19" s="6" t="s">
        <v>529</v>
      </c>
      <c r="I19" s="6" t="s">
        <v>530</v>
      </c>
      <c r="J19" s="6"/>
      <c r="K19" s="6"/>
      <c r="L19" s="6"/>
      <c r="M19" s="13"/>
      <c r="N19" s="6"/>
      <c r="O19" s="6"/>
      <c r="P19" s="6"/>
      <c r="Q19" s="6"/>
    </row>
    <row r="20" spans="1:17" x14ac:dyDescent="0.3">
      <c r="A20" s="6" t="s">
        <v>524</v>
      </c>
      <c r="B20" s="6" t="s">
        <v>557</v>
      </c>
      <c r="C20" s="6" t="s">
        <v>558</v>
      </c>
      <c r="D20" s="6">
        <v>160</v>
      </c>
      <c r="E20" s="6" t="s">
        <v>569</v>
      </c>
      <c r="F20" s="6" t="s">
        <v>570</v>
      </c>
      <c r="G20" s="6" t="s">
        <v>528</v>
      </c>
      <c r="H20" s="6" t="s">
        <v>529</v>
      </c>
      <c r="I20" s="6" t="s">
        <v>530</v>
      </c>
      <c r="J20" s="6"/>
      <c r="K20" s="6"/>
      <c r="L20" s="6"/>
      <c r="M20" s="13"/>
      <c r="N20" s="6"/>
      <c r="O20" s="6"/>
      <c r="P20" s="6"/>
      <c r="Q20" s="6"/>
    </row>
    <row r="21" spans="1:17" x14ac:dyDescent="0.3">
      <c r="A21" s="6" t="s">
        <v>524</v>
      </c>
      <c r="B21" s="6" t="s">
        <v>557</v>
      </c>
      <c r="C21" s="6" t="s">
        <v>558</v>
      </c>
      <c r="D21" s="6">
        <v>162</v>
      </c>
      <c r="E21" s="6" t="s">
        <v>571</v>
      </c>
      <c r="F21" s="6" t="s">
        <v>572</v>
      </c>
      <c r="G21" s="6" t="s">
        <v>528</v>
      </c>
      <c r="H21" s="6" t="s">
        <v>529</v>
      </c>
      <c r="I21" s="6" t="s">
        <v>530</v>
      </c>
      <c r="J21" s="6"/>
      <c r="K21" s="6"/>
      <c r="L21" s="6"/>
      <c r="M21" s="13"/>
      <c r="N21" s="6"/>
      <c r="O21" s="6"/>
      <c r="P21" s="6"/>
      <c r="Q21" s="6"/>
    </row>
    <row r="22" spans="1:17" x14ac:dyDescent="0.3">
      <c r="A22" s="6" t="s">
        <v>524</v>
      </c>
      <c r="B22" s="6" t="s">
        <v>557</v>
      </c>
      <c r="C22" s="6" t="s">
        <v>558</v>
      </c>
      <c r="D22" s="6">
        <v>164</v>
      </c>
      <c r="E22" s="6" t="s">
        <v>573</v>
      </c>
      <c r="F22" s="6" t="s">
        <v>574</v>
      </c>
      <c r="G22" s="6" t="s">
        <v>528</v>
      </c>
      <c r="H22" s="6" t="s">
        <v>529</v>
      </c>
      <c r="I22" s="6" t="s">
        <v>530</v>
      </c>
      <c r="J22" s="6"/>
      <c r="K22" s="6"/>
      <c r="L22" s="6"/>
      <c r="M22" s="13"/>
      <c r="N22" s="6"/>
      <c r="O22" s="6"/>
      <c r="P22" s="6"/>
      <c r="Q22" s="6"/>
    </row>
    <row r="23" spans="1:17" x14ac:dyDescent="0.3">
      <c r="A23" s="6" t="s">
        <v>524</v>
      </c>
      <c r="B23" s="6" t="s">
        <v>557</v>
      </c>
      <c r="C23" s="6" t="s">
        <v>558</v>
      </c>
      <c r="D23" s="6">
        <v>166</v>
      </c>
      <c r="E23" s="6" t="s">
        <v>575</v>
      </c>
      <c r="F23" s="6" t="s">
        <v>576</v>
      </c>
      <c r="G23" s="6" t="s">
        <v>528</v>
      </c>
      <c r="H23" s="6" t="s">
        <v>529</v>
      </c>
      <c r="I23" s="6" t="s">
        <v>530</v>
      </c>
      <c r="J23" s="6"/>
      <c r="K23" s="6"/>
      <c r="L23" s="6"/>
      <c r="M23" s="13"/>
      <c r="N23" s="6"/>
      <c r="O23" s="6"/>
      <c r="P23" s="6"/>
      <c r="Q23" s="6"/>
    </row>
    <row r="24" spans="1:17" x14ac:dyDescent="0.3">
      <c r="A24" s="6" t="s">
        <v>524</v>
      </c>
      <c r="B24" s="6" t="s">
        <v>557</v>
      </c>
      <c r="C24" s="6" t="s">
        <v>558</v>
      </c>
      <c r="D24" s="6">
        <v>149</v>
      </c>
      <c r="E24" s="6" t="s">
        <v>577</v>
      </c>
      <c r="F24" s="6" t="s">
        <v>578</v>
      </c>
      <c r="G24" s="6" t="s">
        <v>579</v>
      </c>
      <c r="H24" s="6" t="s">
        <v>529</v>
      </c>
      <c r="I24" s="6" t="s">
        <v>530</v>
      </c>
      <c r="J24" s="6"/>
      <c r="K24" s="6"/>
      <c r="L24" s="6"/>
      <c r="M24" s="13"/>
      <c r="N24" s="6"/>
      <c r="O24" s="6"/>
      <c r="P24" s="6"/>
      <c r="Q24" s="6"/>
    </row>
    <row r="25" spans="1:17" x14ac:dyDescent="0.3">
      <c r="A25" s="6" t="s">
        <v>524</v>
      </c>
      <c r="B25" s="6" t="s">
        <v>557</v>
      </c>
      <c r="C25" s="6" t="s">
        <v>558</v>
      </c>
      <c r="D25" s="6">
        <v>168</v>
      </c>
      <c r="E25" s="6" t="s">
        <v>580</v>
      </c>
      <c r="F25" s="6" t="s">
        <v>581</v>
      </c>
      <c r="G25" s="6" t="s">
        <v>582</v>
      </c>
      <c r="H25" s="6" t="s">
        <v>529</v>
      </c>
      <c r="I25" s="6" t="s">
        <v>530</v>
      </c>
      <c r="J25" s="6"/>
      <c r="K25" s="6"/>
      <c r="L25" s="6"/>
      <c r="M25" s="13"/>
      <c r="N25" s="6"/>
      <c r="O25" s="6"/>
      <c r="P25" s="6"/>
      <c r="Q25" s="6"/>
    </row>
    <row r="26" spans="1:17" x14ac:dyDescent="0.3">
      <c r="A26" s="6" t="s">
        <v>524</v>
      </c>
      <c r="B26" s="6" t="s">
        <v>557</v>
      </c>
      <c r="C26" s="6" t="s">
        <v>558</v>
      </c>
      <c r="D26" s="6">
        <v>169</v>
      </c>
      <c r="E26" s="6" t="s">
        <v>583</v>
      </c>
      <c r="F26" s="6" t="s">
        <v>584</v>
      </c>
      <c r="G26" s="6" t="s">
        <v>528</v>
      </c>
      <c r="H26" s="6" t="s">
        <v>529</v>
      </c>
      <c r="I26" s="6" t="s">
        <v>530</v>
      </c>
      <c r="J26" s="6"/>
      <c r="K26" s="6"/>
      <c r="L26" s="6"/>
      <c r="M26" s="13"/>
      <c r="N26" s="6"/>
      <c r="O26" s="6"/>
      <c r="P26" s="6"/>
      <c r="Q26" s="6"/>
    </row>
    <row r="27" spans="1:17" x14ac:dyDescent="0.3">
      <c r="A27" s="6" t="s">
        <v>524</v>
      </c>
      <c r="B27" s="6" t="s">
        <v>557</v>
      </c>
      <c r="C27" s="6" t="s">
        <v>558</v>
      </c>
      <c r="D27" s="6">
        <v>171</v>
      </c>
      <c r="E27" s="6" t="s">
        <v>585</v>
      </c>
      <c r="F27" s="6" t="s">
        <v>586</v>
      </c>
      <c r="G27" s="6" t="s">
        <v>528</v>
      </c>
      <c r="H27" s="6" t="s">
        <v>529</v>
      </c>
      <c r="I27" s="6" t="s">
        <v>530</v>
      </c>
      <c r="J27" s="6"/>
      <c r="K27" s="6"/>
      <c r="L27" s="6"/>
      <c r="M27" s="13"/>
      <c r="N27" s="6"/>
      <c r="O27" s="6"/>
      <c r="P27" s="6"/>
      <c r="Q27" s="6"/>
    </row>
    <row r="28" spans="1:17" x14ac:dyDescent="0.3">
      <c r="A28" s="6" t="s">
        <v>524</v>
      </c>
      <c r="B28" s="6" t="s">
        <v>557</v>
      </c>
      <c r="C28" s="6" t="s">
        <v>558</v>
      </c>
      <c r="D28" s="6">
        <v>173</v>
      </c>
      <c r="E28" s="6" t="s">
        <v>587</v>
      </c>
      <c r="F28" s="6" t="s">
        <v>588</v>
      </c>
      <c r="G28" s="6" t="s">
        <v>528</v>
      </c>
      <c r="H28" s="6" t="s">
        <v>529</v>
      </c>
      <c r="I28" s="6" t="s">
        <v>530</v>
      </c>
      <c r="J28" s="6"/>
      <c r="K28" s="6"/>
      <c r="L28" s="6"/>
      <c r="M28" s="13"/>
      <c r="N28" s="6"/>
      <c r="O28" s="6"/>
      <c r="P28" s="6"/>
      <c r="Q28" s="6"/>
    </row>
    <row r="29" spans="1:17" x14ac:dyDescent="0.3">
      <c r="A29" s="6" t="s">
        <v>524</v>
      </c>
      <c r="B29" s="6" t="s">
        <v>557</v>
      </c>
      <c r="C29" s="6" t="s">
        <v>558</v>
      </c>
      <c r="D29" s="6">
        <v>175</v>
      </c>
      <c r="E29" s="6" t="s">
        <v>589</v>
      </c>
      <c r="F29" s="6" t="s">
        <v>590</v>
      </c>
      <c r="G29" s="6" t="s">
        <v>528</v>
      </c>
      <c r="H29" s="6" t="s">
        <v>529</v>
      </c>
      <c r="I29" s="6" t="s">
        <v>530</v>
      </c>
      <c r="J29" s="6"/>
      <c r="K29" s="6"/>
      <c r="L29" s="6"/>
      <c r="M29" s="13"/>
      <c r="N29" s="6"/>
      <c r="O29" s="6"/>
      <c r="P29" s="6"/>
      <c r="Q29" s="6"/>
    </row>
    <row r="30" spans="1:17" x14ac:dyDescent="0.3">
      <c r="A30" s="6" t="s">
        <v>524</v>
      </c>
      <c r="B30" s="6" t="s">
        <v>557</v>
      </c>
      <c r="C30" s="6" t="s">
        <v>558</v>
      </c>
      <c r="D30" s="6">
        <v>177</v>
      </c>
      <c r="E30" s="6" t="s">
        <v>591</v>
      </c>
      <c r="F30" s="6" t="s">
        <v>592</v>
      </c>
      <c r="G30" s="6" t="s">
        <v>528</v>
      </c>
      <c r="H30" s="6" t="s">
        <v>529</v>
      </c>
      <c r="I30" s="6" t="s">
        <v>530</v>
      </c>
      <c r="J30" s="6"/>
      <c r="K30" s="6"/>
      <c r="L30" s="6"/>
      <c r="M30" s="13"/>
      <c r="N30" s="6"/>
      <c r="O30" s="6"/>
      <c r="P30" s="6"/>
      <c r="Q30" s="6"/>
    </row>
    <row r="31" spans="1:17" x14ac:dyDescent="0.3">
      <c r="A31" s="6" t="s">
        <v>524</v>
      </c>
      <c r="B31" s="6" t="s">
        <v>557</v>
      </c>
      <c r="C31" s="6" t="s">
        <v>558</v>
      </c>
      <c r="D31" s="6">
        <v>179</v>
      </c>
      <c r="E31" s="6" t="s">
        <v>593</v>
      </c>
      <c r="F31" s="6" t="s">
        <v>594</v>
      </c>
      <c r="G31" s="6" t="s">
        <v>528</v>
      </c>
      <c r="H31" s="6" t="s">
        <v>529</v>
      </c>
      <c r="I31" s="6" t="s">
        <v>530</v>
      </c>
      <c r="J31" s="6"/>
      <c r="K31" s="6"/>
      <c r="L31" s="6"/>
      <c r="M31" s="13"/>
      <c r="N31" s="6"/>
      <c r="O31" s="6"/>
      <c r="P31" s="6"/>
      <c r="Q31" s="6"/>
    </row>
    <row r="32" spans="1:17" x14ac:dyDescent="0.3">
      <c r="A32" s="6" t="s">
        <v>524</v>
      </c>
      <c r="B32" s="6" t="s">
        <v>557</v>
      </c>
      <c r="C32" s="6" t="s">
        <v>595</v>
      </c>
      <c r="D32" s="6">
        <v>265</v>
      </c>
      <c r="E32" s="6" t="s">
        <v>595</v>
      </c>
      <c r="F32" s="6" t="s">
        <v>596</v>
      </c>
      <c r="G32" s="6" t="s">
        <v>528</v>
      </c>
      <c r="H32" s="6" t="s">
        <v>597</v>
      </c>
      <c r="I32" s="6" t="s">
        <v>530</v>
      </c>
      <c r="J32" s="6"/>
      <c r="K32" s="6"/>
      <c r="L32" s="6"/>
      <c r="M32" s="13"/>
      <c r="N32" s="6"/>
      <c r="O32" s="6"/>
      <c r="P32" s="6"/>
      <c r="Q32" s="6"/>
    </row>
    <row r="33" spans="1:17" x14ac:dyDescent="0.3">
      <c r="A33" s="6" t="s">
        <v>524</v>
      </c>
      <c r="B33" s="6" t="s">
        <v>598</v>
      </c>
      <c r="C33" s="6" t="s">
        <v>599</v>
      </c>
      <c r="D33" s="6">
        <v>232</v>
      </c>
      <c r="E33" s="6" t="s">
        <v>600</v>
      </c>
      <c r="F33" s="6" t="s">
        <v>601</v>
      </c>
      <c r="G33" s="6" t="s">
        <v>528</v>
      </c>
      <c r="H33" s="6" t="s">
        <v>602</v>
      </c>
      <c r="I33" s="6" t="s">
        <v>603</v>
      </c>
      <c r="J33" s="6"/>
      <c r="K33" s="6"/>
      <c r="L33" s="6"/>
      <c r="M33" s="13"/>
      <c r="N33" s="6"/>
      <c r="O33" s="6"/>
      <c r="P33" s="6"/>
      <c r="Q33" s="6"/>
    </row>
    <row r="34" spans="1:17" x14ac:dyDescent="0.3">
      <c r="A34" s="6" t="s">
        <v>524</v>
      </c>
      <c r="B34" s="6" t="s">
        <v>598</v>
      </c>
      <c r="C34" s="6" t="s">
        <v>599</v>
      </c>
      <c r="D34" s="6">
        <v>234</v>
      </c>
      <c r="E34" s="6" t="s">
        <v>604</v>
      </c>
      <c r="F34" s="6" t="s">
        <v>605</v>
      </c>
      <c r="G34" s="6" t="s">
        <v>528</v>
      </c>
      <c r="H34" s="6" t="s">
        <v>602</v>
      </c>
      <c r="I34" s="6" t="s">
        <v>603</v>
      </c>
      <c r="J34" s="6"/>
      <c r="K34" s="6"/>
      <c r="L34" s="6"/>
      <c r="M34" s="13"/>
      <c r="N34" s="6"/>
      <c r="O34" s="6"/>
      <c r="P34" s="6"/>
      <c r="Q34" s="6"/>
    </row>
    <row r="35" spans="1:17" x14ac:dyDescent="0.3">
      <c r="A35" s="6" t="s">
        <v>524</v>
      </c>
      <c r="B35" s="6" t="s">
        <v>598</v>
      </c>
      <c r="C35" s="6" t="s">
        <v>599</v>
      </c>
      <c r="D35" s="6">
        <v>236</v>
      </c>
      <c r="E35" s="6" t="s">
        <v>606</v>
      </c>
      <c r="F35" s="6" t="s">
        <v>607</v>
      </c>
      <c r="G35" s="6" t="s">
        <v>528</v>
      </c>
      <c r="H35" s="6" t="s">
        <v>602</v>
      </c>
      <c r="I35" s="6" t="s">
        <v>603</v>
      </c>
      <c r="J35" s="6"/>
      <c r="K35" s="6"/>
      <c r="L35" s="6"/>
      <c r="M35" s="13"/>
      <c r="N35" s="6"/>
      <c r="O35" s="6"/>
      <c r="P35" s="6"/>
      <c r="Q35" s="6"/>
    </row>
    <row r="36" spans="1:17" x14ac:dyDescent="0.3">
      <c r="A36" s="6" t="s">
        <v>524</v>
      </c>
      <c r="B36" s="6" t="s">
        <v>598</v>
      </c>
      <c r="C36" s="6" t="s">
        <v>599</v>
      </c>
      <c r="D36" s="6">
        <v>235</v>
      </c>
      <c r="E36" s="6" t="s">
        <v>604</v>
      </c>
      <c r="F36" s="6" t="s">
        <v>605</v>
      </c>
      <c r="G36" s="6" t="s">
        <v>528</v>
      </c>
      <c r="H36" s="6" t="s">
        <v>602</v>
      </c>
      <c r="I36" s="6" t="s">
        <v>603</v>
      </c>
      <c r="J36" s="6"/>
      <c r="K36" s="6"/>
      <c r="L36" s="6"/>
      <c r="M36" s="13"/>
      <c r="N36" s="6"/>
      <c r="O36" s="6"/>
      <c r="P36" s="6"/>
      <c r="Q36" s="6"/>
    </row>
    <row r="37" spans="1:17" x14ac:dyDescent="0.3">
      <c r="A37" s="6" t="s">
        <v>524</v>
      </c>
      <c r="B37" s="6" t="s">
        <v>608</v>
      </c>
      <c r="C37" s="6" t="s">
        <v>609</v>
      </c>
      <c r="D37" s="6">
        <v>300</v>
      </c>
      <c r="E37" s="6" t="s">
        <v>610</v>
      </c>
      <c r="F37" s="6" t="s">
        <v>611</v>
      </c>
      <c r="G37" s="6" t="s">
        <v>528</v>
      </c>
      <c r="H37" s="6" t="s">
        <v>612</v>
      </c>
      <c r="I37" s="6" t="s">
        <v>58</v>
      </c>
      <c r="J37" s="6"/>
      <c r="K37" s="6"/>
      <c r="L37" s="6"/>
      <c r="M37" s="13"/>
      <c r="N37" s="6"/>
      <c r="O37" s="6"/>
      <c r="P37" s="6"/>
      <c r="Q37" s="6"/>
    </row>
    <row r="38" spans="1:17" x14ac:dyDescent="0.3">
      <c r="A38" s="6" t="s">
        <v>524</v>
      </c>
      <c r="B38" s="6" t="s">
        <v>608</v>
      </c>
      <c r="C38" s="6" t="s">
        <v>609</v>
      </c>
      <c r="D38" s="6">
        <v>217</v>
      </c>
      <c r="E38" s="6" t="s">
        <v>613</v>
      </c>
      <c r="F38" s="6" t="s">
        <v>614</v>
      </c>
      <c r="G38" s="6" t="s">
        <v>528</v>
      </c>
      <c r="H38" s="6" t="s">
        <v>615</v>
      </c>
      <c r="I38" s="6" t="s">
        <v>58</v>
      </c>
      <c r="J38" s="6" t="s">
        <v>616</v>
      </c>
      <c r="K38" s="6" t="s">
        <v>617</v>
      </c>
      <c r="L38" s="6" t="s">
        <v>57</v>
      </c>
      <c r="M38" s="13">
        <v>2023</v>
      </c>
      <c r="N38" s="6" t="s">
        <v>618</v>
      </c>
      <c r="O38" s="6" t="s">
        <v>616</v>
      </c>
      <c r="P38" s="6"/>
      <c r="Q38" s="6"/>
    </row>
    <row r="39" spans="1:17" x14ac:dyDescent="0.3">
      <c r="A39" s="6" t="s">
        <v>524</v>
      </c>
      <c r="B39" s="6" t="s">
        <v>608</v>
      </c>
      <c r="C39" s="6" t="s">
        <v>609</v>
      </c>
      <c r="D39" s="6">
        <v>220</v>
      </c>
      <c r="E39" s="6" t="s">
        <v>619</v>
      </c>
      <c r="F39" s="6" t="s">
        <v>620</v>
      </c>
      <c r="G39" s="6" t="s">
        <v>528</v>
      </c>
      <c r="H39" s="6" t="s">
        <v>615</v>
      </c>
      <c r="I39" s="6" t="s">
        <v>58</v>
      </c>
      <c r="J39" s="6" t="s">
        <v>621</v>
      </c>
      <c r="K39" s="6"/>
      <c r="L39" s="6"/>
      <c r="M39" s="13"/>
      <c r="N39" s="6"/>
      <c r="O39" s="6"/>
      <c r="P39" s="6"/>
      <c r="Q39" s="6"/>
    </row>
    <row r="40" spans="1:17" x14ac:dyDescent="0.3">
      <c r="A40" s="6" t="s">
        <v>524</v>
      </c>
      <c r="B40" s="6" t="s">
        <v>608</v>
      </c>
      <c r="C40" s="6" t="s">
        <v>609</v>
      </c>
      <c r="D40" s="6">
        <v>223</v>
      </c>
      <c r="E40" s="6" t="s">
        <v>622</v>
      </c>
      <c r="F40" s="6" t="s">
        <v>623</v>
      </c>
      <c r="G40" s="6" t="s">
        <v>528</v>
      </c>
      <c r="H40" s="6" t="s">
        <v>615</v>
      </c>
      <c r="I40" s="6" t="s">
        <v>58</v>
      </c>
      <c r="J40" s="6" t="s">
        <v>621</v>
      </c>
      <c r="K40" s="6"/>
      <c r="L40" s="6"/>
      <c r="M40" s="13"/>
      <c r="N40" s="6"/>
      <c r="O40" s="6"/>
      <c r="P40" s="6"/>
      <c r="Q40" s="6"/>
    </row>
    <row r="41" spans="1:17" x14ac:dyDescent="0.3">
      <c r="A41" s="6" t="s">
        <v>524</v>
      </c>
      <c r="B41" s="6" t="s">
        <v>608</v>
      </c>
      <c r="C41" s="6" t="s">
        <v>609</v>
      </c>
      <c r="D41" s="6">
        <v>226</v>
      </c>
      <c r="E41" s="6" t="s">
        <v>624</v>
      </c>
      <c r="F41" s="6" t="s">
        <v>625</v>
      </c>
      <c r="G41" s="6" t="s">
        <v>528</v>
      </c>
      <c r="H41" s="6" t="s">
        <v>615</v>
      </c>
      <c r="I41" s="6" t="s">
        <v>58</v>
      </c>
      <c r="J41" s="6" t="s">
        <v>616</v>
      </c>
      <c r="K41" s="6" t="s">
        <v>626</v>
      </c>
      <c r="L41" s="6" t="s">
        <v>627</v>
      </c>
      <c r="M41" s="13" t="s">
        <v>628</v>
      </c>
      <c r="N41" s="6" t="s">
        <v>618</v>
      </c>
      <c r="O41" s="6" t="s">
        <v>616</v>
      </c>
      <c r="P41" s="6" t="s">
        <v>629</v>
      </c>
      <c r="Q41" s="6" t="s">
        <v>630</v>
      </c>
    </row>
    <row r="42" spans="1:17" x14ac:dyDescent="0.3">
      <c r="A42" s="6" t="s">
        <v>524</v>
      </c>
      <c r="B42" s="6" t="s">
        <v>608</v>
      </c>
      <c r="C42" s="6" t="s">
        <v>631</v>
      </c>
      <c r="D42" s="6">
        <v>301</v>
      </c>
      <c r="E42" s="6" t="s">
        <v>632</v>
      </c>
      <c r="F42" s="6" t="s">
        <v>633</v>
      </c>
      <c r="G42" s="6" t="s">
        <v>528</v>
      </c>
      <c r="H42" s="6" t="s">
        <v>634</v>
      </c>
      <c r="I42" s="6" t="s">
        <v>58</v>
      </c>
      <c r="J42" s="6"/>
      <c r="K42" s="6"/>
      <c r="L42" s="6"/>
      <c r="M42" s="13"/>
      <c r="N42" s="6"/>
      <c r="O42" s="6"/>
      <c r="P42" s="6"/>
      <c r="Q42" s="6"/>
    </row>
    <row r="43" spans="1:17" x14ac:dyDescent="0.3">
      <c r="A43" s="6" t="s">
        <v>524</v>
      </c>
      <c r="B43" s="6" t="s">
        <v>635</v>
      </c>
      <c r="C43" s="6" t="s">
        <v>609</v>
      </c>
      <c r="D43" s="6">
        <v>254</v>
      </c>
      <c r="E43" s="6" t="s">
        <v>636</v>
      </c>
      <c r="F43" s="6" t="s">
        <v>637</v>
      </c>
      <c r="G43" s="6" t="s">
        <v>528</v>
      </c>
      <c r="H43" s="6" t="s">
        <v>638</v>
      </c>
      <c r="I43" s="6" t="s">
        <v>639</v>
      </c>
      <c r="J43" s="6" t="s">
        <v>616</v>
      </c>
      <c r="K43" t="s">
        <v>135</v>
      </c>
      <c r="L43" s="6" t="s">
        <v>138</v>
      </c>
      <c r="M43" s="13">
        <v>2023</v>
      </c>
      <c r="N43" s="6" t="s">
        <v>640</v>
      </c>
      <c r="O43" s="6" t="s">
        <v>616</v>
      </c>
      <c r="P43" s="6" t="s">
        <v>641</v>
      </c>
      <c r="Q43" s="6" t="s">
        <v>642</v>
      </c>
    </row>
    <row r="44" spans="1:17" x14ac:dyDescent="0.3">
      <c r="A44" s="6" t="s">
        <v>524</v>
      </c>
      <c r="B44" s="6" t="s">
        <v>643</v>
      </c>
      <c r="C44" s="6" t="s">
        <v>220</v>
      </c>
      <c r="D44" s="6">
        <v>277</v>
      </c>
      <c r="E44" s="6" t="s">
        <v>644</v>
      </c>
      <c r="F44" s="6" t="s">
        <v>645</v>
      </c>
      <c r="G44" s="6" t="s">
        <v>646</v>
      </c>
      <c r="H44" s="6" t="s">
        <v>647</v>
      </c>
      <c r="I44" s="6" t="s">
        <v>639</v>
      </c>
      <c r="J44" s="6" t="s">
        <v>616</v>
      </c>
      <c r="K44" s="6" t="s">
        <v>648</v>
      </c>
      <c r="L44" s="6" t="s">
        <v>148</v>
      </c>
      <c r="M44" s="13" t="s">
        <v>649</v>
      </c>
      <c r="N44" s="6" t="s">
        <v>618</v>
      </c>
      <c r="O44" s="6" t="s">
        <v>616</v>
      </c>
      <c r="P44" s="6" t="s">
        <v>650</v>
      </c>
      <c r="Q44" s="6" t="s">
        <v>651</v>
      </c>
    </row>
    <row r="45" spans="1:17" x14ac:dyDescent="0.3">
      <c r="A45" s="6" t="s">
        <v>524</v>
      </c>
      <c r="B45" s="6" t="s">
        <v>652</v>
      </c>
      <c r="C45" s="6" t="s">
        <v>653</v>
      </c>
      <c r="D45" s="6">
        <v>5</v>
      </c>
      <c r="E45" s="6" t="s">
        <v>654</v>
      </c>
      <c r="F45" s="6" t="s">
        <v>655</v>
      </c>
      <c r="G45" s="6" t="s">
        <v>656</v>
      </c>
      <c r="H45" s="6" t="s">
        <v>529</v>
      </c>
      <c r="I45" s="6" t="s">
        <v>58</v>
      </c>
      <c r="J45" s="6" t="s">
        <v>616</v>
      </c>
      <c r="K45" s="6"/>
      <c r="L45" s="6" t="s">
        <v>138</v>
      </c>
      <c r="M45" s="13">
        <v>2023</v>
      </c>
      <c r="N45" s="6" t="s">
        <v>618</v>
      </c>
      <c r="O45" s="6" t="s">
        <v>621</v>
      </c>
      <c r="P45" s="6"/>
      <c r="Q45" s="6" t="s">
        <v>657</v>
      </c>
    </row>
    <row r="46" spans="1:17" x14ac:dyDescent="0.3">
      <c r="A46" s="6" t="s">
        <v>524</v>
      </c>
      <c r="B46" s="6" t="s">
        <v>652</v>
      </c>
      <c r="C46" s="6" t="s">
        <v>653</v>
      </c>
      <c r="D46" s="6">
        <v>3</v>
      </c>
      <c r="E46" s="6" t="s">
        <v>654</v>
      </c>
      <c r="F46" s="6" t="s">
        <v>655</v>
      </c>
      <c r="G46" s="6" t="s">
        <v>658</v>
      </c>
      <c r="H46" s="6" t="s">
        <v>529</v>
      </c>
      <c r="I46" s="6" t="s">
        <v>58</v>
      </c>
      <c r="J46" s="6" t="s">
        <v>616</v>
      </c>
      <c r="K46" s="6"/>
      <c r="L46" s="6" t="s">
        <v>138</v>
      </c>
      <c r="M46" s="13">
        <v>2023</v>
      </c>
      <c r="N46" s="6" t="s">
        <v>618</v>
      </c>
      <c r="O46" s="6" t="s">
        <v>621</v>
      </c>
      <c r="P46" s="6"/>
      <c r="Q46" s="6"/>
    </row>
    <row r="47" spans="1:17" x14ac:dyDescent="0.3">
      <c r="A47" s="6" t="s">
        <v>524</v>
      </c>
      <c r="B47" s="6" t="s">
        <v>652</v>
      </c>
      <c r="C47" s="6" t="s">
        <v>653</v>
      </c>
      <c r="D47" s="6">
        <v>4</v>
      </c>
      <c r="E47" s="6" t="s">
        <v>654</v>
      </c>
      <c r="F47" s="6" t="s">
        <v>655</v>
      </c>
      <c r="G47" s="6" t="s">
        <v>659</v>
      </c>
      <c r="H47" s="6" t="s">
        <v>529</v>
      </c>
      <c r="I47" s="6" t="s">
        <v>58</v>
      </c>
      <c r="J47" s="6" t="s">
        <v>616</v>
      </c>
      <c r="K47" s="6"/>
      <c r="L47" s="6" t="s">
        <v>138</v>
      </c>
      <c r="M47" s="13">
        <v>2023</v>
      </c>
      <c r="N47" s="6" t="s">
        <v>618</v>
      </c>
      <c r="O47" s="6" t="s">
        <v>621</v>
      </c>
      <c r="P47" s="6"/>
      <c r="Q47" s="6"/>
    </row>
    <row r="48" spans="1:17" x14ac:dyDescent="0.3">
      <c r="A48" s="6" t="s">
        <v>524</v>
      </c>
      <c r="B48" s="6" t="s">
        <v>652</v>
      </c>
      <c r="C48" s="6" t="s">
        <v>653</v>
      </c>
      <c r="D48" s="6">
        <v>17</v>
      </c>
      <c r="E48" s="6" t="s">
        <v>660</v>
      </c>
      <c r="F48" s="6" t="s">
        <v>661</v>
      </c>
      <c r="G48" s="6" t="s">
        <v>656</v>
      </c>
      <c r="H48" s="6" t="s">
        <v>529</v>
      </c>
      <c r="I48" s="6" t="s">
        <v>58</v>
      </c>
      <c r="J48" s="6" t="s">
        <v>616</v>
      </c>
      <c r="K48" s="6"/>
      <c r="L48" s="6" t="s">
        <v>138</v>
      </c>
      <c r="M48" s="13">
        <v>2023</v>
      </c>
      <c r="N48" s="6" t="s">
        <v>618</v>
      </c>
      <c r="O48" s="6" t="s">
        <v>621</v>
      </c>
      <c r="P48" s="6"/>
      <c r="Q48" s="6"/>
    </row>
    <row r="49" spans="1:17" x14ac:dyDescent="0.3">
      <c r="A49" s="6" t="s">
        <v>524</v>
      </c>
      <c r="B49" s="6" t="s">
        <v>652</v>
      </c>
      <c r="C49" s="6" t="s">
        <v>653</v>
      </c>
      <c r="D49" s="6">
        <v>15</v>
      </c>
      <c r="E49" s="6" t="s">
        <v>660</v>
      </c>
      <c r="F49" s="6" t="s">
        <v>661</v>
      </c>
      <c r="G49" s="6" t="s">
        <v>658</v>
      </c>
      <c r="H49" s="6" t="s">
        <v>529</v>
      </c>
      <c r="I49" s="6" t="s">
        <v>58</v>
      </c>
      <c r="J49" s="6" t="s">
        <v>616</v>
      </c>
      <c r="K49" s="6"/>
      <c r="L49" s="6" t="s">
        <v>138</v>
      </c>
      <c r="M49" s="13">
        <v>2023</v>
      </c>
      <c r="N49" s="6" t="s">
        <v>618</v>
      </c>
      <c r="O49" s="6" t="s">
        <v>621</v>
      </c>
      <c r="P49" s="6"/>
      <c r="Q49" s="6"/>
    </row>
    <row r="50" spans="1:17" x14ac:dyDescent="0.3">
      <c r="A50" s="6" t="s">
        <v>524</v>
      </c>
      <c r="B50" s="6" t="s">
        <v>652</v>
      </c>
      <c r="C50" s="6" t="s">
        <v>653</v>
      </c>
      <c r="D50" s="6">
        <v>16</v>
      </c>
      <c r="E50" s="6" t="s">
        <v>660</v>
      </c>
      <c r="F50" s="6" t="s">
        <v>661</v>
      </c>
      <c r="G50" s="6" t="s">
        <v>659</v>
      </c>
      <c r="H50" s="6" t="s">
        <v>529</v>
      </c>
      <c r="I50" s="6" t="s">
        <v>58</v>
      </c>
      <c r="J50" s="6" t="s">
        <v>616</v>
      </c>
      <c r="K50" s="6"/>
      <c r="L50" s="6" t="s">
        <v>138</v>
      </c>
      <c r="M50" s="13">
        <v>2023</v>
      </c>
      <c r="N50" s="6" t="s">
        <v>618</v>
      </c>
      <c r="O50" s="6" t="s">
        <v>621</v>
      </c>
      <c r="P50" s="6"/>
      <c r="Q50" s="6"/>
    </row>
    <row r="51" spans="1:17" x14ac:dyDescent="0.3">
      <c r="A51" s="6" t="s">
        <v>524</v>
      </c>
      <c r="B51" s="6" t="s">
        <v>652</v>
      </c>
      <c r="C51" s="6" t="s">
        <v>653</v>
      </c>
      <c r="D51" s="6">
        <v>27</v>
      </c>
      <c r="E51" s="6" t="s">
        <v>662</v>
      </c>
      <c r="F51" s="6" t="s">
        <v>663</v>
      </c>
      <c r="G51" s="6" t="s">
        <v>656</v>
      </c>
      <c r="H51" s="6" t="s">
        <v>529</v>
      </c>
      <c r="I51" s="6" t="s">
        <v>58</v>
      </c>
      <c r="J51" s="6" t="s">
        <v>616</v>
      </c>
      <c r="K51" s="6"/>
      <c r="L51" s="6" t="s">
        <v>138</v>
      </c>
      <c r="M51" s="13">
        <v>2023</v>
      </c>
      <c r="N51" s="6" t="s">
        <v>618</v>
      </c>
      <c r="O51" s="6" t="s">
        <v>621</v>
      </c>
      <c r="P51" s="6"/>
      <c r="Q51" s="6"/>
    </row>
    <row r="52" spans="1:17" x14ac:dyDescent="0.3">
      <c r="A52" s="6" t="s">
        <v>524</v>
      </c>
      <c r="B52" s="6" t="s">
        <v>652</v>
      </c>
      <c r="C52" s="6" t="s">
        <v>653</v>
      </c>
      <c r="D52" s="6">
        <v>25</v>
      </c>
      <c r="E52" s="6" t="s">
        <v>662</v>
      </c>
      <c r="F52" s="6" t="s">
        <v>663</v>
      </c>
      <c r="G52" s="6" t="s">
        <v>658</v>
      </c>
      <c r="H52" s="6" t="s">
        <v>529</v>
      </c>
      <c r="I52" s="6" t="s">
        <v>58</v>
      </c>
      <c r="J52" s="6" t="s">
        <v>616</v>
      </c>
      <c r="K52" s="6"/>
      <c r="L52" s="6" t="s">
        <v>138</v>
      </c>
      <c r="M52" s="13">
        <v>2023</v>
      </c>
      <c r="N52" s="6" t="s">
        <v>618</v>
      </c>
      <c r="O52" s="6" t="s">
        <v>621</v>
      </c>
      <c r="P52" s="6"/>
      <c r="Q52" s="6"/>
    </row>
    <row r="53" spans="1:17" x14ac:dyDescent="0.3">
      <c r="A53" s="6" t="s">
        <v>524</v>
      </c>
      <c r="B53" s="6" t="s">
        <v>652</v>
      </c>
      <c r="C53" s="6" t="s">
        <v>653</v>
      </c>
      <c r="D53" s="6">
        <v>26</v>
      </c>
      <c r="E53" s="6" t="s">
        <v>662</v>
      </c>
      <c r="F53" s="6" t="s">
        <v>663</v>
      </c>
      <c r="G53" s="6" t="s">
        <v>659</v>
      </c>
      <c r="H53" s="6" t="s">
        <v>529</v>
      </c>
      <c r="I53" s="6" t="s">
        <v>58</v>
      </c>
      <c r="J53" s="6" t="s">
        <v>616</v>
      </c>
      <c r="K53" s="6"/>
      <c r="L53" s="6" t="s">
        <v>138</v>
      </c>
      <c r="M53" s="13">
        <v>2023</v>
      </c>
      <c r="N53" s="6" t="s">
        <v>618</v>
      </c>
      <c r="O53" s="6" t="s">
        <v>621</v>
      </c>
      <c r="P53" s="6"/>
      <c r="Q53" s="6"/>
    </row>
    <row r="54" spans="1:17" x14ac:dyDescent="0.3">
      <c r="A54" s="6" t="s">
        <v>524</v>
      </c>
      <c r="B54" s="6" t="s">
        <v>664</v>
      </c>
      <c r="C54" s="6" t="s">
        <v>220</v>
      </c>
      <c r="D54" s="6">
        <v>240</v>
      </c>
      <c r="E54" s="6" t="s">
        <v>665</v>
      </c>
      <c r="F54" s="6" t="s">
        <v>666</v>
      </c>
      <c r="G54" s="6" t="s">
        <v>656</v>
      </c>
      <c r="H54" s="6" t="s">
        <v>667</v>
      </c>
      <c r="I54" s="6" t="s">
        <v>639</v>
      </c>
      <c r="J54" s="6" t="s">
        <v>621</v>
      </c>
      <c r="K54" s="6"/>
      <c r="L54" s="6"/>
      <c r="M54" s="13"/>
      <c r="N54" s="6"/>
      <c r="O54" s="6"/>
      <c r="P54" s="6"/>
      <c r="Q54" s="6"/>
    </row>
    <row r="55" spans="1:17" x14ac:dyDescent="0.3">
      <c r="A55" s="6" t="s">
        <v>524</v>
      </c>
      <c r="B55" s="6" t="s">
        <v>664</v>
      </c>
      <c r="C55" s="6" t="s">
        <v>220</v>
      </c>
      <c r="D55" s="6">
        <v>238</v>
      </c>
      <c r="E55" s="6" t="s">
        <v>665</v>
      </c>
      <c r="F55" s="6" t="s">
        <v>666</v>
      </c>
      <c r="G55" s="6" t="s">
        <v>668</v>
      </c>
      <c r="H55" s="6" t="s">
        <v>667</v>
      </c>
      <c r="I55" s="6" t="s">
        <v>639</v>
      </c>
      <c r="J55" s="6" t="s">
        <v>621</v>
      </c>
      <c r="K55" s="6"/>
      <c r="L55" s="6"/>
      <c r="M55" s="13"/>
      <c r="N55" s="6"/>
      <c r="O55" s="6"/>
      <c r="P55" s="6"/>
      <c r="Q55" s="6"/>
    </row>
    <row r="56" spans="1:17" x14ac:dyDescent="0.3">
      <c r="A56" s="6" t="s">
        <v>524</v>
      </c>
      <c r="B56" s="6" t="s">
        <v>664</v>
      </c>
      <c r="C56" s="6" t="s">
        <v>220</v>
      </c>
      <c r="D56" s="6">
        <v>239</v>
      </c>
      <c r="E56" s="6" t="s">
        <v>665</v>
      </c>
      <c r="F56" s="6" t="s">
        <v>666</v>
      </c>
      <c r="G56" s="6" t="s">
        <v>659</v>
      </c>
      <c r="H56" s="6" t="s">
        <v>667</v>
      </c>
      <c r="I56" s="6" t="s">
        <v>639</v>
      </c>
      <c r="J56" s="6" t="s">
        <v>621</v>
      </c>
      <c r="K56" s="6"/>
      <c r="L56" s="6"/>
      <c r="M56" s="13"/>
      <c r="N56" s="6"/>
      <c r="O56" s="6"/>
      <c r="P56" s="6"/>
      <c r="Q56" s="6"/>
    </row>
    <row r="57" spans="1:17" x14ac:dyDescent="0.3">
      <c r="A57" s="6" t="s">
        <v>524</v>
      </c>
      <c r="B57" s="6" t="s">
        <v>664</v>
      </c>
      <c r="C57" s="6" t="s">
        <v>220</v>
      </c>
      <c r="D57" s="6">
        <v>237</v>
      </c>
      <c r="E57" s="6" t="s">
        <v>665</v>
      </c>
      <c r="F57" s="6" t="s">
        <v>666</v>
      </c>
      <c r="G57" s="6" t="s">
        <v>669</v>
      </c>
      <c r="H57" s="6" t="s">
        <v>667</v>
      </c>
      <c r="I57" s="6" t="s">
        <v>639</v>
      </c>
      <c r="J57" s="6" t="s">
        <v>621</v>
      </c>
      <c r="K57" s="6"/>
      <c r="L57" s="6"/>
      <c r="M57" s="13"/>
      <c r="N57" s="6"/>
      <c r="O57" s="6"/>
      <c r="P57" s="6"/>
      <c r="Q57" s="6"/>
    </row>
    <row r="58" spans="1:17" x14ac:dyDescent="0.3">
      <c r="A58" s="6" t="s">
        <v>524</v>
      </c>
      <c r="B58" s="6" t="s">
        <v>670</v>
      </c>
      <c r="C58" s="6" t="s">
        <v>671</v>
      </c>
      <c r="D58" s="6">
        <v>250</v>
      </c>
      <c r="E58" s="6" t="s">
        <v>672</v>
      </c>
      <c r="F58" s="6" t="s">
        <v>673</v>
      </c>
      <c r="G58" s="6" t="s">
        <v>674</v>
      </c>
      <c r="H58" s="6" t="s">
        <v>634</v>
      </c>
      <c r="I58" s="6" t="s">
        <v>639</v>
      </c>
      <c r="J58" s="6" t="s">
        <v>621</v>
      </c>
      <c r="K58" s="6"/>
      <c r="L58" s="6"/>
      <c r="M58" s="13"/>
      <c r="N58" s="6"/>
      <c r="O58" s="6"/>
      <c r="P58" s="6"/>
      <c r="Q58" s="6" t="s">
        <v>675</v>
      </c>
    </row>
    <row r="59" spans="1:17" x14ac:dyDescent="0.3">
      <c r="A59" s="6" t="s">
        <v>524</v>
      </c>
      <c r="B59" s="6" t="s">
        <v>670</v>
      </c>
      <c r="C59" s="6" t="s">
        <v>671</v>
      </c>
      <c r="D59" s="6">
        <v>247</v>
      </c>
      <c r="E59" s="6" t="s">
        <v>676</v>
      </c>
      <c r="F59" s="6" t="s">
        <v>677</v>
      </c>
      <c r="G59" s="6" t="s">
        <v>674</v>
      </c>
      <c r="H59" s="6" t="s">
        <v>634</v>
      </c>
      <c r="I59" s="6" t="s">
        <v>639</v>
      </c>
      <c r="J59" s="6" t="s">
        <v>621</v>
      </c>
      <c r="K59" s="6"/>
      <c r="L59" s="6"/>
      <c r="M59" s="13"/>
      <c r="N59" s="6"/>
      <c r="O59" s="6"/>
      <c r="P59" s="6"/>
      <c r="Q59" s="6" t="s">
        <v>675</v>
      </c>
    </row>
    <row r="60" spans="1:17" x14ac:dyDescent="0.3">
      <c r="A60" s="6" t="s">
        <v>524</v>
      </c>
      <c r="B60" s="6" t="s">
        <v>670</v>
      </c>
      <c r="C60" s="6" t="s">
        <v>671</v>
      </c>
      <c r="D60" s="6">
        <v>241</v>
      </c>
      <c r="E60" s="6" t="s">
        <v>678</v>
      </c>
      <c r="F60" s="6" t="s">
        <v>679</v>
      </c>
      <c r="G60" s="6" t="s">
        <v>674</v>
      </c>
      <c r="H60" s="6" t="s">
        <v>634</v>
      </c>
      <c r="I60" s="6" t="s">
        <v>639</v>
      </c>
      <c r="J60" s="6" t="s">
        <v>621</v>
      </c>
      <c r="K60" s="6"/>
      <c r="L60" s="6"/>
      <c r="M60" s="13"/>
      <c r="N60" s="6"/>
      <c r="O60" s="6"/>
      <c r="P60" s="6"/>
      <c r="Q60" s="6" t="s">
        <v>675</v>
      </c>
    </row>
    <row r="61" spans="1:17" x14ac:dyDescent="0.3">
      <c r="A61" s="6" t="s">
        <v>524</v>
      </c>
      <c r="B61" s="6" t="s">
        <v>670</v>
      </c>
      <c r="C61" s="6" t="s">
        <v>671</v>
      </c>
      <c r="D61" s="6">
        <v>244</v>
      </c>
      <c r="E61" s="6" t="s">
        <v>680</v>
      </c>
      <c r="F61" s="6" t="s">
        <v>681</v>
      </c>
      <c r="G61" s="6" t="s">
        <v>674</v>
      </c>
      <c r="H61" s="6" t="s">
        <v>634</v>
      </c>
      <c r="I61" s="6" t="s">
        <v>639</v>
      </c>
      <c r="J61" s="6" t="s">
        <v>621</v>
      </c>
      <c r="K61" s="6"/>
      <c r="L61" s="6"/>
      <c r="M61" s="13"/>
      <c r="N61" s="6"/>
      <c r="O61" s="6"/>
      <c r="P61" s="6"/>
      <c r="Q61" s="6" t="s">
        <v>675</v>
      </c>
    </row>
    <row r="62" spans="1:17" x14ac:dyDescent="0.3">
      <c r="A62" s="6" t="s">
        <v>524</v>
      </c>
      <c r="B62" s="6" t="s">
        <v>670</v>
      </c>
      <c r="C62" s="6" t="s">
        <v>671</v>
      </c>
      <c r="D62" s="6">
        <v>257</v>
      </c>
      <c r="E62" s="6" t="s">
        <v>682</v>
      </c>
      <c r="F62" s="6" t="s">
        <v>683</v>
      </c>
      <c r="G62" s="6" t="s">
        <v>674</v>
      </c>
      <c r="H62" s="6" t="s">
        <v>634</v>
      </c>
      <c r="I62" s="6" t="s">
        <v>639</v>
      </c>
      <c r="J62" s="6" t="s">
        <v>616</v>
      </c>
      <c r="K62" t="s">
        <v>333</v>
      </c>
      <c r="L62" s="6" t="s">
        <v>138</v>
      </c>
      <c r="M62" s="13">
        <v>2023</v>
      </c>
      <c r="N62" s="6" t="s">
        <v>640</v>
      </c>
      <c r="O62" s="6" t="s">
        <v>616</v>
      </c>
      <c r="P62" s="6" t="s">
        <v>684</v>
      </c>
      <c r="Q62" s="6" t="s">
        <v>685</v>
      </c>
    </row>
    <row r="63" spans="1:17" x14ac:dyDescent="0.3">
      <c r="A63" s="6" t="s">
        <v>524</v>
      </c>
      <c r="B63" s="6" t="s">
        <v>670</v>
      </c>
      <c r="C63" s="6" t="s">
        <v>671</v>
      </c>
      <c r="D63" s="6">
        <v>261</v>
      </c>
      <c r="E63" s="6" t="s">
        <v>686</v>
      </c>
      <c r="F63" s="6" t="s">
        <v>687</v>
      </c>
      <c r="G63" s="6" t="s">
        <v>674</v>
      </c>
      <c r="H63" s="6" t="s">
        <v>634</v>
      </c>
      <c r="I63" s="6" t="s">
        <v>639</v>
      </c>
      <c r="J63" s="6" t="s">
        <v>616</v>
      </c>
      <c r="K63" t="s">
        <v>347</v>
      </c>
      <c r="L63" s="6" t="s">
        <v>138</v>
      </c>
      <c r="M63" s="13">
        <v>2023</v>
      </c>
      <c r="N63" s="6" t="s">
        <v>640</v>
      </c>
      <c r="O63" s="6" t="s">
        <v>616</v>
      </c>
      <c r="P63" s="6" t="s">
        <v>684</v>
      </c>
      <c r="Q63" s="6" t="s">
        <v>685</v>
      </c>
    </row>
    <row r="64" spans="1:17" x14ac:dyDescent="0.3">
      <c r="A64" s="6" t="s">
        <v>524</v>
      </c>
      <c r="B64" s="6" t="s">
        <v>670</v>
      </c>
      <c r="C64" s="6" t="s">
        <v>688</v>
      </c>
      <c r="D64" s="6">
        <v>268</v>
      </c>
      <c r="E64" s="6" t="s">
        <v>689</v>
      </c>
      <c r="F64" s="6" t="s">
        <v>690</v>
      </c>
      <c r="G64" s="6" t="s">
        <v>528</v>
      </c>
      <c r="H64" s="6" t="s">
        <v>529</v>
      </c>
      <c r="I64" s="6" t="s">
        <v>639</v>
      </c>
      <c r="J64" s="6" t="s">
        <v>616</v>
      </c>
      <c r="K64" t="s">
        <v>339</v>
      </c>
      <c r="L64" s="6" t="s">
        <v>138</v>
      </c>
      <c r="M64" s="13">
        <v>2023</v>
      </c>
      <c r="N64" s="6" t="s">
        <v>640</v>
      </c>
      <c r="O64" s="6" t="s">
        <v>616</v>
      </c>
      <c r="P64" s="6" t="s">
        <v>691</v>
      </c>
      <c r="Q64" s="6" t="s">
        <v>692</v>
      </c>
    </row>
    <row r="65" spans="1:17" x14ac:dyDescent="0.3">
      <c r="A65" s="6" t="s">
        <v>524</v>
      </c>
      <c r="B65" s="6" t="s">
        <v>670</v>
      </c>
      <c r="C65" s="6" t="s">
        <v>688</v>
      </c>
      <c r="D65" s="6">
        <v>273</v>
      </c>
      <c r="E65" s="6" t="s">
        <v>693</v>
      </c>
      <c r="F65" s="6" t="s">
        <v>694</v>
      </c>
      <c r="G65" s="6" t="s">
        <v>528</v>
      </c>
      <c r="H65" s="6" t="s">
        <v>695</v>
      </c>
      <c r="I65" s="6" t="s">
        <v>639</v>
      </c>
      <c r="J65" s="6" t="s">
        <v>616</v>
      </c>
      <c r="K65" s="6" t="s">
        <v>353</v>
      </c>
      <c r="L65" s="6" t="s">
        <v>138</v>
      </c>
      <c r="M65" s="13">
        <v>2023</v>
      </c>
      <c r="N65" s="6" t="s">
        <v>640</v>
      </c>
      <c r="O65" s="6" t="s">
        <v>616</v>
      </c>
      <c r="P65" s="6" t="s">
        <v>696</v>
      </c>
      <c r="Q65" s="6" t="s">
        <v>692</v>
      </c>
    </row>
    <row r="66" spans="1:17" x14ac:dyDescent="0.3">
      <c r="A66" s="6" t="s">
        <v>524</v>
      </c>
      <c r="B66" s="6" t="s">
        <v>670</v>
      </c>
      <c r="C66" s="6" t="s">
        <v>688</v>
      </c>
      <c r="D66" s="6">
        <v>272</v>
      </c>
      <c r="E66" s="6" t="s">
        <v>693</v>
      </c>
      <c r="F66" s="6" t="s">
        <v>694</v>
      </c>
      <c r="G66" s="6" t="s">
        <v>697</v>
      </c>
      <c r="H66" s="6" t="s">
        <v>695</v>
      </c>
      <c r="I66" s="6" t="s">
        <v>639</v>
      </c>
      <c r="J66" s="6" t="s">
        <v>621</v>
      </c>
      <c r="K66" s="6"/>
      <c r="L66" s="6"/>
      <c r="M66" s="13"/>
      <c r="N66" s="6"/>
      <c r="O66" s="6"/>
      <c r="P66" s="6"/>
      <c r="Q66" s="6"/>
    </row>
    <row r="67" spans="1:17" x14ac:dyDescent="0.3">
      <c r="A67" s="6" t="s">
        <v>698</v>
      </c>
      <c r="B67" s="6" t="s">
        <v>699</v>
      </c>
      <c r="C67" s="6" t="s">
        <v>700</v>
      </c>
      <c r="D67" s="6">
        <v>53</v>
      </c>
      <c r="E67" s="6" t="s">
        <v>701</v>
      </c>
      <c r="F67" s="6" t="s">
        <v>702</v>
      </c>
      <c r="G67" s="6" t="s">
        <v>656</v>
      </c>
      <c r="H67" s="6" t="s">
        <v>597</v>
      </c>
      <c r="I67" s="6" t="s">
        <v>58</v>
      </c>
      <c r="J67" s="6" t="s">
        <v>616</v>
      </c>
      <c r="K67" s="6"/>
      <c r="L67" s="6"/>
      <c r="M67" s="13"/>
      <c r="N67" s="6"/>
      <c r="O67" s="6"/>
      <c r="P67" s="6"/>
      <c r="Q67" s="6"/>
    </row>
    <row r="68" spans="1:17" x14ac:dyDescent="0.3">
      <c r="A68" s="6" t="s">
        <v>698</v>
      </c>
      <c r="B68" s="6" t="s">
        <v>699</v>
      </c>
      <c r="C68" s="6" t="s">
        <v>700</v>
      </c>
      <c r="D68" s="6">
        <v>51</v>
      </c>
      <c r="E68" s="6" t="s">
        <v>701</v>
      </c>
      <c r="F68" s="6" t="s">
        <v>702</v>
      </c>
      <c r="G68" s="6" t="s">
        <v>658</v>
      </c>
      <c r="H68" s="6" t="s">
        <v>597</v>
      </c>
      <c r="I68" s="6" t="s">
        <v>58</v>
      </c>
      <c r="J68" s="6" t="s">
        <v>616</v>
      </c>
      <c r="K68" s="6"/>
      <c r="L68" s="6"/>
      <c r="M68" s="13"/>
      <c r="N68" s="6"/>
      <c r="O68" s="6"/>
      <c r="P68" s="6"/>
      <c r="Q68" s="6"/>
    </row>
    <row r="69" spans="1:17" x14ac:dyDescent="0.3">
      <c r="A69" s="6" t="s">
        <v>698</v>
      </c>
      <c r="B69" s="6" t="s">
        <v>699</v>
      </c>
      <c r="C69" s="6" t="s">
        <v>700</v>
      </c>
      <c r="D69" s="6">
        <v>52</v>
      </c>
      <c r="E69" s="6" t="s">
        <v>701</v>
      </c>
      <c r="F69" s="6" t="s">
        <v>702</v>
      </c>
      <c r="G69" s="6" t="s">
        <v>659</v>
      </c>
      <c r="H69" s="6" t="s">
        <v>597</v>
      </c>
      <c r="I69" s="6" t="s">
        <v>58</v>
      </c>
      <c r="J69" s="6" t="s">
        <v>616</v>
      </c>
      <c r="K69" s="6"/>
      <c r="L69" s="6"/>
      <c r="M69" s="13"/>
      <c r="N69" s="6"/>
      <c r="O69" s="6"/>
      <c r="P69" s="6"/>
      <c r="Q69" s="6"/>
    </row>
    <row r="70" spans="1:17" x14ac:dyDescent="0.3">
      <c r="A70" s="6" t="s">
        <v>698</v>
      </c>
      <c r="B70" s="6" t="s">
        <v>699</v>
      </c>
      <c r="C70" s="6" t="s">
        <v>700</v>
      </c>
      <c r="D70" s="6">
        <v>45</v>
      </c>
      <c r="E70" s="6" t="s">
        <v>703</v>
      </c>
      <c r="F70" s="6" t="s">
        <v>704</v>
      </c>
      <c r="G70" s="6" t="s">
        <v>674</v>
      </c>
      <c r="H70" s="6" t="s">
        <v>597</v>
      </c>
      <c r="I70" s="6" t="s">
        <v>58</v>
      </c>
      <c r="J70" s="6" t="s">
        <v>616</v>
      </c>
      <c r="K70" s="6"/>
      <c r="L70" s="6"/>
      <c r="M70" s="13"/>
      <c r="N70" s="6"/>
      <c r="O70" s="6"/>
      <c r="P70" s="6"/>
      <c r="Q70" s="6"/>
    </row>
    <row r="71" spans="1:17" x14ac:dyDescent="0.3">
      <c r="A71" s="6" t="s">
        <v>698</v>
      </c>
      <c r="B71" s="6" t="s">
        <v>699</v>
      </c>
      <c r="C71" s="6" t="s">
        <v>700</v>
      </c>
      <c r="D71" s="6">
        <v>43</v>
      </c>
      <c r="E71" s="6" t="s">
        <v>703</v>
      </c>
      <c r="F71" s="6" t="s">
        <v>704</v>
      </c>
      <c r="G71" s="6" t="s">
        <v>705</v>
      </c>
      <c r="H71" s="6" t="s">
        <v>597</v>
      </c>
      <c r="I71" s="6" t="s">
        <v>58</v>
      </c>
      <c r="J71" s="6" t="s">
        <v>616</v>
      </c>
      <c r="K71" s="6"/>
      <c r="L71" s="6"/>
      <c r="M71" s="13"/>
      <c r="N71" s="6"/>
      <c r="O71" s="6"/>
      <c r="P71" s="6"/>
      <c r="Q71" s="6"/>
    </row>
    <row r="72" spans="1:17" x14ac:dyDescent="0.3">
      <c r="A72" s="6" t="s">
        <v>698</v>
      </c>
      <c r="B72" s="6" t="s">
        <v>699</v>
      </c>
      <c r="C72" s="6" t="s">
        <v>700</v>
      </c>
      <c r="D72" s="6">
        <v>44</v>
      </c>
      <c r="E72" s="6" t="s">
        <v>703</v>
      </c>
      <c r="F72" s="6" t="s">
        <v>704</v>
      </c>
      <c r="G72" s="6" t="s">
        <v>706</v>
      </c>
      <c r="H72" s="6" t="s">
        <v>597</v>
      </c>
      <c r="I72" s="6" t="s">
        <v>58</v>
      </c>
      <c r="J72" s="6" t="s">
        <v>616</v>
      </c>
      <c r="K72" s="6"/>
      <c r="L72" s="6"/>
      <c r="M72" s="13"/>
      <c r="N72" s="6"/>
      <c r="O72" s="6"/>
      <c r="P72" s="6"/>
      <c r="Q72" s="6"/>
    </row>
    <row r="73" spans="1:17" x14ac:dyDescent="0.3">
      <c r="A73" s="6" t="s">
        <v>698</v>
      </c>
      <c r="B73" s="6" t="s">
        <v>699</v>
      </c>
      <c r="C73" s="6" t="s">
        <v>707</v>
      </c>
      <c r="D73" s="6">
        <v>63</v>
      </c>
      <c r="E73" s="6" t="s">
        <v>708</v>
      </c>
      <c r="F73" s="6" t="s">
        <v>709</v>
      </c>
      <c r="G73" s="6" t="s">
        <v>656</v>
      </c>
      <c r="H73" s="6" t="s">
        <v>529</v>
      </c>
      <c r="I73" s="6" t="s">
        <v>58</v>
      </c>
      <c r="J73" s="6"/>
      <c r="K73" s="6"/>
      <c r="L73" s="6"/>
      <c r="M73" s="13"/>
      <c r="N73" s="6"/>
      <c r="O73" s="6"/>
      <c r="P73" s="6"/>
      <c r="Q73" s="6"/>
    </row>
    <row r="74" spans="1:17" x14ac:dyDescent="0.3">
      <c r="A74" s="6" t="s">
        <v>698</v>
      </c>
      <c r="B74" s="6" t="s">
        <v>699</v>
      </c>
      <c r="C74" s="6" t="s">
        <v>707</v>
      </c>
      <c r="D74" s="6">
        <v>61</v>
      </c>
      <c r="E74" s="6" t="s">
        <v>708</v>
      </c>
      <c r="F74" s="6" t="s">
        <v>709</v>
      </c>
      <c r="G74" s="6" t="s">
        <v>658</v>
      </c>
      <c r="H74" s="6" t="s">
        <v>529</v>
      </c>
      <c r="I74" s="6" t="s">
        <v>58</v>
      </c>
      <c r="J74" s="6"/>
      <c r="K74" s="6"/>
      <c r="L74" s="6"/>
      <c r="M74" s="13"/>
      <c r="N74" s="6"/>
      <c r="O74" s="6"/>
      <c r="P74" s="6"/>
      <c r="Q74" s="6"/>
    </row>
    <row r="75" spans="1:17" x14ac:dyDescent="0.3">
      <c r="A75" s="6" t="s">
        <v>698</v>
      </c>
      <c r="B75" s="6" t="s">
        <v>699</v>
      </c>
      <c r="C75" s="6" t="s">
        <v>707</v>
      </c>
      <c r="D75" s="6">
        <v>62</v>
      </c>
      <c r="E75" s="6" t="s">
        <v>708</v>
      </c>
      <c r="F75" s="6" t="s">
        <v>709</v>
      </c>
      <c r="G75" s="6" t="s">
        <v>659</v>
      </c>
      <c r="H75" s="6" t="s">
        <v>529</v>
      </c>
      <c r="I75" s="6" t="s">
        <v>58</v>
      </c>
      <c r="J75" s="6"/>
      <c r="K75" s="6"/>
      <c r="L75" s="6"/>
      <c r="M75" s="13"/>
      <c r="N75" s="6"/>
      <c r="O75" s="6"/>
      <c r="P75" s="6"/>
      <c r="Q75" s="6"/>
    </row>
    <row r="76" spans="1:17" x14ac:dyDescent="0.3">
      <c r="A76" s="6" t="s">
        <v>698</v>
      </c>
      <c r="B76" s="6" t="s">
        <v>699</v>
      </c>
      <c r="C76" s="6" t="s">
        <v>707</v>
      </c>
      <c r="D76" s="6">
        <v>60</v>
      </c>
      <c r="E76" s="6" t="s">
        <v>710</v>
      </c>
      <c r="F76" s="6" t="s">
        <v>711</v>
      </c>
      <c r="G76" s="6" t="s">
        <v>656</v>
      </c>
      <c r="H76" s="6" t="s">
        <v>529</v>
      </c>
      <c r="I76" s="6" t="s">
        <v>58</v>
      </c>
      <c r="J76" s="6"/>
      <c r="K76" s="6"/>
      <c r="L76" s="6"/>
      <c r="M76" s="13"/>
      <c r="N76" s="6"/>
      <c r="O76" s="6"/>
      <c r="P76" s="6"/>
      <c r="Q76" s="6"/>
    </row>
    <row r="77" spans="1:17" x14ac:dyDescent="0.3">
      <c r="A77" s="6" t="s">
        <v>698</v>
      </c>
      <c r="B77" s="6" t="s">
        <v>699</v>
      </c>
      <c r="C77" s="6" t="s">
        <v>707</v>
      </c>
      <c r="D77" s="6">
        <v>58</v>
      </c>
      <c r="E77" s="6" t="s">
        <v>710</v>
      </c>
      <c r="F77" s="6" t="s">
        <v>711</v>
      </c>
      <c r="G77" s="6" t="s">
        <v>658</v>
      </c>
      <c r="H77" s="6" t="s">
        <v>529</v>
      </c>
      <c r="I77" s="6" t="s">
        <v>58</v>
      </c>
      <c r="J77" s="6"/>
      <c r="K77" s="6"/>
      <c r="L77" s="6"/>
      <c r="M77" s="13"/>
      <c r="N77" s="6"/>
      <c r="O77" s="6"/>
      <c r="P77" s="6"/>
      <c r="Q77" s="6"/>
    </row>
    <row r="78" spans="1:17" x14ac:dyDescent="0.3">
      <c r="A78" s="6" t="s">
        <v>698</v>
      </c>
      <c r="B78" s="6" t="s">
        <v>699</v>
      </c>
      <c r="C78" s="6" t="s">
        <v>707</v>
      </c>
      <c r="D78" s="6">
        <v>59</v>
      </c>
      <c r="E78" s="6" t="s">
        <v>710</v>
      </c>
      <c r="F78" s="6" t="s">
        <v>711</v>
      </c>
      <c r="G78" s="6" t="s">
        <v>659</v>
      </c>
      <c r="H78" s="6" t="s">
        <v>529</v>
      </c>
      <c r="I78" s="6" t="s">
        <v>58</v>
      </c>
      <c r="J78" s="6"/>
      <c r="K78" s="6"/>
      <c r="L78" s="6"/>
      <c r="M78" s="13"/>
      <c r="N78" s="6"/>
      <c r="O78" s="6"/>
      <c r="P78" s="6"/>
      <c r="Q78" s="6"/>
    </row>
    <row r="79" spans="1:17" x14ac:dyDescent="0.3">
      <c r="A79" s="6" t="s">
        <v>698</v>
      </c>
      <c r="B79" s="6" t="s">
        <v>699</v>
      </c>
      <c r="C79" s="6" t="s">
        <v>712</v>
      </c>
      <c r="D79" s="6">
        <v>73</v>
      </c>
      <c r="E79" s="6" t="s">
        <v>713</v>
      </c>
      <c r="F79" s="6" t="s">
        <v>714</v>
      </c>
      <c r="G79" s="6" t="s">
        <v>656</v>
      </c>
      <c r="H79" s="6" t="s">
        <v>529</v>
      </c>
      <c r="I79" s="6" t="s">
        <v>58</v>
      </c>
      <c r="J79" s="6"/>
      <c r="K79" s="6"/>
      <c r="L79" s="6"/>
      <c r="M79" s="13"/>
      <c r="N79" s="6"/>
      <c r="O79" s="6"/>
      <c r="P79" s="6"/>
      <c r="Q79" s="6"/>
    </row>
    <row r="80" spans="1:17" x14ac:dyDescent="0.3">
      <c r="A80" s="6" t="s">
        <v>698</v>
      </c>
      <c r="B80" s="6" t="s">
        <v>699</v>
      </c>
      <c r="C80" s="6" t="s">
        <v>712</v>
      </c>
      <c r="D80" s="6">
        <v>71</v>
      </c>
      <c r="E80" s="6" t="s">
        <v>713</v>
      </c>
      <c r="F80" s="6" t="s">
        <v>714</v>
      </c>
      <c r="G80" s="6" t="s">
        <v>658</v>
      </c>
      <c r="H80" s="6" t="s">
        <v>529</v>
      </c>
      <c r="I80" s="6" t="s">
        <v>58</v>
      </c>
      <c r="J80" s="6"/>
      <c r="K80" s="6"/>
      <c r="L80" s="6"/>
      <c r="M80" s="13"/>
      <c r="N80" s="6"/>
      <c r="O80" s="6"/>
      <c r="P80" s="6"/>
      <c r="Q80" s="6"/>
    </row>
    <row r="81" spans="1:17" x14ac:dyDescent="0.3">
      <c r="A81" s="6" t="s">
        <v>698</v>
      </c>
      <c r="B81" s="6" t="s">
        <v>699</v>
      </c>
      <c r="C81" s="6" t="s">
        <v>712</v>
      </c>
      <c r="D81" s="6">
        <v>72</v>
      </c>
      <c r="E81" s="6" t="s">
        <v>713</v>
      </c>
      <c r="F81" s="6" t="s">
        <v>714</v>
      </c>
      <c r="G81" s="6" t="s">
        <v>659</v>
      </c>
      <c r="H81" s="6" t="s">
        <v>529</v>
      </c>
      <c r="I81" s="6" t="s">
        <v>58</v>
      </c>
      <c r="J81" s="6"/>
      <c r="K81" s="6"/>
      <c r="L81" s="6"/>
      <c r="M81" s="13"/>
      <c r="N81" s="6"/>
      <c r="O81" s="6"/>
      <c r="P81" s="6"/>
      <c r="Q81" s="6"/>
    </row>
    <row r="82" spans="1:17" x14ac:dyDescent="0.3">
      <c r="A82" s="6" t="s">
        <v>698</v>
      </c>
      <c r="B82" s="6" t="s">
        <v>699</v>
      </c>
      <c r="C82" s="6" t="s">
        <v>712</v>
      </c>
      <c r="D82" s="6">
        <v>70</v>
      </c>
      <c r="E82" s="6" t="s">
        <v>715</v>
      </c>
      <c r="F82" s="6" t="s">
        <v>716</v>
      </c>
      <c r="G82" s="6" t="s">
        <v>656</v>
      </c>
      <c r="H82" s="6" t="s">
        <v>529</v>
      </c>
      <c r="I82" s="6" t="s">
        <v>58</v>
      </c>
      <c r="J82" s="6"/>
      <c r="K82" s="6"/>
      <c r="L82" s="6"/>
      <c r="M82" s="13"/>
      <c r="N82" s="6"/>
      <c r="O82" s="6"/>
      <c r="P82" s="6"/>
      <c r="Q82" s="6"/>
    </row>
    <row r="83" spans="1:17" x14ac:dyDescent="0.3">
      <c r="A83" s="6" t="s">
        <v>698</v>
      </c>
      <c r="B83" s="6" t="s">
        <v>699</v>
      </c>
      <c r="C83" s="6" t="s">
        <v>712</v>
      </c>
      <c r="D83" s="6">
        <v>68</v>
      </c>
      <c r="E83" s="6" t="s">
        <v>715</v>
      </c>
      <c r="F83" s="6" t="s">
        <v>716</v>
      </c>
      <c r="G83" s="6" t="s">
        <v>658</v>
      </c>
      <c r="H83" s="6" t="s">
        <v>529</v>
      </c>
      <c r="I83" s="6" t="s">
        <v>58</v>
      </c>
      <c r="J83" s="6"/>
      <c r="K83" s="6"/>
      <c r="L83" s="6"/>
      <c r="M83" s="13"/>
      <c r="N83" s="6"/>
      <c r="O83" s="6"/>
      <c r="P83" s="6"/>
      <c r="Q83" s="6"/>
    </row>
    <row r="84" spans="1:17" x14ac:dyDescent="0.3">
      <c r="A84" s="6" t="s">
        <v>698</v>
      </c>
      <c r="B84" s="6" t="s">
        <v>699</v>
      </c>
      <c r="C84" s="6" t="s">
        <v>712</v>
      </c>
      <c r="D84" s="6">
        <v>69</v>
      </c>
      <c r="E84" s="6" t="s">
        <v>715</v>
      </c>
      <c r="F84" s="6" t="s">
        <v>716</v>
      </c>
      <c r="G84" s="6" t="s">
        <v>659</v>
      </c>
      <c r="H84" s="6" t="s">
        <v>529</v>
      </c>
      <c r="I84" s="6" t="s">
        <v>58</v>
      </c>
      <c r="J84" s="6"/>
      <c r="K84" s="6"/>
      <c r="L84" s="6"/>
      <c r="M84" s="13"/>
      <c r="N84" s="6"/>
      <c r="O84" s="6"/>
      <c r="P84" s="6"/>
      <c r="Q84" s="6"/>
    </row>
    <row r="85" spans="1:17" x14ac:dyDescent="0.3">
      <c r="A85" s="6" t="s">
        <v>698</v>
      </c>
      <c r="B85" s="6" t="s">
        <v>699</v>
      </c>
      <c r="C85" s="6" t="s">
        <v>717</v>
      </c>
      <c r="D85" s="6">
        <v>123</v>
      </c>
      <c r="E85" s="6" t="s">
        <v>718</v>
      </c>
      <c r="F85" s="6" t="s">
        <v>719</v>
      </c>
      <c r="G85" s="6" t="s">
        <v>528</v>
      </c>
      <c r="H85" s="6" t="s">
        <v>529</v>
      </c>
      <c r="I85" s="6" t="s">
        <v>123</v>
      </c>
      <c r="J85" s="6" t="s">
        <v>621</v>
      </c>
      <c r="K85" s="6"/>
      <c r="L85" s="6"/>
      <c r="M85" s="13"/>
      <c r="N85" s="6"/>
      <c r="O85" s="6"/>
      <c r="P85" s="6"/>
      <c r="Q85" s="6"/>
    </row>
    <row r="86" spans="1:17" x14ac:dyDescent="0.3">
      <c r="A86" s="6" t="s">
        <v>698</v>
      </c>
      <c r="B86" s="6" t="s">
        <v>699</v>
      </c>
      <c r="C86" s="6" t="s">
        <v>653</v>
      </c>
      <c r="D86" s="6">
        <v>10</v>
      </c>
      <c r="E86" s="6" t="s">
        <v>720</v>
      </c>
      <c r="F86" s="6" t="s">
        <v>721</v>
      </c>
      <c r="G86" s="6" t="s">
        <v>656</v>
      </c>
      <c r="H86" s="6" t="s">
        <v>529</v>
      </c>
      <c r="I86" s="6" t="s">
        <v>58</v>
      </c>
      <c r="J86" s="6"/>
      <c r="K86" s="6"/>
      <c r="L86" s="6"/>
      <c r="M86" s="13"/>
      <c r="N86" s="6"/>
      <c r="O86" s="6"/>
      <c r="P86" s="6"/>
      <c r="Q86" s="6"/>
    </row>
    <row r="87" spans="1:17" x14ac:dyDescent="0.3">
      <c r="A87" s="6" t="s">
        <v>698</v>
      </c>
      <c r="B87" s="6" t="s">
        <v>699</v>
      </c>
      <c r="C87" s="6" t="s">
        <v>653</v>
      </c>
      <c r="D87" s="6">
        <v>8</v>
      </c>
      <c r="E87" s="6" t="s">
        <v>720</v>
      </c>
      <c r="F87" s="6" t="s">
        <v>721</v>
      </c>
      <c r="G87" s="6" t="s">
        <v>658</v>
      </c>
      <c r="H87" s="6" t="s">
        <v>529</v>
      </c>
      <c r="I87" s="6" t="s">
        <v>58</v>
      </c>
      <c r="J87" s="6"/>
      <c r="K87" s="6"/>
      <c r="L87" s="6"/>
      <c r="M87" s="13"/>
      <c r="N87" s="6"/>
      <c r="O87" s="6"/>
      <c r="P87" s="6"/>
      <c r="Q87" s="6"/>
    </row>
    <row r="88" spans="1:17" x14ac:dyDescent="0.3">
      <c r="A88" s="6" t="s">
        <v>698</v>
      </c>
      <c r="B88" s="6" t="s">
        <v>699</v>
      </c>
      <c r="C88" s="6" t="s">
        <v>653</v>
      </c>
      <c r="D88" s="6">
        <v>9</v>
      </c>
      <c r="E88" s="6" t="s">
        <v>720</v>
      </c>
      <c r="F88" s="6" t="s">
        <v>721</v>
      </c>
      <c r="G88" s="6" t="s">
        <v>659</v>
      </c>
      <c r="H88" s="6" t="s">
        <v>529</v>
      </c>
      <c r="I88" s="6" t="s">
        <v>58</v>
      </c>
      <c r="J88" s="6"/>
      <c r="K88" s="6"/>
      <c r="L88" s="6"/>
      <c r="M88" s="13"/>
      <c r="N88" s="6"/>
      <c r="O88" s="6"/>
      <c r="P88" s="6"/>
      <c r="Q88" s="6"/>
    </row>
    <row r="89" spans="1:17" x14ac:dyDescent="0.3">
      <c r="A89" s="6" t="s">
        <v>698</v>
      </c>
      <c r="B89" s="6" t="s">
        <v>699</v>
      </c>
      <c r="C89" s="6" t="s">
        <v>653</v>
      </c>
      <c r="D89" s="6">
        <v>20</v>
      </c>
      <c r="E89" s="6" t="s">
        <v>722</v>
      </c>
      <c r="F89" s="6" t="s">
        <v>723</v>
      </c>
      <c r="G89" s="6" t="s">
        <v>656</v>
      </c>
      <c r="H89" s="6" t="s">
        <v>529</v>
      </c>
      <c r="I89" s="6" t="s">
        <v>58</v>
      </c>
      <c r="J89" s="6"/>
      <c r="K89" s="6"/>
      <c r="L89" s="6"/>
      <c r="M89" s="13"/>
      <c r="N89" s="6"/>
      <c r="O89" s="6"/>
      <c r="P89" s="6"/>
      <c r="Q89" s="6"/>
    </row>
    <row r="90" spans="1:17" x14ac:dyDescent="0.3">
      <c r="A90" s="6" t="s">
        <v>698</v>
      </c>
      <c r="B90" s="6" t="s">
        <v>699</v>
      </c>
      <c r="C90" s="6" t="s">
        <v>653</v>
      </c>
      <c r="D90" s="6">
        <v>18</v>
      </c>
      <c r="E90" s="6" t="s">
        <v>722</v>
      </c>
      <c r="F90" s="6" t="s">
        <v>723</v>
      </c>
      <c r="G90" s="6" t="s">
        <v>658</v>
      </c>
      <c r="H90" s="6" t="s">
        <v>529</v>
      </c>
      <c r="I90" s="6" t="s">
        <v>58</v>
      </c>
      <c r="J90" s="6"/>
      <c r="K90" s="6"/>
      <c r="L90" s="6"/>
      <c r="M90" s="13"/>
      <c r="N90" s="6"/>
      <c r="O90" s="6"/>
      <c r="P90" s="6"/>
      <c r="Q90" s="6"/>
    </row>
    <row r="91" spans="1:17" x14ac:dyDescent="0.3">
      <c r="A91" s="6" t="s">
        <v>698</v>
      </c>
      <c r="B91" s="6" t="s">
        <v>699</v>
      </c>
      <c r="C91" s="6" t="s">
        <v>653</v>
      </c>
      <c r="D91" s="6">
        <v>19</v>
      </c>
      <c r="E91" s="6" t="s">
        <v>722</v>
      </c>
      <c r="F91" s="6" t="s">
        <v>723</v>
      </c>
      <c r="G91" s="6" t="s">
        <v>659</v>
      </c>
      <c r="H91" s="6" t="s">
        <v>529</v>
      </c>
      <c r="I91" s="6" t="s">
        <v>58</v>
      </c>
      <c r="J91" s="6"/>
      <c r="K91" s="6"/>
      <c r="L91" s="6"/>
      <c r="M91" s="13"/>
      <c r="N91" s="6"/>
      <c r="O91" s="6"/>
      <c r="P91" s="6"/>
      <c r="Q91" s="6"/>
    </row>
    <row r="92" spans="1:17" x14ac:dyDescent="0.3">
      <c r="A92" s="6" t="s">
        <v>698</v>
      </c>
      <c r="B92" s="6" t="s">
        <v>699</v>
      </c>
      <c r="C92" s="6" t="s">
        <v>653</v>
      </c>
      <c r="D92" s="6">
        <v>30</v>
      </c>
      <c r="E92" s="6" t="s">
        <v>724</v>
      </c>
      <c r="F92" s="6" t="s">
        <v>725</v>
      </c>
      <c r="G92" s="6" t="s">
        <v>656</v>
      </c>
      <c r="H92" s="6" t="s">
        <v>529</v>
      </c>
      <c r="I92" s="6" t="s">
        <v>58</v>
      </c>
      <c r="J92" s="6"/>
      <c r="K92" s="6"/>
      <c r="L92" s="6"/>
      <c r="M92" s="13"/>
      <c r="N92" s="6"/>
      <c r="O92" s="6"/>
      <c r="P92" s="6"/>
      <c r="Q92" s="6"/>
    </row>
    <row r="93" spans="1:17" x14ac:dyDescent="0.3">
      <c r="A93" s="6" t="s">
        <v>698</v>
      </c>
      <c r="B93" s="6" t="s">
        <v>699</v>
      </c>
      <c r="C93" s="6" t="s">
        <v>653</v>
      </c>
      <c r="D93" s="6">
        <v>28</v>
      </c>
      <c r="E93" s="6" t="s">
        <v>724</v>
      </c>
      <c r="F93" s="6" t="s">
        <v>725</v>
      </c>
      <c r="G93" s="6" t="s">
        <v>658</v>
      </c>
      <c r="H93" s="6" t="s">
        <v>529</v>
      </c>
      <c r="I93" s="6" t="s">
        <v>58</v>
      </c>
      <c r="J93" s="6"/>
      <c r="K93" s="6"/>
      <c r="L93" s="6"/>
      <c r="M93" s="13"/>
      <c r="N93" s="6"/>
      <c r="O93" s="6"/>
      <c r="P93" s="6"/>
      <c r="Q93" s="6"/>
    </row>
    <row r="94" spans="1:17" x14ac:dyDescent="0.3">
      <c r="A94" s="6" t="s">
        <v>698</v>
      </c>
      <c r="B94" s="6" t="s">
        <v>699</v>
      </c>
      <c r="C94" s="6" t="s">
        <v>653</v>
      </c>
      <c r="D94" s="6">
        <v>29</v>
      </c>
      <c r="E94" s="6" t="s">
        <v>724</v>
      </c>
      <c r="F94" s="6" t="s">
        <v>725</v>
      </c>
      <c r="G94" s="6" t="s">
        <v>659</v>
      </c>
      <c r="H94" s="6" t="s">
        <v>529</v>
      </c>
      <c r="I94" s="6" t="s">
        <v>58</v>
      </c>
      <c r="J94" s="6"/>
      <c r="K94" s="6"/>
      <c r="L94" s="6"/>
      <c r="M94" s="13"/>
      <c r="N94" s="6"/>
      <c r="O94" s="6"/>
      <c r="P94" s="6"/>
      <c r="Q94" s="6"/>
    </row>
    <row r="95" spans="1:17" x14ac:dyDescent="0.3">
      <c r="A95" s="6" t="s">
        <v>698</v>
      </c>
      <c r="B95" s="6" t="s">
        <v>699</v>
      </c>
      <c r="C95" s="6" t="s">
        <v>726</v>
      </c>
      <c r="D95" s="6">
        <v>286</v>
      </c>
      <c r="E95" s="6" t="s">
        <v>131</v>
      </c>
      <c r="F95" s="6" t="s">
        <v>727</v>
      </c>
      <c r="G95" s="6" t="s">
        <v>528</v>
      </c>
      <c r="H95" s="6" t="s">
        <v>529</v>
      </c>
      <c r="I95" s="6" t="s">
        <v>30</v>
      </c>
      <c r="J95" s="6"/>
      <c r="K95" s="6"/>
      <c r="L95" s="6"/>
      <c r="M95" s="13"/>
      <c r="N95" s="6"/>
      <c r="O95" s="6"/>
      <c r="P95" s="6"/>
      <c r="Q95" s="6"/>
    </row>
    <row r="96" spans="1:17" x14ac:dyDescent="0.3">
      <c r="A96" s="6" t="s">
        <v>698</v>
      </c>
      <c r="B96" s="6" t="s">
        <v>699</v>
      </c>
      <c r="C96" s="6" t="s">
        <v>726</v>
      </c>
      <c r="D96" s="6">
        <v>284</v>
      </c>
      <c r="E96" s="6" t="s">
        <v>131</v>
      </c>
      <c r="F96" s="6" t="s">
        <v>727</v>
      </c>
      <c r="G96" s="6" t="s">
        <v>728</v>
      </c>
      <c r="H96" s="6" t="s">
        <v>529</v>
      </c>
      <c r="I96" s="6" t="s">
        <v>30</v>
      </c>
      <c r="J96" s="6"/>
      <c r="K96" s="6"/>
      <c r="L96" s="6"/>
      <c r="M96" s="13"/>
      <c r="N96" s="6"/>
      <c r="O96" s="6"/>
      <c r="P96" s="6"/>
      <c r="Q96" s="6"/>
    </row>
    <row r="97" spans="1:17" x14ac:dyDescent="0.3">
      <c r="A97" s="6" t="s">
        <v>698</v>
      </c>
      <c r="B97" s="6" t="s">
        <v>699</v>
      </c>
      <c r="C97" s="6" t="s">
        <v>726</v>
      </c>
      <c r="D97" s="6">
        <v>285</v>
      </c>
      <c r="E97" s="6" t="s">
        <v>131</v>
      </c>
      <c r="F97" s="6" t="s">
        <v>727</v>
      </c>
      <c r="G97" s="6" t="s">
        <v>729</v>
      </c>
      <c r="H97" s="6" t="s">
        <v>529</v>
      </c>
      <c r="I97" s="6" t="s">
        <v>30</v>
      </c>
      <c r="J97" s="6"/>
      <c r="K97" s="6"/>
      <c r="L97" s="6"/>
      <c r="M97" s="13"/>
      <c r="N97" s="6"/>
      <c r="O97" s="6"/>
      <c r="P97" s="6"/>
      <c r="Q97" s="6"/>
    </row>
    <row r="98" spans="1:17" x14ac:dyDescent="0.3">
      <c r="A98" s="6" t="s">
        <v>698</v>
      </c>
      <c r="B98" s="6" t="s">
        <v>699</v>
      </c>
      <c r="C98" s="6" t="s">
        <v>730</v>
      </c>
      <c r="D98" s="6">
        <v>83</v>
      </c>
      <c r="E98" s="6" t="s">
        <v>731</v>
      </c>
      <c r="F98" s="6" t="s">
        <v>732</v>
      </c>
      <c r="G98" s="6" t="s">
        <v>656</v>
      </c>
      <c r="H98" s="6" t="s">
        <v>529</v>
      </c>
      <c r="I98" s="6" t="s">
        <v>58</v>
      </c>
      <c r="J98" s="6"/>
      <c r="K98" s="6"/>
      <c r="L98" s="6"/>
      <c r="M98" s="13"/>
      <c r="N98" s="6"/>
      <c r="O98" s="6"/>
      <c r="P98" s="6"/>
      <c r="Q98" s="6"/>
    </row>
    <row r="99" spans="1:17" x14ac:dyDescent="0.3">
      <c r="A99" s="6" t="s">
        <v>698</v>
      </c>
      <c r="B99" s="6" t="s">
        <v>699</v>
      </c>
      <c r="C99" s="6" t="s">
        <v>730</v>
      </c>
      <c r="D99" s="6">
        <v>81</v>
      </c>
      <c r="E99" s="6" t="s">
        <v>731</v>
      </c>
      <c r="F99" s="6" t="s">
        <v>732</v>
      </c>
      <c r="G99" s="6" t="s">
        <v>658</v>
      </c>
      <c r="H99" s="6" t="s">
        <v>529</v>
      </c>
      <c r="I99" s="6" t="s">
        <v>58</v>
      </c>
      <c r="J99" s="6"/>
      <c r="K99" s="6"/>
      <c r="L99" s="6"/>
      <c r="M99" s="13"/>
      <c r="N99" s="6"/>
      <c r="O99" s="6"/>
      <c r="P99" s="6"/>
      <c r="Q99" s="6"/>
    </row>
    <row r="100" spans="1:17" x14ac:dyDescent="0.3">
      <c r="A100" s="6" t="s">
        <v>698</v>
      </c>
      <c r="B100" s="6" t="s">
        <v>699</v>
      </c>
      <c r="C100" s="6" t="s">
        <v>730</v>
      </c>
      <c r="D100" s="6">
        <v>82</v>
      </c>
      <c r="E100" s="6" t="s">
        <v>731</v>
      </c>
      <c r="F100" s="6" t="s">
        <v>732</v>
      </c>
      <c r="G100" s="6" t="s">
        <v>659</v>
      </c>
      <c r="H100" s="6" t="s">
        <v>529</v>
      </c>
      <c r="I100" s="6" t="s">
        <v>58</v>
      </c>
      <c r="J100" s="6"/>
      <c r="K100" s="6"/>
      <c r="L100" s="6"/>
      <c r="M100" s="13"/>
      <c r="N100" s="6"/>
      <c r="O100" s="6"/>
      <c r="P100" s="6"/>
      <c r="Q100" s="6"/>
    </row>
    <row r="101" spans="1:17" x14ac:dyDescent="0.3">
      <c r="A101" s="6" t="s">
        <v>698</v>
      </c>
      <c r="B101" s="6" t="s">
        <v>699</v>
      </c>
      <c r="C101" s="6" t="s">
        <v>730</v>
      </c>
      <c r="D101" s="6">
        <v>80</v>
      </c>
      <c r="E101" s="6" t="s">
        <v>733</v>
      </c>
      <c r="F101" s="6" t="s">
        <v>734</v>
      </c>
      <c r="G101" s="6" t="s">
        <v>656</v>
      </c>
      <c r="H101" s="6" t="s">
        <v>529</v>
      </c>
      <c r="I101" s="6" t="s">
        <v>58</v>
      </c>
      <c r="J101" s="6"/>
      <c r="K101" s="6"/>
      <c r="L101" s="6"/>
      <c r="M101" s="13"/>
      <c r="N101" s="6"/>
      <c r="O101" s="6"/>
      <c r="P101" s="6"/>
      <c r="Q101" s="6"/>
    </row>
    <row r="102" spans="1:17" x14ac:dyDescent="0.3">
      <c r="A102" s="6" t="s">
        <v>698</v>
      </c>
      <c r="B102" s="6" t="s">
        <v>699</v>
      </c>
      <c r="C102" s="6" t="s">
        <v>730</v>
      </c>
      <c r="D102" s="6">
        <v>78</v>
      </c>
      <c r="E102" s="6" t="s">
        <v>733</v>
      </c>
      <c r="F102" s="6" t="s">
        <v>734</v>
      </c>
      <c r="G102" s="6" t="s">
        <v>658</v>
      </c>
      <c r="H102" s="6" t="s">
        <v>529</v>
      </c>
      <c r="I102" s="6" t="s">
        <v>58</v>
      </c>
      <c r="J102" s="6"/>
      <c r="K102" s="6"/>
      <c r="L102" s="6"/>
      <c r="M102" s="13"/>
      <c r="N102" s="6"/>
      <c r="O102" s="6"/>
      <c r="P102" s="6"/>
      <c r="Q102" s="6"/>
    </row>
    <row r="103" spans="1:17" x14ac:dyDescent="0.3">
      <c r="A103" s="6" t="s">
        <v>698</v>
      </c>
      <c r="B103" s="6" t="s">
        <v>699</v>
      </c>
      <c r="C103" s="6" t="s">
        <v>730</v>
      </c>
      <c r="D103" s="6">
        <v>79</v>
      </c>
      <c r="E103" s="6" t="s">
        <v>733</v>
      </c>
      <c r="F103" s="6" t="s">
        <v>734</v>
      </c>
      <c r="G103" s="6" t="s">
        <v>659</v>
      </c>
      <c r="H103" s="6" t="s">
        <v>529</v>
      </c>
      <c r="I103" s="6" t="s">
        <v>58</v>
      </c>
      <c r="J103" s="6"/>
      <c r="K103" s="6"/>
      <c r="L103" s="6"/>
      <c r="M103" s="13"/>
      <c r="N103" s="6"/>
      <c r="O103" s="6"/>
      <c r="P103" s="6"/>
      <c r="Q103" s="6"/>
    </row>
    <row r="104" spans="1:17" x14ac:dyDescent="0.3">
      <c r="A104" s="6" t="s">
        <v>698</v>
      </c>
      <c r="B104" s="6" t="s">
        <v>699</v>
      </c>
      <c r="C104" s="6" t="s">
        <v>735</v>
      </c>
      <c r="D104" s="6">
        <v>298</v>
      </c>
      <c r="E104" s="6" t="s">
        <v>736</v>
      </c>
      <c r="F104" s="6" t="s">
        <v>737</v>
      </c>
      <c r="G104" s="6" t="s">
        <v>728</v>
      </c>
      <c r="H104" s="6" t="s">
        <v>529</v>
      </c>
      <c r="I104" s="6" t="s">
        <v>738</v>
      </c>
      <c r="J104" s="6"/>
      <c r="K104" s="6"/>
      <c r="L104" s="6"/>
      <c r="M104" s="13"/>
      <c r="N104" s="6"/>
      <c r="O104" s="6"/>
      <c r="P104" s="6"/>
      <c r="Q104" s="6"/>
    </row>
    <row r="105" spans="1:17" x14ac:dyDescent="0.3">
      <c r="A105" s="6" t="s">
        <v>698</v>
      </c>
      <c r="B105" s="6" t="s">
        <v>699</v>
      </c>
      <c r="C105" s="6" t="s">
        <v>735</v>
      </c>
      <c r="D105" s="6">
        <v>294</v>
      </c>
      <c r="E105" s="6" t="s">
        <v>739</v>
      </c>
      <c r="F105" s="6" t="s">
        <v>740</v>
      </c>
      <c r="G105" s="6" t="s">
        <v>528</v>
      </c>
      <c r="H105" s="6" t="s">
        <v>529</v>
      </c>
      <c r="I105" s="6" t="s">
        <v>738</v>
      </c>
      <c r="J105" s="6"/>
      <c r="K105" s="6"/>
      <c r="L105" s="6"/>
      <c r="M105" s="13"/>
      <c r="N105" s="6"/>
      <c r="O105" s="6"/>
      <c r="P105" s="6"/>
      <c r="Q105" s="6"/>
    </row>
    <row r="106" spans="1:17" x14ac:dyDescent="0.3">
      <c r="A106" s="6" t="s">
        <v>698</v>
      </c>
      <c r="B106" s="6" t="s">
        <v>699</v>
      </c>
      <c r="C106" s="6" t="s">
        <v>735</v>
      </c>
      <c r="D106" s="6">
        <v>292</v>
      </c>
      <c r="E106" s="6" t="s">
        <v>739</v>
      </c>
      <c r="F106" s="6" t="s">
        <v>740</v>
      </c>
      <c r="G106" s="6" t="s">
        <v>728</v>
      </c>
      <c r="H106" s="6" t="s">
        <v>529</v>
      </c>
      <c r="I106" s="6" t="s">
        <v>738</v>
      </c>
      <c r="J106" s="6"/>
      <c r="K106" s="6"/>
      <c r="L106" s="6"/>
      <c r="M106" s="13"/>
      <c r="N106" s="6"/>
      <c r="O106" s="6"/>
      <c r="P106" s="6"/>
      <c r="Q106" s="6"/>
    </row>
    <row r="107" spans="1:17" x14ac:dyDescent="0.3">
      <c r="A107" s="6" t="s">
        <v>698</v>
      </c>
      <c r="B107" s="6" t="s">
        <v>699</v>
      </c>
      <c r="C107" s="6" t="s">
        <v>735</v>
      </c>
      <c r="D107" s="6">
        <v>293</v>
      </c>
      <c r="E107" s="6" t="s">
        <v>739</v>
      </c>
      <c r="F107" s="6" t="s">
        <v>740</v>
      </c>
      <c r="G107" s="6" t="s">
        <v>729</v>
      </c>
      <c r="H107" s="6" t="s">
        <v>529</v>
      </c>
      <c r="I107" s="6" t="s">
        <v>738</v>
      </c>
      <c r="J107" s="6"/>
      <c r="K107" s="6"/>
      <c r="L107" s="6"/>
      <c r="M107" s="13"/>
      <c r="N107" s="6"/>
      <c r="O107" s="6"/>
      <c r="P107" s="6"/>
      <c r="Q107" s="6"/>
    </row>
    <row r="108" spans="1:17" x14ac:dyDescent="0.3">
      <c r="A108" s="6" t="s">
        <v>698</v>
      </c>
      <c r="B108" s="6" t="s">
        <v>741</v>
      </c>
      <c r="C108" s="6" t="s">
        <v>742</v>
      </c>
      <c r="D108" s="6">
        <v>99</v>
      </c>
      <c r="E108" s="6" t="s">
        <v>743</v>
      </c>
      <c r="F108" s="6" t="s">
        <v>744</v>
      </c>
      <c r="G108" s="6" t="s">
        <v>528</v>
      </c>
      <c r="H108" s="6" t="s">
        <v>529</v>
      </c>
      <c r="I108" s="6" t="s">
        <v>123</v>
      </c>
      <c r="J108" s="6" t="s">
        <v>745</v>
      </c>
      <c r="K108" s="6" t="s">
        <v>746</v>
      </c>
      <c r="L108" s="6" t="s">
        <v>138</v>
      </c>
      <c r="M108" s="13" t="s">
        <v>747</v>
      </c>
      <c r="N108" s="6" t="s">
        <v>640</v>
      </c>
      <c r="O108" s="6" t="s">
        <v>745</v>
      </c>
      <c r="P108" s="6" t="s">
        <v>748</v>
      </c>
      <c r="Q108" s="6"/>
    </row>
    <row r="109" spans="1:17" x14ac:dyDescent="0.3">
      <c r="A109" s="6" t="s">
        <v>698</v>
      </c>
      <c r="B109" s="6" t="s">
        <v>741</v>
      </c>
      <c r="C109" s="6" t="s">
        <v>742</v>
      </c>
      <c r="D109" s="6">
        <v>101</v>
      </c>
      <c r="E109" s="6" t="s">
        <v>749</v>
      </c>
      <c r="F109" s="6" t="s">
        <v>750</v>
      </c>
      <c r="G109" s="6" t="s">
        <v>528</v>
      </c>
      <c r="H109" s="6" t="s">
        <v>529</v>
      </c>
      <c r="I109" s="6" t="s">
        <v>123</v>
      </c>
      <c r="J109" s="6" t="s">
        <v>621</v>
      </c>
      <c r="K109" s="6"/>
      <c r="L109" s="6"/>
      <c r="M109" s="13"/>
      <c r="N109" s="6"/>
      <c r="O109" s="6"/>
      <c r="P109" s="6"/>
      <c r="Q109" s="6"/>
    </row>
    <row r="110" spans="1:17" x14ac:dyDescent="0.3">
      <c r="A110" s="6" t="s">
        <v>698</v>
      </c>
      <c r="B110" s="6" t="s">
        <v>741</v>
      </c>
      <c r="C110" s="6" t="s">
        <v>742</v>
      </c>
      <c r="D110" s="6">
        <v>103</v>
      </c>
      <c r="E110" s="6" t="s">
        <v>751</v>
      </c>
      <c r="F110" s="6" t="s">
        <v>752</v>
      </c>
      <c r="G110" s="6" t="s">
        <v>528</v>
      </c>
      <c r="H110" s="6" t="s">
        <v>529</v>
      </c>
      <c r="I110" s="6" t="s">
        <v>123</v>
      </c>
      <c r="J110" s="6" t="s">
        <v>621</v>
      </c>
      <c r="K110" s="6"/>
      <c r="L110" s="6"/>
      <c r="M110" s="13"/>
      <c r="N110" s="6"/>
      <c r="O110" s="6"/>
      <c r="P110" s="6"/>
      <c r="Q110" s="6"/>
    </row>
    <row r="111" spans="1:17" x14ac:dyDescent="0.3">
      <c r="A111" s="6" t="s">
        <v>698</v>
      </c>
      <c r="B111" s="6" t="s">
        <v>741</v>
      </c>
      <c r="C111" s="6" t="s">
        <v>742</v>
      </c>
      <c r="D111" s="6">
        <v>105</v>
      </c>
      <c r="E111" s="6" t="s">
        <v>753</v>
      </c>
      <c r="F111" s="6" t="s">
        <v>754</v>
      </c>
      <c r="G111" s="6" t="s">
        <v>528</v>
      </c>
      <c r="H111" s="6" t="s">
        <v>529</v>
      </c>
      <c r="I111" s="6" t="s">
        <v>123</v>
      </c>
      <c r="J111" s="6" t="s">
        <v>621</v>
      </c>
      <c r="K111" s="6"/>
      <c r="L111" s="6"/>
      <c r="M111" s="13"/>
      <c r="N111" s="6"/>
      <c r="O111" s="6"/>
      <c r="P111" s="6"/>
      <c r="Q111" s="6"/>
    </row>
    <row r="112" spans="1:17" x14ac:dyDescent="0.3">
      <c r="A112" s="6" t="s">
        <v>698</v>
      </c>
      <c r="B112" s="6" t="s">
        <v>741</v>
      </c>
      <c r="C112" s="6" t="s">
        <v>742</v>
      </c>
      <c r="D112" s="6">
        <v>107</v>
      </c>
      <c r="E112" s="6" t="s">
        <v>755</v>
      </c>
      <c r="F112" s="6" t="s">
        <v>756</v>
      </c>
      <c r="G112" s="6" t="s">
        <v>528</v>
      </c>
      <c r="H112" s="6" t="s">
        <v>529</v>
      </c>
      <c r="I112" s="6" t="s">
        <v>123</v>
      </c>
      <c r="J112" s="6" t="s">
        <v>621</v>
      </c>
      <c r="K112" s="6"/>
      <c r="L112" s="6"/>
      <c r="M112" s="13"/>
      <c r="N112" s="6"/>
      <c r="O112" s="6"/>
      <c r="P112" s="6"/>
      <c r="Q112" s="6"/>
    </row>
    <row r="113" spans="1:17" x14ac:dyDescent="0.3">
      <c r="A113" s="6" t="s">
        <v>698</v>
      </c>
      <c r="B113" s="6" t="s">
        <v>741</v>
      </c>
      <c r="C113" s="6" t="s">
        <v>742</v>
      </c>
      <c r="D113" s="6">
        <v>109</v>
      </c>
      <c r="E113" s="6" t="s">
        <v>757</v>
      </c>
      <c r="F113" s="6" t="s">
        <v>758</v>
      </c>
      <c r="G113" s="6" t="s">
        <v>528</v>
      </c>
      <c r="H113" s="6" t="s">
        <v>529</v>
      </c>
      <c r="I113" s="6" t="s">
        <v>123</v>
      </c>
      <c r="J113" s="6" t="s">
        <v>621</v>
      </c>
      <c r="K113" s="6"/>
      <c r="L113" s="6"/>
      <c r="M113" s="13"/>
      <c r="N113" s="6"/>
      <c r="O113" s="6"/>
      <c r="P113" s="6"/>
      <c r="Q113" s="6"/>
    </row>
    <row r="114" spans="1:17" x14ac:dyDescent="0.3">
      <c r="A114" s="6" t="s">
        <v>698</v>
      </c>
      <c r="B114" s="6" t="s">
        <v>741</v>
      </c>
      <c r="C114" s="6" t="s">
        <v>742</v>
      </c>
      <c r="D114" s="6">
        <v>111</v>
      </c>
      <c r="E114" s="6" t="s">
        <v>759</v>
      </c>
      <c r="F114" s="6" t="s">
        <v>760</v>
      </c>
      <c r="G114" s="6" t="s">
        <v>528</v>
      </c>
      <c r="H114" s="6" t="s">
        <v>529</v>
      </c>
      <c r="I114" s="6" t="s">
        <v>123</v>
      </c>
      <c r="J114" s="6" t="s">
        <v>745</v>
      </c>
      <c r="K114" s="6" t="s">
        <v>761</v>
      </c>
      <c r="L114" s="6" t="s">
        <v>138</v>
      </c>
      <c r="M114" s="13" t="s">
        <v>747</v>
      </c>
      <c r="N114" s="6" t="s">
        <v>640</v>
      </c>
      <c r="O114" s="6" t="s">
        <v>745</v>
      </c>
      <c r="P114" s="6" t="s">
        <v>748</v>
      </c>
      <c r="Q114" s="6"/>
    </row>
    <row r="115" spans="1:17" x14ac:dyDescent="0.3">
      <c r="A115" s="6" t="s">
        <v>698</v>
      </c>
      <c r="B115" s="6" t="s">
        <v>741</v>
      </c>
      <c r="C115" s="6" t="s">
        <v>742</v>
      </c>
      <c r="D115" s="6">
        <v>113</v>
      </c>
      <c r="E115" s="6" t="s">
        <v>762</v>
      </c>
      <c r="F115" s="6" t="s">
        <v>763</v>
      </c>
      <c r="G115" s="6" t="s">
        <v>528</v>
      </c>
      <c r="H115" s="6" t="s">
        <v>529</v>
      </c>
      <c r="I115" s="6" t="s">
        <v>123</v>
      </c>
      <c r="J115" s="6" t="s">
        <v>621</v>
      </c>
      <c r="K115" s="6"/>
      <c r="L115" s="6"/>
      <c r="M115" s="13"/>
      <c r="N115" s="6"/>
      <c r="O115" s="6"/>
      <c r="P115" s="6"/>
      <c r="Q115" s="6"/>
    </row>
    <row r="116" spans="1:17" x14ac:dyDescent="0.3">
      <c r="A116" s="6" t="s">
        <v>698</v>
      </c>
      <c r="B116" s="6" t="s">
        <v>741</v>
      </c>
      <c r="C116" s="6" t="s">
        <v>742</v>
      </c>
      <c r="D116" s="6">
        <v>115</v>
      </c>
      <c r="E116" s="6" t="s">
        <v>764</v>
      </c>
      <c r="F116" s="6" t="s">
        <v>765</v>
      </c>
      <c r="G116" s="6" t="s">
        <v>528</v>
      </c>
      <c r="H116" s="6" t="s">
        <v>529</v>
      </c>
      <c r="I116" s="6" t="s">
        <v>123</v>
      </c>
      <c r="J116" s="6" t="s">
        <v>621</v>
      </c>
      <c r="K116" s="6"/>
      <c r="L116" s="6"/>
      <c r="M116" s="13"/>
      <c r="N116" s="6"/>
      <c r="O116" s="6"/>
      <c r="P116" s="6"/>
      <c r="Q116" s="6"/>
    </row>
    <row r="117" spans="1:17" x14ac:dyDescent="0.3">
      <c r="A117" s="6" t="s">
        <v>698</v>
      </c>
      <c r="B117" s="6" t="s">
        <v>741</v>
      </c>
      <c r="C117" s="6" t="s">
        <v>742</v>
      </c>
      <c r="D117" s="6">
        <v>117</v>
      </c>
      <c r="E117" s="6" t="s">
        <v>766</v>
      </c>
      <c r="F117" s="6" t="s">
        <v>767</v>
      </c>
      <c r="G117" s="6" t="s">
        <v>528</v>
      </c>
      <c r="H117" s="6" t="s">
        <v>529</v>
      </c>
      <c r="I117" s="6" t="s">
        <v>123</v>
      </c>
      <c r="J117" s="6" t="s">
        <v>621</v>
      </c>
      <c r="K117" s="6"/>
      <c r="L117" s="6"/>
      <c r="M117" s="13"/>
      <c r="N117" s="6"/>
      <c r="O117" s="6"/>
      <c r="P117" s="6"/>
      <c r="Q117" s="6"/>
    </row>
    <row r="118" spans="1:17" x14ac:dyDescent="0.3">
      <c r="A118" s="6" t="s">
        <v>698</v>
      </c>
      <c r="B118" s="6" t="s">
        <v>741</v>
      </c>
      <c r="C118" s="6" t="s">
        <v>742</v>
      </c>
      <c r="D118" s="6">
        <v>119</v>
      </c>
      <c r="E118" s="6" t="s">
        <v>768</v>
      </c>
      <c r="F118" s="6" t="s">
        <v>769</v>
      </c>
      <c r="G118" s="6" t="s">
        <v>528</v>
      </c>
      <c r="H118" s="6" t="s">
        <v>529</v>
      </c>
      <c r="I118" s="6" t="s">
        <v>123</v>
      </c>
      <c r="J118" s="6" t="s">
        <v>621</v>
      </c>
      <c r="K118" s="6"/>
      <c r="L118" s="6"/>
      <c r="M118" s="13"/>
      <c r="N118" s="6"/>
      <c r="O118" s="6"/>
      <c r="P118" s="6"/>
      <c r="Q118" s="6"/>
    </row>
    <row r="119" spans="1:17" x14ac:dyDescent="0.3">
      <c r="A119" s="6" t="s">
        <v>698</v>
      </c>
      <c r="B119" s="6" t="s">
        <v>741</v>
      </c>
      <c r="C119" s="6" t="s">
        <v>742</v>
      </c>
      <c r="D119" s="6">
        <v>121</v>
      </c>
      <c r="E119" s="6" t="s">
        <v>770</v>
      </c>
      <c r="F119" s="6" t="s">
        <v>771</v>
      </c>
      <c r="G119" s="6" t="s">
        <v>528</v>
      </c>
      <c r="H119" s="6" t="s">
        <v>529</v>
      </c>
      <c r="I119" s="6" t="s">
        <v>123</v>
      </c>
      <c r="J119" s="6" t="s">
        <v>621</v>
      </c>
      <c r="K119" s="6"/>
      <c r="L119" s="6"/>
      <c r="M119" s="13"/>
      <c r="N119" s="6"/>
      <c r="O119" s="6"/>
      <c r="P119" s="6"/>
      <c r="Q119" s="6"/>
    </row>
    <row r="120" spans="1:17" x14ac:dyDescent="0.3">
      <c r="A120" s="6" t="s">
        <v>698</v>
      </c>
      <c r="B120" s="6" t="s">
        <v>741</v>
      </c>
      <c r="C120" s="6" t="s">
        <v>772</v>
      </c>
      <c r="D120" s="6">
        <v>228</v>
      </c>
      <c r="E120" s="6" t="s">
        <v>773</v>
      </c>
      <c r="F120" s="6" t="s">
        <v>774</v>
      </c>
      <c r="G120" s="6" t="s">
        <v>528</v>
      </c>
      <c r="H120" s="6" t="s">
        <v>775</v>
      </c>
      <c r="I120" s="6" t="s">
        <v>123</v>
      </c>
      <c r="J120" s="6" t="s">
        <v>776</v>
      </c>
      <c r="K120" s="6"/>
      <c r="L120" s="6"/>
      <c r="M120" s="13"/>
      <c r="N120" s="6"/>
      <c r="O120" s="6"/>
      <c r="P120" s="6"/>
      <c r="Q120" s="6"/>
    </row>
    <row r="121" spans="1:17" x14ac:dyDescent="0.3">
      <c r="A121" s="6" t="s">
        <v>698</v>
      </c>
      <c r="B121" s="6" t="s">
        <v>741</v>
      </c>
      <c r="C121" s="6" t="s">
        <v>777</v>
      </c>
      <c r="D121" s="6">
        <v>206</v>
      </c>
      <c r="E121" s="6" t="s">
        <v>778</v>
      </c>
      <c r="F121" s="6" t="s">
        <v>779</v>
      </c>
      <c r="G121" s="6" t="s">
        <v>528</v>
      </c>
      <c r="H121" s="6" t="s">
        <v>780</v>
      </c>
      <c r="I121" s="6" t="s">
        <v>738</v>
      </c>
      <c r="J121" s="6"/>
      <c r="K121" s="6"/>
      <c r="L121" s="6"/>
      <c r="M121" s="13"/>
      <c r="N121" s="6"/>
      <c r="O121" s="6"/>
      <c r="P121" s="6"/>
      <c r="Q121" s="6"/>
    </row>
    <row r="122" spans="1:17" x14ac:dyDescent="0.3">
      <c r="A122" s="6" t="s">
        <v>698</v>
      </c>
      <c r="B122" s="6" t="s">
        <v>741</v>
      </c>
      <c r="C122" s="6" t="s">
        <v>777</v>
      </c>
      <c r="D122" s="6">
        <v>207</v>
      </c>
      <c r="E122" s="6" t="s">
        <v>781</v>
      </c>
      <c r="F122" s="6" t="s">
        <v>782</v>
      </c>
      <c r="G122" s="6" t="s">
        <v>528</v>
      </c>
      <c r="H122" s="6" t="s">
        <v>780</v>
      </c>
      <c r="I122" s="6" t="s">
        <v>738</v>
      </c>
      <c r="J122" s="6"/>
      <c r="K122" s="6"/>
      <c r="L122" s="6"/>
      <c r="M122" s="13"/>
      <c r="N122" s="6"/>
      <c r="O122" s="6"/>
      <c r="P122" s="6"/>
      <c r="Q122" s="6"/>
    </row>
    <row r="123" spans="1:17" x14ac:dyDescent="0.3">
      <c r="A123" s="6" t="s">
        <v>698</v>
      </c>
      <c r="B123" s="6" t="s">
        <v>741</v>
      </c>
      <c r="C123" s="6" t="s">
        <v>777</v>
      </c>
      <c r="D123" s="6">
        <v>209</v>
      </c>
      <c r="E123" s="6" t="s">
        <v>783</v>
      </c>
      <c r="F123" s="6" t="s">
        <v>784</v>
      </c>
      <c r="G123" s="6" t="s">
        <v>528</v>
      </c>
      <c r="H123" s="6" t="s">
        <v>780</v>
      </c>
      <c r="I123" s="6" t="s">
        <v>738</v>
      </c>
      <c r="J123" s="6"/>
      <c r="K123" s="6"/>
      <c r="L123" s="6"/>
      <c r="M123" s="13"/>
      <c r="N123" s="6"/>
      <c r="O123" s="6"/>
      <c r="P123" s="6"/>
      <c r="Q123" s="6"/>
    </row>
    <row r="124" spans="1:17" x14ac:dyDescent="0.3">
      <c r="A124" s="6" t="s">
        <v>698</v>
      </c>
      <c r="B124" s="6" t="s">
        <v>741</v>
      </c>
      <c r="C124" s="6" t="s">
        <v>777</v>
      </c>
      <c r="D124" s="6">
        <v>290</v>
      </c>
      <c r="E124" s="6" t="s">
        <v>785</v>
      </c>
      <c r="F124" s="6" t="s">
        <v>786</v>
      </c>
      <c r="G124" s="6" t="s">
        <v>528</v>
      </c>
      <c r="H124" s="6" t="s">
        <v>787</v>
      </c>
      <c r="I124" s="6" t="s">
        <v>738</v>
      </c>
      <c r="J124" s="6"/>
      <c r="K124" s="6"/>
      <c r="L124" s="6"/>
      <c r="M124" s="13"/>
      <c r="N124" s="6"/>
      <c r="O124" s="6"/>
      <c r="P124" s="6"/>
      <c r="Q124" s="6"/>
    </row>
    <row r="125" spans="1:17" ht="45" x14ac:dyDescent="0.3">
      <c r="A125" s="6" t="s">
        <v>698</v>
      </c>
      <c r="B125" s="6" t="s">
        <v>788</v>
      </c>
      <c r="C125" s="6" t="s">
        <v>789</v>
      </c>
      <c r="D125" s="6">
        <v>87</v>
      </c>
      <c r="E125" s="6" t="s">
        <v>790</v>
      </c>
      <c r="F125" s="6" t="s">
        <v>791</v>
      </c>
      <c r="G125" s="6" t="s">
        <v>528</v>
      </c>
      <c r="H125" s="6" t="s">
        <v>529</v>
      </c>
      <c r="I125" s="6" t="s">
        <v>123</v>
      </c>
      <c r="J125" s="6" t="s">
        <v>745</v>
      </c>
      <c r="K125" s="12" t="s">
        <v>792</v>
      </c>
      <c r="L125" s="6" t="s">
        <v>138</v>
      </c>
      <c r="M125" s="13" t="s">
        <v>747</v>
      </c>
      <c r="N125" s="6" t="s">
        <v>640</v>
      </c>
      <c r="O125" s="6" t="s">
        <v>745</v>
      </c>
      <c r="P125" s="6" t="s">
        <v>748</v>
      </c>
      <c r="Q125" s="6"/>
    </row>
    <row r="126" spans="1:17" x14ac:dyDescent="0.3">
      <c r="A126" s="6" t="s">
        <v>698</v>
      </c>
      <c r="B126" s="6" t="s">
        <v>788</v>
      </c>
      <c r="C126" s="6" t="s">
        <v>789</v>
      </c>
      <c r="D126" s="6">
        <v>89</v>
      </c>
      <c r="E126" s="6" t="s">
        <v>793</v>
      </c>
      <c r="F126" s="6" t="s">
        <v>794</v>
      </c>
      <c r="G126" s="6" t="s">
        <v>528</v>
      </c>
      <c r="H126" s="6" t="s">
        <v>529</v>
      </c>
      <c r="I126" s="6" t="s">
        <v>123</v>
      </c>
      <c r="J126" s="6" t="s">
        <v>621</v>
      </c>
      <c r="K126" s="6"/>
      <c r="L126" s="6"/>
      <c r="M126" s="13"/>
      <c r="N126" s="6"/>
      <c r="O126" s="6"/>
      <c r="P126" s="6"/>
      <c r="Q126" s="6"/>
    </row>
    <row r="127" spans="1:17" x14ac:dyDescent="0.3">
      <c r="A127" s="6" t="s">
        <v>698</v>
      </c>
      <c r="B127" s="6" t="s">
        <v>788</v>
      </c>
      <c r="C127" s="6" t="s">
        <v>789</v>
      </c>
      <c r="D127" s="6">
        <v>91</v>
      </c>
      <c r="E127" s="6" t="s">
        <v>795</v>
      </c>
      <c r="F127" s="6" t="s">
        <v>796</v>
      </c>
      <c r="G127" s="6" t="s">
        <v>528</v>
      </c>
      <c r="H127" s="6" t="s">
        <v>529</v>
      </c>
      <c r="I127" s="6" t="s">
        <v>123</v>
      </c>
      <c r="J127" s="6" t="s">
        <v>621</v>
      </c>
      <c r="K127" s="6"/>
      <c r="L127" s="6"/>
      <c r="M127" s="13"/>
      <c r="N127" s="6"/>
      <c r="O127" s="6"/>
      <c r="P127" s="6"/>
      <c r="Q127" s="6"/>
    </row>
    <row r="128" spans="1:17" x14ac:dyDescent="0.3">
      <c r="A128" s="6" t="s">
        <v>698</v>
      </c>
      <c r="B128" s="6" t="s">
        <v>788</v>
      </c>
      <c r="C128" s="6" t="s">
        <v>789</v>
      </c>
      <c r="D128" s="6">
        <v>93</v>
      </c>
      <c r="E128" s="6" t="s">
        <v>797</v>
      </c>
      <c r="F128" s="6" t="s">
        <v>798</v>
      </c>
      <c r="G128" s="6" t="s">
        <v>528</v>
      </c>
      <c r="H128" s="6" t="s">
        <v>529</v>
      </c>
      <c r="I128" s="6" t="s">
        <v>123</v>
      </c>
      <c r="J128" s="6" t="s">
        <v>621</v>
      </c>
      <c r="K128" s="6"/>
      <c r="L128" s="6"/>
      <c r="M128" s="13"/>
      <c r="N128" s="6"/>
      <c r="O128" s="6"/>
      <c r="P128" s="6"/>
      <c r="Q128" s="6"/>
    </row>
    <row r="129" spans="1:17" x14ac:dyDescent="0.3">
      <c r="A129" s="6" t="s">
        <v>698</v>
      </c>
      <c r="B129" s="6" t="s">
        <v>788</v>
      </c>
      <c r="C129" s="6" t="s">
        <v>789</v>
      </c>
      <c r="D129" s="6">
        <v>95</v>
      </c>
      <c r="E129" s="6" t="s">
        <v>799</v>
      </c>
      <c r="F129" s="6" t="s">
        <v>800</v>
      </c>
      <c r="G129" s="6" t="s">
        <v>528</v>
      </c>
      <c r="H129" s="6" t="s">
        <v>529</v>
      </c>
      <c r="I129" s="6" t="s">
        <v>123</v>
      </c>
      <c r="J129" s="6" t="s">
        <v>621</v>
      </c>
      <c r="K129" s="6"/>
      <c r="L129" s="6"/>
      <c r="M129" s="13"/>
      <c r="N129" s="6"/>
      <c r="O129" s="6"/>
      <c r="P129" s="6"/>
      <c r="Q129" s="6"/>
    </row>
    <row r="130" spans="1:17" x14ac:dyDescent="0.3">
      <c r="A130" s="6" t="s">
        <v>698</v>
      </c>
      <c r="B130" s="6" t="s">
        <v>788</v>
      </c>
      <c r="C130" s="6" t="s">
        <v>789</v>
      </c>
      <c r="D130" s="6">
        <v>97</v>
      </c>
      <c r="E130" s="6" t="s">
        <v>801</v>
      </c>
      <c r="F130" s="6" t="s">
        <v>802</v>
      </c>
      <c r="G130" s="6" t="s">
        <v>528</v>
      </c>
      <c r="H130" s="6" t="s">
        <v>529</v>
      </c>
      <c r="I130" s="6" t="s">
        <v>123</v>
      </c>
      <c r="J130" s="6" t="s">
        <v>621</v>
      </c>
      <c r="K130" s="6"/>
      <c r="L130" s="6"/>
      <c r="M130" s="13"/>
      <c r="N130" s="6"/>
      <c r="O130" s="6"/>
      <c r="P130" s="6"/>
      <c r="Q130" s="6"/>
    </row>
    <row r="131" spans="1:17" x14ac:dyDescent="0.3">
      <c r="A131" s="6" t="s">
        <v>698</v>
      </c>
      <c r="B131" s="6" t="s">
        <v>788</v>
      </c>
      <c r="C131" s="6" t="s">
        <v>789</v>
      </c>
      <c r="D131" s="6">
        <v>125</v>
      </c>
      <c r="E131" s="6" t="s">
        <v>803</v>
      </c>
      <c r="F131" s="6" t="s">
        <v>804</v>
      </c>
      <c r="G131" s="6" t="s">
        <v>528</v>
      </c>
      <c r="H131" s="6" t="s">
        <v>529</v>
      </c>
      <c r="I131" s="6" t="s">
        <v>123</v>
      </c>
      <c r="J131" s="6" t="s">
        <v>621</v>
      </c>
      <c r="K131" s="6"/>
      <c r="L131" s="6"/>
      <c r="M131" s="13"/>
      <c r="N131" s="6"/>
      <c r="O131" s="6"/>
      <c r="P131" s="6"/>
      <c r="Q131" s="6"/>
    </row>
    <row r="132" spans="1:17" ht="45" x14ac:dyDescent="0.3">
      <c r="A132" s="6" t="s">
        <v>698</v>
      </c>
      <c r="B132" s="6" t="s">
        <v>788</v>
      </c>
      <c r="C132" s="6" t="s">
        <v>789</v>
      </c>
      <c r="D132" s="6">
        <v>181</v>
      </c>
      <c r="E132" s="6" t="s">
        <v>805</v>
      </c>
      <c r="F132" s="6" t="s">
        <v>806</v>
      </c>
      <c r="G132" s="6" t="s">
        <v>528</v>
      </c>
      <c r="H132" s="6" t="s">
        <v>529</v>
      </c>
      <c r="I132" s="6" t="s">
        <v>123</v>
      </c>
      <c r="J132" s="6" t="s">
        <v>745</v>
      </c>
      <c r="K132" s="6" t="s">
        <v>807</v>
      </c>
      <c r="L132" s="6" t="s">
        <v>138</v>
      </c>
      <c r="M132" s="13">
        <v>2023</v>
      </c>
      <c r="N132" s="6" t="s">
        <v>603</v>
      </c>
      <c r="O132" s="6" t="s">
        <v>745</v>
      </c>
      <c r="P132" s="6" t="s">
        <v>691</v>
      </c>
      <c r="Q132" s="10" t="s">
        <v>808</v>
      </c>
    </row>
    <row r="133" spans="1:17" x14ac:dyDescent="0.3">
      <c r="A133" s="6" t="s">
        <v>698</v>
      </c>
      <c r="B133" s="6" t="s">
        <v>788</v>
      </c>
      <c r="C133" s="6" t="s">
        <v>789</v>
      </c>
      <c r="D133" s="6">
        <v>183</v>
      </c>
      <c r="E133" s="6" t="s">
        <v>809</v>
      </c>
      <c r="F133" s="6" t="s">
        <v>810</v>
      </c>
      <c r="G133" s="6" t="s">
        <v>528</v>
      </c>
      <c r="H133" s="6" t="s">
        <v>529</v>
      </c>
      <c r="I133" s="6" t="s">
        <v>123</v>
      </c>
      <c r="J133" s="6" t="s">
        <v>621</v>
      </c>
      <c r="K133" s="6"/>
      <c r="L133" s="6"/>
      <c r="M133" s="13"/>
      <c r="N133" s="6"/>
      <c r="O133" s="6"/>
      <c r="P133" s="6"/>
      <c r="Q133" s="6"/>
    </row>
    <row r="134" spans="1:17" x14ac:dyDescent="0.3">
      <c r="A134" s="6" t="s">
        <v>698</v>
      </c>
      <c r="B134" s="6" t="s">
        <v>788</v>
      </c>
      <c r="C134" s="6" t="s">
        <v>789</v>
      </c>
      <c r="D134" s="6">
        <v>185</v>
      </c>
      <c r="E134" s="6" t="s">
        <v>811</v>
      </c>
      <c r="F134" s="6" t="s">
        <v>812</v>
      </c>
      <c r="G134" s="6" t="s">
        <v>528</v>
      </c>
      <c r="H134" s="6" t="s">
        <v>529</v>
      </c>
      <c r="I134" s="6" t="s">
        <v>123</v>
      </c>
      <c r="J134" s="6" t="s">
        <v>621</v>
      </c>
      <c r="K134" s="6"/>
      <c r="L134" s="6"/>
      <c r="M134" s="13"/>
      <c r="N134" s="6"/>
      <c r="O134" s="6"/>
      <c r="P134" s="6"/>
      <c r="Q134" s="6"/>
    </row>
    <row r="135" spans="1:17" x14ac:dyDescent="0.3">
      <c r="A135" s="6" t="s">
        <v>698</v>
      </c>
      <c r="B135" s="6" t="s">
        <v>788</v>
      </c>
      <c r="C135" s="6" t="s">
        <v>789</v>
      </c>
      <c r="D135" s="6">
        <v>187</v>
      </c>
      <c r="E135" s="6" t="s">
        <v>813</v>
      </c>
      <c r="F135" s="6" t="s">
        <v>814</v>
      </c>
      <c r="G135" s="6" t="s">
        <v>528</v>
      </c>
      <c r="H135" s="6" t="s">
        <v>529</v>
      </c>
      <c r="I135" s="6" t="s">
        <v>123</v>
      </c>
      <c r="J135" s="6" t="s">
        <v>621</v>
      </c>
      <c r="K135" s="6"/>
      <c r="L135" s="6"/>
      <c r="M135" s="13"/>
      <c r="N135" s="6"/>
      <c r="O135" s="6"/>
      <c r="P135" s="6"/>
      <c r="Q135" s="6"/>
    </row>
    <row r="136" spans="1:17" x14ac:dyDescent="0.3">
      <c r="A136" s="6" t="s">
        <v>698</v>
      </c>
      <c r="B136" s="6" t="s">
        <v>788</v>
      </c>
      <c r="C136" s="6" t="s">
        <v>789</v>
      </c>
      <c r="D136" s="6">
        <v>189</v>
      </c>
      <c r="E136" s="6" t="s">
        <v>815</v>
      </c>
      <c r="F136" s="6" t="s">
        <v>816</v>
      </c>
      <c r="G136" s="6" t="s">
        <v>528</v>
      </c>
      <c r="H136" s="6" t="s">
        <v>529</v>
      </c>
      <c r="I136" s="6" t="s">
        <v>123</v>
      </c>
      <c r="J136" s="6" t="s">
        <v>621</v>
      </c>
      <c r="K136" s="6"/>
      <c r="L136" s="6"/>
      <c r="M136" s="13"/>
      <c r="N136" s="6"/>
      <c r="O136" s="6"/>
      <c r="P136" s="6"/>
      <c r="Q136" s="6"/>
    </row>
    <row r="137" spans="1:17" x14ac:dyDescent="0.3">
      <c r="A137" s="6" t="s">
        <v>698</v>
      </c>
      <c r="B137" s="6" t="s">
        <v>788</v>
      </c>
      <c r="C137" s="6" t="s">
        <v>789</v>
      </c>
      <c r="D137" s="6">
        <v>191</v>
      </c>
      <c r="E137" s="6" t="s">
        <v>817</v>
      </c>
      <c r="F137" s="6" t="s">
        <v>818</v>
      </c>
      <c r="G137" s="6" t="s">
        <v>528</v>
      </c>
      <c r="H137" s="6" t="s">
        <v>529</v>
      </c>
      <c r="I137" s="6" t="s">
        <v>123</v>
      </c>
      <c r="J137" s="6" t="s">
        <v>621</v>
      </c>
      <c r="K137" s="6"/>
      <c r="L137" s="6"/>
      <c r="M137" s="13"/>
      <c r="N137" s="6"/>
      <c r="O137" s="6"/>
      <c r="P137" s="6"/>
      <c r="Q137" s="6"/>
    </row>
    <row r="138" spans="1:17" x14ac:dyDescent="0.3">
      <c r="A138" s="6" t="s">
        <v>698</v>
      </c>
      <c r="B138" s="6" t="s">
        <v>788</v>
      </c>
      <c r="C138" s="6" t="s">
        <v>772</v>
      </c>
      <c r="D138" s="6">
        <v>230</v>
      </c>
      <c r="E138" s="6" t="s">
        <v>819</v>
      </c>
      <c r="F138" s="6" t="s">
        <v>820</v>
      </c>
      <c r="G138" s="6" t="s">
        <v>528</v>
      </c>
      <c r="H138" s="6" t="s">
        <v>529</v>
      </c>
      <c r="I138" s="6" t="s">
        <v>123</v>
      </c>
      <c r="J138" s="6" t="s">
        <v>776</v>
      </c>
      <c r="K138" s="6"/>
      <c r="L138" s="6"/>
      <c r="M138" s="13"/>
      <c r="N138" s="6"/>
      <c r="O138" s="6"/>
      <c r="P138" s="6"/>
      <c r="Q138" s="6"/>
    </row>
    <row r="139" spans="1:17" x14ac:dyDescent="0.3">
      <c r="A139" s="6" t="s">
        <v>698</v>
      </c>
      <c r="B139" s="6" t="s">
        <v>788</v>
      </c>
      <c r="C139" s="6" t="s">
        <v>821</v>
      </c>
      <c r="D139" s="6">
        <v>39</v>
      </c>
      <c r="E139" s="6" t="s">
        <v>822</v>
      </c>
      <c r="F139" s="6" t="s">
        <v>823</v>
      </c>
      <c r="G139" s="6" t="s">
        <v>656</v>
      </c>
      <c r="H139" s="6" t="s">
        <v>824</v>
      </c>
      <c r="I139" s="6" t="s">
        <v>123</v>
      </c>
      <c r="J139" s="6" t="s">
        <v>621</v>
      </c>
      <c r="K139" s="6"/>
      <c r="M139" s="13"/>
      <c r="N139" s="6"/>
      <c r="O139" s="6"/>
      <c r="P139" s="6"/>
      <c r="Q139" s="6"/>
    </row>
    <row r="140" spans="1:17" x14ac:dyDescent="0.3">
      <c r="A140" s="6" t="s">
        <v>698</v>
      </c>
      <c r="B140" s="6" t="s">
        <v>788</v>
      </c>
      <c r="C140" s="6" t="s">
        <v>821</v>
      </c>
      <c r="D140" s="6">
        <v>37</v>
      </c>
      <c r="E140" s="6" t="s">
        <v>822</v>
      </c>
      <c r="F140" s="6" t="s">
        <v>823</v>
      </c>
      <c r="G140" s="6" t="s">
        <v>658</v>
      </c>
      <c r="H140" s="6" t="s">
        <v>824</v>
      </c>
      <c r="I140" s="6" t="s">
        <v>123</v>
      </c>
      <c r="J140" s="6" t="s">
        <v>621</v>
      </c>
      <c r="K140" s="6"/>
      <c r="L140" s="6"/>
      <c r="M140" s="13"/>
      <c r="N140" s="6"/>
      <c r="O140" s="6"/>
      <c r="P140" s="6"/>
      <c r="Q140" s="6"/>
    </row>
    <row r="141" spans="1:17" x14ac:dyDescent="0.3">
      <c r="A141" s="6" t="s">
        <v>698</v>
      </c>
      <c r="B141" s="6" t="s">
        <v>788</v>
      </c>
      <c r="C141" s="6" t="s">
        <v>821</v>
      </c>
      <c r="D141" s="6">
        <v>38</v>
      </c>
      <c r="E141" s="6" t="s">
        <v>822</v>
      </c>
      <c r="F141" s="6" t="s">
        <v>823</v>
      </c>
      <c r="G141" s="6" t="s">
        <v>659</v>
      </c>
      <c r="H141" s="6" t="s">
        <v>824</v>
      </c>
      <c r="I141" s="6" t="s">
        <v>123</v>
      </c>
      <c r="J141" s="6" t="s">
        <v>621</v>
      </c>
      <c r="K141" s="6"/>
      <c r="L141" s="6"/>
      <c r="M141" s="13"/>
      <c r="N141" s="6"/>
      <c r="O141" s="6"/>
      <c r="P141" s="6"/>
      <c r="Q141" s="6"/>
    </row>
    <row r="142" spans="1:17" x14ac:dyDescent="0.3">
      <c r="A142" s="6" t="s">
        <v>698</v>
      </c>
      <c r="B142" s="6" t="s">
        <v>788</v>
      </c>
      <c r="C142" s="6" t="s">
        <v>821</v>
      </c>
      <c r="D142" s="6">
        <v>36</v>
      </c>
      <c r="E142" s="6" t="s">
        <v>233</v>
      </c>
      <c r="F142" s="6" t="s">
        <v>825</v>
      </c>
      <c r="G142" s="6" t="s">
        <v>656</v>
      </c>
      <c r="H142" s="6" t="s">
        <v>824</v>
      </c>
      <c r="I142" s="6" t="s">
        <v>123</v>
      </c>
      <c r="J142" s="6" t="s">
        <v>621</v>
      </c>
      <c r="K142" s="6"/>
      <c r="L142" s="6"/>
      <c r="M142" s="13"/>
      <c r="N142" s="6"/>
      <c r="O142" s="6"/>
      <c r="P142" s="6"/>
      <c r="Q142" s="6"/>
    </row>
    <row r="143" spans="1:17" x14ac:dyDescent="0.3">
      <c r="A143" s="6" t="s">
        <v>698</v>
      </c>
      <c r="B143" s="6" t="s">
        <v>788</v>
      </c>
      <c r="C143" s="6" t="s">
        <v>821</v>
      </c>
      <c r="D143" s="6">
        <v>34</v>
      </c>
      <c r="E143" s="6" t="s">
        <v>233</v>
      </c>
      <c r="F143" s="6" t="s">
        <v>825</v>
      </c>
      <c r="G143" s="6" t="s">
        <v>658</v>
      </c>
      <c r="H143" s="6" t="s">
        <v>824</v>
      </c>
      <c r="I143" s="6" t="s">
        <v>123</v>
      </c>
      <c r="J143" s="6" t="s">
        <v>621</v>
      </c>
      <c r="K143" s="6"/>
      <c r="L143" s="6"/>
      <c r="M143" s="13"/>
      <c r="N143" s="6"/>
      <c r="O143" s="6"/>
      <c r="P143" s="6"/>
      <c r="Q143" s="6"/>
    </row>
    <row r="144" spans="1:17" x14ac:dyDescent="0.3">
      <c r="A144" s="6" t="s">
        <v>698</v>
      </c>
      <c r="B144" s="6" t="s">
        <v>788</v>
      </c>
      <c r="C144" s="6" t="s">
        <v>821</v>
      </c>
      <c r="D144" s="6">
        <v>35</v>
      </c>
      <c r="E144" s="6" t="s">
        <v>233</v>
      </c>
      <c r="F144" s="6" t="s">
        <v>825</v>
      </c>
      <c r="G144" s="6" t="s">
        <v>659</v>
      </c>
      <c r="H144" s="6" t="s">
        <v>824</v>
      </c>
      <c r="I144" s="6" t="s">
        <v>123</v>
      </c>
      <c r="J144" s="6" t="s">
        <v>621</v>
      </c>
      <c r="K144" s="6"/>
      <c r="L144" s="6"/>
      <c r="M144" s="13"/>
      <c r="N144" s="6"/>
      <c r="O144" s="6"/>
      <c r="P144" s="6"/>
      <c r="Q144" s="6"/>
    </row>
    <row r="145" spans="1:17" x14ac:dyDescent="0.3">
      <c r="A145" s="6" t="s">
        <v>698</v>
      </c>
      <c r="B145" s="6" t="s">
        <v>788</v>
      </c>
      <c r="C145" s="6" t="s">
        <v>821</v>
      </c>
      <c r="D145" s="6">
        <v>42</v>
      </c>
      <c r="E145" s="6" t="s">
        <v>826</v>
      </c>
      <c r="F145" s="6" t="s">
        <v>827</v>
      </c>
      <c r="G145" s="6" t="s">
        <v>656</v>
      </c>
      <c r="H145" s="6" t="s">
        <v>824</v>
      </c>
      <c r="I145" s="6" t="s">
        <v>123</v>
      </c>
      <c r="J145" s="6" t="s">
        <v>745</v>
      </c>
      <c r="K145" s="6" t="s">
        <v>234</v>
      </c>
      <c r="L145" s="6" t="s">
        <v>138</v>
      </c>
      <c r="M145" s="13">
        <v>2023</v>
      </c>
      <c r="N145" s="6" t="s">
        <v>603</v>
      </c>
      <c r="O145" s="6" t="s">
        <v>745</v>
      </c>
      <c r="P145" s="6" t="s">
        <v>748</v>
      </c>
      <c r="Q145" s="6"/>
    </row>
    <row r="146" spans="1:17" x14ac:dyDescent="0.3">
      <c r="A146" s="6" t="s">
        <v>698</v>
      </c>
      <c r="B146" s="6" t="s">
        <v>788</v>
      </c>
      <c r="C146" s="6" t="s">
        <v>821</v>
      </c>
      <c r="D146" s="6">
        <v>40</v>
      </c>
      <c r="E146" s="6" t="s">
        <v>826</v>
      </c>
      <c r="F146" s="6" t="s">
        <v>827</v>
      </c>
      <c r="G146" s="6" t="s">
        <v>658</v>
      </c>
      <c r="H146" s="6" t="s">
        <v>824</v>
      </c>
      <c r="I146" s="6" t="s">
        <v>123</v>
      </c>
      <c r="J146" s="6" t="s">
        <v>621</v>
      </c>
      <c r="K146" s="6"/>
      <c r="L146" s="6"/>
      <c r="M146" s="13"/>
      <c r="N146" s="6"/>
      <c r="O146" s="6"/>
      <c r="P146" s="6"/>
      <c r="Q146" s="6"/>
    </row>
    <row r="147" spans="1:17" ht="60" x14ac:dyDescent="0.3">
      <c r="A147" s="6" t="s">
        <v>698</v>
      </c>
      <c r="B147" s="6" t="s">
        <v>788</v>
      </c>
      <c r="C147" s="6" t="s">
        <v>821</v>
      </c>
      <c r="D147" s="6">
        <v>41</v>
      </c>
      <c r="E147" s="6" t="s">
        <v>826</v>
      </c>
      <c r="F147" s="6" t="s">
        <v>827</v>
      </c>
      <c r="G147" s="6" t="s">
        <v>659</v>
      </c>
      <c r="H147" s="6" t="s">
        <v>824</v>
      </c>
      <c r="I147" s="6" t="s">
        <v>123</v>
      </c>
      <c r="J147" s="6" t="s">
        <v>745</v>
      </c>
      <c r="K147" s="12" t="s">
        <v>828</v>
      </c>
      <c r="L147" s="6" t="s">
        <v>138</v>
      </c>
      <c r="M147" s="13">
        <v>2023</v>
      </c>
      <c r="N147" s="6" t="s">
        <v>603</v>
      </c>
      <c r="O147" s="6" t="s">
        <v>745</v>
      </c>
      <c r="P147" s="6" t="s">
        <v>748</v>
      </c>
      <c r="Q147" s="6"/>
    </row>
    <row r="148" spans="1:17" x14ac:dyDescent="0.3">
      <c r="A148" s="6" t="s">
        <v>698</v>
      </c>
      <c r="B148" s="6" t="s">
        <v>788</v>
      </c>
      <c r="C148" s="6" t="s">
        <v>821</v>
      </c>
      <c r="D148" s="6">
        <v>56</v>
      </c>
      <c r="E148" s="6" t="s">
        <v>829</v>
      </c>
      <c r="F148" s="6" t="s">
        <v>830</v>
      </c>
      <c r="G148" s="6" t="s">
        <v>656</v>
      </c>
      <c r="H148" s="6" t="s">
        <v>597</v>
      </c>
      <c r="I148" s="6" t="s">
        <v>58</v>
      </c>
      <c r="J148" s="6"/>
      <c r="K148" s="6"/>
      <c r="L148" s="6"/>
      <c r="M148" s="13"/>
      <c r="N148" s="6"/>
      <c r="O148" s="6"/>
      <c r="P148" s="6"/>
      <c r="Q148" s="6"/>
    </row>
    <row r="149" spans="1:17" x14ac:dyDescent="0.3">
      <c r="A149" s="6" t="s">
        <v>698</v>
      </c>
      <c r="B149" s="6" t="s">
        <v>788</v>
      </c>
      <c r="C149" s="6" t="s">
        <v>821</v>
      </c>
      <c r="D149" s="6">
        <v>54</v>
      </c>
      <c r="E149" s="6" t="s">
        <v>829</v>
      </c>
      <c r="F149" s="6" t="s">
        <v>830</v>
      </c>
      <c r="G149" s="6" t="s">
        <v>658</v>
      </c>
      <c r="H149" s="6" t="s">
        <v>597</v>
      </c>
      <c r="I149" s="6" t="s">
        <v>58</v>
      </c>
      <c r="J149" s="6"/>
      <c r="K149" s="6"/>
      <c r="L149" s="6"/>
      <c r="M149" s="13"/>
      <c r="N149" s="6"/>
      <c r="O149" s="6"/>
      <c r="P149" s="6"/>
      <c r="Q149" s="6"/>
    </row>
    <row r="150" spans="1:17" x14ac:dyDescent="0.3">
      <c r="A150" s="6" t="s">
        <v>698</v>
      </c>
      <c r="B150" s="6" t="s">
        <v>788</v>
      </c>
      <c r="C150" s="6" t="s">
        <v>821</v>
      </c>
      <c r="D150" s="6">
        <v>55</v>
      </c>
      <c r="E150" s="6" t="s">
        <v>829</v>
      </c>
      <c r="F150" s="6" t="s">
        <v>830</v>
      </c>
      <c r="G150" s="6" t="s">
        <v>659</v>
      </c>
      <c r="H150" s="6" t="s">
        <v>597</v>
      </c>
      <c r="I150" s="6" t="s">
        <v>58</v>
      </c>
      <c r="J150" s="6"/>
      <c r="K150" s="6"/>
      <c r="L150" s="6"/>
      <c r="M150" s="13"/>
      <c r="N150" s="6"/>
      <c r="O150" s="6"/>
      <c r="P150" s="6"/>
      <c r="Q150" s="6"/>
    </row>
    <row r="151" spans="1:17" x14ac:dyDescent="0.3">
      <c r="A151" s="6" t="s">
        <v>698</v>
      </c>
      <c r="B151" s="6" t="s">
        <v>788</v>
      </c>
      <c r="C151" s="6" t="s">
        <v>821</v>
      </c>
      <c r="D151" s="6">
        <v>86</v>
      </c>
      <c r="E151" s="6" t="s">
        <v>831</v>
      </c>
      <c r="F151" s="6" t="s">
        <v>832</v>
      </c>
      <c r="G151" s="6" t="s">
        <v>656</v>
      </c>
      <c r="H151" s="6" t="s">
        <v>529</v>
      </c>
      <c r="I151" s="6" t="s">
        <v>58</v>
      </c>
      <c r="J151" s="6"/>
      <c r="K151" s="6"/>
      <c r="L151" s="6"/>
      <c r="M151" s="13"/>
      <c r="N151" s="6"/>
      <c r="O151" s="6"/>
      <c r="P151" s="6"/>
      <c r="Q151" s="6"/>
    </row>
    <row r="152" spans="1:17" x14ac:dyDescent="0.3">
      <c r="A152" s="6" t="s">
        <v>698</v>
      </c>
      <c r="B152" s="6" t="s">
        <v>788</v>
      </c>
      <c r="C152" s="6" t="s">
        <v>821</v>
      </c>
      <c r="D152" s="6">
        <v>84</v>
      </c>
      <c r="E152" s="6" t="s">
        <v>831</v>
      </c>
      <c r="F152" s="6" t="s">
        <v>832</v>
      </c>
      <c r="G152" s="6" t="s">
        <v>658</v>
      </c>
      <c r="H152" s="6" t="s">
        <v>529</v>
      </c>
      <c r="I152" s="6" t="s">
        <v>58</v>
      </c>
      <c r="J152" s="6"/>
      <c r="K152" s="6"/>
      <c r="L152" s="6"/>
      <c r="M152" s="13"/>
      <c r="N152" s="6"/>
      <c r="O152" s="6"/>
      <c r="P152" s="6"/>
      <c r="Q152" s="6"/>
    </row>
    <row r="153" spans="1:17" x14ac:dyDescent="0.3">
      <c r="A153" s="6" t="s">
        <v>698</v>
      </c>
      <c r="B153" s="6" t="s">
        <v>788</v>
      </c>
      <c r="C153" s="6" t="s">
        <v>821</v>
      </c>
      <c r="D153" s="6">
        <v>85</v>
      </c>
      <c r="E153" s="6" t="s">
        <v>831</v>
      </c>
      <c r="F153" s="6" t="s">
        <v>832</v>
      </c>
      <c r="G153" s="6" t="s">
        <v>659</v>
      </c>
      <c r="H153" s="6" t="s">
        <v>529</v>
      </c>
      <c r="I153" s="6" t="s">
        <v>58</v>
      </c>
      <c r="J153" s="6"/>
      <c r="K153" s="6"/>
      <c r="L153" s="6"/>
      <c r="M153" s="13"/>
      <c r="N153" s="6"/>
      <c r="O153" s="6"/>
      <c r="P153" s="6"/>
      <c r="Q153" s="6"/>
    </row>
    <row r="154" spans="1:17" ht="60" x14ac:dyDescent="0.3">
      <c r="A154" s="6" t="s">
        <v>698</v>
      </c>
      <c r="B154" s="6" t="s">
        <v>788</v>
      </c>
      <c r="C154" s="6" t="s">
        <v>833</v>
      </c>
      <c r="D154" s="6">
        <v>127</v>
      </c>
      <c r="E154" s="6" t="s">
        <v>834</v>
      </c>
      <c r="F154" s="6" t="s">
        <v>835</v>
      </c>
      <c r="G154" s="6" t="s">
        <v>528</v>
      </c>
      <c r="H154" s="6" t="s">
        <v>529</v>
      </c>
      <c r="I154" s="6" t="s">
        <v>123</v>
      </c>
      <c r="J154" s="6" t="s">
        <v>776</v>
      </c>
      <c r="K154" s="6"/>
      <c r="L154" s="6"/>
      <c r="M154" s="13"/>
      <c r="N154" s="6"/>
      <c r="O154" s="6"/>
      <c r="P154" s="6"/>
      <c r="Q154" s="10" t="s">
        <v>836</v>
      </c>
    </row>
    <row r="155" spans="1:17" x14ac:dyDescent="0.3">
      <c r="A155" s="6" t="s">
        <v>698</v>
      </c>
      <c r="B155" s="6" t="s">
        <v>788</v>
      </c>
      <c r="C155" s="6" t="s">
        <v>833</v>
      </c>
      <c r="D155" s="6">
        <v>208</v>
      </c>
      <c r="E155" s="6" t="s">
        <v>837</v>
      </c>
      <c r="F155" s="6" t="s">
        <v>838</v>
      </c>
      <c r="G155" s="6" t="s">
        <v>528</v>
      </c>
      <c r="H155" s="6" t="s">
        <v>780</v>
      </c>
      <c r="I155" s="6" t="s">
        <v>123</v>
      </c>
      <c r="J155" s="6" t="s">
        <v>776</v>
      </c>
      <c r="K155" s="6"/>
      <c r="L155" s="6"/>
      <c r="M155" s="13"/>
      <c r="N155" s="6"/>
      <c r="O155" s="6"/>
      <c r="P155" s="6"/>
      <c r="Q155" s="6"/>
    </row>
    <row r="156" spans="1:17" x14ac:dyDescent="0.3">
      <c r="A156" s="6" t="s">
        <v>698</v>
      </c>
      <c r="B156" s="6" t="s">
        <v>788</v>
      </c>
      <c r="C156" s="6" t="s">
        <v>707</v>
      </c>
      <c r="D156" s="6">
        <v>66</v>
      </c>
      <c r="E156" s="6" t="s">
        <v>839</v>
      </c>
      <c r="F156" s="6" t="s">
        <v>840</v>
      </c>
      <c r="G156" s="6" t="s">
        <v>656</v>
      </c>
      <c r="H156" s="6" t="s">
        <v>529</v>
      </c>
      <c r="I156" s="6" t="s">
        <v>58</v>
      </c>
      <c r="J156" s="6"/>
      <c r="K156" s="6"/>
      <c r="L156" s="6"/>
      <c r="M156" s="13"/>
      <c r="N156" s="6"/>
      <c r="O156" s="6"/>
      <c r="P156" s="6"/>
      <c r="Q156" s="6"/>
    </row>
    <row r="157" spans="1:17" x14ac:dyDescent="0.3">
      <c r="A157" s="6" t="s">
        <v>698</v>
      </c>
      <c r="B157" s="6" t="s">
        <v>788</v>
      </c>
      <c r="C157" s="6" t="s">
        <v>707</v>
      </c>
      <c r="D157" s="6">
        <v>64</v>
      </c>
      <c r="E157" s="6" t="s">
        <v>839</v>
      </c>
      <c r="F157" s="6" t="s">
        <v>840</v>
      </c>
      <c r="G157" s="6" t="s">
        <v>658</v>
      </c>
      <c r="H157" s="6" t="s">
        <v>529</v>
      </c>
      <c r="I157" s="6" t="s">
        <v>58</v>
      </c>
      <c r="J157" s="6"/>
      <c r="K157" s="6"/>
      <c r="L157" s="6"/>
      <c r="M157" s="13"/>
      <c r="N157" s="6"/>
      <c r="O157" s="6"/>
      <c r="P157" s="6"/>
      <c r="Q157" s="6"/>
    </row>
    <row r="158" spans="1:17" x14ac:dyDescent="0.3">
      <c r="A158" s="6" t="s">
        <v>698</v>
      </c>
      <c r="B158" s="6" t="s">
        <v>788</v>
      </c>
      <c r="C158" s="6" t="s">
        <v>707</v>
      </c>
      <c r="D158" s="6">
        <v>65</v>
      </c>
      <c r="E158" s="6" t="s">
        <v>839</v>
      </c>
      <c r="F158" s="6" t="s">
        <v>840</v>
      </c>
      <c r="G158" s="6" t="s">
        <v>659</v>
      </c>
      <c r="H158" s="6" t="s">
        <v>529</v>
      </c>
      <c r="I158" s="6" t="s">
        <v>58</v>
      </c>
      <c r="J158" s="6"/>
      <c r="K158" s="6"/>
      <c r="L158" s="6"/>
      <c r="M158" s="13"/>
      <c r="N158" s="6"/>
      <c r="O158" s="6"/>
      <c r="P158" s="6"/>
      <c r="Q158" s="6"/>
    </row>
    <row r="159" spans="1:17" x14ac:dyDescent="0.3">
      <c r="A159" s="6" t="s">
        <v>698</v>
      </c>
      <c r="B159" s="6" t="s">
        <v>788</v>
      </c>
      <c r="C159" s="6" t="s">
        <v>712</v>
      </c>
      <c r="D159" s="6">
        <v>76</v>
      </c>
      <c r="E159" s="6" t="s">
        <v>841</v>
      </c>
      <c r="F159" s="6" t="s">
        <v>842</v>
      </c>
      <c r="G159" s="6" t="s">
        <v>656</v>
      </c>
      <c r="H159" s="6" t="s">
        <v>529</v>
      </c>
      <c r="I159" s="6" t="s">
        <v>58</v>
      </c>
      <c r="J159" s="6"/>
      <c r="K159" s="6"/>
      <c r="L159" s="6"/>
      <c r="M159" s="13"/>
      <c r="N159" s="6"/>
      <c r="O159" s="6"/>
      <c r="P159" s="6"/>
      <c r="Q159" s="6"/>
    </row>
    <row r="160" spans="1:17" x14ac:dyDescent="0.3">
      <c r="A160" s="6" t="s">
        <v>698</v>
      </c>
      <c r="B160" s="6" t="s">
        <v>788</v>
      </c>
      <c r="C160" s="6" t="s">
        <v>712</v>
      </c>
      <c r="D160" s="6">
        <v>74</v>
      </c>
      <c r="E160" s="6" t="s">
        <v>841</v>
      </c>
      <c r="F160" s="6" t="s">
        <v>842</v>
      </c>
      <c r="G160" s="6" t="s">
        <v>658</v>
      </c>
      <c r="H160" s="6" t="s">
        <v>529</v>
      </c>
      <c r="I160" s="6" t="s">
        <v>58</v>
      </c>
      <c r="J160" s="6"/>
      <c r="K160" s="6"/>
      <c r="L160" s="6"/>
      <c r="M160" s="13"/>
      <c r="N160" s="6"/>
      <c r="O160" s="6"/>
      <c r="P160" s="6"/>
      <c r="Q160" s="6"/>
    </row>
    <row r="161" spans="1:17" x14ac:dyDescent="0.3">
      <c r="A161" s="6" t="s">
        <v>698</v>
      </c>
      <c r="B161" s="6" t="s">
        <v>788</v>
      </c>
      <c r="C161" s="6" t="s">
        <v>712</v>
      </c>
      <c r="D161" s="6">
        <v>75</v>
      </c>
      <c r="E161" s="6" t="s">
        <v>841</v>
      </c>
      <c r="F161" s="6" t="s">
        <v>842</v>
      </c>
      <c r="G161" s="6" t="s">
        <v>659</v>
      </c>
      <c r="H161" s="6" t="s">
        <v>529</v>
      </c>
      <c r="I161" s="6" t="s">
        <v>58</v>
      </c>
      <c r="J161" s="6"/>
      <c r="K161" s="6"/>
      <c r="L161" s="6"/>
      <c r="M161" s="13"/>
      <c r="N161" s="6"/>
      <c r="O161" s="6"/>
      <c r="P161" s="6"/>
      <c r="Q161" s="6"/>
    </row>
    <row r="162" spans="1:17" x14ac:dyDescent="0.3">
      <c r="A162" s="6" t="s">
        <v>698</v>
      </c>
      <c r="B162" s="6" t="s">
        <v>788</v>
      </c>
      <c r="C162" s="6" t="s">
        <v>843</v>
      </c>
      <c r="D162" s="6">
        <v>198</v>
      </c>
      <c r="E162" s="6" t="s">
        <v>844</v>
      </c>
      <c r="F162" s="6" t="s">
        <v>845</v>
      </c>
      <c r="G162" s="6" t="s">
        <v>846</v>
      </c>
      <c r="H162" s="6" t="s">
        <v>847</v>
      </c>
      <c r="I162" s="6" t="s">
        <v>738</v>
      </c>
      <c r="J162" s="6"/>
      <c r="K162" s="6"/>
      <c r="L162" s="6"/>
      <c r="M162" s="13"/>
      <c r="N162" s="6"/>
      <c r="O162" s="6"/>
      <c r="P162" s="6"/>
      <c r="Q162" s="6"/>
    </row>
    <row r="163" spans="1:17" x14ac:dyDescent="0.3">
      <c r="A163" s="6" t="s">
        <v>698</v>
      </c>
      <c r="B163" s="6" t="s">
        <v>788</v>
      </c>
      <c r="C163" s="6" t="s">
        <v>843</v>
      </c>
      <c r="D163" s="6">
        <v>200</v>
      </c>
      <c r="E163" s="6" t="s">
        <v>848</v>
      </c>
      <c r="F163" s="6" t="s">
        <v>849</v>
      </c>
      <c r="G163" s="6" t="s">
        <v>846</v>
      </c>
      <c r="H163" s="6" t="s">
        <v>847</v>
      </c>
      <c r="I163" s="6" t="s">
        <v>738</v>
      </c>
      <c r="J163" s="6"/>
      <c r="K163" s="6"/>
      <c r="L163" s="6"/>
      <c r="M163" s="13"/>
      <c r="N163" s="6"/>
      <c r="O163" s="6"/>
      <c r="P163" s="6"/>
      <c r="Q163" s="6"/>
    </row>
    <row r="164" spans="1:17" x14ac:dyDescent="0.3">
      <c r="A164" s="6" t="s">
        <v>698</v>
      </c>
      <c r="B164" s="6" t="s">
        <v>788</v>
      </c>
      <c r="C164" s="6" t="s">
        <v>843</v>
      </c>
      <c r="D164" s="6">
        <v>202</v>
      </c>
      <c r="E164" s="6" t="s">
        <v>850</v>
      </c>
      <c r="F164" s="6" t="s">
        <v>851</v>
      </c>
      <c r="G164" s="6" t="s">
        <v>846</v>
      </c>
      <c r="H164" s="6" t="s">
        <v>847</v>
      </c>
      <c r="I164" s="6" t="s">
        <v>738</v>
      </c>
      <c r="J164" s="6"/>
      <c r="K164" s="6"/>
      <c r="L164" s="6"/>
      <c r="M164" s="13"/>
      <c r="N164" s="6"/>
      <c r="O164" s="6"/>
      <c r="P164" s="6"/>
      <c r="Q164" s="6"/>
    </row>
    <row r="165" spans="1:17" x14ac:dyDescent="0.3">
      <c r="A165" s="6" t="s">
        <v>698</v>
      </c>
      <c r="B165" s="6" t="s">
        <v>788</v>
      </c>
      <c r="C165" s="6" t="s">
        <v>843</v>
      </c>
      <c r="D165" s="6">
        <v>203</v>
      </c>
      <c r="E165" s="6" t="s">
        <v>852</v>
      </c>
      <c r="F165" s="6" t="s">
        <v>853</v>
      </c>
      <c r="G165" s="6" t="s">
        <v>528</v>
      </c>
      <c r="H165" s="6" t="s">
        <v>780</v>
      </c>
      <c r="I165" s="6" t="s">
        <v>738</v>
      </c>
      <c r="J165" s="6"/>
      <c r="K165" s="6"/>
      <c r="L165" s="6"/>
      <c r="M165" s="13"/>
      <c r="N165" s="6"/>
      <c r="O165" s="6"/>
      <c r="P165" s="6"/>
      <c r="Q165" s="6"/>
    </row>
    <row r="166" spans="1:17" x14ac:dyDescent="0.3">
      <c r="A166" s="6" t="s">
        <v>698</v>
      </c>
      <c r="B166" s="6" t="s">
        <v>788</v>
      </c>
      <c r="C166" s="6" t="s">
        <v>843</v>
      </c>
      <c r="D166" s="6">
        <v>204</v>
      </c>
      <c r="E166" s="6" t="s">
        <v>854</v>
      </c>
      <c r="F166" s="6" t="s">
        <v>855</v>
      </c>
      <c r="G166" s="6" t="s">
        <v>528</v>
      </c>
      <c r="H166" s="6" t="s">
        <v>780</v>
      </c>
      <c r="I166" s="6" t="s">
        <v>738</v>
      </c>
      <c r="J166" s="6"/>
      <c r="K166" s="6"/>
      <c r="L166" s="6"/>
      <c r="M166" s="13"/>
      <c r="N166" s="6"/>
      <c r="O166" s="6"/>
      <c r="P166" s="6"/>
      <c r="Q166" s="6"/>
    </row>
    <row r="167" spans="1:17" x14ac:dyDescent="0.3">
      <c r="A167" s="6" t="s">
        <v>698</v>
      </c>
      <c r="B167" s="6" t="s">
        <v>788</v>
      </c>
      <c r="C167" s="6" t="s">
        <v>843</v>
      </c>
      <c r="D167" s="6">
        <v>205</v>
      </c>
      <c r="E167" s="6" t="s">
        <v>856</v>
      </c>
      <c r="F167" s="6" t="s">
        <v>857</v>
      </c>
      <c r="G167" s="6" t="s">
        <v>528</v>
      </c>
      <c r="H167" s="6" t="s">
        <v>780</v>
      </c>
      <c r="I167" s="6" t="s">
        <v>738</v>
      </c>
      <c r="J167" s="6"/>
      <c r="K167" s="6"/>
      <c r="L167" s="6"/>
      <c r="M167" s="13"/>
      <c r="N167" s="6"/>
      <c r="O167" s="6"/>
      <c r="P167" s="6"/>
      <c r="Q167" s="6"/>
    </row>
    <row r="168" spans="1:17" x14ac:dyDescent="0.3">
      <c r="A168" s="6" t="s">
        <v>698</v>
      </c>
      <c r="B168" s="6" t="s">
        <v>788</v>
      </c>
      <c r="C168" s="6" t="s">
        <v>843</v>
      </c>
      <c r="D168" s="6">
        <v>211</v>
      </c>
      <c r="E168" s="6" t="s">
        <v>858</v>
      </c>
      <c r="F168" s="6" t="s">
        <v>859</v>
      </c>
      <c r="G168" s="6" t="s">
        <v>846</v>
      </c>
      <c r="H168" s="6" t="s">
        <v>847</v>
      </c>
      <c r="I168" s="6" t="s">
        <v>738</v>
      </c>
      <c r="J168" s="6"/>
      <c r="K168" s="6"/>
      <c r="L168" s="6"/>
      <c r="M168" s="13"/>
      <c r="N168" s="6"/>
      <c r="O168" s="6"/>
      <c r="P168" s="6"/>
      <c r="Q168" s="6"/>
    </row>
    <row r="169" spans="1:17" x14ac:dyDescent="0.3">
      <c r="A169" s="6" t="s">
        <v>698</v>
      </c>
      <c r="B169" s="6" t="s">
        <v>788</v>
      </c>
      <c r="C169" s="6" t="s">
        <v>843</v>
      </c>
      <c r="D169" s="6">
        <v>213</v>
      </c>
      <c r="E169" s="6" t="s">
        <v>860</v>
      </c>
      <c r="F169" s="6" t="s">
        <v>861</v>
      </c>
      <c r="G169" s="6" t="s">
        <v>846</v>
      </c>
      <c r="H169" s="6" t="s">
        <v>847</v>
      </c>
      <c r="I169" s="6" t="s">
        <v>738</v>
      </c>
      <c r="J169" s="6"/>
      <c r="K169" s="6"/>
      <c r="L169" s="6"/>
      <c r="M169" s="13"/>
      <c r="N169" s="6"/>
      <c r="O169" s="6"/>
      <c r="P169" s="6"/>
      <c r="Q169" s="6"/>
    </row>
    <row r="170" spans="1:17" x14ac:dyDescent="0.3">
      <c r="A170" s="6" t="s">
        <v>698</v>
      </c>
      <c r="B170" s="6" t="s">
        <v>788</v>
      </c>
      <c r="C170" s="6" t="s">
        <v>843</v>
      </c>
      <c r="D170" s="6">
        <v>215</v>
      </c>
      <c r="E170" s="6" t="s">
        <v>862</v>
      </c>
      <c r="F170" s="6" t="s">
        <v>863</v>
      </c>
      <c r="G170" s="6" t="s">
        <v>846</v>
      </c>
      <c r="H170" s="6" t="s">
        <v>847</v>
      </c>
      <c r="I170" s="6" t="s">
        <v>738</v>
      </c>
      <c r="J170" s="6"/>
      <c r="K170" s="6"/>
      <c r="L170" s="6"/>
      <c r="M170" s="13"/>
      <c r="N170" s="6"/>
      <c r="O170" s="6"/>
      <c r="P170" s="6"/>
      <c r="Q170" s="6"/>
    </row>
    <row r="171" spans="1:17" x14ac:dyDescent="0.3">
      <c r="A171" s="6" t="s">
        <v>698</v>
      </c>
      <c r="B171" s="6" t="s">
        <v>788</v>
      </c>
      <c r="C171" s="6" t="s">
        <v>864</v>
      </c>
      <c r="D171" s="6">
        <v>282</v>
      </c>
      <c r="E171" s="6" t="s">
        <v>865</v>
      </c>
      <c r="F171" s="6" t="s">
        <v>866</v>
      </c>
      <c r="G171" s="6" t="s">
        <v>528</v>
      </c>
      <c r="H171" s="6" t="s">
        <v>529</v>
      </c>
      <c r="I171" s="6" t="s">
        <v>738</v>
      </c>
      <c r="J171" s="6"/>
      <c r="K171" s="6"/>
      <c r="L171" s="6"/>
      <c r="M171" s="13"/>
      <c r="N171" s="6"/>
      <c r="O171" s="6"/>
      <c r="P171" s="6"/>
      <c r="Q171" s="6"/>
    </row>
    <row r="172" spans="1:17" x14ac:dyDescent="0.3">
      <c r="A172" s="6" t="s">
        <v>698</v>
      </c>
      <c r="B172" s="6" t="s">
        <v>788</v>
      </c>
      <c r="C172" s="6" t="s">
        <v>653</v>
      </c>
      <c r="D172" s="6">
        <v>13</v>
      </c>
      <c r="E172" s="6" t="s">
        <v>867</v>
      </c>
      <c r="F172" s="6" t="s">
        <v>868</v>
      </c>
      <c r="G172" s="6" t="s">
        <v>656</v>
      </c>
      <c r="H172" s="6" t="s">
        <v>529</v>
      </c>
      <c r="I172" s="6" t="s">
        <v>58</v>
      </c>
      <c r="J172" s="6"/>
      <c r="K172" s="6"/>
      <c r="L172" s="6"/>
      <c r="M172" s="13"/>
      <c r="N172" s="6"/>
      <c r="O172" s="6"/>
      <c r="P172" s="6"/>
      <c r="Q172" s="6"/>
    </row>
    <row r="173" spans="1:17" x14ac:dyDescent="0.3">
      <c r="A173" s="6" t="s">
        <v>698</v>
      </c>
      <c r="B173" s="6" t="s">
        <v>788</v>
      </c>
      <c r="C173" s="6" t="s">
        <v>653</v>
      </c>
      <c r="D173" s="6">
        <v>11</v>
      </c>
      <c r="E173" s="6" t="s">
        <v>867</v>
      </c>
      <c r="F173" s="6" t="s">
        <v>868</v>
      </c>
      <c r="G173" s="6" t="s">
        <v>658</v>
      </c>
      <c r="H173" s="6" t="s">
        <v>529</v>
      </c>
      <c r="I173" s="6" t="s">
        <v>58</v>
      </c>
      <c r="J173" s="6"/>
      <c r="K173" s="6"/>
      <c r="L173" s="6"/>
      <c r="M173" s="13"/>
      <c r="N173" s="6"/>
      <c r="O173" s="6"/>
      <c r="P173" s="6"/>
      <c r="Q173" s="6"/>
    </row>
    <row r="174" spans="1:17" x14ac:dyDescent="0.3">
      <c r="A174" s="6" t="s">
        <v>698</v>
      </c>
      <c r="B174" s="6" t="s">
        <v>788</v>
      </c>
      <c r="C174" s="6" t="s">
        <v>653</v>
      </c>
      <c r="D174" s="6">
        <v>12</v>
      </c>
      <c r="E174" s="6" t="s">
        <v>867</v>
      </c>
      <c r="F174" s="6" t="s">
        <v>868</v>
      </c>
      <c r="G174" s="6" t="s">
        <v>659</v>
      </c>
      <c r="H174" s="6" t="s">
        <v>529</v>
      </c>
      <c r="I174" s="6" t="s">
        <v>58</v>
      </c>
      <c r="J174" s="6"/>
      <c r="K174" s="6"/>
      <c r="L174" s="6"/>
      <c r="M174" s="13"/>
      <c r="N174" s="6"/>
      <c r="O174" s="6"/>
      <c r="P174" s="6"/>
      <c r="Q174" s="6"/>
    </row>
    <row r="175" spans="1:17" x14ac:dyDescent="0.3">
      <c r="A175" s="6" t="s">
        <v>698</v>
      </c>
      <c r="B175" s="6" t="s">
        <v>788</v>
      </c>
      <c r="C175" s="6" t="s">
        <v>653</v>
      </c>
      <c r="D175" s="6">
        <v>23</v>
      </c>
      <c r="E175" s="6" t="s">
        <v>869</v>
      </c>
      <c r="F175" s="6" t="s">
        <v>870</v>
      </c>
      <c r="G175" s="6" t="s">
        <v>656</v>
      </c>
      <c r="H175" s="6" t="s">
        <v>529</v>
      </c>
      <c r="I175" s="6" t="s">
        <v>58</v>
      </c>
      <c r="J175" s="6"/>
      <c r="K175" s="6"/>
      <c r="L175" s="6"/>
      <c r="M175" s="13"/>
      <c r="N175" s="6"/>
      <c r="O175" s="6"/>
      <c r="P175" s="6"/>
      <c r="Q175" s="6"/>
    </row>
    <row r="176" spans="1:17" x14ac:dyDescent="0.3">
      <c r="A176" s="6" t="s">
        <v>698</v>
      </c>
      <c r="B176" s="6" t="s">
        <v>788</v>
      </c>
      <c r="C176" s="6" t="s">
        <v>653</v>
      </c>
      <c r="D176" s="6">
        <v>21</v>
      </c>
      <c r="E176" s="6" t="s">
        <v>869</v>
      </c>
      <c r="F176" s="6" t="s">
        <v>870</v>
      </c>
      <c r="G176" s="6" t="s">
        <v>658</v>
      </c>
      <c r="H176" s="6" t="s">
        <v>529</v>
      </c>
      <c r="I176" s="6" t="s">
        <v>58</v>
      </c>
      <c r="J176" s="6"/>
      <c r="K176" s="6"/>
      <c r="L176" s="6"/>
      <c r="M176" s="13"/>
      <c r="N176" s="6"/>
      <c r="O176" s="6"/>
      <c r="P176" s="6"/>
      <c r="Q176" s="6"/>
    </row>
    <row r="177" spans="1:17" x14ac:dyDescent="0.3">
      <c r="A177" s="6" t="s">
        <v>698</v>
      </c>
      <c r="B177" s="6" t="s">
        <v>788</v>
      </c>
      <c r="C177" s="6" t="s">
        <v>653</v>
      </c>
      <c r="D177" s="6">
        <v>22</v>
      </c>
      <c r="E177" s="6" t="s">
        <v>869</v>
      </c>
      <c r="F177" s="6" t="s">
        <v>870</v>
      </c>
      <c r="G177" s="6" t="s">
        <v>659</v>
      </c>
      <c r="H177" s="6" t="s">
        <v>529</v>
      </c>
      <c r="I177" s="6" t="s">
        <v>58</v>
      </c>
      <c r="J177" s="6"/>
      <c r="K177" s="6"/>
      <c r="L177" s="6"/>
      <c r="M177" s="13"/>
      <c r="N177" s="6"/>
      <c r="O177" s="6"/>
      <c r="P177" s="6"/>
      <c r="Q177" s="6"/>
    </row>
    <row r="178" spans="1:17" x14ac:dyDescent="0.3">
      <c r="A178" s="6" t="s">
        <v>698</v>
      </c>
      <c r="B178" s="6" t="s">
        <v>788</v>
      </c>
      <c r="C178" s="6" t="s">
        <v>653</v>
      </c>
      <c r="D178" s="6">
        <v>33</v>
      </c>
      <c r="E178" s="6" t="s">
        <v>871</v>
      </c>
      <c r="F178" s="6" t="s">
        <v>872</v>
      </c>
      <c r="G178" s="6" t="s">
        <v>656</v>
      </c>
      <c r="H178" s="6" t="s">
        <v>529</v>
      </c>
      <c r="I178" s="6" t="s">
        <v>58</v>
      </c>
      <c r="J178" s="6"/>
      <c r="K178" s="6"/>
      <c r="L178" s="6"/>
      <c r="M178" s="13"/>
      <c r="N178" s="6"/>
      <c r="O178" s="6"/>
      <c r="P178" s="6"/>
      <c r="Q178" s="6"/>
    </row>
    <row r="179" spans="1:17" x14ac:dyDescent="0.3">
      <c r="A179" s="6" t="s">
        <v>698</v>
      </c>
      <c r="B179" s="6" t="s">
        <v>788</v>
      </c>
      <c r="C179" s="6" t="s">
        <v>653</v>
      </c>
      <c r="D179" s="6">
        <v>31</v>
      </c>
      <c r="E179" s="6" t="s">
        <v>871</v>
      </c>
      <c r="F179" s="6" t="s">
        <v>872</v>
      </c>
      <c r="G179" s="6" t="s">
        <v>658</v>
      </c>
      <c r="H179" s="6" t="s">
        <v>529</v>
      </c>
      <c r="I179" s="6" t="s">
        <v>58</v>
      </c>
      <c r="J179" s="6"/>
      <c r="K179" s="6"/>
      <c r="L179" s="6"/>
      <c r="M179" s="13"/>
      <c r="N179" s="6"/>
      <c r="O179" s="6"/>
      <c r="P179" s="6"/>
      <c r="Q179" s="6"/>
    </row>
    <row r="180" spans="1:17" x14ac:dyDescent="0.3">
      <c r="A180" s="6" t="s">
        <v>698</v>
      </c>
      <c r="B180" s="6" t="s">
        <v>788</v>
      </c>
      <c r="C180" s="6" t="s">
        <v>653</v>
      </c>
      <c r="D180" s="6">
        <v>32</v>
      </c>
      <c r="E180" s="6" t="s">
        <v>871</v>
      </c>
      <c r="F180" s="6" t="s">
        <v>872</v>
      </c>
      <c r="G180" s="6" t="s">
        <v>659</v>
      </c>
      <c r="H180" s="6" t="s">
        <v>529</v>
      </c>
      <c r="I180" s="6" t="s">
        <v>58</v>
      </c>
      <c r="J180" s="6"/>
      <c r="K180" s="6"/>
      <c r="L180" s="6"/>
      <c r="M180" s="13"/>
      <c r="N180" s="6"/>
      <c r="O180" s="6"/>
      <c r="P180" s="6"/>
      <c r="Q180" s="6"/>
    </row>
    <row r="181" spans="1:17" x14ac:dyDescent="0.3">
      <c r="A181" s="6" t="s">
        <v>698</v>
      </c>
      <c r="B181" s="6" t="s">
        <v>873</v>
      </c>
      <c r="C181" s="6" t="s">
        <v>874</v>
      </c>
      <c r="D181" s="6">
        <v>278</v>
      </c>
      <c r="E181" s="6" t="s">
        <v>875</v>
      </c>
      <c r="F181" s="6" t="s">
        <v>876</v>
      </c>
      <c r="G181" s="6" t="s">
        <v>877</v>
      </c>
      <c r="H181" s="6" t="s">
        <v>529</v>
      </c>
      <c r="I181" s="6" t="s">
        <v>738</v>
      </c>
      <c r="J181" s="6"/>
      <c r="K181" s="6"/>
      <c r="L181" s="6"/>
      <c r="M181" s="13"/>
      <c r="N181" s="6"/>
      <c r="O181" s="6"/>
      <c r="P181" s="6"/>
      <c r="Q181" s="6"/>
    </row>
    <row r="182" spans="1:17" x14ac:dyDescent="0.3">
      <c r="A182" s="6" t="s">
        <v>698</v>
      </c>
      <c r="B182" s="6" t="s">
        <v>873</v>
      </c>
      <c r="C182" s="6" t="s">
        <v>874</v>
      </c>
      <c r="D182" s="6">
        <v>280</v>
      </c>
      <c r="E182" s="6" t="s">
        <v>878</v>
      </c>
      <c r="F182" s="6" t="s">
        <v>879</v>
      </c>
      <c r="G182" s="6" t="s">
        <v>528</v>
      </c>
      <c r="H182" s="6" t="s">
        <v>529</v>
      </c>
      <c r="I182" s="6" t="s">
        <v>738</v>
      </c>
      <c r="J182" s="6"/>
      <c r="K182" s="6"/>
      <c r="L182" s="6"/>
      <c r="M182" s="13"/>
      <c r="N182" s="6"/>
      <c r="O182" s="6"/>
      <c r="P182" s="6"/>
      <c r="Q182" s="6"/>
    </row>
  </sheetData>
  <autoFilter ref="A1:Q182" xr:uid="{031B5F36-76F6-46CB-AAFD-DD157D92E011}"/>
  <conditionalFormatting sqref="J1:J1048576">
    <cfRule type="cellIs" dxfId="5" priority="1" operator="equal">
      <formula>"Sí"</formula>
    </cfRule>
    <cfRule type="cellIs" dxfId="4" priority="2" operator="equal">
      <formula>"Pendiente"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C349-FE69-4249-9C0D-07165BCEADB1}">
  <dimension ref="A1:J182"/>
  <sheetViews>
    <sheetView workbookViewId="0">
      <pane ySplit="1" topLeftCell="A2" activePane="bottomLeft" state="frozen"/>
      <selection pane="bottomLeft"/>
    </sheetView>
  </sheetViews>
  <sheetFormatPr baseColWidth="10" defaultColWidth="8.6640625" defaultRowHeight="15" x14ac:dyDescent="0.3"/>
  <cols>
    <col min="1" max="1" width="14.5546875" style="6" bestFit="1" customWidth="1"/>
    <col min="2" max="2" width="17.5546875" style="6" bestFit="1" customWidth="1"/>
    <col min="3" max="3" width="20.88671875" style="13" bestFit="1" customWidth="1"/>
    <col min="4" max="4" width="50.5546875" style="6" customWidth="1"/>
    <col min="5" max="5" width="11.109375" style="7" bestFit="1" customWidth="1"/>
    <col min="6" max="6" width="12" style="13" bestFit="1" customWidth="1"/>
    <col min="7" max="7" width="16.109375" style="6" bestFit="1" customWidth="1"/>
    <col min="8" max="8" width="11.5546875" style="7" bestFit="1" customWidth="1"/>
    <col min="9" max="9" width="42.33203125" style="7" bestFit="1" customWidth="1"/>
    <col min="10" max="10" width="50.5546875" style="6" customWidth="1"/>
    <col min="11" max="16384" width="8.6640625" style="6"/>
  </cols>
  <sheetData>
    <row r="1" spans="1:10" s="11" customFormat="1" ht="30" x14ac:dyDescent="0.3">
      <c r="A1" s="5" t="s">
        <v>3</v>
      </c>
      <c r="B1" s="5" t="s">
        <v>17</v>
      </c>
      <c r="C1" s="5" t="s">
        <v>880</v>
      </c>
      <c r="D1" s="5" t="s">
        <v>881</v>
      </c>
      <c r="E1" s="4" t="s">
        <v>19</v>
      </c>
      <c r="F1" s="4" t="s">
        <v>519</v>
      </c>
      <c r="G1" s="4" t="s">
        <v>520</v>
      </c>
      <c r="H1" s="8" t="s">
        <v>521</v>
      </c>
      <c r="I1" s="9" t="s">
        <v>522</v>
      </c>
      <c r="J1" s="5" t="s">
        <v>523</v>
      </c>
    </row>
    <row r="2" spans="1:10" x14ac:dyDescent="0.3">
      <c r="A2" s="6" t="s">
        <v>698</v>
      </c>
      <c r="B2" s="6" t="s">
        <v>788</v>
      </c>
      <c r="C2" s="13">
        <v>0</v>
      </c>
      <c r="D2" s="6" t="s">
        <v>882</v>
      </c>
      <c r="E2" s="6" t="s">
        <v>122</v>
      </c>
      <c r="F2" s="13" t="s">
        <v>883</v>
      </c>
      <c r="G2" s="6" t="s">
        <v>618</v>
      </c>
      <c r="H2" s="6" t="s">
        <v>616</v>
      </c>
      <c r="I2" s="6" t="s">
        <v>748</v>
      </c>
    </row>
    <row r="3" spans="1:10" x14ac:dyDescent="0.3">
      <c r="A3" s="6" t="s">
        <v>698</v>
      </c>
      <c r="B3" s="6" t="s">
        <v>788</v>
      </c>
      <c r="C3" s="13">
        <v>0</v>
      </c>
      <c r="D3" s="6" t="s">
        <v>121</v>
      </c>
      <c r="E3" s="6" t="s">
        <v>122</v>
      </c>
      <c r="F3" s="13" t="s">
        <v>747</v>
      </c>
      <c r="G3" s="6" t="s">
        <v>618</v>
      </c>
      <c r="H3" s="6" t="s">
        <v>616</v>
      </c>
      <c r="I3" s="6" t="s">
        <v>748</v>
      </c>
    </row>
    <row r="4" spans="1:10" x14ac:dyDescent="0.3">
      <c r="A4" s="6" t="s">
        <v>664</v>
      </c>
      <c r="C4" s="13">
        <v>0</v>
      </c>
      <c r="D4" s="6" t="s">
        <v>884</v>
      </c>
      <c r="E4" s="6" t="s">
        <v>138</v>
      </c>
      <c r="F4" s="13">
        <v>2023</v>
      </c>
      <c r="G4" s="6" t="s">
        <v>640</v>
      </c>
      <c r="H4" s="6" t="s">
        <v>616</v>
      </c>
      <c r="I4" s="6" t="s">
        <v>885</v>
      </c>
      <c r="J4" s="6" t="s">
        <v>886</v>
      </c>
    </row>
    <row r="5" spans="1:10" x14ac:dyDescent="0.3">
      <c r="A5" s="6" t="s">
        <v>664</v>
      </c>
      <c r="C5" s="13">
        <v>0</v>
      </c>
      <c r="D5" s="6" t="s">
        <v>887</v>
      </c>
      <c r="E5" s="6" t="s">
        <v>138</v>
      </c>
      <c r="F5" s="13">
        <v>2023</v>
      </c>
      <c r="G5" s="6" t="s">
        <v>640</v>
      </c>
      <c r="H5" s="6" t="s">
        <v>616</v>
      </c>
      <c r="I5" s="6" t="s">
        <v>885</v>
      </c>
      <c r="J5" s="6" t="s">
        <v>886</v>
      </c>
    </row>
    <row r="6" spans="1:10" x14ac:dyDescent="0.3">
      <c r="A6" s="6" t="s">
        <v>643</v>
      </c>
      <c r="B6" s="6" t="s">
        <v>888</v>
      </c>
      <c r="C6" s="13">
        <v>0</v>
      </c>
      <c r="D6" s="6" t="s">
        <v>889</v>
      </c>
      <c r="E6" s="6" t="s">
        <v>138</v>
      </c>
      <c r="F6" s="13">
        <v>2023</v>
      </c>
      <c r="G6" s="6" t="s">
        <v>640</v>
      </c>
      <c r="H6" s="6" t="s">
        <v>616</v>
      </c>
      <c r="I6" s="6" t="s">
        <v>885</v>
      </c>
      <c r="J6" s="6" t="s">
        <v>890</v>
      </c>
    </row>
    <row r="7" spans="1:10" x14ac:dyDescent="0.3">
      <c r="A7" s="6" t="s">
        <v>643</v>
      </c>
      <c r="B7" s="6" t="s">
        <v>888</v>
      </c>
      <c r="C7" s="14">
        <v>0</v>
      </c>
      <c r="D7" s="6" t="s">
        <v>142</v>
      </c>
      <c r="E7" s="6" t="s">
        <v>138</v>
      </c>
      <c r="F7" s="13">
        <v>2023</v>
      </c>
      <c r="G7" s="6" t="s">
        <v>640</v>
      </c>
      <c r="H7" s="6" t="s">
        <v>616</v>
      </c>
      <c r="I7" s="6" t="s">
        <v>885</v>
      </c>
      <c r="J7" s="6" t="s">
        <v>890</v>
      </c>
    </row>
    <row r="8" spans="1:10" x14ac:dyDescent="0.3">
      <c r="A8" s="6" t="s">
        <v>699</v>
      </c>
      <c r="B8" s="6" t="s">
        <v>707</v>
      </c>
      <c r="C8" s="13">
        <v>0</v>
      </c>
      <c r="D8" s="6" t="s">
        <v>891</v>
      </c>
      <c r="E8" s="6" t="s">
        <v>892</v>
      </c>
      <c r="F8" s="13" t="s">
        <v>893</v>
      </c>
      <c r="G8" s="6" t="s">
        <v>894</v>
      </c>
      <c r="H8" s="6" t="s">
        <v>616</v>
      </c>
      <c r="I8" s="6" t="s">
        <v>895</v>
      </c>
      <c r="J8" s="6" t="s">
        <v>896</v>
      </c>
    </row>
    <row r="9" spans="1:10" x14ac:dyDescent="0.3">
      <c r="A9" s="6" t="s">
        <v>524</v>
      </c>
      <c r="B9" s="6" t="s">
        <v>897</v>
      </c>
      <c r="C9" s="13">
        <v>1</v>
      </c>
      <c r="D9" s="6" t="s">
        <v>898</v>
      </c>
      <c r="E9" s="6" t="s">
        <v>899</v>
      </c>
      <c r="F9" s="13">
        <v>2023</v>
      </c>
      <c r="G9" s="6" t="s">
        <v>618</v>
      </c>
      <c r="H9" s="6" t="s">
        <v>616</v>
      </c>
      <c r="I9" s="15" t="s">
        <v>900</v>
      </c>
    </row>
    <row r="10" spans="1:10" x14ac:dyDescent="0.3">
      <c r="H10" s="6"/>
      <c r="I10" s="6"/>
    </row>
    <row r="11" spans="1:10" x14ac:dyDescent="0.3">
      <c r="H11" s="6"/>
      <c r="I11" s="6"/>
    </row>
    <row r="12" spans="1:10" x14ac:dyDescent="0.3">
      <c r="H12" s="6"/>
      <c r="I12" s="6"/>
    </row>
    <row r="13" spans="1:10" x14ac:dyDescent="0.3">
      <c r="H13" s="6"/>
      <c r="I13" s="6"/>
    </row>
    <row r="14" spans="1:10" x14ac:dyDescent="0.3">
      <c r="H14" s="6"/>
      <c r="I14" s="6"/>
    </row>
    <row r="15" spans="1:10" x14ac:dyDescent="0.3">
      <c r="H15" s="6"/>
      <c r="I15" s="6"/>
    </row>
    <row r="16" spans="1:10" x14ac:dyDescent="0.3">
      <c r="H16" s="6"/>
      <c r="I16" s="6"/>
    </row>
    <row r="17" spans="8:9" x14ac:dyDescent="0.3">
      <c r="H17" s="6"/>
      <c r="I17" s="6"/>
    </row>
    <row r="18" spans="8:9" x14ac:dyDescent="0.3">
      <c r="H18" s="6"/>
      <c r="I18" s="6"/>
    </row>
    <row r="19" spans="8:9" x14ac:dyDescent="0.3">
      <c r="H19" s="6"/>
      <c r="I19" s="6"/>
    </row>
    <row r="20" spans="8:9" x14ac:dyDescent="0.3">
      <c r="H20" s="6"/>
      <c r="I20" s="6"/>
    </row>
    <row r="21" spans="8:9" x14ac:dyDescent="0.3">
      <c r="H21" s="6"/>
      <c r="I21" s="6"/>
    </row>
    <row r="22" spans="8:9" x14ac:dyDescent="0.3">
      <c r="H22" s="6"/>
      <c r="I22" s="6"/>
    </row>
    <row r="23" spans="8:9" x14ac:dyDescent="0.3">
      <c r="H23" s="6"/>
      <c r="I23" s="6"/>
    </row>
    <row r="24" spans="8:9" x14ac:dyDescent="0.3">
      <c r="H24" s="6"/>
      <c r="I24" s="6"/>
    </row>
    <row r="25" spans="8:9" x14ac:dyDescent="0.3">
      <c r="H25" s="6"/>
      <c r="I25" s="6"/>
    </row>
    <row r="26" spans="8:9" x14ac:dyDescent="0.3">
      <c r="H26" s="6"/>
      <c r="I26" s="6"/>
    </row>
    <row r="27" spans="8:9" x14ac:dyDescent="0.3">
      <c r="H27" s="6"/>
      <c r="I27" s="6"/>
    </row>
    <row r="28" spans="8:9" x14ac:dyDescent="0.3">
      <c r="H28" s="6"/>
      <c r="I28" s="6"/>
    </row>
    <row r="29" spans="8:9" x14ac:dyDescent="0.3">
      <c r="H29" s="6"/>
      <c r="I29" s="6"/>
    </row>
    <row r="30" spans="8:9" x14ac:dyDescent="0.3">
      <c r="H30" s="6"/>
      <c r="I30" s="6"/>
    </row>
    <row r="31" spans="8:9" x14ac:dyDescent="0.3">
      <c r="H31" s="6"/>
      <c r="I31" s="6"/>
    </row>
    <row r="32" spans="8:9" x14ac:dyDescent="0.3">
      <c r="H32" s="6"/>
      <c r="I32" s="6"/>
    </row>
    <row r="33" spans="8:9" x14ac:dyDescent="0.3">
      <c r="H33" s="6"/>
      <c r="I33" s="6"/>
    </row>
    <row r="34" spans="8:9" x14ac:dyDescent="0.3">
      <c r="H34" s="6"/>
      <c r="I34" s="6"/>
    </row>
    <row r="35" spans="8:9" x14ac:dyDescent="0.3">
      <c r="H35" s="6"/>
      <c r="I35" s="6"/>
    </row>
    <row r="36" spans="8:9" x14ac:dyDescent="0.3">
      <c r="H36" s="6"/>
      <c r="I36" s="6"/>
    </row>
    <row r="37" spans="8:9" x14ac:dyDescent="0.3">
      <c r="H37" s="6"/>
      <c r="I37" s="6"/>
    </row>
    <row r="38" spans="8:9" x14ac:dyDescent="0.3">
      <c r="H38" s="6"/>
      <c r="I38" s="6"/>
    </row>
    <row r="39" spans="8:9" x14ac:dyDescent="0.3">
      <c r="H39" s="6"/>
      <c r="I39" s="6"/>
    </row>
    <row r="40" spans="8:9" x14ac:dyDescent="0.3">
      <c r="H40" s="6"/>
      <c r="I40" s="6"/>
    </row>
    <row r="41" spans="8:9" x14ac:dyDescent="0.3">
      <c r="H41" s="6"/>
      <c r="I41" s="6"/>
    </row>
    <row r="42" spans="8:9" x14ac:dyDescent="0.3">
      <c r="H42" s="6"/>
      <c r="I42" s="6"/>
    </row>
    <row r="43" spans="8:9" x14ac:dyDescent="0.3">
      <c r="H43" s="6"/>
      <c r="I43" s="6"/>
    </row>
    <row r="44" spans="8:9" x14ac:dyDescent="0.3">
      <c r="H44" s="6"/>
      <c r="I44" s="6"/>
    </row>
    <row r="45" spans="8:9" x14ac:dyDescent="0.3">
      <c r="H45" s="6"/>
      <c r="I45" s="6"/>
    </row>
    <row r="46" spans="8:9" x14ac:dyDescent="0.3">
      <c r="H46" s="6"/>
      <c r="I46" s="6"/>
    </row>
    <row r="47" spans="8:9" x14ac:dyDescent="0.3">
      <c r="H47" s="6"/>
      <c r="I47" s="6"/>
    </row>
    <row r="48" spans="8:9" x14ac:dyDescent="0.3">
      <c r="H48" s="6"/>
      <c r="I48" s="6"/>
    </row>
    <row r="49" spans="8:9" x14ac:dyDescent="0.3">
      <c r="H49" s="6"/>
      <c r="I49" s="6"/>
    </row>
    <row r="50" spans="8:9" x14ac:dyDescent="0.3">
      <c r="H50" s="6"/>
      <c r="I50" s="6"/>
    </row>
    <row r="51" spans="8:9" x14ac:dyDescent="0.3">
      <c r="H51" s="6"/>
      <c r="I51" s="6"/>
    </row>
    <row r="52" spans="8:9" x14ac:dyDescent="0.3">
      <c r="H52" s="6"/>
      <c r="I52" s="6"/>
    </row>
    <row r="53" spans="8:9" x14ac:dyDescent="0.3">
      <c r="H53" s="6"/>
      <c r="I53" s="6"/>
    </row>
    <row r="54" spans="8:9" x14ac:dyDescent="0.3">
      <c r="H54" s="6"/>
      <c r="I54" s="6"/>
    </row>
    <row r="55" spans="8:9" x14ac:dyDescent="0.3">
      <c r="H55" s="6"/>
      <c r="I55" s="6"/>
    </row>
    <row r="56" spans="8:9" x14ac:dyDescent="0.3">
      <c r="H56" s="6"/>
      <c r="I56" s="6"/>
    </row>
    <row r="57" spans="8:9" x14ac:dyDescent="0.3">
      <c r="H57" s="6"/>
      <c r="I57" s="6"/>
    </row>
    <row r="58" spans="8:9" x14ac:dyDescent="0.3">
      <c r="H58" s="6"/>
      <c r="I58" s="6"/>
    </row>
    <row r="59" spans="8:9" x14ac:dyDescent="0.3">
      <c r="H59" s="6"/>
      <c r="I59" s="6"/>
    </row>
    <row r="60" spans="8:9" x14ac:dyDescent="0.3">
      <c r="H60" s="6"/>
      <c r="I60" s="6"/>
    </row>
    <row r="61" spans="8:9" x14ac:dyDescent="0.3">
      <c r="H61" s="6"/>
      <c r="I61" s="6"/>
    </row>
    <row r="62" spans="8:9" x14ac:dyDescent="0.3">
      <c r="H62" s="6"/>
      <c r="I62" s="6"/>
    </row>
    <row r="63" spans="8:9" x14ac:dyDescent="0.3">
      <c r="H63" s="6"/>
      <c r="I63" s="6"/>
    </row>
    <row r="64" spans="8:9" x14ac:dyDescent="0.3">
      <c r="H64" s="6"/>
      <c r="I64" s="6"/>
    </row>
    <row r="65" spans="8:9" x14ac:dyDescent="0.3">
      <c r="H65" s="6"/>
      <c r="I65" s="6"/>
    </row>
    <row r="66" spans="8:9" x14ac:dyDescent="0.3">
      <c r="H66" s="6"/>
      <c r="I66" s="6"/>
    </row>
    <row r="67" spans="8:9" x14ac:dyDescent="0.3">
      <c r="H67" s="6"/>
      <c r="I67" s="6"/>
    </row>
    <row r="68" spans="8:9" x14ac:dyDescent="0.3">
      <c r="H68" s="6"/>
      <c r="I68" s="6"/>
    </row>
    <row r="69" spans="8:9" x14ac:dyDescent="0.3">
      <c r="H69" s="6"/>
      <c r="I69" s="6"/>
    </row>
    <row r="70" spans="8:9" x14ac:dyDescent="0.3">
      <c r="H70" s="6"/>
      <c r="I70" s="6"/>
    </row>
    <row r="71" spans="8:9" x14ac:dyDescent="0.3">
      <c r="H71" s="6"/>
      <c r="I71" s="6"/>
    </row>
    <row r="72" spans="8:9" x14ac:dyDescent="0.3">
      <c r="H72" s="6"/>
      <c r="I72" s="6"/>
    </row>
    <row r="73" spans="8:9" x14ac:dyDescent="0.3">
      <c r="H73" s="6"/>
      <c r="I73" s="6"/>
    </row>
    <row r="74" spans="8:9" x14ac:dyDescent="0.3">
      <c r="H74" s="6"/>
      <c r="I74" s="6"/>
    </row>
    <row r="75" spans="8:9" x14ac:dyDescent="0.3">
      <c r="H75" s="6"/>
      <c r="I75" s="6"/>
    </row>
    <row r="76" spans="8:9" x14ac:dyDescent="0.3">
      <c r="H76" s="6"/>
      <c r="I76" s="6"/>
    </row>
    <row r="77" spans="8:9" x14ac:dyDescent="0.3">
      <c r="H77" s="6"/>
      <c r="I77" s="6"/>
    </row>
    <row r="78" spans="8:9" x14ac:dyDescent="0.3">
      <c r="H78" s="6"/>
      <c r="I78" s="6"/>
    </row>
    <row r="79" spans="8:9" x14ac:dyDescent="0.3">
      <c r="H79" s="6"/>
      <c r="I79" s="6"/>
    </row>
    <row r="80" spans="8:9" x14ac:dyDescent="0.3">
      <c r="H80" s="6"/>
      <c r="I80" s="6"/>
    </row>
    <row r="81" spans="8:9" x14ac:dyDescent="0.3">
      <c r="H81" s="6"/>
      <c r="I81" s="6"/>
    </row>
    <row r="82" spans="8:9" x14ac:dyDescent="0.3">
      <c r="H82" s="6"/>
      <c r="I82" s="6"/>
    </row>
    <row r="83" spans="8:9" x14ac:dyDescent="0.3">
      <c r="H83" s="6"/>
      <c r="I83" s="6"/>
    </row>
    <row r="84" spans="8:9" x14ac:dyDescent="0.3">
      <c r="H84" s="6"/>
      <c r="I84" s="6"/>
    </row>
    <row r="85" spans="8:9" x14ac:dyDescent="0.3">
      <c r="H85" s="6"/>
      <c r="I85" s="6"/>
    </row>
    <row r="86" spans="8:9" x14ac:dyDescent="0.3">
      <c r="H86" s="6"/>
      <c r="I86" s="6"/>
    </row>
    <row r="87" spans="8:9" x14ac:dyDescent="0.3">
      <c r="H87" s="6"/>
      <c r="I87" s="6"/>
    </row>
    <row r="88" spans="8:9" x14ac:dyDescent="0.3">
      <c r="H88" s="6"/>
      <c r="I88" s="6"/>
    </row>
    <row r="89" spans="8:9" x14ac:dyDescent="0.3">
      <c r="H89" s="6"/>
      <c r="I89" s="6"/>
    </row>
    <row r="90" spans="8:9" x14ac:dyDescent="0.3">
      <c r="H90" s="6"/>
      <c r="I90" s="6"/>
    </row>
    <row r="91" spans="8:9" x14ac:dyDescent="0.3">
      <c r="H91" s="6"/>
      <c r="I91" s="6"/>
    </row>
    <row r="92" spans="8:9" x14ac:dyDescent="0.3">
      <c r="H92" s="6"/>
      <c r="I92" s="6"/>
    </row>
    <row r="93" spans="8:9" x14ac:dyDescent="0.3">
      <c r="H93" s="6"/>
      <c r="I93" s="6"/>
    </row>
    <row r="94" spans="8:9" x14ac:dyDescent="0.3">
      <c r="H94" s="6"/>
      <c r="I94" s="6"/>
    </row>
    <row r="95" spans="8:9" x14ac:dyDescent="0.3">
      <c r="H95" s="6"/>
      <c r="I95" s="6"/>
    </row>
    <row r="96" spans="8:9" x14ac:dyDescent="0.3">
      <c r="H96" s="6"/>
      <c r="I96" s="6"/>
    </row>
    <row r="97" spans="8:9" x14ac:dyDescent="0.3">
      <c r="H97" s="6"/>
      <c r="I97" s="6"/>
    </row>
    <row r="98" spans="8:9" x14ac:dyDescent="0.3">
      <c r="H98" s="6"/>
      <c r="I98" s="6"/>
    </row>
    <row r="99" spans="8:9" x14ac:dyDescent="0.3">
      <c r="H99" s="6"/>
      <c r="I99" s="6"/>
    </row>
    <row r="100" spans="8:9" x14ac:dyDescent="0.3">
      <c r="H100" s="6"/>
      <c r="I100" s="6"/>
    </row>
    <row r="101" spans="8:9" x14ac:dyDescent="0.3">
      <c r="H101" s="6"/>
      <c r="I101" s="6"/>
    </row>
    <row r="102" spans="8:9" x14ac:dyDescent="0.3">
      <c r="H102" s="6"/>
      <c r="I102" s="6"/>
    </row>
    <row r="103" spans="8:9" x14ac:dyDescent="0.3">
      <c r="H103" s="6"/>
      <c r="I103" s="6"/>
    </row>
    <row r="104" spans="8:9" x14ac:dyDescent="0.3">
      <c r="H104" s="6"/>
      <c r="I104" s="6"/>
    </row>
    <row r="105" spans="8:9" x14ac:dyDescent="0.3">
      <c r="H105" s="6"/>
      <c r="I105" s="6"/>
    </row>
    <row r="106" spans="8:9" x14ac:dyDescent="0.3">
      <c r="H106" s="6"/>
      <c r="I106" s="6"/>
    </row>
    <row r="107" spans="8:9" x14ac:dyDescent="0.3">
      <c r="H107" s="6"/>
      <c r="I107" s="6"/>
    </row>
    <row r="108" spans="8:9" x14ac:dyDescent="0.3">
      <c r="H108" s="6" t="s">
        <v>745</v>
      </c>
      <c r="I108" s="6" t="s">
        <v>748</v>
      </c>
    </row>
    <row r="109" spans="8:9" x14ac:dyDescent="0.3">
      <c r="H109" s="6"/>
      <c r="I109" s="6"/>
    </row>
    <row r="110" spans="8:9" x14ac:dyDescent="0.3">
      <c r="H110" s="6"/>
      <c r="I110" s="6"/>
    </row>
    <row r="111" spans="8:9" x14ac:dyDescent="0.3">
      <c r="H111" s="6"/>
      <c r="I111" s="6"/>
    </row>
    <row r="112" spans="8:9" x14ac:dyDescent="0.3">
      <c r="H112" s="6"/>
      <c r="I112" s="6"/>
    </row>
    <row r="113" spans="8:9" x14ac:dyDescent="0.3">
      <c r="H113" s="6"/>
      <c r="I113" s="6"/>
    </row>
    <row r="114" spans="8:9" x14ac:dyDescent="0.3">
      <c r="H114" s="6" t="s">
        <v>745</v>
      </c>
      <c r="I114" s="6" t="s">
        <v>748</v>
      </c>
    </row>
    <row r="115" spans="8:9" x14ac:dyDescent="0.3">
      <c r="H115" s="6"/>
      <c r="I115" s="6"/>
    </row>
    <row r="116" spans="8:9" x14ac:dyDescent="0.3">
      <c r="H116" s="6"/>
      <c r="I116" s="6"/>
    </row>
    <row r="117" spans="8:9" x14ac:dyDescent="0.3">
      <c r="H117" s="6"/>
      <c r="I117" s="6"/>
    </row>
    <row r="118" spans="8:9" x14ac:dyDescent="0.3">
      <c r="H118" s="6"/>
      <c r="I118" s="6"/>
    </row>
    <row r="119" spans="8:9" x14ac:dyDescent="0.3">
      <c r="H119" s="6"/>
      <c r="I119" s="6"/>
    </row>
    <row r="120" spans="8:9" x14ac:dyDescent="0.3">
      <c r="H120" s="6"/>
      <c r="I120" s="6"/>
    </row>
    <row r="121" spans="8:9" x14ac:dyDescent="0.3">
      <c r="H121" s="6"/>
      <c r="I121" s="6"/>
    </row>
    <row r="122" spans="8:9" x14ac:dyDescent="0.3">
      <c r="H122" s="6"/>
      <c r="I122" s="6"/>
    </row>
    <row r="123" spans="8:9" x14ac:dyDescent="0.3">
      <c r="H123" s="6"/>
      <c r="I123" s="6"/>
    </row>
    <row r="124" spans="8:9" x14ac:dyDescent="0.3">
      <c r="H124" s="6"/>
      <c r="I124" s="6"/>
    </row>
    <row r="125" spans="8:9" x14ac:dyDescent="0.3">
      <c r="H125" s="6" t="s">
        <v>745</v>
      </c>
      <c r="I125" s="6" t="s">
        <v>748</v>
      </c>
    </row>
    <row r="126" spans="8:9" x14ac:dyDescent="0.3">
      <c r="H126" s="6"/>
      <c r="I126" s="6"/>
    </row>
    <row r="127" spans="8:9" x14ac:dyDescent="0.3">
      <c r="H127" s="6"/>
      <c r="I127" s="6"/>
    </row>
    <row r="128" spans="8:9" x14ac:dyDescent="0.3">
      <c r="H128" s="6"/>
      <c r="I128" s="6"/>
    </row>
    <row r="129" spans="8:9" x14ac:dyDescent="0.3">
      <c r="H129" s="6"/>
      <c r="I129" s="6"/>
    </row>
    <row r="130" spans="8:9" x14ac:dyDescent="0.3">
      <c r="H130" s="6"/>
      <c r="I130" s="6"/>
    </row>
    <row r="131" spans="8:9" x14ac:dyDescent="0.3">
      <c r="H131" s="6"/>
      <c r="I131" s="6"/>
    </row>
    <row r="132" spans="8:9" x14ac:dyDescent="0.3">
      <c r="H132" s="6" t="s">
        <v>745</v>
      </c>
      <c r="I132" s="6" t="s">
        <v>691</v>
      </c>
    </row>
    <row r="133" spans="8:9" x14ac:dyDescent="0.3">
      <c r="H133" s="6"/>
      <c r="I133" s="6"/>
    </row>
    <row r="134" spans="8:9" x14ac:dyDescent="0.3">
      <c r="H134" s="6"/>
      <c r="I134" s="6"/>
    </row>
    <row r="135" spans="8:9" x14ac:dyDescent="0.3">
      <c r="H135" s="6"/>
      <c r="I135" s="6"/>
    </row>
    <row r="136" spans="8:9" x14ac:dyDescent="0.3">
      <c r="H136" s="6"/>
      <c r="I136" s="6"/>
    </row>
    <row r="137" spans="8:9" x14ac:dyDescent="0.3">
      <c r="H137" s="6"/>
      <c r="I137" s="6"/>
    </row>
    <row r="138" spans="8:9" x14ac:dyDescent="0.3">
      <c r="H138" s="6"/>
      <c r="I138" s="6"/>
    </row>
    <row r="139" spans="8:9" x14ac:dyDescent="0.3">
      <c r="H139" s="6"/>
      <c r="I139" s="6"/>
    </row>
    <row r="140" spans="8:9" x14ac:dyDescent="0.3">
      <c r="H140" s="6"/>
      <c r="I140" s="6"/>
    </row>
    <row r="141" spans="8:9" x14ac:dyDescent="0.3">
      <c r="H141" s="6"/>
      <c r="I141" s="6"/>
    </row>
    <row r="142" spans="8:9" x14ac:dyDescent="0.3">
      <c r="H142" s="6"/>
      <c r="I142" s="6"/>
    </row>
    <row r="143" spans="8:9" x14ac:dyDescent="0.3">
      <c r="H143" s="6"/>
      <c r="I143" s="6"/>
    </row>
    <row r="144" spans="8:9" x14ac:dyDescent="0.3">
      <c r="H144" s="6"/>
      <c r="I144" s="6"/>
    </row>
    <row r="145" spans="8:9" x14ac:dyDescent="0.3">
      <c r="H145" s="6" t="s">
        <v>745</v>
      </c>
      <c r="I145" s="6" t="s">
        <v>748</v>
      </c>
    </row>
    <row r="146" spans="8:9" x14ac:dyDescent="0.3">
      <c r="H146" s="6"/>
      <c r="I146" s="6"/>
    </row>
    <row r="147" spans="8:9" x14ac:dyDescent="0.3">
      <c r="H147" s="6" t="s">
        <v>745</v>
      </c>
      <c r="I147" s="6" t="s">
        <v>748</v>
      </c>
    </row>
    <row r="148" spans="8:9" x14ac:dyDescent="0.3">
      <c r="H148" s="6"/>
      <c r="I148" s="6"/>
    </row>
    <row r="149" spans="8:9" x14ac:dyDescent="0.3">
      <c r="H149" s="6"/>
      <c r="I149" s="6"/>
    </row>
    <row r="150" spans="8:9" x14ac:dyDescent="0.3">
      <c r="H150" s="6"/>
      <c r="I150" s="6"/>
    </row>
    <row r="151" spans="8:9" x14ac:dyDescent="0.3">
      <c r="H151" s="6"/>
      <c r="I151" s="6"/>
    </row>
    <row r="152" spans="8:9" x14ac:dyDescent="0.3">
      <c r="H152" s="6"/>
      <c r="I152" s="6"/>
    </row>
    <row r="153" spans="8:9" x14ac:dyDescent="0.3">
      <c r="H153" s="6"/>
      <c r="I153" s="6"/>
    </row>
    <row r="154" spans="8:9" x14ac:dyDescent="0.3">
      <c r="H154" s="6"/>
      <c r="I154" s="6"/>
    </row>
    <row r="155" spans="8:9" x14ac:dyDescent="0.3">
      <c r="H155" s="6"/>
      <c r="I155" s="6"/>
    </row>
    <row r="156" spans="8:9" x14ac:dyDescent="0.3">
      <c r="H156" s="6"/>
      <c r="I156" s="6"/>
    </row>
    <row r="157" spans="8:9" x14ac:dyDescent="0.3">
      <c r="H157" s="6"/>
      <c r="I157" s="6"/>
    </row>
    <row r="158" spans="8:9" x14ac:dyDescent="0.3">
      <c r="H158" s="6"/>
      <c r="I158" s="6"/>
    </row>
    <row r="159" spans="8:9" x14ac:dyDescent="0.3">
      <c r="H159" s="6"/>
      <c r="I159" s="6"/>
    </row>
    <row r="160" spans="8:9" x14ac:dyDescent="0.3">
      <c r="H160" s="6"/>
      <c r="I160" s="6"/>
    </row>
    <row r="161" spans="8:9" x14ac:dyDescent="0.3">
      <c r="H161" s="6"/>
      <c r="I161" s="6"/>
    </row>
    <row r="162" spans="8:9" x14ac:dyDescent="0.3">
      <c r="H162" s="6"/>
      <c r="I162" s="6"/>
    </row>
    <row r="163" spans="8:9" x14ac:dyDescent="0.3">
      <c r="H163" s="6"/>
      <c r="I163" s="6"/>
    </row>
    <row r="164" spans="8:9" x14ac:dyDescent="0.3">
      <c r="H164" s="6"/>
      <c r="I164" s="6"/>
    </row>
    <row r="165" spans="8:9" x14ac:dyDescent="0.3">
      <c r="H165" s="6"/>
      <c r="I165" s="6"/>
    </row>
    <row r="166" spans="8:9" x14ac:dyDescent="0.3">
      <c r="H166" s="6"/>
      <c r="I166" s="6"/>
    </row>
    <row r="167" spans="8:9" x14ac:dyDescent="0.3">
      <c r="H167" s="6"/>
      <c r="I167" s="6"/>
    </row>
    <row r="168" spans="8:9" x14ac:dyDescent="0.3">
      <c r="H168" s="6"/>
      <c r="I168" s="6"/>
    </row>
    <row r="169" spans="8:9" x14ac:dyDescent="0.3">
      <c r="H169" s="6"/>
      <c r="I169" s="6"/>
    </row>
    <row r="170" spans="8:9" x14ac:dyDescent="0.3">
      <c r="H170" s="6"/>
      <c r="I170" s="6"/>
    </row>
    <row r="171" spans="8:9" x14ac:dyDescent="0.3">
      <c r="H171" s="6"/>
      <c r="I171" s="6"/>
    </row>
    <row r="172" spans="8:9" x14ac:dyDescent="0.3">
      <c r="H172" s="6"/>
      <c r="I172" s="6"/>
    </row>
    <row r="173" spans="8:9" x14ac:dyDescent="0.3">
      <c r="H173" s="6"/>
      <c r="I173" s="6"/>
    </row>
    <row r="174" spans="8:9" x14ac:dyDescent="0.3">
      <c r="H174" s="6"/>
      <c r="I174" s="6"/>
    </row>
    <row r="175" spans="8:9" x14ac:dyDescent="0.3">
      <c r="H175" s="6"/>
      <c r="I175" s="6"/>
    </row>
    <row r="176" spans="8:9" x14ac:dyDescent="0.3">
      <c r="H176" s="6"/>
      <c r="I176" s="6"/>
    </row>
    <row r="177" spans="8:9" x14ac:dyDescent="0.3">
      <c r="H177" s="6"/>
      <c r="I177" s="6"/>
    </row>
    <row r="178" spans="8:9" x14ac:dyDescent="0.3">
      <c r="H178" s="6"/>
      <c r="I178" s="6"/>
    </row>
    <row r="179" spans="8:9" x14ac:dyDescent="0.3">
      <c r="H179" s="6"/>
      <c r="I179" s="6"/>
    </row>
    <row r="180" spans="8:9" x14ac:dyDescent="0.3">
      <c r="H180" s="6"/>
      <c r="I180" s="6"/>
    </row>
    <row r="181" spans="8:9" x14ac:dyDescent="0.3">
      <c r="H181" s="6"/>
      <c r="I181" s="6"/>
    </row>
    <row r="182" spans="8:9" x14ac:dyDescent="0.3">
      <c r="H182" s="6"/>
      <c r="I182" s="6"/>
    </row>
  </sheetData>
  <autoFilter ref="A1:J2" xr:uid="{4A59C349-FE69-4249-9C0D-07165BCEADB1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85BD-F41C-46B2-AB03-BF0AB93534F9}">
  <dimension ref="A1:P221"/>
  <sheetViews>
    <sheetView zoomScale="65" zoomScaleNormal="100" workbookViewId="0">
      <pane ySplit="1" topLeftCell="A205" activePane="bottomLeft" state="frozen"/>
      <selection pane="bottomLeft" activeCell="E185" sqref="E185"/>
    </sheetView>
  </sheetViews>
  <sheetFormatPr baseColWidth="10" defaultColWidth="8.6640625" defaultRowHeight="15" x14ac:dyDescent="0.3"/>
  <cols>
    <col min="1" max="1" width="24.109375" style="6" bestFit="1" customWidth="1"/>
    <col min="2" max="2" width="24.109375" style="6" customWidth="1"/>
    <col min="3" max="3" width="52.5546875" style="6" customWidth="1"/>
    <col min="4" max="4" width="76.33203125" style="6" bestFit="1" customWidth="1"/>
    <col min="5" max="5" width="16.109375" style="6" customWidth="1"/>
    <col min="6" max="6" width="128.5546875" style="6" bestFit="1" customWidth="1"/>
    <col min="7" max="7" width="24.109375" style="6" bestFit="1" customWidth="1"/>
    <col min="8" max="8" width="15" style="6" bestFit="1" customWidth="1"/>
    <col min="9" max="9" width="47.109375" style="6" customWidth="1"/>
    <col min="10" max="10" width="11.109375" style="6" bestFit="1" customWidth="1"/>
    <col min="11" max="11" width="12" style="13" bestFit="1" customWidth="1"/>
    <col min="12" max="12" width="13.109375" style="13" bestFit="1" customWidth="1"/>
    <col min="13" max="13" width="16.109375" style="6" bestFit="1" customWidth="1"/>
    <col min="14" max="14" width="11.5546875" style="6" bestFit="1" customWidth="1"/>
    <col min="15" max="15" width="42.33203125" style="7" bestFit="1" customWidth="1"/>
    <col min="16" max="16" width="50.5546875" style="31" customWidth="1"/>
    <col min="17" max="16384" width="8.6640625" style="6"/>
  </cols>
  <sheetData>
    <row r="1" spans="1:16" s="11" customFormat="1" ht="32.1" customHeight="1" x14ac:dyDescent="0.3">
      <c r="A1" s="26" t="s">
        <v>901</v>
      </c>
      <c r="B1" s="26" t="s">
        <v>902</v>
      </c>
      <c r="C1" s="5" t="s">
        <v>17</v>
      </c>
      <c r="D1" s="5" t="s">
        <v>903</v>
      </c>
      <c r="E1" s="5" t="s">
        <v>20</v>
      </c>
      <c r="F1" s="5" t="s">
        <v>904</v>
      </c>
      <c r="G1" s="26" t="s">
        <v>901</v>
      </c>
      <c r="H1" s="26" t="s">
        <v>18</v>
      </c>
      <c r="I1" s="26" t="s">
        <v>15</v>
      </c>
      <c r="J1" s="4" t="s">
        <v>19</v>
      </c>
      <c r="K1" s="4" t="s">
        <v>519</v>
      </c>
      <c r="L1" s="27" t="s">
        <v>905</v>
      </c>
      <c r="M1" s="4" t="s">
        <v>520</v>
      </c>
      <c r="N1" s="8" t="s">
        <v>906</v>
      </c>
      <c r="O1" s="9" t="s">
        <v>522</v>
      </c>
      <c r="P1" s="5" t="s">
        <v>523</v>
      </c>
    </row>
    <row r="2" spans="1:16" x14ac:dyDescent="0.3">
      <c r="A2" s="6" t="s">
        <v>220</v>
      </c>
      <c r="B2" s="6" t="s">
        <v>907</v>
      </c>
      <c r="C2" s="6" t="s">
        <v>55</v>
      </c>
      <c r="D2" s="6" t="s">
        <v>908</v>
      </c>
      <c r="G2" s="6" t="s">
        <v>220</v>
      </c>
      <c r="N2" s="6" t="s">
        <v>776</v>
      </c>
      <c r="O2" s="6"/>
    </row>
    <row r="3" spans="1:16" ht="45" x14ac:dyDescent="0.3">
      <c r="A3" s="6" t="s">
        <v>220</v>
      </c>
      <c r="B3" s="6" t="s">
        <v>907</v>
      </c>
      <c r="C3" s="6" t="s">
        <v>55</v>
      </c>
      <c r="D3" s="6" t="s">
        <v>909</v>
      </c>
      <c r="G3" s="6" t="s">
        <v>220</v>
      </c>
      <c r="N3" s="6" t="s">
        <v>621</v>
      </c>
      <c r="O3" s="6"/>
      <c r="P3" s="31" t="s">
        <v>910</v>
      </c>
    </row>
    <row r="4" spans="1:16" x14ac:dyDescent="0.3">
      <c r="A4" s="6" t="s">
        <v>220</v>
      </c>
      <c r="B4" s="6" t="s">
        <v>907</v>
      </c>
      <c r="G4" s="6" t="s">
        <v>220</v>
      </c>
      <c r="K4" s="6"/>
      <c r="O4" s="31"/>
    </row>
    <row r="5" spans="1:16" ht="30" x14ac:dyDescent="0.3">
      <c r="A5" s="6" t="s">
        <v>220</v>
      </c>
      <c r="B5" s="6" t="s">
        <v>907</v>
      </c>
      <c r="C5" s="6" t="s">
        <v>89</v>
      </c>
      <c r="D5" s="6" t="s">
        <v>98</v>
      </c>
      <c r="F5" s="13"/>
      <c r="G5" s="6" t="s">
        <v>220</v>
      </c>
      <c r="J5" s="6" t="s">
        <v>138</v>
      </c>
      <c r="K5" s="6" t="s">
        <v>911</v>
      </c>
      <c r="M5" s="6" t="s">
        <v>640</v>
      </c>
      <c r="N5" s="6" t="s">
        <v>745</v>
      </c>
      <c r="O5" s="31" t="s">
        <v>912</v>
      </c>
    </row>
    <row r="6" spans="1:16" ht="30" x14ac:dyDescent="0.3">
      <c r="A6" s="6" t="s">
        <v>220</v>
      </c>
      <c r="B6" s="6" t="s">
        <v>907</v>
      </c>
      <c r="C6" s="6" t="s">
        <v>89</v>
      </c>
      <c r="D6" s="6" t="s">
        <v>100</v>
      </c>
      <c r="F6" s="13"/>
      <c r="G6" s="6" t="s">
        <v>220</v>
      </c>
      <c r="J6" s="6" t="s">
        <v>138</v>
      </c>
      <c r="K6" s="6" t="s">
        <v>911</v>
      </c>
      <c r="M6" s="6" t="s">
        <v>640</v>
      </c>
      <c r="N6" s="6" t="s">
        <v>745</v>
      </c>
      <c r="O6" s="31" t="s">
        <v>913</v>
      </c>
    </row>
    <row r="7" spans="1:16" ht="30" x14ac:dyDescent="0.3">
      <c r="A7" s="6" t="s">
        <v>220</v>
      </c>
      <c r="B7" s="6" t="s">
        <v>907</v>
      </c>
      <c r="C7" s="6" t="s">
        <v>89</v>
      </c>
      <c r="D7" s="6" t="s">
        <v>102</v>
      </c>
      <c r="F7" s="13"/>
      <c r="G7" s="6" t="s">
        <v>220</v>
      </c>
      <c r="J7" s="6" t="s">
        <v>138</v>
      </c>
      <c r="K7" s="6" t="s">
        <v>911</v>
      </c>
      <c r="M7" s="6" t="s">
        <v>640</v>
      </c>
      <c r="N7" s="6" t="s">
        <v>745</v>
      </c>
      <c r="O7" s="31" t="s">
        <v>914</v>
      </c>
    </row>
    <row r="8" spans="1:16" ht="30" x14ac:dyDescent="0.3">
      <c r="A8" s="6" t="s">
        <v>220</v>
      </c>
      <c r="B8" s="6" t="s">
        <v>907</v>
      </c>
      <c r="C8" s="6" t="s">
        <v>89</v>
      </c>
      <c r="D8" s="6" t="s">
        <v>104</v>
      </c>
      <c r="F8" s="13"/>
      <c r="G8" s="6" t="s">
        <v>220</v>
      </c>
      <c r="J8" s="6" t="s">
        <v>138</v>
      </c>
      <c r="K8" s="6" t="s">
        <v>911</v>
      </c>
      <c r="M8" s="6" t="s">
        <v>640</v>
      </c>
      <c r="N8" s="6" t="s">
        <v>745</v>
      </c>
      <c r="O8" s="31" t="s">
        <v>915</v>
      </c>
    </row>
    <row r="9" spans="1:16" x14ac:dyDescent="0.3">
      <c r="A9" s="6" t="s">
        <v>220</v>
      </c>
      <c r="B9" s="6" t="s">
        <v>907</v>
      </c>
      <c r="C9" s="6" t="s">
        <v>27</v>
      </c>
      <c r="D9" s="6" t="s">
        <v>916</v>
      </c>
      <c r="F9" s="6" t="s">
        <v>917</v>
      </c>
      <c r="G9" s="6" t="s">
        <v>220</v>
      </c>
      <c r="J9" s="6" t="s">
        <v>918</v>
      </c>
      <c r="K9" s="13" t="s">
        <v>919</v>
      </c>
      <c r="M9" s="6" t="s">
        <v>618</v>
      </c>
      <c r="N9" s="6" t="s">
        <v>745</v>
      </c>
      <c r="O9" s="28" t="s">
        <v>920</v>
      </c>
      <c r="P9" t="s">
        <v>45</v>
      </c>
    </row>
    <row r="10" spans="1:16" ht="45" x14ac:dyDescent="0.3">
      <c r="A10" s="6" t="s">
        <v>220</v>
      </c>
      <c r="B10" s="6" t="s">
        <v>907</v>
      </c>
      <c r="C10" s="6" t="s">
        <v>27</v>
      </c>
      <c r="D10" s="6" t="s">
        <v>921</v>
      </c>
      <c r="F10" s="10" t="s">
        <v>110</v>
      </c>
      <c r="G10" s="6" t="s">
        <v>220</v>
      </c>
      <c r="J10" s="10" t="s">
        <v>922</v>
      </c>
      <c r="K10" s="13" t="s">
        <v>24</v>
      </c>
      <c r="M10" s="6" t="s">
        <v>618</v>
      </c>
      <c r="N10" s="6" t="s">
        <v>745</v>
      </c>
      <c r="O10" s="6" t="s">
        <v>923</v>
      </c>
    </row>
    <row r="11" spans="1:16" ht="45" x14ac:dyDescent="0.3">
      <c r="A11" s="6" t="s">
        <v>220</v>
      </c>
      <c r="B11" s="6" t="s">
        <v>907</v>
      </c>
      <c r="C11" s="6" t="s">
        <v>27</v>
      </c>
      <c r="D11" s="6" t="s">
        <v>924</v>
      </c>
      <c r="G11" s="6" t="s">
        <v>220</v>
      </c>
      <c r="N11" s="6" t="s">
        <v>621</v>
      </c>
      <c r="O11" s="28"/>
      <c r="P11" s="31" t="s">
        <v>925</v>
      </c>
    </row>
    <row r="12" spans="1:16" ht="75" x14ac:dyDescent="0.3">
      <c r="A12" s="6" t="s">
        <v>220</v>
      </c>
      <c r="B12" s="6" t="s">
        <v>907</v>
      </c>
      <c r="C12" s="6" t="s">
        <v>143</v>
      </c>
      <c r="D12" s="6" t="s">
        <v>889</v>
      </c>
      <c r="F12" s="6" t="s">
        <v>889</v>
      </c>
      <c r="G12" s="6" t="s">
        <v>220</v>
      </c>
      <c r="J12" s="6" t="s">
        <v>148</v>
      </c>
      <c r="K12" s="13" t="s">
        <v>649</v>
      </c>
      <c r="M12" s="6" t="s">
        <v>618</v>
      </c>
      <c r="N12" s="6" t="s">
        <v>745</v>
      </c>
      <c r="O12" s="28" t="s">
        <v>650</v>
      </c>
      <c r="P12" s="31" t="s">
        <v>926</v>
      </c>
    </row>
    <row r="13" spans="1:16" ht="28.5" customHeight="1" x14ac:dyDescent="0.3">
      <c r="A13" s="6" t="s">
        <v>220</v>
      </c>
      <c r="B13" s="6" t="s">
        <v>907</v>
      </c>
      <c r="C13" s="6" t="s">
        <v>143</v>
      </c>
      <c r="D13" s="6" t="s">
        <v>927</v>
      </c>
      <c r="G13" s="6" t="s">
        <v>220</v>
      </c>
      <c r="N13" s="6" t="s">
        <v>621</v>
      </c>
      <c r="O13" s="32"/>
      <c r="P13" s="31" t="s">
        <v>928</v>
      </c>
    </row>
    <row r="14" spans="1:16" ht="28.5" customHeight="1" x14ac:dyDescent="0.3">
      <c r="A14" s="6" t="s">
        <v>220</v>
      </c>
      <c r="B14" s="6" t="s">
        <v>907</v>
      </c>
      <c r="C14" s="6" t="s">
        <v>143</v>
      </c>
      <c r="D14" s="6" t="s">
        <v>929</v>
      </c>
      <c r="F14" s="6" t="s">
        <v>930</v>
      </c>
      <c r="G14" s="6" t="s">
        <v>220</v>
      </c>
      <c r="J14" s="6" t="s">
        <v>148</v>
      </c>
      <c r="K14" s="13" t="s">
        <v>649</v>
      </c>
      <c r="M14" s="6" t="s">
        <v>618</v>
      </c>
      <c r="N14" s="6" t="s">
        <v>745</v>
      </c>
      <c r="O14" s="28" t="s">
        <v>650</v>
      </c>
      <c r="P14" s="31" t="s">
        <v>931</v>
      </c>
    </row>
    <row r="15" spans="1:16" ht="28.5" customHeight="1" x14ac:dyDescent="0.3">
      <c r="A15" s="6" t="s">
        <v>220</v>
      </c>
      <c r="B15" s="6" t="s">
        <v>907</v>
      </c>
      <c r="C15" s="6" t="s">
        <v>143</v>
      </c>
      <c r="D15" s="6" t="s">
        <v>929</v>
      </c>
      <c r="F15" s="6" t="s">
        <v>932</v>
      </c>
      <c r="G15" s="6" t="s">
        <v>220</v>
      </c>
      <c r="J15" s="6" t="s">
        <v>148</v>
      </c>
      <c r="K15" s="13" t="s">
        <v>649</v>
      </c>
      <c r="M15" s="6" t="s">
        <v>618</v>
      </c>
      <c r="N15" s="6" t="s">
        <v>745</v>
      </c>
      <c r="O15" s="28" t="s">
        <v>650</v>
      </c>
      <c r="P15" s="31" t="s">
        <v>933</v>
      </c>
    </row>
    <row r="16" spans="1:16" ht="28.5" customHeight="1" x14ac:dyDescent="0.3">
      <c r="A16" s="6" t="s">
        <v>220</v>
      </c>
      <c r="B16" s="6" t="s">
        <v>907</v>
      </c>
      <c r="C16" s="6" t="s">
        <v>118</v>
      </c>
      <c r="D16" s="6" t="s">
        <v>934</v>
      </c>
      <c r="F16" s="6" t="s">
        <v>232</v>
      </c>
      <c r="G16" s="6" t="s">
        <v>220</v>
      </c>
      <c r="J16" s="6" t="s">
        <v>119</v>
      </c>
      <c r="K16" s="13" t="s">
        <v>935</v>
      </c>
      <c r="M16" s="6" t="s">
        <v>618</v>
      </c>
      <c r="N16" s="6" t="s">
        <v>745</v>
      </c>
      <c r="O16" s="28" t="s">
        <v>936</v>
      </c>
    </row>
    <row r="17" spans="1:16" ht="28.5" customHeight="1" x14ac:dyDescent="0.3">
      <c r="A17" s="6" t="s">
        <v>220</v>
      </c>
      <c r="B17" s="6" t="s">
        <v>907</v>
      </c>
      <c r="C17" s="6" t="s">
        <v>118</v>
      </c>
      <c r="D17" s="6" t="s">
        <v>937</v>
      </c>
      <c r="F17" s="6" t="s">
        <v>117</v>
      </c>
      <c r="G17" s="6" t="s">
        <v>220</v>
      </c>
      <c r="J17" s="6" t="s">
        <v>188</v>
      </c>
      <c r="K17" s="13">
        <v>2025</v>
      </c>
      <c r="M17" s="6" t="s">
        <v>618</v>
      </c>
      <c r="N17" s="6" t="s">
        <v>745</v>
      </c>
      <c r="O17" s="28" t="s">
        <v>936</v>
      </c>
      <c r="P17" s="31" t="s">
        <v>938</v>
      </c>
    </row>
    <row r="18" spans="1:16" ht="28.5" customHeight="1" x14ac:dyDescent="0.3">
      <c r="A18" s="6" t="s">
        <v>220</v>
      </c>
      <c r="B18" s="6" t="s">
        <v>907</v>
      </c>
      <c r="C18" s="6" t="s">
        <v>106</v>
      </c>
      <c r="D18" s="6" t="s">
        <v>939</v>
      </c>
      <c r="F18" s="6" t="s">
        <v>105</v>
      </c>
      <c r="G18" s="6" t="s">
        <v>220</v>
      </c>
      <c r="J18" s="6" t="s">
        <v>127</v>
      </c>
      <c r="K18" s="13">
        <v>2023</v>
      </c>
      <c r="M18" s="6" t="s">
        <v>618</v>
      </c>
      <c r="N18" s="6" t="s">
        <v>745</v>
      </c>
      <c r="O18" s="28" t="s">
        <v>940</v>
      </c>
      <c r="P18" s="31" t="s">
        <v>941</v>
      </c>
    </row>
    <row r="19" spans="1:16" ht="28.5" customHeight="1" x14ac:dyDescent="0.3">
      <c r="A19" s="6" t="s">
        <v>220</v>
      </c>
      <c r="B19" s="6" t="s">
        <v>907</v>
      </c>
      <c r="C19" s="6" t="s">
        <v>106</v>
      </c>
      <c r="D19" s="6" t="s">
        <v>942</v>
      </c>
      <c r="F19" s="6" t="s">
        <v>943</v>
      </c>
      <c r="G19" s="6" t="s">
        <v>220</v>
      </c>
      <c r="J19" s="6" t="s">
        <v>127</v>
      </c>
      <c r="K19" s="13">
        <v>2023</v>
      </c>
      <c r="M19" s="6" t="s">
        <v>618</v>
      </c>
      <c r="N19" s="6" t="s">
        <v>745</v>
      </c>
      <c r="O19" s="28" t="s">
        <v>940</v>
      </c>
      <c r="P19" s="31" t="s">
        <v>944</v>
      </c>
    </row>
    <row r="20" spans="1:16" ht="28.5" customHeight="1" x14ac:dyDescent="0.3">
      <c r="A20" s="6" t="s">
        <v>220</v>
      </c>
      <c r="B20" s="6" t="s">
        <v>907</v>
      </c>
      <c r="C20" s="6" t="s">
        <v>106</v>
      </c>
      <c r="D20" s="6" t="s">
        <v>945</v>
      </c>
      <c r="F20" s="6" t="s">
        <v>946</v>
      </c>
      <c r="G20" s="6" t="s">
        <v>220</v>
      </c>
      <c r="J20" s="6" t="s">
        <v>947</v>
      </c>
      <c r="K20" s="13">
        <v>2023</v>
      </c>
      <c r="M20" s="6" t="s">
        <v>618</v>
      </c>
      <c r="N20" s="6" t="s">
        <v>745</v>
      </c>
      <c r="O20" s="28" t="s">
        <v>940</v>
      </c>
      <c r="P20" s="31" t="s">
        <v>948</v>
      </c>
    </row>
    <row r="21" spans="1:16" ht="104.25" customHeight="1" x14ac:dyDescent="0.3">
      <c r="A21" s="6" t="s">
        <v>220</v>
      </c>
      <c r="B21" s="6" t="s">
        <v>907</v>
      </c>
      <c r="C21" s="6" t="s">
        <v>106</v>
      </c>
      <c r="D21" s="6" t="s">
        <v>949</v>
      </c>
      <c r="F21" s="6" t="s">
        <v>950</v>
      </c>
      <c r="G21" s="6" t="s">
        <v>220</v>
      </c>
      <c r="J21" s="6" t="s">
        <v>951</v>
      </c>
      <c r="K21" s="13">
        <v>2023</v>
      </c>
      <c r="M21" s="6" t="s">
        <v>618</v>
      </c>
      <c r="N21" s="6" t="s">
        <v>745</v>
      </c>
      <c r="O21" s="28" t="s">
        <v>940</v>
      </c>
      <c r="P21" s="31" t="s">
        <v>952</v>
      </c>
    </row>
    <row r="22" spans="1:16" ht="108.75" customHeight="1" x14ac:dyDescent="0.3">
      <c r="A22" s="6" t="s">
        <v>220</v>
      </c>
      <c r="B22" s="6" t="s">
        <v>907</v>
      </c>
      <c r="C22" s="6" t="s">
        <v>106</v>
      </c>
      <c r="D22" s="6" t="s">
        <v>953</v>
      </c>
      <c r="F22" s="6" t="s">
        <v>954</v>
      </c>
      <c r="G22" s="6" t="s">
        <v>220</v>
      </c>
      <c r="J22" s="6" t="s">
        <v>955</v>
      </c>
      <c r="K22" s="13">
        <v>2024</v>
      </c>
      <c r="M22" s="6" t="s">
        <v>618</v>
      </c>
      <c r="N22" s="6" t="s">
        <v>745</v>
      </c>
      <c r="O22" s="28" t="s">
        <v>940</v>
      </c>
      <c r="P22" s="31" t="s">
        <v>956</v>
      </c>
    </row>
    <row r="23" spans="1:16" x14ac:dyDescent="0.3">
      <c r="A23" s="6" t="s">
        <v>220</v>
      </c>
      <c r="B23" s="6" t="s">
        <v>907</v>
      </c>
      <c r="C23" s="6" t="s">
        <v>43</v>
      </c>
      <c r="D23" s="6" t="s">
        <v>957</v>
      </c>
      <c r="F23" s="6" t="s">
        <v>61</v>
      </c>
      <c r="G23" s="6" t="s">
        <v>220</v>
      </c>
      <c r="J23" s="6" t="s">
        <v>44</v>
      </c>
      <c r="K23" s="13" t="s">
        <v>958</v>
      </c>
      <c r="M23" s="6" t="s">
        <v>618</v>
      </c>
      <c r="N23" s="6" t="s">
        <v>745</v>
      </c>
      <c r="O23" s="28" t="s">
        <v>959</v>
      </c>
    </row>
    <row r="24" spans="1:16" x14ac:dyDescent="0.3">
      <c r="A24" s="6" t="s">
        <v>220</v>
      </c>
      <c r="B24" s="6" t="s">
        <v>907</v>
      </c>
      <c r="C24" s="6" t="s">
        <v>43</v>
      </c>
      <c r="D24" s="6" t="s">
        <v>960</v>
      </c>
      <c r="F24" s="6" t="s">
        <v>86</v>
      </c>
      <c r="G24" s="6" t="s">
        <v>220</v>
      </c>
      <c r="J24" s="6" t="s">
        <v>44</v>
      </c>
      <c r="K24" s="13" t="s">
        <v>958</v>
      </c>
      <c r="M24" s="6" t="s">
        <v>618</v>
      </c>
      <c r="N24" s="6" t="s">
        <v>745</v>
      </c>
      <c r="O24" s="28" t="s">
        <v>961</v>
      </c>
    </row>
    <row r="25" spans="1:16" x14ac:dyDescent="0.3">
      <c r="A25" s="6" t="s">
        <v>220</v>
      </c>
      <c r="B25" s="6" t="s">
        <v>907</v>
      </c>
      <c r="C25" s="6" t="s">
        <v>43</v>
      </c>
      <c r="D25" s="6" t="s">
        <v>962</v>
      </c>
      <c r="F25" s="6" t="s">
        <v>40</v>
      </c>
      <c r="G25" s="6" t="s">
        <v>220</v>
      </c>
      <c r="J25" s="6" t="s">
        <v>44</v>
      </c>
      <c r="K25" s="13" t="s">
        <v>958</v>
      </c>
      <c r="M25" s="6" t="s">
        <v>618</v>
      </c>
      <c r="N25" s="6" t="s">
        <v>745</v>
      </c>
      <c r="O25" s="28" t="s">
        <v>963</v>
      </c>
    </row>
    <row r="26" spans="1:16" x14ac:dyDescent="0.3">
      <c r="A26" s="6" t="s">
        <v>220</v>
      </c>
      <c r="B26" s="6" t="s">
        <v>907</v>
      </c>
      <c r="C26" s="6" t="s">
        <v>43</v>
      </c>
      <c r="D26" s="6" t="s">
        <v>964</v>
      </c>
      <c r="F26" s="6" t="s">
        <v>59</v>
      </c>
      <c r="G26" s="6" t="s">
        <v>220</v>
      </c>
      <c r="J26" s="6" t="s">
        <v>44</v>
      </c>
      <c r="K26" s="13" t="s">
        <v>911</v>
      </c>
      <c r="M26" s="6" t="s">
        <v>618</v>
      </c>
      <c r="N26" s="6" t="s">
        <v>745</v>
      </c>
      <c r="O26" s="28" t="s">
        <v>965</v>
      </c>
    </row>
    <row r="27" spans="1:16" x14ac:dyDescent="0.3">
      <c r="A27" s="6" t="s">
        <v>220</v>
      </c>
      <c r="B27" s="6" t="s">
        <v>907</v>
      </c>
      <c r="C27" s="6" t="s">
        <v>43</v>
      </c>
      <c r="D27" s="6" t="s">
        <v>966</v>
      </c>
      <c r="F27" s="6" t="s">
        <v>47</v>
      </c>
      <c r="G27" s="6" t="s">
        <v>220</v>
      </c>
      <c r="J27" s="6" t="s">
        <v>44</v>
      </c>
      <c r="K27" s="13" t="s">
        <v>958</v>
      </c>
      <c r="M27" s="6" t="s">
        <v>618</v>
      </c>
      <c r="N27" s="6" t="s">
        <v>745</v>
      </c>
      <c r="O27" s="28" t="s">
        <v>967</v>
      </c>
    </row>
    <row r="28" spans="1:16" x14ac:dyDescent="0.3">
      <c r="A28" s="6" t="s">
        <v>220</v>
      </c>
      <c r="B28" s="6" t="s">
        <v>907</v>
      </c>
      <c r="C28" s="10" t="s">
        <v>64</v>
      </c>
      <c r="D28" s="6" t="s">
        <v>968</v>
      </c>
      <c r="F28" s="6" t="s">
        <v>504</v>
      </c>
      <c r="G28" s="6" t="s">
        <v>220</v>
      </c>
      <c r="J28" s="6" t="s">
        <v>947</v>
      </c>
      <c r="K28" s="13" t="s">
        <v>505</v>
      </c>
      <c r="M28" s="6" t="s">
        <v>618</v>
      </c>
      <c r="N28" s="6" t="s">
        <v>745</v>
      </c>
      <c r="O28" s="28" t="s">
        <v>940</v>
      </c>
      <c r="P28" s="31" t="s">
        <v>969</v>
      </c>
    </row>
    <row r="29" spans="1:16" x14ac:dyDescent="0.3">
      <c r="A29" s="6" t="s">
        <v>220</v>
      </c>
      <c r="B29" s="6" t="s">
        <v>907</v>
      </c>
      <c r="C29" s="10" t="s">
        <v>64</v>
      </c>
      <c r="D29" s="6" t="s">
        <v>970</v>
      </c>
      <c r="F29" s="6" t="s">
        <v>65</v>
      </c>
      <c r="G29" s="6" t="s">
        <v>220</v>
      </c>
      <c r="J29" s="6" t="s">
        <v>44</v>
      </c>
      <c r="K29" s="13" t="s">
        <v>971</v>
      </c>
      <c r="M29" s="6" t="s">
        <v>618</v>
      </c>
      <c r="N29" s="6" t="s">
        <v>745</v>
      </c>
      <c r="O29" s="28" t="s">
        <v>972</v>
      </c>
    </row>
    <row r="30" spans="1:16" x14ac:dyDescent="0.3">
      <c r="A30" s="6" t="s">
        <v>220</v>
      </c>
      <c r="B30" s="6" t="s">
        <v>907</v>
      </c>
      <c r="C30" s="10" t="s">
        <v>64</v>
      </c>
      <c r="D30" s="6" t="s">
        <v>973</v>
      </c>
      <c r="F30" s="6" t="s">
        <v>63</v>
      </c>
      <c r="G30" s="6" t="s">
        <v>220</v>
      </c>
      <c r="J30" s="6" t="s">
        <v>44</v>
      </c>
      <c r="K30" s="13" t="s">
        <v>971</v>
      </c>
      <c r="M30" s="6" t="s">
        <v>618</v>
      </c>
      <c r="N30" s="6" t="s">
        <v>745</v>
      </c>
      <c r="O30" s="28" t="s">
        <v>972</v>
      </c>
    </row>
    <row r="31" spans="1:16" x14ac:dyDescent="0.3">
      <c r="A31" s="6" t="s">
        <v>220</v>
      </c>
      <c r="B31" s="6" t="s">
        <v>907</v>
      </c>
      <c r="C31" s="10"/>
      <c r="G31" s="6" t="s">
        <v>220</v>
      </c>
      <c r="O31" s="28"/>
    </row>
    <row r="32" spans="1:16" x14ac:dyDescent="0.3">
      <c r="A32" s="6" t="s">
        <v>220</v>
      </c>
      <c r="B32" s="6" t="s">
        <v>907</v>
      </c>
      <c r="C32" s="10" t="s">
        <v>64</v>
      </c>
      <c r="D32" s="6" t="s">
        <v>974</v>
      </c>
      <c r="F32" s="6" t="s">
        <v>975</v>
      </c>
      <c r="G32" s="6" t="s">
        <v>220</v>
      </c>
      <c r="J32" s="6" t="s">
        <v>951</v>
      </c>
      <c r="K32" s="13">
        <v>2023</v>
      </c>
      <c r="M32" s="6" t="s">
        <v>618</v>
      </c>
      <c r="N32" s="6" t="s">
        <v>745</v>
      </c>
      <c r="O32" s="28" t="s">
        <v>940</v>
      </c>
      <c r="P32" s="31" t="s">
        <v>976</v>
      </c>
    </row>
    <row r="33" spans="1:16" ht="75" x14ac:dyDescent="0.3">
      <c r="A33" s="6" t="s">
        <v>220</v>
      </c>
      <c r="B33" s="6" t="s">
        <v>907</v>
      </c>
      <c r="C33" s="6" t="s">
        <v>147</v>
      </c>
      <c r="D33" s="6" t="s">
        <v>977</v>
      </c>
      <c r="F33" s="6" t="s">
        <v>977</v>
      </c>
      <c r="G33" s="6" t="s">
        <v>220</v>
      </c>
      <c r="J33" s="6" t="s">
        <v>148</v>
      </c>
      <c r="K33" s="13" t="s">
        <v>649</v>
      </c>
      <c r="M33" s="6" t="s">
        <v>618</v>
      </c>
      <c r="N33" s="6" t="s">
        <v>745</v>
      </c>
      <c r="O33" s="28" t="s">
        <v>650</v>
      </c>
      <c r="P33" s="31" t="s">
        <v>978</v>
      </c>
    </row>
    <row r="34" spans="1:16" ht="60" x14ac:dyDescent="0.3">
      <c r="A34" s="6" t="s">
        <v>220</v>
      </c>
      <c r="B34" s="6" t="s">
        <v>907</v>
      </c>
      <c r="C34" s="6" t="s">
        <v>147</v>
      </c>
      <c r="D34" s="6" t="s">
        <v>979</v>
      </c>
      <c r="F34" s="6" t="s">
        <v>979</v>
      </c>
      <c r="G34" s="6" t="s">
        <v>220</v>
      </c>
      <c r="J34" s="6" t="s">
        <v>148</v>
      </c>
      <c r="K34" s="13" t="s">
        <v>649</v>
      </c>
      <c r="M34" s="6" t="s">
        <v>618</v>
      </c>
      <c r="N34" s="6" t="s">
        <v>745</v>
      </c>
      <c r="O34" s="28" t="s">
        <v>650</v>
      </c>
      <c r="P34" s="31" t="s">
        <v>980</v>
      </c>
    </row>
    <row r="35" spans="1:16" ht="30" x14ac:dyDescent="0.3">
      <c r="A35" s="6" t="s">
        <v>220</v>
      </c>
      <c r="B35" s="6" t="s">
        <v>907</v>
      </c>
      <c r="C35" s="6" t="s">
        <v>51</v>
      </c>
      <c r="D35" s="6" t="s">
        <v>981</v>
      </c>
      <c r="F35" s="6" t="s">
        <v>129</v>
      </c>
      <c r="G35" s="6" t="s">
        <v>220</v>
      </c>
      <c r="J35" s="6" t="s">
        <v>130</v>
      </c>
      <c r="K35" s="13">
        <v>2025</v>
      </c>
      <c r="M35" s="6" t="s">
        <v>982</v>
      </c>
      <c r="N35" s="6" t="s">
        <v>745</v>
      </c>
      <c r="O35" s="28" t="s">
        <v>237</v>
      </c>
      <c r="P35" s="31" t="s">
        <v>983</v>
      </c>
    </row>
    <row r="36" spans="1:16" x14ac:dyDescent="0.3">
      <c r="A36" s="6" t="s">
        <v>220</v>
      </c>
      <c r="B36" s="6" t="s">
        <v>907</v>
      </c>
      <c r="C36" s="6" t="s">
        <v>43</v>
      </c>
      <c r="D36" s="6" t="s">
        <v>984</v>
      </c>
      <c r="F36" s="6" t="s">
        <v>66</v>
      </c>
      <c r="G36" s="6" t="s">
        <v>220</v>
      </c>
      <c r="J36" s="6" t="s">
        <v>44</v>
      </c>
      <c r="K36" s="13" t="s">
        <v>958</v>
      </c>
      <c r="M36" s="6" t="s">
        <v>618</v>
      </c>
      <c r="N36" s="6" t="s">
        <v>745</v>
      </c>
      <c r="O36" s="28" t="s">
        <v>985</v>
      </c>
    </row>
    <row r="37" spans="1:16" x14ac:dyDescent="0.3">
      <c r="A37" s="6" t="s">
        <v>220</v>
      </c>
      <c r="B37" s="6" t="s">
        <v>907</v>
      </c>
      <c r="C37" s="6" t="s">
        <v>51</v>
      </c>
      <c r="D37" s="6" t="s">
        <v>986</v>
      </c>
      <c r="F37" s="6" t="s">
        <v>49</v>
      </c>
      <c r="G37" s="6" t="s">
        <v>220</v>
      </c>
      <c r="J37" s="6" t="s">
        <v>44</v>
      </c>
      <c r="K37" s="13" t="s">
        <v>987</v>
      </c>
      <c r="M37" s="6" t="s">
        <v>618</v>
      </c>
      <c r="N37" s="6" t="s">
        <v>745</v>
      </c>
      <c r="O37" s="28" t="s">
        <v>988</v>
      </c>
    </row>
    <row r="38" spans="1:16" x14ac:dyDescent="0.3">
      <c r="A38" s="6" t="s">
        <v>220</v>
      </c>
      <c r="B38" s="6" t="s">
        <v>907</v>
      </c>
      <c r="C38" s="6" t="s">
        <v>51</v>
      </c>
      <c r="D38" s="6" t="s">
        <v>989</v>
      </c>
      <c r="F38" s="6" t="s">
        <v>75</v>
      </c>
      <c r="G38" s="6" t="s">
        <v>220</v>
      </c>
      <c r="J38" s="6" t="s">
        <v>44</v>
      </c>
      <c r="K38" s="13" t="s">
        <v>987</v>
      </c>
      <c r="M38" s="6" t="s">
        <v>618</v>
      </c>
      <c r="N38" s="6" t="s">
        <v>745</v>
      </c>
      <c r="O38" s="28" t="s">
        <v>988</v>
      </c>
    </row>
    <row r="39" spans="1:16" ht="15.9" customHeight="1" x14ac:dyDescent="0.3">
      <c r="A39" s="6" t="s">
        <v>220</v>
      </c>
      <c r="B39" s="6" t="s">
        <v>907</v>
      </c>
      <c r="C39" s="6" t="s">
        <v>51</v>
      </c>
      <c r="D39" s="6" t="s">
        <v>990</v>
      </c>
      <c r="F39" s="6" t="s">
        <v>68</v>
      </c>
      <c r="G39" s="6" t="s">
        <v>220</v>
      </c>
      <c r="J39" s="6" t="s">
        <v>44</v>
      </c>
      <c r="K39" s="13" t="s">
        <v>987</v>
      </c>
      <c r="M39" s="6" t="s">
        <v>618</v>
      </c>
      <c r="N39" s="6" t="s">
        <v>745</v>
      </c>
      <c r="O39" s="28" t="s">
        <v>988</v>
      </c>
    </row>
    <row r="40" spans="1:16" ht="15.9" customHeight="1" x14ac:dyDescent="0.35">
      <c r="A40" s="33" t="s">
        <v>116</v>
      </c>
      <c r="B40" s="33"/>
      <c r="C40" s="6" t="s">
        <v>118</v>
      </c>
      <c r="D40" s="34" t="s">
        <v>117</v>
      </c>
      <c r="E40" s="6" t="s">
        <v>58</v>
      </c>
      <c r="F40" s="34" t="s">
        <v>117</v>
      </c>
      <c r="G40" s="33" t="s">
        <v>116</v>
      </c>
      <c r="J40" s="34" t="s">
        <v>119</v>
      </c>
      <c r="K40" s="13">
        <v>2025</v>
      </c>
      <c r="O40" s="6"/>
    </row>
    <row r="41" spans="1:16" x14ac:dyDescent="0.3">
      <c r="A41" s="6" t="s">
        <v>120</v>
      </c>
      <c r="C41" s="10" t="s">
        <v>64</v>
      </c>
      <c r="D41" s="6" t="s">
        <v>991</v>
      </c>
      <c r="E41" s="6" t="s">
        <v>123</v>
      </c>
      <c r="F41" s="6" t="s">
        <v>121</v>
      </c>
      <c r="G41" s="6" t="s">
        <v>120</v>
      </c>
      <c r="H41" s="6" t="s">
        <v>28</v>
      </c>
      <c r="I41" s="6" t="s">
        <v>41</v>
      </c>
      <c r="J41" s="6" t="s">
        <v>122</v>
      </c>
      <c r="K41" s="13" t="s">
        <v>50</v>
      </c>
      <c r="L41" s="13">
        <v>2023</v>
      </c>
      <c r="M41" s="6" t="s">
        <v>618</v>
      </c>
      <c r="N41" s="6" t="s">
        <v>745</v>
      </c>
      <c r="O41" s="28" t="s">
        <v>748</v>
      </c>
    </row>
    <row r="42" spans="1:16" x14ac:dyDescent="0.3">
      <c r="A42" s="6" t="s">
        <v>52</v>
      </c>
      <c r="C42" s="6" t="s">
        <v>55</v>
      </c>
      <c r="D42" s="6" t="s">
        <v>992</v>
      </c>
      <c r="E42" s="6" t="s">
        <v>58</v>
      </c>
      <c r="F42" s="6" t="s">
        <v>53</v>
      </c>
      <c r="G42" s="6" t="s">
        <v>52</v>
      </c>
      <c r="H42" s="6" t="s">
        <v>56</v>
      </c>
      <c r="I42" s="6" t="s">
        <v>54</v>
      </c>
      <c r="J42" s="6" t="s">
        <v>57</v>
      </c>
      <c r="K42" s="13">
        <v>2023</v>
      </c>
      <c r="L42" s="13">
        <v>2023</v>
      </c>
      <c r="M42" s="6" t="s">
        <v>618</v>
      </c>
      <c r="N42" s="6" t="s">
        <v>745</v>
      </c>
      <c r="O42" s="28" t="s">
        <v>993</v>
      </c>
    </row>
    <row r="43" spans="1:16" ht="30" x14ac:dyDescent="0.3">
      <c r="A43" s="6" t="s">
        <v>124</v>
      </c>
      <c r="C43" s="6" t="s">
        <v>126</v>
      </c>
      <c r="D43" s="6" t="s">
        <v>994</v>
      </c>
      <c r="E43" s="6" t="s">
        <v>58</v>
      </c>
      <c r="F43" s="6" t="s">
        <v>125</v>
      </c>
      <c r="G43" s="6" t="s">
        <v>124</v>
      </c>
      <c r="H43" s="6" t="s">
        <v>28</v>
      </c>
      <c r="I43" s="6" t="s">
        <v>41</v>
      </c>
      <c r="J43" s="6" t="s">
        <v>127</v>
      </c>
      <c r="K43" s="13">
        <v>2023</v>
      </c>
      <c r="L43" s="13">
        <v>2023</v>
      </c>
      <c r="M43" s="6" t="s">
        <v>640</v>
      </c>
      <c r="N43" s="6" t="s">
        <v>745</v>
      </c>
      <c r="O43" s="31" t="s">
        <v>995</v>
      </c>
    </row>
    <row r="44" spans="1:16" ht="192" customHeight="1" x14ac:dyDescent="0.3">
      <c r="A44" s="6" t="s">
        <v>69</v>
      </c>
      <c r="C44" s="6" t="s">
        <v>55</v>
      </c>
      <c r="D44" s="6" t="s">
        <v>996</v>
      </c>
      <c r="E44" s="6" t="s">
        <v>58</v>
      </c>
      <c r="F44" s="6" t="s">
        <v>70</v>
      </c>
      <c r="G44" s="6" t="s">
        <v>69</v>
      </c>
      <c r="H44" s="6" t="s">
        <v>56</v>
      </c>
      <c r="I44" s="6" t="s">
        <v>54</v>
      </c>
      <c r="J44" s="6" t="s">
        <v>71</v>
      </c>
      <c r="K44" s="13">
        <v>2023</v>
      </c>
      <c r="L44" s="13">
        <v>2023</v>
      </c>
      <c r="M44" s="6" t="s">
        <v>618</v>
      </c>
      <c r="N44" s="6" t="s">
        <v>745</v>
      </c>
      <c r="O44" s="6" t="s">
        <v>993</v>
      </c>
      <c r="P44" s="31" t="s">
        <v>997</v>
      </c>
    </row>
    <row r="45" spans="1:16" x14ac:dyDescent="0.3">
      <c r="A45" s="6" t="s">
        <v>72</v>
      </c>
      <c r="C45" s="6" t="s">
        <v>55</v>
      </c>
      <c r="D45" s="6" t="s">
        <v>998</v>
      </c>
      <c r="E45" s="6" t="s">
        <v>58</v>
      </c>
      <c r="F45" s="6" t="s">
        <v>73</v>
      </c>
      <c r="G45" s="6" t="s">
        <v>72</v>
      </c>
      <c r="H45" s="6" t="s">
        <v>56</v>
      </c>
      <c r="I45" s="6" t="s">
        <v>54</v>
      </c>
      <c r="J45" s="6" t="s">
        <v>71</v>
      </c>
      <c r="K45" s="13">
        <v>2023</v>
      </c>
      <c r="L45" s="13">
        <v>2023</v>
      </c>
      <c r="M45" s="6" t="s">
        <v>618</v>
      </c>
      <c r="N45" s="6" t="s">
        <v>745</v>
      </c>
      <c r="O45" s="6" t="s">
        <v>993</v>
      </c>
      <c r="P45" s="31" t="s">
        <v>997</v>
      </c>
    </row>
    <row r="46" spans="1:16" ht="30" x14ac:dyDescent="0.3">
      <c r="A46" s="6" t="s">
        <v>134</v>
      </c>
      <c r="C46" s="6" t="s">
        <v>137</v>
      </c>
      <c r="D46" s="6" t="s">
        <v>999</v>
      </c>
      <c r="E46" s="6" t="s">
        <v>123</v>
      </c>
      <c r="F46" s="6" t="s">
        <v>135</v>
      </c>
      <c r="G46" s="6" t="s">
        <v>134</v>
      </c>
      <c r="H46" s="6" t="s">
        <v>28</v>
      </c>
      <c r="I46" s="6" t="s">
        <v>136</v>
      </c>
      <c r="J46" s="6" t="s">
        <v>138</v>
      </c>
      <c r="K46" s="13">
        <v>2023</v>
      </c>
      <c r="L46" s="13">
        <v>2023</v>
      </c>
      <c r="M46" s="6" t="s">
        <v>640</v>
      </c>
      <c r="N46" s="6" t="s">
        <v>745</v>
      </c>
      <c r="O46" s="31" t="s">
        <v>641</v>
      </c>
    </row>
    <row r="47" spans="1:16" ht="30" x14ac:dyDescent="0.3">
      <c r="A47" s="6" t="s">
        <v>139</v>
      </c>
      <c r="C47" s="6" t="s">
        <v>137</v>
      </c>
      <c r="D47" s="6" t="s">
        <v>1000</v>
      </c>
      <c r="E47" s="6" t="s">
        <v>123</v>
      </c>
      <c r="F47" s="6" t="s">
        <v>140</v>
      </c>
      <c r="G47" s="6" t="s">
        <v>139</v>
      </c>
      <c r="H47" s="6" t="s">
        <v>28</v>
      </c>
      <c r="I47" s="6" t="s">
        <v>136</v>
      </c>
      <c r="J47" s="6" t="s">
        <v>138</v>
      </c>
      <c r="K47" s="13">
        <v>2023</v>
      </c>
      <c r="L47" s="13">
        <v>2023</v>
      </c>
      <c r="M47" s="6" t="s">
        <v>640</v>
      </c>
      <c r="N47" s="6" t="s">
        <v>745</v>
      </c>
      <c r="O47" s="31" t="s">
        <v>1001</v>
      </c>
    </row>
    <row r="48" spans="1:16" ht="30" x14ac:dyDescent="0.3">
      <c r="A48" s="6" t="s">
        <v>141</v>
      </c>
      <c r="C48" s="6" t="s">
        <v>143</v>
      </c>
      <c r="D48" s="6" t="s">
        <v>1002</v>
      </c>
      <c r="E48" s="6" t="s">
        <v>123</v>
      </c>
      <c r="F48" s="6" t="s">
        <v>142</v>
      </c>
      <c r="G48" s="6" t="s">
        <v>141</v>
      </c>
      <c r="H48" s="6" t="s">
        <v>28</v>
      </c>
      <c r="I48" s="6" t="s">
        <v>41</v>
      </c>
      <c r="J48" s="6" t="s">
        <v>138</v>
      </c>
      <c r="K48" s="13">
        <v>2023</v>
      </c>
      <c r="L48" s="13">
        <v>2023</v>
      </c>
      <c r="M48" s="6" t="s">
        <v>640</v>
      </c>
      <c r="N48" s="6" t="s">
        <v>745</v>
      </c>
      <c r="O48" s="31" t="s">
        <v>885</v>
      </c>
    </row>
    <row r="49" spans="1:15" x14ac:dyDescent="0.3">
      <c r="A49" s="33" t="s">
        <v>150</v>
      </c>
      <c r="B49" s="33"/>
      <c r="C49" s="33" t="s">
        <v>147</v>
      </c>
      <c r="D49" s="33" t="s">
        <v>151</v>
      </c>
      <c r="E49" s="6" t="s">
        <v>149</v>
      </c>
      <c r="F49" s="33" t="s">
        <v>151</v>
      </c>
      <c r="G49" s="33" t="s">
        <v>150</v>
      </c>
      <c r="I49" s="6" t="s">
        <v>152</v>
      </c>
      <c r="J49" s="33" t="s">
        <v>148</v>
      </c>
      <c r="K49" s="33" t="s">
        <v>1003</v>
      </c>
      <c r="O49" s="6"/>
    </row>
    <row r="50" spans="1:15" x14ac:dyDescent="0.3">
      <c r="A50" s="33" t="s">
        <v>153</v>
      </c>
      <c r="B50" s="33"/>
      <c r="C50" s="33" t="s">
        <v>147</v>
      </c>
      <c r="D50" s="33" t="s">
        <v>154</v>
      </c>
      <c r="E50" s="6" t="s">
        <v>149</v>
      </c>
      <c r="F50" s="33" t="s">
        <v>154</v>
      </c>
      <c r="G50" s="33" t="s">
        <v>153</v>
      </c>
      <c r="I50" s="6" t="s">
        <v>146</v>
      </c>
      <c r="J50" s="33" t="s">
        <v>148</v>
      </c>
      <c r="K50" s="33" t="s">
        <v>1003</v>
      </c>
    </row>
    <row r="51" spans="1:15" x14ac:dyDescent="0.3">
      <c r="A51" s="33" t="s">
        <v>155</v>
      </c>
      <c r="B51" s="33"/>
      <c r="C51" s="33" t="s">
        <v>147</v>
      </c>
      <c r="D51" s="33" t="s">
        <v>156</v>
      </c>
      <c r="E51" s="6" t="s">
        <v>149</v>
      </c>
      <c r="F51" s="33" t="s">
        <v>156</v>
      </c>
      <c r="G51" s="33" t="s">
        <v>155</v>
      </c>
      <c r="I51" s="6" t="s">
        <v>146</v>
      </c>
      <c r="J51" s="33" t="s">
        <v>148</v>
      </c>
      <c r="K51" s="33" t="s">
        <v>1003</v>
      </c>
    </row>
    <row r="52" spans="1:15" x14ac:dyDescent="0.3">
      <c r="A52" s="33" t="s">
        <v>157</v>
      </c>
      <c r="B52" s="33"/>
      <c r="C52" s="33" t="s">
        <v>147</v>
      </c>
      <c r="D52" s="33" t="s">
        <v>158</v>
      </c>
      <c r="E52" s="6" t="s">
        <v>149</v>
      </c>
      <c r="F52" s="33" t="s">
        <v>158</v>
      </c>
      <c r="G52" s="33" t="s">
        <v>157</v>
      </c>
      <c r="I52" s="6" t="s">
        <v>152</v>
      </c>
      <c r="J52" s="33" t="s">
        <v>148</v>
      </c>
      <c r="K52" s="33" t="s">
        <v>1003</v>
      </c>
      <c r="O52" s="6"/>
    </row>
    <row r="53" spans="1:15" x14ac:dyDescent="0.3">
      <c r="A53" s="33" t="s">
        <v>159</v>
      </c>
      <c r="B53" s="33"/>
      <c r="C53" s="33" t="s">
        <v>147</v>
      </c>
      <c r="D53" s="33" t="s">
        <v>160</v>
      </c>
      <c r="E53" s="6" t="s">
        <v>161</v>
      </c>
      <c r="F53" s="33" t="s">
        <v>160</v>
      </c>
      <c r="G53" s="33" t="s">
        <v>159</v>
      </c>
      <c r="I53" s="6" t="s">
        <v>146</v>
      </c>
      <c r="J53" s="33" t="s">
        <v>148</v>
      </c>
      <c r="K53" s="33" t="s">
        <v>1003</v>
      </c>
    </row>
    <row r="54" spans="1:15" x14ac:dyDescent="0.3">
      <c r="A54" s="33" t="s">
        <v>162</v>
      </c>
      <c r="B54" s="33"/>
      <c r="C54" s="33" t="s">
        <v>147</v>
      </c>
      <c r="D54" s="33" t="s">
        <v>163</v>
      </c>
      <c r="E54" s="6" t="s">
        <v>149</v>
      </c>
      <c r="F54" s="33" t="s">
        <v>163</v>
      </c>
      <c r="G54" s="33" t="s">
        <v>162</v>
      </c>
      <c r="I54" s="6" t="s">
        <v>146</v>
      </c>
      <c r="J54" s="33" t="s">
        <v>148</v>
      </c>
      <c r="K54" s="33" t="s">
        <v>1003</v>
      </c>
    </row>
    <row r="55" spans="1:15" x14ac:dyDescent="0.3">
      <c r="A55" s="33" t="s">
        <v>164</v>
      </c>
      <c r="B55" s="33"/>
      <c r="C55" s="33" t="s">
        <v>147</v>
      </c>
      <c r="D55" s="33" t="s">
        <v>165</v>
      </c>
      <c r="E55" s="6" t="s">
        <v>149</v>
      </c>
      <c r="F55" s="33" t="s">
        <v>165</v>
      </c>
      <c r="G55" s="33" t="s">
        <v>164</v>
      </c>
      <c r="I55" s="6" t="s">
        <v>152</v>
      </c>
      <c r="J55" s="33" t="s">
        <v>148</v>
      </c>
      <c r="K55" s="33" t="s">
        <v>1003</v>
      </c>
      <c r="O55" s="6"/>
    </row>
    <row r="56" spans="1:15" x14ac:dyDescent="0.3">
      <c r="A56" s="33" t="s">
        <v>144</v>
      </c>
      <c r="B56" s="33"/>
      <c r="C56" s="33" t="s">
        <v>147</v>
      </c>
      <c r="D56" s="33" t="s">
        <v>145</v>
      </c>
      <c r="E56" s="6" t="s">
        <v>149</v>
      </c>
      <c r="F56" s="33" t="s">
        <v>145</v>
      </c>
      <c r="G56" s="33" t="s">
        <v>144</v>
      </c>
      <c r="I56" s="6" t="s">
        <v>146</v>
      </c>
      <c r="J56" s="33" t="s">
        <v>148</v>
      </c>
      <c r="K56" s="33" t="s">
        <v>1003</v>
      </c>
    </row>
    <row r="57" spans="1:15" x14ac:dyDescent="0.3">
      <c r="A57" s="33" t="s">
        <v>166</v>
      </c>
      <c r="B57" s="33"/>
      <c r="C57" s="33" t="s">
        <v>147</v>
      </c>
      <c r="D57" s="33" t="s">
        <v>167</v>
      </c>
      <c r="E57" s="6" t="s">
        <v>149</v>
      </c>
      <c r="F57" s="33" t="s">
        <v>167</v>
      </c>
      <c r="G57" s="33" t="s">
        <v>166</v>
      </c>
      <c r="I57" s="6" t="s">
        <v>146</v>
      </c>
      <c r="J57" s="33" t="s">
        <v>148</v>
      </c>
      <c r="K57" s="33" t="s">
        <v>1003</v>
      </c>
    </row>
    <row r="58" spans="1:15" x14ac:dyDescent="0.3">
      <c r="A58" s="33" t="s">
        <v>168</v>
      </c>
      <c r="B58" s="33"/>
      <c r="C58" s="33" t="s">
        <v>143</v>
      </c>
      <c r="D58" s="33" t="s">
        <v>169</v>
      </c>
      <c r="E58" s="6" t="s">
        <v>149</v>
      </c>
      <c r="F58" s="33" t="s">
        <v>169</v>
      </c>
      <c r="G58" s="33" t="s">
        <v>168</v>
      </c>
      <c r="I58" s="6" t="s">
        <v>152</v>
      </c>
      <c r="J58" s="33" t="s">
        <v>148</v>
      </c>
      <c r="K58" s="33" t="s">
        <v>1003</v>
      </c>
      <c r="O58" s="6"/>
    </row>
    <row r="59" spans="1:15" x14ac:dyDescent="0.3">
      <c r="A59" s="33" t="s">
        <v>170</v>
      </c>
      <c r="B59" s="33"/>
      <c r="C59" s="33" t="s">
        <v>143</v>
      </c>
      <c r="D59" s="33" t="s">
        <v>171</v>
      </c>
      <c r="E59" s="6" t="s">
        <v>149</v>
      </c>
      <c r="F59" s="33" t="s">
        <v>171</v>
      </c>
      <c r="G59" s="33" t="s">
        <v>170</v>
      </c>
      <c r="I59" s="6" t="s">
        <v>152</v>
      </c>
      <c r="J59" s="33" t="s">
        <v>148</v>
      </c>
      <c r="K59" s="33" t="s">
        <v>1003</v>
      </c>
      <c r="O59" s="6"/>
    </row>
    <row r="60" spans="1:15" x14ac:dyDescent="0.3">
      <c r="A60" s="33" t="s">
        <v>172</v>
      </c>
      <c r="B60" s="33"/>
      <c r="C60" s="33" t="s">
        <v>143</v>
      </c>
      <c r="D60" s="33" t="s">
        <v>173</v>
      </c>
      <c r="E60" s="6" t="s">
        <v>149</v>
      </c>
      <c r="F60" s="33" t="s">
        <v>173</v>
      </c>
      <c r="G60" s="33" t="s">
        <v>172</v>
      </c>
      <c r="I60" s="6" t="s">
        <v>152</v>
      </c>
      <c r="J60" s="33" t="s">
        <v>148</v>
      </c>
      <c r="K60" s="33" t="s">
        <v>1003</v>
      </c>
      <c r="O60" s="6"/>
    </row>
    <row r="61" spans="1:15" x14ac:dyDescent="0.3">
      <c r="A61" s="33" t="s">
        <v>174</v>
      </c>
      <c r="B61" s="33"/>
      <c r="C61" s="33" t="s">
        <v>143</v>
      </c>
      <c r="D61" s="33" t="s">
        <v>175</v>
      </c>
      <c r="E61" s="6" t="s">
        <v>149</v>
      </c>
      <c r="F61" s="33" t="s">
        <v>175</v>
      </c>
      <c r="G61" s="33" t="s">
        <v>174</v>
      </c>
      <c r="I61" s="6" t="s">
        <v>152</v>
      </c>
      <c r="J61" s="33" t="s">
        <v>148</v>
      </c>
      <c r="K61" s="33" t="s">
        <v>1003</v>
      </c>
      <c r="O61" s="6"/>
    </row>
    <row r="62" spans="1:15" x14ac:dyDescent="0.3">
      <c r="A62" s="33" t="s">
        <v>176</v>
      </c>
      <c r="B62" s="33"/>
      <c r="C62" s="33" t="s">
        <v>143</v>
      </c>
      <c r="D62" s="33" t="s">
        <v>177</v>
      </c>
      <c r="E62" s="6" t="s">
        <v>149</v>
      </c>
      <c r="F62" s="33" t="s">
        <v>177</v>
      </c>
      <c r="G62" s="33" t="s">
        <v>176</v>
      </c>
      <c r="I62" s="6" t="s">
        <v>152</v>
      </c>
      <c r="J62" s="33" t="s">
        <v>148</v>
      </c>
      <c r="K62" s="33" t="s">
        <v>1003</v>
      </c>
      <c r="O62" s="6"/>
    </row>
    <row r="63" spans="1:15" x14ac:dyDescent="0.3">
      <c r="A63" s="33" t="s">
        <v>178</v>
      </c>
      <c r="B63" s="33"/>
      <c r="C63" s="33" t="s">
        <v>143</v>
      </c>
      <c r="D63" s="33" t="s">
        <v>179</v>
      </c>
      <c r="E63" s="6" t="s">
        <v>149</v>
      </c>
      <c r="F63" s="33" t="s">
        <v>179</v>
      </c>
      <c r="G63" s="33" t="s">
        <v>178</v>
      </c>
      <c r="I63" s="6" t="s">
        <v>152</v>
      </c>
      <c r="J63" s="33" t="s">
        <v>148</v>
      </c>
      <c r="K63" s="33" t="s">
        <v>1003</v>
      </c>
      <c r="O63" s="6"/>
    </row>
    <row r="64" spans="1:15" x14ac:dyDescent="0.3">
      <c r="A64" s="33" t="s">
        <v>180</v>
      </c>
      <c r="B64" s="33"/>
      <c r="C64" s="33" t="s">
        <v>143</v>
      </c>
      <c r="D64" s="33" t="s">
        <v>181</v>
      </c>
      <c r="E64" s="6" t="s">
        <v>149</v>
      </c>
      <c r="F64" s="33" t="s">
        <v>181</v>
      </c>
      <c r="G64" s="33" t="s">
        <v>180</v>
      </c>
      <c r="I64" s="6" t="s">
        <v>152</v>
      </c>
      <c r="J64" s="33" t="s">
        <v>148</v>
      </c>
      <c r="K64" s="33" t="s">
        <v>1003</v>
      </c>
      <c r="O64" s="6"/>
    </row>
    <row r="65" spans="1:16" x14ac:dyDescent="0.3">
      <c r="A65" s="33" t="s">
        <v>182</v>
      </c>
      <c r="B65" s="33"/>
      <c r="C65" s="33" t="s">
        <v>143</v>
      </c>
      <c r="D65" s="33" t="s">
        <v>183</v>
      </c>
      <c r="E65" s="6" t="s">
        <v>149</v>
      </c>
      <c r="F65" s="33" t="s">
        <v>183</v>
      </c>
      <c r="G65" s="33" t="s">
        <v>182</v>
      </c>
      <c r="I65" s="6" t="s">
        <v>152</v>
      </c>
      <c r="J65" s="33" t="s">
        <v>148</v>
      </c>
      <c r="K65" s="33" t="s">
        <v>1003</v>
      </c>
      <c r="O65" s="6"/>
    </row>
    <row r="66" spans="1:16" x14ac:dyDescent="0.3">
      <c r="A66" s="33" t="s">
        <v>184</v>
      </c>
      <c r="B66" s="33"/>
      <c r="C66" s="33" t="s">
        <v>143</v>
      </c>
      <c r="D66" s="33" t="s">
        <v>185</v>
      </c>
      <c r="E66" s="6" t="s">
        <v>149</v>
      </c>
      <c r="F66" s="33" t="s">
        <v>185</v>
      </c>
      <c r="G66" s="33" t="s">
        <v>184</v>
      </c>
      <c r="I66" s="6" t="s">
        <v>152</v>
      </c>
      <c r="J66" s="33" t="s">
        <v>148</v>
      </c>
      <c r="K66" s="33" t="s">
        <v>1003</v>
      </c>
      <c r="O66" s="6"/>
    </row>
    <row r="67" spans="1:16" ht="15.9" customHeight="1" x14ac:dyDescent="0.35">
      <c r="A67" s="33" t="s">
        <v>186</v>
      </c>
      <c r="B67" s="33"/>
      <c r="C67" s="6" t="s">
        <v>118</v>
      </c>
      <c r="D67" s="6" t="s">
        <v>1004</v>
      </c>
      <c r="E67" s="6" t="s">
        <v>58</v>
      </c>
      <c r="F67" s="6" t="s">
        <v>187</v>
      </c>
      <c r="G67" s="33" t="s">
        <v>186</v>
      </c>
      <c r="I67" s="6" t="s">
        <v>152</v>
      </c>
      <c r="J67" s="34" t="s">
        <v>188</v>
      </c>
      <c r="K67" s="13">
        <v>2023</v>
      </c>
      <c r="M67" s="6" t="s">
        <v>618</v>
      </c>
      <c r="N67" s="6" t="s">
        <v>745</v>
      </c>
      <c r="O67" s="28" t="s">
        <v>936</v>
      </c>
    </row>
    <row r="68" spans="1:16" x14ac:dyDescent="0.3">
      <c r="A68" s="33" t="s">
        <v>76</v>
      </c>
      <c r="B68" s="33"/>
      <c r="C68" s="6" t="s">
        <v>55</v>
      </c>
      <c r="D68" s="33" t="s">
        <v>77</v>
      </c>
      <c r="E68" s="6" t="s">
        <v>58</v>
      </c>
      <c r="F68" s="33" t="str">
        <f>D68</f>
        <v>Kilómetros de vía primaria por el área del municipio</v>
      </c>
      <c r="G68" s="33" t="s">
        <v>76</v>
      </c>
      <c r="I68" s="36" t="s">
        <v>78</v>
      </c>
      <c r="J68" s="33" t="s">
        <v>79</v>
      </c>
      <c r="K68" s="33">
        <v>2023</v>
      </c>
      <c r="N68" s="6" t="s">
        <v>616</v>
      </c>
      <c r="O68" s="6"/>
    </row>
    <row r="69" spans="1:16" x14ac:dyDescent="0.3">
      <c r="A69" s="33" t="s">
        <v>80</v>
      </c>
      <c r="B69" s="33"/>
      <c r="C69" s="6" t="s">
        <v>55</v>
      </c>
      <c r="D69" s="33" t="s">
        <v>81</v>
      </c>
      <c r="E69" s="6" t="s">
        <v>58</v>
      </c>
      <c r="F69" s="33" t="str">
        <f t="shared" ref="F69:F71" si="0">D69</f>
        <v>Kilómetros de vía secundaria por el área del municipio</v>
      </c>
      <c r="G69" s="33" t="s">
        <v>80</v>
      </c>
      <c r="I69" s="36" t="s">
        <v>78</v>
      </c>
      <c r="J69" s="33" t="s">
        <v>79</v>
      </c>
      <c r="K69" s="33">
        <v>2023</v>
      </c>
      <c r="N69" s="6" t="s">
        <v>616</v>
      </c>
      <c r="O69" s="6"/>
    </row>
    <row r="70" spans="1:16" x14ac:dyDescent="0.3">
      <c r="A70" s="33" t="s">
        <v>82</v>
      </c>
      <c r="B70" s="33"/>
      <c r="C70" s="6" t="s">
        <v>55</v>
      </c>
      <c r="D70" s="33" t="s">
        <v>83</v>
      </c>
      <c r="E70" s="6" t="s">
        <v>58</v>
      </c>
      <c r="F70" s="33" t="str">
        <f t="shared" si="0"/>
        <v>Kilómetros de vía terciaria por el área del municipio</v>
      </c>
      <c r="G70" s="33" t="s">
        <v>82</v>
      </c>
      <c r="I70" s="36" t="s">
        <v>78</v>
      </c>
      <c r="J70" s="33" t="s">
        <v>79</v>
      </c>
      <c r="K70" s="33">
        <v>2023</v>
      </c>
      <c r="N70" s="6" t="s">
        <v>616</v>
      </c>
      <c r="O70" s="6"/>
    </row>
    <row r="71" spans="1:16" x14ac:dyDescent="0.3">
      <c r="A71" s="33" t="s">
        <v>84</v>
      </c>
      <c r="B71" s="33"/>
      <c r="C71" s="6" t="s">
        <v>55</v>
      </c>
      <c r="D71" s="33" t="s">
        <v>85</v>
      </c>
      <c r="E71" s="6" t="s">
        <v>58</v>
      </c>
      <c r="F71" s="33" t="str">
        <f t="shared" si="0"/>
        <v>Kilómetros de vía total por el área del municipio</v>
      </c>
      <c r="G71" s="33" t="s">
        <v>84</v>
      </c>
      <c r="I71" s="36" t="s">
        <v>78</v>
      </c>
      <c r="J71" s="33" t="s">
        <v>79</v>
      </c>
      <c r="K71" s="33">
        <v>2023</v>
      </c>
      <c r="N71" s="6" t="s">
        <v>616</v>
      </c>
      <c r="O71" s="6"/>
    </row>
    <row r="72" spans="1:16" ht="90" x14ac:dyDescent="0.3">
      <c r="A72" s="6" t="s">
        <v>199</v>
      </c>
      <c r="C72" s="6" t="s">
        <v>201</v>
      </c>
      <c r="D72" s="6" t="s">
        <v>200</v>
      </c>
      <c r="E72" s="6" t="s">
        <v>123</v>
      </c>
      <c r="F72" s="6" t="s">
        <v>200</v>
      </c>
      <c r="G72" s="6" t="s">
        <v>199</v>
      </c>
      <c r="H72" s="6" t="s">
        <v>28</v>
      </c>
      <c r="I72" s="6" t="s">
        <v>41</v>
      </c>
      <c r="J72" s="6" t="s">
        <v>138</v>
      </c>
      <c r="K72" s="13">
        <v>2023</v>
      </c>
      <c r="L72" s="13">
        <v>2023</v>
      </c>
      <c r="M72" s="6" t="s">
        <v>640</v>
      </c>
      <c r="N72" s="6" t="s">
        <v>745</v>
      </c>
      <c r="O72" s="31" t="s">
        <v>1005</v>
      </c>
      <c r="P72" s="31" t="s">
        <v>1006</v>
      </c>
    </row>
    <row r="73" spans="1:16" x14ac:dyDescent="0.3">
      <c r="A73" s="6" t="s">
        <v>218</v>
      </c>
      <c r="C73" s="6" t="s">
        <v>55</v>
      </c>
      <c r="D73" s="6" t="s">
        <v>1007</v>
      </c>
      <c r="E73" s="6" t="e">
        <f>#REF!</f>
        <v>#REF!</v>
      </c>
      <c r="F73" s="6" t="s">
        <v>219</v>
      </c>
      <c r="G73" s="6" t="s">
        <v>218</v>
      </c>
      <c r="H73" s="6" t="s">
        <v>56</v>
      </c>
      <c r="I73" s="6" t="s">
        <v>41</v>
      </c>
      <c r="J73" s="6" t="s">
        <v>127</v>
      </c>
      <c r="K73" s="13">
        <v>2023</v>
      </c>
      <c r="L73" s="13">
        <v>2023</v>
      </c>
      <c r="M73" s="6" t="s">
        <v>618</v>
      </c>
      <c r="N73" s="6" t="s">
        <v>745</v>
      </c>
      <c r="O73" s="28" t="s">
        <v>993</v>
      </c>
    </row>
    <row r="74" spans="1:16" ht="60" x14ac:dyDescent="0.3">
      <c r="A74" s="33" t="s">
        <v>221</v>
      </c>
      <c r="B74" s="33"/>
      <c r="C74" s="6" t="s">
        <v>223</v>
      </c>
      <c r="D74" s="33" t="s">
        <v>1008</v>
      </c>
      <c r="E74" s="6" t="s">
        <v>58</v>
      </c>
      <c r="F74" s="33" t="s">
        <v>222</v>
      </c>
      <c r="G74" s="33" t="s">
        <v>221</v>
      </c>
      <c r="I74" s="6" t="s">
        <v>146</v>
      </c>
      <c r="J74" s="6" t="s">
        <v>224</v>
      </c>
      <c r="K74" s="6"/>
      <c r="M74" s="6" t="s">
        <v>640</v>
      </c>
      <c r="N74" s="6" t="s">
        <v>745</v>
      </c>
      <c r="O74" s="31"/>
      <c r="P74" s="31" t="s">
        <v>1009</v>
      </c>
    </row>
    <row r="75" spans="1:16" x14ac:dyDescent="0.3">
      <c r="A75" s="33" t="s">
        <v>225</v>
      </c>
      <c r="B75" s="33"/>
      <c r="C75" s="6" t="s">
        <v>223</v>
      </c>
      <c r="D75" s="33" t="s">
        <v>1008</v>
      </c>
      <c r="E75" s="6" t="s">
        <v>58</v>
      </c>
      <c r="F75" s="33" t="s">
        <v>226</v>
      </c>
      <c r="G75" s="33" t="s">
        <v>225</v>
      </c>
      <c r="I75" s="6" t="s">
        <v>146</v>
      </c>
      <c r="J75" s="6" t="s">
        <v>224</v>
      </c>
      <c r="K75" s="6"/>
      <c r="M75" s="6" t="s">
        <v>640</v>
      </c>
      <c r="N75" s="6" t="s">
        <v>745</v>
      </c>
      <c r="O75" s="31"/>
    </row>
    <row r="76" spans="1:16" ht="165" x14ac:dyDescent="0.3">
      <c r="A76" s="33" t="s">
        <v>227</v>
      </c>
      <c r="B76" s="33"/>
      <c r="C76" s="6" t="s">
        <v>223</v>
      </c>
      <c r="D76" s="33" t="s">
        <v>1010</v>
      </c>
      <c r="E76" s="6" t="s">
        <v>58</v>
      </c>
      <c r="F76" s="35" t="s">
        <v>228</v>
      </c>
      <c r="G76" s="33" t="s">
        <v>227</v>
      </c>
      <c r="I76" s="6" t="s">
        <v>146</v>
      </c>
      <c r="J76" s="33" t="s">
        <v>224</v>
      </c>
      <c r="M76" s="6" t="s">
        <v>618</v>
      </c>
      <c r="N76" s="6" t="s">
        <v>745</v>
      </c>
      <c r="O76" s="28" t="s">
        <v>1011</v>
      </c>
      <c r="P76" s="31" t="s">
        <v>1012</v>
      </c>
    </row>
    <row r="77" spans="1:16" x14ac:dyDescent="0.3">
      <c r="A77" s="33" t="s">
        <v>229</v>
      </c>
      <c r="B77" s="33"/>
      <c r="C77" s="6" t="s">
        <v>223</v>
      </c>
      <c r="D77" s="33" t="s">
        <v>1010</v>
      </c>
      <c r="E77" s="6" t="s">
        <v>58</v>
      </c>
      <c r="F77" s="33" t="s">
        <v>230</v>
      </c>
      <c r="G77" s="33" t="s">
        <v>229</v>
      </c>
      <c r="I77" s="6" t="s">
        <v>146</v>
      </c>
      <c r="J77" s="6" t="s">
        <v>224</v>
      </c>
      <c r="K77" s="6"/>
      <c r="M77" s="6" t="s">
        <v>640</v>
      </c>
      <c r="N77" s="6" t="s">
        <v>745</v>
      </c>
      <c r="O77" s="31"/>
    </row>
    <row r="78" spans="1:16" ht="45" x14ac:dyDescent="0.3">
      <c r="A78" s="6" t="s">
        <v>112</v>
      </c>
      <c r="C78" s="6" t="s">
        <v>27</v>
      </c>
      <c r="D78" s="6" t="s">
        <v>1013</v>
      </c>
      <c r="E78" s="6" t="s">
        <v>530</v>
      </c>
      <c r="F78" s="10" t="s">
        <v>113</v>
      </c>
      <c r="G78" s="6" t="s">
        <v>112</v>
      </c>
      <c r="I78" s="6" t="s">
        <v>114</v>
      </c>
      <c r="J78" s="6" t="s">
        <v>115</v>
      </c>
      <c r="K78" s="13">
        <v>2017</v>
      </c>
      <c r="L78" s="13">
        <v>2017</v>
      </c>
      <c r="M78" s="6" t="s">
        <v>36</v>
      </c>
      <c r="N78" s="6" t="s">
        <v>745</v>
      </c>
      <c r="O78" s="28" t="s">
        <v>1014</v>
      </c>
      <c r="P78" s="31" t="s">
        <v>1015</v>
      </c>
    </row>
    <row r="79" spans="1:16" ht="48" customHeight="1" x14ac:dyDescent="0.35">
      <c r="A79" s="33" t="s">
        <v>231</v>
      </c>
      <c r="B79" s="33"/>
      <c r="C79" s="6" t="s">
        <v>118</v>
      </c>
      <c r="D79" s="34" t="s">
        <v>232</v>
      </c>
      <c r="E79" s="6" t="s">
        <v>58</v>
      </c>
      <c r="F79" s="34" t="s">
        <v>232</v>
      </c>
      <c r="G79" s="33" t="s">
        <v>231</v>
      </c>
      <c r="I79" s="6" t="s">
        <v>152</v>
      </c>
      <c r="J79" s="34" t="s">
        <v>119</v>
      </c>
      <c r="K79" s="13">
        <v>2023</v>
      </c>
      <c r="O79" s="6"/>
    </row>
    <row r="80" spans="1:16" x14ac:dyDescent="0.3">
      <c r="A80" s="6" t="s">
        <v>233</v>
      </c>
      <c r="C80" s="10" t="s">
        <v>64</v>
      </c>
      <c r="D80" s="6" t="s">
        <v>1016</v>
      </c>
      <c r="E80" s="6" t="s">
        <v>123</v>
      </c>
      <c r="F80" s="6" t="s">
        <v>234</v>
      </c>
      <c r="G80" s="6" t="s">
        <v>233</v>
      </c>
      <c r="H80" s="6" t="s">
        <v>28</v>
      </c>
      <c r="I80" s="6" t="s">
        <v>41</v>
      </c>
      <c r="J80" s="6" t="s">
        <v>138</v>
      </c>
      <c r="K80" s="13">
        <v>2023</v>
      </c>
      <c r="L80" s="13">
        <v>2023</v>
      </c>
      <c r="M80" s="6" t="s">
        <v>603</v>
      </c>
      <c r="N80" s="6" t="s">
        <v>745</v>
      </c>
      <c r="O80" s="28" t="s">
        <v>748</v>
      </c>
    </row>
    <row r="81" spans="1:15" x14ac:dyDescent="0.3">
      <c r="A81" s="33" t="s">
        <v>235</v>
      </c>
      <c r="B81" s="33"/>
      <c r="C81" s="33" t="s">
        <v>143</v>
      </c>
      <c r="D81" s="33" t="s">
        <v>236</v>
      </c>
      <c r="E81" s="6" t="s">
        <v>149</v>
      </c>
      <c r="F81" s="33" t="s">
        <v>236</v>
      </c>
      <c r="G81" s="33" t="s">
        <v>235</v>
      </c>
      <c r="H81" s="6" t="s">
        <v>237</v>
      </c>
      <c r="I81" s="6" t="s">
        <v>41</v>
      </c>
      <c r="J81" s="33" t="s">
        <v>148</v>
      </c>
      <c r="K81" s="33" t="s">
        <v>1003</v>
      </c>
      <c r="O81" s="6"/>
    </row>
    <row r="82" spans="1:15" ht="15.9" customHeight="1" x14ac:dyDescent="0.3">
      <c r="A82" s="33" t="s">
        <v>238</v>
      </c>
      <c r="B82" s="33"/>
      <c r="C82" s="33" t="s">
        <v>143</v>
      </c>
      <c r="D82" s="33" t="s">
        <v>239</v>
      </c>
      <c r="E82" s="6" t="s">
        <v>149</v>
      </c>
      <c r="F82" s="33" t="s">
        <v>239</v>
      </c>
      <c r="G82" s="33" t="s">
        <v>238</v>
      </c>
      <c r="H82" s="6" t="s">
        <v>237</v>
      </c>
      <c r="I82" s="6" t="s">
        <v>41</v>
      </c>
      <c r="J82" s="33" t="s">
        <v>148</v>
      </c>
      <c r="K82" s="33" t="s">
        <v>1003</v>
      </c>
      <c r="O82" s="6"/>
    </row>
    <row r="83" spans="1:15" x14ac:dyDescent="0.3">
      <c r="A83" s="33" t="s">
        <v>240</v>
      </c>
      <c r="B83" s="33"/>
      <c r="C83" s="33" t="s">
        <v>143</v>
      </c>
      <c r="D83" s="33" t="s">
        <v>241</v>
      </c>
      <c r="E83" s="6" t="s">
        <v>149</v>
      </c>
      <c r="F83" s="33" t="s">
        <v>241</v>
      </c>
      <c r="G83" s="33" t="s">
        <v>240</v>
      </c>
      <c r="H83" s="6" t="s">
        <v>237</v>
      </c>
      <c r="I83" s="6" t="s">
        <v>41</v>
      </c>
      <c r="J83" s="33" t="s">
        <v>148</v>
      </c>
      <c r="K83" s="33" t="s">
        <v>1003</v>
      </c>
      <c r="O83" s="6"/>
    </row>
    <row r="84" spans="1:15" x14ac:dyDescent="0.3">
      <c r="A84" s="33" t="s">
        <v>242</v>
      </c>
      <c r="B84" s="33"/>
      <c r="C84" s="33" t="s">
        <v>143</v>
      </c>
      <c r="D84" s="33" t="s">
        <v>243</v>
      </c>
      <c r="E84" s="6" t="s">
        <v>149</v>
      </c>
      <c r="F84" s="33" t="s">
        <v>243</v>
      </c>
      <c r="G84" s="33" t="s">
        <v>242</v>
      </c>
      <c r="H84" s="6" t="s">
        <v>237</v>
      </c>
      <c r="I84" s="6" t="s">
        <v>244</v>
      </c>
      <c r="J84" s="33" t="s">
        <v>148</v>
      </c>
      <c r="K84" s="33" t="s">
        <v>1003</v>
      </c>
      <c r="O84" s="6"/>
    </row>
    <row r="85" spans="1:15" x14ac:dyDescent="0.3">
      <c r="A85" s="33" t="s">
        <v>245</v>
      </c>
      <c r="B85" s="33"/>
      <c r="C85" s="33" t="s">
        <v>143</v>
      </c>
      <c r="D85" s="33" t="s">
        <v>246</v>
      </c>
      <c r="E85" s="6" t="s">
        <v>149</v>
      </c>
      <c r="F85" s="33" t="s">
        <v>246</v>
      </c>
      <c r="G85" s="33" t="s">
        <v>245</v>
      </c>
      <c r="H85" s="6" t="s">
        <v>237</v>
      </c>
      <c r="I85" s="6" t="s">
        <v>41</v>
      </c>
      <c r="J85" s="33" t="s">
        <v>148</v>
      </c>
      <c r="K85" s="33" t="s">
        <v>1003</v>
      </c>
      <c r="O85" s="6"/>
    </row>
    <row r="86" spans="1:15" x14ac:dyDescent="0.3">
      <c r="A86" s="33" t="s">
        <v>247</v>
      </c>
      <c r="B86" s="33"/>
      <c r="C86" s="33" t="s">
        <v>143</v>
      </c>
      <c r="D86" s="33" t="s">
        <v>248</v>
      </c>
      <c r="E86" s="6" t="s">
        <v>149</v>
      </c>
      <c r="F86" s="33" t="s">
        <v>248</v>
      </c>
      <c r="G86" s="33" t="s">
        <v>247</v>
      </c>
      <c r="H86" s="6" t="s">
        <v>237</v>
      </c>
      <c r="I86" s="6" t="s">
        <v>41</v>
      </c>
      <c r="J86" s="33" t="s">
        <v>148</v>
      </c>
      <c r="K86" s="33" t="s">
        <v>1003</v>
      </c>
      <c r="O86" s="6"/>
    </row>
    <row r="87" spans="1:15" x14ac:dyDescent="0.3">
      <c r="A87" s="33" t="s">
        <v>249</v>
      </c>
      <c r="B87" s="33"/>
      <c r="C87" s="6" t="s">
        <v>143</v>
      </c>
      <c r="D87" s="33" t="s">
        <v>250</v>
      </c>
      <c r="E87" s="6" t="s">
        <v>149</v>
      </c>
      <c r="F87" s="33" t="s">
        <v>250</v>
      </c>
      <c r="G87" s="33" t="s">
        <v>249</v>
      </c>
      <c r="H87" s="6" t="s">
        <v>237</v>
      </c>
      <c r="I87" s="6" t="s">
        <v>41</v>
      </c>
      <c r="J87" s="33" t="s">
        <v>148</v>
      </c>
      <c r="K87" s="33" t="s">
        <v>1003</v>
      </c>
      <c r="O87" s="6"/>
    </row>
    <row r="88" spans="1:15" x14ac:dyDescent="0.3">
      <c r="A88" s="33" t="s">
        <v>251</v>
      </c>
      <c r="B88" s="33"/>
      <c r="C88" s="33" t="s">
        <v>143</v>
      </c>
      <c r="D88" s="33" t="s">
        <v>252</v>
      </c>
      <c r="E88" s="6" t="s">
        <v>149</v>
      </c>
      <c r="F88" s="33" t="s">
        <v>252</v>
      </c>
      <c r="G88" s="33" t="s">
        <v>251</v>
      </c>
      <c r="H88" s="6" t="s">
        <v>237</v>
      </c>
      <c r="I88" s="6" t="s">
        <v>41</v>
      </c>
      <c r="J88" s="33" t="s">
        <v>148</v>
      </c>
      <c r="K88" s="33" t="s">
        <v>1003</v>
      </c>
      <c r="O88" s="6"/>
    </row>
    <row r="89" spans="1:15" ht="15.9" customHeight="1" x14ac:dyDescent="0.3">
      <c r="A89" s="33" t="s">
        <v>253</v>
      </c>
      <c r="B89" s="33"/>
      <c r="C89" s="33" t="s">
        <v>143</v>
      </c>
      <c r="D89" s="33" t="s">
        <v>254</v>
      </c>
      <c r="E89" s="6" t="s">
        <v>149</v>
      </c>
      <c r="F89" s="33" t="s">
        <v>254</v>
      </c>
      <c r="G89" s="33" t="s">
        <v>253</v>
      </c>
      <c r="H89" s="6" t="s">
        <v>237</v>
      </c>
      <c r="I89" s="6" t="s">
        <v>41</v>
      </c>
      <c r="J89" s="33" t="s">
        <v>148</v>
      </c>
      <c r="K89" s="33" t="s">
        <v>1003</v>
      </c>
      <c r="O89" s="6"/>
    </row>
    <row r="90" spans="1:15" ht="15.9" customHeight="1" x14ac:dyDescent="0.3">
      <c r="A90" s="33" t="s">
        <v>255</v>
      </c>
      <c r="B90" s="33"/>
      <c r="C90" s="6" t="s">
        <v>143</v>
      </c>
      <c r="D90" s="33" t="s">
        <v>256</v>
      </c>
      <c r="E90" s="6" t="s">
        <v>149</v>
      </c>
      <c r="F90" s="33" t="s">
        <v>256</v>
      </c>
      <c r="G90" s="33" t="s">
        <v>255</v>
      </c>
      <c r="H90" s="6" t="s">
        <v>237</v>
      </c>
      <c r="I90" s="6" t="s">
        <v>41</v>
      </c>
      <c r="J90" s="33" t="s">
        <v>148</v>
      </c>
      <c r="K90" s="33" t="s">
        <v>1003</v>
      </c>
      <c r="O90" s="6"/>
    </row>
    <row r="91" spans="1:15" x14ac:dyDescent="0.3">
      <c r="A91" s="33" t="s">
        <v>257</v>
      </c>
      <c r="B91" s="33"/>
      <c r="C91" s="33" t="s">
        <v>143</v>
      </c>
      <c r="D91" s="33" t="s">
        <v>258</v>
      </c>
      <c r="E91" s="6" t="s">
        <v>149</v>
      </c>
      <c r="F91" s="33" t="s">
        <v>258</v>
      </c>
      <c r="G91" s="33" t="s">
        <v>257</v>
      </c>
      <c r="H91" s="6" t="s">
        <v>237</v>
      </c>
      <c r="I91" s="6" t="s">
        <v>41</v>
      </c>
      <c r="J91" s="33" t="s">
        <v>148</v>
      </c>
      <c r="K91" s="33" t="s">
        <v>1003</v>
      </c>
      <c r="O91" s="6"/>
    </row>
    <row r="92" spans="1:15" x14ac:dyDescent="0.3">
      <c r="A92" s="33" t="s">
        <v>259</v>
      </c>
      <c r="B92" s="33"/>
      <c r="C92" s="33" t="s">
        <v>143</v>
      </c>
      <c r="D92" s="33" t="s">
        <v>260</v>
      </c>
      <c r="E92" s="6" t="s">
        <v>149</v>
      </c>
      <c r="F92" s="33" t="s">
        <v>260</v>
      </c>
      <c r="G92" s="33" t="s">
        <v>259</v>
      </c>
      <c r="H92" s="6" t="s">
        <v>237</v>
      </c>
      <c r="I92" s="6" t="s">
        <v>244</v>
      </c>
      <c r="J92" s="33" t="s">
        <v>148</v>
      </c>
      <c r="K92" s="33" t="s">
        <v>1003</v>
      </c>
      <c r="O92" s="6"/>
    </row>
    <row r="93" spans="1:15" x14ac:dyDescent="0.3">
      <c r="A93" s="33" t="s">
        <v>261</v>
      </c>
      <c r="B93" s="33"/>
      <c r="C93" s="33" t="s">
        <v>143</v>
      </c>
      <c r="D93" s="33" t="s">
        <v>262</v>
      </c>
      <c r="E93" s="6" t="s">
        <v>149</v>
      </c>
      <c r="F93" s="33" t="s">
        <v>262</v>
      </c>
      <c r="G93" s="33" t="s">
        <v>261</v>
      </c>
      <c r="H93" s="6" t="s">
        <v>237</v>
      </c>
      <c r="I93" s="6" t="s">
        <v>41</v>
      </c>
      <c r="J93" s="33" t="s">
        <v>148</v>
      </c>
      <c r="K93" s="33" t="s">
        <v>1003</v>
      </c>
      <c r="O93" s="6"/>
    </row>
    <row r="94" spans="1:15" x14ac:dyDescent="0.3">
      <c r="A94" s="33" t="s">
        <v>263</v>
      </c>
      <c r="B94" s="33"/>
      <c r="C94" s="33" t="s">
        <v>143</v>
      </c>
      <c r="D94" s="33" t="s">
        <v>264</v>
      </c>
      <c r="E94" s="6" t="s">
        <v>149</v>
      </c>
      <c r="F94" s="33" t="s">
        <v>264</v>
      </c>
      <c r="G94" s="33" t="s">
        <v>263</v>
      </c>
      <c r="H94" s="6" t="s">
        <v>237</v>
      </c>
      <c r="I94" s="6" t="s">
        <v>41</v>
      </c>
      <c r="J94" s="33" t="s">
        <v>148</v>
      </c>
      <c r="K94" s="33" t="s">
        <v>1003</v>
      </c>
      <c r="O94" s="6"/>
    </row>
    <row r="95" spans="1:15" x14ac:dyDescent="0.3">
      <c r="A95" s="33" t="s">
        <v>265</v>
      </c>
      <c r="B95" s="33"/>
      <c r="C95" s="33" t="s">
        <v>143</v>
      </c>
      <c r="D95" s="33" t="s">
        <v>266</v>
      </c>
      <c r="E95" s="6" t="s">
        <v>149</v>
      </c>
      <c r="F95" s="33" t="s">
        <v>266</v>
      </c>
      <c r="G95" s="33" t="s">
        <v>265</v>
      </c>
      <c r="H95" s="6" t="s">
        <v>237</v>
      </c>
      <c r="I95" s="6" t="s">
        <v>41</v>
      </c>
      <c r="J95" s="33" t="s">
        <v>148</v>
      </c>
      <c r="K95" s="33" t="s">
        <v>1003</v>
      </c>
      <c r="O95" s="6"/>
    </row>
    <row r="96" spans="1:15" x14ac:dyDescent="0.3">
      <c r="A96" s="33" t="s">
        <v>267</v>
      </c>
      <c r="B96" s="33"/>
      <c r="C96" s="33" t="s">
        <v>143</v>
      </c>
      <c r="D96" s="33" t="s">
        <v>268</v>
      </c>
      <c r="E96" s="6" t="s">
        <v>149</v>
      </c>
      <c r="F96" s="33" t="s">
        <v>268</v>
      </c>
      <c r="G96" s="33" t="s">
        <v>267</v>
      </c>
      <c r="H96" s="6" t="s">
        <v>237</v>
      </c>
      <c r="I96" s="6" t="s">
        <v>244</v>
      </c>
      <c r="J96" s="33" t="s">
        <v>148</v>
      </c>
      <c r="K96" s="33" t="s">
        <v>1003</v>
      </c>
      <c r="O96" s="6"/>
    </row>
    <row r="97" spans="1:16" x14ac:dyDescent="0.3">
      <c r="A97" s="33" t="s">
        <v>269</v>
      </c>
      <c r="B97" s="33"/>
      <c r="C97" s="33" t="s">
        <v>143</v>
      </c>
      <c r="D97" s="33" t="s">
        <v>270</v>
      </c>
      <c r="E97" s="6" t="s">
        <v>149</v>
      </c>
      <c r="F97" s="33" t="s">
        <v>270</v>
      </c>
      <c r="G97" s="33" t="s">
        <v>269</v>
      </c>
      <c r="H97" s="6" t="s">
        <v>237</v>
      </c>
      <c r="I97" s="6" t="s">
        <v>41</v>
      </c>
      <c r="J97" s="33" t="s">
        <v>148</v>
      </c>
      <c r="K97" s="33" t="s">
        <v>1003</v>
      </c>
      <c r="O97" s="6"/>
    </row>
    <row r="98" spans="1:16" x14ac:dyDescent="0.3">
      <c r="A98" s="33" t="s">
        <v>271</v>
      </c>
      <c r="B98" s="33"/>
      <c r="C98" s="33" t="s">
        <v>143</v>
      </c>
      <c r="D98" s="33" t="s">
        <v>272</v>
      </c>
      <c r="E98" s="6" t="s">
        <v>149</v>
      </c>
      <c r="F98" s="33" t="s">
        <v>272</v>
      </c>
      <c r="G98" s="33" t="s">
        <v>271</v>
      </c>
      <c r="H98" s="6" t="s">
        <v>237</v>
      </c>
      <c r="I98" s="6" t="s">
        <v>41</v>
      </c>
      <c r="J98" s="33" t="s">
        <v>148</v>
      </c>
      <c r="K98" s="33" t="s">
        <v>1003</v>
      </c>
      <c r="O98" s="6"/>
    </row>
    <row r="99" spans="1:16" x14ac:dyDescent="0.3">
      <c r="A99" s="33" t="s">
        <v>273</v>
      </c>
      <c r="B99" s="33"/>
      <c r="C99" s="6" t="s">
        <v>143</v>
      </c>
      <c r="D99" s="33" t="s">
        <v>274</v>
      </c>
      <c r="E99" s="6" t="s">
        <v>149</v>
      </c>
      <c r="F99" s="33" t="s">
        <v>274</v>
      </c>
      <c r="G99" s="33" t="s">
        <v>273</v>
      </c>
      <c r="H99" s="6" t="s">
        <v>237</v>
      </c>
      <c r="I99" s="6" t="s">
        <v>41</v>
      </c>
      <c r="J99" s="33" t="s">
        <v>148</v>
      </c>
      <c r="K99" s="33" t="s">
        <v>1003</v>
      </c>
      <c r="O99" s="6"/>
    </row>
    <row r="100" spans="1:16" x14ac:dyDescent="0.3">
      <c r="A100" s="33" t="s">
        <v>275</v>
      </c>
      <c r="B100" s="33"/>
      <c r="C100" s="33" t="s">
        <v>143</v>
      </c>
      <c r="D100" s="33" t="s">
        <v>276</v>
      </c>
      <c r="E100" s="6" t="s">
        <v>149</v>
      </c>
      <c r="F100" s="33" t="s">
        <v>276</v>
      </c>
      <c r="G100" s="33" t="s">
        <v>275</v>
      </c>
      <c r="H100" s="6" t="s">
        <v>237</v>
      </c>
      <c r="I100" s="6" t="s">
        <v>41</v>
      </c>
      <c r="J100" s="33" t="s">
        <v>148</v>
      </c>
      <c r="K100" s="33" t="s">
        <v>1003</v>
      </c>
      <c r="O100" s="6"/>
    </row>
    <row r="101" spans="1:16" x14ac:dyDescent="0.3">
      <c r="A101" s="33" t="s">
        <v>277</v>
      </c>
      <c r="B101" s="33"/>
      <c r="C101" s="33" t="s">
        <v>143</v>
      </c>
      <c r="D101" s="33" t="s">
        <v>278</v>
      </c>
      <c r="E101" s="6" t="s">
        <v>149</v>
      </c>
      <c r="F101" s="33" t="s">
        <v>278</v>
      </c>
      <c r="G101" s="33" t="s">
        <v>277</v>
      </c>
      <c r="H101" s="6" t="s">
        <v>237</v>
      </c>
      <c r="I101" s="6" t="s">
        <v>41</v>
      </c>
      <c r="J101" s="33" t="s">
        <v>148</v>
      </c>
      <c r="K101" s="33" t="s">
        <v>1003</v>
      </c>
      <c r="O101" s="6"/>
    </row>
    <row r="102" spans="1:16" x14ac:dyDescent="0.3">
      <c r="A102" s="33" t="s">
        <v>279</v>
      </c>
      <c r="B102" s="33"/>
      <c r="C102" s="33" t="s">
        <v>143</v>
      </c>
      <c r="D102" s="33" t="s">
        <v>280</v>
      </c>
      <c r="E102" s="6" t="s">
        <v>149</v>
      </c>
      <c r="F102" s="33" t="s">
        <v>280</v>
      </c>
      <c r="G102" s="33" t="s">
        <v>279</v>
      </c>
      <c r="H102" s="6" t="s">
        <v>237</v>
      </c>
      <c r="I102" s="6" t="s">
        <v>41</v>
      </c>
      <c r="J102" s="33" t="s">
        <v>148</v>
      </c>
      <c r="K102" s="33" t="s">
        <v>1003</v>
      </c>
      <c r="O102" s="6"/>
    </row>
    <row r="103" spans="1:16" x14ac:dyDescent="0.3">
      <c r="A103" s="33" t="s">
        <v>281</v>
      </c>
      <c r="B103" s="33"/>
      <c r="C103" s="33" t="s">
        <v>143</v>
      </c>
      <c r="D103" s="33" t="s">
        <v>282</v>
      </c>
      <c r="E103" s="6" t="s">
        <v>149</v>
      </c>
      <c r="F103" s="33" t="s">
        <v>282</v>
      </c>
      <c r="G103" s="33" t="s">
        <v>281</v>
      </c>
      <c r="H103" s="6" t="s">
        <v>237</v>
      </c>
      <c r="I103" s="6" t="s">
        <v>41</v>
      </c>
      <c r="J103" s="33" t="s">
        <v>148</v>
      </c>
      <c r="K103" s="33" t="s">
        <v>1003</v>
      </c>
      <c r="O103" s="6"/>
    </row>
    <row r="104" spans="1:16" x14ac:dyDescent="0.3">
      <c r="A104" s="33" t="s">
        <v>283</v>
      </c>
      <c r="B104" s="33"/>
      <c r="C104" s="33" t="s">
        <v>143</v>
      </c>
      <c r="D104" s="33" t="s">
        <v>284</v>
      </c>
      <c r="E104" s="6" t="s">
        <v>149</v>
      </c>
      <c r="F104" s="33" t="s">
        <v>284</v>
      </c>
      <c r="G104" s="33" t="s">
        <v>283</v>
      </c>
      <c r="H104" s="6" t="s">
        <v>237</v>
      </c>
      <c r="I104" s="6" t="s">
        <v>41</v>
      </c>
      <c r="J104" s="33" t="s">
        <v>148</v>
      </c>
      <c r="K104" s="33" t="s">
        <v>1003</v>
      </c>
      <c r="O104" s="6"/>
    </row>
    <row r="105" spans="1:16" x14ac:dyDescent="0.3">
      <c r="A105" s="33" t="s">
        <v>285</v>
      </c>
      <c r="B105" s="33"/>
      <c r="C105" s="33" t="s">
        <v>143</v>
      </c>
      <c r="D105" s="33" t="s">
        <v>286</v>
      </c>
      <c r="E105" s="6" t="s">
        <v>149</v>
      </c>
      <c r="F105" s="33" t="s">
        <v>286</v>
      </c>
      <c r="G105" s="33" t="s">
        <v>285</v>
      </c>
      <c r="H105" s="6" t="s">
        <v>237</v>
      </c>
      <c r="I105" s="6" t="s">
        <v>244</v>
      </c>
      <c r="J105" s="33" t="s">
        <v>148</v>
      </c>
      <c r="K105" s="33" t="s">
        <v>1003</v>
      </c>
      <c r="O105" s="6"/>
    </row>
    <row r="106" spans="1:16" x14ac:dyDescent="0.3">
      <c r="A106" s="33" t="s">
        <v>287</v>
      </c>
      <c r="B106" s="33"/>
      <c r="C106" s="33" t="s">
        <v>143</v>
      </c>
      <c r="D106" s="33" t="s">
        <v>288</v>
      </c>
      <c r="E106" s="6" t="s">
        <v>149</v>
      </c>
      <c r="F106" s="33" t="s">
        <v>288</v>
      </c>
      <c r="G106" s="33" t="s">
        <v>287</v>
      </c>
      <c r="H106" s="6" t="s">
        <v>237</v>
      </c>
      <c r="I106" s="6" t="s">
        <v>41</v>
      </c>
      <c r="J106" s="33" t="s">
        <v>148</v>
      </c>
      <c r="K106" s="33" t="s">
        <v>1003</v>
      </c>
      <c r="O106" s="6"/>
    </row>
    <row r="107" spans="1:16" x14ac:dyDescent="0.3">
      <c r="A107" s="33" t="s">
        <v>289</v>
      </c>
      <c r="B107" s="33"/>
      <c r="C107" s="33" t="s">
        <v>143</v>
      </c>
      <c r="D107" s="33" t="s">
        <v>290</v>
      </c>
      <c r="E107" s="6" t="s">
        <v>149</v>
      </c>
      <c r="F107" s="33" t="s">
        <v>290</v>
      </c>
      <c r="G107" s="33" t="s">
        <v>289</v>
      </c>
      <c r="H107" s="6" t="s">
        <v>237</v>
      </c>
      <c r="I107" s="6" t="s">
        <v>41</v>
      </c>
      <c r="J107" s="33" t="s">
        <v>148</v>
      </c>
      <c r="K107" s="33" t="s">
        <v>1003</v>
      </c>
      <c r="O107" s="6"/>
    </row>
    <row r="108" spans="1:16" x14ac:dyDescent="0.3">
      <c r="A108" s="33" t="s">
        <v>291</v>
      </c>
      <c r="B108" s="33"/>
      <c r="C108" s="6" t="s">
        <v>143</v>
      </c>
      <c r="D108" s="33" t="s">
        <v>292</v>
      </c>
      <c r="E108" s="6" t="s">
        <v>149</v>
      </c>
      <c r="F108" s="33" t="s">
        <v>292</v>
      </c>
      <c r="G108" s="33" t="s">
        <v>291</v>
      </c>
      <c r="H108" s="6" t="s">
        <v>237</v>
      </c>
      <c r="I108" s="6" t="s">
        <v>41</v>
      </c>
      <c r="J108" s="33" t="s">
        <v>148</v>
      </c>
      <c r="K108" s="33" t="s">
        <v>1003</v>
      </c>
      <c r="O108" s="6"/>
    </row>
    <row r="109" spans="1:16" x14ac:dyDescent="0.3">
      <c r="A109" s="33" t="s">
        <v>293</v>
      </c>
      <c r="B109" s="33"/>
      <c r="C109" s="33" t="s">
        <v>143</v>
      </c>
      <c r="D109" s="33" t="s">
        <v>294</v>
      </c>
      <c r="E109" s="6" t="s">
        <v>149</v>
      </c>
      <c r="F109" s="33" t="s">
        <v>294</v>
      </c>
      <c r="G109" s="33" t="s">
        <v>293</v>
      </c>
      <c r="H109" s="6" t="s">
        <v>237</v>
      </c>
      <c r="I109" s="6" t="s">
        <v>41</v>
      </c>
      <c r="J109" s="33" t="s">
        <v>148</v>
      </c>
      <c r="K109" s="33" t="s">
        <v>1003</v>
      </c>
      <c r="O109" s="6"/>
    </row>
    <row r="110" spans="1:16" x14ac:dyDescent="0.3">
      <c r="A110" s="33" t="s">
        <v>295</v>
      </c>
      <c r="B110" s="33"/>
      <c r="C110" s="33" t="s">
        <v>143</v>
      </c>
      <c r="D110" s="33" t="s">
        <v>296</v>
      </c>
      <c r="E110" s="6" t="s">
        <v>149</v>
      </c>
      <c r="F110" s="33" t="s">
        <v>296</v>
      </c>
      <c r="G110" s="33" t="s">
        <v>295</v>
      </c>
      <c r="H110" s="6" t="s">
        <v>237</v>
      </c>
      <c r="I110" s="6" t="s">
        <v>41</v>
      </c>
      <c r="J110" s="33" t="s">
        <v>148</v>
      </c>
      <c r="K110" s="33" t="s">
        <v>1003</v>
      </c>
      <c r="O110" s="6"/>
    </row>
    <row r="111" spans="1:16" x14ac:dyDescent="0.3">
      <c r="A111" s="33" t="s">
        <v>297</v>
      </c>
      <c r="B111" s="33"/>
      <c r="C111" s="6" t="s">
        <v>143</v>
      </c>
      <c r="D111" s="33" t="s">
        <v>298</v>
      </c>
      <c r="E111" s="6" t="s">
        <v>149</v>
      </c>
      <c r="F111" s="33" t="s">
        <v>298</v>
      </c>
      <c r="G111" s="33" t="s">
        <v>297</v>
      </c>
      <c r="H111" s="6" t="s">
        <v>237</v>
      </c>
      <c r="I111" s="6" t="s">
        <v>41</v>
      </c>
      <c r="J111" s="33" t="s">
        <v>148</v>
      </c>
      <c r="K111" s="33" t="s">
        <v>1003</v>
      </c>
      <c r="O111" s="6"/>
    </row>
    <row r="112" spans="1:16" ht="30" x14ac:dyDescent="0.3">
      <c r="A112" s="33" t="s">
        <v>299</v>
      </c>
      <c r="B112" s="33"/>
      <c r="C112" s="10" t="s">
        <v>55</v>
      </c>
      <c r="D112" s="6" t="s">
        <v>1017</v>
      </c>
      <c r="E112" s="6" t="s">
        <v>149</v>
      </c>
      <c r="F112" s="33" t="s">
        <v>300</v>
      </c>
      <c r="G112" s="33" t="s">
        <v>299</v>
      </c>
      <c r="H112" s="6" t="s">
        <v>237</v>
      </c>
      <c r="J112" s="33" t="s">
        <v>301</v>
      </c>
      <c r="K112" s="13">
        <v>2020</v>
      </c>
      <c r="N112" s="6" t="s">
        <v>616</v>
      </c>
      <c r="O112" s="28"/>
      <c r="P112" s="31" t="s">
        <v>1018</v>
      </c>
    </row>
    <row r="113" spans="1:16" x14ac:dyDescent="0.3">
      <c r="A113" s="33" t="s">
        <v>302</v>
      </c>
      <c r="B113" s="33"/>
      <c r="C113" s="33" t="s">
        <v>143</v>
      </c>
      <c r="D113" s="33" t="s">
        <v>303</v>
      </c>
      <c r="E113" s="6" t="s">
        <v>149</v>
      </c>
      <c r="F113" s="33" t="s">
        <v>303</v>
      </c>
      <c r="G113" s="33" t="s">
        <v>302</v>
      </c>
      <c r="H113" s="6" t="s">
        <v>237</v>
      </c>
      <c r="I113" s="6" t="s">
        <v>41</v>
      </c>
      <c r="J113" s="33" t="s">
        <v>148</v>
      </c>
      <c r="K113" s="33" t="s">
        <v>1003</v>
      </c>
      <c r="O113" s="6"/>
    </row>
    <row r="114" spans="1:16" x14ac:dyDescent="0.3">
      <c r="A114" s="33" t="s">
        <v>304</v>
      </c>
      <c r="B114" s="33"/>
      <c r="C114" s="33" t="s">
        <v>143</v>
      </c>
      <c r="D114" s="33" t="s">
        <v>305</v>
      </c>
      <c r="E114" s="6" t="s">
        <v>149</v>
      </c>
      <c r="F114" s="33" t="s">
        <v>305</v>
      </c>
      <c r="G114" s="33" t="s">
        <v>304</v>
      </c>
      <c r="H114" s="6" t="s">
        <v>237</v>
      </c>
      <c r="I114" s="6" t="s">
        <v>41</v>
      </c>
      <c r="J114" s="33" t="s">
        <v>148</v>
      </c>
      <c r="K114" s="33" t="s">
        <v>1003</v>
      </c>
      <c r="O114" s="6"/>
    </row>
    <row r="115" spans="1:16" x14ac:dyDescent="0.3">
      <c r="A115" s="33" t="s">
        <v>306</v>
      </c>
      <c r="B115" s="33"/>
      <c r="C115" s="6" t="s">
        <v>143</v>
      </c>
      <c r="D115" s="33" t="s">
        <v>307</v>
      </c>
      <c r="E115" s="6" t="s">
        <v>149</v>
      </c>
      <c r="F115" s="33" t="s">
        <v>307</v>
      </c>
      <c r="G115" s="33" t="s">
        <v>306</v>
      </c>
      <c r="H115" s="6" t="s">
        <v>237</v>
      </c>
      <c r="I115" s="6" t="s">
        <v>41</v>
      </c>
      <c r="J115" s="33" t="s">
        <v>148</v>
      </c>
      <c r="K115" s="33" t="s">
        <v>1003</v>
      </c>
      <c r="O115" s="6"/>
    </row>
    <row r="116" spans="1:16" x14ac:dyDescent="0.3">
      <c r="A116" s="33" t="s">
        <v>308</v>
      </c>
      <c r="B116" s="33"/>
      <c r="C116" s="33" t="s">
        <v>143</v>
      </c>
      <c r="D116" s="33" t="s">
        <v>309</v>
      </c>
      <c r="E116" s="6" t="s">
        <v>149</v>
      </c>
      <c r="F116" s="33" t="s">
        <v>309</v>
      </c>
      <c r="G116" s="33" t="s">
        <v>308</v>
      </c>
      <c r="H116" s="6" t="s">
        <v>237</v>
      </c>
      <c r="I116" s="6" t="s">
        <v>41</v>
      </c>
      <c r="J116" s="33" t="s">
        <v>148</v>
      </c>
      <c r="K116" s="33" t="s">
        <v>1003</v>
      </c>
      <c r="O116" s="6"/>
    </row>
    <row r="117" spans="1:16" x14ac:dyDescent="0.3">
      <c r="A117" s="33" t="s">
        <v>310</v>
      </c>
      <c r="B117" s="33"/>
      <c r="C117" s="33" t="s">
        <v>143</v>
      </c>
      <c r="D117" s="33" t="s">
        <v>311</v>
      </c>
      <c r="E117" s="6" t="s">
        <v>149</v>
      </c>
      <c r="F117" s="33" t="s">
        <v>311</v>
      </c>
      <c r="G117" s="33" t="s">
        <v>310</v>
      </c>
      <c r="H117" s="6" t="s">
        <v>237</v>
      </c>
      <c r="I117" s="6" t="s">
        <v>244</v>
      </c>
      <c r="J117" s="33" t="s">
        <v>148</v>
      </c>
      <c r="K117" s="33" t="s">
        <v>1003</v>
      </c>
      <c r="O117" s="6"/>
    </row>
    <row r="118" spans="1:16" x14ac:dyDescent="0.3">
      <c r="A118" s="33" t="s">
        <v>312</v>
      </c>
      <c r="B118" s="33"/>
      <c r="C118" s="33" t="s">
        <v>147</v>
      </c>
      <c r="D118" s="33" t="s">
        <v>313</v>
      </c>
      <c r="E118" s="6" t="s">
        <v>149</v>
      </c>
      <c r="F118" s="33" t="s">
        <v>313</v>
      </c>
      <c r="G118" s="33" t="s">
        <v>312</v>
      </c>
      <c r="H118" s="6" t="s">
        <v>237</v>
      </c>
      <c r="I118" s="6" t="s">
        <v>152</v>
      </c>
      <c r="J118" s="33" t="s">
        <v>148</v>
      </c>
      <c r="K118" s="33" t="s">
        <v>1003</v>
      </c>
      <c r="O118" s="6"/>
    </row>
    <row r="119" spans="1:16" x14ac:dyDescent="0.3">
      <c r="A119" s="33" t="s">
        <v>314</v>
      </c>
      <c r="B119" s="33"/>
      <c r="C119" s="33" t="s">
        <v>147</v>
      </c>
      <c r="D119" s="33" t="s">
        <v>315</v>
      </c>
      <c r="E119" s="6" t="s">
        <v>149</v>
      </c>
      <c r="F119" s="33" t="s">
        <v>315</v>
      </c>
      <c r="G119" s="33" t="s">
        <v>314</v>
      </c>
      <c r="H119" s="6" t="s">
        <v>237</v>
      </c>
      <c r="I119" s="6" t="s">
        <v>146</v>
      </c>
      <c r="J119" s="33" t="s">
        <v>148</v>
      </c>
      <c r="K119" s="33" t="s">
        <v>1003</v>
      </c>
    </row>
    <row r="120" spans="1:16" x14ac:dyDescent="0.3">
      <c r="A120" s="33" t="s">
        <v>316</v>
      </c>
      <c r="B120" s="33"/>
      <c r="C120" s="33" t="s">
        <v>147</v>
      </c>
      <c r="D120" s="33" t="s">
        <v>317</v>
      </c>
      <c r="E120" s="6" t="s">
        <v>149</v>
      </c>
      <c r="F120" s="33" t="s">
        <v>317</v>
      </c>
      <c r="G120" s="33" t="s">
        <v>316</v>
      </c>
      <c r="H120" s="6" t="s">
        <v>237</v>
      </c>
      <c r="I120" s="6" t="s">
        <v>146</v>
      </c>
      <c r="J120" s="33" t="s">
        <v>148</v>
      </c>
      <c r="K120" s="33" t="s">
        <v>1003</v>
      </c>
    </row>
    <row r="121" spans="1:16" x14ac:dyDescent="0.3">
      <c r="A121" s="33" t="s">
        <v>318</v>
      </c>
      <c r="B121" s="33"/>
      <c r="C121" s="33" t="s">
        <v>147</v>
      </c>
      <c r="D121" s="33" t="s">
        <v>319</v>
      </c>
      <c r="E121" s="6" t="s">
        <v>149</v>
      </c>
      <c r="F121" s="33" t="s">
        <v>319</v>
      </c>
      <c r="G121" s="33" t="s">
        <v>318</v>
      </c>
      <c r="H121" s="6" t="s">
        <v>237</v>
      </c>
      <c r="I121" s="6" t="s">
        <v>152</v>
      </c>
      <c r="J121" s="33" t="s">
        <v>148</v>
      </c>
      <c r="K121" s="33" t="s">
        <v>1003</v>
      </c>
      <c r="O121" s="6"/>
    </row>
    <row r="122" spans="1:16" x14ac:dyDescent="0.3">
      <c r="A122" s="33" t="s">
        <v>320</v>
      </c>
      <c r="B122" s="33"/>
      <c r="C122" s="33" t="s">
        <v>147</v>
      </c>
      <c r="D122" s="33" t="s">
        <v>321</v>
      </c>
      <c r="E122" s="6" t="s">
        <v>149</v>
      </c>
      <c r="F122" s="33" t="s">
        <v>321</v>
      </c>
      <c r="G122" s="33" t="s">
        <v>320</v>
      </c>
      <c r="H122" s="6" t="s">
        <v>237</v>
      </c>
      <c r="I122" s="6" t="s">
        <v>146</v>
      </c>
      <c r="J122" s="33" t="s">
        <v>148</v>
      </c>
      <c r="K122" s="33" t="s">
        <v>1003</v>
      </c>
    </row>
    <row r="123" spans="1:16" x14ac:dyDescent="0.3">
      <c r="A123" s="33" t="s">
        <v>322</v>
      </c>
      <c r="B123" s="33"/>
      <c r="C123" s="33" t="s">
        <v>147</v>
      </c>
      <c r="D123" s="33" t="s">
        <v>323</v>
      </c>
      <c r="E123" s="6" t="s">
        <v>149</v>
      </c>
      <c r="F123" s="33" t="s">
        <v>323</v>
      </c>
      <c r="G123" s="33" t="s">
        <v>322</v>
      </c>
      <c r="H123" s="6" t="s">
        <v>237</v>
      </c>
      <c r="I123" s="6" t="s">
        <v>146</v>
      </c>
      <c r="J123" s="33" t="s">
        <v>148</v>
      </c>
      <c r="K123" s="33" t="s">
        <v>1003</v>
      </c>
    </row>
    <row r="124" spans="1:16" x14ac:dyDescent="0.3">
      <c r="A124" s="33" t="s">
        <v>324</v>
      </c>
      <c r="B124" s="33"/>
      <c r="C124" s="33" t="s">
        <v>147</v>
      </c>
      <c r="D124" s="33" t="s">
        <v>325</v>
      </c>
      <c r="E124" s="6" t="s">
        <v>149</v>
      </c>
      <c r="F124" s="33" t="s">
        <v>325</v>
      </c>
      <c r="G124" s="33" t="s">
        <v>324</v>
      </c>
      <c r="H124" s="6" t="s">
        <v>237</v>
      </c>
      <c r="I124" s="6" t="s">
        <v>152</v>
      </c>
      <c r="J124" s="33" t="s">
        <v>148</v>
      </c>
      <c r="K124" s="33" t="s">
        <v>1003</v>
      </c>
      <c r="O124" s="6"/>
    </row>
    <row r="125" spans="1:16" x14ac:dyDescent="0.3">
      <c r="A125" s="33" t="s">
        <v>326</v>
      </c>
      <c r="B125" s="33"/>
      <c r="C125" s="33" t="s">
        <v>147</v>
      </c>
      <c r="D125" s="33" t="s">
        <v>327</v>
      </c>
      <c r="E125" s="6" t="s">
        <v>149</v>
      </c>
      <c r="F125" s="33" t="s">
        <v>327</v>
      </c>
      <c r="G125" s="33" t="s">
        <v>326</v>
      </c>
      <c r="H125" s="6" t="s">
        <v>237</v>
      </c>
      <c r="I125" s="6" t="s">
        <v>146</v>
      </c>
      <c r="J125" s="33" t="s">
        <v>148</v>
      </c>
      <c r="K125" s="33" t="s">
        <v>1003</v>
      </c>
    </row>
    <row r="126" spans="1:16" x14ac:dyDescent="0.3">
      <c r="A126" s="33" t="s">
        <v>328</v>
      </c>
      <c r="B126" s="33"/>
      <c r="C126" s="33" t="s">
        <v>147</v>
      </c>
      <c r="D126" s="33" t="s">
        <v>329</v>
      </c>
      <c r="E126" s="6" t="s">
        <v>149</v>
      </c>
      <c r="F126" s="33" t="s">
        <v>329</v>
      </c>
      <c r="G126" s="33" t="s">
        <v>328</v>
      </c>
      <c r="H126" s="6" t="s">
        <v>237</v>
      </c>
      <c r="I126" s="6" t="s">
        <v>146</v>
      </c>
      <c r="J126" s="33" t="s">
        <v>148</v>
      </c>
      <c r="K126" s="33" t="s">
        <v>1003</v>
      </c>
      <c r="O126" s="6"/>
    </row>
    <row r="127" spans="1:16" ht="30" x14ac:dyDescent="0.3">
      <c r="A127" s="6" t="s">
        <v>330</v>
      </c>
      <c r="C127" s="6" t="s">
        <v>143</v>
      </c>
      <c r="D127" s="6" t="s">
        <v>1019</v>
      </c>
      <c r="E127" s="6" t="s">
        <v>123</v>
      </c>
      <c r="F127" s="6" t="s">
        <v>331</v>
      </c>
      <c r="G127" s="6" t="s">
        <v>330</v>
      </c>
      <c r="H127" s="6" t="s">
        <v>237</v>
      </c>
      <c r="I127" s="6" t="s">
        <v>41</v>
      </c>
      <c r="J127" s="6" t="s">
        <v>138</v>
      </c>
      <c r="K127" s="13">
        <v>2023</v>
      </c>
      <c r="L127" s="13">
        <v>2023</v>
      </c>
      <c r="M127" s="6" t="s">
        <v>640</v>
      </c>
      <c r="N127" s="6" t="s">
        <v>745</v>
      </c>
      <c r="O127" s="31" t="s">
        <v>885</v>
      </c>
    </row>
    <row r="128" spans="1:16" ht="30" x14ac:dyDescent="0.3">
      <c r="A128" s="6" t="s">
        <v>332</v>
      </c>
      <c r="C128" s="6" t="s">
        <v>201</v>
      </c>
      <c r="D128" s="6" t="s">
        <v>1020</v>
      </c>
      <c r="E128" s="6" t="s">
        <v>123</v>
      </c>
      <c r="F128" s="6" t="s">
        <v>333</v>
      </c>
      <c r="G128" s="6" t="s">
        <v>332</v>
      </c>
      <c r="H128" s="6" t="s">
        <v>28</v>
      </c>
      <c r="I128" s="6" t="s">
        <v>41</v>
      </c>
      <c r="J128" s="6" t="s">
        <v>138</v>
      </c>
      <c r="K128" s="13">
        <v>2023</v>
      </c>
      <c r="L128" s="13">
        <v>2023</v>
      </c>
      <c r="M128" s="6" t="s">
        <v>640</v>
      </c>
      <c r="N128" s="6" t="s">
        <v>745</v>
      </c>
      <c r="O128" s="31" t="s">
        <v>684</v>
      </c>
      <c r="P128" s="31" t="s">
        <v>685</v>
      </c>
    </row>
    <row r="129" spans="1:16" ht="30" x14ac:dyDescent="0.3">
      <c r="A129" s="6" t="s">
        <v>338</v>
      </c>
      <c r="C129" s="6" t="s">
        <v>201</v>
      </c>
      <c r="D129" s="6" t="s">
        <v>1021</v>
      </c>
      <c r="E129" s="6" t="s">
        <v>123</v>
      </c>
      <c r="F129" s="6" t="s">
        <v>339</v>
      </c>
      <c r="G129" s="6" t="s">
        <v>338</v>
      </c>
      <c r="H129" s="6" t="s">
        <v>28</v>
      </c>
      <c r="I129" s="6" t="s">
        <v>41</v>
      </c>
      <c r="J129" s="6" t="s">
        <v>138</v>
      </c>
      <c r="K129" s="13">
        <v>2023</v>
      </c>
      <c r="L129" s="13">
        <v>2023</v>
      </c>
      <c r="M129" s="6" t="s">
        <v>640</v>
      </c>
      <c r="N129" s="6" t="s">
        <v>745</v>
      </c>
      <c r="O129" s="31" t="s">
        <v>691</v>
      </c>
      <c r="P129" s="31" t="s">
        <v>692</v>
      </c>
    </row>
    <row r="130" spans="1:16" ht="30" x14ac:dyDescent="0.3">
      <c r="A130" s="6" t="s">
        <v>346</v>
      </c>
      <c r="C130" s="6" t="s">
        <v>201</v>
      </c>
      <c r="D130" s="6" t="s">
        <v>1022</v>
      </c>
      <c r="E130" s="6" t="s">
        <v>123</v>
      </c>
      <c r="F130" s="6" t="s">
        <v>347</v>
      </c>
      <c r="G130" s="6" t="s">
        <v>346</v>
      </c>
      <c r="H130" s="6" t="s">
        <v>28</v>
      </c>
      <c r="I130" s="6" t="s">
        <v>41</v>
      </c>
      <c r="J130" s="6" t="s">
        <v>138</v>
      </c>
      <c r="K130" s="13">
        <v>2023</v>
      </c>
      <c r="L130" s="13">
        <v>2023</v>
      </c>
      <c r="M130" s="6" t="s">
        <v>640</v>
      </c>
      <c r="N130" s="6" t="s">
        <v>745</v>
      </c>
      <c r="O130" s="31" t="s">
        <v>684</v>
      </c>
      <c r="P130" s="31" t="s">
        <v>685</v>
      </c>
    </row>
    <row r="131" spans="1:16" ht="30" x14ac:dyDescent="0.3">
      <c r="A131" s="6" t="s">
        <v>352</v>
      </c>
      <c r="C131" s="6" t="s">
        <v>201</v>
      </c>
      <c r="D131" s="6" t="s">
        <v>1023</v>
      </c>
      <c r="E131" s="6" t="s">
        <v>123</v>
      </c>
      <c r="F131" s="6" t="s">
        <v>353</v>
      </c>
      <c r="G131" s="6" t="s">
        <v>352</v>
      </c>
      <c r="H131" s="6" t="s">
        <v>28</v>
      </c>
      <c r="I131" s="6" t="s">
        <v>41</v>
      </c>
      <c r="J131" s="6" t="s">
        <v>138</v>
      </c>
      <c r="K131" s="13">
        <v>2023</v>
      </c>
      <c r="L131" s="13">
        <v>2023</v>
      </c>
      <c r="M131" s="6" t="s">
        <v>640</v>
      </c>
      <c r="N131" s="6" t="s">
        <v>745</v>
      </c>
      <c r="O131" s="31" t="s">
        <v>696</v>
      </c>
      <c r="P131" s="31" t="s">
        <v>692</v>
      </c>
    </row>
    <row r="132" spans="1:16" x14ac:dyDescent="0.3">
      <c r="A132" s="33" t="s">
        <v>360</v>
      </c>
      <c r="B132" s="33"/>
      <c r="C132" s="33" t="s">
        <v>143</v>
      </c>
      <c r="D132" s="33" t="s">
        <v>361</v>
      </c>
      <c r="E132" s="6" t="s">
        <v>149</v>
      </c>
      <c r="F132" s="33" t="s">
        <v>361</v>
      </c>
      <c r="G132" s="33" t="s">
        <v>360</v>
      </c>
      <c r="H132" s="6" t="s">
        <v>237</v>
      </c>
      <c r="I132" s="6" t="s">
        <v>244</v>
      </c>
      <c r="J132" s="33" t="s">
        <v>148</v>
      </c>
      <c r="K132" s="33" t="s">
        <v>1003</v>
      </c>
      <c r="O132" s="6"/>
    </row>
    <row r="133" spans="1:16" x14ac:dyDescent="0.3">
      <c r="A133" s="33" t="s">
        <v>362</v>
      </c>
      <c r="B133" s="33"/>
      <c r="C133" s="33" t="s">
        <v>143</v>
      </c>
      <c r="D133" s="33" t="s">
        <v>363</v>
      </c>
      <c r="E133" s="6" t="s">
        <v>149</v>
      </c>
      <c r="F133" s="33" t="s">
        <v>363</v>
      </c>
      <c r="G133" s="33" t="s">
        <v>362</v>
      </c>
      <c r="H133" s="6" t="s">
        <v>237</v>
      </c>
      <c r="I133" s="6" t="s">
        <v>244</v>
      </c>
      <c r="J133" s="33" t="s">
        <v>148</v>
      </c>
      <c r="K133" s="33" t="s">
        <v>1003</v>
      </c>
      <c r="O133" s="6"/>
    </row>
    <row r="134" spans="1:16" x14ac:dyDescent="0.3">
      <c r="A134" s="33" t="s">
        <v>364</v>
      </c>
      <c r="B134" s="33"/>
      <c r="C134" s="33" t="s">
        <v>143</v>
      </c>
      <c r="D134" s="33" t="s">
        <v>365</v>
      </c>
      <c r="E134" s="6" t="s">
        <v>149</v>
      </c>
      <c r="F134" s="33" t="s">
        <v>365</v>
      </c>
      <c r="G134" s="33" t="s">
        <v>364</v>
      </c>
      <c r="H134" s="6" t="s">
        <v>237</v>
      </c>
      <c r="I134" s="6" t="s">
        <v>244</v>
      </c>
      <c r="J134" s="33" t="s">
        <v>148</v>
      </c>
      <c r="K134" s="33" t="s">
        <v>1003</v>
      </c>
      <c r="O134" s="6"/>
    </row>
    <row r="135" spans="1:16" x14ac:dyDescent="0.3">
      <c r="A135" s="33" t="s">
        <v>366</v>
      </c>
      <c r="B135" s="33"/>
      <c r="C135" s="33" t="s">
        <v>143</v>
      </c>
      <c r="D135" s="33" t="s">
        <v>367</v>
      </c>
      <c r="E135" s="6" t="s">
        <v>149</v>
      </c>
      <c r="F135" s="33" t="s">
        <v>367</v>
      </c>
      <c r="G135" s="33" t="s">
        <v>366</v>
      </c>
      <c r="H135" s="6" t="s">
        <v>237</v>
      </c>
      <c r="I135" s="6" t="s">
        <v>244</v>
      </c>
      <c r="J135" s="33" t="s">
        <v>148</v>
      </c>
      <c r="K135" s="33" t="s">
        <v>1003</v>
      </c>
      <c r="O135" s="6"/>
    </row>
    <row r="136" spans="1:16" x14ac:dyDescent="0.3">
      <c r="A136" s="33" t="s">
        <v>368</v>
      </c>
      <c r="B136" s="33"/>
      <c r="C136" s="33" t="s">
        <v>143</v>
      </c>
      <c r="D136" s="33" t="s">
        <v>369</v>
      </c>
      <c r="E136" s="6" t="s">
        <v>149</v>
      </c>
      <c r="F136" s="33" t="s">
        <v>369</v>
      </c>
      <c r="G136" s="33" t="s">
        <v>368</v>
      </c>
      <c r="H136" s="6" t="s">
        <v>237</v>
      </c>
      <c r="I136" s="6" t="s">
        <v>244</v>
      </c>
      <c r="J136" s="33" t="s">
        <v>148</v>
      </c>
      <c r="K136" s="33" t="s">
        <v>1003</v>
      </c>
      <c r="O136" s="6"/>
    </row>
    <row r="137" spans="1:16" x14ac:dyDescent="0.3">
      <c r="A137" s="33" t="s">
        <v>370</v>
      </c>
      <c r="B137" s="33"/>
      <c r="C137" s="33" t="s">
        <v>143</v>
      </c>
      <c r="D137" s="33" t="s">
        <v>371</v>
      </c>
      <c r="E137" s="6" t="s">
        <v>149</v>
      </c>
      <c r="F137" s="33" t="s">
        <v>371</v>
      </c>
      <c r="G137" s="33" t="s">
        <v>370</v>
      </c>
      <c r="H137" s="6" t="s">
        <v>237</v>
      </c>
      <c r="I137" s="6" t="s">
        <v>244</v>
      </c>
      <c r="J137" s="33" t="s">
        <v>148</v>
      </c>
      <c r="K137" s="33" t="s">
        <v>1003</v>
      </c>
      <c r="O137" s="6"/>
    </row>
    <row r="138" spans="1:16" x14ac:dyDescent="0.3">
      <c r="A138" s="33" t="s">
        <v>372</v>
      </c>
      <c r="B138" s="33"/>
      <c r="C138" s="33" t="s">
        <v>143</v>
      </c>
      <c r="D138" s="33" t="s">
        <v>373</v>
      </c>
      <c r="E138" s="6" t="s">
        <v>149</v>
      </c>
      <c r="F138" s="33" t="s">
        <v>373</v>
      </c>
      <c r="G138" s="33" t="s">
        <v>372</v>
      </c>
      <c r="H138" s="6" t="s">
        <v>237</v>
      </c>
      <c r="I138" s="6" t="s">
        <v>244</v>
      </c>
      <c r="J138" s="33" t="s">
        <v>148</v>
      </c>
      <c r="K138" s="33" t="s">
        <v>1003</v>
      </c>
      <c r="O138" s="6"/>
    </row>
    <row r="139" spans="1:16" x14ac:dyDescent="0.3">
      <c r="A139" s="33" t="s">
        <v>374</v>
      </c>
      <c r="B139" s="33"/>
      <c r="C139" s="33" t="s">
        <v>143</v>
      </c>
      <c r="D139" s="33" t="s">
        <v>375</v>
      </c>
      <c r="E139" s="6" t="s">
        <v>149</v>
      </c>
      <c r="F139" s="33" t="s">
        <v>375</v>
      </c>
      <c r="G139" s="33" t="s">
        <v>374</v>
      </c>
      <c r="H139" s="6" t="s">
        <v>237</v>
      </c>
      <c r="I139" s="6" t="s">
        <v>244</v>
      </c>
      <c r="J139" s="33" t="s">
        <v>148</v>
      </c>
      <c r="K139" s="33" t="s">
        <v>1003</v>
      </c>
      <c r="O139" s="6"/>
    </row>
    <row r="140" spans="1:16" x14ac:dyDescent="0.3">
      <c r="A140" s="33" t="s">
        <v>376</v>
      </c>
      <c r="B140" s="33"/>
      <c r="C140" s="33" t="s">
        <v>143</v>
      </c>
      <c r="D140" s="33" t="s">
        <v>377</v>
      </c>
      <c r="E140" s="6" t="s">
        <v>149</v>
      </c>
      <c r="F140" s="33" t="s">
        <v>377</v>
      </c>
      <c r="G140" s="33" t="s">
        <v>376</v>
      </c>
      <c r="H140" s="6" t="s">
        <v>237</v>
      </c>
      <c r="I140" s="6" t="s">
        <v>244</v>
      </c>
      <c r="J140" s="33" t="s">
        <v>148</v>
      </c>
      <c r="K140" s="33" t="s">
        <v>1003</v>
      </c>
      <c r="O140" s="6"/>
    </row>
    <row r="141" spans="1:16" x14ac:dyDescent="0.3">
      <c r="A141" s="33" t="s">
        <v>378</v>
      </c>
      <c r="B141" s="33"/>
      <c r="C141" s="33" t="s">
        <v>143</v>
      </c>
      <c r="D141" s="33" t="s">
        <v>379</v>
      </c>
      <c r="E141" s="6" t="s">
        <v>149</v>
      </c>
      <c r="F141" s="33" t="s">
        <v>379</v>
      </c>
      <c r="G141" s="33" t="s">
        <v>378</v>
      </c>
      <c r="H141" s="6" t="s">
        <v>237</v>
      </c>
      <c r="I141" s="6" t="s">
        <v>244</v>
      </c>
      <c r="J141" s="33" t="s">
        <v>148</v>
      </c>
      <c r="K141" s="33" t="s">
        <v>1003</v>
      </c>
      <c r="O141" s="6"/>
    </row>
    <row r="142" spans="1:16" x14ac:dyDescent="0.3">
      <c r="A142" s="33" t="s">
        <v>380</v>
      </c>
      <c r="B142" s="33"/>
      <c r="C142" s="33" t="s">
        <v>143</v>
      </c>
      <c r="D142" s="33" t="s">
        <v>381</v>
      </c>
      <c r="E142" s="6" t="s">
        <v>149</v>
      </c>
      <c r="F142" s="33" t="s">
        <v>381</v>
      </c>
      <c r="G142" s="33" t="s">
        <v>380</v>
      </c>
      <c r="H142" s="6" t="s">
        <v>237</v>
      </c>
      <c r="I142" s="6" t="s">
        <v>244</v>
      </c>
      <c r="J142" s="33" t="s">
        <v>148</v>
      </c>
      <c r="K142" s="33" t="s">
        <v>1003</v>
      </c>
      <c r="O142" s="6"/>
    </row>
    <row r="143" spans="1:16" x14ac:dyDescent="0.3">
      <c r="A143" s="33" t="s">
        <v>382</v>
      </c>
      <c r="B143" s="33"/>
      <c r="C143" s="33" t="s">
        <v>143</v>
      </c>
      <c r="D143" s="33" t="s">
        <v>383</v>
      </c>
      <c r="E143" s="6" t="s">
        <v>149</v>
      </c>
      <c r="F143" s="33" t="s">
        <v>383</v>
      </c>
      <c r="G143" s="33" t="s">
        <v>382</v>
      </c>
      <c r="H143" s="6" t="s">
        <v>237</v>
      </c>
      <c r="I143" s="6" t="s">
        <v>244</v>
      </c>
      <c r="J143" s="33" t="s">
        <v>148</v>
      </c>
      <c r="K143" s="33" t="s">
        <v>1003</v>
      </c>
      <c r="O143" s="6"/>
    </row>
    <row r="144" spans="1:16" x14ac:dyDescent="0.3">
      <c r="A144" s="33" t="s">
        <v>384</v>
      </c>
      <c r="B144" s="33"/>
      <c r="C144" s="33" t="s">
        <v>143</v>
      </c>
      <c r="D144" s="33" t="s">
        <v>385</v>
      </c>
      <c r="E144" s="6" t="s">
        <v>149</v>
      </c>
      <c r="F144" s="33" t="s">
        <v>385</v>
      </c>
      <c r="G144" s="33" t="s">
        <v>384</v>
      </c>
      <c r="H144" s="6" t="s">
        <v>237</v>
      </c>
      <c r="I144" s="6" t="s">
        <v>244</v>
      </c>
      <c r="J144" s="33" t="s">
        <v>148</v>
      </c>
      <c r="K144" s="33" t="s">
        <v>1003</v>
      </c>
      <c r="O144" s="6"/>
    </row>
    <row r="145" spans="1:15" x14ac:dyDescent="0.3">
      <c r="A145" s="33" t="s">
        <v>386</v>
      </c>
      <c r="B145" s="33"/>
      <c r="C145" s="33" t="s">
        <v>143</v>
      </c>
      <c r="D145" s="33" t="s">
        <v>387</v>
      </c>
      <c r="E145" s="6" t="s">
        <v>149</v>
      </c>
      <c r="F145" s="33" t="s">
        <v>387</v>
      </c>
      <c r="G145" s="33" t="s">
        <v>386</v>
      </c>
      <c r="H145" s="6" t="s">
        <v>237</v>
      </c>
      <c r="I145" s="6" t="s">
        <v>244</v>
      </c>
      <c r="J145" s="33" t="s">
        <v>148</v>
      </c>
      <c r="K145" s="33" t="s">
        <v>1003</v>
      </c>
      <c r="O145" s="6"/>
    </row>
    <row r="146" spans="1:15" x14ac:dyDescent="0.3">
      <c r="A146" s="33" t="s">
        <v>388</v>
      </c>
      <c r="B146" s="33"/>
      <c r="C146" s="33" t="s">
        <v>143</v>
      </c>
      <c r="D146" s="33" t="s">
        <v>389</v>
      </c>
      <c r="E146" s="6" t="s">
        <v>149</v>
      </c>
      <c r="F146" s="33" t="s">
        <v>389</v>
      </c>
      <c r="G146" s="33" t="s">
        <v>388</v>
      </c>
      <c r="H146" s="6" t="s">
        <v>237</v>
      </c>
      <c r="I146" s="6" t="s">
        <v>244</v>
      </c>
      <c r="J146" s="33" t="s">
        <v>148</v>
      </c>
      <c r="K146" s="33" t="s">
        <v>1003</v>
      </c>
      <c r="O146" s="6"/>
    </row>
    <row r="147" spans="1:15" x14ac:dyDescent="0.3">
      <c r="A147" s="33" t="s">
        <v>390</v>
      </c>
      <c r="B147" s="33"/>
      <c r="C147" s="33" t="s">
        <v>143</v>
      </c>
      <c r="D147" s="33" t="s">
        <v>391</v>
      </c>
      <c r="E147" s="6" t="s">
        <v>149</v>
      </c>
      <c r="F147" s="33" t="s">
        <v>391</v>
      </c>
      <c r="G147" s="33" t="s">
        <v>390</v>
      </c>
      <c r="H147" s="6" t="s">
        <v>237</v>
      </c>
      <c r="I147" s="6" t="s">
        <v>244</v>
      </c>
      <c r="J147" s="33" t="s">
        <v>148</v>
      </c>
      <c r="K147" s="33" t="s">
        <v>1003</v>
      </c>
      <c r="O147" s="6"/>
    </row>
    <row r="148" spans="1:15" x14ac:dyDescent="0.3">
      <c r="A148" s="33" t="s">
        <v>392</v>
      </c>
      <c r="B148" s="33"/>
      <c r="C148" s="33" t="s">
        <v>143</v>
      </c>
      <c r="D148" s="33" t="s">
        <v>393</v>
      </c>
      <c r="E148" s="6" t="s">
        <v>149</v>
      </c>
      <c r="F148" s="33" t="s">
        <v>393</v>
      </c>
      <c r="G148" s="33" t="s">
        <v>392</v>
      </c>
      <c r="H148" s="6" t="s">
        <v>237</v>
      </c>
      <c r="I148" s="6" t="s">
        <v>244</v>
      </c>
      <c r="J148" s="6" t="s">
        <v>148</v>
      </c>
      <c r="K148" s="33" t="s">
        <v>1003</v>
      </c>
    </row>
    <row r="149" spans="1:15" x14ac:dyDescent="0.3">
      <c r="A149" s="33" t="s">
        <v>394</v>
      </c>
      <c r="B149" s="33"/>
      <c r="C149" s="33" t="s">
        <v>143</v>
      </c>
      <c r="D149" s="33" t="s">
        <v>395</v>
      </c>
      <c r="E149" s="6" t="s">
        <v>149</v>
      </c>
      <c r="F149" s="33" t="s">
        <v>395</v>
      </c>
      <c r="G149" s="33" t="s">
        <v>394</v>
      </c>
      <c r="H149" s="6" t="s">
        <v>237</v>
      </c>
      <c r="I149" s="6" t="s">
        <v>244</v>
      </c>
      <c r="J149" s="33" t="s">
        <v>148</v>
      </c>
      <c r="K149" s="33" t="s">
        <v>1003</v>
      </c>
      <c r="O149" s="6"/>
    </row>
    <row r="150" spans="1:15" x14ac:dyDescent="0.3">
      <c r="A150" s="33" t="s">
        <v>396</v>
      </c>
      <c r="B150" s="33"/>
      <c r="C150" s="33" t="s">
        <v>143</v>
      </c>
      <c r="D150" s="33" t="s">
        <v>397</v>
      </c>
      <c r="E150" s="6" t="s">
        <v>149</v>
      </c>
      <c r="F150" s="33" t="s">
        <v>397</v>
      </c>
      <c r="G150" s="33" t="s">
        <v>396</v>
      </c>
      <c r="H150" s="6" t="s">
        <v>237</v>
      </c>
      <c r="I150" s="6" t="s">
        <v>244</v>
      </c>
      <c r="J150" s="33" t="s">
        <v>148</v>
      </c>
      <c r="K150" s="33" t="s">
        <v>1003</v>
      </c>
      <c r="O150" s="6"/>
    </row>
    <row r="151" spans="1:15" x14ac:dyDescent="0.3">
      <c r="A151" s="33" t="s">
        <v>398</v>
      </c>
      <c r="B151" s="33"/>
      <c r="C151" s="33" t="s">
        <v>143</v>
      </c>
      <c r="D151" s="33" t="s">
        <v>399</v>
      </c>
      <c r="E151" s="6" t="s">
        <v>149</v>
      </c>
      <c r="F151" s="33" t="s">
        <v>399</v>
      </c>
      <c r="G151" s="33" t="s">
        <v>398</v>
      </c>
      <c r="H151" s="6" t="s">
        <v>237</v>
      </c>
      <c r="I151" s="6" t="s">
        <v>244</v>
      </c>
      <c r="J151" s="33" t="s">
        <v>148</v>
      </c>
      <c r="K151" s="33" t="s">
        <v>1003</v>
      </c>
      <c r="O151" s="6"/>
    </row>
    <row r="152" spans="1:15" x14ac:dyDescent="0.3">
      <c r="A152" s="33" t="s">
        <v>400</v>
      </c>
      <c r="B152" s="33"/>
      <c r="C152" s="33" t="s">
        <v>143</v>
      </c>
      <c r="D152" s="33" t="s">
        <v>401</v>
      </c>
      <c r="E152" s="6" t="s">
        <v>149</v>
      </c>
      <c r="F152" s="33" t="s">
        <v>401</v>
      </c>
      <c r="G152" s="33" t="s">
        <v>400</v>
      </c>
      <c r="H152" s="6" t="s">
        <v>237</v>
      </c>
      <c r="I152" s="6" t="s">
        <v>244</v>
      </c>
      <c r="J152" s="33" t="s">
        <v>148</v>
      </c>
      <c r="K152" s="33" t="s">
        <v>1003</v>
      </c>
      <c r="O152" s="6"/>
    </row>
    <row r="153" spans="1:15" x14ac:dyDescent="0.3">
      <c r="A153" s="33" t="s">
        <v>402</v>
      </c>
      <c r="B153" s="33"/>
      <c r="C153" s="33" t="s">
        <v>143</v>
      </c>
      <c r="D153" s="33" t="s">
        <v>403</v>
      </c>
      <c r="E153" s="6" t="s">
        <v>149</v>
      </c>
      <c r="F153" s="33" t="s">
        <v>403</v>
      </c>
      <c r="G153" s="33" t="s">
        <v>402</v>
      </c>
      <c r="H153" s="6" t="s">
        <v>237</v>
      </c>
      <c r="I153" s="6" t="s">
        <v>244</v>
      </c>
      <c r="J153" s="33" t="s">
        <v>148</v>
      </c>
      <c r="K153" s="33" t="s">
        <v>1003</v>
      </c>
      <c r="O153" s="6"/>
    </row>
    <row r="154" spans="1:15" x14ac:dyDescent="0.3">
      <c r="A154" s="33" t="s">
        <v>404</v>
      </c>
      <c r="B154" s="33"/>
      <c r="C154" s="33" t="s">
        <v>143</v>
      </c>
      <c r="D154" s="33" t="s">
        <v>405</v>
      </c>
      <c r="E154" s="6" t="s">
        <v>149</v>
      </c>
      <c r="F154" s="33" t="s">
        <v>405</v>
      </c>
      <c r="G154" s="33" t="s">
        <v>404</v>
      </c>
      <c r="H154" s="6" t="s">
        <v>237</v>
      </c>
      <c r="I154" s="6" t="s">
        <v>244</v>
      </c>
      <c r="J154" s="33" t="s">
        <v>148</v>
      </c>
      <c r="K154" s="33" t="s">
        <v>1003</v>
      </c>
      <c r="O154" s="6"/>
    </row>
    <row r="155" spans="1:15" x14ac:dyDescent="0.3">
      <c r="A155" s="33" t="s">
        <v>406</v>
      </c>
      <c r="B155" s="33"/>
      <c r="C155" s="33" t="s">
        <v>143</v>
      </c>
      <c r="D155" s="33" t="s">
        <v>407</v>
      </c>
      <c r="E155" s="6" t="s">
        <v>149</v>
      </c>
      <c r="F155" s="33" t="s">
        <v>407</v>
      </c>
      <c r="G155" s="33" t="s">
        <v>406</v>
      </c>
      <c r="H155" s="6" t="s">
        <v>237</v>
      </c>
      <c r="I155" s="6" t="s">
        <v>244</v>
      </c>
      <c r="J155" s="6" t="s">
        <v>148</v>
      </c>
      <c r="K155" s="33" t="s">
        <v>1003</v>
      </c>
    </row>
    <row r="156" spans="1:15" x14ac:dyDescent="0.3">
      <c r="A156" s="33" t="s">
        <v>408</v>
      </c>
      <c r="B156" s="33"/>
      <c r="C156" s="33" t="s">
        <v>143</v>
      </c>
      <c r="D156" s="33" t="s">
        <v>409</v>
      </c>
      <c r="E156" s="6" t="s">
        <v>149</v>
      </c>
      <c r="F156" s="33" t="s">
        <v>409</v>
      </c>
      <c r="G156" s="33" t="s">
        <v>408</v>
      </c>
      <c r="H156" s="6" t="s">
        <v>237</v>
      </c>
      <c r="I156" s="6" t="s">
        <v>244</v>
      </c>
      <c r="J156" s="33" t="s">
        <v>148</v>
      </c>
      <c r="K156" s="33" t="s">
        <v>1003</v>
      </c>
      <c r="O156" s="6"/>
    </row>
    <row r="157" spans="1:15" x14ac:dyDescent="0.3">
      <c r="A157" s="33" t="s">
        <v>410</v>
      </c>
      <c r="B157" s="33"/>
      <c r="C157" s="33" t="s">
        <v>143</v>
      </c>
      <c r="D157" s="33" t="s">
        <v>411</v>
      </c>
      <c r="E157" s="6" t="s">
        <v>149</v>
      </c>
      <c r="F157" s="33" t="s">
        <v>411</v>
      </c>
      <c r="G157" s="33" t="s">
        <v>410</v>
      </c>
      <c r="H157" s="6" t="s">
        <v>237</v>
      </c>
      <c r="I157" s="6" t="s">
        <v>244</v>
      </c>
      <c r="J157" s="33" t="s">
        <v>148</v>
      </c>
      <c r="K157" s="33" t="s">
        <v>1003</v>
      </c>
      <c r="O157" s="6"/>
    </row>
    <row r="158" spans="1:15" x14ac:dyDescent="0.3">
      <c r="A158" s="33" t="s">
        <v>412</v>
      </c>
      <c r="B158" s="33"/>
      <c r="C158" s="33" t="s">
        <v>143</v>
      </c>
      <c r="D158" s="33" t="s">
        <v>413</v>
      </c>
      <c r="E158" s="6" t="s">
        <v>149</v>
      </c>
      <c r="F158" s="33" t="s">
        <v>413</v>
      </c>
      <c r="G158" s="33" t="s">
        <v>412</v>
      </c>
      <c r="H158" s="6" t="s">
        <v>237</v>
      </c>
      <c r="I158" s="6" t="s">
        <v>244</v>
      </c>
      <c r="J158" s="33" t="s">
        <v>148</v>
      </c>
      <c r="K158" s="33" t="s">
        <v>1003</v>
      </c>
      <c r="O158" s="6"/>
    </row>
    <row r="159" spans="1:15" x14ac:dyDescent="0.3">
      <c r="A159" s="33" t="s">
        <v>414</v>
      </c>
      <c r="B159" s="33"/>
      <c r="C159" s="33" t="s">
        <v>143</v>
      </c>
      <c r="D159" s="33" t="s">
        <v>415</v>
      </c>
      <c r="E159" s="6" t="s">
        <v>149</v>
      </c>
      <c r="F159" s="33" t="s">
        <v>415</v>
      </c>
      <c r="G159" s="33" t="s">
        <v>414</v>
      </c>
      <c r="H159" s="6" t="s">
        <v>237</v>
      </c>
      <c r="I159" s="6" t="s">
        <v>244</v>
      </c>
      <c r="J159" s="33" t="s">
        <v>148</v>
      </c>
      <c r="K159" s="33" t="s">
        <v>1003</v>
      </c>
      <c r="O159" s="6"/>
    </row>
    <row r="160" spans="1:15" x14ac:dyDescent="0.3">
      <c r="A160" s="33" t="s">
        <v>416</v>
      </c>
      <c r="B160" s="33"/>
      <c r="C160" s="33" t="s">
        <v>143</v>
      </c>
      <c r="D160" s="33" t="s">
        <v>417</v>
      </c>
      <c r="E160" s="6" t="s">
        <v>149</v>
      </c>
      <c r="F160" s="33" t="s">
        <v>417</v>
      </c>
      <c r="G160" s="33" t="s">
        <v>416</v>
      </c>
      <c r="H160" s="6" t="s">
        <v>237</v>
      </c>
      <c r="I160" s="6" t="s">
        <v>244</v>
      </c>
      <c r="J160" s="6" t="s">
        <v>148</v>
      </c>
      <c r="K160" s="33" t="s">
        <v>1003</v>
      </c>
    </row>
    <row r="161" spans="1:16" x14ac:dyDescent="0.3">
      <c r="A161" s="33" t="s">
        <v>418</v>
      </c>
      <c r="B161" s="33"/>
      <c r="C161" s="33" t="s">
        <v>143</v>
      </c>
      <c r="D161" s="33" t="s">
        <v>419</v>
      </c>
      <c r="E161" s="6" t="s">
        <v>149</v>
      </c>
      <c r="F161" s="33" t="s">
        <v>419</v>
      </c>
      <c r="G161" s="33" t="s">
        <v>418</v>
      </c>
      <c r="H161" s="6" t="s">
        <v>237</v>
      </c>
      <c r="I161" s="6" t="s">
        <v>244</v>
      </c>
      <c r="J161" s="33" t="s">
        <v>148</v>
      </c>
      <c r="K161" s="33" t="s">
        <v>1003</v>
      </c>
      <c r="O161" s="6"/>
    </row>
    <row r="162" spans="1:16" ht="15.9" customHeight="1" x14ac:dyDescent="0.35">
      <c r="A162" s="2" t="s">
        <v>420</v>
      </c>
      <c r="B162" s="2"/>
      <c r="C162" s="6" t="s">
        <v>147</v>
      </c>
      <c r="D162" s="6" t="s">
        <v>1024</v>
      </c>
      <c r="E162" s="6" t="s">
        <v>58</v>
      </c>
      <c r="F162" s="6" t="s">
        <v>421</v>
      </c>
      <c r="G162" s="2" t="s">
        <v>420</v>
      </c>
      <c r="H162" s="6" t="s">
        <v>56</v>
      </c>
      <c r="I162" s="6" t="s">
        <v>41</v>
      </c>
      <c r="J162" s="6" t="s">
        <v>127</v>
      </c>
      <c r="K162" s="13">
        <v>2023</v>
      </c>
      <c r="L162" s="13">
        <v>2023</v>
      </c>
      <c r="M162" s="6" t="s">
        <v>618</v>
      </c>
      <c r="N162" s="6" t="s">
        <v>745</v>
      </c>
      <c r="O162" s="28" t="s">
        <v>993</v>
      </c>
    </row>
    <row r="163" spans="1:16" x14ac:dyDescent="0.3">
      <c r="A163" s="6" t="s">
        <v>422</v>
      </c>
      <c r="C163" s="6" t="s">
        <v>147</v>
      </c>
      <c r="D163" s="6" t="s">
        <v>1024</v>
      </c>
      <c r="E163" s="6" t="s">
        <v>58</v>
      </c>
      <c r="F163" s="6" t="s">
        <v>423</v>
      </c>
      <c r="G163" s="6" t="s">
        <v>422</v>
      </c>
      <c r="H163" s="6" t="s">
        <v>56</v>
      </c>
      <c r="I163" s="6" t="s">
        <v>41</v>
      </c>
      <c r="J163" s="6" t="s">
        <v>127</v>
      </c>
      <c r="K163" s="13">
        <v>2023</v>
      </c>
      <c r="L163" s="13">
        <v>2023</v>
      </c>
      <c r="M163" s="6" t="s">
        <v>618</v>
      </c>
      <c r="N163" s="6" t="s">
        <v>745</v>
      </c>
      <c r="O163" s="28" t="s">
        <v>993</v>
      </c>
    </row>
    <row r="164" spans="1:16" x14ac:dyDescent="0.3">
      <c r="A164" s="6" t="s">
        <v>424</v>
      </c>
      <c r="C164" s="6" t="s">
        <v>126</v>
      </c>
      <c r="D164" s="6" t="s">
        <v>1025</v>
      </c>
      <c r="E164" s="6" t="s">
        <v>58</v>
      </c>
      <c r="F164" s="6" t="s">
        <v>425</v>
      </c>
      <c r="G164" s="6" t="s">
        <v>424</v>
      </c>
      <c r="H164" s="6" t="s">
        <v>56</v>
      </c>
      <c r="I164" s="6" t="s">
        <v>41</v>
      </c>
      <c r="J164" s="6" t="s">
        <v>127</v>
      </c>
      <c r="K164" s="13">
        <v>2023</v>
      </c>
      <c r="L164" s="13">
        <v>2023</v>
      </c>
      <c r="M164" s="6" t="s">
        <v>618</v>
      </c>
      <c r="N164" s="6" t="s">
        <v>745</v>
      </c>
      <c r="O164" s="28" t="s">
        <v>993</v>
      </c>
    </row>
    <row r="165" spans="1:16" x14ac:dyDescent="0.3">
      <c r="A165" s="6" t="s">
        <v>426</v>
      </c>
      <c r="C165" s="6" t="s">
        <v>126</v>
      </c>
      <c r="D165" s="6" t="s">
        <v>1025</v>
      </c>
      <c r="E165" s="6" t="s">
        <v>58</v>
      </c>
      <c r="F165" s="6" t="s">
        <v>427</v>
      </c>
      <c r="G165" s="6" t="s">
        <v>426</v>
      </c>
      <c r="H165" s="6" t="s">
        <v>56</v>
      </c>
      <c r="I165" s="6" t="s">
        <v>41</v>
      </c>
      <c r="J165" s="6" t="s">
        <v>127</v>
      </c>
      <c r="K165" s="13">
        <v>2023</v>
      </c>
      <c r="L165" s="13">
        <v>2023</v>
      </c>
      <c r="M165" s="6" t="s">
        <v>618</v>
      </c>
      <c r="N165" s="6" t="s">
        <v>745</v>
      </c>
      <c r="O165" s="28" t="s">
        <v>993</v>
      </c>
    </row>
    <row r="166" spans="1:16" ht="15.9" customHeight="1" x14ac:dyDescent="0.3">
      <c r="A166" s="35" t="s">
        <v>428</v>
      </c>
      <c r="B166" s="35"/>
      <c r="C166" s="6" t="s">
        <v>143</v>
      </c>
      <c r="D166" s="6" t="s">
        <v>1026</v>
      </c>
      <c r="E166" s="6" t="s">
        <v>149</v>
      </c>
      <c r="F166" s="6" t="s">
        <v>429</v>
      </c>
      <c r="G166" s="35" t="s">
        <v>1027</v>
      </c>
      <c r="H166" s="6" t="s">
        <v>237</v>
      </c>
      <c r="I166" s="6" t="s">
        <v>41</v>
      </c>
      <c r="J166" s="6" t="s">
        <v>430</v>
      </c>
      <c r="K166" s="13" t="s">
        <v>971</v>
      </c>
      <c r="M166" s="6" t="s">
        <v>618</v>
      </c>
      <c r="N166" s="6" t="s">
        <v>745</v>
      </c>
      <c r="O166" s="28" t="s">
        <v>1028</v>
      </c>
    </row>
    <row r="167" spans="1:16" ht="105" x14ac:dyDescent="0.3">
      <c r="A167" s="6" t="s">
        <v>431</v>
      </c>
      <c r="C167" s="10" t="s">
        <v>64</v>
      </c>
      <c r="D167" s="6" t="s">
        <v>1029</v>
      </c>
      <c r="E167" s="6" t="e">
        <f>#REF!</f>
        <v>#REF!</v>
      </c>
      <c r="F167" s="6" t="s">
        <v>432</v>
      </c>
      <c r="G167" s="6" t="s">
        <v>431</v>
      </c>
      <c r="H167" s="6" t="s">
        <v>56</v>
      </c>
      <c r="I167" s="6" t="s">
        <v>41</v>
      </c>
      <c r="J167" s="6" t="s">
        <v>433</v>
      </c>
      <c r="K167" s="13" t="s">
        <v>987</v>
      </c>
      <c r="L167" s="13">
        <v>2023</v>
      </c>
      <c r="M167" s="6" t="s">
        <v>618</v>
      </c>
      <c r="N167" s="6" t="s">
        <v>745</v>
      </c>
      <c r="O167" s="28" t="s">
        <v>748</v>
      </c>
      <c r="P167" s="31" t="s">
        <v>1030</v>
      </c>
    </row>
    <row r="168" spans="1:16" x14ac:dyDescent="0.3">
      <c r="A168" s="6" t="s">
        <v>434</v>
      </c>
      <c r="C168" s="10" t="s">
        <v>64</v>
      </c>
      <c r="D168" s="6" t="s">
        <v>1031</v>
      </c>
      <c r="E168" s="6" t="e">
        <f>#REF!</f>
        <v>#REF!</v>
      </c>
      <c r="F168" s="6" t="s">
        <v>435</v>
      </c>
      <c r="G168" s="6" t="s">
        <v>434</v>
      </c>
      <c r="H168" s="6" t="s">
        <v>56</v>
      </c>
      <c r="I168" s="6" t="s">
        <v>41</v>
      </c>
      <c r="J168" s="6" t="s">
        <v>436</v>
      </c>
      <c r="K168" s="13" t="s">
        <v>987</v>
      </c>
      <c r="L168" s="13">
        <v>2023</v>
      </c>
      <c r="M168" s="6" t="s">
        <v>618</v>
      </c>
      <c r="N168" s="6" t="s">
        <v>745</v>
      </c>
      <c r="O168" s="28" t="s">
        <v>748</v>
      </c>
    </row>
    <row r="169" spans="1:16" x14ac:dyDescent="0.3">
      <c r="A169" s="6" t="s">
        <v>437</v>
      </c>
      <c r="C169" s="6" t="s">
        <v>43</v>
      </c>
      <c r="D169" s="6" t="s">
        <v>1032</v>
      </c>
      <c r="E169" s="6" t="e">
        <f>#REF!</f>
        <v>#REF!</v>
      </c>
      <c r="F169" s="6" t="s">
        <v>438</v>
      </c>
      <c r="G169" s="6" t="s">
        <v>437</v>
      </c>
      <c r="H169" s="6" t="s">
        <v>56</v>
      </c>
      <c r="I169" s="6" t="s">
        <v>41</v>
      </c>
      <c r="J169" s="6" t="s">
        <v>436</v>
      </c>
      <c r="K169" s="13" t="s">
        <v>987</v>
      </c>
      <c r="L169" s="13">
        <v>2023</v>
      </c>
      <c r="M169" s="6" t="s">
        <v>618</v>
      </c>
      <c r="N169" s="6" t="s">
        <v>745</v>
      </c>
      <c r="O169" s="28" t="s">
        <v>748</v>
      </c>
    </row>
    <row r="170" spans="1:16" x14ac:dyDescent="0.3">
      <c r="A170" s="6" t="s">
        <v>439</v>
      </c>
      <c r="C170" s="10" t="s">
        <v>64</v>
      </c>
      <c r="D170" s="6" t="s">
        <v>1033</v>
      </c>
      <c r="E170" s="6" t="e">
        <f>#REF!</f>
        <v>#REF!</v>
      </c>
      <c r="F170" s="6" t="s">
        <v>440</v>
      </c>
      <c r="G170" s="6" t="s">
        <v>439</v>
      </c>
      <c r="H170" s="6" t="s">
        <v>56</v>
      </c>
      <c r="I170" s="6" t="s">
        <v>41</v>
      </c>
      <c r="J170" s="6" t="s">
        <v>436</v>
      </c>
      <c r="K170" s="13" t="s">
        <v>987</v>
      </c>
      <c r="L170" s="13">
        <v>2023</v>
      </c>
      <c r="M170" s="6" t="s">
        <v>618</v>
      </c>
      <c r="N170" s="6" t="s">
        <v>745</v>
      </c>
      <c r="O170" s="28" t="s">
        <v>748</v>
      </c>
    </row>
    <row r="171" spans="1:16" x14ac:dyDescent="0.3">
      <c r="A171" s="6" t="s">
        <v>441</v>
      </c>
      <c r="C171" s="6" t="s">
        <v>43</v>
      </c>
      <c r="D171" s="6" t="s">
        <v>1034</v>
      </c>
      <c r="E171" s="6" t="e">
        <f>#REF!</f>
        <v>#REF!</v>
      </c>
      <c r="F171" s="6" t="s">
        <v>442</v>
      </c>
      <c r="G171" s="6" t="s">
        <v>441</v>
      </c>
      <c r="H171" s="6" t="s">
        <v>56</v>
      </c>
      <c r="I171" s="6" t="s">
        <v>41</v>
      </c>
      <c r="J171" s="6" t="s">
        <v>436</v>
      </c>
      <c r="K171" s="13" t="s">
        <v>987</v>
      </c>
      <c r="L171" s="13">
        <v>2023</v>
      </c>
      <c r="M171" s="6" t="s">
        <v>618</v>
      </c>
      <c r="N171" s="6" t="s">
        <v>745</v>
      </c>
      <c r="O171" s="28" t="s">
        <v>748</v>
      </c>
    </row>
    <row r="172" spans="1:16" ht="45" x14ac:dyDescent="0.3">
      <c r="A172" s="6" t="s">
        <v>443</v>
      </c>
      <c r="C172" s="6" t="s">
        <v>126</v>
      </c>
      <c r="D172" s="6" t="s">
        <v>1035</v>
      </c>
      <c r="E172" s="6" t="e">
        <f>#REF!</f>
        <v>#REF!</v>
      </c>
      <c r="F172" s="10" t="s">
        <v>444</v>
      </c>
      <c r="G172" s="6" t="s">
        <v>443</v>
      </c>
      <c r="H172" s="6" t="s">
        <v>28</v>
      </c>
      <c r="I172" s="6" t="s">
        <v>41</v>
      </c>
      <c r="J172" s="6" t="s">
        <v>127</v>
      </c>
      <c r="K172" s="13">
        <v>2023</v>
      </c>
      <c r="L172" s="13">
        <v>2023</v>
      </c>
      <c r="M172" s="6" t="s">
        <v>640</v>
      </c>
      <c r="N172" s="6" t="s">
        <v>745</v>
      </c>
      <c r="O172" s="31" t="s">
        <v>995</v>
      </c>
    </row>
    <row r="173" spans="1:16" x14ac:dyDescent="0.3">
      <c r="A173" s="6" t="s">
        <v>449</v>
      </c>
      <c r="C173" s="10" t="s">
        <v>64</v>
      </c>
      <c r="D173" s="6" t="s">
        <v>1036</v>
      </c>
      <c r="E173" s="6" t="e">
        <f>#REF!</f>
        <v>#REF!</v>
      </c>
      <c r="F173" s="6" t="s">
        <v>450</v>
      </c>
      <c r="G173" s="6" t="s">
        <v>449</v>
      </c>
      <c r="H173" s="6" t="s">
        <v>28</v>
      </c>
      <c r="I173" s="6" t="s">
        <v>41</v>
      </c>
      <c r="J173" s="6" t="s">
        <v>436</v>
      </c>
      <c r="K173" s="13" t="s">
        <v>987</v>
      </c>
      <c r="L173" s="13">
        <v>2023</v>
      </c>
      <c r="M173" s="6" t="s">
        <v>618</v>
      </c>
      <c r="N173" s="6" t="s">
        <v>745</v>
      </c>
      <c r="O173" s="28" t="s">
        <v>748</v>
      </c>
    </row>
    <row r="174" spans="1:16" x14ac:dyDescent="0.3">
      <c r="A174" s="6" t="s">
        <v>451</v>
      </c>
      <c r="C174" s="6" t="s">
        <v>43</v>
      </c>
      <c r="D174" s="6" t="s">
        <v>1037</v>
      </c>
      <c r="E174" s="6" t="e">
        <f>#REF!</f>
        <v>#REF!</v>
      </c>
      <c r="F174" s="6" t="s">
        <v>452</v>
      </c>
      <c r="G174" s="6" t="s">
        <v>451</v>
      </c>
      <c r="H174" s="6" t="s">
        <v>28</v>
      </c>
      <c r="I174" s="6" t="s">
        <v>41</v>
      </c>
      <c r="J174" s="6" t="s">
        <v>436</v>
      </c>
      <c r="K174" s="13" t="s">
        <v>987</v>
      </c>
      <c r="L174" s="13">
        <v>2023</v>
      </c>
      <c r="M174" s="6" t="s">
        <v>618</v>
      </c>
      <c r="N174" s="6" t="s">
        <v>745</v>
      </c>
      <c r="O174" s="28" t="s">
        <v>748</v>
      </c>
    </row>
    <row r="175" spans="1:16" x14ac:dyDescent="0.3">
      <c r="A175" s="6" t="s">
        <v>453</v>
      </c>
      <c r="C175" s="10" t="s">
        <v>64</v>
      </c>
      <c r="D175" s="6" t="s">
        <v>1038</v>
      </c>
      <c r="E175" s="6" t="e">
        <f>#REF!</f>
        <v>#REF!</v>
      </c>
      <c r="F175" s="6" t="s">
        <v>454</v>
      </c>
      <c r="G175" s="6" t="s">
        <v>453</v>
      </c>
      <c r="H175" s="6" t="s">
        <v>28</v>
      </c>
      <c r="I175" s="6" t="s">
        <v>41</v>
      </c>
      <c r="J175" s="6" t="s">
        <v>436</v>
      </c>
      <c r="K175" s="13" t="s">
        <v>987</v>
      </c>
      <c r="L175" s="13">
        <v>2023</v>
      </c>
      <c r="M175" s="6" t="s">
        <v>618</v>
      </c>
      <c r="N175" s="6" t="s">
        <v>745</v>
      </c>
      <c r="O175" s="28" t="s">
        <v>748</v>
      </c>
    </row>
    <row r="176" spans="1:16" x14ac:dyDescent="0.3">
      <c r="A176" s="6" t="s">
        <v>455</v>
      </c>
      <c r="C176" s="6" t="s">
        <v>43</v>
      </c>
      <c r="D176" s="6" t="s">
        <v>1039</v>
      </c>
      <c r="E176" s="6" t="e">
        <f>#REF!</f>
        <v>#REF!</v>
      </c>
      <c r="F176" s="6" t="s">
        <v>456</v>
      </c>
      <c r="G176" s="6" t="s">
        <v>455</v>
      </c>
      <c r="H176" s="6" t="s">
        <v>28</v>
      </c>
      <c r="I176" s="6" t="s">
        <v>41</v>
      </c>
      <c r="J176" s="6" t="s">
        <v>436</v>
      </c>
      <c r="K176" s="13" t="s">
        <v>987</v>
      </c>
      <c r="L176" s="13">
        <v>2023</v>
      </c>
      <c r="M176" s="6" t="s">
        <v>618</v>
      </c>
      <c r="N176" s="6" t="s">
        <v>745</v>
      </c>
      <c r="O176" s="28" t="s">
        <v>748</v>
      </c>
    </row>
    <row r="177" spans="1:16" ht="30" x14ac:dyDescent="0.3">
      <c r="A177" s="6" t="s">
        <v>457</v>
      </c>
      <c r="C177" s="6" t="s">
        <v>126</v>
      </c>
      <c r="D177" s="6" t="s">
        <v>1040</v>
      </c>
      <c r="E177" s="6" t="e">
        <f>#REF!</f>
        <v>#REF!</v>
      </c>
      <c r="F177" s="6" t="s">
        <v>458</v>
      </c>
      <c r="G177" s="6" t="s">
        <v>457</v>
      </c>
      <c r="H177" s="6" t="s">
        <v>56</v>
      </c>
      <c r="I177" s="6" t="s">
        <v>41</v>
      </c>
      <c r="J177" s="6" t="s">
        <v>127</v>
      </c>
      <c r="K177" s="13">
        <v>2023</v>
      </c>
      <c r="L177" s="13">
        <v>2023</v>
      </c>
      <c r="M177" s="6" t="s">
        <v>640</v>
      </c>
      <c r="N177" s="6" t="s">
        <v>745</v>
      </c>
      <c r="O177" s="31" t="s">
        <v>995</v>
      </c>
    </row>
    <row r="178" spans="1:16" x14ac:dyDescent="0.3">
      <c r="A178" s="33" t="s">
        <v>191</v>
      </c>
      <c r="B178" s="33"/>
      <c r="C178" s="33" t="s">
        <v>194</v>
      </c>
      <c r="D178" s="33" t="s">
        <v>192</v>
      </c>
      <c r="E178" s="6" t="s">
        <v>149</v>
      </c>
      <c r="F178" s="33" t="s">
        <v>192</v>
      </c>
      <c r="G178" s="33" t="s">
        <v>191</v>
      </c>
      <c r="H178" s="6" t="s">
        <v>28</v>
      </c>
      <c r="I178" s="6" t="s">
        <v>193</v>
      </c>
      <c r="J178" s="33" t="s">
        <v>190</v>
      </c>
      <c r="K178" s="33">
        <v>2023</v>
      </c>
      <c r="O178" s="6"/>
    </row>
    <row r="179" spans="1:16" x14ac:dyDescent="0.3">
      <c r="A179" s="33" t="s">
        <v>195</v>
      </c>
      <c r="B179" s="33"/>
      <c r="C179" s="33" t="s">
        <v>194</v>
      </c>
      <c r="D179" s="33" t="s">
        <v>196</v>
      </c>
      <c r="E179" s="6" t="s">
        <v>149</v>
      </c>
      <c r="F179" s="33" t="s">
        <v>196</v>
      </c>
      <c r="G179" s="33" t="s">
        <v>195</v>
      </c>
      <c r="H179" s="6" t="s">
        <v>28</v>
      </c>
      <c r="I179" s="6" t="s">
        <v>193</v>
      </c>
      <c r="J179" s="33" t="s">
        <v>190</v>
      </c>
      <c r="K179" s="33">
        <v>2023</v>
      </c>
      <c r="O179" s="6"/>
    </row>
    <row r="180" spans="1:16" x14ac:dyDescent="0.3">
      <c r="A180" s="33" t="s">
        <v>197</v>
      </c>
      <c r="B180" s="33"/>
      <c r="C180" s="33" t="s">
        <v>194</v>
      </c>
      <c r="D180" s="33" t="s">
        <v>198</v>
      </c>
      <c r="E180" s="6" t="s">
        <v>149</v>
      </c>
      <c r="F180" s="33" t="s">
        <v>198</v>
      </c>
      <c r="G180" s="33" t="s">
        <v>197</v>
      </c>
      <c r="H180" s="6" t="s">
        <v>28</v>
      </c>
      <c r="I180" s="6" t="s">
        <v>193</v>
      </c>
      <c r="J180" s="33" t="s">
        <v>190</v>
      </c>
      <c r="K180" s="33">
        <v>2023</v>
      </c>
      <c r="O180" s="6"/>
    </row>
    <row r="181" spans="1:16" x14ac:dyDescent="0.3">
      <c r="A181" s="33" t="s">
        <v>463</v>
      </c>
      <c r="B181" s="33"/>
      <c r="C181" s="33" t="s">
        <v>194</v>
      </c>
      <c r="D181" s="33" t="s">
        <v>464</v>
      </c>
      <c r="E181" s="6" t="s">
        <v>149</v>
      </c>
      <c r="F181" s="33" t="s">
        <v>464</v>
      </c>
      <c r="G181" s="33" t="s">
        <v>463</v>
      </c>
      <c r="H181" s="6" t="s">
        <v>28</v>
      </c>
      <c r="I181" s="6" t="s">
        <v>193</v>
      </c>
      <c r="J181" s="33" t="s">
        <v>190</v>
      </c>
      <c r="K181" s="33">
        <v>2023</v>
      </c>
      <c r="O181" s="6"/>
    </row>
    <row r="182" spans="1:16" x14ac:dyDescent="0.3">
      <c r="A182" s="33" t="s">
        <v>465</v>
      </c>
      <c r="B182" s="33"/>
      <c r="C182" s="33" t="s">
        <v>194</v>
      </c>
      <c r="D182" s="33" t="s">
        <v>466</v>
      </c>
      <c r="E182" s="6" t="s">
        <v>149</v>
      </c>
      <c r="F182" s="33" t="s">
        <v>466</v>
      </c>
      <c r="G182" s="33" t="s">
        <v>465</v>
      </c>
      <c r="H182" s="6" t="s">
        <v>28</v>
      </c>
      <c r="I182" s="6" t="s">
        <v>193</v>
      </c>
      <c r="J182" s="33" t="s">
        <v>190</v>
      </c>
      <c r="K182" s="33">
        <v>2023</v>
      </c>
      <c r="O182" s="6"/>
    </row>
    <row r="183" spans="1:16" x14ac:dyDescent="0.3">
      <c r="A183" s="33" t="s">
        <v>467</v>
      </c>
      <c r="B183" s="33"/>
      <c r="C183" s="33" t="s">
        <v>194</v>
      </c>
      <c r="D183" s="33" t="s">
        <v>468</v>
      </c>
      <c r="E183" s="6" t="s">
        <v>149</v>
      </c>
      <c r="F183" s="33" t="s">
        <v>468</v>
      </c>
      <c r="G183" s="33" t="s">
        <v>467</v>
      </c>
      <c r="H183" s="6" t="s">
        <v>28</v>
      </c>
      <c r="I183" s="6" t="s">
        <v>193</v>
      </c>
      <c r="J183" s="33" t="s">
        <v>190</v>
      </c>
      <c r="K183" s="33">
        <v>2023</v>
      </c>
      <c r="O183" s="6"/>
    </row>
    <row r="184" spans="1:16" x14ac:dyDescent="0.3">
      <c r="A184" s="6" t="s">
        <v>476</v>
      </c>
      <c r="C184" s="6" t="s">
        <v>55</v>
      </c>
      <c r="D184" s="6" t="s">
        <v>1041</v>
      </c>
      <c r="E184" s="6" t="e">
        <f>#REF!</f>
        <v>#REF!</v>
      </c>
      <c r="F184" s="6" t="s">
        <v>477</v>
      </c>
      <c r="G184" s="6" t="s">
        <v>476</v>
      </c>
      <c r="H184" s="6" t="s">
        <v>56</v>
      </c>
      <c r="I184" s="6" t="s">
        <v>41</v>
      </c>
      <c r="J184" s="6" t="s">
        <v>57</v>
      </c>
      <c r="K184" s="13">
        <v>2023</v>
      </c>
      <c r="L184" s="13">
        <v>2023</v>
      </c>
      <c r="M184" s="6" t="s">
        <v>618</v>
      </c>
      <c r="N184" s="6" t="s">
        <v>745</v>
      </c>
      <c r="O184" s="28" t="s">
        <v>993</v>
      </c>
    </row>
    <row r="185" spans="1:16" x14ac:dyDescent="0.3">
      <c r="A185" s="6" t="s">
        <v>478</v>
      </c>
      <c r="C185" s="10" t="s">
        <v>64</v>
      </c>
      <c r="D185" s="6" t="s">
        <v>479</v>
      </c>
      <c r="E185" s="6" t="e">
        <f>#REF!</f>
        <v>#REF!</v>
      </c>
      <c r="F185" s="6" t="s">
        <v>479</v>
      </c>
      <c r="G185" s="6" t="s">
        <v>478</v>
      </c>
      <c r="H185" s="6" t="s">
        <v>28</v>
      </c>
      <c r="I185" s="6" t="s">
        <v>41</v>
      </c>
      <c r="J185" s="6" t="s">
        <v>436</v>
      </c>
      <c r="K185" s="13" t="s">
        <v>987</v>
      </c>
      <c r="L185" s="13">
        <v>2023</v>
      </c>
      <c r="M185" s="6" t="s">
        <v>618</v>
      </c>
      <c r="N185" s="6" t="s">
        <v>745</v>
      </c>
      <c r="O185" s="28" t="s">
        <v>748</v>
      </c>
    </row>
    <row r="186" spans="1:16" x14ac:dyDescent="0.3">
      <c r="A186" s="6" t="s">
        <v>480</v>
      </c>
      <c r="C186" s="6" t="s">
        <v>43</v>
      </c>
      <c r="D186" s="6" t="s">
        <v>481</v>
      </c>
      <c r="E186" s="6" t="e">
        <f>#REF!</f>
        <v>#REF!</v>
      </c>
      <c r="F186" s="6" t="s">
        <v>481</v>
      </c>
      <c r="G186" s="6" t="s">
        <v>480</v>
      </c>
      <c r="H186" s="6" t="s">
        <v>28</v>
      </c>
      <c r="I186" s="6" t="s">
        <v>41</v>
      </c>
      <c r="J186" s="6" t="s">
        <v>436</v>
      </c>
      <c r="K186" s="13" t="s">
        <v>987</v>
      </c>
      <c r="L186" s="13">
        <v>2023</v>
      </c>
      <c r="M186" s="6" t="s">
        <v>618</v>
      </c>
      <c r="N186" s="6" t="s">
        <v>745</v>
      </c>
      <c r="O186" s="28" t="s">
        <v>748</v>
      </c>
    </row>
    <row r="187" spans="1:16" x14ac:dyDescent="0.3">
      <c r="A187" s="6" t="s">
        <v>482</v>
      </c>
      <c r="C187" s="10" t="s">
        <v>64</v>
      </c>
      <c r="D187" s="6" t="s">
        <v>483</v>
      </c>
      <c r="E187" s="6" t="e">
        <f>#REF!</f>
        <v>#REF!</v>
      </c>
      <c r="F187" s="6" t="s">
        <v>483</v>
      </c>
      <c r="G187" s="6" t="s">
        <v>482</v>
      </c>
      <c r="H187" s="6" t="s">
        <v>28</v>
      </c>
      <c r="I187" s="6" t="s">
        <v>41</v>
      </c>
      <c r="J187" s="6" t="s">
        <v>436</v>
      </c>
      <c r="K187" s="13" t="s">
        <v>987</v>
      </c>
      <c r="L187" s="13">
        <v>2023</v>
      </c>
      <c r="M187" s="6" t="s">
        <v>618</v>
      </c>
      <c r="N187" s="6" t="s">
        <v>745</v>
      </c>
      <c r="O187" s="28" t="s">
        <v>748</v>
      </c>
    </row>
    <row r="188" spans="1:16" ht="45" x14ac:dyDescent="0.3">
      <c r="A188" s="6" t="s">
        <v>484</v>
      </c>
      <c r="C188" s="6" t="s">
        <v>43</v>
      </c>
      <c r="D188" s="6" t="s">
        <v>1042</v>
      </c>
      <c r="E188" s="6" t="e">
        <f>#REF!</f>
        <v>#REF!</v>
      </c>
      <c r="F188" s="6" t="s">
        <v>485</v>
      </c>
      <c r="G188" s="6" t="s">
        <v>484</v>
      </c>
      <c r="H188" s="25" t="s">
        <v>28</v>
      </c>
      <c r="I188" s="6" t="s">
        <v>41</v>
      </c>
      <c r="J188" s="6" t="s">
        <v>436</v>
      </c>
      <c r="K188" s="13" t="s">
        <v>987</v>
      </c>
      <c r="L188" s="13">
        <v>2023</v>
      </c>
      <c r="M188" s="6" t="s">
        <v>618</v>
      </c>
      <c r="N188" s="6" t="s">
        <v>745</v>
      </c>
      <c r="O188" s="28" t="s">
        <v>748</v>
      </c>
      <c r="P188" s="31" t="s">
        <v>1043</v>
      </c>
    </row>
    <row r="189" spans="1:16" x14ac:dyDescent="0.3">
      <c r="A189" s="33" t="s">
        <v>469</v>
      </c>
      <c r="B189" s="33"/>
      <c r="C189" s="33" t="s">
        <v>194</v>
      </c>
      <c r="D189" s="33" t="s">
        <v>470</v>
      </c>
      <c r="E189" s="6" t="s">
        <v>149</v>
      </c>
      <c r="F189" s="33" t="s">
        <v>470</v>
      </c>
      <c r="G189" s="33" t="s">
        <v>469</v>
      </c>
      <c r="H189" s="25" t="s">
        <v>28</v>
      </c>
      <c r="I189" s="6" t="s">
        <v>193</v>
      </c>
      <c r="J189" s="33" t="s">
        <v>471</v>
      </c>
      <c r="K189" s="33">
        <v>2023</v>
      </c>
      <c r="O189" s="6"/>
    </row>
    <row r="190" spans="1:16" x14ac:dyDescent="0.3">
      <c r="A190" s="33" t="s">
        <v>472</v>
      </c>
      <c r="B190" s="33"/>
      <c r="C190" s="33" t="s">
        <v>194</v>
      </c>
      <c r="D190" s="33" t="s">
        <v>473</v>
      </c>
      <c r="E190" s="6" t="s">
        <v>149</v>
      </c>
      <c r="F190" s="33" t="s">
        <v>473</v>
      </c>
      <c r="G190" s="33" t="s">
        <v>472</v>
      </c>
      <c r="H190" s="25" t="s">
        <v>28</v>
      </c>
      <c r="I190" s="6" t="s">
        <v>193</v>
      </c>
      <c r="J190" s="33" t="s">
        <v>471</v>
      </c>
      <c r="K190" s="33">
        <v>2023</v>
      </c>
      <c r="O190" s="6"/>
    </row>
    <row r="191" spans="1:16" x14ac:dyDescent="0.3">
      <c r="A191" s="33" t="s">
        <v>474</v>
      </c>
      <c r="B191" s="33"/>
      <c r="C191" s="33" t="s">
        <v>194</v>
      </c>
      <c r="D191" s="33" t="s">
        <v>475</v>
      </c>
      <c r="E191" s="6" t="s">
        <v>149</v>
      </c>
      <c r="F191" s="33" t="s">
        <v>475</v>
      </c>
      <c r="G191" s="33" t="s">
        <v>474</v>
      </c>
      <c r="H191" s="25" t="s">
        <v>28</v>
      </c>
      <c r="I191" s="6" t="s">
        <v>193</v>
      </c>
      <c r="J191" s="33" t="s">
        <v>471</v>
      </c>
      <c r="K191" s="33">
        <v>2023</v>
      </c>
      <c r="O191" s="6"/>
    </row>
    <row r="192" spans="1:16" x14ac:dyDescent="0.3">
      <c r="A192" s="33" t="s">
        <v>486</v>
      </c>
      <c r="B192" s="33"/>
      <c r="C192" s="33" t="s">
        <v>194</v>
      </c>
      <c r="D192" s="33" t="s">
        <v>487</v>
      </c>
      <c r="E192" s="6" t="s">
        <v>149</v>
      </c>
      <c r="F192" s="33" t="s">
        <v>487</v>
      </c>
      <c r="G192" s="33" t="s">
        <v>486</v>
      </c>
      <c r="H192" s="25" t="s">
        <v>28</v>
      </c>
      <c r="I192" s="6" t="s">
        <v>193</v>
      </c>
      <c r="J192" s="33" t="s">
        <v>471</v>
      </c>
      <c r="K192" s="33">
        <v>2023</v>
      </c>
      <c r="O192" s="6"/>
    </row>
    <row r="193" spans="1:15" x14ac:dyDescent="0.3">
      <c r="A193" s="33" t="s">
        <v>488</v>
      </c>
      <c r="B193" s="33"/>
      <c r="C193" s="33" t="s">
        <v>194</v>
      </c>
      <c r="D193" s="33" t="s">
        <v>489</v>
      </c>
      <c r="E193" s="6" t="s">
        <v>149</v>
      </c>
      <c r="F193" s="33" t="s">
        <v>489</v>
      </c>
      <c r="G193" s="33" t="s">
        <v>488</v>
      </c>
      <c r="H193" s="25" t="s">
        <v>28</v>
      </c>
      <c r="I193" s="6" t="s">
        <v>193</v>
      </c>
      <c r="J193" s="33" t="s">
        <v>471</v>
      </c>
      <c r="K193" s="33">
        <v>2023</v>
      </c>
      <c r="O193" s="6"/>
    </row>
    <row r="194" spans="1:15" x14ac:dyDescent="0.3">
      <c r="A194" s="33" t="s">
        <v>490</v>
      </c>
      <c r="B194" s="33"/>
      <c r="C194" s="33" t="s">
        <v>194</v>
      </c>
      <c r="D194" s="33" t="s">
        <v>491</v>
      </c>
      <c r="E194" s="6" t="s">
        <v>149</v>
      </c>
      <c r="F194" s="33" t="s">
        <v>491</v>
      </c>
      <c r="G194" s="33" t="s">
        <v>490</v>
      </c>
      <c r="H194" s="25" t="s">
        <v>28</v>
      </c>
      <c r="I194" s="6" t="s">
        <v>193</v>
      </c>
      <c r="J194" s="33" t="s">
        <v>471</v>
      </c>
      <c r="K194" s="33">
        <v>2023</v>
      </c>
      <c r="O194" s="6"/>
    </row>
    <row r="195" spans="1:15" x14ac:dyDescent="0.3">
      <c r="A195" s="6" t="s">
        <v>501</v>
      </c>
      <c r="C195" s="10" t="s">
        <v>64</v>
      </c>
      <c r="D195" s="6" t="s">
        <v>1044</v>
      </c>
      <c r="E195" s="6" t="s">
        <v>123</v>
      </c>
      <c r="F195" s="6" t="s">
        <v>502</v>
      </c>
      <c r="G195" s="6" t="s">
        <v>501</v>
      </c>
      <c r="H195" s="6" t="s">
        <v>56</v>
      </c>
      <c r="I195" s="6" t="s">
        <v>41</v>
      </c>
      <c r="J195" s="6" t="s">
        <v>433</v>
      </c>
      <c r="K195" s="13" t="s">
        <v>987</v>
      </c>
      <c r="L195" s="13">
        <v>2023</v>
      </c>
      <c r="M195" s="6" t="s">
        <v>618</v>
      </c>
      <c r="N195" s="6" t="s">
        <v>745</v>
      </c>
      <c r="O195" s="28" t="s">
        <v>748</v>
      </c>
    </row>
    <row r="196" spans="1:15" x14ac:dyDescent="0.3">
      <c r="A196" s="6" t="s">
        <v>492</v>
      </c>
      <c r="C196" s="6" t="s">
        <v>55</v>
      </c>
      <c r="D196" s="6" t="s">
        <v>1045</v>
      </c>
      <c r="E196" s="6" t="s">
        <v>123</v>
      </c>
      <c r="F196" s="6" t="s">
        <v>493</v>
      </c>
      <c r="G196" s="6" t="s">
        <v>492</v>
      </c>
      <c r="H196" s="6" t="s">
        <v>56</v>
      </c>
      <c r="I196" s="6" t="s">
        <v>494</v>
      </c>
      <c r="J196" s="6" t="s">
        <v>495</v>
      </c>
      <c r="K196" s="13">
        <v>2023</v>
      </c>
      <c r="L196" s="13">
        <v>2023</v>
      </c>
      <c r="M196" s="6" t="s">
        <v>618</v>
      </c>
      <c r="N196" s="6" t="s">
        <v>745</v>
      </c>
      <c r="O196" s="6" t="s">
        <v>993</v>
      </c>
    </row>
    <row r="197" spans="1:15" x14ac:dyDescent="0.3">
      <c r="A197" s="6" t="s">
        <v>506</v>
      </c>
      <c r="C197" s="6" t="s">
        <v>55</v>
      </c>
      <c r="D197" s="6" t="s">
        <v>1046</v>
      </c>
      <c r="F197" s="6" t="s">
        <v>507</v>
      </c>
      <c r="G197" s="6" t="s">
        <v>506</v>
      </c>
      <c r="H197" s="6" t="s">
        <v>237</v>
      </c>
      <c r="I197" s="6" t="s">
        <v>41</v>
      </c>
      <c r="J197" s="6" t="s">
        <v>495</v>
      </c>
      <c r="K197" s="13">
        <v>2023</v>
      </c>
      <c r="L197" s="13">
        <v>2023</v>
      </c>
      <c r="M197" s="6" t="s">
        <v>618</v>
      </c>
      <c r="N197" s="6" t="s">
        <v>745</v>
      </c>
      <c r="O197" s="6" t="s">
        <v>993</v>
      </c>
    </row>
    <row r="198" spans="1:15" x14ac:dyDescent="0.3">
      <c r="A198" s="33" t="s">
        <v>508</v>
      </c>
      <c r="B198" s="33"/>
      <c r="C198" s="6" t="s">
        <v>55</v>
      </c>
      <c r="D198" s="33" t="s">
        <v>509</v>
      </c>
      <c r="E198" s="6" t="s">
        <v>58</v>
      </c>
      <c r="F198" s="33" t="s">
        <v>509</v>
      </c>
      <c r="G198" s="33" t="s">
        <v>508</v>
      </c>
      <c r="I198" s="36" t="s">
        <v>78</v>
      </c>
      <c r="J198" s="33" t="s">
        <v>79</v>
      </c>
      <c r="K198" s="33">
        <v>2023</v>
      </c>
      <c r="N198" s="6" t="s">
        <v>616</v>
      </c>
      <c r="O198" s="6"/>
    </row>
    <row r="199" spans="1:15" x14ac:dyDescent="0.3">
      <c r="A199" s="33" t="s">
        <v>510</v>
      </c>
      <c r="B199" s="33"/>
      <c r="C199" s="6" t="s">
        <v>55</v>
      </c>
      <c r="D199" s="33" t="s">
        <v>511</v>
      </c>
      <c r="E199" s="6" t="s">
        <v>58</v>
      </c>
      <c r="F199" s="33" t="s">
        <v>511</v>
      </c>
      <c r="G199" s="33" t="s">
        <v>510</v>
      </c>
      <c r="I199" s="36" t="s">
        <v>78</v>
      </c>
      <c r="J199" s="33" t="s">
        <v>79</v>
      </c>
      <c r="K199" s="33">
        <v>2023</v>
      </c>
      <c r="N199" s="6" t="s">
        <v>616</v>
      </c>
      <c r="O199" s="6"/>
    </row>
    <row r="200" spans="1:15" x14ac:dyDescent="0.3">
      <c r="A200" s="33" t="s">
        <v>512</v>
      </c>
      <c r="B200" s="33"/>
      <c r="C200" s="6" t="s">
        <v>55</v>
      </c>
      <c r="D200" s="33" t="s">
        <v>513</v>
      </c>
      <c r="E200" s="6" t="s">
        <v>58</v>
      </c>
      <c r="F200" s="33" t="s">
        <v>513</v>
      </c>
      <c r="G200" s="33" t="s">
        <v>512</v>
      </c>
      <c r="I200" s="36" t="s">
        <v>78</v>
      </c>
      <c r="J200" s="33" t="s">
        <v>79</v>
      </c>
      <c r="K200" s="33">
        <v>2023</v>
      </c>
      <c r="N200" s="6" t="s">
        <v>616</v>
      </c>
      <c r="O200" s="6"/>
    </row>
    <row r="201" spans="1:15" x14ac:dyDescent="0.3">
      <c r="A201" s="33" t="s">
        <v>514</v>
      </c>
      <c r="B201" s="33"/>
      <c r="C201" s="6" t="s">
        <v>55</v>
      </c>
      <c r="D201" s="33" t="s">
        <v>515</v>
      </c>
      <c r="E201" s="6" t="s">
        <v>58</v>
      </c>
      <c r="F201" s="33" t="s">
        <v>515</v>
      </c>
      <c r="G201" s="33" t="s">
        <v>514</v>
      </c>
      <c r="I201" s="36" t="s">
        <v>78</v>
      </c>
      <c r="J201" s="33" t="s">
        <v>79</v>
      </c>
      <c r="K201" s="33">
        <v>2023</v>
      </c>
      <c r="N201" s="6" t="s">
        <v>616</v>
      </c>
      <c r="O201" s="6"/>
    </row>
    <row r="202" spans="1:15" x14ac:dyDescent="0.35">
      <c r="A202" s="38" t="s">
        <v>445</v>
      </c>
      <c r="B202" s="38"/>
      <c r="C202" s="10"/>
      <c r="D202" s="39" t="s">
        <v>446</v>
      </c>
      <c r="E202" s="6" t="s">
        <v>123</v>
      </c>
      <c r="F202" s="6" t="str">
        <f>D202</f>
        <v>Tasa de desocupados en los hombres</v>
      </c>
      <c r="G202" s="6" t="str">
        <f>A202</f>
        <v>td_hombres</v>
      </c>
      <c r="I202" s="6" t="s">
        <v>41</v>
      </c>
      <c r="O202" s="28"/>
    </row>
    <row r="203" spans="1:15" x14ac:dyDescent="0.35">
      <c r="A203" s="38" t="s">
        <v>447</v>
      </c>
      <c r="B203" s="38"/>
      <c r="D203" s="39" t="s">
        <v>448</v>
      </c>
      <c r="E203" s="6" t="s">
        <v>123</v>
      </c>
      <c r="F203" s="6" t="str">
        <f t="shared" ref="F203:F221" si="1">D203</f>
        <v>Tasa de desocupados en las mujeres</v>
      </c>
      <c r="G203" s="6" t="str">
        <f t="shared" ref="G203:G221" si="2">A203</f>
        <v>td_mujeres</v>
      </c>
      <c r="I203" s="6" t="s">
        <v>41</v>
      </c>
    </row>
    <row r="204" spans="1:15" x14ac:dyDescent="0.35">
      <c r="A204" s="38" t="s">
        <v>204</v>
      </c>
      <c r="B204" s="38"/>
      <c r="D204" s="39" t="s">
        <v>205</v>
      </c>
      <c r="E204" s="6" t="s">
        <v>123</v>
      </c>
      <c r="F204" s="6" t="str">
        <f t="shared" si="1"/>
        <v>Inseguridad alimentaria para hogares con personas de 5 años o menos</v>
      </c>
      <c r="G204" s="6" t="str">
        <f t="shared" si="2"/>
        <v>ins_alim_5</v>
      </c>
      <c r="I204" s="6" t="s">
        <v>41</v>
      </c>
    </row>
    <row r="205" spans="1:15" x14ac:dyDescent="0.35">
      <c r="A205" s="38" t="s">
        <v>202</v>
      </c>
      <c r="B205" s="38"/>
      <c r="D205" s="39" t="s">
        <v>203</v>
      </c>
      <c r="E205" s="6" t="s">
        <v>123</v>
      </c>
      <c r="F205" s="6" t="str">
        <f t="shared" si="1"/>
        <v>Inseguridad alimentaria para hogares con personas menores de 18 años</v>
      </c>
      <c r="G205" s="6" t="str">
        <f t="shared" si="2"/>
        <v>ins_alim_18</v>
      </c>
      <c r="I205" s="6" t="s">
        <v>41</v>
      </c>
    </row>
    <row r="206" spans="1:15" x14ac:dyDescent="0.35">
      <c r="A206" s="38" t="s">
        <v>206</v>
      </c>
      <c r="B206" s="38"/>
      <c r="D206" s="39" t="s">
        <v>207</v>
      </c>
      <c r="E206" s="6" t="s">
        <v>123</v>
      </c>
      <c r="F206" s="6" t="str">
        <f t="shared" si="1"/>
        <v>Inseguridad alimentaria_moderada</v>
      </c>
      <c r="G206" s="6" t="str">
        <f t="shared" si="2"/>
        <v>ins_alim_mod</v>
      </c>
      <c r="I206" s="6" t="s">
        <v>41</v>
      </c>
    </row>
    <row r="207" spans="1:15" x14ac:dyDescent="0.35">
      <c r="A207" s="38" t="s">
        <v>210</v>
      </c>
      <c r="B207" s="38"/>
      <c r="D207" s="39" t="s">
        <v>211</v>
      </c>
      <c r="E207" s="6" t="s">
        <v>123</v>
      </c>
      <c r="F207" s="6" t="str">
        <f t="shared" si="1"/>
        <v>Inseguridad alimentaria_moderada para hogares con personas de 5 años o menos</v>
      </c>
      <c r="G207" s="6" t="str">
        <f t="shared" si="2"/>
        <v>ins_alim_mod_5</v>
      </c>
      <c r="I207" s="6" t="s">
        <v>41</v>
      </c>
    </row>
    <row r="208" spans="1:15" x14ac:dyDescent="0.35">
      <c r="A208" s="38" t="s">
        <v>208</v>
      </c>
      <c r="B208" s="38"/>
      <c r="D208" s="39" t="s">
        <v>209</v>
      </c>
      <c r="E208" s="6" t="s">
        <v>123</v>
      </c>
      <c r="F208" s="6" t="str">
        <f t="shared" si="1"/>
        <v>Inseguridad alimentaria_moderada para hogares con personas menores de 18 años</v>
      </c>
      <c r="G208" s="6" t="str">
        <f t="shared" si="2"/>
        <v>ins_alim_mod_18</v>
      </c>
      <c r="I208" s="6" t="s">
        <v>41</v>
      </c>
    </row>
    <row r="209" spans="1:9" x14ac:dyDescent="0.35">
      <c r="A209" s="38" t="s">
        <v>212</v>
      </c>
      <c r="B209" s="38"/>
      <c r="D209" s="39" t="s">
        <v>213</v>
      </c>
      <c r="E209" s="6" t="s">
        <v>123</v>
      </c>
      <c r="F209" s="6" t="str">
        <f t="shared" si="1"/>
        <v>Inseguridad alimentaria_severa</v>
      </c>
      <c r="G209" s="6" t="str">
        <f t="shared" si="2"/>
        <v>ins_alim_sev</v>
      </c>
      <c r="I209" s="6" t="s">
        <v>41</v>
      </c>
    </row>
    <row r="210" spans="1:9" x14ac:dyDescent="0.35">
      <c r="A210" s="38" t="s">
        <v>216</v>
      </c>
      <c r="B210" s="38"/>
      <c r="D210" s="39" t="s">
        <v>217</v>
      </c>
      <c r="E210" s="6" t="s">
        <v>123</v>
      </c>
      <c r="F210" s="6" t="str">
        <f t="shared" si="1"/>
        <v>Inseguridad alimentaria_severa para hogares con personas de 5 años o menos</v>
      </c>
      <c r="G210" s="6" t="str">
        <f t="shared" si="2"/>
        <v>ins_alim_sev_5</v>
      </c>
      <c r="I210" s="6" t="s">
        <v>41</v>
      </c>
    </row>
    <row r="211" spans="1:9" x14ac:dyDescent="0.35">
      <c r="A211" s="38" t="s">
        <v>214</v>
      </c>
      <c r="B211" s="38"/>
      <c r="D211" s="39" t="s">
        <v>215</v>
      </c>
      <c r="E211" s="6" t="s">
        <v>123</v>
      </c>
      <c r="F211" s="6" t="str">
        <f t="shared" si="1"/>
        <v>Inseguridad alimentaria_severa para hogares con personas menores de 18 años</v>
      </c>
      <c r="G211" s="6" t="str">
        <f t="shared" si="2"/>
        <v>ins_alim_sev_18</v>
      </c>
      <c r="I211" s="6" t="s">
        <v>41</v>
      </c>
    </row>
    <row r="212" spans="1:9" x14ac:dyDescent="0.35">
      <c r="A212" s="38" t="s">
        <v>342</v>
      </c>
      <c r="B212" s="38"/>
      <c r="D212" s="39" t="s">
        <v>343</v>
      </c>
      <c r="E212" s="6" t="s">
        <v>123</v>
      </c>
      <c r="F212" s="6" t="str">
        <f t="shared" si="1"/>
        <v>Porcentaje de hombres pobres - IPM</v>
      </c>
      <c r="G212" s="6" t="str">
        <f t="shared" si="2"/>
        <v>pob_ipm_hombres</v>
      </c>
      <c r="I212" s="6" t="s">
        <v>41</v>
      </c>
    </row>
    <row r="213" spans="1:9" x14ac:dyDescent="0.35">
      <c r="A213" s="38" t="s">
        <v>344</v>
      </c>
      <c r="B213" s="38"/>
      <c r="D213" s="39" t="s">
        <v>345</v>
      </c>
      <c r="E213" s="6" t="s">
        <v>123</v>
      </c>
      <c r="F213" s="6" t="str">
        <f t="shared" si="1"/>
        <v>Porcentaje de mujeres pobres - IPM</v>
      </c>
      <c r="G213" s="6" t="str">
        <f t="shared" si="2"/>
        <v>pob_ipm_mujeres</v>
      </c>
      <c r="I213" s="6" t="s">
        <v>41</v>
      </c>
    </row>
    <row r="214" spans="1:9" x14ac:dyDescent="0.35">
      <c r="A214" s="38" t="s">
        <v>340</v>
      </c>
      <c r="B214" s="38"/>
      <c r="D214" s="39" t="s">
        <v>341</v>
      </c>
      <c r="E214" s="6" t="s">
        <v>123</v>
      </c>
      <c r="F214" s="6" t="str">
        <f t="shared" si="1"/>
        <v>Porcentaje de hogares pobres - IPM</v>
      </c>
      <c r="G214" s="6" t="str">
        <f t="shared" si="2"/>
        <v>pob_ipm_hogares</v>
      </c>
      <c r="I214" s="6" t="s">
        <v>41</v>
      </c>
    </row>
    <row r="215" spans="1:9" x14ac:dyDescent="0.35">
      <c r="A215" s="38" t="s">
        <v>356</v>
      </c>
      <c r="B215" s="38"/>
      <c r="D215" s="39" t="s">
        <v>357</v>
      </c>
      <c r="E215" s="6" t="s">
        <v>123</v>
      </c>
      <c r="F215" s="6" t="str">
        <f t="shared" si="1"/>
        <v>Porcentaje de hombres en condición de pobreza por NBI</v>
      </c>
      <c r="G215" s="6" t="str">
        <f t="shared" si="2"/>
        <v>pob_nbi_hombres</v>
      </c>
      <c r="I215" s="6" t="s">
        <v>41</v>
      </c>
    </row>
    <row r="216" spans="1:9" x14ac:dyDescent="0.35">
      <c r="A216" s="38" t="s">
        <v>358</v>
      </c>
      <c r="B216" s="38"/>
      <c r="D216" s="39" t="s">
        <v>359</v>
      </c>
      <c r="E216" s="6" t="s">
        <v>123</v>
      </c>
      <c r="F216" s="6" t="str">
        <f t="shared" si="1"/>
        <v>Porcentaje de mujeres en condición de pobreza por NBI</v>
      </c>
      <c r="G216" s="6" t="str">
        <f t="shared" si="2"/>
        <v>pob_nbi_mujeres</v>
      </c>
      <c r="I216" s="6" t="s">
        <v>41</v>
      </c>
    </row>
    <row r="217" spans="1:9" x14ac:dyDescent="0.35">
      <c r="A217" s="38" t="s">
        <v>354</v>
      </c>
      <c r="B217" s="38"/>
      <c r="D217" s="39" t="s">
        <v>355</v>
      </c>
      <c r="E217" s="6" t="s">
        <v>123</v>
      </c>
      <c r="F217" s="6" t="str">
        <f t="shared" si="1"/>
        <v>Porcentaje de hogares en condición de pobreza por NBI</v>
      </c>
      <c r="G217" s="6" t="str">
        <f t="shared" si="2"/>
        <v>pob_nbi_hogares</v>
      </c>
      <c r="I217" s="6" t="s">
        <v>41</v>
      </c>
    </row>
    <row r="218" spans="1:9" x14ac:dyDescent="0.35">
      <c r="A218" s="38" t="s">
        <v>334</v>
      </c>
      <c r="B218" s="38"/>
      <c r="D218" s="39" t="s">
        <v>335</v>
      </c>
      <c r="E218" s="6" t="s">
        <v>123</v>
      </c>
      <c r="F218" s="6" t="str">
        <f t="shared" si="1"/>
        <v>Porcentaje de hombres con ingreso per cápita por debajo de la LI</v>
      </c>
      <c r="G218" s="6" t="str">
        <f t="shared" si="2"/>
        <v>pob_ext_hombres</v>
      </c>
      <c r="I218" s="6" t="s">
        <v>41</v>
      </c>
    </row>
    <row r="219" spans="1:9" x14ac:dyDescent="0.35">
      <c r="A219" s="38" t="s">
        <v>348</v>
      </c>
      <c r="B219" s="38"/>
      <c r="D219" s="39" t="s">
        <v>349</v>
      </c>
      <c r="E219" s="6" t="s">
        <v>123</v>
      </c>
      <c r="F219" s="6" t="str">
        <f t="shared" si="1"/>
        <v>Porcentaje de hombres con ingreso per cápita por debajo de la LP</v>
      </c>
      <c r="G219" s="6" t="str">
        <f t="shared" si="2"/>
        <v>pob_mon_hombres</v>
      </c>
      <c r="I219" s="6" t="s">
        <v>41</v>
      </c>
    </row>
    <row r="220" spans="1:9" x14ac:dyDescent="0.35">
      <c r="A220" s="38" t="s">
        <v>336</v>
      </c>
      <c r="B220" s="38"/>
      <c r="D220" s="39" t="s">
        <v>337</v>
      </c>
      <c r="E220" s="6" t="s">
        <v>123</v>
      </c>
      <c r="F220" s="6" t="str">
        <f t="shared" si="1"/>
        <v>Porcentaje de mujeres con ingreso per cápita por debajo de la LI</v>
      </c>
      <c r="G220" s="6" t="str">
        <f t="shared" si="2"/>
        <v>pob_ext_mujeres</v>
      </c>
      <c r="I220" s="6" t="s">
        <v>41</v>
      </c>
    </row>
    <row r="221" spans="1:9" x14ac:dyDescent="0.35">
      <c r="A221" s="38" t="s">
        <v>350</v>
      </c>
      <c r="B221" s="38"/>
      <c r="D221" s="39" t="s">
        <v>351</v>
      </c>
      <c r="E221" s="6" t="s">
        <v>123</v>
      </c>
      <c r="F221" s="6" t="str">
        <f t="shared" si="1"/>
        <v>Porcentaje de mujeres con ingreso per cápita por debajo de la LP</v>
      </c>
      <c r="G221" s="6" t="str">
        <f t="shared" si="2"/>
        <v>pob_mon_mujeres</v>
      </c>
      <c r="I221" s="6" t="s">
        <v>41</v>
      </c>
    </row>
  </sheetData>
  <autoFilter ref="A1:P221" xr:uid="{5F280BC0-9B68-4877-B035-8C33F0D9A661}">
    <sortState xmlns:xlrd2="http://schemas.microsoft.com/office/spreadsheetml/2017/richdata2" ref="A2:P202">
      <sortCondition ref="A1:A202"/>
    </sortState>
  </autoFilter>
  <phoneticPr fontId="6" type="noConversion"/>
  <conditionalFormatting sqref="H1:I2 H3 H4:I81 I82:I90 H82:H127 I98:I127 H128:I1048576">
    <cfRule type="cellIs" dxfId="3" priority="1" operator="equal">
      <formula>"Negativo"</formula>
    </cfRule>
    <cfRule type="cellIs" dxfId="2" priority="2" operator="equal">
      <formula>"Positivo"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0BC0-9B68-4877-B035-8C33F0D9A661}">
  <dimension ref="A1:P221"/>
  <sheetViews>
    <sheetView zoomScale="76" zoomScaleNormal="100" workbookViewId="0">
      <pane ySplit="1" topLeftCell="A11" activePane="bottomLeft" state="frozen"/>
      <selection pane="bottomLeft" activeCell="J25" sqref="J25"/>
    </sheetView>
  </sheetViews>
  <sheetFormatPr baseColWidth="10" defaultColWidth="8.6640625" defaultRowHeight="15" x14ac:dyDescent="0.3"/>
  <cols>
    <col min="1" max="1" width="24.109375" style="6" bestFit="1" customWidth="1"/>
    <col min="2" max="2" width="52.5546875" style="6" customWidth="1"/>
    <col min="3" max="3" width="76.33203125" style="6" bestFit="1" customWidth="1"/>
    <col min="4" max="4" width="16.109375" style="6" bestFit="1" customWidth="1"/>
    <col min="5" max="5" width="16.109375" style="6" customWidth="1"/>
    <col min="6" max="6" width="128.5546875" style="6" bestFit="1" customWidth="1"/>
    <col min="7" max="7" width="24.109375" style="6" bestFit="1" customWidth="1"/>
    <col min="8" max="8" width="15" style="6" bestFit="1" customWidth="1"/>
    <col min="9" max="9" width="47.109375" style="6" customWidth="1"/>
    <col min="10" max="10" width="11.109375" style="6" bestFit="1" customWidth="1"/>
    <col min="11" max="11" width="12" style="13" bestFit="1" customWidth="1"/>
    <col min="12" max="12" width="13.109375" style="13" bestFit="1" customWidth="1"/>
    <col min="13" max="13" width="16.109375" style="6" bestFit="1" customWidth="1"/>
    <col min="14" max="14" width="11.5546875" style="6" bestFit="1" customWidth="1"/>
    <col min="15" max="15" width="42.33203125" style="7" bestFit="1" customWidth="1"/>
    <col min="16" max="16" width="50.5546875" style="31" customWidth="1"/>
    <col min="17" max="16384" width="8.6640625" style="6"/>
  </cols>
  <sheetData>
    <row r="1" spans="1:16" s="11" customFormat="1" ht="32.1" customHeight="1" x14ac:dyDescent="0.3">
      <c r="A1" s="26" t="s">
        <v>901</v>
      </c>
      <c r="B1" s="5" t="s">
        <v>17</v>
      </c>
      <c r="C1" s="5" t="s">
        <v>903</v>
      </c>
      <c r="D1" s="5" t="s">
        <v>1047</v>
      </c>
      <c r="E1" s="5" t="s">
        <v>20</v>
      </c>
      <c r="F1" s="5" t="s">
        <v>904</v>
      </c>
      <c r="G1" s="26" t="s">
        <v>901</v>
      </c>
      <c r="H1" s="26" t="s">
        <v>18</v>
      </c>
      <c r="I1" s="26" t="s">
        <v>15</v>
      </c>
      <c r="J1" s="4" t="s">
        <v>19</v>
      </c>
      <c r="K1" s="4" t="s">
        <v>519</v>
      </c>
      <c r="L1" s="27" t="s">
        <v>905</v>
      </c>
      <c r="M1" s="4" t="s">
        <v>520</v>
      </c>
      <c r="N1" s="8" t="s">
        <v>906</v>
      </c>
      <c r="O1" s="9" t="s">
        <v>522</v>
      </c>
      <c r="P1" s="5" t="s">
        <v>523</v>
      </c>
    </row>
    <row r="2" spans="1:16" ht="60" x14ac:dyDescent="0.3">
      <c r="A2" s="33" t="s">
        <v>221</v>
      </c>
      <c r="B2" s="6" t="s">
        <v>223</v>
      </c>
      <c r="C2" s="33" t="s">
        <v>1008</v>
      </c>
      <c r="D2" s="6" t="s">
        <v>530</v>
      </c>
      <c r="E2" s="6" t="s">
        <v>58</v>
      </c>
      <c r="F2" s="33" t="s">
        <v>222</v>
      </c>
      <c r="G2" s="33" t="s">
        <v>221</v>
      </c>
      <c r="I2" s="6" t="s">
        <v>146</v>
      </c>
      <c r="J2" s="6" t="s">
        <v>224</v>
      </c>
      <c r="K2" s="6"/>
      <c r="M2" s="6" t="s">
        <v>640</v>
      </c>
      <c r="N2" s="6" t="s">
        <v>745</v>
      </c>
      <c r="O2" s="31"/>
      <c r="P2" s="31" t="s">
        <v>1009</v>
      </c>
    </row>
    <row r="3" spans="1:16" x14ac:dyDescent="0.3">
      <c r="A3" s="33" t="s">
        <v>225</v>
      </c>
      <c r="B3" s="6" t="s">
        <v>223</v>
      </c>
      <c r="C3" s="33" t="s">
        <v>1008</v>
      </c>
      <c r="D3" s="6" t="s">
        <v>530</v>
      </c>
      <c r="E3" s="6" t="s">
        <v>58</v>
      </c>
      <c r="F3" s="33" t="s">
        <v>226</v>
      </c>
      <c r="G3" s="33" t="s">
        <v>225</v>
      </c>
      <c r="I3" s="6" t="s">
        <v>146</v>
      </c>
      <c r="J3" s="6" t="s">
        <v>224</v>
      </c>
      <c r="K3" s="6"/>
      <c r="M3" s="6" t="s">
        <v>640</v>
      </c>
      <c r="N3" s="6" t="s">
        <v>745</v>
      </c>
      <c r="O3" s="31"/>
    </row>
    <row r="4" spans="1:16" ht="165" x14ac:dyDescent="0.3">
      <c r="A4" s="33" t="s">
        <v>227</v>
      </c>
      <c r="B4" s="6" t="s">
        <v>223</v>
      </c>
      <c r="C4" s="33" t="s">
        <v>1010</v>
      </c>
      <c r="D4" s="6" t="s">
        <v>530</v>
      </c>
      <c r="E4" s="6" t="s">
        <v>58</v>
      </c>
      <c r="F4" s="35" t="s">
        <v>228</v>
      </c>
      <c r="G4" s="33" t="s">
        <v>227</v>
      </c>
      <c r="I4" s="6" t="s">
        <v>146</v>
      </c>
      <c r="J4" s="33" t="s">
        <v>224</v>
      </c>
      <c r="M4" s="6" t="s">
        <v>618</v>
      </c>
      <c r="N4" s="6" t="s">
        <v>745</v>
      </c>
      <c r="O4" s="28" t="s">
        <v>1011</v>
      </c>
      <c r="P4" s="31" t="s">
        <v>1012</v>
      </c>
    </row>
    <row r="5" spans="1:16" x14ac:dyDescent="0.3">
      <c r="A5" s="33" t="s">
        <v>229</v>
      </c>
      <c r="B5" s="6" t="s">
        <v>223</v>
      </c>
      <c r="C5" s="33" t="s">
        <v>1010</v>
      </c>
      <c r="D5" s="6" t="s">
        <v>530</v>
      </c>
      <c r="E5" s="6" t="s">
        <v>58</v>
      </c>
      <c r="F5" s="33" t="s">
        <v>230</v>
      </c>
      <c r="G5" s="33" t="s">
        <v>229</v>
      </c>
      <c r="I5" s="6" t="s">
        <v>146</v>
      </c>
      <c r="J5" s="6" t="s">
        <v>224</v>
      </c>
      <c r="K5" s="6"/>
      <c r="M5" s="6" t="s">
        <v>640</v>
      </c>
      <c r="N5" s="6" t="s">
        <v>745</v>
      </c>
      <c r="O5" s="31"/>
    </row>
    <row r="6" spans="1:16" ht="30" x14ac:dyDescent="0.3">
      <c r="A6" s="6" t="s">
        <v>124</v>
      </c>
      <c r="B6" s="6" t="s">
        <v>126</v>
      </c>
      <c r="C6" s="6" t="s">
        <v>994</v>
      </c>
      <c r="D6" s="6" t="s">
        <v>58</v>
      </c>
      <c r="E6" s="6" t="s">
        <v>58</v>
      </c>
      <c r="F6" s="6" t="s">
        <v>125</v>
      </c>
      <c r="G6" s="6" t="s">
        <v>124</v>
      </c>
      <c r="H6" s="6" t="s">
        <v>28</v>
      </c>
      <c r="I6" s="6" t="s">
        <v>41</v>
      </c>
      <c r="J6" s="6" t="s">
        <v>127</v>
      </c>
      <c r="K6" s="13">
        <v>2023</v>
      </c>
      <c r="L6" s="13">
        <v>2023</v>
      </c>
      <c r="M6" s="6" t="s">
        <v>640</v>
      </c>
      <c r="N6" s="6" t="s">
        <v>745</v>
      </c>
      <c r="O6" s="31" t="s">
        <v>995</v>
      </c>
    </row>
    <row r="7" spans="1:16" x14ac:dyDescent="0.3">
      <c r="A7" s="6" t="s">
        <v>424</v>
      </c>
      <c r="B7" s="6" t="s">
        <v>126</v>
      </c>
      <c r="C7" s="6" t="s">
        <v>1025</v>
      </c>
      <c r="D7" s="6" t="s">
        <v>58</v>
      </c>
      <c r="E7" s="6" t="s">
        <v>58</v>
      </c>
      <c r="F7" s="6" t="s">
        <v>425</v>
      </c>
      <c r="G7" s="6" t="s">
        <v>424</v>
      </c>
      <c r="H7" s="6" t="s">
        <v>56</v>
      </c>
      <c r="I7" s="6" t="s">
        <v>41</v>
      </c>
      <c r="J7" s="6" t="s">
        <v>127</v>
      </c>
      <c r="K7" s="13">
        <v>2023</v>
      </c>
      <c r="L7" s="13">
        <v>2023</v>
      </c>
      <c r="M7" s="6" t="s">
        <v>618</v>
      </c>
      <c r="N7" s="6" t="s">
        <v>745</v>
      </c>
      <c r="O7" s="28" t="s">
        <v>993</v>
      </c>
    </row>
    <row r="8" spans="1:16" x14ac:dyDescent="0.3">
      <c r="A8" s="6" t="s">
        <v>426</v>
      </c>
      <c r="B8" s="6" t="s">
        <v>126</v>
      </c>
      <c r="C8" s="6" t="s">
        <v>1025</v>
      </c>
      <c r="D8" s="6" t="s">
        <v>58</v>
      </c>
      <c r="E8" s="6" t="s">
        <v>58</v>
      </c>
      <c r="F8" s="6" t="s">
        <v>427</v>
      </c>
      <c r="G8" s="6" t="s">
        <v>426</v>
      </c>
      <c r="H8" s="6" t="s">
        <v>56</v>
      </c>
      <c r="I8" s="6" t="s">
        <v>41</v>
      </c>
      <c r="J8" s="6" t="s">
        <v>127</v>
      </c>
      <c r="K8" s="13">
        <v>2023</v>
      </c>
      <c r="L8" s="13">
        <v>2023</v>
      </c>
      <c r="M8" s="6" t="s">
        <v>618</v>
      </c>
      <c r="N8" s="6" t="s">
        <v>745</v>
      </c>
      <c r="O8" s="28" t="s">
        <v>993</v>
      </c>
    </row>
    <row r="9" spans="1:16" ht="45" x14ac:dyDescent="0.3">
      <c r="A9" s="6" t="s">
        <v>443</v>
      </c>
      <c r="B9" s="6" t="s">
        <v>126</v>
      </c>
      <c r="C9" s="6" t="s">
        <v>1035</v>
      </c>
      <c r="D9" s="6" t="s">
        <v>58</v>
      </c>
      <c r="E9" s="6" t="str">
        <f>D9</f>
        <v>Miguel</v>
      </c>
      <c r="F9" s="10" t="s">
        <v>444</v>
      </c>
      <c r="G9" s="6" t="s">
        <v>443</v>
      </c>
      <c r="H9" s="6" t="s">
        <v>28</v>
      </c>
      <c r="I9" s="6" t="s">
        <v>41</v>
      </c>
      <c r="J9" s="6" t="s">
        <v>127</v>
      </c>
      <c r="K9" s="13">
        <v>2023</v>
      </c>
      <c r="L9" s="13">
        <v>2023</v>
      </c>
      <c r="M9" s="6" t="s">
        <v>640</v>
      </c>
      <c r="N9" s="6" t="s">
        <v>745</v>
      </c>
      <c r="O9" s="31" t="s">
        <v>995</v>
      </c>
    </row>
    <row r="10" spans="1:16" ht="30" x14ac:dyDescent="0.3">
      <c r="A10" s="6" t="s">
        <v>457</v>
      </c>
      <c r="B10" s="6" t="s">
        <v>126</v>
      </c>
      <c r="C10" s="6" t="s">
        <v>1040</v>
      </c>
      <c r="D10" s="6" t="s">
        <v>58</v>
      </c>
      <c r="E10" s="6" t="str">
        <f>D10</f>
        <v>Miguel</v>
      </c>
      <c r="F10" s="6" t="s">
        <v>458</v>
      </c>
      <c r="G10" s="6" t="s">
        <v>457</v>
      </c>
      <c r="H10" s="6" t="s">
        <v>56</v>
      </c>
      <c r="I10" s="6" t="s">
        <v>41</v>
      </c>
      <c r="J10" s="6" t="s">
        <v>127</v>
      </c>
      <c r="K10" s="13">
        <v>2023</v>
      </c>
      <c r="L10" s="13">
        <v>2023</v>
      </c>
      <c r="M10" s="6" t="s">
        <v>640</v>
      </c>
      <c r="N10" s="6" t="s">
        <v>745</v>
      </c>
      <c r="O10" s="31" t="s">
        <v>995</v>
      </c>
    </row>
    <row r="11" spans="1:16" x14ac:dyDescent="0.3">
      <c r="A11" s="6" t="s">
        <v>220</v>
      </c>
      <c r="B11" s="6" t="s">
        <v>27</v>
      </c>
      <c r="C11" s="6" t="s">
        <v>916</v>
      </c>
      <c r="D11" s="6" t="s">
        <v>530</v>
      </c>
      <c r="F11" s="6" t="s">
        <v>917</v>
      </c>
      <c r="G11" s="6" t="s">
        <v>220</v>
      </c>
      <c r="J11" s="6" t="s">
        <v>918</v>
      </c>
      <c r="K11" s="13" t="s">
        <v>919</v>
      </c>
      <c r="M11" s="6" t="s">
        <v>618</v>
      </c>
      <c r="N11" s="6" t="s">
        <v>745</v>
      </c>
      <c r="O11" s="28" t="s">
        <v>920</v>
      </c>
      <c r="P11" t="s">
        <v>45</v>
      </c>
    </row>
    <row r="12" spans="1:16" ht="45" x14ac:dyDescent="0.3">
      <c r="A12" s="6" t="s">
        <v>220</v>
      </c>
      <c r="B12" s="6" t="s">
        <v>27</v>
      </c>
      <c r="C12" s="6" t="s">
        <v>921</v>
      </c>
      <c r="D12" s="6" t="s">
        <v>530</v>
      </c>
      <c r="F12" s="10" t="s">
        <v>110</v>
      </c>
      <c r="G12" s="6" t="s">
        <v>220</v>
      </c>
      <c r="J12" s="10" t="s">
        <v>922</v>
      </c>
      <c r="K12" s="13" t="s">
        <v>24</v>
      </c>
      <c r="M12" s="6" t="s">
        <v>618</v>
      </c>
      <c r="N12" s="6" t="s">
        <v>745</v>
      </c>
      <c r="O12" s="6" t="s">
        <v>923</v>
      </c>
    </row>
    <row r="13" spans="1:16" ht="28.5" customHeight="1" x14ac:dyDescent="0.3">
      <c r="A13" s="6" t="s">
        <v>220</v>
      </c>
      <c r="B13" s="6" t="s">
        <v>27</v>
      </c>
      <c r="C13" s="6" t="s">
        <v>924</v>
      </c>
      <c r="D13" s="6" t="s">
        <v>530</v>
      </c>
      <c r="G13" s="6" t="s">
        <v>220</v>
      </c>
      <c r="N13" s="6" t="s">
        <v>621</v>
      </c>
      <c r="O13" s="28"/>
      <c r="P13" s="31" t="s">
        <v>925</v>
      </c>
    </row>
    <row r="14" spans="1:16" ht="28.5" customHeight="1" x14ac:dyDescent="0.3">
      <c r="A14" s="6" t="s">
        <v>112</v>
      </c>
      <c r="B14" s="6" t="s">
        <v>27</v>
      </c>
      <c r="C14" s="6" t="s">
        <v>1013</v>
      </c>
      <c r="D14" s="6" t="s">
        <v>530</v>
      </c>
      <c r="E14" s="6" t="s">
        <v>530</v>
      </c>
      <c r="F14" s="10" t="s">
        <v>113</v>
      </c>
      <c r="G14" s="6" t="s">
        <v>112</v>
      </c>
      <c r="I14" s="6" t="s">
        <v>114</v>
      </c>
      <c r="J14" s="6" t="s">
        <v>115</v>
      </c>
      <c r="K14" s="13">
        <v>2017</v>
      </c>
      <c r="L14" s="13">
        <v>2017</v>
      </c>
      <c r="M14" s="6" t="s">
        <v>36</v>
      </c>
      <c r="N14" s="6" t="s">
        <v>745</v>
      </c>
      <c r="O14" s="28" t="s">
        <v>1014</v>
      </c>
      <c r="P14" s="31" t="s">
        <v>1015</v>
      </c>
    </row>
    <row r="15" spans="1:16" ht="28.5" customHeight="1" x14ac:dyDescent="0.3">
      <c r="A15" s="6" t="s">
        <v>220</v>
      </c>
      <c r="B15" s="6" t="s">
        <v>118</v>
      </c>
      <c r="C15" s="6" t="s">
        <v>934</v>
      </c>
      <c r="D15" s="6" t="s">
        <v>58</v>
      </c>
      <c r="F15" s="6" t="s">
        <v>232</v>
      </c>
      <c r="G15" s="6" t="s">
        <v>220</v>
      </c>
      <c r="J15" s="6" t="s">
        <v>119</v>
      </c>
      <c r="K15" s="13" t="s">
        <v>935</v>
      </c>
      <c r="M15" s="6" t="s">
        <v>618</v>
      </c>
      <c r="N15" s="6" t="s">
        <v>745</v>
      </c>
      <c r="O15" s="28" t="s">
        <v>936</v>
      </c>
    </row>
    <row r="16" spans="1:16" ht="28.5" customHeight="1" x14ac:dyDescent="0.3">
      <c r="A16" s="6" t="s">
        <v>220</v>
      </c>
      <c r="B16" s="6" t="s">
        <v>118</v>
      </c>
      <c r="C16" s="6" t="s">
        <v>937</v>
      </c>
      <c r="D16" s="6" t="s">
        <v>58</v>
      </c>
      <c r="F16" s="6" t="s">
        <v>117</v>
      </c>
      <c r="G16" s="6" t="s">
        <v>220</v>
      </c>
      <c r="J16" s="6" t="s">
        <v>188</v>
      </c>
      <c r="K16" s="13">
        <v>2025</v>
      </c>
      <c r="M16" s="6" t="s">
        <v>618</v>
      </c>
      <c r="N16" s="6" t="s">
        <v>745</v>
      </c>
      <c r="O16" s="28" t="s">
        <v>936</v>
      </c>
      <c r="P16" s="31" t="s">
        <v>938</v>
      </c>
    </row>
    <row r="17" spans="1:16" ht="28.5" customHeight="1" x14ac:dyDescent="0.35">
      <c r="A17" s="33" t="s">
        <v>116</v>
      </c>
      <c r="B17" s="6" t="s">
        <v>118</v>
      </c>
      <c r="C17" s="34" t="s">
        <v>117</v>
      </c>
      <c r="D17" s="6" t="s">
        <v>58</v>
      </c>
      <c r="E17" s="6" t="s">
        <v>58</v>
      </c>
      <c r="F17" s="34" t="s">
        <v>117</v>
      </c>
      <c r="G17" s="33" t="s">
        <v>116</v>
      </c>
      <c r="J17" s="34" t="s">
        <v>119</v>
      </c>
      <c r="K17" s="13">
        <v>2025</v>
      </c>
      <c r="O17" s="6"/>
    </row>
    <row r="18" spans="1:16" ht="28.5" customHeight="1" x14ac:dyDescent="0.35">
      <c r="A18" s="33" t="s">
        <v>186</v>
      </c>
      <c r="B18" s="6" t="s">
        <v>118</v>
      </c>
      <c r="C18" s="6" t="s">
        <v>1004</v>
      </c>
      <c r="D18" s="6" t="s">
        <v>58</v>
      </c>
      <c r="E18" s="6" t="s">
        <v>58</v>
      </c>
      <c r="F18" s="6" t="s">
        <v>187</v>
      </c>
      <c r="G18" s="33" t="s">
        <v>186</v>
      </c>
      <c r="I18" s="6" t="s">
        <v>152</v>
      </c>
      <c r="J18" s="34" t="s">
        <v>188</v>
      </c>
      <c r="K18" s="13">
        <v>2023</v>
      </c>
      <c r="M18" s="6" t="s">
        <v>618</v>
      </c>
      <c r="N18" s="6" t="s">
        <v>745</v>
      </c>
      <c r="O18" s="28" t="s">
        <v>936</v>
      </c>
    </row>
    <row r="19" spans="1:16" ht="28.5" customHeight="1" x14ac:dyDescent="0.35">
      <c r="A19" s="33" t="s">
        <v>231</v>
      </c>
      <c r="B19" s="6" t="s">
        <v>118</v>
      </c>
      <c r="C19" s="34" t="s">
        <v>232</v>
      </c>
      <c r="D19" s="6" t="s">
        <v>58</v>
      </c>
      <c r="E19" s="6" t="s">
        <v>58</v>
      </c>
      <c r="F19" s="34" t="s">
        <v>232</v>
      </c>
      <c r="G19" s="33" t="s">
        <v>231</v>
      </c>
      <c r="I19" s="6" t="s">
        <v>152</v>
      </c>
      <c r="J19" s="34" t="s">
        <v>119</v>
      </c>
      <c r="K19" s="13">
        <v>2023</v>
      </c>
      <c r="O19" s="6"/>
    </row>
    <row r="20" spans="1:16" ht="28.5" customHeight="1" x14ac:dyDescent="0.3">
      <c r="A20" s="6" t="s">
        <v>220</v>
      </c>
      <c r="B20" s="6" t="s">
        <v>89</v>
      </c>
      <c r="C20" s="6" t="s">
        <v>98</v>
      </c>
      <c r="D20" s="6" t="s">
        <v>530</v>
      </c>
      <c r="F20" s="13"/>
      <c r="G20" s="6" t="s">
        <v>220</v>
      </c>
      <c r="J20" s="6" t="s">
        <v>138</v>
      </c>
      <c r="K20" s="6" t="s">
        <v>911</v>
      </c>
      <c r="M20" s="6" t="s">
        <v>640</v>
      </c>
      <c r="N20" s="6" t="s">
        <v>745</v>
      </c>
      <c r="O20" s="31" t="s">
        <v>912</v>
      </c>
    </row>
    <row r="21" spans="1:16" ht="104.25" customHeight="1" x14ac:dyDescent="0.3">
      <c r="A21" s="6" t="s">
        <v>220</v>
      </c>
      <c r="B21" s="6" t="s">
        <v>89</v>
      </c>
      <c r="C21" s="6" t="s">
        <v>100</v>
      </c>
      <c r="D21" s="6" t="s">
        <v>530</v>
      </c>
      <c r="F21" s="13"/>
      <c r="G21" s="6" t="s">
        <v>220</v>
      </c>
      <c r="J21" s="6" t="s">
        <v>138</v>
      </c>
      <c r="K21" s="6" t="s">
        <v>911</v>
      </c>
      <c r="M21" s="6" t="s">
        <v>640</v>
      </c>
      <c r="N21" s="6" t="s">
        <v>745</v>
      </c>
      <c r="O21" s="31" t="s">
        <v>913</v>
      </c>
    </row>
    <row r="22" spans="1:16" ht="108.75" customHeight="1" x14ac:dyDescent="0.3">
      <c r="A22" s="6" t="s">
        <v>220</v>
      </c>
      <c r="B22" s="6" t="s">
        <v>89</v>
      </c>
      <c r="C22" s="6" t="s">
        <v>102</v>
      </c>
      <c r="D22" s="6" t="s">
        <v>530</v>
      </c>
      <c r="F22" s="13"/>
      <c r="G22" s="6" t="s">
        <v>220</v>
      </c>
      <c r="J22" s="6" t="s">
        <v>138</v>
      </c>
      <c r="K22" s="6" t="s">
        <v>911</v>
      </c>
      <c r="M22" s="6" t="s">
        <v>640</v>
      </c>
      <c r="N22" s="6" t="s">
        <v>745</v>
      </c>
      <c r="O22" s="31" t="s">
        <v>914</v>
      </c>
    </row>
    <row r="23" spans="1:16" ht="30" x14ac:dyDescent="0.3">
      <c r="A23" s="6" t="s">
        <v>220</v>
      </c>
      <c r="B23" s="6" t="s">
        <v>89</v>
      </c>
      <c r="C23" s="6" t="s">
        <v>104</v>
      </c>
      <c r="D23" s="6" t="s">
        <v>530</v>
      </c>
      <c r="F23" s="13"/>
      <c r="G23" s="6" t="s">
        <v>220</v>
      </c>
      <c r="J23" s="6" t="s">
        <v>138</v>
      </c>
      <c r="K23" s="6" t="s">
        <v>911</v>
      </c>
      <c r="M23" s="6" t="s">
        <v>640</v>
      </c>
      <c r="N23" s="6" t="s">
        <v>745</v>
      </c>
      <c r="O23" s="31" t="s">
        <v>915</v>
      </c>
    </row>
    <row r="24" spans="1:16" x14ac:dyDescent="0.3">
      <c r="A24" s="6" t="s">
        <v>220</v>
      </c>
      <c r="B24" s="6" t="s">
        <v>55</v>
      </c>
      <c r="C24" s="6" t="s">
        <v>908</v>
      </c>
      <c r="D24" s="6" t="s">
        <v>1048</v>
      </c>
      <c r="G24" s="6" t="s">
        <v>220</v>
      </c>
      <c r="N24" s="6" t="s">
        <v>776</v>
      </c>
      <c r="O24" s="6"/>
    </row>
    <row r="25" spans="1:16" ht="45" x14ac:dyDescent="0.3">
      <c r="A25" s="6" t="s">
        <v>220</v>
      </c>
      <c r="B25" s="6" t="s">
        <v>55</v>
      </c>
      <c r="C25" s="6" t="s">
        <v>909</v>
      </c>
      <c r="D25" s="6" t="s">
        <v>58</v>
      </c>
      <c r="G25" s="6" t="s">
        <v>220</v>
      </c>
      <c r="N25" s="6" t="s">
        <v>621</v>
      </c>
      <c r="O25" s="6"/>
      <c r="P25" s="31" t="s">
        <v>910</v>
      </c>
    </row>
    <row r="26" spans="1:16" x14ac:dyDescent="0.3">
      <c r="A26" s="6" t="s">
        <v>52</v>
      </c>
      <c r="B26" s="6" t="s">
        <v>55</v>
      </c>
      <c r="C26" s="6" t="s">
        <v>992</v>
      </c>
      <c r="D26" s="6" t="s">
        <v>58</v>
      </c>
      <c r="E26" s="6" t="s">
        <v>58</v>
      </c>
      <c r="F26" s="6" t="s">
        <v>53</v>
      </c>
      <c r="G26" s="6" t="s">
        <v>52</v>
      </c>
      <c r="H26" s="6" t="s">
        <v>56</v>
      </c>
      <c r="I26" s="6" t="s">
        <v>54</v>
      </c>
      <c r="J26" s="6" t="s">
        <v>57</v>
      </c>
      <c r="K26" s="13">
        <v>2023</v>
      </c>
      <c r="L26" s="13">
        <v>2023</v>
      </c>
      <c r="M26" s="6" t="s">
        <v>618</v>
      </c>
      <c r="N26" s="6" t="s">
        <v>745</v>
      </c>
      <c r="O26" s="28" t="s">
        <v>993</v>
      </c>
    </row>
    <row r="27" spans="1:16" x14ac:dyDescent="0.3">
      <c r="A27" s="6" t="s">
        <v>69</v>
      </c>
      <c r="B27" s="6" t="s">
        <v>55</v>
      </c>
      <c r="C27" s="6" t="s">
        <v>996</v>
      </c>
      <c r="D27" s="6" t="s">
        <v>58</v>
      </c>
      <c r="E27" s="6" t="s">
        <v>58</v>
      </c>
      <c r="F27" s="6" t="s">
        <v>70</v>
      </c>
      <c r="G27" s="6" t="s">
        <v>69</v>
      </c>
      <c r="H27" s="6" t="s">
        <v>56</v>
      </c>
      <c r="I27" s="6" t="s">
        <v>54</v>
      </c>
      <c r="J27" s="6" t="s">
        <v>71</v>
      </c>
      <c r="K27" s="13">
        <v>2023</v>
      </c>
      <c r="L27" s="13">
        <v>2023</v>
      </c>
      <c r="M27" s="6" t="s">
        <v>618</v>
      </c>
      <c r="N27" s="6" t="s">
        <v>745</v>
      </c>
      <c r="O27" s="6" t="s">
        <v>993</v>
      </c>
      <c r="P27" s="31" t="s">
        <v>997</v>
      </c>
    </row>
    <row r="28" spans="1:16" x14ac:dyDescent="0.3">
      <c r="A28" s="6" t="s">
        <v>72</v>
      </c>
      <c r="B28" s="6" t="s">
        <v>55</v>
      </c>
      <c r="C28" s="6" t="s">
        <v>998</v>
      </c>
      <c r="D28" s="6" t="s">
        <v>58</v>
      </c>
      <c r="E28" s="6" t="s">
        <v>58</v>
      </c>
      <c r="F28" s="6" t="s">
        <v>73</v>
      </c>
      <c r="G28" s="6" t="s">
        <v>72</v>
      </c>
      <c r="H28" s="6" t="s">
        <v>56</v>
      </c>
      <c r="I28" s="6" t="s">
        <v>54</v>
      </c>
      <c r="J28" s="6" t="s">
        <v>71</v>
      </c>
      <c r="K28" s="13">
        <v>2023</v>
      </c>
      <c r="L28" s="13">
        <v>2023</v>
      </c>
      <c r="M28" s="6" t="s">
        <v>618</v>
      </c>
      <c r="N28" s="6" t="s">
        <v>745</v>
      </c>
      <c r="O28" s="6" t="s">
        <v>993</v>
      </c>
      <c r="P28" s="31" t="s">
        <v>997</v>
      </c>
    </row>
    <row r="29" spans="1:16" x14ac:dyDescent="0.3">
      <c r="A29" s="33" t="s">
        <v>76</v>
      </c>
      <c r="B29" s="6" t="s">
        <v>55</v>
      </c>
      <c r="C29" s="33" t="s">
        <v>77</v>
      </c>
      <c r="D29" s="6" t="s">
        <v>1048</v>
      </c>
      <c r="E29" s="6" t="s">
        <v>58</v>
      </c>
      <c r="F29" s="33" t="str">
        <f>C29</f>
        <v>Kilómetros de vía primaria por el área del municipio</v>
      </c>
      <c r="G29" s="33" t="s">
        <v>76</v>
      </c>
      <c r="I29" s="36" t="s">
        <v>78</v>
      </c>
      <c r="J29" s="33" t="s">
        <v>79</v>
      </c>
      <c r="K29" s="33">
        <v>2023</v>
      </c>
      <c r="N29" s="6" t="s">
        <v>616</v>
      </c>
      <c r="O29" s="6"/>
    </row>
    <row r="30" spans="1:16" x14ac:dyDescent="0.3">
      <c r="A30" s="33" t="s">
        <v>80</v>
      </c>
      <c r="B30" s="6" t="s">
        <v>55</v>
      </c>
      <c r="C30" s="33" t="s">
        <v>81</v>
      </c>
      <c r="D30" s="6" t="s">
        <v>1048</v>
      </c>
      <c r="E30" s="6" t="s">
        <v>58</v>
      </c>
      <c r="F30" s="33" t="str">
        <f>C30</f>
        <v>Kilómetros de vía secundaria por el área del municipio</v>
      </c>
      <c r="G30" s="33" t="s">
        <v>80</v>
      </c>
      <c r="I30" s="36" t="s">
        <v>78</v>
      </c>
      <c r="J30" s="33" t="s">
        <v>79</v>
      </c>
      <c r="K30" s="33">
        <v>2023</v>
      </c>
      <c r="N30" s="6" t="s">
        <v>616</v>
      </c>
      <c r="O30" s="6"/>
    </row>
    <row r="31" spans="1:16" x14ac:dyDescent="0.3">
      <c r="A31" s="33" t="s">
        <v>82</v>
      </c>
      <c r="B31" s="6" t="s">
        <v>55</v>
      </c>
      <c r="C31" s="33" t="s">
        <v>83</v>
      </c>
      <c r="D31" s="6" t="s">
        <v>1048</v>
      </c>
      <c r="E31" s="6" t="s">
        <v>58</v>
      </c>
      <c r="F31" s="33" t="str">
        <f>C31</f>
        <v>Kilómetros de vía terciaria por el área del municipio</v>
      </c>
      <c r="G31" s="33" t="s">
        <v>82</v>
      </c>
      <c r="I31" s="36" t="s">
        <v>78</v>
      </c>
      <c r="J31" s="33" t="s">
        <v>79</v>
      </c>
      <c r="K31" s="33">
        <v>2023</v>
      </c>
      <c r="N31" s="6" t="s">
        <v>616</v>
      </c>
      <c r="O31" s="6"/>
    </row>
    <row r="32" spans="1:16" x14ac:dyDescent="0.3">
      <c r="A32" s="33" t="s">
        <v>84</v>
      </c>
      <c r="B32" s="6" t="s">
        <v>55</v>
      </c>
      <c r="C32" s="33" t="s">
        <v>85</v>
      </c>
      <c r="D32" s="6" t="s">
        <v>1048</v>
      </c>
      <c r="E32" s="6" t="s">
        <v>58</v>
      </c>
      <c r="F32" s="33" t="str">
        <f>C32</f>
        <v>Kilómetros de vía total por el área del municipio</v>
      </c>
      <c r="G32" s="33" t="s">
        <v>84</v>
      </c>
      <c r="I32" s="36" t="s">
        <v>78</v>
      </c>
      <c r="J32" s="33" t="s">
        <v>79</v>
      </c>
      <c r="K32" s="33">
        <v>2023</v>
      </c>
      <c r="N32" s="6" t="s">
        <v>616</v>
      </c>
      <c r="O32" s="6"/>
    </row>
    <row r="33" spans="1:16" x14ac:dyDescent="0.3">
      <c r="A33" s="6" t="s">
        <v>218</v>
      </c>
      <c r="B33" s="6" t="s">
        <v>55</v>
      </c>
      <c r="C33" s="6" t="s">
        <v>1007</v>
      </c>
      <c r="D33" s="6" t="s">
        <v>58</v>
      </c>
      <c r="E33" s="6" t="str">
        <f>D33</f>
        <v>Miguel</v>
      </c>
      <c r="F33" s="6" t="s">
        <v>219</v>
      </c>
      <c r="G33" s="6" t="s">
        <v>218</v>
      </c>
      <c r="H33" s="6" t="s">
        <v>56</v>
      </c>
      <c r="I33" s="6" t="s">
        <v>41</v>
      </c>
      <c r="J33" s="6" t="s">
        <v>127</v>
      </c>
      <c r="K33" s="13">
        <v>2023</v>
      </c>
      <c r="L33" s="13">
        <v>2023</v>
      </c>
      <c r="M33" s="6" t="s">
        <v>618</v>
      </c>
      <c r="N33" s="6" t="s">
        <v>745</v>
      </c>
      <c r="O33" s="28" t="s">
        <v>993</v>
      </c>
    </row>
    <row r="34" spans="1:16" ht="30" x14ac:dyDescent="0.3">
      <c r="A34" s="33" t="s">
        <v>299</v>
      </c>
      <c r="B34" s="10" t="s">
        <v>55</v>
      </c>
      <c r="C34" s="6" t="s">
        <v>1017</v>
      </c>
      <c r="D34" s="6" t="s">
        <v>1048</v>
      </c>
      <c r="E34" s="6" t="s">
        <v>149</v>
      </c>
      <c r="F34" s="33" t="s">
        <v>300</v>
      </c>
      <c r="G34" s="33" t="s">
        <v>299</v>
      </c>
      <c r="J34" s="33" t="s">
        <v>301</v>
      </c>
      <c r="K34" s="13">
        <v>2020</v>
      </c>
      <c r="N34" s="6" t="s">
        <v>616</v>
      </c>
      <c r="O34" s="28"/>
      <c r="P34" s="31" t="s">
        <v>1018</v>
      </c>
    </row>
    <row r="35" spans="1:16" x14ac:dyDescent="0.3">
      <c r="A35" s="6" t="s">
        <v>476</v>
      </c>
      <c r="B35" s="6" t="s">
        <v>55</v>
      </c>
      <c r="C35" s="6" t="s">
        <v>1041</v>
      </c>
      <c r="D35" s="6" t="s">
        <v>58</v>
      </c>
      <c r="E35" s="6" t="str">
        <f>D35</f>
        <v>Miguel</v>
      </c>
      <c r="F35" s="6" t="s">
        <v>477</v>
      </c>
      <c r="G35" s="6" t="s">
        <v>476</v>
      </c>
      <c r="H35" s="6" t="s">
        <v>56</v>
      </c>
      <c r="I35" s="6" t="s">
        <v>41</v>
      </c>
      <c r="J35" s="6" t="s">
        <v>57</v>
      </c>
      <c r="K35" s="13">
        <v>2023</v>
      </c>
      <c r="L35" s="13">
        <v>2023</v>
      </c>
      <c r="M35" s="6" t="s">
        <v>618</v>
      </c>
      <c r="N35" s="6" t="s">
        <v>745</v>
      </c>
      <c r="O35" s="28" t="s">
        <v>993</v>
      </c>
    </row>
    <row r="36" spans="1:16" x14ac:dyDescent="0.3">
      <c r="A36" s="6" t="s">
        <v>492</v>
      </c>
      <c r="B36" s="6" t="s">
        <v>55</v>
      </c>
      <c r="C36" s="6" t="s">
        <v>1045</v>
      </c>
      <c r="D36" s="6" t="s">
        <v>58</v>
      </c>
      <c r="E36" s="6" t="str">
        <f>D36</f>
        <v>Miguel</v>
      </c>
      <c r="F36" s="6" t="s">
        <v>493</v>
      </c>
      <c r="G36" s="6" t="s">
        <v>492</v>
      </c>
      <c r="H36" s="6" t="s">
        <v>56</v>
      </c>
      <c r="I36" s="6" t="s">
        <v>494</v>
      </c>
      <c r="J36" s="6" t="s">
        <v>495</v>
      </c>
      <c r="K36" s="13">
        <v>2023</v>
      </c>
      <c r="L36" s="13">
        <v>2023</v>
      </c>
      <c r="M36" s="6" t="s">
        <v>618</v>
      </c>
      <c r="N36" s="6" t="s">
        <v>745</v>
      </c>
      <c r="O36" s="6" t="s">
        <v>993</v>
      </c>
    </row>
    <row r="37" spans="1:16" x14ac:dyDescent="0.3">
      <c r="A37" s="6" t="s">
        <v>506</v>
      </c>
      <c r="B37" s="6" t="s">
        <v>55</v>
      </c>
      <c r="C37" s="6" t="s">
        <v>1046</v>
      </c>
      <c r="D37" s="6" t="s">
        <v>58</v>
      </c>
      <c r="E37" s="6" t="str">
        <f>D37</f>
        <v>Miguel</v>
      </c>
      <c r="F37" s="6" t="s">
        <v>507</v>
      </c>
      <c r="G37" s="6" t="s">
        <v>506</v>
      </c>
      <c r="H37" s="6" t="s">
        <v>237</v>
      </c>
      <c r="I37" s="6" t="s">
        <v>41</v>
      </c>
      <c r="J37" s="6" t="s">
        <v>495</v>
      </c>
      <c r="K37" s="13">
        <v>2023</v>
      </c>
      <c r="L37" s="13">
        <v>2023</v>
      </c>
      <c r="M37" s="6" t="s">
        <v>618</v>
      </c>
      <c r="N37" s="6" t="s">
        <v>745</v>
      </c>
      <c r="O37" s="6" t="s">
        <v>993</v>
      </c>
    </row>
    <row r="38" spans="1:16" x14ac:dyDescent="0.3">
      <c r="A38" s="33" t="s">
        <v>508</v>
      </c>
      <c r="B38" s="6" t="s">
        <v>55</v>
      </c>
      <c r="C38" s="33" t="s">
        <v>509</v>
      </c>
      <c r="D38" s="6" t="s">
        <v>1048</v>
      </c>
      <c r="E38" s="6" t="s">
        <v>58</v>
      </c>
      <c r="F38" s="33" t="s">
        <v>509</v>
      </c>
      <c r="G38" s="33" t="s">
        <v>508</v>
      </c>
      <c r="I38" s="36" t="s">
        <v>78</v>
      </c>
      <c r="J38" s="33" t="s">
        <v>79</v>
      </c>
      <c r="K38" s="33">
        <v>2023</v>
      </c>
      <c r="N38" s="6" t="s">
        <v>616</v>
      </c>
      <c r="O38" s="6"/>
    </row>
    <row r="39" spans="1:16" ht="15.9" customHeight="1" x14ac:dyDescent="0.3">
      <c r="A39" s="33" t="s">
        <v>510</v>
      </c>
      <c r="B39" s="6" t="s">
        <v>55</v>
      </c>
      <c r="C39" s="33" t="s">
        <v>511</v>
      </c>
      <c r="D39" s="6" t="s">
        <v>1048</v>
      </c>
      <c r="E39" s="6" t="s">
        <v>58</v>
      </c>
      <c r="F39" s="33" t="s">
        <v>511</v>
      </c>
      <c r="G39" s="33" t="s">
        <v>510</v>
      </c>
      <c r="I39" s="36" t="s">
        <v>78</v>
      </c>
      <c r="J39" s="33" t="s">
        <v>79</v>
      </c>
      <c r="K39" s="33">
        <v>2023</v>
      </c>
      <c r="N39" s="6" t="s">
        <v>616</v>
      </c>
      <c r="O39" s="6"/>
    </row>
    <row r="40" spans="1:16" ht="15.9" customHeight="1" x14ac:dyDescent="0.3">
      <c r="A40" s="33" t="s">
        <v>512</v>
      </c>
      <c r="B40" s="6" t="s">
        <v>55</v>
      </c>
      <c r="C40" s="33" t="s">
        <v>513</v>
      </c>
      <c r="D40" s="6" t="s">
        <v>1048</v>
      </c>
      <c r="E40" s="6" t="s">
        <v>58</v>
      </c>
      <c r="F40" s="33" t="s">
        <v>513</v>
      </c>
      <c r="G40" s="33" t="s">
        <v>512</v>
      </c>
      <c r="I40" s="36" t="s">
        <v>78</v>
      </c>
      <c r="J40" s="33" t="s">
        <v>79</v>
      </c>
      <c r="K40" s="33">
        <v>2023</v>
      </c>
      <c r="N40" s="6" t="s">
        <v>616</v>
      </c>
      <c r="O40" s="6"/>
    </row>
    <row r="41" spans="1:16" x14ac:dyDescent="0.3">
      <c r="A41" s="33" t="s">
        <v>514</v>
      </c>
      <c r="B41" s="6" t="s">
        <v>55</v>
      </c>
      <c r="C41" s="33" t="s">
        <v>515</v>
      </c>
      <c r="D41" s="6" t="s">
        <v>1048</v>
      </c>
      <c r="E41" s="6" t="s">
        <v>58</v>
      </c>
      <c r="F41" s="33" t="s">
        <v>515</v>
      </c>
      <c r="G41" s="33" t="s">
        <v>514</v>
      </c>
      <c r="I41" s="36" t="s">
        <v>78</v>
      </c>
      <c r="J41" s="33" t="s">
        <v>79</v>
      </c>
      <c r="K41" s="33">
        <v>2023</v>
      </c>
      <c r="N41" s="6" t="s">
        <v>616</v>
      </c>
      <c r="O41" s="6"/>
    </row>
    <row r="42" spans="1:16" ht="30" x14ac:dyDescent="0.3">
      <c r="A42" s="6" t="s">
        <v>134</v>
      </c>
      <c r="B42" s="6" t="s">
        <v>137</v>
      </c>
      <c r="C42" s="6" t="s">
        <v>999</v>
      </c>
      <c r="D42" s="6" t="s">
        <v>639</v>
      </c>
      <c r="E42" s="6" t="s">
        <v>123</v>
      </c>
      <c r="F42" s="6" t="s">
        <v>135</v>
      </c>
      <c r="G42" s="6" t="s">
        <v>134</v>
      </c>
      <c r="H42" s="6" t="s">
        <v>28</v>
      </c>
      <c r="I42" s="6" t="s">
        <v>136</v>
      </c>
      <c r="J42" s="6" t="s">
        <v>138</v>
      </c>
      <c r="K42" s="13">
        <v>2023</v>
      </c>
      <c r="L42" s="13">
        <v>2023</v>
      </c>
      <c r="M42" s="6" t="s">
        <v>640</v>
      </c>
      <c r="N42" s="6" t="s">
        <v>745</v>
      </c>
      <c r="O42" s="31" t="s">
        <v>641</v>
      </c>
    </row>
    <row r="43" spans="1:16" ht="30" x14ac:dyDescent="0.3">
      <c r="A43" s="6" t="s">
        <v>139</v>
      </c>
      <c r="B43" s="6" t="s">
        <v>137</v>
      </c>
      <c r="C43" s="6" t="s">
        <v>1000</v>
      </c>
      <c r="D43" s="6" t="s">
        <v>639</v>
      </c>
      <c r="E43" s="6" t="s">
        <v>123</v>
      </c>
      <c r="F43" s="6" t="s">
        <v>140</v>
      </c>
      <c r="G43" s="6" t="s">
        <v>139</v>
      </c>
      <c r="H43" s="6" t="s">
        <v>28</v>
      </c>
      <c r="I43" s="6" t="s">
        <v>136</v>
      </c>
      <c r="J43" s="6" t="s">
        <v>138</v>
      </c>
      <c r="K43" s="13">
        <v>2023</v>
      </c>
      <c r="L43" s="13">
        <v>2023</v>
      </c>
      <c r="M43" s="6" t="s">
        <v>640</v>
      </c>
      <c r="N43" s="6" t="s">
        <v>745</v>
      </c>
      <c r="O43" s="31" t="s">
        <v>1001</v>
      </c>
    </row>
    <row r="44" spans="1:16" ht="192" customHeight="1" x14ac:dyDescent="0.3">
      <c r="A44" s="6" t="s">
        <v>220</v>
      </c>
      <c r="B44" s="6" t="s">
        <v>143</v>
      </c>
      <c r="C44" s="6" t="s">
        <v>889</v>
      </c>
      <c r="D44" s="6" t="s">
        <v>639</v>
      </c>
      <c r="F44" s="6" t="s">
        <v>889</v>
      </c>
      <c r="G44" s="6" t="s">
        <v>220</v>
      </c>
      <c r="H44" s="6" t="s">
        <v>28</v>
      </c>
      <c r="J44" s="6" t="s">
        <v>148</v>
      </c>
      <c r="K44" s="13" t="s">
        <v>649</v>
      </c>
      <c r="M44" s="6" t="s">
        <v>618</v>
      </c>
      <c r="N44" s="6" t="s">
        <v>745</v>
      </c>
      <c r="O44" s="28" t="s">
        <v>650</v>
      </c>
      <c r="P44" s="31" t="s">
        <v>926</v>
      </c>
    </row>
    <row r="45" spans="1:16" ht="30" x14ac:dyDescent="0.3">
      <c r="A45" s="6" t="s">
        <v>220</v>
      </c>
      <c r="B45" s="6" t="s">
        <v>143</v>
      </c>
      <c r="C45" s="6" t="s">
        <v>927</v>
      </c>
      <c r="D45" s="6" t="s">
        <v>639</v>
      </c>
      <c r="G45" s="6" t="s">
        <v>220</v>
      </c>
      <c r="N45" s="6" t="s">
        <v>621</v>
      </c>
      <c r="O45" s="32"/>
      <c r="P45" s="31" t="s">
        <v>928</v>
      </c>
    </row>
    <row r="46" spans="1:16" ht="45" x14ac:dyDescent="0.3">
      <c r="A46" s="6" t="s">
        <v>220</v>
      </c>
      <c r="B46" s="6" t="s">
        <v>143</v>
      </c>
      <c r="C46" s="6" t="s">
        <v>929</v>
      </c>
      <c r="D46" s="6" t="s">
        <v>639</v>
      </c>
      <c r="F46" s="6" t="s">
        <v>930</v>
      </c>
      <c r="G46" s="6" t="s">
        <v>220</v>
      </c>
      <c r="H46" s="6" t="s">
        <v>237</v>
      </c>
      <c r="J46" s="6" t="s">
        <v>148</v>
      </c>
      <c r="K46" s="13" t="s">
        <v>649</v>
      </c>
      <c r="M46" s="6" t="s">
        <v>618</v>
      </c>
      <c r="N46" s="6" t="s">
        <v>745</v>
      </c>
      <c r="O46" s="28" t="s">
        <v>650</v>
      </c>
      <c r="P46" s="31" t="s">
        <v>931</v>
      </c>
    </row>
    <row r="47" spans="1:16" ht="60" x14ac:dyDescent="0.3">
      <c r="A47" s="6" t="s">
        <v>220</v>
      </c>
      <c r="B47" s="6" t="s">
        <v>143</v>
      </c>
      <c r="C47" s="6" t="s">
        <v>929</v>
      </c>
      <c r="D47" s="6" t="s">
        <v>639</v>
      </c>
      <c r="F47" s="6" t="s">
        <v>932</v>
      </c>
      <c r="G47" s="6" t="s">
        <v>220</v>
      </c>
      <c r="H47" s="6" t="s">
        <v>237</v>
      </c>
      <c r="J47" s="6" t="s">
        <v>148</v>
      </c>
      <c r="K47" s="13" t="s">
        <v>649</v>
      </c>
      <c r="M47" s="6" t="s">
        <v>618</v>
      </c>
      <c r="N47" s="6" t="s">
        <v>745</v>
      </c>
      <c r="O47" s="28" t="s">
        <v>650</v>
      </c>
      <c r="P47" s="31" t="s">
        <v>933</v>
      </c>
    </row>
    <row r="48" spans="1:16" ht="30" x14ac:dyDescent="0.3">
      <c r="A48" s="6" t="s">
        <v>141</v>
      </c>
      <c r="B48" s="6" t="s">
        <v>143</v>
      </c>
      <c r="C48" s="6" t="s">
        <v>1002</v>
      </c>
      <c r="D48" s="6" t="s">
        <v>639</v>
      </c>
      <c r="E48" s="6" t="s">
        <v>123</v>
      </c>
      <c r="F48" s="6" t="s">
        <v>142</v>
      </c>
      <c r="G48" s="6" t="s">
        <v>141</v>
      </c>
      <c r="H48" s="6" t="s">
        <v>28</v>
      </c>
      <c r="I48" s="6" t="s">
        <v>41</v>
      </c>
      <c r="J48" s="6" t="s">
        <v>138</v>
      </c>
      <c r="K48" s="13">
        <v>2023</v>
      </c>
      <c r="L48" s="13">
        <v>2023</v>
      </c>
      <c r="M48" s="6" t="s">
        <v>640</v>
      </c>
      <c r="N48" s="6" t="s">
        <v>745</v>
      </c>
      <c r="O48" s="31" t="s">
        <v>885</v>
      </c>
    </row>
    <row r="49" spans="1:15" x14ac:dyDescent="0.3">
      <c r="A49" s="33" t="s">
        <v>168</v>
      </c>
      <c r="B49" s="33" t="s">
        <v>143</v>
      </c>
      <c r="C49" s="33" t="s">
        <v>169</v>
      </c>
      <c r="E49" s="6" t="s">
        <v>149</v>
      </c>
      <c r="F49" s="33" t="s">
        <v>169</v>
      </c>
      <c r="G49" s="33" t="s">
        <v>168</v>
      </c>
      <c r="H49" s="6" t="s">
        <v>28</v>
      </c>
      <c r="I49" s="6" t="s">
        <v>152</v>
      </c>
      <c r="J49" s="33" t="s">
        <v>148</v>
      </c>
      <c r="K49" s="33" t="s">
        <v>1003</v>
      </c>
      <c r="O49" s="6"/>
    </row>
    <row r="50" spans="1:15" x14ac:dyDescent="0.3">
      <c r="A50" s="33" t="s">
        <v>170</v>
      </c>
      <c r="B50" s="33" t="s">
        <v>143</v>
      </c>
      <c r="C50" s="33" t="s">
        <v>171</v>
      </c>
      <c r="E50" s="6" t="s">
        <v>149</v>
      </c>
      <c r="F50" s="33" t="s">
        <v>171</v>
      </c>
      <c r="G50" s="33" t="s">
        <v>170</v>
      </c>
      <c r="H50" s="6" t="s">
        <v>28</v>
      </c>
      <c r="I50" s="6" t="s">
        <v>152</v>
      </c>
      <c r="J50" s="33" t="s">
        <v>148</v>
      </c>
      <c r="K50" s="33" t="s">
        <v>1003</v>
      </c>
      <c r="O50" s="6"/>
    </row>
    <row r="51" spans="1:15" x14ac:dyDescent="0.3">
      <c r="A51" s="33" t="s">
        <v>172</v>
      </c>
      <c r="B51" s="33" t="s">
        <v>143</v>
      </c>
      <c r="C51" s="33" t="s">
        <v>173</v>
      </c>
      <c r="E51" s="6" t="s">
        <v>149</v>
      </c>
      <c r="F51" s="33" t="s">
        <v>173</v>
      </c>
      <c r="G51" s="33" t="s">
        <v>172</v>
      </c>
      <c r="H51" s="6" t="s">
        <v>28</v>
      </c>
      <c r="I51" s="6" t="s">
        <v>152</v>
      </c>
      <c r="J51" s="33" t="s">
        <v>148</v>
      </c>
      <c r="K51" s="33" t="s">
        <v>1003</v>
      </c>
      <c r="O51" s="6"/>
    </row>
    <row r="52" spans="1:15" x14ac:dyDescent="0.3">
      <c r="A52" s="33" t="s">
        <v>174</v>
      </c>
      <c r="B52" s="33" t="s">
        <v>143</v>
      </c>
      <c r="C52" s="33" t="s">
        <v>175</v>
      </c>
      <c r="E52" s="6" t="s">
        <v>149</v>
      </c>
      <c r="F52" s="33" t="s">
        <v>175</v>
      </c>
      <c r="G52" s="33" t="s">
        <v>174</v>
      </c>
      <c r="H52" s="6" t="s">
        <v>28</v>
      </c>
      <c r="I52" s="6" t="s">
        <v>152</v>
      </c>
      <c r="J52" s="33" t="s">
        <v>148</v>
      </c>
      <c r="K52" s="33" t="s">
        <v>1003</v>
      </c>
      <c r="O52" s="6"/>
    </row>
    <row r="53" spans="1:15" x14ac:dyDescent="0.3">
      <c r="A53" s="33" t="s">
        <v>176</v>
      </c>
      <c r="B53" s="33" t="s">
        <v>143</v>
      </c>
      <c r="C53" s="33" t="s">
        <v>177</v>
      </c>
      <c r="E53" s="6" t="s">
        <v>149</v>
      </c>
      <c r="F53" s="33" t="s">
        <v>177</v>
      </c>
      <c r="G53" s="33" t="s">
        <v>176</v>
      </c>
      <c r="H53" s="6" t="s">
        <v>28</v>
      </c>
      <c r="I53" s="6" t="s">
        <v>152</v>
      </c>
      <c r="J53" s="33" t="s">
        <v>148</v>
      </c>
      <c r="K53" s="33" t="s">
        <v>1003</v>
      </c>
      <c r="O53" s="6"/>
    </row>
    <row r="54" spans="1:15" x14ac:dyDescent="0.3">
      <c r="A54" s="33" t="s">
        <v>178</v>
      </c>
      <c r="B54" s="33" t="s">
        <v>143</v>
      </c>
      <c r="C54" s="33" t="s">
        <v>179</v>
      </c>
      <c r="E54" s="6" t="s">
        <v>149</v>
      </c>
      <c r="F54" s="33" t="s">
        <v>179</v>
      </c>
      <c r="G54" s="33" t="s">
        <v>178</v>
      </c>
      <c r="H54" s="6" t="s">
        <v>28</v>
      </c>
      <c r="I54" s="6" t="s">
        <v>152</v>
      </c>
      <c r="J54" s="33" t="s">
        <v>148</v>
      </c>
      <c r="K54" s="33" t="s">
        <v>1003</v>
      </c>
      <c r="O54" s="6"/>
    </row>
    <row r="55" spans="1:15" x14ac:dyDescent="0.3">
      <c r="A55" s="33" t="s">
        <v>180</v>
      </c>
      <c r="B55" s="33" t="s">
        <v>143</v>
      </c>
      <c r="C55" s="33" t="s">
        <v>181</v>
      </c>
      <c r="E55" s="6" t="s">
        <v>149</v>
      </c>
      <c r="F55" s="33" t="s">
        <v>181</v>
      </c>
      <c r="G55" s="33" t="s">
        <v>180</v>
      </c>
      <c r="H55" s="6" t="s">
        <v>28</v>
      </c>
      <c r="I55" s="6" t="s">
        <v>152</v>
      </c>
      <c r="J55" s="33" t="s">
        <v>148</v>
      </c>
      <c r="K55" s="33" t="s">
        <v>1003</v>
      </c>
      <c r="O55" s="6"/>
    </row>
    <row r="56" spans="1:15" x14ac:dyDescent="0.3">
      <c r="A56" s="33" t="s">
        <v>182</v>
      </c>
      <c r="B56" s="33" t="s">
        <v>143</v>
      </c>
      <c r="C56" s="33" t="s">
        <v>183</v>
      </c>
      <c r="E56" s="6" t="s">
        <v>149</v>
      </c>
      <c r="F56" s="33" t="s">
        <v>183</v>
      </c>
      <c r="G56" s="33" t="s">
        <v>182</v>
      </c>
      <c r="H56" s="6" t="s">
        <v>28</v>
      </c>
      <c r="I56" s="6" t="s">
        <v>152</v>
      </c>
      <c r="J56" s="33" t="s">
        <v>148</v>
      </c>
      <c r="K56" s="33" t="s">
        <v>1003</v>
      </c>
      <c r="O56" s="6"/>
    </row>
    <row r="57" spans="1:15" x14ac:dyDescent="0.3">
      <c r="A57" s="33" t="s">
        <v>184</v>
      </c>
      <c r="B57" s="33" t="s">
        <v>143</v>
      </c>
      <c r="C57" s="33" t="s">
        <v>185</v>
      </c>
      <c r="E57" s="6" t="s">
        <v>149</v>
      </c>
      <c r="F57" s="33" t="s">
        <v>185</v>
      </c>
      <c r="G57" s="33" t="s">
        <v>184</v>
      </c>
      <c r="H57" s="6" t="s">
        <v>56</v>
      </c>
      <c r="I57" s="6" t="s">
        <v>152</v>
      </c>
      <c r="J57" s="33" t="s">
        <v>148</v>
      </c>
      <c r="K57" s="33" t="s">
        <v>1003</v>
      </c>
      <c r="O57" s="6"/>
    </row>
    <row r="58" spans="1:15" x14ac:dyDescent="0.3">
      <c r="A58" s="33" t="s">
        <v>235</v>
      </c>
      <c r="B58" s="33" t="s">
        <v>143</v>
      </c>
      <c r="C58" s="33" t="s">
        <v>236</v>
      </c>
      <c r="E58" s="6" t="s">
        <v>149</v>
      </c>
      <c r="F58" s="33" t="s">
        <v>236</v>
      </c>
      <c r="G58" s="33" t="s">
        <v>235</v>
      </c>
      <c r="H58" s="6" t="s">
        <v>56</v>
      </c>
      <c r="I58" s="6" t="s">
        <v>41</v>
      </c>
      <c r="J58" s="33" t="s">
        <v>148</v>
      </c>
      <c r="K58" s="33" t="s">
        <v>1003</v>
      </c>
      <c r="O58" s="6"/>
    </row>
    <row r="59" spans="1:15" x14ac:dyDescent="0.3">
      <c r="A59" s="33" t="s">
        <v>238</v>
      </c>
      <c r="B59" s="33" t="s">
        <v>143</v>
      </c>
      <c r="C59" s="33" t="s">
        <v>239</v>
      </c>
      <c r="E59" s="6" t="s">
        <v>149</v>
      </c>
      <c r="F59" s="33" t="s">
        <v>239</v>
      </c>
      <c r="G59" s="33" t="s">
        <v>238</v>
      </c>
      <c r="H59" s="6" t="s">
        <v>56</v>
      </c>
      <c r="I59" s="6" t="s">
        <v>41</v>
      </c>
      <c r="J59" s="33" t="s">
        <v>148</v>
      </c>
      <c r="K59" s="33" t="s">
        <v>1003</v>
      </c>
      <c r="O59" s="6"/>
    </row>
    <row r="60" spans="1:15" x14ac:dyDescent="0.3">
      <c r="A60" s="33" t="s">
        <v>240</v>
      </c>
      <c r="B60" s="33" t="s">
        <v>143</v>
      </c>
      <c r="C60" s="33" t="s">
        <v>241</v>
      </c>
      <c r="E60" s="6" t="s">
        <v>149</v>
      </c>
      <c r="F60" s="33" t="s">
        <v>241</v>
      </c>
      <c r="G60" s="33" t="s">
        <v>240</v>
      </c>
      <c r="H60" s="6" t="s">
        <v>56</v>
      </c>
      <c r="I60" s="6" t="s">
        <v>41</v>
      </c>
      <c r="J60" s="33" t="s">
        <v>148</v>
      </c>
      <c r="K60" s="33" t="s">
        <v>1003</v>
      </c>
      <c r="O60" s="6"/>
    </row>
    <row r="61" spans="1:15" x14ac:dyDescent="0.3">
      <c r="A61" s="33" t="s">
        <v>242</v>
      </c>
      <c r="B61" s="33" t="s">
        <v>143</v>
      </c>
      <c r="C61" s="33" t="s">
        <v>243</v>
      </c>
      <c r="E61" s="6" t="s">
        <v>149</v>
      </c>
      <c r="F61" s="33" t="s">
        <v>243</v>
      </c>
      <c r="G61" s="33" t="s">
        <v>242</v>
      </c>
      <c r="H61" s="6" t="s">
        <v>56</v>
      </c>
      <c r="I61" s="6" t="s">
        <v>244</v>
      </c>
      <c r="J61" s="33" t="s">
        <v>148</v>
      </c>
      <c r="K61" s="33" t="s">
        <v>1003</v>
      </c>
      <c r="O61" s="6"/>
    </row>
    <row r="62" spans="1:15" x14ac:dyDescent="0.3">
      <c r="A62" s="33" t="s">
        <v>245</v>
      </c>
      <c r="B62" s="33" t="s">
        <v>143</v>
      </c>
      <c r="C62" s="33" t="s">
        <v>246</v>
      </c>
      <c r="E62" s="6" t="s">
        <v>149</v>
      </c>
      <c r="F62" s="33" t="s">
        <v>246</v>
      </c>
      <c r="G62" s="33" t="s">
        <v>245</v>
      </c>
      <c r="H62" s="6" t="s">
        <v>56</v>
      </c>
      <c r="I62" s="6" t="s">
        <v>41</v>
      </c>
      <c r="J62" s="33" t="s">
        <v>148</v>
      </c>
      <c r="K62" s="33" t="s">
        <v>1003</v>
      </c>
      <c r="O62" s="6"/>
    </row>
    <row r="63" spans="1:15" x14ac:dyDescent="0.3">
      <c r="A63" s="33" t="s">
        <v>247</v>
      </c>
      <c r="B63" s="33" t="s">
        <v>143</v>
      </c>
      <c r="C63" s="33" t="s">
        <v>248</v>
      </c>
      <c r="E63" s="6" t="s">
        <v>149</v>
      </c>
      <c r="F63" s="33" t="s">
        <v>248</v>
      </c>
      <c r="G63" s="33" t="s">
        <v>247</v>
      </c>
      <c r="H63" s="6" t="s">
        <v>56</v>
      </c>
      <c r="I63" s="6" t="s">
        <v>41</v>
      </c>
      <c r="J63" s="33" t="s">
        <v>148</v>
      </c>
      <c r="K63" s="33" t="s">
        <v>1003</v>
      </c>
      <c r="O63" s="6"/>
    </row>
    <row r="64" spans="1:15" x14ac:dyDescent="0.3">
      <c r="A64" s="33" t="s">
        <v>249</v>
      </c>
      <c r="B64" s="6" t="s">
        <v>143</v>
      </c>
      <c r="C64" s="33" t="s">
        <v>250</v>
      </c>
      <c r="E64" s="6" t="s">
        <v>149</v>
      </c>
      <c r="F64" s="33" t="s">
        <v>250</v>
      </c>
      <c r="G64" s="33" t="s">
        <v>249</v>
      </c>
      <c r="H64" s="6" t="s">
        <v>56</v>
      </c>
      <c r="I64" s="6" t="s">
        <v>41</v>
      </c>
      <c r="J64" s="33" t="s">
        <v>148</v>
      </c>
      <c r="K64" s="33" t="s">
        <v>1003</v>
      </c>
      <c r="O64" s="6"/>
    </row>
    <row r="65" spans="1:15" x14ac:dyDescent="0.3">
      <c r="A65" s="33" t="s">
        <v>251</v>
      </c>
      <c r="B65" s="33" t="s">
        <v>143</v>
      </c>
      <c r="C65" s="33" t="s">
        <v>252</v>
      </c>
      <c r="E65" s="6" t="s">
        <v>149</v>
      </c>
      <c r="F65" s="33" t="s">
        <v>252</v>
      </c>
      <c r="G65" s="33" t="s">
        <v>251</v>
      </c>
      <c r="H65" s="6" t="s">
        <v>56</v>
      </c>
      <c r="I65" s="6" t="s">
        <v>41</v>
      </c>
      <c r="J65" s="33" t="s">
        <v>148</v>
      </c>
      <c r="K65" s="33" t="s">
        <v>1003</v>
      </c>
      <c r="O65" s="6"/>
    </row>
    <row r="66" spans="1:15" x14ac:dyDescent="0.3">
      <c r="A66" s="33" t="s">
        <v>253</v>
      </c>
      <c r="B66" s="33" t="s">
        <v>143</v>
      </c>
      <c r="C66" s="33" t="s">
        <v>254</v>
      </c>
      <c r="E66" s="6" t="s">
        <v>149</v>
      </c>
      <c r="F66" s="33" t="s">
        <v>254</v>
      </c>
      <c r="G66" s="33" t="s">
        <v>253</v>
      </c>
      <c r="H66" s="6" t="s">
        <v>56</v>
      </c>
      <c r="I66" s="6" t="s">
        <v>41</v>
      </c>
      <c r="J66" s="33" t="s">
        <v>148</v>
      </c>
      <c r="K66" s="33" t="s">
        <v>1003</v>
      </c>
      <c r="O66" s="6"/>
    </row>
    <row r="67" spans="1:15" ht="15.9" customHeight="1" x14ac:dyDescent="0.3">
      <c r="A67" s="33" t="s">
        <v>255</v>
      </c>
      <c r="B67" s="6" t="s">
        <v>143</v>
      </c>
      <c r="C67" s="33" t="s">
        <v>256</v>
      </c>
      <c r="E67" s="6" t="s">
        <v>149</v>
      </c>
      <c r="F67" s="33" t="s">
        <v>256</v>
      </c>
      <c r="G67" s="33" t="s">
        <v>255</v>
      </c>
      <c r="H67" s="6" t="s">
        <v>1049</v>
      </c>
      <c r="I67" s="6" t="s">
        <v>41</v>
      </c>
      <c r="J67" s="33" t="s">
        <v>148</v>
      </c>
      <c r="K67" s="33" t="s">
        <v>1003</v>
      </c>
      <c r="O67" s="6"/>
    </row>
    <row r="68" spans="1:15" x14ac:dyDescent="0.3">
      <c r="A68" s="33" t="s">
        <v>257</v>
      </c>
      <c r="B68" s="33" t="s">
        <v>143</v>
      </c>
      <c r="C68" s="33" t="s">
        <v>258</v>
      </c>
      <c r="E68" s="6" t="s">
        <v>149</v>
      </c>
      <c r="F68" s="33" t="s">
        <v>258</v>
      </c>
      <c r="G68" s="33" t="s">
        <v>257</v>
      </c>
      <c r="H68" s="6" t="s">
        <v>1049</v>
      </c>
      <c r="I68" s="6" t="s">
        <v>41</v>
      </c>
      <c r="J68" s="33" t="s">
        <v>148</v>
      </c>
      <c r="K68" s="33" t="s">
        <v>1003</v>
      </c>
      <c r="O68" s="6"/>
    </row>
    <row r="69" spans="1:15" x14ac:dyDescent="0.3">
      <c r="A69" s="33" t="s">
        <v>259</v>
      </c>
      <c r="B69" s="33" t="s">
        <v>143</v>
      </c>
      <c r="C69" s="33" t="s">
        <v>260</v>
      </c>
      <c r="E69" s="6" t="s">
        <v>149</v>
      </c>
      <c r="F69" s="33" t="s">
        <v>260</v>
      </c>
      <c r="G69" s="33" t="s">
        <v>259</v>
      </c>
      <c r="H69" s="6" t="s">
        <v>1049</v>
      </c>
      <c r="I69" s="6" t="s">
        <v>244</v>
      </c>
      <c r="J69" s="33" t="s">
        <v>148</v>
      </c>
      <c r="K69" s="33" t="s">
        <v>1003</v>
      </c>
      <c r="O69" s="6"/>
    </row>
    <row r="70" spans="1:15" x14ac:dyDescent="0.3">
      <c r="A70" s="33" t="s">
        <v>261</v>
      </c>
      <c r="B70" s="33" t="s">
        <v>143</v>
      </c>
      <c r="C70" s="33" t="s">
        <v>262</v>
      </c>
      <c r="E70" s="6" t="s">
        <v>149</v>
      </c>
      <c r="F70" s="33" t="s">
        <v>262</v>
      </c>
      <c r="G70" s="33" t="s">
        <v>261</v>
      </c>
      <c r="H70" s="6" t="s">
        <v>56</v>
      </c>
      <c r="I70" s="6" t="s">
        <v>41</v>
      </c>
      <c r="J70" s="33" t="s">
        <v>148</v>
      </c>
      <c r="K70" s="33" t="s">
        <v>1003</v>
      </c>
      <c r="O70" s="6"/>
    </row>
    <row r="71" spans="1:15" x14ac:dyDescent="0.3">
      <c r="A71" s="33" t="s">
        <v>263</v>
      </c>
      <c r="B71" s="33" t="s">
        <v>143</v>
      </c>
      <c r="C71" s="33" t="s">
        <v>264</v>
      </c>
      <c r="E71" s="6" t="s">
        <v>149</v>
      </c>
      <c r="F71" s="33" t="s">
        <v>264</v>
      </c>
      <c r="G71" s="33" t="s">
        <v>263</v>
      </c>
      <c r="H71" s="6" t="s">
        <v>56</v>
      </c>
      <c r="I71" s="6" t="s">
        <v>41</v>
      </c>
      <c r="J71" s="33" t="s">
        <v>148</v>
      </c>
      <c r="K71" s="33" t="s">
        <v>1003</v>
      </c>
      <c r="O71" s="6"/>
    </row>
    <row r="72" spans="1:15" x14ac:dyDescent="0.3">
      <c r="A72" s="33" t="s">
        <v>265</v>
      </c>
      <c r="B72" s="33" t="s">
        <v>143</v>
      </c>
      <c r="C72" s="33" t="s">
        <v>266</v>
      </c>
      <c r="E72" s="6" t="s">
        <v>149</v>
      </c>
      <c r="F72" s="33" t="s">
        <v>266</v>
      </c>
      <c r="G72" s="33" t="s">
        <v>265</v>
      </c>
      <c r="H72" s="6" t="s">
        <v>56</v>
      </c>
      <c r="I72" s="6" t="s">
        <v>41</v>
      </c>
      <c r="J72" s="33" t="s">
        <v>148</v>
      </c>
      <c r="K72" s="33" t="s">
        <v>1003</v>
      </c>
      <c r="O72" s="6"/>
    </row>
    <row r="73" spans="1:15" x14ac:dyDescent="0.3">
      <c r="A73" s="33" t="s">
        <v>267</v>
      </c>
      <c r="B73" s="33" t="s">
        <v>143</v>
      </c>
      <c r="C73" s="33" t="s">
        <v>268</v>
      </c>
      <c r="E73" s="6" t="s">
        <v>149</v>
      </c>
      <c r="F73" s="33" t="s">
        <v>268</v>
      </c>
      <c r="G73" s="33" t="s">
        <v>267</v>
      </c>
      <c r="H73" s="6" t="s">
        <v>56</v>
      </c>
      <c r="I73" s="6" t="s">
        <v>244</v>
      </c>
      <c r="J73" s="33" t="s">
        <v>148</v>
      </c>
      <c r="K73" s="33" t="s">
        <v>1003</v>
      </c>
      <c r="O73" s="6"/>
    </row>
    <row r="74" spans="1:15" x14ac:dyDescent="0.3">
      <c r="A74" s="33" t="s">
        <v>269</v>
      </c>
      <c r="B74" s="33" t="s">
        <v>143</v>
      </c>
      <c r="C74" s="33" t="s">
        <v>270</v>
      </c>
      <c r="E74" s="6" t="s">
        <v>149</v>
      </c>
      <c r="F74" s="33" t="s">
        <v>270</v>
      </c>
      <c r="G74" s="33" t="s">
        <v>269</v>
      </c>
      <c r="H74" s="6" t="s">
        <v>56</v>
      </c>
      <c r="I74" s="6" t="s">
        <v>41</v>
      </c>
      <c r="J74" s="33" t="s">
        <v>148</v>
      </c>
      <c r="K74" s="33" t="s">
        <v>1003</v>
      </c>
      <c r="O74" s="6"/>
    </row>
    <row r="75" spans="1:15" x14ac:dyDescent="0.3">
      <c r="A75" s="33" t="s">
        <v>271</v>
      </c>
      <c r="B75" s="33" t="s">
        <v>143</v>
      </c>
      <c r="C75" s="33" t="s">
        <v>272</v>
      </c>
      <c r="E75" s="6" t="s">
        <v>149</v>
      </c>
      <c r="F75" s="33" t="s">
        <v>272</v>
      </c>
      <c r="G75" s="33" t="s">
        <v>271</v>
      </c>
      <c r="H75" s="6" t="s">
        <v>56</v>
      </c>
      <c r="I75" s="6" t="s">
        <v>41</v>
      </c>
      <c r="J75" s="33" t="s">
        <v>148</v>
      </c>
      <c r="K75" s="33" t="s">
        <v>1003</v>
      </c>
      <c r="O75" s="6"/>
    </row>
    <row r="76" spans="1:15" x14ac:dyDescent="0.3">
      <c r="A76" s="33" t="s">
        <v>273</v>
      </c>
      <c r="B76" s="6" t="s">
        <v>143</v>
      </c>
      <c r="C76" s="33" t="s">
        <v>274</v>
      </c>
      <c r="E76" s="6" t="s">
        <v>149</v>
      </c>
      <c r="F76" s="33" t="s">
        <v>274</v>
      </c>
      <c r="G76" s="33" t="s">
        <v>273</v>
      </c>
      <c r="H76" s="6" t="s">
        <v>56</v>
      </c>
      <c r="I76" s="6" t="s">
        <v>41</v>
      </c>
      <c r="J76" s="33" t="s">
        <v>148</v>
      </c>
      <c r="K76" s="33" t="s">
        <v>1003</v>
      </c>
      <c r="O76" s="6"/>
    </row>
    <row r="77" spans="1:15" x14ac:dyDescent="0.3">
      <c r="A77" s="33" t="s">
        <v>275</v>
      </c>
      <c r="B77" s="33" t="s">
        <v>143</v>
      </c>
      <c r="C77" s="33" t="s">
        <v>276</v>
      </c>
      <c r="E77" s="6" t="s">
        <v>149</v>
      </c>
      <c r="F77" s="33" t="s">
        <v>276</v>
      </c>
      <c r="G77" s="33" t="s">
        <v>275</v>
      </c>
      <c r="H77" s="6" t="s">
        <v>56</v>
      </c>
      <c r="I77" s="6" t="s">
        <v>41</v>
      </c>
      <c r="J77" s="33" t="s">
        <v>148</v>
      </c>
      <c r="K77" s="33" t="s">
        <v>1003</v>
      </c>
      <c r="O77" s="6"/>
    </row>
    <row r="78" spans="1:15" x14ac:dyDescent="0.3">
      <c r="A78" s="33" t="s">
        <v>277</v>
      </c>
      <c r="B78" s="33" t="s">
        <v>143</v>
      </c>
      <c r="C78" s="33" t="s">
        <v>278</v>
      </c>
      <c r="E78" s="6" t="s">
        <v>149</v>
      </c>
      <c r="F78" s="33" t="s">
        <v>278</v>
      </c>
      <c r="G78" s="33" t="s">
        <v>277</v>
      </c>
      <c r="H78" s="6" t="s">
        <v>56</v>
      </c>
      <c r="I78" s="6" t="s">
        <v>41</v>
      </c>
      <c r="J78" s="33" t="s">
        <v>148</v>
      </c>
      <c r="K78" s="33" t="s">
        <v>1003</v>
      </c>
      <c r="O78" s="6"/>
    </row>
    <row r="79" spans="1:15" ht="48" customHeight="1" x14ac:dyDescent="0.3">
      <c r="A79" s="33" t="s">
        <v>279</v>
      </c>
      <c r="B79" s="33" t="s">
        <v>143</v>
      </c>
      <c r="C79" s="33" t="s">
        <v>280</v>
      </c>
      <c r="E79" s="6" t="s">
        <v>149</v>
      </c>
      <c r="F79" s="33" t="s">
        <v>280</v>
      </c>
      <c r="G79" s="33" t="s">
        <v>279</v>
      </c>
      <c r="H79" s="6" t="s">
        <v>56</v>
      </c>
      <c r="I79" s="6" t="s">
        <v>41</v>
      </c>
      <c r="J79" s="33" t="s">
        <v>148</v>
      </c>
      <c r="K79" s="33" t="s">
        <v>1003</v>
      </c>
      <c r="O79" s="6"/>
    </row>
    <row r="80" spans="1:15" x14ac:dyDescent="0.3">
      <c r="A80" s="33" t="s">
        <v>281</v>
      </c>
      <c r="B80" s="33" t="s">
        <v>143</v>
      </c>
      <c r="C80" s="33" t="s">
        <v>282</v>
      </c>
      <c r="E80" s="6" t="s">
        <v>149</v>
      </c>
      <c r="F80" s="33" t="s">
        <v>282</v>
      </c>
      <c r="G80" s="33" t="s">
        <v>281</v>
      </c>
      <c r="H80" s="6" t="s">
        <v>56</v>
      </c>
      <c r="I80" s="6" t="s">
        <v>41</v>
      </c>
      <c r="J80" s="33" t="s">
        <v>148</v>
      </c>
      <c r="K80" s="33" t="s">
        <v>1003</v>
      </c>
      <c r="O80" s="6"/>
    </row>
    <row r="81" spans="1:15" x14ac:dyDescent="0.3">
      <c r="A81" s="33" t="s">
        <v>283</v>
      </c>
      <c r="B81" s="33" t="s">
        <v>143</v>
      </c>
      <c r="C81" s="33" t="s">
        <v>284</v>
      </c>
      <c r="E81" s="6" t="s">
        <v>149</v>
      </c>
      <c r="F81" s="33" t="s">
        <v>284</v>
      </c>
      <c r="G81" s="33" t="s">
        <v>283</v>
      </c>
      <c r="H81" s="6" t="s">
        <v>56</v>
      </c>
      <c r="I81" s="6" t="s">
        <v>41</v>
      </c>
      <c r="J81" s="33" t="s">
        <v>148</v>
      </c>
      <c r="K81" s="33" t="s">
        <v>1003</v>
      </c>
      <c r="O81" s="6"/>
    </row>
    <row r="82" spans="1:15" ht="15.9" customHeight="1" x14ac:dyDescent="0.3">
      <c r="A82" s="33" t="s">
        <v>285</v>
      </c>
      <c r="B82" s="33" t="s">
        <v>143</v>
      </c>
      <c r="C82" s="33" t="s">
        <v>286</v>
      </c>
      <c r="E82" s="6" t="s">
        <v>149</v>
      </c>
      <c r="F82" s="33" t="s">
        <v>286</v>
      </c>
      <c r="G82" s="33" t="s">
        <v>285</v>
      </c>
      <c r="H82" s="6" t="s">
        <v>56</v>
      </c>
      <c r="I82" s="6" t="s">
        <v>244</v>
      </c>
      <c r="J82" s="33" t="s">
        <v>148</v>
      </c>
      <c r="K82" s="33" t="s">
        <v>1003</v>
      </c>
      <c r="O82" s="6"/>
    </row>
    <row r="83" spans="1:15" x14ac:dyDescent="0.3">
      <c r="A83" s="33" t="s">
        <v>287</v>
      </c>
      <c r="B83" s="33" t="s">
        <v>143</v>
      </c>
      <c r="C83" s="33" t="s">
        <v>288</v>
      </c>
      <c r="E83" s="6" t="s">
        <v>149</v>
      </c>
      <c r="F83" s="33" t="s">
        <v>288</v>
      </c>
      <c r="G83" s="33" t="s">
        <v>287</v>
      </c>
      <c r="H83" s="6" t="s">
        <v>56</v>
      </c>
      <c r="I83" s="6" t="s">
        <v>41</v>
      </c>
      <c r="J83" s="33" t="s">
        <v>148</v>
      </c>
      <c r="K83" s="33" t="s">
        <v>1003</v>
      </c>
      <c r="O83" s="6"/>
    </row>
    <row r="84" spans="1:15" x14ac:dyDescent="0.3">
      <c r="A84" s="33" t="s">
        <v>289</v>
      </c>
      <c r="B84" s="33" t="s">
        <v>143</v>
      </c>
      <c r="C84" s="33" t="s">
        <v>290</v>
      </c>
      <c r="E84" s="6" t="s">
        <v>149</v>
      </c>
      <c r="F84" s="33" t="s">
        <v>290</v>
      </c>
      <c r="G84" s="33" t="s">
        <v>289</v>
      </c>
      <c r="H84" s="6" t="s">
        <v>56</v>
      </c>
      <c r="I84" s="6" t="s">
        <v>41</v>
      </c>
      <c r="J84" s="33" t="s">
        <v>148</v>
      </c>
      <c r="K84" s="33" t="s">
        <v>1003</v>
      </c>
      <c r="O84" s="6"/>
    </row>
    <row r="85" spans="1:15" x14ac:dyDescent="0.3">
      <c r="A85" s="33" t="s">
        <v>291</v>
      </c>
      <c r="B85" s="6" t="s">
        <v>143</v>
      </c>
      <c r="C85" s="33" t="s">
        <v>292</v>
      </c>
      <c r="E85" s="6" t="s">
        <v>149</v>
      </c>
      <c r="F85" s="33" t="s">
        <v>292</v>
      </c>
      <c r="G85" s="33" t="s">
        <v>291</v>
      </c>
      <c r="H85" s="6" t="s">
        <v>56</v>
      </c>
      <c r="I85" s="6" t="s">
        <v>41</v>
      </c>
      <c r="J85" s="33" t="s">
        <v>148</v>
      </c>
      <c r="K85" s="33" t="s">
        <v>1003</v>
      </c>
      <c r="O85" s="6"/>
    </row>
    <row r="86" spans="1:15" x14ac:dyDescent="0.3">
      <c r="A86" s="33" t="s">
        <v>293</v>
      </c>
      <c r="B86" s="33" t="s">
        <v>143</v>
      </c>
      <c r="C86" s="33" t="s">
        <v>294</v>
      </c>
      <c r="E86" s="6" t="s">
        <v>149</v>
      </c>
      <c r="F86" s="33" t="s">
        <v>294</v>
      </c>
      <c r="G86" s="33" t="s">
        <v>293</v>
      </c>
      <c r="H86" s="6" t="s">
        <v>56</v>
      </c>
      <c r="I86" s="6" t="s">
        <v>41</v>
      </c>
      <c r="J86" s="33" t="s">
        <v>148</v>
      </c>
      <c r="K86" s="33" t="s">
        <v>1003</v>
      </c>
      <c r="O86" s="6"/>
    </row>
    <row r="87" spans="1:15" x14ac:dyDescent="0.3">
      <c r="A87" s="33" t="s">
        <v>295</v>
      </c>
      <c r="B87" s="33" t="s">
        <v>143</v>
      </c>
      <c r="C87" s="33" t="s">
        <v>296</v>
      </c>
      <c r="E87" s="6" t="s">
        <v>149</v>
      </c>
      <c r="F87" s="33" t="s">
        <v>296</v>
      </c>
      <c r="G87" s="33" t="s">
        <v>295</v>
      </c>
      <c r="H87" s="6" t="s">
        <v>56</v>
      </c>
      <c r="I87" s="6" t="s">
        <v>41</v>
      </c>
      <c r="J87" s="33" t="s">
        <v>148</v>
      </c>
      <c r="K87" s="33" t="s">
        <v>1003</v>
      </c>
      <c r="O87" s="6"/>
    </row>
    <row r="88" spans="1:15" x14ac:dyDescent="0.3">
      <c r="A88" s="33" t="s">
        <v>297</v>
      </c>
      <c r="B88" s="6" t="s">
        <v>143</v>
      </c>
      <c r="C88" s="33" t="s">
        <v>298</v>
      </c>
      <c r="E88" s="6" t="s">
        <v>149</v>
      </c>
      <c r="F88" s="33" t="s">
        <v>298</v>
      </c>
      <c r="G88" s="33" t="s">
        <v>297</v>
      </c>
      <c r="H88" s="6" t="s">
        <v>237</v>
      </c>
      <c r="I88" s="6" t="s">
        <v>41</v>
      </c>
      <c r="J88" s="33" t="s">
        <v>148</v>
      </c>
      <c r="K88" s="33" t="s">
        <v>1003</v>
      </c>
      <c r="O88" s="6"/>
    </row>
    <row r="89" spans="1:15" ht="15.9" customHeight="1" x14ac:dyDescent="0.3">
      <c r="A89" s="33" t="s">
        <v>302</v>
      </c>
      <c r="B89" s="33" t="s">
        <v>143</v>
      </c>
      <c r="C89" s="33" t="s">
        <v>303</v>
      </c>
      <c r="E89" s="6" t="s">
        <v>149</v>
      </c>
      <c r="F89" s="33" t="s">
        <v>303</v>
      </c>
      <c r="G89" s="33" t="s">
        <v>302</v>
      </c>
      <c r="H89" s="6" t="s">
        <v>237</v>
      </c>
      <c r="I89" s="6" t="s">
        <v>41</v>
      </c>
      <c r="J89" s="33" t="s">
        <v>148</v>
      </c>
      <c r="K89" s="33" t="s">
        <v>1003</v>
      </c>
      <c r="O89" s="6"/>
    </row>
    <row r="90" spans="1:15" ht="15.9" customHeight="1" x14ac:dyDescent="0.3">
      <c r="A90" s="33" t="s">
        <v>304</v>
      </c>
      <c r="B90" s="33" t="s">
        <v>143</v>
      </c>
      <c r="C90" s="33" t="s">
        <v>305</v>
      </c>
      <c r="E90" s="6" t="s">
        <v>149</v>
      </c>
      <c r="F90" s="33" t="s">
        <v>305</v>
      </c>
      <c r="G90" s="33" t="s">
        <v>304</v>
      </c>
      <c r="H90" s="6" t="s">
        <v>1049</v>
      </c>
      <c r="I90" s="6" t="s">
        <v>41</v>
      </c>
      <c r="J90" s="33" t="s">
        <v>148</v>
      </c>
      <c r="K90" s="33" t="s">
        <v>1003</v>
      </c>
      <c r="O90" s="6"/>
    </row>
    <row r="91" spans="1:15" x14ac:dyDescent="0.3">
      <c r="A91" s="33" t="s">
        <v>306</v>
      </c>
      <c r="B91" s="6" t="s">
        <v>143</v>
      </c>
      <c r="C91" s="33" t="s">
        <v>307</v>
      </c>
      <c r="E91" s="6" t="s">
        <v>149</v>
      </c>
      <c r="F91" s="33" t="s">
        <v>307</v>
      </c>
      <c r="G91" s="33" t="s">
        <v>306</v>
      </c>
      <c r="H91" s="6" t="s">
        <v>1049</v>
      </c>
      <c r="I91" s="6" t="s">
        <v>41</v>
      </c>
      <c r="J91" s="33" t="s">
        <v>148</v>
      </c>
      <c r="K91" s="33" t="s">
        <v>1003</v>
      </c>
      <c r="O91" s="6"/>
    </row>
    <row r="92" spans="1:15" x14ac:dyDescent="0.3">
      <c r="A92" s="33" t="s">
        <v>308</v>
      </c>
      <c r="B92" s="33" t="s">
        <v>143</v>
      </c>
      <c r="C92" s="33" t="s">
        <v>309</v>
      </c>
      <c r="E92" s="6" t="s">
        <v>149</v>
      </c>
      <c r="F92" s="33" t="s">
        <v>309</v>
      </c>
      <c r="G92" s="33" t="s">
        <v>308</v>
      </c>
      <c r="H92" s="6" t="s">
        <v>1049</v>
      </c>
      <c r="I92" s="6" t="s">
        <v>41</v>
      </c>
      <c r="J92" s="33" t="s">
        <v>148</v>
      </c>
      <c r="K92" s="33" t="s">
        <v>1003</v>
      </c>
      <c r="O92" s="6"/>
    </row>
    <row r="93" spans="1:15" x14ac:dyDescent="0.3">
      <c r="A93" s="33" t="s">
        <v>310</v>
      </c>
      <c r="B93" s="33" t="s">
        <v>143</v>
      </c>
      <c r="C93" s="33" t="s">
        <v>311</v>
      </c>
      <c r="E93" s="6" t="s">
        <v>149</v>
      </c>
      <c r="F93" s="33" t="s">
        <v>311</v>
      </c>
      <c r="G93" s="33" t="s">
        <v>310</v>
      </c>
      <c r="H93" s="6" t="s">
        <v>1049</v>
      </c>
      <c r="I93" s="6" t="s">
        <v>244</v>
      </c>
      <c r="J93" s="33" t="s">
        <v>148</v>
      </c>
      <c r="K93" s="33" t="s">
        <v>1003</v>
      </c>
      <c r="O93" s="6"/>
    </row>
    <row r="94" spans="1:15" ht="30" x14ac:dyDescent="0.3">
      <c r="A94" s="6" t="s">
        <v>330</v>
      </c>
      <c r="B94" s="6" t="s">
        <v>143</v>
      </c>
      <c r="C94" s="6" t="s">
        <v>1019</v>
      </c>
      <c r="D94" s="6" t="s">
        <v>639</v>
      </c>
      <c r="E94" s="6" t="s">
        <v>123</v>
      </c>
      <c r="F94" s="6" t="s">
        <v>331</v>
      </c>
      <c r="G94" s="6" t="s">
        <v>330</v>
      </c>
      <c r="H94" s="6" t="s">
        <v>56</v>
      </c>
      <c r="I94" s="6" t="s">
        <v>41</v>
      </c>
      <c r="J94" s="6" t="s">
        <v>138</v>
      </c>
      <c r="K94" s="13">
        <v>2023</v>
      </c>
      <c r="L94" s="13">
        <v>2023</v>
      </c>
      <c r="M94" s="6" t="s">
        <v>640</v>
      </c>
      <c r="N94" s="6" t="s">
        <v>745</v>
      </c>
      <c r="O94" s="31" t="s">
        <v>885</v>
      </c>
    </row>
    <row r="95" spans="1:15" x14ac:dyDescent="0.3">
      <c r="A95" s="33" t="s">
        <v>360</v>
      </c>
      <c r="B95" s="33" t="s">
        <v>143</v>
      </c>
      <c r="C95" s="33" t="s">
        <v>361</v>
      </c>
      <c r="E95" s="6" t="s">
        <v>149</v>
      </c>
      <c r="F95" s="33" t="s">
        <v>361</v>
      </c>
      <c r="G95" s="33" t="s">
        <v>360</v>
      </c>
      <c r="H95" s="6" t="s">
        <v>1049</v>
      </c>
      <c r="I95" s="6" t="s">
        <v>244</v>
      </c>
      <c r="J95" s="33" t="s">
        <v>148</v>
      </c>
      <c r="K95" s="33" t="s">
        <v>1003</v>
      </c>
      <c r="O95" s="6"/>
    </row>
    <row r="96" spans="1:15" x14ac:dyDescent="0.3">
      <c r="A96" s="33" t="s">
        <v>362</v>
      </c>
      <c r="B96" s="33" t="s">
        <v>143</v>
      </c>
      <c r="C96" s="33" t="s">
        <v>363</v>
      </c>
      <c r="E96" s="6" t="s">
        <v>149</v>
      </c>
      <c r="F96" s="33" t="s">
        <v>363</v>
      </c>
      <c r="G96" s="33" t="s">
        <v>362</v>
      </c>
      <c r="H96" s="6" t="s">
        <v>1049</v>
      </c>
      <c r="I96" s="6" t="s">
        <v>244</v>
      </c>
      <c r="J96" s="33" t="s">
        <v>148</v>
      </c>
      <c r="K96" s="33" t="s">
        <v>1003</v>
      </c>
      <c r="O96" s="6"/>
    </row>
    <row r="97" spans="1:15" x14ac:dyDescent="0.3">
      <c r="A97" s="33" t="s">
        <v>364</v>
      </c>
      <c r="B97" s="33" t="s">
        <v>143</v>
      </c>
      <c r="C97" s="33" t="s">
        <v>365</v>
      </c>
      <c r="E97" s="6" t="s">
        <v>149</v>
      </c>
      <c r="F97" s="33" t="s">
        <v>365</v>
      </c>
      <c r="G97" s="33" t="s">
        <v>364</v>
      </c>
      <c r="H97" s="6" t="s">
        <v>1049</v>
      </c>
      <c r="I97" s="6" t="s">
        <v>244</v>
      </c>
      <c r="J97" s="33" t="s">
        <v>148</v>
      </c>
      <c r="K97" s="33" t="s">
        <v>1003</v>
      </c>
      <c r="O97" s="6"/>
    </row>
    <row r="98" spans="1:15" x14ac:dyDescent="0.3">
      <c r="A98" s="33" t="s">
        <v>366</v>
      </c>
      <c r="B98" s="33" t="s">
        <v>143</v>
      </c>
      <c r="C98" s="33" t="s">
        <v>367</v>
      </c>
      <c r="E98" s="6" t="s">
        <v>149</v>
      </c>
      <c r="F98" s="33" t="s">
        <v>367</v>
      </c>
      <c r="G98" s="33" t="s">
        <v>366</v>
      </c>
      <c r="H98" s="6" t="s">
        <v>1049</v>
      </c>
      <c r="I98" s="6" t="s">
        <v>244</v>
      </c>
      <c r="J98" s="33" t="s">
        <v>148</v>
      </c>
      <c r="K98" s="33" t="s">
        <v>1003</v>
      </c>
      <c r="O98" s="6"/>
    </row>
    <row r="99" spans="1:15" x14ac:dyDescent="0.3">
      <c r="A99" s="33" t="s">
        <v>368</v>
      </c>
      <c r="B99" s="33" t="s">
        <v>143</v>
      </c>
      <c r="C99" s="33" t="s">
        <v>369</v>
      </c>
      <c r="E99" s="6" t="s">
        <v>149</v>
      </c>
      <c r="F99" s="33" t="s">
        <v>369</v>
      </c>
      <c r="G99" s="33" t="s">
        <v>368</v>
      </c>
      <c r="H99" s="6" t="s">
        <v>1049</v>
      </c>
      <c r="I99" s="6" t="s">
        <v>244</v>
      </c>
      <c r="J99" s="33" t="s">
        <v>148</v>
      </c>
      <c r="K99" s="33" t="s">
        <v>1003</v>
      </c>
      <c r="O99" s="6"/>
    </row>
    <row r="100" spans="1:15" x14ac:dyDescent="0.3">
      <c r="A100" s="33" t="s">
        <v>370</v>
      </c>
      <c r="B100" s="33" t="s">
        <v>143</v>
      </c>
      <c r="C100" s="33" t="s">
        <v>371</v>
      </c>
      <c r="E100" s="6" t="s">
        <v>149</v>
      </c>
      <c r="F100" s="33" t="s">
        <v>371</v>
      </c>
      <c r="G100" s="33" t="s">
        <v>370</v>
      </c>
      <c r="H100" s="6" t="s">
        <v>1049</v>
      </c>
      <c r="I100" s="6" t="s">
        <v>244</v>
      </c>
      <c r="J100" s="33" t="s">
        <v>148</v>
      </c>
      <c r="K100" s="33" t="s">
        <v>1003</v>
      </c>
      <c r="O100" s="6"/>
    </row>
    <row r="101" spans="1:15" x14ac:dyDescent="0.3">
      <c r="A101" s="33" t="s">
        <v>372</v>
      </c>
      <c r="B101" s="33" t="s">
        <v>143</v>
      </c>
      <c r="C101" s="33" t="s">
        <v>373</v>
      </c>
      <c r="E101" s="6" t="s">
        <v>149</v>
      </c>
      <c r="F101" s="33" t="s">
        <v>373</v>
      </c>
      <c r="G101" s="33" t="s">
        <v>372</v>
      </c>
      <c r="H101" s="6" t="s">
        <v>1049</v>
      </c>
      <c r="I101" s="6" t="s">
        <v>244</v>
      </c>
      <c r="J101" s="33" t="s">
        <v>148</v>
      </c>
      <c r="K101" s="33" t="s">
        <v>1003</v>
      </c>
      <c r="O101" s="6"/>
    </row>
    <row r="102" spans="1:15" x14ac:dyDescent="0.3">
      <c r="A102" s="33" t="s">
        <v>374</v>
      </c>
      <c r="B102" s="33" t="s">
        <v>143</v>
      </c>
      <c r="C102" s="33" t="s">
        <v>375</v>
      </c>
      <c r="E102" s="6" t="s">
        <v>149</v>
      </c>
      <c r="F102" s="33" t="s">
        <v>375</v>
      </c>
      <c r="G102" s="33" t="s">
        <v>374</v>
      </c>
      <c r="H102" s="6" t="s">
        <v>1049</v>
      </c>
      <c r="I102" s="6" t="s">
        <v>244</v>
      </c>
      <c r="J102" s="33" t="s">
        <v>148</v>
      </c>
      <c r="K102" s="33" t="s">
        <v>1003</v>
      </c>
      <c r="O102" s="6"/>
    </row>
    <row r="103" spans="1:15" x14ac:dyDescent="0.3">
      <c r="A103" s="33" t="s">
        <v>376</v>
      </c>
      <c r="B103" s="33" t="s">
        <v>143</v>
      </c>
      <c r="C103" s="33" t="s">
        <v>377</v>
      </c>
      <c r="E103" s="6" t="s">
        <v>149</v>
      </c>
      <c r="F103" s="33" t="s">
        <v>377</v>
      </c>
      <c r="G103" s="33" t="s">
        <v>376</v>
      </c>
      <c r="H103" s="6" t="s">
        <v>1049</v>
      </c>
      <c r="I103" s="6" t="s">
        <v>244</v>
      </c>
      <c r="J103" s="33" t="s">
        <v>148</v>
      </c>
      <c r="K103" s="33" t="s">
        <v>1003</v>
      </c>
      <c r="O103" s="6"/>
    </row>
    <row r="104" spans="1:15" x14ac:dyDescent="0.3">
      <c r="A104" s="33" t="s">
        <v>378</v>
      </c>
      <c r="B104" s="33" t="s">
        <v>143</v>
      </c>
      <c r="C104" s="33" t="s">
        <v>379</v>
      </c>
      <c r="E104" s="6" t="s">
        <v>149</v>
      </c>
      <c r="F104" s="33" t="s">
        <v>379</v>
      </c>
      <c r="G104" s="33" t="s">
        <v>378</v>
      </c>
      <c r="H104" s="6" t="s">
        <v>1049</v>
      </c>
      <c r="I104" s="6" t="s">
        <v>244</v>
      </c>
      <c r="J104" s="33" t="s">
        <v>148</v>
      </c>
      <c r="K104" s="33" t="s">
        <v>1003</v>
      </c>
      <c r="O104" s="6"/>
    </row>
    <row r="105" spans="1:15" x14ac:dyDescent="0.3">
      <c r="A105" s="33" t="s">
        <v>380</v>
      </c>
      <c r="B105" s="33" t="s">
        <v>143</v>
      </c>
      <c r="C105" s="33" t="s">
        <v>381</v>
      </c>
      <c r="E105" s="6" t="s">
        <v>149</v>
      </c>
      <c r="F105" s="33" t="s">
        <v>381</v>
      </c>
      <c r="G105" s="33" t="s">
        <v>380</v>
      </c>
      <c r="H105" s="6" t="s">
        <v>1049</v>
      </c>
      <c r="I105" s="6" t="s">
        <v>244</v>
      </c>
      <c r="J105" s="33" t="s">
        <v>148</v>
      </c>
      <c r="K105" s="33" t="s">
        <v>1003</v>
      </c>
      <c r="O105" s="6"/>
    </row>
    <row r="106" spans="1:15" x14ac:dyDescent="0.3">
      <c r="A106" s="33" t="s">
        <v>382</v>
      </c>
      <c r="B106" s="33" t="s">
        <v>143</v>
      </c>
      <c r="C106" s="33" t="s">
        <v>383</v>
      </c>
      <c r="E106" s="6" t="s">
        <v>149</v>
      </c>
      <c r="F106" s="33" t="s">
        <v>383</v>
      </c>
      <c r="G106" s="33" t="s">
        <v>382</v>
      </c>
      <c r="H106" s="6" t="s">
        <v>1049</v>
      </c>
      <c r="I106" s="6" t="s">
        <v>244</v>
      </c>
      <c r="J106" s="33" t="s">
        <v>148</v>
      </c>
      <c r="K106" s="33" t="s">
        <v>1003</v>
      </c>
      <c r="O106" s="6"/>
    </row>
    <row r="107" spans="1:15" x14ac:dyDescent="0.3">
      <c r="A107" s="33" t="s">
        <v>384</v>
      </c>
      <c r="B107" s="33" t="s">
        <v>143</v>
      </c>
      <c r="C107" s="33" t="s">
        <v>385</v>
      </c>
      <c r="E107" s="6" t="s">
        <v>149</v>
      </c>
      <c r="F107" s="33" t="s">
        <v>385</v>
      </c>
      <c r="G107" s="33" t="s">
        <v>384</v>
      </c>
      <c r="H107" s="6" t="s">
        <v>1049</v>
      </c>
      <c r="I107" s="6" t="s">
        <v>244</v>
      </c>
      <c r="J107" s="33" t="s">
        <v>148</v>
      </c>
      <c r="K107" s="33" t="s">
        <v>1003</v>
      </c>
      <c r="O107" s="6"/>
    </row>
    <row r="108" spans="1:15" x14ac:dyDescent="0.3">
      <c r="A108" s="33" t="s">
        <v>386</v>
      </c>
      <c r="B108" s="33" t="s">
        <v>143</v>
      </c>
      <c r="C108" s="33" t="s">
        <v>387</v>
      </c>
      <c r="E108" s="6" t="s">
        <v>149</v>
      </c>
      <c r="F108" s="33" t="s">
        <v>387</v>
      </c>
      <c r="G108" s="33" t="s">
        <v>386</v>
      </c>
      <c r="H108" s="6" t="s">
        <v>1049</v>
      </c>
      <c r="I108" s="6" t="s">
        <v>244</v>
      </c>
      <c r="J108" s="33" t="s">
        <v>148</v>
      </c>
      <c r="K108" s="33" t="s">
        <v>1003</v>
      </c>
      <c r="O108" s="6"/>
    </row>
    <row r="109" spans="1:15" x14ac:dyDescent="0.3">
      <c r="A109" s="33" t="s">
        <v>388</v>
      </c>
      <c r="B109" s="33" t="s">
        <v>143</v>
      </c>
      <c r="C109" s="33" t="s">
        <v>389</v>
      </c>
      <c r="E109" s="6" t="s">
        <v>149</v>
      </c>
      <c r="F109" s="33" t="s">
        <v>389</v>
      </c>
      <c r="G109" s="33" t="s">
        <v>388</v>
      </c>
      <c r="H109" s="6" t="s">
        <v>1049</v>
      </c>
      <c r="I109" s="6" t="s">
        <v>244</v>
      </c>
      <c r="J109" s="33" t="s">
        <v>148</v>
      </c>
      <c r="K109" s="33" t="s">
        <v>1003</v>
      </c>
      <c r="O109" s="6"/>
    </row>
    <row r="110" spans="1:15" x14ac:dyDescent="0.3">
      <c r="A110" s="33" t="s">
        <v>390</v>
      </c>
      <c r="B110" s="33" t="s">
        <v>143</v>
      </c>
      <c r="C110" s="33" t="s">
        <v>391</v>
      </c>
      <c r="E110" s="6" t="s">
        <v>149</v>
      </c>
      <c r="F110" s="33" t="s">
        <v>391</v>
      </c>
      <c r="G110" s="33" t="s">
        <v>390</v>
      </c>
      <c r="H110" s="6" t="s">
        <v>1049</v>
      </c>
      <c r="I110" s="6" t="s">
        <v>244</v>
      </c>
      <c r="J110" s="33" t="s">
        <v>148</v>
      </c>
      <c r="K110" s="33" t="s">
        <v>1003</v>
      </c>
      <c r="O110" s="6"/>
    </row>
    <row r="111" spans="1:15" x14ac:dyDescent="0.3">
      <c r="A111" s="33" t="s">
        <v>392</v>
      </c>
      <c r="B111" s="33" t="s">
        <v>143</v>
      </c>
      <c r="C111" s="33" t="s">
        <v>393</v>
      </c>
      <c r="E111" s="6" t="s">
        <v>149</v>
      </c>
      <c r="F111" s="33" t="s">
        <v>393</v>
      </c>
      <c r="G111" s="33" t="s">
        <v>392</v>
      </c>
      <c r="H111" s="6" t="s">
        <v>1049</v>
      </c>
      <c r="I111" s="6" t="s">
        <v>244</v>
      </c>
      <c r="J111" s="6" t="s">
        <v>148</v>
      </c>
      <c r="K111" s="33" t="s">
        <v>1003</v>
      </c>
    </row>
    <row r="112" spans="1:15" x14ac:dyDescent="0.3">
      <c r="A112" s="33" t="s">
        <v>394</v>
      </c>
      <c r="B112" s="33" t="s">
        <v>143</v>
      </c>
      <c r="C112" s="33" t="s">
        <v>395</v>
      </c>
      <c r="E112" s="6" t="s">
        <v>149</v>
      </c>
      <c r="F112" s="33" t="s">
        <v>395</v>
      </c>
      <c r="G112" s="33" t="s">
        <v>394</v>
      </c>
      <c r="H112" s="6" t="s">
        <v>1049</v>
      </c>
      <c r="I112" s="6" t="s">
        <v>244</v>
      </c>
      <c r="J112" s="33" t="s">
        <v>148</v>
      </c>
      <c r="K112" s="33" t="s">
        <v>1003</v>
      </c>
      <c r="O112" s="6"/>
    </row>
    <row r="113" spans="1:15" x14ac:dyDescent="0.3">
      <c r="A113" s="33" t="s">
        <v>396</v>
      </c>
      <c r="B113" s="33" t="s">
        <v>143</v>
      </c>
      <c r="C113" s="33" t="s">
        <v>397</v>
      </c>
      <c r="E113" s="6" t="s">
        <v>149</v>
      </c>
      <c r="F113" s="33" t="s">
        <v>397</v>
      </c>
      <c r="G113" s="33" t="s">
        <v>396</v>
      </c>
      <c r="H113" s="6" t="s">
        <v>1049</v>
      </c>
      <c r="I113" s="6" t="s">
        <v>244</v>
      </c>
      <c r="J113" s="33" t="s">
        <v>148</v>
      </c>
      <c r="K113" s="33" t="s">
        <v>1003</v>
      </c>
      <c r="O113" s="6"/>
    </row>
    <row r="114" spans="1:15" x14ac:dyDescent="0.3">
      <c r="A114" s="33" t="s">
        <v>398</v>
      </c>
      <c r="B114" s="33" t="s">
        <v>143</v>
      </c>
      <c r="C114" s="33" t="s">
        <v>399</v>
      </c>
      <c r="E114" s="6" t="s">
        <v>149</v>
      </c>
      <c r="F114" s="33" t="s">
        <v>399</v>
      </c>
      <c r="G114" s="33" t="s">
        <v>398</v>
      </c>
      <c r="H114" s="6" t="s">
        <v>1049</v>
      </c>
      <c r="I114" s="6" t="s">
        <v>244</v>
      </c>
      <c r="J114" s="33" t="s">
        <v>148</v>
      </c>
      <c r="K114" s="33" t="s">
        <v>1003</v>
      </c>
      <c r="O114" s="6"/>
    </row>
    <row r="115" spans="1:15" x14ac:dyDescent="0.3">
      <c r="A115" s="33" t="s">
        <v>400</v>
      </c>
      <c r="B115" s="33" t="s">
        <v>143</v>
      </c>
      <c r="C115" s="33" t="s">
        <v>401</v>
      </c>
      <c r="E115" s="6" t="s">
        <v>149</v>
      </c>
      <c r="F115" s="33" t="s">
        <v>401</v>
      </c>
      <c r="G115" s="33" t="s">
        <v>400</v>
      </c>
      <c r="H115" s="6" t="s">
        <v>1049</v>
      </c>
      <c r="I115" s="6" t="s">
        <v>244</v>
      </c>
      <c r="J115" s="33" t="s">
        <v>148</v>
      </c>
      <c r="K115" s="33" t="s">
        <v>1003</v>
      </c>
      <c r="O115" s="6"/>
    </row>
    <row r="116" spans="1:15" x14ac:dyDescent="0.3">
      <c r="A116" s="33" t="s">
        <v>402</v>
      </c>
      <c r="B116" s="33" t="s">
        <v>143</v>
      </c>
      <c r="C116" s="33" t="s">
        <v>403</v>
      </c>
      <c r="E116" s="6" t="s">
        <v>149</v>
      </c>
      <c r="F116" s="33" t="s">
        <v>403</v>
      </c>
      <c r="G116" s="33" t="s">
        <v>402</v>
      </c>
      <c r="H116" s="6" t="s">
        <v>1049</v>
      </c>
      <c r="I116" s="6" t="s">
        <v>244</v>
      </c>
      <c r="J116" s="33" t="s">
        <v>148</v>
      </c>
      <c r="K116" s="33" t="s">
        <v>1003</v>
      </c>
      <c r="O116" s="6"/>
    </row>
    <row r="117" spans="1:15" x14ac:dyDescent="0.3">
      <c r="A117" s="33" t="s">
        <v>404</v>
      </c>
      <c r="B117" s="33" t="s">
        <v>143</v>
      </c>
      <c r="C117" s="33" t="s">
        <v>405</v>
      </c>
      <c r="E117" s="6" t="s">
        <v>149</v>
      </c>
      <c r="F117" s="33" t="s">
        <v>405</v>
      </c>
      <c r="G117" s="33" t="s">
        <v>404</v>
      </c>
      <c r="H117" s="6" t="s">
        <v>1049</v>
      </c>
      <c r="I117" s="6" t="s">
        <v>244</v>
      </c>
      <c r="J117" s="33" t="s">
        <v>148</v>
      </c>
      <c r="K117" s="33" t="s">
        <v>1003</v>
      </c>
      <c r="O117" s="6"/>
    </row>
    <row r="118" spans="1:15" x14ac:dyDescent="0.3">
      <c r="A118" s="33" t="s">
        <v>406</v>
      </c>
      <c r="B118" s="33" t="s">
        <v>143</v>
      </c>
      <c r="C118" s="33" t="s">
        <v>407</v>
      </c>
      <c r="E118" s="6" t="s">
        <v>149</v>
      </c>
      <c r="F118" s="33" t="s">
        <v>407</v>
      </c>
      <c r="G118" s="33" t="s">
        <v>406</v>
      </c>
      <c r="H118" s="6" t="s">
        <v>1049</v>
      </c>
      <c r="I118" s="6" t="s">
        <v>244</v>
      </c>
      <c r="J118" s="6" t="s">
        <v>148</v>
      </c>
      <c r="K118" s="33" t="s">
        <v>1003</v>
      </c>
    </row>
    <row r="119" spans="1:15" x14ac:dyDescent="0.3">
      <c r="A119" s="33" t="s">
        <v>408</v>
      </c>
      <c r="B119" s="33" t="s">
        <v>143</v>
      </c>
      <c r="C119" s="33" t="s">
        <v>409</v>
      </c>
      <c r="E119" s="6" t="s">
        <v>149</v>
      </c>
      <c r="F119" s="33" t="s">
        <v>409</v>
      </c>
      <c r="G119" s="33" t="s">
        <v>408</v>
      </c>
      <c r="H119" s="6" t="s">
        <v>1049</v>
      </c>
      <c r="I119" s="6" t="s">
        <v>244</v>
      </c>
      <c r="J119" s="33" t="s">
        <v>148</v>
      </c>
      <c r="K119" s="33" t="s">
        <v>1003</v>
      </c>
      <c r="O119" s="6"/>
    </row>
    <row r="120" spans="1:15" x14ac:dyDescent="0.3">
      <c r="A120" s="33" t="s">
        <v>410</v>
      </c>
      <c r="B120" s="33" t="s">
        <v>143</v>
      </c>
      <c r="C120" s="33" t="s">
        <v>411</v>
      </c>
      <c r="E120" s="6" t="s">
        <v>149</v>
      </c>
      <c r="F120" s="33" t="s">
        <v>411</v>
      </c>
      <c r="G120" s="33" t="s">
        <v>410</v>
      </c>
      <c r="H120" s="6" t="s">
        <v>1049</v>
      </c>
      <c r="I120" s="6" t="s">
        <v>244</v>
      </c>
      <c r="J120" s="33" t="s">
        <v>148</v>
      </c>
      <c r="K120" s="33" t="s">
        <v>1003</v>
      </c>
      <c r="O120" s="6"/>
    </row>
    <row r="121" spans="1:15" x14ac:dyDescent="0.3">
      <c r="A121" s="33" t="s">
        <v>412</v>
      </c>
      <c r="B121" s="33" t="s">
        <v>143</v>
      </c>
      <c r="C121" s="33" t="s">
        <v>413</v>
      </c>
      <c r="E121" s="6" t="s">
        <v>149</v>
      </c>
      <c r="F121" s="33" t="s">
        <v>413</v>
      </c>
      <c r="G121" s="33" t="s">
        <v>412</v>
      </c>
      <c r="H121" s="6" t="s">
        <v>1049</v>
      </c>
      <c r="I121" s="6" t="s">
        <v>244</v>
      </c>
      <c r="J121" s="33" t="s">
        <v>148</v>
      </c>
      <c r="K121" s="33" t="s">
        <v>1003</v>
      </c>
      <c r="O121" s="6"/>
    </row>
    <row r="122" spans="1:15" x14ac:dyDescent="0.3">
      <c r="A122" s="33" t="s">
        <v>414</v>
      </c>
      <c r="B122" s="33" t="s">
        <v>143</v>
      </c>
      <c r="C122" s="33" t="s">
        <v>415</v>
      </c>
      <c r="E122" s="6" t="s">
        <v>149</v>
      </c>
      <c r="F122" s="33" t="s">
        <v>415</v>
      </c>
      <c r="G122" s="33" t="s">
        <v>414</v>
      </c>
      <c r="H122" s="6" t="s">
        <v>1049</v>
      </c>
      <c r="I122" s="6" t="s">
        <v>244</v>
      </c>
      <c r="J122" s="33" t="s">
        <v>148</v>
      </c>
      <c r="K122" s="33" t="s">
        <v>1003</v>
      </c>
      <c r="O122" s="6"/>
    </row>
    <row r="123" spans="1:15" x14ac:dyDescent="0.3">
      <c r="A123" s="33" t="s">
        <v>416</v>
      </c>
      <c r="B123" s="33" t="s">
        <v>143</v>
      </c>
      <c r="C123" s="33" t="s">
        <v>417</v>
      </c>
      <c r="E123" s="6" t="s">
        <v>149</v>
      </c>
      <c r="F123" s="33" t="s">
        <v>417</v>
      </c>
      <c r="G123" s="33" t="s">
        <v>416</v>
      </c>
      <c r="H123" s="6" t="s">
        <v>1049</v>
      </c>
      <c r="I123" s="6" t="s">
        <v>244</v>
      </c>
      <c r="J123" s="6" t="s">
        <v>148</v>
      </c>
      <c r="K123" s="33" t="s">
        <v>1003</v>
      </c>
    </row>
    <row r="124" spans="1:15" x14ac:dyDescent="0.3">
      <c r="A124" s="33" t="s">
        <v>418</v>
      </c>
      <c r="B124" s="33" t="s">
        <v>143</v>
      </c>
      <c r="C124" s="33" t="s">
        <v>419</v>
      </c>
      <c r="E124" s="6" t="s">
        <v>149</v>
      </c>
      <c r="F124" s="33" t="s">
        <v>419</v>
      </c>
      <c r="G124" s="33" t="s">
        <v>418</v>
      </c>
      <c r="H124" s="6" t="s">
        <v>1049</v>
      </c>
      <c r="I124" s="6" t="s">
        <v>244</v>
      </c>
      <c r="J124" s="33" t="s">
        <v>148</v>
      </c>
      <c r="K124" s="33" t="s">
        <v>1003</v>
      </c>
      <c r="O124" s="6"/>
    </row>
    <row r="125" spans="1:15" ht="28.8" x14ac:dyDescent="0.3">
      <c r="A125" s="35" t="s">
        <v>428</v>
      </c>
      <c r="B125" s="6" t="s">
        <v>143</v>
      </c>
      <c r="C125" s="6" t="s">
        <v>1026</v>
      </c>
      <c r="D125" s="6" t="s">
        <v>639</v>
      </c>
      <c r="E125" s="6" t="s">
        <v>149</v>
      </c>
      <c r="F125" s="6" t="s">
        <v>429</v>
      </c>
      <c r="G125" s="35" t="s">
        <v>1027</v>
      </c>
      <c r="H125" s="6" t="s">
        <v>56</v>
      </c>
      <c r="I125" s="6" t="s">
        <v>41</v>
      </c>
      <c r="J125" s="6" t="s">
        <v>430</v>
      </c>
      <c r="K125" s="13" t="s">
        <v>971</v>
      </c>
      <c r="M125" s="6" t="s">
        <v>618</v>
      </c>
      <c r="N125" s="6" t="s">
        <v>745</v>
      </c>
      <c r="O125" s="28" t="s">
        <v>1028</v>
      </c>
    </row>
    <row r="126" spans="1:15" x14ac:dyDescent="0.3">
      <c r="A126" s="6" t="s">
        <v>220</v>
      </c>
      <c r="B126" s="6" t="s">
        <v>43</v>
      </c>
      <c r="C126" s="6" t="s">
        <v>957</v>
      </c>
      <c r="D126" s="6" t="s">
        <v>738</v>
      </c>
      <c r="F126" s="6" t="s">
        <v>61</v>
      </c>
      <c r="G126" s="6" t="s">
        <v>220</v>
      </c>
      <c r="J126" s="6" t="s">
        <v>44</v>
      </c>
      <c r="K126" s="13" t="s">
        <v>958</v>
      </c>
      <c r="M126" s="6" t="s">
        <v>618</v>
      </c>
      <c r="N126" s="6" t="s">
        <v>745</v>
      </c>
      <c r="O126" s="28" t="s">
        <v>959</v>
      </c>
    </row>
    <row r="127" spans="1:15" x14ac:dyDescent="0.3">
      <c r="A127" s="6" t="s">
        <v>220</v>
      </c>
      <c r="B127" s="6" t="s">
        <v>43</v>
      </c>
      <c r="C127" s="6" t="s">
        <v>960</v>
      </c>
      <c r="D127" s="6" t="s">
        <v>738</v>
      </c>
      <c r="F127" s="6" t="s">
        <v>86</v>
      </c>
      <c r="G127" s="6" t="s">
        <v>220</v>
      </c>
      <c r="J127" s="6" t="s">
        <v>44</v>
      </c>
      <c r="K127" s="13" t="s">
        <v>958</v>
      </c>
      <c r="M127" s="6" t="s">
        <v>618</v>
      </c>
      <c r="N127" s="6" t="s">
        <v>745</v>
      </c>
      <c r="O127" s="28" t="s">
        <v>961</v>
      </c>
    </row>
    <row r="128" spans="1:15" x14ac:dyDescent="0.3">
      <c r="A128" s="6" t="s">
        <v>220</v>
      </c>
      <c r="B128" s="6" t="s">
        <v>43</v>
      </c>
      <c r="C128" s="6" t="s">
        <v>962</v>
      </c>
      <c r="D128" s="6" t="s">
        <v>738</v>
      </c>
      <c r="F128" s="6" t="s">
        <v>40</v>
      </c>
      <c r="G128" s="6" t="s">
        <v>220</v>
      </c>
      <c r="J128" s="6" t="s">
        <v>44</v>
      </c>
      <c r="K128" s="13" t="s">
        <v>958</v>
      </c>
      <c r="M128" s="6" t="s">
        <v>618</v>
      </c>
      <c r="N128" s="6" t="s">
        <v>745</v>
      </c>
      <c r="O128" s="28" t="s">
        <v>963</v>
      </c>
    </row>
    <row r="129" spans="1:16" x14ac:dyDescent="0.3">
      <c r="A129" s="6" t="s">
        <v>220</v>
      </c>
      <c r="B129" s="6" t="s">
        <v>43</v>
      </c>
      <c r="C129" s="6" t="s">
        <v>964</v>
      </c>
      <c r="D129" s="6" t="s">
        <v>738</v>
      </c>
      <c r="F129" s="6" t="s">
        <v>59</v>
      </c>
      <c r="G129" s="6" t="s">
        <v>220</v>
      </c>
      <c r="J129" s="6" t="s">
        <v>44</v>
      </c>
      <c r="K129" s="13" t="s">
        <v>911</v>
      </c>
      <c r="M129" s="6" t="s">
        <v>618</v>
      </c>
      <c r="N129" s="6" t="s">
        <v>745</v>
      </c>
      <c r="O129" s="28" t="s">
        <v>965</v>
      </c>
    </row>
    <row r="130" spans="1:16" x14ac:dyDescent="0.3">
      <c r="A130" s="6" t="s">
        <v>220</v>
      </c>
      <c r="B130" s="6" t="s">
        <v>43</v>
      </c>
      <c r="C130" s="6" t="s">
        <v>966</v>
      </c>
      <c r="D130" s="6" t="s">
        <v>738</v>
      </c>
      <c r="F130" s="6" t="s">
        <v>47</v>
      </c>
      <c r="G130" s="6" t="s">
        <v>220</v>
      </c>
      <c r="J130" s="6" t="s">
        <v>44</v>
      </c>
      <c r="K130" s="13" t="s">
        <v>958</v>
      </c>
      <c r="M130" s="6" t="s">
        <v>618</v>
      </c>
      <c r="N130" s="6" t="s">
        <v>745</v>
      </c>
      <c r="O130" s="28" t="s">
        <v>967</v>
      </c>
    </row>
    <row r="131" spans="1:16" x14ac:dyDescent="0.3">
      <c r="A131" s="6" t="s">
        <v>220</v>
      </c>
      <c r="B131" s="6" t="s">
        <v>43</v>
      </c>
      <c r="C131" s="6" t="s">
        <v>984</v>
      </c>
      <c r="D131" s="6" t="s">
        <v>738</v>
      </c>
      <c r="F131" s="6" t="s">
        <v>66</v>
      </c>
      <c r="G131" s="6" t="s">
        <v>220</v>
      </c>
      <c r="J131" s="6" t="s">
        <v>44</v>
      </c>
      <c r="K131" s="13" t="s">
        <v>958</v>
      </c>
      <c r="M131" s="6" t="s">
        <v>618</v>
      </c>
      <c r="N131" s="6" t="s">
        <v>745</v>
      </c>
      <c r="O131" s="28" t="s">
        <v>985</v>
      </c>
    </row>
    <row r="132" spans="1:16" x14ac:dyDescent="0.3">
      <c r="A132" s="6" t="s">
        <v>437</v>
      </c>
      <c r="B132" s="6" t="s">
        <v>43</v>
      </c>
      <c r="C132" s="6" t="s">
        <v>1032</v>
      </c>
      <c r="D132" s="6" t="s">
        <v>123</v>
      </c>
      <c r="E132" s="6" t="str">
        <f t="shared" ref="E132:E137" si="0">D132</f>
        <v>Alejo</v>
      </c>
      <c r="F132" s="6" t="s">
        <v>438</v>
      </c>
      <c r="G132" s="6" t="s">
        <v>437</v>
      </c>
      <c r="H132" s="6" t="s">
        <v>56</v>
      </c>
      <c r="I132" s="6" t="s">
        <v>41</v>
      </c>
      <c r="J132" s="6" t="s">
        <v>436</v>
      </c>
      <c r="K132" s="13" t="s">
        <v>987</v>
      </c>
      <c r="L132" s="13">
        <v>2023</v>
      </c>
      <c r="M132" s="6" t="s">
        <v>618</v>
      </c>
      <c r="N132" s="6" t="s">
        <v>745</v>
      </c>
      <c r="O132" s="28" t="s">
        <v>748</v>
      </c>
    </row>
    <row r="133" spans="1:16" x14ac:dyDescent="0.3">
      <c r="A133" s="6" t="s">
        <v>441</v>
      </c>
      <c r="B133" s="6" t="s">
        <v>43</v>
      </c>
      <c r="C133" s="6" t="s">
        <v>1034</v>
      </c>
      <c r="D133" s="6" t="s">
        <v>123</v>
      </c>
      <c r="E133" s="6" t="str">
        <f t="shared" si="0"/>
        <v>Alejo</v>
      </c>
      <c r="F133" s="6" t="s">
        <v>442</v>
      </c>
      <c r="G133" s="6" t="s">
        <v>441</v>
      </c>
      <c r="H133" s="6" t="s">
        <v>56</v>
      </c>
      <c r="I133" s="6" t="s">
        <v>41</v>
      </c>
      <c r="J133" s="6" t="s">
        <v>436</v>
      </c>
      <c r="K133" s="13" t="s">
        <v>987</v>
      </c>
      <c r="L133" s="13">
        <v>2023</v>
      </c>
      <c r="M133" s="6" t="s">
        <v>618</v>
      </c>
      <c r="N133" s="6" t="s">
        <v>745</v>
      </c>
      <c r="O133" s="28" t="s">
        <v>748</v>
      </c>
    </row>
    <row r="134" spans="1:16" x14ac:dyDescent="0.3">
      <c r="A134" s="6" t="s">
        <v>451</v>
      </c>
      <c r="B134" s="6" t="s">
        <v>43</v>
      </c>
      <c r="C134" s="6" t="s">
        <v>1037</v>
      </c>
      <c r="D134" s="6" t="s">
        <v>123</v>
      </c>
      <c r="E134" s="6" t="str">
        <f t="shared" si="0"/>
        <v>Alejo</v>
      </c>
      <c r="F134" s="6" t="s">
        <v>452</v>
      </c>
      <c r="G134" s="6" t="s">
        <v>451</v>
      </c>
      <c r="H134" s="6" t="s">
        <v>28</v>
      </c>
      <c r="I134" s="6" t="s">
        <v>41</v>
      </c>
      <c r="J134" s="6" t="s">
        <v>436</v>
      </c>
      <c r="K134" s="13" t="s">
        <v>987</v>
      </c>
      <c r="L134" s="13">
        <v>2023</v>
      </c>
      <c r="M134" s="6" t="s">
        <v>618</v>
      </c>
      <c r="N134" s="6" t="s">
        <v>745</v>
      </c>
      <c r="O134" s="28" t="s">
        <v>748</v>
      </c>
    </row>
    <row r="135" spans="1:16" x14ac:dyDescent="0.3">
      <c r="A135" s="6" t="s">
        <v>455</v>
      </c>
      <c r="B135" s="6" t="s">
        <v>43</v>
      </c>
      <c r="C135" s="6" t="s">
        <v>1039</v>
      </c>
      <c r="D135" s="6" t="s">
        <v>123</v>
      </c>
      <c r="E135" s="6" t="str">
        <f t="shared" si="0"/>
        <v>Alejo</v>
      </c>
      <c r="F135" s="6" t="s">
        <v>456</v>
      </c>
      <c r="G135" s="6" t="s">
        <v>455</v>
      </c>
      <c r="H135" s="6" t="s">
        <v>28</v>
      </c>
      <c r="I135" s="6" t="s">
        <v>41</v>
      </c>
      <c r="J135" s="6" t="s">
        <v>436</v>
      </c>
      <c r="K135" s="13" t="s">
        <v>987</v>
      </c>
      <c r="L135" s="13">
        <v>2023</v>
      </c>
      <c r="M135" s="6" t="s">
        <v>618</v>
      </c>
      <c r="N135" s="6" t="s">
        <v>745</v>
      </c>
      <c r="O135" s="28" t="s">
        <v>748</v>
      </c>
    </row>
    <row r="136" spans="1:16" x14ac:dyDescent="0.3">
      <c r="A136" s="6" t="s">
        <v>480</v>
      </c>
      <c r="B136" s="6" t="s">
        <v>43</v>
      </c>
      <c r="C136" s="6" t="s">
        <v>481</v>
      </c>
      <c r="D136" s="6" t="s">
        <v>123</v>
      </c>
      <c r="E136" s="6" t="str">
        <f t="shared" si="0"/>
        <v>Alejo</v>
      </c>
      <c r="F136" s="6" t="s">
        <v>481</v>
      </c>
      <c r="G136" s="6" t="s">
        <v>480</v>
      </c>
      <c r="H136" s="6" t="s">
        <v>28</v>
      </c>
      <c r="I136" s="6" t="s">
        <v>41</v>
      </c>
      <c r="J136" s="6" t="s">
        <v>436</v>
      </c>
      <c r="K136" s="13" t="s">
        <v>987</v>
      </c>
      <c r="L136" s="13">
        <v>2023</v>
      </c>
      <c r="M136" s="6" t="s">
        <v>618</v>
      </c>
      <c r="N136" s="6" t="s">
        <v>745</v>
      </c>
      <c r="O136" s="28" t="s">
        <v>748</v>
      </c>
    </row>
    <row r="137" spans="1:16" ht="45" x14ac:dyDescent="0.3">
      <c r="A137" s="6" t="s">
        <v>484</v>
      </c>
      <c r="B137" s="6" t="s">
        <v>43</v>
      </c>
      <c r="C137" s="6" t="s">
        <v>1042</v>
      </c>
      <c r="D137" s="6" t="s">
        <v>123</v>
      </c>
      <c r="E137" s="6" t="str">
        <f t="shared" si="0"/>
        <v>Alejo</v>
      </c>
      <c r="F137" s="6" t="s">
        <v>485</v>
      </c>
      <c r="G137" s="6" t="s">
        <v>484</v>
      </c>
      <c r="H137" s="25" t="s">
        <v>28</v>
      </c>
      <c r="I137" s="6" t="s">
        <v>41</v>
      </c>
      <c r="J137" s="6" t="s">
        <v>436</v>
      </c>
      <c r="K137" s="13" t="s">
        <v>987</v>
      </c>
      <c r="L137" s="13">
        <v>2023</v>
      </c>
      <c r="M137" s="6" t="s">
        <v>618</v>
      </c>
      <c r="N137" s="6" t="s">
        <v>745</v>
      </c>
      <c r="O137" s="28" t="s">
        <v>748</v>
      </c>
      <c r="P137" s="31" t="s">
        <v>1043</v>
      </c>
    </row>
    <row r="138" spans="1:16" x14ac:dyDescent="0.3">
      <c r="A138" s="6" t="s">
        <v>220</v>
      </c>
      <c r="B138" s="10" t="s">
        <v>64</v>
      </c>
      <c r="C138" s="6" t="s">
        <v>968</v>
      </c>
      <c r="D138" s="6" t="s">
        <v>30</v>
      </c>
      <c r="F138" s="6" t="s">
        <v>504</v>
      </c>
      <c r="G138" s="6" t="s">
        <v>220</v>
      </c>
      <c r="J138" s="6" t="s">
        <v>947</v>
      </c>
      <c r="K138" s="13" t="s">
        <v>505</v>
      </c>
      <c r="M138" s="6" t="s">
        <v>618</v>
      </c>
      <c r="N138" s="6" t="s">
        <v>745</v>
      </c>
      <c r="O138" s="28" t="s">
        <v>940</v>
      </c>
      <c r="P138" s="31" t="s">
        <v>969</v>
      </c>
    </row>
    <row r="139" spans="1:16" x14ac:dyDescent="0.3">
      <c r="A139" s="6" t="s">
        <v>220</v>
      </c>
      <c r="B139" s="10" t="s">
        <v>64</v>
      </c>
      <c r="C139" s="6" t="s">
        <v>970</v>
      </c>
      <c r="D139" s="6" t="s">
        <v>738</v>
      </c>
      <c r="F139" s="6" t="s">
        <v>65</v>
      </c>
      <c r="G139" s="6" t="s">
        <v>220</v>
      </c>
      <c r="J139" s="6" t="s">
        <v>44</v>
      </c>
      <c r="K139" s="13" t="s">
        <v>971</v>
      </c>
      <c r="M139" s="6" t="s">
        <v>618</v>
      </c>
      <c r="N139" s="6" t="s">
        <v>745</v>
      </c>
      <c r="O139" s="28" t="s">
        <v>972</v>
      </c>
    </row>
    <row r="140" spans="1:16" x14ac:dyDescent="0.3">
      <c r="A140" s="6" t="s">
        <v>220</v>
      </c>
      <c r="B140" s="10" t="s">
        <v>64</v>
      </c>
      <c r="C140" s="6" t="s">
        <v>973</v>
      </c>
      <c r="D140" s="6" t="s">
        <v>738</v>
      </c>
      <c r="F140" s="6" t="s">
        <v>63</v>
      </c>
      <c r="G140" s="6" t="s">
        <v>220</v>
      </c>
      <c r="J140" s="6" t="s">
        <v>44</v>
      </c>
      <c r="K140" s="13" t="s">
        <v>971</v>
      </c>
      <c r="M140" s="6" t="s">
        <v>618</v>
      </c>
      <c r="N140" s="6" t="s">
        <v>745</v>
      </c>
      <c r="O140" s="28" t="s">
        <v>972</v>
      </c>
    </row>
    <row r="141" spans="1:16" x14ac:dyDescent="0.3">
      <c r="A141" s="6" t="s">
        <v>220</v>
      </c>
      <c r="B141" s="10" t="s">
        <v>64</v>
      </c>
      <c r="C141" s="6" t="s">
        <v>974</v>
      </c>
      <c r="D141" s="6" t="s">
        <v>30</v>
      </c>
      <c r="F141" s="6" t="s">
        <v>975</v>
      </c>
      <c r="G141" s="6" t="s">
        <v>220</v>
      </c>
      <c r="J141" s="6" t="s">
        <v>951</v>
      </c>
      <c r="K141" s="13">
        <v>2023</v>
      </c>
      <c r="M141" s="6" t="s">
        <v>618</v>
      </c>
      <c r="N141" s="6" t="s">
        <v>745</v>
      </c>
      <c r="O141" s="28" t="s">
        <v>940</v>
      </c>
      <c r="P141" s="31" t="s">
        <v>976</v>
      </c>
    </row>
    <row r="142" spans="1:16" x14ac:dyDescent="0.3">
      <c r="A142" s="6" t="s">
        <v>120</v>
      </c>
      <c r="B142" s="10" t="s">
        <v>64</v>
      </c>
      <c r="C142" s="6" t="s">
        <v>991</v>
      </c>
      <c r="D142" s="6" t="s">
        <v>123</v>
      </c>
      <c r="E142" s="6" t="s">
        <v>123</v>
      </c>
      <c r="F142" s="6" t="s">
        <v>121</v>
      </c>
      <c r="G142" s="6" t="s">
        <v>120</v>
      </c>
      <c r="H142" s="6" t="s">
        <v>28</v>
      </c>
      <c r="I142" s="6" t="s">
        <v>41</v>
      </c>
      <c r="J142" s="6" t="s">
        <v>122</v>
      </c>
      <c r="K142" s="13" t="s">
        <v>50</v>
      </c>
      <c r="L142" s="13">
        <v>2023</v>
      </c>
      <c r="M142" s="6" t="s">
        <v>618</v>
      </c>
      <c r="N142" s="6" t="s">
        <v>745</v>
      </c>
      <c r="O142" s="28" t="s">
        <v>748</v>
      </c>
    </row>
    <row r="143" spans="1:16" x14ac:dyDescent="0.3">
      <c r="A143" s="6" t="s">
        <v>233</v>
      </c>
      <c r="B143" s="10" t="s">
        <v>64</v>
      </c>
      <c r="C143" s="6" t="s">
        <v>1016</v>
      </c>
      <c r="D143" s="6" t="s">
        <v>123</v>
      </c>
      <c r="E143" s="6" t="s">
        <v>123</v>
      </c>
      <c r="F143" s="6" t="s">
        <v>234</v>
      </c>
      <c r="G143" s="6" t="s">
        <v>233</v>
      </c>
      <c r="H143" s="6" t="s">
        <v>28</v>
      </c>
      <c r="I143" s="6" t="s">
        <v>41</v>
      </c>
      <c r="J143" s="6" t="s">
        <v>138</v>
      </c>
      <c r="K143" s="13">
        <v>2023</v>
      </c>
      <c r="L143" s="13">
        <v>2023</v>
      </c>
      <c r="M143" s="6" t="s">
        <v>603</v>
      </c>
      <c r="N143" s="6" t="s">
        <v>745</v>
      </c>
      <c r="O143" s="28" t="s">
        <v>748</v>
      </c>
    </row>
    <row r="144" spans="1:16" ht="105" x14ac:dyDescent="0.3">
      <c r="A144" s="6" t="s">
        <v>431</v>
      </c>
      <c r="B144" s="10" t="s">
        <v>64</v>
      </c>
      <c r="C144" s="6" t="s">
        <v>1029</v>
      </c>
      <c r="D144" s="6" t="s">
        <v>123</v>
      </c>
      <c r="E144" s="6" t="str">
        <f t="shared" ref="E144:E151" si="1">D144</f>
        <v>Alejo</v>
      </c>
      <c r="F144" s="6" t="s">
        <v>432</v>
      </c>
      <c r="G144" s="6" t="s">
        <v>431</v>
      </c>
      <c r="H144" s="6" t="s">
        <v>56</v>
      </c>
      <c r="I144" s="6" t="s">
        <v>41</v>
      </c>
      <c r="J144" s="6" t="s">
        <v>433</v>
      </c>
      <c r="K144" s="13" t="s">
        <v>987</v>
      </c>
      <c r="L144" s="13">
        <v>2023</v>
      </c>
      <c r="M144" s="6" t="s">
        <v>618</v>
      </c>
      <c r="N144" s="6" t="s">
        <v>745</v>
      </c>
      <c r="O144" s="28" t="s">
        <v>748</v>
      </c>
      <c r="P144" s="31" t="s">
        <v>1030</v>
      </c>
    </row>
    <row r="145" spans="1:16" x14ac:dyDescent="0.3">
      <c r="A145" s="6" t="s">
        <v>434</v>
      </c>
      <c r="B145" s="10" t="s">
        <v>64</v>
      </c>
      <c r="C145" s="6" t="s">
        <v>1031</v>
      </c>
      <c r="D145" s="6" t="s">
        <v>123</v>
      </c>
      <c r="E145" s="6" t="str">
        <f t="shared" si="1"/>
        <v>Alejo</v>
      </c>
      <c r="F145" s="6" t="s">
        <v>435</v>
      </c>
      <c r="G145" s="6" t="s">
        <v>434</v>
      </c>
      <c r="H145" s="6" t="s">
        <v>56</v>
      </c>
      <c r="I145" s="6" t="s">
        <v>41</v>
      </c>
      <c r="J145" s="6" t="s">
        <v>436</v>
      </c>
      <c r="K145" s="13" t="s">
        <v>987</v>
      </c>
      <c r="L145" s="13">
        <v>2023</v>
      </c>
      <c r="M145" s="6" t="s">
        <v>618</v>
      </c>
      <c r="N145" s="6" t="s">
        <v>745</v>
      </c>
      <c r="O145" s="28" t="s">
        <v>748</v>
      </c>
    </row>
    <row r="146" spans="1:16" x14ac:dyDescent="0.3">
      <c r="A146" s="6" t="s">
        <v>439</v>
      </c>
      <c r="B146" s="10" t="s">
        <v>64</v>
      </c>
      <c r="C146" s="6" t="s">
        <v>1033</v>
      </c>
      <c r="D146" s="6" t="s">
        <v>123</v>
      </c>
      <c r="E146" s="6" t="str">
        <f t="shared" si="1"/>
        <v>Alejo</v>
      </c>
      <c r="F146" s="6" t="s">
        <v>440</v>
      </c>
      <c r="G146" s="6" t="s">
        <v>439</v>
      </c>
      <c r="H146" s="6" t="s">
        <v>56</v>
      </c>
      <c r="I146" s="6" t="s">
        <v>41</v>
      </c>
      <c r="J146" s="6" t="s">
        <v>436</v>
      </c>
      <c r="K146" s="13" t="s">
        <v>987</v>
      </c>
      <c r="L146" s="13">
        <v>2023</v>
      </c>
      <c r="M146" s="6" t="s">
        <v>618</v>
      </c>
      <c r="N146" s="6" t="s">
        <v>745</v>
      </c>
      <c r="O146" s="28" t="s">
        <v>748</v>
      </c>
    </row>
    <row r="147" spans="1:16" x14ac:dyDescent="0.3">
      <c r="A147" s="6" t="s">
        <v>449</v>
      </c>
      <c r="B147" s="10" t="s">
        <v>64</v>
      </c>
      <c r="C147" s="6" t="s">
        <v>1036</v>
      </c>
      <c r="D147" s="6" t="s">
        <v>123</v>
      </c>
      <c r="E147" s="6" t="str">
        <f t="shared" si="1"/>
        <v>Alejo</v>
      </c>
      <c r="F147" s="6" t="s">
        <v>450</v>
      </c>
      <c r="G147" s="6" t="s">
        <v>449</v>
      </c>
      <c r="H147" s="6" t="s">
        <v>28</v>
      </c>
      <c r="I147" s="6" t="s">
        <v>41</v>
      </c>
      <c r="J147" s="6" t="s">
        <v>436</v>
      </c>
      <c r="K147" s="13" t="s">
        <v>987</v>
      </c>
      <c r="L147" s="13">
        <v>2023</v>
      </c>
      <c r="M147" s="6" t="s">
        <v>618</v>
      </c>
      <c r="N147" s="6" t="s">
        <v>745</v>
      </c>
      <c r="O147" s="28" t="s">
        <v>748</v>
      </c>
    </row>
    <row r="148" spans="1:16" x14ac:dyDescent="0.3">
      <c r="A148" s="6" t="s">
        <v>453</v>
      </c>
      <c r="B148" s="10" t="s">
        <v>64</v>
      </c>
      <c r="C148" s="6" t="s">
        <v>1038</v>
      </c>
      <c r="D148" s="6" t="s">
        <v>123</v>
      </c>
      <c r="E148" s="6" t="str">
        <f t="shared" si="1"/>
        <v>Alejo</v>
      </c>
      <c r="F148" s="6" t="s">
        <v>454</v>
      </c>
      <c r="G148" s="6" t="s">
        <v>453</v>
      </c>
      <c r="H148" s="6" t="s">
        <v>28</v>
      </c>
      <c r="I148" s="6" t="s">
        <v>41</v>
      </c>
      <c r="J148" s="6" t="s">
        <v>436</v>
      </c>
      <c r="K148" s="13" t="s">
        <v>987</v>
      </c>
      <c r="L148" s="13">
        <v>2023</v>
      </c>
      <c r="M148" s="6" t="s">
        <v>618</v>
      </c>
      <c r="N148" s="6" t="s">
        <v>745</v>
      </c>
      <c r="O148" s="28" t="s">
        <v>748</v>
      </c>
    </row>
    <row r="149" spans="1:16" x14ac:dyDescent="0.3">
      <c r="A149" s="6" t="s">
        <v>478</v>
      </c>
      <c r="B149" s="10" t="s">
        <v>64</v>
      </c>
      <c r="C149" s="6" t="s">
        <v>479</v>
      </c>
      <c r="D149" s="6" t="s">
        <v>123</v>
      </c>
      <c r="E149" s="6" t="str">
        <f t="shared" si="1"/>
        <v>Alejo</v>
      </c>
      <c r="F149" s="6" t="s">
        <v>479</v>
      </c>
      <c r="G149" s="6" t="s">
        <v>478</v>
      </c>
      <c r="H149" s="6" t="s">
        <v>28</v>
      </c>
      <c r="I149" s="6" t="s">
        <v>41</v>
      </c>
      <c r="J149" s="6" t="s">
        <v>436</v>
      </c>
      <c r="K149" s="13" t="s">
        <v>987</v>
      </c>
      <c r="L149" s="13">
        <v>2023</v>
      </c>
      <c r="M149" s="6" t="s">
        <v>618</v>
      </c>
      <c r="N149" s="6" t="s">
        <v>745</v>
      </c>
      <c r="O149" s="28" t="s">
        <v>748</v>
      </c>
    </row>
    <row r="150" spans="1:16" x14ac:dyDescent="0.3">
      <c r="A150" s="6" t="s">
        <v>482</v>
      </c>
      <c r="B150" s="10" t="s">
        <v>64</v>
      </c>
      <c r="C150" s="6" t="s">
        <v>483</v>
      </c>
      <c r="D150" s="6" t="s">
        <v>123</v>
      </c>
      <c r="E150" s="6" t="str">
        <f t="shared" si="1"/>
        <v>Alejo</v>
      </c>
      <c r="F150" s="6" t="s">
        <v>483</v>
      </c>
      <c r="G150" s="6" t="s">
        <v>482</v>
      </c>
      <c r="H150" s="6" t="s">
        <v>28</v>
      </c>
      <c r="I150" s="6" t="s">
        <v>41</v>
      </c>
      <c r="J150" s="6" t="s">
        <v>436</v>
      </c>
      <c r="K150" s="13" t="s">
        <v>987</v>
      </c>
      <c r="L150" s="13">
        <v>2023</v>
      </c>
      <c r="M150" s="6" t="s">
        <v>618</v>
      </c>
      <c r="N150" s="6" t="s">
        <v>745</v>
      </c>
      <c r="O150" s="28" t="s">
        <v>748</v>
      </c>
    </row>
    <row r="151" spans="1:16" x14ac:dyDescent="0.3">
      <c r="A151" s="6" t="s">
        <v>501</v>
      </c>
      <c r="B151" s="10" t="s">
        <v>64</v>
      </c>
      <c r="C151" s="6" t="s">
        <v>1044</v>
      </c>
      <c r="D151" s="6" t="s">
        <v>123</v>
      </c>
      <c r="E151" s="6" t="str">
        <f t="shared" si="1"/>
        <v>Alejo</v>
      </c>
      <c r="F151" s="6" t="s">
        <v>502</v>
      </c>
      <c r="G151" s="6" t="s">
        <v>501</v>
      </c>
      <c r="H151" s="6" t="s">
        <v>56</v>
      </c>
      <c r="I151" s="6" t="s">
        <v>41</v>
      </c>
      <c r="J151" s="6" t="s">
        <v>433</v>
      </c>
      <c r="K151" s="13" t="s">
        <v>987</v>
      </c>
      <c r="L151" s="13">
        <v>2023</v>
      </c>
      <c r="M151" s="6" t="s">
        <v>618</v>
      </c>
      <c r="N151" s="6" t="s">
        <v>745</v>
      </c>
      <c r="O151" s="28" t="s">
        <v>748</v>
      </c>
    </row>
    <row r="152" spans="1:16" ht="90" x14ac:dyDescent="0.3">
      <c r="A152" s="6" t="s">
        <v>199</v>
      </c>
      <c r="B152" s="6" t="s">
        <v>201</v>
      </c>
      <c r="C152" s="6" t="s">
        <v>200</v>
      </c>
      <c r="D152" s="6" t="s">
        <v>639</v>
      </c>
      <c r="E152" s="6" t="s">
        <v>123</v>
      </c>
      <c r="F152" s="6" t="s">
        <v>200</v>
      </c>
      <c r="G152" s="6" t="s">
        <v>199</v>
      </c>
      <c r="H152" s="6" t="s">
        <v>28</v>
      </c>
      <c r="I152" s="6" t="s">
        <v>41</v>
      </c>
      <c r="J152" s="6" t="s">
        <v>138</v>
      </c>
      <c r="K152" s="13">
        <v>2023</v>
      </c>
      <c r="L152" s="13">
        <v>2023</v>
      </c>
      <c r="M152" s="6" t="s">
        <v>640</v>
      </c>
      <c r="N152" s="6" t="s">
        <v>745</v>
      </c>
      <c r="O152" s="31" t="s">
        <v>1005</v>
      </c>
      <c r="P152" s="31" t="s">
        <v>1006</v>
      </c>
    </row>
    <row r="153" spans="1:16" ht="30" x14ac:dyDescent="0.3">
      <c r="A153" s="6" t="s">
        <v>332</v>
      </c>
      <c r="B153" s="6" t="s">
        <v>201</v>
      </c>
      <c r="C153" s="6" t="s">
        <v>1020</v>
      </c>
      <c r="D153" s="6" t="s">
        <v>639</v>
      </c>
      <c r="E153" s="6" t="s">
        <v>123</v>
      </c>
      <c r="F153" s="6" t="s">
        <v>333</v>
      </c>
      <c r="G153" s="6" t="s">
        <v>332</v>
      </c>
      <c r="H153" s="6" t="s">
        <v>28</v>
      </c>
      <c r="I153" s="6" t="s">
        <v>41</v>
      </c>
      <c r="J153" s="6" t="s">
        <v>138</v>
      </c>
      <c r="K153" s="13">
        <v>2023</v>
      </c>
      <c r="L153" s="13">
        <v>2023</v>
      </c>
      <c r="M153" s="6" t="s">
        <v>640</v>
      </c>
      <c r="N153" s="6" t="s">
        <v>745</v>
      </c>
      <c r="O153" s="31" t="s">
        <v>684</v>
      </c>
      <c r="P153" s="31" t="s">
        <v>685</v>
      </c>
    </row>
    <row r="154" spans="1:16" ht="30" x14ac:dyDescent="0.3">
      <c r="A154" s="6" t="s">
        <v>338</v>
      </c>
      <c r="B154" s="6" t="s">
        <v>201</v>
      </c>
      <c r="C154" s="6" t="s">
        <v>1021</v>
      </c>
      <c r="D154" s="6" t="s">
        <v>639</v>
      </c>
      <c r="E154" s="6" t="s">
        <v>123</v>
      </c>
      <c r="F154" s="6" t="s">
        <v>339</v>
      </c>
      <c r="G154" s="6" t="s">
        <v>338</v>
      </c>
      <c r="H154" s="6" t="s">
        <v>28</v>
      </c>
      <c r="I154" s="6" t="s">
        <v>41</v>
      </c>
      <c r="J154" s="6" t="s">
        <v>138</v>
      </c>
      <c r="K154" s="13">
        <v>2023</v>
      </c>
      <c r="L154" s="13">
        <v>2023</v>
      </c>
      <c r="M154" s="6" t="s">
        <v>640</v>
      </c>
      <c r="N154" s="6" t="s">
        <v>745</v>
      </c>
      <c r="O154" s="31" t="s">
        <v>691</v>
      </c>
      <c r="P154" s="31" t="s">
        <v>692</v>
      </c>
    </row>
    <row r="155" spans="1:16" ht="30" x14ac:dyDescent="0.3">
      <c r="A155" s="6" t="s">
        <v>346</v>
      </c>
      <c r="B155" s="6" t="s">
        <v>201</v>
      </c>
      <c r="C155" s="6" t="s">
        <v>1022</v>
      </c>
      <c r="D155" s="6" t="s">
        <v>639</v>
      </c>
      <c r="E155" s="6" t="s">
        <v>123</v>
      </c>
      <c r="F155" s="6" t="s">
        <v>347</v>
      </c>
      <c r="G155" s="6" t="s">
        <v>346</v>
      </c>
      <c r="H155" s="6" t="s">
        <v>28</v>
      </c>
      <c r="I155" s="6" t="s">
        <v>41</v>
      </c>
      <c r="J155" s="6" t="s">
        <v>138</v>
      </c>
      <c r="K155" s="13">
        <v>2023</v>
      </c>
      <c r="L155" s="13">
        <v>2023</v>
      </c>
      <c r="M155" s="6" t="s">
        <v>640</v>
      </c>
      <c r="N155" s="6" t="s">
        <v>745</v>
      </c>
      <c r="O155" s="31" t="s">
        <v>684</v>
      </c>
      <c r="P155" s="31" t="s">
        <v>685</v>
      </c>
    </row>
    <row r="156" spans="1:16" ht="30" x14ac:dyDescent="0.3">
      <c r="A156" s="6" t="s">
        <v>352</v>
      </c>
      <c r="B156" s="6" t="s">
        <v>201</v>
      </c>
      <c r="C156" s="6" t="s">
        <v>1023</v>
      </c>
      <c r="D156" s="6" t="s">
        <v>639</v>
      </c>
      <c r="E156" s="6" t="s">
        <v>123</v>
      </c>
      <c r="F156" s="6" t="s">
        <v>353</v>
      </c>
      <c r="G156" s="6" t="s">
        <v>352</v>
      </c>
      <c r="H156" s="6" t="s">
        <v>28</v>
      </c>
      <c r="I156" s="6" t="s">
        <v>41</v>
      </c>
      <c r="J156" s="6" t="s">
        <v>138</v>
      </c>
      <c r="K156" s="13">
        <v>2023</v>
      </c>
      <c r="L156" s="13">
        <v>2023</v>
      </c>
      <c r="M156" s="6" t="s">
        <v>640</v>
      </c>
      <c r="N156" s="6" t="s">
        <v>745</v>
      </c>
      <c r="O156" s="31" t="s">
        <v>696</v>
      </c>
      <c r="P156" s="31" t="s">
        <v>692</v>
      </c>
    </row>
    <row r="157" spans="1:16" ht="30" x14ac:dyDescent="0.3">
      <c r="A157" s="6" t="s">
        <v>220</v>
      </c>
      <c r="B157" s="6" t="s">
        <v>51</v>
      </c>
      <c r="C157" s="6" t="s">
        <v>981</v>
      </c>
      <c r="D157" s="6" t="s">
        <v>738</v>
      </c>
      <c r="F157" s="6" t="s">
        <v>129</v>
      </c>
      <c r="G157" s="6" t="s">
        <v>220</v>
      </c>
      <c r="J157" s="6" t="s">
        <v>130</v>
      </c>
      <c r="K157" s="13">
        <v>2025</v>
      </c>
      <c r="M157" s="6" t="s">
        <v>982</v>
      </c>
      <c r="N157" s="6" t="s">
        <v>745</v>
      </c>
      <c r="O157" s="28" t="s">
        <v>237</v>
      </c>
      <c r="P157" s="31" t="s">
        <v>983</v>
      </c>
    </row>
    <row r="158" spans="1:16" x14ac:dyDescent="0.3">
      <c r="A158" s="6" t="s">
        <v>220</v>
      </c>
      <c r="B158" s="6" t="s">
        <v>51</v>
      </c>
      <c r="C158" s="6" t="s">
        <v>986</v>
      </c>
      <c r="D158" s="6" t="s">
        <v>738</v>
      </c>
      <c r="F158" s="6" t="s">
        <v>49</v>
      </c>
      <c r="G158" s="6" t="s">
        <v>220</v>
      </c>
      <c r="J158" s="6" t="s">
        <v>44</v>
      </c>
      <c r="K158" s="13" t="s">
        <v>987</v>
      </c>
      <c r="M158" s="6" t="s">
        <v>618</v>
      </c>
      <c r="N158" s="6" t="s">
        <v>745</v>
      </c>
      <c r="O158" s="28" t="s">
        <v>988</v>
      </c>
    </row>
    <row r="159" spans="1:16" x14ac:dyDescent="0.3">
      <c r="A159" s="6" t="s">
        <v>220</v>
      </c>
      <c r="B159" s="6" t="s">
        <v>51</v>
      </c>
      <c r="C159" s="6" t="s">
        <v>989</v>
      </c>
      <c r="D159" s="6" t="s">
        <v>738</v>
      </c>
      <c r="F159" s="6" t="s">
        <v>75</v>
      </c>
      <c r="G159" s="6" t="s">
        <v>220</v>
      </c>
      <c r="J159" s="6" t="s">
        <v>44</v>
      </c>
      <c r="K159" s="13" t="s">
        <v>987</v>
      </c>
      <c r="M159" s="6" t="s">
        <v>618</v>
      </c>
      <c r="N159" s="6" t="s">
        <v>745</v>
      </c>
      <c r="O159" s="28" t="s">
        <v>988</v>
      </c>
    </row>
    <row r="160" spans="1:16" x14ac:dyDescent="0.3">
      <c r="A160" s="6" t="s">
        <v>220</v>
      </c>
      <c r="B160" s="6" t="s">
        <v>51</v>
      </c>
      <c r="C160" s="6" t="s">
        <v>990</v>
      </c>
      <c r="D160" s="6" t="s">
        <v>738</v>
      </c>
      <c r="F160" s="6" t="s">
        <v>68</v>
      </c>
      <c r="G160" s="6" t="s">
        <v>220</v>
      </c>
      <c r="J160" s="6" t="s">
        <v>44</v>
      </c>
      <c r="K160" s="13" t="s">
        <v>987</v>
      </c>
      <c r="M160" s="6" t="s">
        <v>618</v>
      </c>
      <c r="N160" s="6" t="s">
        <v>745</v>
      </c>
      <c r="O160" s="28" t="s">
        <v>988</v>
      </c>
    </row>
    <row r="161" spans="1:16" x14ac:dyDescent="0.3">
      <c r="A161" s="33" t="s">
        <v>191</v>
      </c>
      <c r="B161" s="33" t="s">
        <v>194</v>
      </c>
      <c r="C161" s="33" t="s">
        <v>192</v>
      </c>
      <c r="E161" s="6" t="s">
        <v>149</v>
      </c>
      <c r="F161" s="33" t="s">
        <v>192</v>
      </c>
      <c r="G161" s="33" t="s">
        <v>191</v>
      </c>
      <c r="I161" s="6" t="s">
        <v>193</v>
      </c>
      <c r="J161" s="33" t="s">
        <v>190</v>
      </c>
      <c r="K161" s="33">
        <v>2023</v>
      </c>
      <c r="O161" s="6"/>
    </row>
    <row r="162" spans="1:16" ht="15.9" customHeight="1" x14ac:dyDescent="0.3">
      <c r="A162" s="33" t="s">
        <v>195</v>
      </c>
      <c r="B162" s="33" t="s">
        <v>194</v>
      </c>
      <c r="C162" s="33" t="s">
        <v>196</v>
      </c>
      <c r="E162" s="6" t="s">
        <v>149</v>
      </c>
      <c r="F162" s="33" t="s">
        <v>196</v>
      </c>
      <c r="G162" s="33" t="s">
        <v>195</v>
      </c>
      <c r="I162" s="6" t="s">
        <v>193</v>
      </c>
      <c r="J162" s="33" t="s">
        <v>190</v>
      </c>
      <c r="K162" s="33">
        <v>2023</v>
      </c>
      <c r="O162" s="6"/>
    </row>
    <row r="163" spans="1:16" x14ac:dyDescent="0.3">
      <c r="A163" s="33" t="s">
        <v>197</v>
      </c>
      <c r="B163" s="33" t="s">
        <v>194</v>
      </c>
      <c r="C163" s="33" t="s">
        <v>198</v>
      </c>
      <c r="E163" s="6" t="s">
        <v>149</v>
      </c>
      <c r="F163" s="33" t="s">
        <v>198</v>
      </c>
      <c r="G163" s="33" t="s">
        <v>197</v>
      </c>
      <c r="I163" s="6" t="s">
        <v>193</v>
      </c>
      <c r="J163" s="33" t="s">
        <v>190</v>
      </c>
      <c r="K163" s="33">
        <v>2023</v>
      </c>
      <c r="O163" s="6"/>
    </row>
    <row r="164" spans="1:16" x14ac:dyDescent="0.3">
      <c r="A164" s="33" t="s">
        <v>463</v>
      </c>
      <c r="B164" s="33" t="s">
        <v>194</v>
      </c>
      <c r="C164" s="33" t="s">
        <v>464</v>
      </c>
      <c r="E164" s="6" t="s">
        <v>149</v>
      </c>
      <c r="F164" s="33" t="s">
        <v>464</v>
      </c>
      <c r="G164" s="33" t="s">
        <v>463</v>
      </c>
      <c r="I164" s="6" t="s">
        <v>193</v>
      </c>
      <c r="J164" s="33" t="s">
        <v>190</v>
      </c>
      <c r="K164" s="33">
        <v>2023</v>
      </c>
      <c r="O164" s="6"/>
    </row>
    <row r="165" spans="1:16" x14ac:dyDescent="0.3">
      <c r="A165" s="33" t="s">
        <v>465</v>
      </c>
      <c r="B165" s="33" t="s">
        <v>194</v>
      </c>
      <c r="C165" s="33" t="s">
        <v>466</v>
      </c>
      <c r="E165" s="6" t="s">
        <v>149</v>
      </c>
      <c r="F165" s="33" t="s">
        <v>466</v>
      </c>
      <c r="G165" s="33" t="s">
        <v>465</v>
      </c>
      <c r="I165" s="6" t="s">
        <v>193</v>
      </c>
      <c r="J165" s="33" t="s">
        <v>190</v>
      </c>
      <c r="K165" s="33">
        <v>2023</v>
      </c>
      <c r="O165" s="6"/>
    </row>
    <row r="166" spans="1:16" ht="15.9" customHeight="1" x14ac:dyDescent="0.3">
      <c r="A166" s="33" t="s">
        <v>467</v>
      </c>
      <c r="B166" s="33" t="s">
        <v>194</v>
      </c>
      <c r="C166" s="33" t="s">
        <v>468</v>
      </c>
      <c r="E166" s="6" t="s">
        <v>149</v>
      </c>
      <c r="F166" s="33" t="s">
        <v>468</v>
      </c>
      <c r="G166" s="33" t="s">
        <v>467</v>
      </c>
      <c r="I166" s="6" t="s">
        <v>193</v>
      </c>
      <c r="J166" s="33" t="s">
        <v>190</v>
      </c>
      <c r="K166" s="33">
        <v>2023</v>
      </c>
      <c r="O166" s="6"/>
    </row>
    <row r="167" spans="1:16" x14ac:dyDescent="0.3">
      <c r="A167" s="33" t="s">
        <v>469</v>
      </c>
      <c r="B167" s="33" t="s">
        <v>194</v>
      </c>
      <c r="C167" s="33" t="s">
        <v>470</v>
      </c>
      <c r="E167" s="6" t="s">
        <v>149</v>
      </c>
      <c r="F167" s="33" t="s">
        <v>470</v>
      </c>
      <c r="G167" s="33" t="s">
        <v>469</v>
      </c>
      <c r="I167" s="6" t="s">
        <v>193</v>
      </c>
      <c r="J167" s="33" t="s">
        <v>471</v>
      </c>
      <c r="K167" s="33">
        <v>2023</v>
      </c>
      <c r="O167" s="6"/>
    </row>
    <row r="168" spans="1:16" x14ac:dyDescent="0.3">
      <c r="A168" s="33" t="s">
        <v>472</v>
      </c>
      <c r="B168" s="33" t="s">
        <v>194</v>
      </c>
      <c r="C168" s="33" t="s">
        <v>473</v>
      </c>
      <c r="E168" s="6" t="s">
        <v>149</v>
      </c>
      <c r="F168" s="33" t="s">
        <v>473</v>
      </c>
      <c r="G168" s="33" t="s">
        <v>472</v>
      </c>
      <c r="I168" s="6" t="s">
        <v>193</v>
      </c>
      <c r="J168" s="33" t="s">
        <v>471</v>
      </c>
      <c r="K168" s="33">
        <v>2023</v>
      </c>
      <c r="O168" s="6"/>
    </row>
    <row r="169" spans="1:16" x14ac:dyDescent="0.3">
      <c r="A169" s="33" t="s">
        <v>474</v>
      </c>
      <c r="B169" s="33" t="s">
        <v>194</v>
      </c>
      <c r="C169" s="33" t="s">
        <v>475</v>
      </c>
      <c r="E169" s="6" t="s">
        <v>149</v>
      </c>
      <c r="F169" s="33" t="s">
        <v>475</v>
      </c>
      <c r="G169" s="33" t="s">
        <v>474</v>
      </c>
      <c r="I169" s="6" t="s">
        <v>193</v>
      </c>
      <c r="J169" s="33" t="s">
        <v>471</v>
      </c>
      <c r="K169" s="33">
        <v>2023</v>
      </c>
      <c r="O169" s="6"/>
    </row>
    <row r="170" spans="1:16" x14ac:dyDescent="0.3">
      <c r="A170" s="33" t="s">
        <v>486</v>
      </c>
      <c r="B170" s="33" t="s">
        <v>194</v>
      </c>
      <c r="C170" s="33" t="s">
        <v>487</v>
      </c>
      <c r="E170" s="6" t="s">
        <v>149</v>
      </c>
      <c r="F170" s="33" t="s">
        <v>487</v>
      </c>
      <c r="G170" s="33" t="s">
        <v>486</v>
      </c>
      <c r="I170" s="6" t="s">
        <v>193</v>
      </c>
      <c r="J170" s="33" t="s">
        <v>471</v>
      </c>
      <c r="K170" s="33">
        <v>2023</v>
      </c>
      <c r="O170" s="6"/>
    </row>
    <row r="171" spans="1:16" x14ac:dyDescent="0.3">
      <c r="A171" s="33" t="s">
        <v>488</v>
      </c>
      <c r="B171" s="33" t="s">
        <v>194</v>
      </c>
      <c r="C171" s="33" t="s">
        <v>489</v>
      </c>
      <c r="E171" s="6" t="s">
        <v>149</v>
      </c>
      <c r="F171" s="33" t="s">
        <v>489</v>
      </c>
      <c r="G171" s="33" t="s">
        <v>488</v>
      </c>
      <c r="I171" s="6" t="s">
        <v>193</v>
      </c>
      <c r="J171" s="33" t="s">
        <v>471</v>
      </c>
      <c r="K171" s="33">
        <v>2023</v>
      </c>
      <c r="O171" s="6"/>
    </row>
    <row r="172" spans="1:16" x14ac:dyDescent="0.3">
      <c r="A172" s="33" t="s">
        <v>490</v>
      </c>
      <c r="B172" s="33" t="s">
        <v>194</v>
      </c>
      <c r="C172" s="33" t="s">
        <v>491</v>
      </c>
      <c r="E172" s="6" t="s">
        <v>149</v>
      </c>
      <c r="F172" s="33" t="s">
        <v>491</v>
      </c>
      <c r="G172" s="33" t="s">
        <v>490</v>
      </c>
      <c r="I172" s="6" t="s">
        <v>193</v>
      </c>
      <c r="J172" s="33" t="s">
        <v>471</v>
      </c>
      <c r="K172" s="33">
        <v>2023</v>
      </c>
      <c r="O172" s="6"/>
    </row>
    <row r="173" spans="1:16" x14ac:dyDescent="0.3">
      <c r="A173" s="6" t="s">
        <v>220</v>
      </c>
      <c r="B173" s="6" t="s">
        <v>106</v>
      </c>
      <c r="C173" s="6" t="s">
        <v>939</v>
      </c>
      <c r="D173" s="6" t="s">
        <v>30</v>
      </c>
      <c r="F173" s="6" t="s">
        <v>105</v>
      </c>
      <c r="G173" s="6" t="s">
        <v>220</v>
      </c>
      <c r="J173" s="6" t="s">
        <v>127</v>
      </c>
      <c r="K173" s="13">
        <v>2023</v>
      </c>
      <c r="M173" s="6" t="s">
        <v>618</v>
      </c>
      <c r="N173" s="6" t="s">
        <v>745</v>
      </c>
      <c r="O173" s="28" t="s">
        <v>940</v>
      </c>
      <c r="P173" s="31" t="s">
        <v>941</v>
      </c>
    </row>
    <row r="174" spans="1:16" ht="45" x14ac:dyDescent="0.3">
      <c r="A174" s="6" t="s">
        <v>220</v>
      </c>
      <c r="B174" s="6" t="s">
        <v>106</v>
      </c>
      <c r="C174" s="6" t="s">
        <v>942</v>
      </c>
      <c r="D174" s="6" t="s">
        <v>30</v>
      </c>
      <c r="F174" s="6" t="s">
        <v>943</v>
      </c>
      <c r="G174" s="6" t="s">
        <v>220</v>
      </c>
      <c r="J174" s="6" t="s">
        <v>127</v>
      </c>
      <c r="K174" s="13">
        <v>2023</v>
      </c>
      <c r="M174" s="6" t="s">
        <v>618</v>
      </c>
      <c r="N174" s="6" t="s">
        <v>745</v>
      </c>
      <c r="O174" s="28" t="s">
        <v>940</v>
      </c>
      <c r="P174" s="31" t="s">
        <v>944</v>
      </c>
    </row>
    <row r="175" spans="1:16" ht="195" x14ac:dyDescent="0.3">
      <c r="A175" s="6" t="s">
        <v>220</v>
      </c>
      <c r="B175" s="6" t="s">
        <v>106</v>
      </c>
      <c r="C175" s="6" t="s">
        <v>945</v>
      </c>
      <c r="D175" s="6" t="s">
        <v>30</v>
      </c>
      <c r="F175" s="6" t="s">
        <v>946</v>
      </c>
      <c r="G175" s="6" t="s">
        <v>220</v>
      </c>
      <c r="J175" s="6" t="s">
        <v>947</v>
      </c>
      <c r="K175" s="13">
        <v>2023</v>
      </c>
      <c r="M175" s="6" t="s">
        <v>618</v>
      </c>
      <c r="N175" s="6" t="s">
        <v>745</v>
      </c>
      <c r="O175" s="28" t="s">
        <v>940</v>
      </c>
      <c r="P175" s="31" t="s">
        <v>948</v>
      </c>
    </row>
    <row r="176" spans="1:16" x14ac:dyDescent="0.3">
      <c r="A176" s="6" t="s">
        <v>220</v>
      </c>
      <c r="B176" s="6" t="s">
        <v>106</v>
      </c>
      <c r="C176" s="6" t="s">
        <v>949</v>
      </c>
      <c r="D176" s="6" t="s">
        <v>30</v>
      </c>
      <c r="F176" s="6" t="s">
        <v>950</v>
      </c>
      <c r="G176" s="6" t="s">
        <v>220</v>
      </c>
      <c r="J176" s="6" t="s">
        <v>951</v>
      </c>
      <c r="K176" s="13">
        <v>2023</v>
      </c>
      <c r="M176" s="6" t="s">
        <v>618</v>
      </c>
      <c r="N176" s="6" t="s">
        <v>745</v>
      </c>
      <c r="O176" s="28" t="s">
        <v>940</v>
      </c>
      <c r="P176" s="31" t="s">
        <v>952</v>
      </c>
    </row>
    <row r="177" spans="1:16" x14ac:dyDescent="0.3">
      <c r="A177" s="6" t="s">
        <v>220</v>
      </c>
      <c r="B177" s="6" t="s">
        <v>106</v>
      </c>
      <c r="C177" s="6" t="s">
        <v>953</v>
      </c>
      <c r="D177" s="6" t="s">
        <v>30</v>
      </c>
      <c r="F177" s="6" t="s">
        <v>954</v>
      </c>
      <c r="G177" s="6" t="s">
        <v>220</v>
      </c>
      <c r="J177" s="6" t="s">
        <v>955</v>
      </c>
      <c r="K177" s="13">
        <v>2024</v>
      </c>
      <c r="M177" s="6" t="s">
        <v>618</v>
      </c>
      <c r="N177" s="6" t="s">
        <v>745</v>
      </c>
      <c r="O177" s="28" t="s">
        <v>940</v>
      </c>
      <c r="P177" s="31" t="s">
        <v>956</v>
      </c>
    </row>
    <row r="178" spans="1:16" ht="75" x14ac:dyDescent="0.3">
      <c r="A178" s="6" t="s">
        <v>220</v>
      </c>
      <c r="B178" s="6" t="s">
        <v>147</v>
      </c>
      <c r="C178" s="6" t="s">
        <v>977</v>
      </c>
      <c r="D178" s="6" t="s">
        <v>639</v>
      </c>
      <c r="F178" s="6" t="s">
        <v>977</v>
      </c>
      <c r="G178" s="6" t="s">
        <v>220</v>
      </c>
      <c r="H178" s="6" t="s">
        <v>28</v>
      </c>
      <c r="J178" s="6" t="s">
        <v>148</v>
      </c>
      <c r="K178" s="13" t="s">
        <v>649</v>
      </c>
      <c r="M178" s="6" t="s">
        <v>618</v>
      </c>
      <c r="N178" s="6" t="s">
        <v>745</v>
      </c>
      <c r="O178" s="28" t="s">
        <v>650</v>
      </c>
      <c r="P178" s="31" t="s">
        <v>978</v>
      </c>
    </row>
    <row r="179" spans="1:16" ht="60" x14ac:dyDescent="0.3">
      <c r="A179" s="6" t="s">
        <v>220</v>
      </c>
      <c r="B179" s="6" t="s">
        <v>147</v>
      </c>
      <c r="C179" s="6" t="s">
        <v>979</v>
      </c>
      <c r="D179" s="6" t="s">
        <v>639</v>
      </c>
      <c r="F179" s="6" t="s">
        <v>979</v>
      </c>
      <c r="G179" s="6" t="s">
        <v>220</v>
      </c>
      <c r="H179" s="6" t="s">
        <v>28</v>
      </c>
      <c r="J179" s="6" t="s">
        <v>148</v>
      </c>
      <c r="K179" s="13" t="s">
        <v>649</v>
      </c>
      <c r="M179" s="6" t="s">
        <v>618</v>
      </c>
      <c r="N179" s="6" t="s">
        <v>745</v>
      </c>
      <c r="O179" s="28" t="s">
        <v>650</v>
      </c>
      <c r="P179" s="31" t="s">
        <v>980</v>
      </c>
    </row>
    <row r="180" spans="1:16" x14ac:dyDescent="0.3">
      <c r="A180" s="33" t="s">
        <v>150</v>
      </c>
      <c r="B180" s="33" t="s">
        <v>147</v>
      </c>
      <c r="C180" s="33" t="s">
        <v>151</v>
      </c>
      <c r="E180" s="6" t="s">
        <v>149</v>
      </c>
      <c r="F180" s="33" t="s">
        <v>151</v>
      </c>
      <c r="G180" s="33" t="s">
        <v>150</v>
      </c>
      <c r="H180" s="6" t="s">
        <v>28</v>
      </c>
      <c r="I180" s="6" t="s">
        <v>152</v>
      </c>
      <c r="J180" s="33" t="s">
        <v>148</v>
      </c>
      <c r="K180" s="33" t="s">
        <v>1003</v>
      </c>
      <c r="O180" s="6"/>
    </row>
    <row r="181" spans="1:16" x14ac:dyDescent="0.3">
      <c r="A181" s="33" t="s">
        <v>153</v>
      </c>
      <c r="B181" s="33" t="s">
        <v>147</v>
      </c>
      <c r="C181" s="33" t="s">
        <v>154</v>
      </c>
      <c r="E181" s="6" t="s">
        <v>149</v>
      </c>
      <c r="F181" s="33" t="s">
        <v>154</v>
      </c>
      <c r="G181" s="33" t="s">
        <v>153</v>
      </c>
      <c r="H181" s="6" t="s">
        <v>28</v>
      </c>
      <c r="I181" s="6" t="s">
        <v>146</v>
      </c>
      <c r="J181" s="33" t="s">
        <v>148</v>
      </c>
      <c r="K181" s="33" t="s">
        <v>1003</v>
      </c>
    </row>
    <row r="182" spans="1:16" x14ac:dyDescent="0.3">
      <c r="A182" s="33" t="s">
        <v>155</v>
      </c>
      <c r="B182" s="33" t="s">
        <v>147</v>
      </c>
      <c r="C182" s="33" t="s">
        <v>156</v>
      </c>
      <c r="E182" s="6" t="s">
        <v>149</v>
      </c>
      <c r="F182" s="33" t="s">
        <v>156</v>
      </c>
      <c r="G182" s="33" t="s">
        <v>155</v>
      </c>
      <c r="H182" s="6" t="s">
        <v>28</v>
      </c>
      <c r="I182" s="6" t="s">
        <v>146</v>
      </c>
      <c r="J182" s="33" t="s">
        <v>148</v>
      </c>
      <c r="K182" s="33" t="s">
        <v>1003</v>
      </c>
    </row>
    <row r="183" spans="1:16" x14ac:dyDescent="0.3">
      <c r="A183" s="33" t="s">
        <v>157</v>
      </c>
      <c r="B183" s="33" t="s">
        <v>147</v>
      </c>
      <c r="C183" s="33" t="s">
        <v>158</v>
      </c>
      <c r="E183" s="6" t="s">
        <v>149</v>
      </c>
      <c r="F183" s="33" t="s">
        <v>158</v>
      </c>
      <c r="G183" s="33" t="s">
        <v>157</v>
      </c>
      <c r="H183" s="6" t="s">
        <v>28</v>
      </c>
      <c r="I183" s="6" t="s">
        <v>152</v>
      </c>
      <c r="J183" s="33" t="s">
        <v>148</v>
      </c>
      <c r="K183" s="33" t="s">
        <v>1003</v>
      </c>
      <c r="O183" s="6"/>
    </row>
    <row r="184" spans="1:16" x14ac:dyDescent="0.3">
      <c r="A184" s="33" t="s">
        <v>159</v>
      </c>
      <c r="B184" s="33" t="s">
        <v>147</v>
      </c>
      <c r="C184" s="33" t="s">
        <v>160</v>
      </c>
      <c r="E184" s="6" t="s">
        <v>161</v>
      </c>
      <c r="F184" s="33" t="s">
        <v>160</v>
      </c>
      <c r="G184" s="33" t="s">
        <v>159</v>
      </c>
      <c r="H184" s="6" t="s">
        <v>28</v>
      </c>
      <c r="I184" s="6" t="s">
        <v>146</v>
      </c>
      <c r="J184" s="33" t="s">
        <v>148</v>
      </c>
      <c r="K184" s="33" t="s">
        <v>1003</v>
      </c>
    </row>
    <row r="185" spans="1:16" x14ac:dyDescent="0.3">
      <c r="A185" s="33" t="s">
        <v>162</v>
      </c>
      <c r="B185" s="33" t="s">
        <v>147</v>
      </c>
      <c r="C185" s="33" t="s">
        <v>163</v>
      </c>
      <c r="E185" s="6" t="s">
        <v>149</v>
      </c>
      <c r="F185" s="33" t="s">
        <v>163</v>
      </c>
      <c r="G185" s="33" t="s">
        <v>162</v>
      </c>
      <c r="H185" s="6" t="s">
        <v>28</v>
      </c>
      <c r="I185" s="6" t="s">
        <v>146</v>
      </c>
      <c r="J185" s="33" t="s">
        <v>148</v>
      </c>
      <c r="K185" s="33" t="s">
        <v>1003</v>
      </c>
    </row>
    <row r="186" spans="1:16" x14ac:dyDescent="0.3">
      <c r="A186" s="33" t="s">
        <v>164</v>
      </c>
      <c r="B186" s="33" t="s">
        <v>147</v>
      </c>
      <c r="C186" s="33" t="s">
        <v>165</v>
      </c>
      <c r="E186" s="6" t="s">
        <v>149</v>
      </c>
      <c r="F186" s="33" t="s">
        <v>165</v>
      </c>
      <c r="G186" s="33" t="s">
        <v>164</v>
      </c>
      <c r="H186" s="6" t="s">
        <v>28</v>
      </c>
      <c r="I186" s="6" t="s">
        <v>152</v>
      </c>
      <c r="J186" s="33" t="s">
        <v>148</v>
      </c>
      <c r="K186" s="33" t="s">
        <v>1003</v>
      </c>
      <c r="O186" s="6"/>
    </row>
    <row r="187" spans="1:16" x14ac:dyDescent="0.3">
      <c r="A187" s="33" t="s">
        <v>144</v>
      </c>
      <c r="B187" s="33" t="s">
        <v>147</v>
      </c>
      <c r="C187" s="33" t="s">
        <v>145</v>
      </c>
      <c r="E187" s="6" t="s">
        <v>149</v>
      </c>
      <c r="F187" s="33" t="s">
        <v>145</v>
      </c>
      <c r="G187" s="33" t="s">
        <v>144</v>
      </c>
      <c r="H187" s="6" t="s">
        <v>28</v>
      </c>
      <c r="I187" s="6" t="s">
        <v>146</v>
      </c>
      <c r="J187" s="33" t="s">
        <v>148</v>
      </c>
      <c r="K187" s="33" t="s">
        <v>1003</v>
      </c>
    </row>
    <row r="188" spans="1:16" x14ac:dyDescent="0.3">
      <c r="A188" s="33" t="s">
        <v>166</v>
      </c>
      <c r="B188" s="33" t="s">
        <v>147</v>
      </c>
      <c r="C188" s="33" t="s">
        <v>167</v>
      </c>
      <c r="E188" s="6" t="s">
        <v>149</v>
      </c>
      <c r="F188" s="33" t="s">
        <v>167</v>
      </c>
      <c r="G188" s="33" t="s">
        <v>166</v>
      </c>
      <c r="H188" s="6" t="s">
        <v>28</v>
      </c>
      <c r="I188" s="6" t="s">
        <v>146</v>
      </c>
      <c r="J188" s="33" t="s">
        <v>148</v>
      </c>
      <c r="K188" s="33" t="s">
        <v>1003</v>
      </c>
    </row>
    <row r="189" spans="1:16" x14ac:dyDescent="0.3">
      <c r="A189" s="33" t="s">
        <v>312</v>
      </c>
      <c r="B189" s="33" t="s">
        <v>147</v>
      </c>
      <c r="C189" s="33" t="s">
        <v>313</v>
      </c>
      <c r="E189" s="6" t="s">
        <v>149</v>
      </c>
      <c r="F189" s="33" t="s">
        <v>313</v>
      </c>
      <c r="G189" s="33" t="s">
        <v>312</v>
      </c>
      <c r="H189" s="6" t="s">
        <v>28</v>
      </c>
      <c r="I189" s="6" t="s">
        <v>152</v>
      </c>
      <c r="J189" s="33" t="s">
        <v>148</v>
      </c>
      <c r="K189" s="33" t="s">
        <v>1003</v>
      </c>
      <c r="O189" s="6"/>
    </row>
    <row r="190" spans="1:16" x14ac:dyDescent="0.3">
      <c r="A190" s="33" t="s">
        <v>314</v>
      </c>
      <c r="B190" s="33" t="s">
        <v>147</v>
      </c>
      <c r="C190" s="33" t="s">
        <v>315</v>
      </c>
      <c r="E190" s="6" t="s">
        <v>149</v>
      </c>
      <c r="F190" s="33" t="s">
        <v>315</v>
      </c>
      <c r="G190" s="33" t="s">
        <v>314</v>
      </c>
      <c r="H190" s="6" t="s">
        <v>28</v>
      </c>
      <c r="I190" s="6" t="s">
        <v>146</v>
      </c>
      <c r="J190" s="33" t="s">
        <v>148</v>
      </c>
      <c r="K190" s="33" t="s">
        <v>1003</v>
      </c>
    </row>
    <row r="191" spans="1:16" x14ac:dyDescent="0.3">
      <c r="A191" s="33" t="s">
        <v>316</v>
      </c>
      <c r="B191" s="33" t="s">
        <v>147</v>
      </c>
      <c r="C191" s="33" t="s">
        <v>317</v>
      </c>
      <c r="E191" s="6" t="s">
        <v>149</v>
      </c>
      <c r="F191" s="33" t="s">
        <v>317</v>
      </c>
      <c r="G191" s="33" t="s">
        <v>316</v>
      </c>
      <c r="H191" s="6" t="s">
        <v>28</v>
      </c>
      <c r="I191" s="6" t="s">
        <v>146</v>
      </c>
      <c r="J191" s="33" t="s">
        <v>148</v>
      </c>
      <c r="K191" s="33" t="s">
        <v>1003</v>
      </c>
    </row>
    <row r="192" spans="1:16" x14ac:dyDescent="0.3">
      <c r="A192" s="33" t="s">
        <v>318</v>
      </c>
      <c r="B192" s="33" t="s">
        <v>147</v>
      </c>
      <c r="C192" s="33" t="s">
        <v>319</v>
      </c>
      <c r="E192" s="6" t="s">
        <v>149</v>
      </c>
      <c r="F192" s="33" t="s">
        <v>319</v>
      </c>
      <c r="G192" s="33" t="s">
        <v>318</v>
      </c>
      <c r="H192" s="6" t="s">
        <v>28</v>
      </c>
      <c r="I192" s="6" t="s">
        <v>152</v>
      </c>
      <c r="J192" s="33" t="s">
        <v>148</v>
      </c>
      <c r="K192" s="33" t="s">
        <v>1003</v>
      </c>
      <c r="O192" s="6"/>
    </row>
    <row r="193" spans="1:15" x14ac:dyDescent="0.3">
      <c r="A193" s="33" t="s">
        <v>320</v>
      </c>
      <c r="B193" s="33" t="s">
        <v>147</v>
      </c>
      <c r="C193" s="33" t="s">
        <v>321</v>
      </c>
      <c r="E193" s="6" t="s">
        <v>149</v>
      </c>
      <c r="F193" s="33" t="s">
        <v>321</v>
      </c>
      <c r="G193" s="33" t="s">
        <v>320</v>
      </c>
      <c r="H193" s="6" t="s">
        <v>28</v>
      </c>
      <c r="I193" s="6" t="s">
        <v>146</v>
      </c>
      <c r="J193" s="33" t="s">
        <v>148</v>
      </c>
      <c r="K193" s="33" t="s">
        <v>1003</v>
      </c>
    </row>
    <row r="194" spans="1:15" x14ac:dyDescent="0.3">
      <c r="A194" s="33" t="s">
        <v>322</v>
      </c>
      <c r="B194" s="33" t="s">
        <v>147</v>
      </c>
      <c r="C194" s="33" t="s">
        <v>323</v>
      </c>
      <c r="E194" s="6" t="s">
        <v>149</v>
      </c>
      <c r="F194" s="33" t="s">
        <v>323</v>
      </c>
      <c r="G194" s="33" t="s">
        <v>322</v>
      </c>
      <c r="H194" s="6" t="s">
        <v>28</v>
      </c>
      <c r="I194" s="6" t="s">
        <v>146</v>
      </c>
      <c r="J194" s="33" t="s">
        <v>148</v>
      </c>
      <c r="K194" s="33" t="s">
        <v>1003</v>
      </c>
    </row>
    <row r="195" spans="1:15" x14ac:dyDescent="0.3">
      <c r="A195" s="33" t="s">
        <v>324</v>
      </c>
      <c r="B195" s="33" t="s">
        <v>147</v>
      </c>
      <c r="C195" s="33" t="s">
        <v>325</v>
      </c>
      <c r="E195" s="6" t="s">
        <v>149</v>
      </c>
      <c r="F195" s="33" t="s">
        <v>325</v>
      </c>
      <c r="G195" s="33" t="s">
        <v>324</v>
      </c>
      <c r="H195" s="6" t="s">
        <v>28</v>
      </c>
      <c r="I195" s="6" t="s">
        <v>152</v>
      </c>
      <c r="J195" s="33" t="s">
        <v>148</v>
      </c>
      <c r="K195" s="33" t="s">
        <v>1003</v>
      </c>
      <c r="O195" s="6"/>
    </row>
    <row r="196" spans="1:15" x14ac:dyDescent="0.3">
      <c r="A196" s="33" t="s">
        <v>326</v>
      </c>
      <c r="B196" s="33" t="s">
        <v>147</v>
      </c>
      <c r="C196" s="33" t="s">
        <v>327</v>
      </c>
      <c r="E196" s="6" t="s">
        <v>149</v>
      </c>
      <c r="F196" s="33" t="s">
        <v>327</v>
      </c>
      <c r="G196" s="33" t="s">
        <v>326</v>
      </c>
      <c r="H196" s="6" t="s">
        <v>28</v>
      </c>
      <c r="I196" s="6" t="s">
        <v>146</v>
      </c>
      <c r="J196" s="33" t="s">
        <v>148</v>
      </c>
      <c r="K196" s="33" t="s">
        <v>1003</v>
      </c>
    </row>
    <row r="197" spans="1:15" x14ac:dyDescent="0.3">
      <c r="A197" s="33" t="s">
        <v>328</v>
      </c>
      <c r="B197" s="33" t="s">
        <v>147</v>
      </c>
      <c r="C197" s="33" t="s">
        <v>329</v>
      </c>
      <c r="E197" s="6" t="s">
        <v>149</v>
      </c>
      <c r="F197" s="33" t="s">
        <v>329</v>
      </c>
      <c r="G197" s="33" t="s">
        <v>328</v>
      </c>
      <c r="H197" s="6" t="s">
        <v>28</v>
      </c>
      <c r="I197" s="6" t="s">
        <v>146</v>
      </c>
      <c r="J197" s="33" t="s">
        <v>148</v>
      </c>
      <c r="K197" s="33" t="s">
        <v>1003</v>
      </c>
      <c r="O197" s="6"/>
    </row>
    <row r="198" spans="1:15" ht="15.9" customHeight="1" x14ac:dyDescent="0.35">
      <c r="A198" s="2" t="s">
        <v>420</v>
      </c>
      <c r="B198" s="6" t="s">
        <v>147</v>
      </c>
      <c r="C198" s="6" t="s">
        <v>1024</v>
      </c>
      <c r="D198" s="6" t="s">
        <v>58</v>
      </c>
      <c r="E198" s="6" t="s">
        <v>58</v>
      </c>
      <c r="F198" s="6" t="s">
        <v>421</v>
      </c>
      <c r="G198" s="2" t="s">
        <v>420</v>
      </c>
      <c r="H198" s="6" t="s">
        <v>56</v>
      </c>
      <c r="I198" s="6" t="s">
        <v>41</v>
      </c>
      <c r="J198" s="6" t="s">
        <v>127</v>
      </c>
      <c r="K198" s="13">
        <v>2023</v>
      </c>
      <c r="L198" s="13">
        <v>2023</v>
      </c>
      <c r="M198" s="6" t="s">
        <v>618</v>
      </c>
      <c r="N198" s="6" t="s">
        <v>745</v>
      </c>
      <c r="O198" s="28" t="s">
        <v>993</v>
      </c>
    </row>
    <row r="199" spans="1:15" x14ac:dyDescent="0.3">
      <c r="A199" s="6" t="s">
        <v>422</v>
      </c>
      <c r="B199" s="6" t="s">
        <v>147</v>
      </c>
      <c r="C199" s="6" t="s">
        <v>1024</v>
      </c>
      <c r="D199" s="6" t="s">
        <v>58</v>
      </c>
      <c r="E199" s="6" t="s">
        <v>58</v>
      </c>
      <c r="F199" s="6" t="s">
        <v>423</v>
      </c>
      <c r="G199" s="6" t="s">
        <v>422</v>
      </c>
      <c r="H199" s="6" t="s">
        <v>56</v>
      </c>
      <c r="I199" s="6" t="s">
        <v>41</v>
      </c>
      <c r="J199" s="6" t="s">
        <v>127</v>
      </c>
      <c r="K199" s="13">
        <v>2023</v>
      </c>
      <c r="L199" s="13">
        <v>2023</v>
      </c>
      <c r="M199" s="6" t="s">
        <v>618</v>
      </c>
      <c r="N199" s="6" t="s">
        <v>745</v>
      </c>
      <c r="O199" s="28" t="s">
        <v>993</v>
      </c>
    </row>
    <row r="200" spans="1:15" x14ac:dyDescent="0.3">
      <c r="A200" s="6" t="s">
        <v>220</v>
      </c>
      <c r="G200" s="6" t="s">
        <v>220</v>
      </c>
      <c r="K200" s="6"/>
      <c r="O200" s="31"/>
    </row>
    <row r="201" spans="1:15" x14ac:dyDescent="0.3">
      <c r="A201" s="6" t="s">
        <v>220</v>
      </c>
      <c r="B201" s="10"/>
      <c r="D201" s="6" t="s">
        <v>738</v>
      </c>
      <c r="G201" s="6" t="s">
        <v>220</v>
      </c>
      <c r="O201" s="28"/>
    </row>
    <row r="202" spans="1:15" x14ac:dyDescent="0.35">
      <c r="A202" s="38" t="s">
        <v>445</v>
      </c>
      <c r="B202" s="10"/>
      <c r="C202" s="39" t="s">
        <v>446</v>
      </c>
      <c r="E202" s="6" t="s">
        <v>123</v>
      </c>
      <c r="F202" s="6" t="str">
        <f t="shared" ref="F202:F221" si="2">C202</f>
        <v>Tasa de desocupados en los hombres</v>
      </c>
      <c r="G202" s="6" t="str">
        <f t="shared" ref="G202:G221" si="3">A202</f>
        <v>td_hombres</v>
      </c>
      <c r="I202" s="6" t="s">
        <v>41</v>
      </c>
      <c r="O202" s="28"/>
    </row>
    <row r="203" spans="1:15" x14ac:dyDescent="0.35">
      <c r="A203" s="38" t="s">
        <v>447</v>
      </c>
      <c r="C203" s="39" t="s">
        <v>448</v>
      </c>
      <c r="E203" s="6" t="s">
        <v>123</v>
      </c>
      <c r="F203" s="6" t="str">
        <f t="shared" si="2"/>
        <v>Tasa de desocupados en las mujeres</v>
      </c>
      <c r="G203" s="6" t="str">
        <f t="shared" si="3"/>
        <v>td_mujeres</v>
      </c>
      <c r="I203" s="6" t="s">
        <v>41</v>
      </c>
    </row>
    <row r="204" spans="1:15" x14ac:dyDescent="0.35">
      <c r="A204" s="38" t="s">
        <v>204</v>
      </c>
      <c r="C204" s="39" t="s">
        <v>205</v>
      </c>
      <c r="E204" s="6" t="s">
        <v>123</v>
      </c>
      <c r="F204" s="6" t="str">
        <f t="shared" si="2"/>
        <v>Inseguridad alimentaria para hogares con personas de 5 años o menos</v>
      </c>
      <c r="G204" s="6" t="str">
        <f t="shared" si="3"/>
        <v>ins_alim_5</v>
      </c>
      <c r="I204" s="6" t="s">
        <v>41</v>
      </c>
    </row>
    <row r="205" spans="1:15" x14ac:dyDescent="0.35">
      <c r="A205" s="38" t="s">
        <v>202</v>
      </c>
      <c r="C205" s="39" t="s">
        <v>203</v>
      </c>
      <c r="E205" s="6" t="s">
        <v>123</v>
      </c>
      <c r="F205" s="6" t="str">
        <f t="shared" si="2"/>
        <v>Inseguridad alimentaria para hogares con personas menores de 18 años</v>
      </c>
      <c r="G205" s="6" t="str">
        <f t="shared" si="3"/>
        <v>ins_alim_18</v>
      </c>
      <c r="I205" s="6" t="s">
        <v>41</v>
      </c>
    </row>
    <row r="206" spans="1:15" x14ac:dyDescent="0.35">
      <c r="A206" s="38" t="s">
        <v>206</v>
      </c>
      <c r="C206" s="39" t="s">
        <v>207</v>
      </c>
      <c r="E206" s="6" t="s">
        <v>123</v>
      </c>
      <c r="F206" s="6" t="str">
        <f t="shared" si="2"/>
        <v>Inseguridad alimentaria_moderada</v>
      </c>
      <c r="G206" s="6" t="str">
        <f t="shared" si="3"/>
        <v>ins_alim_mod</v>
      </c>
      <c r="I206" s="6" t="s">
        <v>41</v>
      </c>
    </row>
    <row r="207" spans="1:15" x14ac:dyDescent="0.35">
      <c r="A207" s="38" t="s">
        <v>210</v>
      </c>
      <c r="C207" s="39" t="s">
        <v>211</v>
      </c>
      <c r="E207" s="6" t="s">
        <v>123</v>
      </c>
      <c r="F207" s="6" t="str">
        <f t="shared" si="2"/>
        <v>Inseguridad alimentaria_moderada para hogares con personas de 5 años o menos</v>
      </c>
      <c r="G207" s="6" t="str">
        <f t="shared" si="3"/>
        <v>ins_alim_mod_5</v>
      </c>
      <c r="I207" s="6" t="s">
        <v>41</v>
      </c>
    </row>
    <row r="208" spans="1:15" x14ac:dyDescent="0.35">
      <c r="A208" s="38" t="s">
        <v>208</v>
      </c>
      <c r="C208" s="39" t="s">
        <v>209</v>
      </c>
      <c r="E208" s="6" t="s">
        <v>123</v>
      </c>
      <c r="F208" s="6" t="str">
        <f t="shared" si="2"/>
        <v>Inseguridad alimentaria_moderada para hogares con personas menores de 18 años</v>
      </c>
      <c r="G208" s="6" t="str">
        <f t="shared" si="3"/>
        <v>ins_alim_mod_18</v>
      </c>
      <c r="I208" s="6" t="s">
        <v>41</v>
      </c>
    </row>
    <row r="209" spans="1:9" x14ac:dyDescent="0.35">
      <c r="A209" s="38" t="s">
        <v>212</v>
      </c>
      <c r="C209" s="39" t="s">
        <v>213</v>
      </c>
      <c r="E209" s="6" t="s">
        <v>123</v>
      </c>
      <c r="F209" s="6" t="str">
        <f t="shared" si="2"/>
        <v>Inseguridad alimentaria_severa</v>
      </c>
      <c r="G209" s="6" t="str">
        <f t="shared" si="3"/>
        <v>ins_alim_sev</v>
      </c>
      <c r="I209" s="6" t="s">
        <v>41</v>
      </c>
    </row>
    <row r="210" spans="1:9" x14ac:dyDescent="0.35">
      <c r="A210" s="38" t="s">
        <v>216</v>
      </c>
      <c r="C210" s="39" t="s">
        <v>217</v>
      </c>
      <c r="E210" s="6" t="s">
        <v>123</v>
      </c>
      <c r="F210" s="6" t="str">
        <f t="shared" si="2"/>
        <v>Inseguridad alimentaria_severa para hogares con personas de 5 años o menos</v>
      </c>
      <c r="G210" s="6" t="str">
        <f t="shared" si="3"/>
        <v>ins_alim_sev_5</v>
      </c>
      <c r="I210" s="6" t="s">
        <v>41</v>
      </c>
    </row>
    <row r="211" spans="1:9" x14ac:dyDescent="0.35">
      <c r="A211" s="38" t="s">
        <v>214</v>
      </c>
      <c r="C211" s="39" t="s">
        <v>215</v>
      </c>
      <c r="E211" s="6" t="s">
        <v>123</v>
      </c>
      <c r="F211" s="6" t="str">
        <f t="shared" si="2"/>
        <v>Inseguridad alimentaria_severa para hogares con personas menores de 18 años</v>
      </c>
      <c r="G211" s="6" t="str">
        <f t="shared" si="3"/>
        <v>ins_alim_sev_18</v>
      </c>
      <c r="I211" s="6" t="s">
        <v>41</v>
      </c>
    </row>
    <row r="212" spans="1:9" x14ac:dyDescent="0.35">
      <c r="A212" s="38" t="s">
        <v>342</v>
      </c>
      <c r="C212" s="39" t="s">
        <v>343</v>
      </c>
      <c r="E212" s="6" t="s">
        <v>123</v>
      </c>
      <c r="F212" s="6" t="str">
        <f t="shared" si="2"/>
        <v>Porcentaje de hombres pobres - IPM</v>
      </c>
      <c r="G212" s="6" t="str">
        <f t="shared" si="3"/>
        <v>pob_ipm_hombres</v>
      </c>
      <c r="I212" s="6" t="s">
        <v>41</v>
      </c>
    </row>
    <row r="213" spans="1:9" x14ac:dyDescent="0.35">
      <c r="A213" s="38" t="s">
        <v>344</v>
      </c>
      <c r="C213" s="39" t="s">
        <v>345</v>
      </c>
      <c r="E213" s="6" t="s">
        <v>123</v>
      </c>
      <c r="F213" s="6" t="str">
        <f t="shared" si="2"/>
        <v>Porcentaje de mujeres pobres - IPM</v>
      </c>
      <c r="G213" s="6" t="str">
        <f t="shared" si="3"/>
        <v>pob_ipm_mujeres</v>
      </c>
      <c r="I213" s="6" t="s">
        <v>41</v>
      </c>
    </row>
    <row r="214" spans="1:9" x14ac:dyDescent="0.35">
      <c r="A214" s="38" t="s">
        <v>340</v>
      </c>
      <c r="C214" s="39" t="s">
        <v>341</v>
      </c>
      <c r="E214" s="6" t="s">
        <v>123</v>
      </c>
      <c r="F214" s="6" t="str">
        <f t="shared" si="2"/>
        <v>Porcentaje de hogares pobres - IPM</v>
      </c>
      <c r="G214" s="6" t="str">
        <f t="shared" si="3"/>
        <v>pob_ipm_hogares</v>
      </c>
      <c r="I214" s="6" t="s">
        <v>41</v>
      </c>
    </row>
    <row r="215" spans="1:9" x14ac:dyDescent="0.35">
      <c r="A215" s="38" t="s">
        <v>356</v>
      </c>
      <c r="C215" s="39" t="s">
        <v>357</v>
      </c>
      <c r="E215" s="6" t="s">
        <v>123</v>
      </c>
      <c r="F215" s="6" t="str">
        <f t="shared" si="2"/>
        <v>Porcentaje de hombres en condición de pobreza por NBI</v>
      </c>
      <c r="G215" s="6" t="str">
        <f t="shared" si="3"/>
        <v>pob_nbi_hombres</v>
      </c>
      <c r="I215" s="6" t="s">
        <v>41</v>
      </c>
    </row>
    <row r="216" spans="1:9" x14ac:dyDescent="0.35">
      <c r="A216" s="38" t="s">
        <v>358</v>
      </c>
      <c r="C216" s="39" t="s">
        <v>359</v>
      </c>
      <c r="E216" s="6" t="s">
        <v>123</v>
      </c>
      <c r="F216" s="6" t="str">
        <f t="shared" si="2"/>
        <v>Porcentaje de mujeres en condición de pobreza por NBI</v>
      </c>
      <c r="G216" s="6" t="str">
        <f t="shared" si="3"/>
        <v>pob_nbi_mujeres</v>
      </c>
      <c r="I216" s="6" t="s">
        <v>41</v>
      </c>
    </row>
    <row r="217" spans="1:9" x14ac:dyDescent="0.35">
      <c r="A217" s="38" t="s">
        <v>354</v>
      </c>
      <c r="C217" s="39" t="s">
        <v>355</v>
      </c>
      <c r="E217" s="6" t="s">
        <v>123</v>
      </c>
      <c r="F217" s="6" t="str">
        <f t="shared" si="2"/>
        <v>Porcentaje de hogares en condición de pobreza por NBI</v>
      </c>
      <c r="G217" s="6" t="str">
        <f t="shared" si="3"/>
        <v>pob_nbi_hogares</v>
      </c>
      <c r="I217" s="6" t="s">
        <v>41</v>
      </c>
    </row>
    <row r="218" spans="1:9" x14ac:dyDescent="0.35">
      <c r="A218" s="38" t="s">
        <v>334</v>
      </c>
      <c r="C218" s="39" t="s">
        <v>335</v>
      </c>
      <c r="E218" s="6" t="s">
        <v>123</v>
      </c>
      <c r="F218" s="6" t="str">
        <f t="shared" si="2"/>
        <v>Porcentaje de hombres con ingreso per cápita por debajo de la LI</v>
      </c>
      <c r="G218" s="6" t="str">
        <f t="shared" si="3"/>
        <v>pob_ext_hombres</v>
      </c>
      <c r="I218" s="6" t="s">
        <v>41</v>
      </c>
    </row>
    <row r="219" spans="1:9" x14ac:dyDescent="0.35">
      <c r="A219" s="38" t="s">
        <v>348</v>
      </c>
      <c r="C219" s="39" t="s">
        <v>349</v>
      </c>
      <c r="E219" s="6" t="s">
        <v>123</v>
      </c>
      <c r="F219" s="6" t="str">
        <f t="shared" si="2"/>
        <v>Porcentaje de hombres con ingreso per cápita por debajo de la LP</v>
      </c>
      <c r="G219" s="6" t="str">
        <f t="shared" si="3"/>
        <v>pob_mon_hombres</v>
      </c>
      <c r="I219" s="6" t="s">
        <v>41</v>
      </c>
    </row>
    <row r="220" spans="1:9" x14ac:dyDescent="0.35">
      <c r="A220" s="38" t="s">
        <v>336</v>
      </c>
      <c r="C220" s="39" t="s">
        <v>337</v>
      </c>
      <c r="E220" s="6" t="s">
        <v>123</v>
      </c>
      <c r="F220" s="6" t="str">
        <f t="shared" si="2"/>
        <v>Porcentaje de mujeres con ingreso per cápita por debajo de la LI</v>
      </c>
      <c r="G220" s="6" t="str">
        <f t="shared" si="3"/>
        <v>pob_ext_mujeres</v>
      </c>
      <c r="I220" s="6" t="s">
        <v>41</v>
      </c>
    </row>
    <row r="221" spans="1:9" x14ac:dyDescent="0.35">
      <c r="A221" s="38" t="s">
        <v>350</v>
      </c>
      <c r="C221" s="39" t="s">
        <v>351</v>
      </c>
      <c r="E221" s="6" t="s">
        <v>123</v>
      </c>
      <c r="F221" s="6" t="str">
        <f t="shared" si="2"/>
        <v>Porcentaje de mujeres con ingreso per cápita por debajo de la LP</v>
      </c>
      <c r="G221" s="6" t="str">
        <f t="shared" si="3"/>
        <v>pob_mon_mujeres</v>
      </c>
      <c r="I221" s="6" t="s">
        <v>41</v>
      </c>
    </row>
  </sheetData>
  <autoFilter ref="A1:P221" xr:uid="{5F280BC0-9B68-4877-B035-8C33F0D9A661}">
    <sortState xmlns:xlrd2="http://schemas.microsoft.com/office/spreadsheetml/2017/richdata2" ref="A2:P221">
      <sortCondition ref="B1:B221"/>
    </sortState>
  </autoFilter>
  <phoneticPr fontId="6" type="noConversion"/>
  <conditionalFormatting sqref="H1:I2 H3 H4:I90 H91:H97 H98:I1048576">
    <cfRule type="cellIs" dxfId="1" priority="1" operator="equal">
      <formula>"Negativo"</formula>
    </cfRule>
    <cfRule type="cellIs" dxfId="0" priority="2" operator="equal">
      <formula>"Positivo"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E7B-57BE-4CAC-84C9-EE187169325D}">
  <dimension ref="A1:C77"/>
  <sheetViews>
    <sheetView topLeftCell="B1" workbookViewId="0">
      <selection activeCell="B2" sqref="B2"/>
    </sheetView>
  </sheetViews>
  <sheetFormatPr baseColWidth="10" defaultColWidth="8.6640625" defaultRowHeight="15" x14ac:dyDescent="0.35"/>
  <cols>
    <col min="1" max="2" width="55.6640625" style="6" bestFit="1" customWidth="1"/>
    <col min="3" max="3" width="30.88671875" style="2" bestFit="1" customWidth="1"/>
    <col min="4" max="16384" width="8.6640625" style="2"/>
  </cols>
  <sheetData>
    <row r="1" spans="1:3" x14ac:dyDescent="0.35">
      <c r="A1" s="5" t="s">
        <v>1050</v>
      </c>
      <c r="B1" s="5" t="s">
        <v>1051</v>
      </c>
      <c r="C1" s="26" t="s">
        <v>901</v>
      </c>
    </row>
    <row r="2" spans="1:3" x14ac:dyDescent="0.35">
      <c r="A2" s="6" t="s">
        <v>1035</v>
      </c>
      <c r="B2" s="6" t="s">
        <v>446</v>
      </c>
      <c r="C2" s="2" t="s">
        <v>445</v>
      </c>
    </row>
    <row r="3" spans="1:3" x14ac:dyDescent="0.35">
      <c r="A3" s="6" t="s">
        <v>1035</v>
      </c>
      <c r="B3" s="6" t="s">
        <v>448</v>
      </c>
      <c r="C3" s="2" t="s">
        <v>447</v>
      </c>
    </row>
    <row r="4" spans="1:3" x14ac:dyDescent="0.35">
      <c r="A4" s="6" t="s">
        <v>200</v>
      </c>
      <c r="B4" s="6" t="s">
        <v>205</v>
      </c>
      <c r="C4" s="2" t="s">
        <v>204</v>
      </c>
    </row>
    <row r="5" spans="1:3" x14ac:dyDescent="0.35">
      <c r="A5" s="6" t="s">
        <v>200</v>
      </c>
      <c r="B5" s="6" t="s">
        <v>203</v>
      </c>
      <c r="C5" s="2" t="s">
        <v>202</v>
      </c>
    </row>
    <row r="6" spans="1:3" x14ac:dyDescent="0.35">
      <c r="A6" s="6" t="s">
        <v>200</v>
      </c>
      <c r="B6" s="6" t="s">
        <v>207</v>
      </c>
      <c r="C6" s="2" t="s">
        <v>206</v>
      </c>
    </row>
    <row r="7" spans="1:3" x14ac:dyDescent="0.35">
      <c r="A7" s="6" t="s">
        <v>200</v>
      </c>
      <c r="B7" s="6" t="s">
        <v>211</v>
      </c>
      <c r="C7" s="2" t="s">
        <v>210</v>
      </c>
    </row>
    <row r="8" spans="1:3" x14ac:dyDescent="0.35">
      <c r="A8" s="6" t="s">
        <v>200</v>
      </c>
      <c r="B8" s="6" t="s">
        <v>209</v>
      </c>
      <c r="C8" s="2" t="s">
        <v>208</v>
      </c>
    </row>
    <row r="9" spans="1:3" x14ac:dyDescent="0.35">
      <c r="A9" s="6" t="s">
        <v>200</v>
      </c>
      <c r="B9" s="6" t="s">
        <v>213</v>
      </c>
      <c r="C9" s="2" t="s">
        <v>212</v>
      </c>
    </row>
    <row r="10" spans="1:3" x14ac:dyDescent="0.35">
      <c r="A10" s="6" t="s">
        <v>200</v>
      </c>
      <c r="B10" s="6" t="s">
        <v>217</v>
      </c>
      <c r="C10" s="2" t="s">
        <v>216</v>
      </c>
    </row>
    <row r="11" spans="1:3" x14ac:dyDescent="0.35">
      <c r="A11" s="6" t="s">
        <v>200</v>
      </c>
      <c r="B11" s="6" t="s">
        <v>215</v>
      </c>
      <c r="C11" s="2" t="s">
        <v>214</v>
      </c>
    </row>
    <row r="12" spans="1:3" x14ac:dyDescent="0.35">
      <c r="A12" s="6" t="s">
        <v>1021</v>
      </c>
      <c r="B12" s="6" t="s">
        <v>343</v>
      </c>
      <c r="C12" s="2" t="s">
        <v>342</v>
      </c>
    </row>
    <row r="13" spans="1:3" x14ac:dyDescent="0.35">
      <c r="A13" s="6" t="s">
        <v>1021</v>
      </c>
      <c r="B13" s="6" t="s">
        <v>345</v>
      </c>
      <c r="C13" s="2" t="s">
        <v>344</v>
      </c>
    </row>
    <row r="14" spans="1:3" x14ac:dyDescent="0.35">
      <c r="A14" s="6" t="s">
        <v>1021</v>
      </c>
      <c r="B14" s="6" t="s">
        <v>341</v>
      </c>
      <c r="C14" s="2" t="s">
        <v>340</v>
      </c>
    </row>
    <row r="15" spans="1:3" x14ac:dyDescent="0.35">
      <c r="A15" s="6" t="s">
        <v>1023</v>
      </c>
      <c r="B15" s="6" t="s">
        <v>357</v>
      </c>
      <c r="C15" s="2" t="s">
        <v>356</v>
      </c>
    </row>
    <row r="16" spans="1:3" x14ac:dyDescent="0.35">
      <c r="A16" s="6" t="s">
        <v>1023</v>
      </c>
      <c r="B16" s="6" t="s">
        <v>359</v>
      </c>
      <c r="C16" s="2" t="s">
        <v>358</v>
      </c>
    </row>
    <row r="17" spans="1:3" x14ac:dyDescent="0.35">
      <c r="A17" s="6" t="s">
        <v>1023</v>
      </c>
      <c r="B17" s="6" t="s">
        <v>355</v>
      </c>
      <c r="C17" s="2" t="s">
        <v>354</v>
      </c>
    </row>
    <row r="18" spans="1:3" x14ac:dyDescent="0.35">
      <c r="A18" s="6" t="s">
        <v>1020</v>
      </c>
      <c r="B18" s="6" t="s">
        <v>335</v>
      </c>
      <c r="C18" s="2" t="s">
        <v>334</v>
      </c>
    </row>
    <row r="19" spans="1:3" x14ac:dyDescent="0.35">
      <c r="A19" s="6" t="s">
        <v>1022</v>
      </c>
      <c r="B19" s="6" t="s">
        <v>349</v>
      </c>
      <c r="C19" s="2" t="s">
        <v>348</v>
      </c>
    </row>
    <row r="20" spans="1:3" x14ac:dyDescent="0.35">
      <c r="A20" s="6" t="s">
        <v>1020</v>
      </c>
      <c r="B20" s="6" t="s">
        <v>337</v>
      </c>
      <c r="C20" s="2" t="s">
        <v>336</v>
      </c>
    </row>
    <row r="21" spans="1:3" x14ac:dyDescent="0.35">
      <c r="A21" s="6" t="s">
        <v>1022</v>
      </c>
      <c r="B21" s="6" t="s">
        <v>351</v>
      </c>
      <c r="C21" s="2" t="s">
        <v>350</v>
      </c>
    </row>
    <row r="77" spans="2:2" x14ac:dyDescent="0.35">
      <c r="B77" s="10"/>
    </row>
  </sheetData>
  <autoFilter ref="A1:C21" xr:uid="{236A9E7B-57BE-4CAC-84C9-EE187169325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BE62-AA59-484C-B1BD-1FD268ABF2A5}">
  <dimension ref="A1:C24"/>
  <sheetViews>
    <sheetView topLeftCell="A2" workbookViewId="0">
      <selection activeCell="A3" sqref="A3"/>
    </sheetView>
  </sheetViews>
  <sheetFormatPr baseColWidth="10" defaultColWidth="11.44140625" defaultRowHeight="15" x14ac:dyDescent="0.35"/>
  <cols>
    <col min="1" max="1" width="71" style="2" bestFit="1" customWidth="1"/>
    <col min="2" max="2" width="31.6640625" style="2" bestFit="1" customWidth="1"/>
    <col min="3" max="16384" width="11.44140625" style="2"/>
  </cols>
  <sheetData>
    <row r="1" spans="1:3" x14ac:dyDescent="0.35">
      <c r="A1" s="16" t="s">
        <v>1052</v>
      </c>
      <c r="B1" s="16" t="s">
        <v>20</v>
      </c>
      <c r="C1" s="16" t="s">
        <v>1053</v>
      </c>
    </row>
    <row r="2" spans="1:3" x14ac:dyDescent="0.35">
      <c r="A2" s="30" t="s">
        <v>1054</v>
      </c>
      <c r="B2" s="29"/>
      <c r="C2" s="29"/>
    </row>
    <row r="3" spans="1:3" x14ac:dyDescent="0.35">
      <c r="A3" s="17" t="s">
        <v>1055</v>
      </c>
      <c r="B3" s="17" t="s">
        <v>149</v>
      </c>
      <c r="C3" s="2" t="s">
        <v>1056</v>
      </c>
    </row>
    <row r="4" spans="1:3" x14ac:dyDescent="0.35">
      <c r="A4" s="17" t="s">
        <v>1028</v>
      </c>
      <c r="B4" s="17" t="s">
        <v>149</v>
      </c>
      <c r="C4" s="2" t="s">
        <v>1056</v>
      </c>
    </row>
    <row r="5" spans="1:3" x14ac:dyDescent="0.35">
      <c r="A5" s="17" t="s">
        <v>1057</v>
      </c>
      <c r="B5" s="17" t="s">
        <v>149</v>
      </c>
      <c r="C5" s="2" t="s">
        <v>1056</v>
      </c>
    </row>
    <row r="6" spans="1:3" x14ac:dyDescent="0.35">
      <c r="A6" s="18" t="s">
        <v>1011</v>
      </c>
      <c r="B6" s="18" t="s">
        <v>58</v>
      </c>
      <c r="C6" s="2" t="s">
        <v>1056</v>
      </c>
    </row>
    <row r="7" spans="1:3" x14ac:dyDescent="0.35">
      <c r="A7" s="18" t="s">
        <v>650</v>
      </c>
      <c r="B7" s="18" t="s">
        <v>58</v>
      </c>
      <c r="C7" s="2" t="s">
        <v>1056</v>
      </c>
    </row>
    <row r="8" spans="1:3" x14ac:dyDescent="0.35">
      <c r="A8" s="18" t="s">
        <v>1058</v>
      </c>
      <c r="B8" s="18" t="s">
        <v>58</v>
      </c>
      <c r="C8" s="2" t="s">
        <v>1056</v>
      </c>
    </row>
    <row r="9" spans="1:3" x14ac:dyDescent="0.35">
      <c r="A9" s="19" t="s">
        <v>940</v>
      </c>
      <c r="B9" s="19" t="s">
        <v>30</v>
      </c>
      <c r="C9" s="2" t="s">
        <v>1056</v>
      </c>
    </row>
    <row r="10" spans="1:3" x14ac:dyDescent="0.35">
      <c r="A10" s="19" t="s">
        <v>1059</v>
      </c>
      <c r="B10" s="19" t="s">
        <v>30</v>
      </c>
      <c r="C10" s="2" t="s">
        <v>1056</v>
      </c>
    </row>
    <row r="11" spans="1:3" x14ac:dyDescent="0.35">
      <c r="A11" s="20" t="s">
        <v>1060</v>
      </c>
      <c r="B11" s="20" t="s">
        <v>123</v>
      </c>
      <c r="C11" s="2" t="s">
        <v>1056</v>
      </c>
    </row>
    <row r="12" spans="1:3" x14ac:dyDescent="0.35">
      <c r="A12" s="20" t="s">
        <v>748</v>
      </c>
      <c r="B12" s="20" t="s">
        <v>123</v>
      </c>
      <c r="C12" s="2" t="s">
        <v>1056</v>
      </c>
    </row>
    <row r="13" spans="1:3" x14ac:dyDescent="0.35">
      <c r="A13" s="2" t="s">
        <v>1061</v>
      </c>
      <c r="B13" s="2" t="s">
        <v>1062</v>
      </c>
      <c r="C13" s="2" t="s">
        <v>1056</v>
      </c>
    </row>
    <row r="14" spans="1:3" x14ac:dyDescent="0.35">
      <c r="A14" s="30" t="s">
        <v>1063</v>
      </c>
      <c r="B14" s="29"/>
      <c r="C14" s="29"/>
    </row>
    <row r="15" spans="1:3" x14ac:dyDescent="0.35">
      <c r="A15" t="s">
        <v>993</v>
      </c>
      <c r="B15" s="2" t="s">
        <v>123</v>
      </c>
      <c r="C15" s="2" t="s">
        <v>1056</v>
      </c>
    </row>
    <row r="16" spans="1:3" x14ac:dyDescent="0.35">
      <c r="A16" t="s">
        <v>1064</v>
      </c>
      <c r="B16" s="2" t="s">
        <v>30</v>
      </c>
      <c r="C16" s="2" t="s">
        <v>1056</v>
      </c>
    </row>
    <row r="17" spans="1:3" x14ac:dyDescent="0.35">
      <c r="A17" t="s">
        <v>1065</v>
      </c>
      <c r="B17" s="2" t="s">
        <v>30</v>
      </c>
      <c r="C17" s="2" t="s">
        <v>1056</v>
      </c>
    </row>
    <row r="18" spans="1:3" x14ac:dyDescent="0.35">
      <c r="A18" s="2" t="s">
        <v>27</v>
      </c>
      <c r="B18" s="2" t="s">
        <v>30</v>
      </c>
      <c r="C18" s="2" t="s">
        <v>1056</v>
      </c>
    </row>
    <row r="19" spans="1:3" x14ac:dyDescent="0.35">
      <c r="A19"/>
    </row>
    <row r="20" spans="1:3" x14ac:dyDescent="0.35">
      <c r="A20"/>
    </row>
    <row r="21" spans="1:3" x14ac:dyDescent="0.35">
      <c r="A21"/>
    </row>
    <row r="22" spans="1:3" x14ac:dyDescent="0.35">
      <c r="A22"/>
    </row>
    <row r="23" spans="1:3" x14ac:dyDescent="0.35">
      <c r="A23"/>
    </row>
    <row r="24" spans="1:3" x14ac:dyDescent="0.35">
      <c r="A24"/>
    </row>
  </sheetData>
  <autoFilter ref="A1:C13" xr:uid="{BB1FBE62-AA59-484C-B1BD-1FD268ABF2A5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05FC-C486-4B44-8AD9-6BEAAAD8DD20}">
  <dimension ref="A3:B155"/>
  <sheetViews>
    <sheetView workbookViewId="0">
      <selection activeCell="C7" sqref="C7"/>
    </sheetView>
  </sheetViews>
  <sheetFormatPr baseColWidth="10" defaultColWidth="8.6640625" defaultRowHeight="15" x14ac:dyDescent="0.35"/>
  <cols>
    <col min="1" max="1" width="74.109375" style="2" bestFit="1" customWidth="1"/>
    <col min="2" max="2" width="13.88671875" style="2" bestFit="1" customWidth="1"/>
    <col min="3" max="16384" width="8.6640625" style="2"/>
  </cols>
  <sheetData>
    <row r="3" spans="1:2" x14ac:dyDescent="0.35">
      <c r="A3" s="21" t="s">
        <v>1066</v>
      </c>
      <c r="B3" s="2" t="s">
        <v>1067</v>
      </c>
    </row>
    <row r="4" spans="1:2" x14ac:dyDescent="0.35">
      <c r="A4" s="22" t="s">
        <v>123</v>
      </c>
      <c r="B4" s="2">
        <v>39</v>
      </c>
    </row>
    <row r="5" spans="1:2" x14ac:dyDescent="0.35">
      <c r="A5" s="23" t="s">
        <v>699</v>
      </c>
      <c r="B5" s="2">
        <v>1</v>
      </c>
    </row>
    <row r="6" spans="1:2" x14ac:dyDescent="0.35">
      <c r="A6" s="24" t="s">
        <v>719</v>
      </c>
      <c r="B6" s="2">
        <v>1</v>
      </c>
    </row>
    <row r="7" spans="1:2" x14ac:dyDescent="0.35">
      <c r="A7" s="23" t="s">
        <v>741</v>
      </c>
      <c r="B7" s="2">
        <v>13</v>
      </c>
    </row>
    <row r="8" spans="1:2" x14ac:dyDescent="0.35">
      <c r="A8" s="24" t="s">
        <v>760</v>
      </c>
      <c r="B8" s="2">
        <v>1</v>
      </c>
    </row>
    <row r="9" spans="1:2" x14ac:dyDescent="0.35">
      <c r="A9" s="24" t="s">
        <v>763</v>
      </c>
      <c r="B9" s="2">
        <v>1</v>
      </c>
    </row>
    <row r="10" spans="1:2" x14ac:dyDescent="0.35">
      <c r="A10" s="24" t="s">
        <v>765</v>
      </c>
      <c r="B10" s="2">
        <v>1</v>
      </c>
    </row>
    <row r="11" spans="1:2" x14ac:dyDescent="0.35">
      <c r="A11" s="24" t="s">
        <v>767</v>
      </c>
      <c r="B11" s="2">
        <v>1</v>
      </c>
    </row>
    <row r="12" spans="1:2" x14ac:dyDescent="0.35">
      <c r="A12" s="24" t="s">
        <v>769</v>
      </c>
      <c r="B12" s="2">
        <v>1</v>
      </c>
    </row>
    <row r="13" spans="1:2" x14ac:dyDescent="0.35">
      <c r="A13" s="24" t="s">
        <v>771</v>
      </c>
      <c r="B13" s="2">
        <v>1</v>
      </c>
    </row>
    <row r="14" spans="1:2" x14ac:dyDescent="0.35">
      <c r="A14" s="24" t="s">
        <v>744</v>
      </c>
      <c r="B14" s="2">
        <v>1</v>
      </c>
    </row>
    <row r="15" spans="1:2" x14ac:dyDescent="0.35">
      <c r="A15" s="24" t="s">
        <v>750</v>
      </c>
      <c r="B15" s="2">
        <v>1</v>
      </c>
    </row>
    <row r="16" spans="1:2" x14ac:dyDescent="0.35">
      <c r="A16" s="24" t="s">
        <v>752</v>
      </c>
      <c r="B16" s="2">
        <v>1</v>
      </c>
    </row>
    <row r="17" spans="1:2" x14ac:dyDescent="0.35">
      <c r="A17" s="24" t="s">
        <v>754</v>
      </c>
      <c r="B17" s="2">
        <v>1</v>
      </c>
    </row>
    <row r="18" spans="1:2" x14ac:dyDescent="0.35">
      <c r="A18" s="24" t="s">
        <v>756</v>
      </c>
      <c r="B18" s="2">
        <v>1</v>
      </c>
    </row>
    <row r="19" spans="1:2" x14ac:dyDescent="0.35">
      <c r="A19" s="24" t="s">
        <v>758</v>
      </c>
      <c r="B19" s="2">
        <v>1</v>
      </c>
    </row>
    <row r="20" spans="1:2" x14ac:dyDescent="0.35">
      <c r="A20" s="24" t="s">
        <v>774</v>
      </c>
      <c r="B20" s="2">
        <v>1</v>
      </c>
    </row>
    <row r="21" spans="1:2" x14ac:dyDescent="0.35">
      <c r="A21" s="23" t="s">
        <v>788</v>
      </c>
      <c r="B21" s="2">
        <v>25</v>
      </c>
    </row>
    <row r="22" spans="1:2" x14ac:dyDescent="0.35">
      <c r="A22" s="24" t="s">
        <v>791</v>
      </c>
      <c r="B22" s="2">
        <v>1</v>
      </c>
    </row>
    <row r="23" spans="1:2" x14ac:dyDescent="0.35">
      <c r="A23" s="24" t="s">
        <v>794</v>
      </c>
      <c r="B23" s="2">
        <v>1</v>
      </c>
    </row>
    <row r="24" spans="1:2" x14ac:dyDescent="0.35">
      <c r="A24" s="24" t="s">
        <v>796</v>
      </c>
      <c r="B24" s="2">
        <v>1</v>
      </c>
    </row>
    <row r="25" spans="1:2" x14ac:dyDescent="0.35">
      <c r="A25" s="24" t="s">
        <v>798</v>
      </c>
      <c r="B25" s="2">
        <v>1</v>
      </c>
    </row>
    <row r="26" spans="1:2" x14ac:dyDescent="0.35">
      <c r="A26" s="24" t="s">
        <v>800</v>
      </c>
      <c r="B26" s="2">
        <v>1</v>
      </c>
    </row>
    <row r="27" spans="1:2" x14ac:dyDescent="0.35">
      <c r="A27" s="24" t="s">
        <v>802</v>
      </c>
      <c r="B27" s="2">
        <v>1</v>
      </c>
    </row>
    <row r="28" spans="1:2" x14ac:dyDescent="0.35">
      <c r="A28" s="24" t="s">
        <v>804</v>
      </c>
      <c r="B28" s="2">
        <v>1</v>
      </c>
    </row>
    <row r="29" spans="1:2" x14ac:dyDescent="0.35">
      <c r="A29" s="24" t="s">
        <v>835</v>
      </c>
      <c r="B29" s="2">
        <v>1</v>
      </c>
    </row>
    <row r="30" spans="1:2" x14ac:dyDescent="0.35">
      <c r="A30" s="24" t="s">
        <v>838</v>
      </c>
      <c r="B30" s="2">
        <v>1</v>
      </c>
    </row>
    <row r="31" spans="1:2" x14ac:dyDescent="0.35">
      <c r="A31" s="24" t="s">
        <v>823</v>
      </c>
      <c r="B31" s="2">
        <v>3</v>
      </c>
    </row>
    <row r="32" spans="1:2" x14ac:dyDescent="0.35">
      <c r="A32" s="24" t="s">
        <v>827</v>
      </c>
      <c r="B32" s="2">
        <v>3</v>
      </c>
    </row>
    <row r="33" spans="1:2" x14ac:dyDescent="0.35">
      <c r="A33" s="24" t="s">
        <v>825</v>
      </c>
      <c r="B33" s="2">
        <v>3</v>
      </c>
    </row>
    <row r="34" spans="1:2" x14ac:dyDescent="0.35">
      <c r="A34" s="24" t="s">
        <v>806</v>
      </c>
      <c r="B34" s="2">
        <v>1</v>
      </c>
    </row>
    <row r="35" spans="1:2" x14ac:dyDescent="0.35">
      <c r="A35" s="24" t="s">
        <v>810</v>
      </c>
      <c r="B35" s="2">
        <v>1</v>
      </c>
    </row>
    <row r="36" spans="1:2" x14ac:dyDescent="0.35">
      <c r="A36" s="24" t="s">
        <v>812</v>
      </c>
      <c r="B36" s="2">
        <v>1</v>
      </c>
    </row>
    <row r="37" spans="1:2" x14ac:dyDescent="0.35">
      <c r="A37" s="24" t="s">
        <v>814</v>
      </c>
      <c r="B37" s="2">
        <v>1</v>
      </c>
    </row>
    <row r="38" spans="1:2" x14ac:dyDescent="0.35">
      <c r="A38" s="24" t="s">
        <v>816</v>
      </c>
      <c r="B38" s="2">
        <v>1</v>
      </c>
    </row>
    <row r="39" spans="1:2" x14ac:dyDescent="0.35">
      <c r="A39" s="24" t="s">
        <v>818</v>
      </c>
      <c r="B39" s="2">
        <v>1</v>
      </c>
    </row>
    <row r="40" spans="1:2" x14ac:dyDescent="0.35">
      <c r="A40" s="24" t="s">
        <v>820</v>
      </c>
      <c r="B40" s="2">
        <v>1</v>
      </c>
    </row>
    <row r="41" spans="1:2" x14ac:dyDescent="0.35">
      <c r="A41" s="22" t="s">
        <v>530</v>
      </c>
      <c r="B41" s="2">
        <v>31</v>
      </c>
    </row>
    <row r="42" spans="1:2" x14ac:dyDescent="0.35">
      <c r="A42" s="23" t="s">
        <v>525</v>
      </c>
      <c r="B42" s="2">
        <v>12</v>
      </c>
    </row>
    <row r="43" spans="1:2" x14ac:dyDescent="0.35">
      <c r="A43" s="23" t="s">
        <v>553</v>
      </c>
      <c r="B43" s="2">
        <v>1</v>
      </c>
    </row>
    <row r="44" spans="1:2" x14ac:dyDescent="0.35">
      <c r="A44" s="23" t="s">
        <v>557</v>
      </c>
      <c r="B44" s="2">
        <v>18</v>
      </c>
    </row>
    <row r="45" spans="1:2" x14ac:dyDescent="0.35">
      <c r="A45" s="22" t="s">
        <v>58</v>
      </c>
      <c r="B45" s="2">
        <v>69</v>
      </c>
    </row>
    <row r="46" spans="1:2" x14ac:dyDescent="0.35">
      <c r="A46" s="23" t="s">
        <v>699</v>
      </c>
      <c r="B46" s="2">
        <v>33</v>
      </c>
    </row>
    <row r="47" spans="1:2" x14ac:dyDescent="0.35">
      <c r="A47" s="24" t="s">
        <v>721</v>
      </c>
      <c r="B47" s="2">
        <v>3</v>
      </c>
    </row>
    <row r="48" spans="1:2" x14ac:dyDescent="0.35">
      <c r="A48" s="24" t="s">
        <v>723</v>
      </c>
      <c r="B48" s="2">
        <v>3</v>
      </c>
    </row>
    <row r="49" spans="1:2" x14ac:dyDescent="0.35">
      <c r="A49" s="24" t="s">
        <v>725</v>
      </c>
      <c r="B49" s="2">
        <v>3</v>
      </c>
    </row>
    <row r="50" spans="1:2" x14ac:dyDescent="0.35">
      <c r="A50" s="24" t="s">
        <v>704</v>
      </c>
      <c r="B50" s="2">
        <v>3</v>
      </c>
    </row>
    <row r="51" spans="1:2" x14ac:dyDescent="0.35">
      <c r="A51" s="24" t="s">
        <v>702</v>
      </c>
      <c r="B51" s="2">
        <v>3</v>
      </c>
    </row>
    <row r="52" spans="1:2" x14ac:dyDescent="0.35">
      <c r="A52" s="24" t="s">
        <v>711</v>
      </c>
      <c r="B52" s="2">
        <v>3</v>
      </c>
    </row>
    <row r="53" spans="1:2" x14ac:dyDescent="0.35">
      <c r="A53" s="24" t="s">
        <v>709</v>
      </c>
      <c r="B53" s="2">
        <v>3</v>
      </c>
    </row>
    <row r="54" spans="1:2" x14ac:dyDescent="0.35">
      <c r="A54" s="24" t="s">
        <v>716</v>
      </c>
      <c r="B54" s="2">
        <v>3</v>
      </c>
    </row>
    <row r="55" spans="1:2" x14ac:dyDescent="0.35">
      <c r="A55" s="24" t="s">
        <v>714</v>
      </c>
      <c r="B55" s="2">
        <v>3</v>
      </c>
    </row>
    <row r="56" spans="1:2" x14ac:dyDescent="0.35">
      <c r="A56" s="24" t="s">
        <v>734</v>
      </c>
      <c r="B56" s="2">
        <v>3</v>
      </c>
    </row>
    <row r="57" spans="1:2" x14ac:dyDescent="0.35">
      <c r="A57" s="24" t="s">
        <v>732</v>
      </c>
      <c r="B57" s="2">
        <v>3</v>
      </c>
    </row>
    <row r="58" spans="1:2" x14ac:dyDescent="0.35">
      <c r="A58" s="23" t="s">
        <v>608</v>
      </c>
      <c r="B58" s="2">
        <v>6</v>
      </c>
    </row>
    <row r="59" spans="1:2" x14ac:dyDescent="0.35">
      <c r="A59" s="24" t="s">
        <v>614</v>
      </c>
      <c r="B59" s="2">
        <v>1</v>
      </c>
    </row>
    <row r="60" spans="1:2" x14ac:dyDescent="0.35">
      <c r="A60" s="24" t="s">
        <v>611</v>
      </c>
      <c r="B60" s="2">
        <v>1</v>
      </c>
    </row>
    <row r="61" spans="1:2" x14ac:dyDescent="0.35">
      <c r="A61" s="24" t="s">
        <v>633</v>
      </c>
      <c r="B61" s="2">
        <v>1</v>
      </c>
    </row>
    <row r="62" spans="1:2" x14ac:dyDescent="0.35">
      <c r="A62" s="24" t="s">
        <v>620</v>
      </c>
      <c r="B62" s="2">
        <v>1</v>
      </c>
    </row>
    <row r="63" spans="1:2" x14ac:dyDescent="0.35">
      <c r="A63" s="24" t="s">
        <v>623</v>
      </c>
      <c r="B63" s="2">
        <v>1</v>
      </c>
    </row>
    <row r="64" spans="1:2" x14ac:dyDescent="0.35">
      <c r="A64" s="24" t="s">
        <v>625</v>
      </c>
      <c r="B64" s="2">
        <v>1</v>
      </c>
    </row>
    <row r="65" spans="1:2" x14ac:dyDescent="0.35">
      <c r="A65" s="23" t="s">
        <v>652</v>
      </c>
      <c r="B65" s="2">
        <v>9</v>
      </c>
    </row>
    <row r="66" spans="1:2" x14ac:dyDescent="0.35">
      <c r="A66" s="24" t="s">
        <v>655</v>
      </c>
      <c r="B66" s="2">
        <v>3</v>
      </c>
    </row>
    <row r="67" spans="1:2" x14ac:dyDescent="0.35">
      <c r="A67" s="24" t="s">
        <v>661</v>
      </c>
      <c r="B67" s="2">
        <v>3</v>
      </c>
    </row>
    <row r="68" spans="1:2" x14ac:dyDescent="0.35">
      <c r="A68" s="24" t="s">
        <v>663</v>
      </c>
      <c r="B68" s="2">
        <v>3</v>
      </c>
    </row>
    <row r="69" spans="1:2" x14ac:dyDescent="0.35">
      <c r="A69" s="23" t="s">
        <v>788</v>
      </c>
      <c r="B69" s="2">
        <v>21</v>
      </c>
    </row>
    <row r="70" spans="1:2" x14ac:dyDescent="0.35">
      <c r="A70" s="24" t="s">
        <v>868</v>
      </c>
      <c r="B70" s="2">
        <v>3</v>
      </c>
    </row>
    <row r="71" spans="1:2" x14ac:dyDescent="0.35">
      <c r="A71" s="24" t="s">
        <v>870</v>
      </c>
      <c r="B71" s="2">
        <v>3</v>
      </c>
    </row>
    <row r="72" spans="1:2" x14ac:dyDescent="0.35">
      <c r="A72" s="24" t="s">
        <v>872</v>
      </c>
      <c r="B72" s="2">
        <v>3</v>
      </c>
    </row>
    <row r="73" spans="1:2" x14ac:dyDescent="0.35">
      <c r="A73" s="24" t="s">
        <v>830</v>
      </c>
      <c r="B73" s="2">
        <v>3</v>
      </c>
    </row>
    <row r="74" spans="1:2" x14ac:dyDescent="0.35">
      <c r="A74" s="24" t="s">
        <v>840</v>
      </c>
      <c r="B74" s="2">
        <v>3</v>
      </c>
    </row>
    <row r="75" spans="1:2" x14ac:dyDescent="0.35">
      <c r="A75" s="24" t="s">
        <v>842</v>
      </c>
      <c r="B75" s="2">
        <v>3</v>
      </c>
    </row>
    <row r="76" spans="1:2" x14ac:dyDescent="0.35">
      <c r="A76" s="24" t="s">
        <v>832</v>
      </c>
      <c r="B76" s="2">
        <v>3</v>
      </c>
    </row>
    <row r="77" spans="1:2" x14ac:dyDescent="0.35">
      <c r="A77" s="22" t="s">
        <v>603</v>
      </c>
      <c r="B77" s="2">
        <v>4</v>
      </c>
    </row>
    <row r="78" spans="1:2" x14ac:dyDescent="0.35">
      <c r="A78" s="22" t="s">
        <v>639</v>
      </c>
      <c r="B78" s="2">
        <v>15</v>
      </c>
    </row>
    <row r="79" spans="1:2" x14ac:dyDescent="0.35">
      <c r="A79" s="22" t="s">
        <v>738</v>
      </c>
      <c r="B79" s="2">
        <v>20</v>
      </c>
    </row>
    <row r="80" spans="1:2" x14ac:dyDescent="0.35">
      <c r="A80" s="22" t="s">
        <v>30</v>
      </c>
      <c r="B80" s="2">
        <v>3</v>
      </c>
    </row>
    <row r="81" spans="1:2" x14ac:dyDescent="0.35">
      <c r="A81" s="22" t="s">
        <v>1068</v>
      </c>
      <c r="B81" s="2">
        <v>181</v>
      </c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D2BEE1-3487-46A6-9F52-47008EF3F06B}">
  <ds:schemaRefs>
    <ds:schemaRef ds:uri="http://schemas.microsoft.com/office/2006/metadata/properties"/>
    <ds:schemaRef ds:uri="http://schemas.microsoft.com/office/infopath/2007/PartnerControls"/>
    <ds:schemaRef ds:uri="b8390636-7d61-40a6-a70d-aa7930d4c7ec"/>
    <ds:schemaRef ds:uri="ed36f66d-e31c-4e78-804f-e0898a3b36fb"/>
    <ds:schemaRef ds:uri="53729c01-e331-46af-8f84-09bea977ed00"/>
    <ds:schemaRef ds:uri="0b6a0b30-4523-4899-95a0-946babcdb6c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347E16F-80D6-4386-AB0F-BCEE924F2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D6F162-D51B-4B3D-AD62-C00B241D1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729c01-e331-46af-8f84-09bea977ed00"/>
    <ds:schemaRef ds:uri="0b6a0b30-4523-4899-95a0-946babcdb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Diccionario</vt:lpstr>
      <vt:lpstr>Diccionario_Base</vt:lpstr>
      <vt:lpstr>Inventario variables</vt:lpstr>
      <vt:lpstr>Variables nuevas (propuesta)</vt:lpstr>
      <vt:lpstr>20250627_rev</vt:lpstr>
      <vt:lpstr>Indicadores clave</vt:lpstr>
      <vt:lpstr>Indicadores adicionales</vt:lpstr>
      <vt:lpstr>Distribución homogeneización</vt:lpstr>
      <vt:lpstr>Tabla dinámica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Maria Quintero Vasquez</dc:creator>
  <cp:keywords/>
  <dc:description/>
  <cp:lastModifiedBy>Laura Peña Agualimpia</cp:lastModifiedBy>
  <cp:revision/>
  <dcterms:created xsi:type="dcterms:W3CDTF">2025-03-17T21:15:48Z</dcterms:created>
  <dcterms:modified xsi:type="dcterms:W3CDTF">2026-03-17T13:35:59Z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
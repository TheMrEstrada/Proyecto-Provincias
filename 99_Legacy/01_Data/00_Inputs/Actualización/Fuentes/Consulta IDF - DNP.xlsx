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Actualización\Fuentes\"/>
    </mc:Choice>
  </mc:AlternateContent>
  <xr:revisionPtr revIDLastSave="0" documentId="13_ncr:1_{EEE0B504-885D-43D1-A252-6D05961A51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2" i="3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3" i="2"/>
  <c r="J4" i="2"/>
  <c r="J5" i="2"/>
  <c r="J2" i="2"/>
</calcChain>
</file>

<file path=xl/sharedStrings.xml><?xml version="1.0" encoding="utf-8"?>
<sst xmlns="http://schemas.openxmlformats.org/spreadsheetml/2006/main" count="1801" uniqueCount="578">
  <si>
    <t>Indice de Desempeño Fiscal - IDF</t>
  </si>
  <si>
    <t>Año</t>
  </si>
  <si>
    <t>Periodo</t>
  </si>
  <si>
    <t>Departamento</t>
  </si>
  <si>
    <t>Entidad</t>
  </si>
  <si>
    <t>Tipo Reporte</t>
  </si>
  <si>
    <t>2024</t>
  </si>
  <si>
    <t>Anual - (Enero - Diciembre)</t>
  </si>
  <si>
    <t>Antioquia</t>
  </si>
  <si>
    <t>Todos</t>
  </si>
  <si>
    <t>IDF - Municipios</t>
  </si>
  <si>
    <t>05001</t>
  </si>
  <si>
    <t>210105001</t>
  </si>
  <si>
    <t>Medellín</t>
  </si>
  <si>
    <t>05</t>
  </si>
  <si>
    <t>E</t>
  </si>
  <si>
    <t>C</t>
  </si>
  <si>
    <t>Ciudades grandes y Bogotá</t>
  </si>
  <si>
    <t>SI</t>
  </si>
  <si>
    <t>3. Vulnerable (&gt;=60 y &lt;70)</t>
  </si>
  <si>
    <t>05002</t>
  </si>
  <si>
    <t>210205002</t>
  </si>
  <si>
    <t>Abejorral</t>
  </si>
  <si>
    <t>6</t>
  </si>
  <si>
    <t>G4</t>
  </si>
  <si>
    <t>3</t>
  </si>
  <si>
    <t>NO</t>
  </si>
  <si>
    <t>2. Riesgo (&gt;=40 y &lt;60)</t>
  </si>
  <si>
    <t>05004</t>
  </si>
  <si>
    <t>210405004</t>
  </si>
  <si>
    <t>Abriaquí</t>
  </si>
  <si>
    <t>G3</t>
  </si>
  <si>
    <t>5</t>
  </si>
  <si>
    <t>05021</t>
  </si>
  <si>
    <t>212105021</t>
  </si>
  <si>
    <t>Alejandría</t>
  </si>
  <si>
    <t>G2</t>
  </si>
  <si>
    <t>4</t>
  </si>
  <si>
    <t>05030</t>
  </si>
  <si>
    <t>213005030</t>
  </si>
  <si>
    <t>Amagá</t>
  </si>
  <si>
    <t>2</t>
  </si>
  <si>
    <t>05031</t>
  </si>
  <si>
    <t>213105031</t>
  </si>
  <si>
    <t>Amalfi</t>
  </si>
  <si>
    <t>05034</t>
  </si>
  <si>
    <t>213405034</t>
  </si>
  <si>
    <t>Andes</t>
  </si>
  <si>
    <t>05036</t>
  </si>
  <si>
    <t>213605036</t>
  </si>
  <si>
    <t>Angelópolis</t>
  </si>
  <si>
    <t>05038</t>
  </si>
  <si>
    <t>213805038</t>
  </si>
  <si>
    <t>Angostura</t>
  </si>
  <si>
    <t>05040</t>
  </si>
  <si>
    <t>214005040</t>
  </si>
  <si>
    <t>Anorí</t>
  </si>
  <si>
    <t>05042</t>
  </si>
  <si>
    <t>214205042</t>
  </si>
  <si>
    <t>Santa Fe De Antioquia</t>
  </si>
  <si>
    <t>G1</t>
  </si>
  <si>
    <t>05044</t>
  </si>
  <si>
    <t>214405044</t>
  </si>
  <si>
    <t>Anzá</t>
  </si>
  <si>
    <t>05045</t>
  </si>
  <si>
    <t>214505045</t>
  </si>
  <si>
    <t>Apartadó</t>
  </si>
  <si>
    <t>05051</t>
  </si>
  <si>
    <t>215105051</t>
  </si>
  <si>
    <t>Arboletes</t>
  </si>
  <si>
    <t>05055</t>
  </si>
  <si>
    <t>215505055</t>
  </si>
  <si>
    <t>Argelia</t>
  </si>
  <si>
    <t>05059</t>
  </si>
  <si>
    <t>215905059</t>
  </si>
  <si>
    <t>Armenia</t>
  </si>
  <si>
    <t>05079</t>
  </si>
  <si>
    <t>217905079</t>
  </si>
  <si>
    <t>Barbosa</t>
  </si>
  <si>
    <t>05086</t>
  </si>
  <si>
    <t>218605086</t>
  </si>
  <si>
    <t>Belmira</t>
  </si>
  <si>
    <t>05088</t>
  </si>
  <si>
    <t>218805088</t>
  </si>
  <si>
    <t>Bello</t>
  </si>
  <si>
    <t>1</t>
  </si>
  <si>
    <t>05091</t>
  </si>
  <si>
    <t>219105091</t>
  </si>
  <si>
    <t>Betania</t>
  </si>
  <si>
    <t>05093</t>
  </si>
  <si>
    <t>219305093</t>
  </si>
  <si>
    <t>Betulia</t>
  </si>
  <si>
    <t>05101</t>
  </si>
  <si>
    <t>210105101</t>
  </si>
  <si>
    <t>Ciudad Bolívar</t>
  </si>
  <si>
    <t>05107</t>
  </si>
  <si>
    <t>210705107</t>
  </si>
  <si>
    <t>Briceño</t>
  </si>
  <si>
    <t>05113</t>
  </si>
  <si>
    <t>211305113</t>
  </si>
  <si>
    <t>Buriticá</t>
  </si>
  <si>
    <t>05120</t>
  </si>
  <si>
    <t>212005120</t>
  </si>
  <si>
    <t>Cáceres</t>
  </si>
  <si>
    <t>05125</t>
  </si>
  <si>
    <t>212505125</t>
  </si>
  <si>
    <t>Caicedo</t>
  </si>
  <si>
    <t>05129</t>
  </si>
  <si>
    <t>212905129</t>
  </si>
  <si>
    <t>Caldas</t>
  </si>
  <si>
    <t>05134</t>
  </si>
  <si>
    <t>213405134</t>
  </si>
  <si>
    <t>Campamento</t>
  </si>
  <si>
    <t>05138</t>
  </si>
  <si>
    <t>213805138</t>
  </si>
  <si>
    <t>Cañasgordas</t>
  </si>
  <si>
    <t>05142</t>
  </si>
  <si>
    <t>214205142</t>
  </si>
  <si>
    <t>Caracolí</t>
  </si>
  <si>
    <t>1. Deterioro (&lt;40)</t>
  </si>
  <si>
    <t>05145</t>
  </si>
  <si>
    <t>214505145</t>
  </si>
  <si>
    <t>Caramanta</t>
  </si>
  <si>
    <t>05147</t>
  </si>
  <si>
    <t>214705147</t>
  </si>
  <si>
    <t>Carepa</t>
  </si>
  <si>
    <t>05148</t>
  </si>
  <si>
    <t>214805148</t>
  </si>
  <si>
    <t>Carmen De Viboral</t>
  </si>
  <si>
    <t>05150</t>
  </si>
  <si>
    <t>215005150</t>
  </si>
  <si>
    <t>Carolina</t>
  </si>
  <si>
    <t>05154</t>
  </si>
  <si>
    <t>215405154</t>
  </si>
  <si>
    <t>Caucasia</t>
  </si>
  <si>
    <t>05172</t>
  </si>
  <si>
    <t>217205172</t>
  </si>
  <si>
    <t>Chigorodó</t>
  </si>
  <si>
    <t>05190</t>
  </si>
  <si>
    <t>219005190</t>
  </si>
  <si>
    <t>Cisneros</t>
  </si>
  <si>
    <t>05197</t>
  </si>
  <si>
    <t>219705197</t>
  </si>
  <si>
    <t>Cocorná</t>
  </si>
  <si>
    <t>05206</t>
  </si>
  <si>
    <t>210605206</t>
  </si>
  <si>
    <t>Concepción</t>
  </si>
  <si>
    <t>05209</t>
  </si>
  <si>
    <t>210905209</t>
  </si>
  <si>
    <t>Concordia</t>
  </si>
  <si>
    <t>05212</t>
  </si>
  <si>
    <t>211205212</t>
  </si>
  <si>
    <t>Copacabana</t>
  </si>
  <si>
    <t>4. Solvente (&gt;=70 y &lt;80)</t>
  </si>
  <si>
    <t>05234</t>
  </si>
  <si>
    <t>213405234</t>
  </si>
  <si>
    <t>Dabeiba</t>
  </si>
  <si>
    <t>05237</t>
  </si>
  <si>
    <t>213705237</t>
  </si>
  <si>
    <t>Donmatías</t>
  </si>
  <si>
    <t>05240</t>
  </si>
  <si>
    <t>214005240</t>
  </si>
  <si>
    <t>Ebéjico</t>
  </si>
  <si>
    <t>05250</t>
  </si>
  <si>
    <t>215005250</t>
  </si>
  <si>
    <t>El Bagre</t>
  </si>
  <si>
    <t>05264</t>
  </si>
  <si>
    <t>216405264</t>
  </si>
  <si>
    <t>Entrerrios</t>
  </si>
  <si>
    <t>05266</t>
  </si>
  <si>
    <t>216605266</t>
  </si>
  <si>
    <t>Envigado</t>
  </si>
  <si>
    <t>05282</t>
  </si>
  <si>
    <t>218205282</t>
  </si>
  <si>
    <t>Fredonia</t>
  </si>
  <si>
    <t>05284</t>
  </si>
  <si>
    <t>218405284</t>
  </si>
  <si>
    <t>Frontino</t>
  </si>
  <si>
    <t>05306</t>
  </si>
  <si>
    <t>210605306</t>
  </si>
  <si>
    <t>Giraldo</t>
  </si>
  <si>
    <t>05308</t>
  </si>
  <si>
    <t>210805308</t>
  </si>
  <si>
    <t>Girardota</t>
  </si>
  <si>
    <t>05310</t>
  </si>
  <si>
    <t>211005310</t>
  </si>
  <si>
    <t>Gómez Plata</t>
  </si>
  <si>
    <t>05313</t>
  </si>
  <si>
    <t>211305313</t>
  </si>
  <si>
    <t>Granada</t>
  </si>
  <si>
    <t>05315</t>
  </si>
  <si>
    <t>211505315</t>
  </si>
  <si>
    <t>Guadalupe</t>
  </si>
  <si>
    <t>05318</t>
  </si>
  <si>
    <t>211805318</t>
  </si>
  <si>
    <t>Guarne</t>
  </si>
  <si>
    <t>05321</t>
  </si>
  <si>
    <t>212105321</t>
  </si>
  <si>
    <t>Guatapé</t>
  </si>
  <si>
    <t>05347</t>
  </si>
  <si>
    <t>214705347</t>
  </si>
  <si>
    <t>Heliconia</t>
  </si>
  <si>
    <t>05353</t>
  </si>
  <si>
    <t>215305353</t>
  </si>
  <si>
    <t>Hispania</t>
  </si>
  <si>
    <t>05360</t>
  </si>
  <si>
    <t>216005360</t>
  </si>
  <si>
    <t>Itagüí</t>
  </si>
  <si>
    <t>05361</t>
  </si>
  <si>
    <t>216105361</t>
  </si>
  <si>
    <t>Ituango</t>
  </si>
  <si>
    <t>05364</t>
  </si>
  <si>
    <t>216405364</t>
  </si>
  <si>
    <t>Jardín</t>
  </si>
  <si>
    <t>05368</t>
  </si>
  <si>
    <t>216805368</t>
  </si>
  <si>
    <t>Jericó</t>
  </si>
  <si>
    <t>05376</t>
  </si>
  <si>
    <t>217605376</t>
  </si>
  <si>
    <t>La Ceja</t>
  </si>
  <si>
    <t>05380</t>
  </si>
  <si>
    <t>218005380</t>
  </si>
  <si>
    <t>La Estrella</t>
  </si>
  <si>
    <t>05390</t>
  </si>
  <si>
    <t>219005390</t>
  </si>
  <si>
    <t>La Pintada</t>
  </si>
  <si>
    <t>05400</t>
  </si>
  <si>
    <t>210005400</t>
  </si>
  <si>
    <t>La Unión</t>
  </si>
  <si>
    <t>05411</t>
  </si>
  <si>
    <t>211105411</t>
  </si>
  <si>
    <t>Liborina</t>
  </si>
  <si>
    <t>05425</t>
  </si>
  <si>
    <t>212505425</t>
  </si>
  <si>
    <t>Maceo</t>
  </si>
  <si>
    <t>05440</t>
  </si>
  <si>
    <t>214005440</t>
  </si>
  <si>
    <t>Marinilla</t>
  </si>
  <si>
    <t>05467</t>
  </si>
  <si>
    <t>216705467</t>
  </si>
  <si>
    <t>Montebello</t>
  </si>
  <si>
    <t>05475</t>
  </si>
  <si>
    <t>217505475</t>
  </si>
  <si>
    <t>Murindó</t>
  </si>
  <si>
    <t>05480</t>
  </si>
  <si>
    <t>218005480</t>
  </si>
  <si>
    <t>Mutatá</t>
  </si>
  <si>
    <t>05483</t>
  </si>
  <si>
    <t>218305483</t>
  </si>
  <si>
    <t>Nariño</t>
  </si>
  <si>
    <t>05490</t>
  </si>
  <si>
    <t>219005490</t>
  </si>
  <si>
    <t>Necoclí</t>
  </si>
  <si>
    <t>05495</t>
  </si>
  <si>
    <t>219505495</t>
  </si>
  <si>
    <t>Nechí</t>
  </si>
  <si>
    <t>05501</t>
  </si>
  <si>
    <t>210105501</t>
  </si>
  <si>
    <t>Olaya</t>
  </si>
  <si>
    <t>05541</t>
  </si>
  <si>
    <t>214105541</t>
  </si>
  <si>
    <t>Peñol</t>
  </si>
  <si>
    <t>05543</t>
  </si>
  <si>
    <t>214305543</t>
  </si>
  <si>
    <t>Peque</t>
  </si>
  <si>
    <t>05576</t>
  </si>
  <si>
    <t>217605576</t>
  </si>
  <si>
    <t>Pueblorrico</t>
  </si>
  <si>
    <t>05579</t>
  </si>
  <si>
    <t>217905579</t>
  </si>
  <si>
    <t>Puerto Berrío</t>
  </si>
  <si>
    <t>05585</t>
  </si>
  <si>
    <t>218505585</t>
  </si>
  <si>
    <t>Puerto Nare</t>
  </si>
  <si>
    <t>05591</t>
  </si>
  <si>
    <t>219105591</t>
  </si>
  <si>
    <t>Puerto Triunfo</t>
  </si>
  <si>
    <t>05604</t>
  </si>
  <si>
    <t>210405604</t>
  </si>
  <si>
    <t>Remedios</t>
  </si>
  <si>
    <t>05607</t>
  </si>
  <si>
    <t>210705607</t>
  </si>
  <si>
    <t>El Retiro</t>
  </si>
  <si>
    <t>05615</t>
  </si>
  <si>
    <t>211505615</t>
  </si>
  <si>
    <t>Rionegro</t>
  </si>
  <si>
    <t>SC - Centro Aglomeración</t>
  </si>
  <si>
    <t>05628</t>
  </si>
  <si>
    <t>212805628</t>
  </si>
  <si>
    <t>Sabanalarga</t>
  </si>
  <si>
    <t>05631</t>
  </si>
  <si>
    <t>213105631</t>
  </si>
  <si>
    <t>Sabaneta</t>
  </si>
  <si>
    <t>05642</t>
  </si>
  <si>
    <t>214205642</t>
  </si>
  <si>
    <t>Salgar</t>
  </si>
  <si>
    <t>05647</t>
  </si>
  <si>
    <t>214705647</t>
  </si>
  <si>
    <t>San Andrés de Cuerquia</t>
  </si>
  <si>
    <t>05649</t>
  </si>
  <si>
    <t>214905649</t>
  </si>
  <si>
    <t>San Carlos</t>
  </si>
  <si>
    <t>05652</t>
  </si>
  <si>
    <t>215205652</t>
  </si>
  <si>
    <t>San Francisco</t>
  </si>
  <si>
    <t>05656</t>
  </si>
  <si>
    <t>215605656</t>
  </si>
  <si>
    <t>San Jerónimo</t>
  </si>
  <si>
    <t>05658</t>
  </si>
  <si>
    <t>215805658</t>
  </si>
  <si>
    <t>San José De La Montaña</t>
  </si>
  <si>
    <t>05659</t>
  </si>
  <si>
    <t>215905659</t>
  </si>
  <si>
    <t>San Juan De Urabá</t>
  </si>
  <si>
    <t>05660</t>
  </si>
  <si>
    <t>216005660</t>
  </si>
  <si>
    <t>San Luis</t>
  </si>
  <si>
    <t>05664</t>
  </si>
  <si>
    <t>216405664</t>
  </si>
  <si>
    <t>San Pedro De Los Milagros</t>
  </si>
  <si>
    <t>05665</t>
  </si>
  <si>
    <t>216505665</t>
  </si>
  <si>
    <t>San Pedro De Urabá</t>
  </si>
  <si>
    <t>05667</t>
  </si>
  <si>
    <t>216705667</t>
  </si>
  <si>
    <t>San Rafael</t>
  </si>
  <si>
    <t>05670</t>
  </si>
  <si>
    <t>217005670</t>
  </si>
  <si>
    <t>San Roque</t>
  </si>
  <si>
    <t>05674</t>
  </si>
  <si>
    <t>217405674</t>
  </si>
  <si>
    <t>San Vicente</t>
  </si>
  <si>
    <t>05679</t>
  </si>
  <si>
    <t>217905679</t>
  </si>
  <si>
    <t>Santa Bárbara</t>
  </si>
  <si>
    <t>05686</t>
  </si>
  <si>
    <t>218605686</t>
  </si>
  <si>
    <t>Santa Rosa De Osos</t>
  </si>
  <si>
    <t>05690</t>
  </si>
  <si>
    <t>219005690</t>
  </si>
  <si>
    <t>Santo Domingo</t>
  </si>
  <si>
    <t>05697</t>
  </si>
  <si>
    <t>219705697</t>
  </si>
  <si>
    <t>Santuario</t>
  </si>
  <si>
    <t>05736</t>
  </si>
  <si>
    <t>213605736</t>
  </si>
  <si>
    <t>Segovia</t>
  </si>
  <si>
    <t>05756</t>
  </si>
  <si>
    <t>215605756</t>
  </si>
  <si>
    <t>Sonsón</t>
  </si>
  <si>
    <t>05761</t>
  </si>
  <si>
    <t>216105761</t>
  </si>
  <si>
    <t>Sopetrán</t>
  </si>
  <si>
    <t>05789</t>
  </si>
  <si>
    <t>218905789</t>
  </si>
  <si>
    <t>Támesis</t>
  </si>
  <si>
    <t>05790</t>
  </si>
  <si>
    <t>219005790</t>
  </si>
  <si>
    <t>Tarazá</t>
  </si>
  <si>
    <t>05792</t>
  </si>
  <si>
    <t>219205792</t>
  </si>
  <si>
    <t>Tarso</t>
  </si>
  <si>
    <t>05809</t>
  </si>
  <si>
    <t>210905809</t>
  </si>
  <si>
    <t>Titiribí</t>
  </si>
  <si>
    <t>05819</t>
  </si>
  <si>
    <t>211905819</t>
  </si>
  <si>
    <t>Toledo</t>
  </si>
  <si>
    <t>05837</t>
  </si>
  <si>
    <t>213705837</t>
  </si>
  <si>
    <t>Turbo</t>
  </si>
  <si>
    <t>05842</t>
  </si>
  <si>
    <t>214205842</t>
  </si>
  <si>
    <t>Uramita</t>
  </si>
  <si>
    <t>05847</t>
  </si>
  <si>
    <t>214705847</t>
  </si>
  <si>
    <t>Urrao</t>
  </si>
  <si>
    <t>05854</t>
  </si>
  <si>
    <t>215405854</t>
  </si>
  <si>
    <t>Valdivia</t>
  </si>
  <si>
    <t>05856</t>
  </si>
  <si>
    <t>215605856</t>
  </si>
  <si>
    <t>Valparaiso</t>
  </si>
  <si>
    <t>05858</t>
  </si>
  <si>
    <t>215805858</t>
  </si>
  <si>
    <t>Vegachí</t>
  </si>
  <si>
    <t>05861</t>
  </si>
  <si>
    <t>216105861</t>
  </si>
  <si>
    <t>Venecia</t>
  </si>
  <si>
    <t>05873</t>
  </si>
  <si>
    <t>217305873</t>
  </si>
  <si>
    <t>Vigía Del Fuerte</t>
  </si>
  <si>
    <t>05885</t>
  </si>
  <si>
    <t>218505885</t>
  </si>
  <si>
    <t>Yalí</t>
  </si>
  <si>
    <t>05887</t>
  </si>
  <si>
    <t>218705887</t>
  </si>
  <si>
    <t>Yarumal</t>
  </si>
  <si>
    <t>05890</t>
  </si>
  <si>
    <t>219005890</t>
  </si>
  <si>
    <t>Yolombó</t>
  </si>
  <si>
    <t>05893</t>
  </si>
  <si>
    <t>219305893</t>
  </si>
  <si>
    <t>Yondó</t>
  </si>
  <si>
    <t>05895</t>
  </si>
  <si>
    <t>219505895</t>
  </si>
  <si>
    <t>Zaragoza</t>
  </si>
  <si>
    <t>Código Entidad</t>
  </si>
  <si>
    <t>Código FUT</t>
  </si>
  <si>
    <t>Cod. Departamento</t>
  </si>
  <si>
    <t>Categoría</t>
  </si>
  <si>
    <t>Dotación Inicial</t>
  </si>
  <si>
    <t>Tipologia</t>
  </si>
  <si>
    <t>Ciudad Capital</t>
  </si>
  <si>
    <t>Dependencia de las Transferencias</t>
  </si>
  <si>
    <t>Calificación Dependencia de las Transferencias</t>
  </si>
  <si>
    <t>Relevancia FBK fijo</t>
  </si>
  <si>
    <t>Calificación Relevancia FBK fijo</t>
  </si>
  <si>
    <t>Endeudamiento Total</t>
  </si>
  <si>
    <t>Calificación Endeudamiento Total</t>
  </si>
  <si>
    <t>Ahorro Corriente</t>
  </si>
  <si>
    <t>Calificación Ahorro Corriente</t>
  </si>
  <si>
    <t>Balance Primario</t>
  </si>
  <si>
    <t>Calificación Balance Primario</t>
  </si>
  <si>
    <t>Resultados</t>
  </si>
  <si>
    <t>Calificación Resultados</t>
  </si>
  <si>
    <t>Holgura</t>
  </si>
  <si>
    <t>Calificación Holgura</t>
  </si>
  <si>
    <t>Capacidad de Programación y recuado de ingresos</t>
  </si>
  <si>
    <t>Calificación Capacidad de Programación y recuado de ingresos</t>
  </si>
  <si>
    <t>Capacidad de Ejecución de Inversión</t>
  </si>
  <si>
    <t>Calificación Capacidad de Ejecución de Inversión</t>
  </si>
  <si>
    <t>Bonificación Esfuerzo Propio</t>
  </si>
  <si>
    <t>Bonificación Catastro</t>
  </si>
  <si>
    <t>Resultado Gestión</t>
  </si>
  <si>
    <t>Gestión + Bonos</t>
  </si>
  <si>
    <t>Calificación Resultado Gestión</t>
  </si>
  <si>
    <t>IDF Sin Bonos</t>
  </si>
  <si>
    <t>IDF</t>
  </si>
  <si>
    <t>Rango</t>
  </si>
  <si>
    <t>convertir a mayúscula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</si>
  <si>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</si>
  <si>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</si>
  <si>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</si>
  <si>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</si>
  <si>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</si>
  <si>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</si>
  <si>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</si>
  <si>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</si>
  <si>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</si>
  <si>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</si>
  <si>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</si>
  <si>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</si>
  <si>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</si>
  <si>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</si>
  <si>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</si>
  <si>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</si>
  <si>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</si>
  <si>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</si>
  <si>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</si>
  <si>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</si>
  <si>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</si>
  <si>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</si>
  <si>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</si>
  <si>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</si>
  <si>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</si>
  <si>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</si>
  <si>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</si>
  <si>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</si>
  <si>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</si>
  <si>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</si>
  <si>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</si>
  <si>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</si>
  <si>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</si>
  <si>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</si>
  <si>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</si>
  <si>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</si>
  <si>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</si>
  <si>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</si>
  <si>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</si>
  <si>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</si>
  <si>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</si>
  <si>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</si>
  <si>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</si>
  <si>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</si>
  <si>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</si>
  <si>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</si>
  <si>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</si>
  <si>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</si>
  <si>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</si>
  <si>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</si>
  <si>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</si>
  <si>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</si>
  <si>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</si>
  <si>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</si>
  <si>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</si>
  <si>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</si>
  <si>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</si>
  <si>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</si>
  <si>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</si>
  <si>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</si>
  <si>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</si>
  <si>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</si>
  <si>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</si>
  <si>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</si>
  <si>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</si>
  <si>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</si>
  <si>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</si>
  <si>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</si>
  <si>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</si>
  <si>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</si>
  <si>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</si>
  <si>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</si>
  <si>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</si>
  <si>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</si>
  <si>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</si>
  <si>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PEQUE</t>
  </si>
  <si>
    <t>PUEBLORRICO</t>
  </si>
  <si>
    <t>PUERTO BERRIO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</si>
  <si>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</si>
  <si>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</si>
  <si>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</si>
  <si>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</si>
  <si>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</si>
  <si>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</si>
  <si>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</si>
  <si>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</si>
  <si>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</si>
  <si>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</si>
  <si>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</si>
  <si>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</si>
  <si>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</si>
  <si>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</si>
  <si>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</si>
  <si>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</si>
  <si>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</si>
  <si>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</si>
  <si>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</si>
  <si>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</si>
  <si>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</si>
  <si>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</si>
  <si>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</si>
  <si>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</si>
  <si>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</si>
  <si>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</si>
  <si>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</si>
  <si>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</si>
  <si>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</si>
  <si>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</si>
  <si>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</si>
  <si>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</si>
  <si>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</si>
  <si>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</si>
  <si>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</si>
  <si>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</si>
  <si>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</si>
  <si>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</si>
  <si>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</si>
  <si>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</si>
  <si>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</si>
  <si>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</si>
  <si>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</si>
  <si>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</si>
  <si>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SAN VICENTE FERRER</t>
  </si>
  <si>
    <t>El PEÑOL</t>
  </si>
  <si>
    <t>LA CEJA DEL TAMBO</t>
  </si>
  <si>
    <t>BRICEñO</t>
  </si>
  <si>
    <t>CAñASGORDAS</t>
  </si>
  <si>
    <t>EL CARMEN DE VIBORAL</t>
  </si>
  <si>
    <t>CAROLINA DEL PRINCIPE</t>
  </si>
  <si>
    <t>ITAGüI</t>
  </si>
  <si>
    <t>NARIñO</t>
  </si>
  <si>
    <t>EL PEñOL</t>
  </si>
  <si>
    <t>SAN JOSE DE LA MONTAñA</t>
  </si>
  <si>
    <t>EL SANTUARIO</t>
  </si>
  <si>
    <t>idf</t>
  </si>
  <si>
    <t>datalake</t>
  </si>
  <si>
    <t>¿coinciden?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</si>
</sst>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,##0"/>
  </numFmts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/>
      <name val="Arial Narrow"/>
      <family val="2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9169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8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164" fontId="1" fillId="0" borderId="0" xfId="0" applyNumberFormat="1" applyFont="1"/>
    <xf numFmtId="0" fontId="5" fillId="2" borderId="9" xfId="0" applyFont="1" applyFill="1" applyBorder="1"/>
    <xf numFmtId="164" fontId="5" fillId="2" borderId="9" xfId="0" applyNumberFormat="1" applyFont="1" applyFill="1" applyBorder="1"/>
    <xf numFmtId="164" fontId="0" fillId="0" borderId="0" xfId="0" applyNumberForma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4</xdr:row>
      <xdr:rowOff>57150</xdr:rowOff>
    </xdr:from>
    <xdr:to>
      <xdr:col>2</xdr:col>
      <xdr:colOff>142875</xdr:colOff>
      <xdr:row>5</xdr:row>
      <xdr:rowOff>152400</xdr:rowOff>
    </xdr:to>
    <xdr:sp macro="" textlink="">
      <xdr:nvSpPr>
        <xdr:cNvPr id="2" name="AutoShape 1" descr="Logo Departamento Nacional de Planeació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467225" y="819150"/>
          <a:ext cx="2476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1428750</xdr:colOff>
      <xdr:row>4</xdr:row>
      <xdr:rowOff>57150</xdr:rowOff>
    </xdr:from>
    <xdr:to>
      <xdr:col>7</xdr:col>
      <xdr:colOff>247650</xdr:colOff>
      <xdr:row>5</xdr:row>
      <xdr:rowOff>152400</xdr:rowOff>
    </xdr:to>
    <xdr:sp macro="" textlink="">
      <xdr:nvSpPr>
        <xdr:cNvPr id="3" name="AutoShape 3" descr="Logo Departamento Nacional de Planeació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981700" y="819150"/>
          <a:ext cx="2476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10620375" cy="1762125"/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620375" cy="1762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BV142"/>
  <sheetViews>
    <sheetView showGridLines="0" topLeftCell="AB116" workbookViewId="0">
      <selection activeCell="AI18" sqref="AI18:AI142"/>
    </sheetView>
  </sheetViews>
  <sheetFormatPr baseColWidth="10" defaultColWidth="11.44140625" defaultRowHeight="14.4" x14ac:dyDescent="0.3"/>
  <cols>
    <col min="1" max="1" width="11.44140625" customWidth="1"/>
    <col min="2" max="2" width="14.5546875" customWidth="1"/>
    <col min="3" max="3" width="11" customWidth="1"/>
    <col min="4" max="4" width="24.6640625" customWidth="1"/>
    <col min="5" max="5" width="14.109375" customWidth="1"/>
    <col min="6" max="6" width="18.88671875" customWidth="1"/>
    <col min="7" max="7" width="9.44140625" customWidth="1"/>
    <col min="8" max="8" width="14.5546875" customWidth="1"/>
    <col min="9" max="9" width="25.33203125" customWidth="1"/>
    <col min="10" max="10" width="13.88671875" customWidth="1"/>
    <col min="11" max="11" width="31.5546875" style="13" customWidth="1"/>
    <col min="12" max="12" width="42" style="13" customWidth="1"/>
    <col min="13" max="13" width="17.6640625" style="13" customWidth="1"/>
    <col min="14" max="14" width="28.109375" style="13" customWidth="1"/>
    <col min="15" max="15" width="20.33203125" style="13" customWidth="1"/>
    <col min="16" max="16" width="30.6640625" style="13" customWidth="1"/>
    <col min="17" max="17" width="16" style="13" customWidth="1"/>
    <col min="18" max="18" width="26.44140625" style="13" customWidth="1"/>
    <col min="19" max="19" width="15.88671875" style="13" customWidth="1"/>
    <col min="20" max="20" width="26.33203125" style="13" customWidth="1"/>
    <col min="21" max="21" width="10.6640625" style="13" customWidth="1"/>
    <col min="22" max="22" width="21.109375" style="13" customWidth="1"/>
    <col min="23" max="23" width="8" style="13" customWidth="1"/>
    <col min="24" max="24" width="18.44140625" style="13" customWidth="1"/>
    <col min="25" max="25" width="46.109375" style="13" customWidth="1"/>
    <col min="26" max="26" width="56.5546875" style="13" customWidth="1"/>
    <col min="27" max="27" width="33.6640625" style="13" customWidth="1"/>
    <col min="28" max="28" width="44.109375" style="13" customWidth="1"/>
    <col min="29" max="29" width="26.33203125" style="13" customWidth="1"/>
    <col min="30" max="30" width="19.88671875" style="13" customWidth="1"/>
    <col min="31" max="31" width="17.44140625" style="13" customWidth="1"/>
    <col min="32" max="32" width="15.44140625" style="13" customWidth="1"/>
    <col min="33" max="33" width="27.88671875" style="13" customWidth="1"/>
    <col min="34" max="34" width="13.33203125" style="13" customWidth="1"/>
    <col min="35" max="35" width="3.88671875" style="13" customWidth="1"/>
    <col min="36" max="36" width="23.6640625" customWidth="1"/>
    <col min="37" max="75" width="11.44140625" customWidth="1"/>
  </cols>
  <sheetData>
    <row r="6" spans="2:15" ht="23.25" customHeight="1" x14ac:dyDescent="0.45">
      <c r="B6" s="10"/>
      <c r="C6" s="10"/>
      <c r="D6" s="10"/>
      <c r="E6" s="10"/>
      <c r="F6" s="10"/>
      <c r="G6" s="10"/>
      <c r="H6" s="10"/>
      <c r="I6" s="10"/>
      <c r="J6" s="10"/>
      <c r="K6" s="9"/>
      <c r="L6" s="9"/>
      <c r="M6" s="14"/>
      <c r="N6" s="14"/>
      <c r="O6" s="14"/>
    </row>
    <row r="7" spans="2:15" ht="69.75" customHeight="1" x14ac:dyDescent="0.45">
      <c r="B7" s="10"/>
      <c r="C7" s="10"/>
      <c r="D7" s="10"/>
      <c r="E7" s="10"/>
      <c r="F7" s="10"/>
      <c r="G7" s="10"/>
      <c r="H7" s="10"/>
      <c r="I7" s="10"/>
      <c r="J7" s="10"/>
      <c r="K7" s="9"/>
      <c r="L7" s="9"/>
      <c r="M7" s="14"/>
      <c r="N7" s="14"/>
      <c r="O7" s="14"/>
    </row>
    <row r="8" spans="2:15" ht="12.75" customHeight="1" x14ac:dyDescent="0.3">
      <c r="B8" s="8" t="s">
        <v>0</v>
      </c>
      <c r="C8" s="7"/>
      <c r="D8" s="6"/>
    </row>
    <row r="9" spans="2:15" ht="11.4" customHeight="1" x14ac:dyDescent="0.3">
      <c r="B9" s="15" t="s">
        <v>1</v>
      </c>
      <c r="C9" s="5" t="s">
        <v>6</v>
      </c>
      <c r="D9" s="4"/>
    </row>
    <row r="10" spans="2:15" ht="11.4" customHeight="1" x14ac:dyDescent="0.3">
      <c r="B10" s="15" t="s">
        <v>2</v>
      </c>
      <c r="C10" s="5" t="s">
        <v>7</v>
      </c>
      <c r="D10" s="4"/>
      <c r="G10" s="11"/>
      <c r="H10" s="11"/>
    </row>
    <row r="11" spans="2:15" ht="11.4" customHeight="1" x14ac:dyDescent="0.3">
      <c r="B11" s="15" t="s">
        <v>3</v>
      </c>
      <c r="C11" s="5" t="s">
        <v>8</v>
      </c>
      <c r="D11" s="4"/>
      <c r="G11" s="11"/>
      <c r="H11" s="11"/>
    </row>
    <row r="12" spans="2:15" ht="11.4" customHeight="1" x14ac:dyDescent="0.3">
      <c r="B12" s="15" t="s">
        <v>4</v>
      </c>
      <c r="C12" s="5" t="s">
        <v>9</v>
      </c>
      <c r="D12" s="4"/>
      <c r="G12" s="11"/>
      <c r="H12" s="11"/>
    </row>
    <row r="13" spans="2:15" ht="12.75" customHeight="1" x14ac:dyDescent="0.3">
      <c r="B13" s="15" t="s">
        <v>5</v>
      </c>
      <c r="C13" s="3" t="s">
        <v>10</v>
      </c>
      <c r="D13" s="2"/>
    </row>
    <row r="14" spans="2:15" x14ac:dyDescent="0.3">
      <c r="B14" s="1"/>
      <c r="C14" s="1"/>
      <c r="D14" s="1"/>
    </row>
    <row r="17" spans="2:74" x14ac:dyDescent="0.3">
      <c r="B17" s="15" t="s">
        <v>407</v>
      </c>
      <c r="C17" s="15" t="s">
        <v>408</v>
      </c>
      <c r="D17" s="15" t="s">
        <v>4</v>
      </c>
      <c r="E17" s="15" t="s">
        <v>3</v>
      </c>
      <c r="F17" s="15" t="s">
        <v>409</v>
      </c>
      <c r="G17" s="15" t="s">
        <v>410</v>
      </c>
      <c r="H17" s="15" t="s">
        <v>411</v>
      </c>
      <c r="I17" s="15" t="s">
        <v>412</v>
      </c>
      <c r="J17" s="15" t="s">
        <v>413</v>
      </c>
      <c r="K17" s="16" t="s">
        <v>414</v>
      </c>
      <c r="L17" s="16" t="s">
        <v>415</v>
      </c>
      <c r="M17" s="16" t="s">
        <v>416</v>
      </c>
      <c r="N17" s="16" t="s">
        <v>417</v>
      </c>
      <c r="O17" s="16" t="s">
        <v>418</v>
      </c>
      <c r="P17" s="16" t="s">
        <v>419</v>
      </c>
      <c r="Q17" s="16" t="s">
        <v>420</v>
      </c>
      <c r="R17" s="16" t="s">
        <v>421</v>
      </c>
      <c r="S17" s="16" t="s">
        <v>422</v>
      </c>
      <c r="T17" s="16" t="s">
        <v>423</v>
      </c>
      <c r="U17" s="16" t="s">
        <v>424</v>
      </c>
      <c r="V17" s="16" t="s">
        <v>425</v>
      </c>
      <c r="W17" s="16" t="s">
        <v>426</v>
      </c>
      <c r="X17" s="16" t="s">
        <v>427</v>
      </c>
      <c r="Y17" s="16" t="s">
        <v>428</v>
      </c>
      <c r="Z17" s="16" t="s">
        <v>429</v>
      </c>
      <c r="AA17" s="16" t="s">
        <v>430</v>
      </c>
      <c r="AB17" s="16" t="s">
        <v>431</v>
      </c>
      <c r="AC17" s="16" t="s">
        <v>432</v>
      </c>
      <c r="AD17" s="16" t="s">
        <v>433</v>
      </c>
      <c r="AE17" s="16" t="s">
        <v>434</v>
      </c>
      <c r="AF17" s="16" t="s">
        <v>435</v>
      </c>
      <c r="AG17" s="16" t="s">
        <v>436</v>
      </c>
      <c r="AH17" s="16" t="s">
        <v>437</v>
      </c>
      <c r="AI17" s="16" t="s">
        <v>438</v>
      </c>
      <c r="AJ17" s="15" t="s">
        <v>439</v>
      </c>
    </row>
    <row r="18" spans="2:74" ht="29.25" customHeight="1" x14ac:dyDescent="0.3">
      <c r="B18" s="12" t="s">
        <v>11</v>
      </c>
      <c r="C18" s="12" t="s">
        <v>12</v>
      </c>
      <c r="D18" s="12" t="s">
        <v>13</v>
      </c>
      <c r="E18" s="12" t="s">
        <v>8</v>
      </c>
      <c r="F18" s="12" t="s">
        <v>14</v>
      </c>
      <c r="G18" s="12" t="s">
        <v>15</v>
      </c>
      <c r="H18" s="12" t="s">
        <v>16</v>
      </c>
      <c r="I18" s="12" t="s">
        <v>17</v>
      </c>
      <c r="J18" s="12" t="s">
        <v>18</v>
      </c>
      <c r="K18" s="17">
        <v>30.2516</v>
      </c>
      <c r="L18" s="17">
        <v>69.748400000000004</v>
      </c>
      <c r="M18" s="17">
        <v>10.5509</v>
      </c>
      <c r="N18" s="17">
        <v>49.151699999999998</v>
      </c>
      <c r="O18" s="17">
        <v>39.622199999999999</v>
      </c>
      <c r="P18" s="17">
        <v>60.377800000000001</v>
      </c>
      <c r="Q18" s="17">
        <v>63.043300000000002</v>
      </c>
      <c r="R18" s="17">
        <v>80</v>
      </c>
      <c r="S18" s="17">
        <v>10.6561</v>
      </c>
      <c r="T18" s="17">
        <v>60</v>
      </c>
      <c r="U18" s="17">
        <v>63.855600000000003</v>
      </c>
      <c r="V18" s="17">
        <v>51.084499999999998</v>
      </c>
      <c r="W18" s="17">
        <v>17.440000000000001</v>
      </c>
      <c r="X18" s="17">
        <v>79.236699999999999</v>
      </c>
      <c r="Y18" s="17">
        <v>118.26090000000001</v>
      </c>
      <c r="Z18" s="17">
        <v>100</v>
      </c>
      <c r="AA18" s="17">
        <v>95.509299999999996</v>
      </c>
      <c r="AB18" s="17">
        <v>100</v>
      </c>
      <c r="AC18" s="17">
        <v>0.1401</v>
      </c>
      <c r="AD18" s="17">
        <v>0</v>
      </c>
      <c r="AE18" s="17">
        <v>93.078900000000004</v>
      </c>
      <c r="AF18" s="17">
        <v>93.218999999999994</v>
      </c>
      <c r="AG18" s="17">
        <v>18.643799999999999</v>
      </c>
      <c r="AH18" s="17">
        <v>69.700299999999999</v>
      </c>
      <c r="AI18" s="17">
        <v>69.728300000000004</v>
      </c>
      <c r="AJ18" s="12" t="s">
        <v>19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</row>
    <row r="19" spans="2:74" x14ac:dyDescent="0.3">
      <c r="B19" t="s">
        <v>20</v>
      </c>
      <c r="C19" t="s">
        <v>21</v>
      </c>
      <c r="D19" t="s">
        <v>22</v>
      </c>
      <c r="E19" t="s">
        <v>8</v>
      </c>
      <c r="F19" t="s">
        <v>14</v>
      </c>
      <c r="G19" t="s">
        <v>23</v>
      </c>
      <c r="H19" t="s">
        <v>24</v>
      </c>
      <c r="I19" t="s">
        <v>25</v>
      </c>
      <c r="J19" t="s">
        <v>26</v>
      </c>
      <c r="K19" s="13">
        <v>72.881799999999998</v>
      </c>
      <c r="L19" s="13">
        <v>27.118200000000002</v>
      </c>
      <c r="M19" s="13">
        <v>5.0989000000000004</v>
      </c>
      <c r="N19" s="13">
        <v>7.1005000000000003</v>
      </c>
      <c r="O19" s="13">
        <v>37.063299999999998</v>
      </c>
      <c r="P19" s="13">
        <v>62.936700000000002</v>
      </c>
      <c r="Q19" s="13">
        <v>53.904699999999998</v>
      </c>
      <c r="R19" s="13">
        <v>70</v>
      </c>
      <c r="S19" s="13">
        <v>20.407800000000002</v>
      </c>
      <c r="T19" s="13">
        <v>20</v>
      </c>
      <c r="U19" s="13">
        <v>37.431100000000001</v>
      </c>
      <c r="V19" s="13">
        <v>29.944900000000001</v>
      </c>
      <c r="W19" s="13">
        <v>40.450000000000003</v>
      </c>
      <c r="X19" s="13">
        <v>100</v>
      </c>
      <c r="Y19" s="13">
        <v>116.3776</v>
      </c>
      <c r="Z19" s="13">
        <v>100</v>
      </c>
      <c r="AA19" s="13">
        <v>95.911699999999996</v>
      </c>
      <c r="AB19" s="13">
        <v>100</v>
      </c>
      <c r="AC19" s="13">
        <v>0</v>
      </c>
      <c r="AD19" s="13">
        <v>0</v>
      </c>
      <c r="AE19" s="13">
        <v>100</v>
      </c>
      <c r="AF19" s="13">
        <v>100</v>
      </c>
      <c r="AG19" s="13">
        <v>20</v>
      </c>
      <c r="AH19" s="13">
        <v>49.944899999999997</v>
      </c>
      <c r="AI19" s="13">
        <v>49.944899999999997</v>
      </c>
      <c r="AJ19" t="s">
        <v>27</v>
      </c>
    </row>
    <row r="20" spans="2:74" x14ac:dyDescent="0.3">
      <c r="B20" t="s">
        <v>28</v>
      </c>
      <c r="C20" t="s">
        <v>29</v>
      </c>
      <c r="D20" t="s">
        <v>30</v>
      </c>
      <c r="E20" t="s">
        <v>8</v>
      </c>
      <c r="F20" t="s">
        <v>14</v>
      </c>
      <c r="G20" t="s">
        <v>23</v>
      </c>
      <c r="H20" t="s">
        <v>31</v>
      </c>
      <c r="I20" t="s">
        <v>32</v>
      </c>
      <c r="J20" t="s">
        <v>26</v>
      </c>
      <c r="K20" s="13">
        <v>75.595100000000002</v>
      </c>
      <c r="L20" s="13">
        <v>24.404900000000001</v>
      </c>
      <c r="M20" s="13">
        <v>13.2318</v>
      </c>
      <c r="N20" s="13">
        <v>15.934900000000001</v>
      </c>
      <c r="O20" s="13">
        <v>6.4810999999999996</v>
      </c>
      <c r="P20" s="13">
        <v>93.518900000000002</v>
      </c>
      <c r="Q20" s="13">
        <v>45.871400000000001</v>
      </c>
      <c r="R20" s="13">
        <v>70</v>
      </c>
      <c r="S20" s="13">
        <v>29.398099999999999</v>
      </c>
      <c r="T20" s="13">
        <v>20</v>
      </c>
      <c r="U20" s="13">
        <v>44.771700000000003</v>
      </c>
      <c r="V20" s="13">
        <v>35.817399999999999</v>
      </c>
      <c r="W20" s="13">
        <v>35.44</v>
      </c>
      <c r="X20" s="13">
        <v>100</v>
      </c>
      <c r="Y20" s="13">
        <v>112.26049999999999</v>
      </c>
      <c r="Z20" s="13">
        <v>100</v>
      </c>
      <c r="AA20" s="13">
        <v>97.121300000000005</v>
      </c>
      <c r="AB20" s="13">
        <v>100</v>
      </c>
      <c r="AC20" s="13">
        <v>0</v>
      </c>
      <c r="AD20" s="13">
        <v>0</v>
      </c>
      <c r="AE20" s="13">
        <v>100</v>
      </c>
      <c r="AF20" s="13">
        <v>100</v>
      </c>
      <c r="AG20" s="13">
        <v>20</v>
      </c>
      <c r="AH20" s="13">
        <v>55.817399999999999</v>
      </c>
      <c r="AI20" s="13">
        <v>55.817399999999999</v>
      </c>
      <c r="AJ20" t="s">
        <v>27</v>
      </c>
    </row>
    <row r="21" spans="2:74" x14ac:dyDescent="0.3">
      <c r="B21" t="s">
        <v>33</v>
      </c>
      <c r="C21" t="s">
        <v>34</v>
      </c>
      <c r="D21" t="s">
        <v>35</v>
      </c>
      <c r="E21" t="s">
        <v>8</v>
      </c>
      <c r="F21" t="s">
        <v>14</v>
      </c>
      <c r="G21" t="s">
        <v>23</v>
      </c>
      <c r="H21" t="s">
        <v>36</v>
      </c>
      <c r="I21" t="s">
        <v>37</v>
      </c>
      <c r="J21" t="s">
        <v>26</v>
      </c>
      <c r="K21" s="13">
        <v>59.1021</v>
      </c>
      <c r="L21" s="13">
        <v>40.8979</v>
      </c>
      <c r="M21" s="13">
        <v>29.4513</v>
      </c>
      <c r="N21" s="13">
        <v>43.101500000000001</v>
      </c>
      <c r="O21" s="13">
        <v>34.325600000000001</v>
      </c>
      <c r="P21" s="13">
        <v>65.674400000000006</v>
      </c>
      <c r="Q21" s="13">
        <v>38.841799999999999</v>
      </c>
      <c r="R21" s="13">
        <v>50</v>
      </c>
      <c r="S21" s="13">
        <v>4.1635999999999997</v>
      </c>
      <c r="T21" s="13">
        <v>100</v>
      </c>
      <c r="U21" s="13">
        <v>59.934800000000003</v>
      </c>
      <c r="V21" s="13">
        <v>47.947800000000001</v>
      </c>
      <c r="W21" s="13">
        <v>17.190000000000001</v>
      </c>
      <c r="X21" s="13">
        <v>61.041400000000003</v>
      </c>
      <c r="Y21" s="13">
        <v>138.76650000000001</v>
      </c>
      <c r="Z21" s="13">
        <v>70</v>
      </c>
      <c r="AA21" s="13">
        <v>78.244</v>
      </c>
      <c r="AB21" s="13">
        <v>70</v>
      </c>
      <c r="AC21" s="13">
        <v>0</v>
      </c>
      <c r="AD21" s="13">
        <v>0</v>
      </c>
      <c r="AE21" s="13">
        <v>67.013800000000003</v>
      </c>
      <c r="AF21" s="13">
        <v>67.013800000000003</v>
      </c>
      <c r="AG21" s="13">
        <v>13.402799999999999</v>
      </c>
      <c r="AH21" s="13">
        <v>61.3506</v>
      </c>
      <c r="AI21" s="13">
        <v>61.3506</v>
      </c>
      <c r="AJ21" t="s">
        <v>19</v>
      </c>
    </row>
    <row r="22" spans="2:74" x14ac:dyDescent="0.3">
      <c r="B22" t="s">
        <v>38</v>
      </c>
      <c r="C22" t="s">
        <v>39</v>
      </c>
      <c r="D22" t="s">
        <v>40</v>
      </c>
      <c r="E22" t="s">
        <v>8</v>
      </c>
      <c r="F22" t="s">
        <v>14</v>
      </c>
      <c r="G22" t="s">
        <v>32</v>
      </c>
      <c r="H22" t="s">
        <v>36</v>
      </c>
      <c r="I22" t="s">
        <v>41</v>
      </c>
      <c r="J22" t="s">
        <v>26</v>
      </c>
      <c r="K22" s="13">
        <v>52.302900000000001</v>
      </c>
      <c r="L22" s="13">
        <v>47.697099999999999</v>
      </c>
      <c r="M22" s="13">
        <v>12.1127</v>
      </c>
      <c r="N22" s="13">
        <v>17.785599999999999</v>
      </c>
      <c r="O22" s="13">
        <v>22.659400000000002</v>
      </c>
      <c r="P22" s="13">
        <v>77.340599999999995</v>
      </c>
      <c r="Q22" s="13">
        <v>56.874499999999998</v>
      </c>
      <c r="R22" s="13">
        <v>80</v>
      </c>
      <c r="S22" s="13">
        <v>12.9505</v>
      </c>
      <c r="T22" s="13">
        <v>60</v>
      </c>
      <c r="U22" s="13">
        <v>56.564700000000002</v>
      </c>
      <c r="V22" s="13">
        <v>45.251800000000003</v>
      </c>
      <c r="W22" s="13">
        <v>33.65</v>
      </c>
      <c r="X22" s="13">
        <v>100</v>
      </c>
      <c r="Y22" s="13">
        <v>103.0438</v>
      </c>
      <c r="Z22" s="13">
        <v>100</v>
      </c>
      <c r="AA22" s="13">
        <v>91.427199999999999</v>
      </c>
      <c r="AB22" s="13">
        <v>100</v>
      </c>
      <c r="AC22" s="13">
        <v>0</v>
      </c>
      <c r="AD22" s="13">
        <v>0</v>
      </c>
      <c r="AE22" s="13">
        <v>100</v>
      </c>
      <c r="AF22" s="13">
        <v>100</v>
      </c>
      <c r="AG22" s="13">
        <v>20</v>
      </c>
      <c r="AH22" s="13">
        <v>65.251800000000003</v>
      </c>
      <c r="AI22" s="13">
        <v>65.251800000000003</v>
      </c>
      <c r="AJ22" t="s">
        <v>19</v>
      </c>
    </row>
    <row r="23" spans="2:74" x14ac:dyDescent="0.3">
      <c r="B23" t="s">
        <v>42</v>
      </c>
      <c r="C23" t="s">
        <v>43</v>
      </c>
      <c r="D23" t="s">
        <v>44</v>
      </c>
      <c r="E23" t="s">
        <v>8</v>
      </c>
      <c r="F23" t="s">
        <v>14</v>
      </c>
      <c r="G23" t="s">
        <v>23</v>
      </c>
      <c r="H23" t="s">
        <v>36</v>
      </c>
      <c r="I23" t="s">
        <v>37</v>
      </c>
      <c r="J23" t="s">
        <v>26</v>
      </c>
      <c r="K23" s="13">
        <v>63.603299999999997</v>
      </c>
      <c r="L23" s="13">
        <v>36.396700000000003</v>
      </c>
      <c r="M23" s="13">
        <v>5.0518000000000001</v>
      </c>
      <c r="N23" s="13">
        <v>7.3932000000000002</v>
      </c>
      <c r="O23" s="13">
        <v>27.800599999999999</v>
      </c>
      <c r="P23" s="13">
        <v>72.199399999999997</v>
      </c>
      <c r="Q23" s="13">
        <v>26.162600000000001</v>
      </c>
      <c r="R23" s="13">
        <v>40</v>
      </c>
      <c r="S23" s="13">
        <v>12.392099999999999</v>
      </c>
      <c r="T23" s="13">
        <v>60</v>
      </c>
      <c r="U23" s="13">
        <v>43.197899999999997</v>
      </c>
      <c r="V23" s="13">
        <v>34.558300000000003</v>
      </c>
      <c r="W23" s="13">
        <v>8.07</v>
      </c>
      <c r="X23" s="13">
        <v>28.656400000000001</v>
      </c>
      <c r="Y23" s="13">
        <v>133.1833</v>
      </c>
      <c r="Z23" s="13">
        <v>70</v>
      </c>
      <c r="AA23" s="13">
        <v>96.034099999999995</v>
      </c>
      <c r="AB23" s="13">
        <v>100</v>
      </c>
      <c r="AC23" s="13">
        <v>0</v>
      </c>
      <c r="AD23" s="13">
        <v>0</v>
      </c>
      <c r="AE23" s="13">
        <v>66.218800000000002</v>
      </c>
      <c r="AF23" s="13">
        <v>66.218800000000002</v>
      </c>
      <c r="AG23" s="13">
        <v>13.2438</v>
      </c>
      <c r="AH23" s="13">
        <v>47.802100000000003</v>
      </c>
      <c r="AI23" s="13">
        <v>47.802100000000003</v>
      </c>
      <c r="AJ23" t="s">
        <v>27</v>
      </c>
    </row>
    <row r="24" spans="2:74" x14ac:dyDescent="0.3">
      <c r="B24" t="s">
        <v>45</v>
      </c>
      <c r="C24" t="s">
        <v>46</v>
      </c>
      <c r="D24" t="s">
        <v>47</v>
      </c>
      <c r="E24" t="s">
        <v>8</v>
      </c>
      <c r="F24" t="s">
        <v>14</v>
      </c>
      <c r="G24" t="s">
        <v>23</v>
      </c>
      <c r="H24" t="s">
        <v>36</v>
      </c>
      <c r="I24" t="s">
        <v>25</v>
      </c>
      <c r="J24" t="s">
        <v>26</v>
      </c>
      <c r="K24" s="13">
        <v>63.610900000000001</v>
      </c>
      <c r="L24" s="13">
        <v>36.389099999999999</v>
      </c>
      <c r="M24" s="13">
        <v>13.4938</v>
      </c>
      <c r="N24" s="13">
        <v>18.790900000000001</v>
      </c>
      <c r="O24" s="13">
        <v>47.508600000000001</v>
      </c>
      <c r="P24" s="13">
        <v>52.491399999999999</v>
      </c>
      <c r="Q24" s="13">
        <v>47.179400000000001</v>
      </c>
      <c r="R24" s="13">
        <v>70</v>
      </c>
      <c r="S24" s="13">
        <v>4.6097000000000001</v>
      </c>
      <c r="T24" s="13">
        <v>100</v>
      </c>
      <c r="U24" s="13">
        <v>55.534300000000002</v>
      </c>
      <c r="V24" s="13">
        <v>44.427399999999999</v>
      </c>
      <c r="W24" s="13">
        <v>26.62</v>
      </c>
      <c r="X24" s="13">
        <v>94.527199999999993</v>
      </c>
      <c r="Y24" s="13">
        <v>113.2948</v>
      </c>
      <c r="Z24" s="13">
        <v>100</v>
      </c>
      <c r="AA24" s="13">
        <v>88.4358</v>
      </c>
      <c r="AB24" s="13">
        <v>80</v>
      </c>
      <c r="AC24" s="13">
        <v>0.13850000000000001</v>
      </c>
      <c r="AD24" s="13">
        <v>2</v>
      </c>
      <c r="AE24" s="13">
        <v>91.509100000000004</v>
      </c>
      <c r="AF24" s="13">
        <v>93.647599999999997</v>
      </c>
      <c r="AG24" s="13">
        <v>18.729500000000002</v>
      </c>
      <c r="AH24" s="13">
        <v>62.729199999999999</v>
      </c>
      <c r="AI24" s="13">
        <v>63.1569</v>
      </c>
      <c r="AJ24" t="s">
        <v>19</v>
      </c>
    </row>
    <row r="25" spans="2:74" x14ac:dyDescent="0.3">
      <c r="B25" t="s">
        <v>48</v>
      </c>
      <c r="C25" t="s">
        <v>49</v>
      </c>
      <c r="D25" t="s">
        <v>50</v>
      </c>
      <c r="E25" t="s">
        <v>8</v>
      </c>
      <c r="F25" t="s">
        <v>14</v>
      </c>
      <c r="G25" t="s">
        <v>23</v>
      </c>
      <c r="H25" t="s">
        <v>36</v>
      </c>
      <c r="I25" t="s">
        <v>25</v>
      </c>
      <c r="J25" t="s">
        <v>26</v>
      </c>
      <c r="K25" s="13">
        <v>66.972200000000001</v>
      </c>
      <c r="L25" s="13">
        <v>33.027799999999999</v>
      </c>
      <c r="M25" s="13">
        <v>10.2624</v>
      </c>
      <c r="N25" s="13">
        <v>14.291</v>
      </c>
      <c r="O25" s="13">
        <v>24.6785</v>
      </c>
      <c r="P25" s="13">
        <v>75.3215</v>
      </c>
      <c r="Q25" s="13">
        <v>33.3339</v>
      </c>
      <c r="R25" s="13">
        <v>40</v>
      </c>
      <c r="S25" s="13">
        <v>20.184899999999999</v>
      </c>
      <c r="T25" s="13">
        <v>20</v>
      </c>
      <c r="U25" s="13">
        <v>36.528100000000002</v>
      </c>
      <c r="V25" s="13">
        <v>29.2225</v>
      </c>
      <c r="W25" s="13">
        <v>10</v>
      </c>
      <c r="X25" s="13">
        <v>35.509900000000002</v>
      </c>
      <c r="Y25" s="13">
        <v>130.49199999999999</v>
      </c>
      <c r="Z25" s="13">
        <v>70</v>
      </c>
      <c r="AA25" s="13">
        <v>90.799400000000006</v>
      </c>
      <c r="AB25" s="13">
        <v>100</v>
      </c>
      <c r="AC25" s="13">
        <v>0</v>
      </c>
      <c r="AD25" s="13">
        <v>0</v>
      </c>
      <c r="AE25" s="13">
        <v>68.503299999999996</v>
      </c>
      <c r="AF25" s="13">
        <v>68.503299999999996</v>
      </c>
      <c r="AG25" s="13">
        <v>13.700699999999999</v>
      </c>
      <c r="AH25" s="13">
        <v>42.923200000000001</v>
      </c>
      <c r="AI25" s="13">
        <v>42.923200000000001</v>
      </c>
      <c r="AJ25" t="s">
        <v>27</v>
      </c>
    </row>
    <row r="26" spans="2:74" x14ac:dyDescent="0.3">
      <c r="B26" t="s">
        <v>51</v>
      </c>
      <c r="C26" t="s">
        <v>52</v>
      </c>
      <c r="D26" t="s">
        <v>53</v>
      </c>
      <c r="E26" t="s">
        <v>8</v>
      </c>
      <c r="F26" t="s">
        <v>14</v>
      </c>
      <c r="G26" t="s">
        <v>23</v>
      </c>
      <c r="H26" t="s">
        <v>31</v>
      </c>
      <c r="I26" t="s">
        <v>25</v>
      </c>
      <c r="J26" t="s">
        <v>26</v>
      </c>
      <c r="K26" s="13">
        <v>72.650599999999997</v>
      </c>
      <c r="L26" s="13">
        <v>27.349399999999999</v>
      </c>
      <c r="M26" s="13">
        <v>18.265000000000001</v>
      </c>
      <c r="N26" s="13">
        <v>25.434999999999999</v>
      </c>
      <c r="O26" s="13">
        <v>23.883500000000002</v>
      </c>
      <c r="P26" s="13">
        <v>76.116500000000002</v>
      </c>
      <c r="Q26" s="13">
        <v>28.0837</v>
      </c>
      <c r="R26" s="13">
        <v>40</v>
      </c>
      <c r="S26" s="13">
        <v>12.773400000000001</v>
      </c>
      <c r="T26" s="13">
        <v>60</v>
      </c>
      <c r="U26" s="13">
        <v>45.780200000000001</v>
      </c>
      <c r="V26" s="13">
        <v>36.624200000000002</v>
      </c>
      <c r="W26" s="13">
        <v>17.61</v>
      </c>
      <c r="X26" s="13">
        <v>62.532800000000002</v>
      </c>
      <c r="Y26" s="13">
        <v>98.655000000000001</v>
      </c>
      <c r="Z26" s="13">
        <v>100</v>
      </c>
      <c r="AA26" s="13">
        <v>95.226299999999995</v>
      </c>
      <c r="AB26" s="13">
        <v>100</v>
      </c>
      <c r="AC26" s="13">
        <v>0</v>
      </c>
      <c r="AD26" s="13">
        <v>0</v>
      </c>
      <c r="AE26" s="13">
        <v>87.510900000000007</v>
      </c>
      <c r="AF26" s="13">
        <v>87.510900000000007</v>
      </c>
      <c r="AG26" s="13">
        <v>17.502199999999998</v>
      </c>
      <c r="AH26" s="13">
        <v>54.126399999999997</v>
      </c>
      <c r="AI26" s="13">
        <v>54.126399999999997</v>
      </c>
      <c r="AJ26" t="s">
        <v>27</v>
      </c>
    </row>
    <row r="27" spans="2:74" x14ac:dyDescent="0.3">
      <c r="B27" t="s">
        <v>54</v>
      </c>
      <c r="C27" t="s">
        <v>55</v>
      </c>
      <c r="D27" t="s">
        <v>56</v>
      </c>
      <c r="E27" t="s">
        <v>8</v>
      </c>
      <c r="F27" t="s">
        <v>14</v>
      </c>
      <c r="G27" t="s">
        <v>23</v>
      </c>
      <c r="H27" t="s">
        <v>24</v>
      </c>
      <c r="I27" t="s">
        <v>37</v>
      </c>
      <c r="J27" t="s">
        <v>26</v>
      </c>
      <c r="K27" s="13">
        <v>74.972700000000003</v>
      </c>
      <c r="L27" s="13">
        <v>25.0273</v>
      </c>
      <c r="M27" s="13">
        <v>6.7965</v>
      </c>
      <c r="N27" s="13">
        <v>9.9466000000000001</v>
      </c>
      <c r="O27" s="13">
        <v>11.079599999999999</v>
      </c>
      <c r="P27" s="13">
        <v>88.920400000000001</v>
      </c>
      <c r="Q27" s="13">
        <v>41.7333</v>
      </c>
      <c r="R27" s="13">
        <v>50</v>
      </c>
      <c r="S27" s="13">
        <v>7.9819000000000004</v>
      </c>
      <c r="T27" s="13">
        <v>80</v>
      </c>
      <c r="U27" s="13">
        <v>50.7789</v>
      </c>
      <c r="V27" s="13">
        <v>40.623100000000001</v>
      </c>
      <c r="W27" s="13">
        <v>15.26</v>
      </c>
      <c r="X27" s="13">
        <v>54.188000000000002</v>
      </c>
      <c r="Y27" s="13">
        <v>156.4306</v>
      </c>
      <c r="Z27" s="13">
        <v>0</v>
      </c>
      <c r="AA27" s="13">
        <v>89.092799999999997</v>
      </c>
      <c r="AB27" s="13">
        <v>80</v>
      </c>
      <c r="AC27" s="13">
        <v>0</v>
      </c>
      <c r="AD27" s="13">
        <v>0</v>
      </c>
      <c r="AE27" s="13">
        <v>44.729300000000002</v>
      </c>
      <c r="AF27" s="13">
        <v>44.729300000000002</v>
      </c>
      <c r="AG27" s="13">
        <v>8.9459</v>
      </c>
      <c r="AH27" s="13">
        <v>49.569000000000003</v>
      </c>
      <c r="AI27" s="13">
        <v>49.569000000000003</v>
      </c>
      <c r="AJ27" t="s">
        <v>27</v>
      </c>
    </row>
    <row r="28" spans="2:74" x14ac:dyDescent="0.3">
      <c r="B28" t="s">
        <v>57</v>
      </c>
      <c r="C28" t="s">
        <v>58</v>
      </c>
      <c r="D28" t="s">
        <v>59</v>
      </c>
      <c r="E28" t="s">
        <v>8</v>
      </c>
      <c r="F28" t="s">
        <v>14</v>
      </c>
      <c r="G28" t="s">
        <v>32</v>
      </c>
      <c r="H28" t="s">
        <v>60</v>
      </c>
      <c r="I28" t="s">
        <v>25</v>
      </c>
      <c r="J28" t="s">
        <v>26</v>
      </c>
      <c r="K28" s="13">
        <v>44.0259</v>
      </c>
      <c r="L28" s="13">
        <v>55.9741</v>
      </c>
      <c r="M28" s="13">
        <v>16.945900000000002</v>
      </c>
      <c r="N28" s="13">
        <v>23.598099999999999</v>
      </c>
      <c r="O28" s="13">
        <v>26.6858</v>
      </c>
      <c r="P28" s="13">
        <v>73.3142</v>
      </c>
      <c r="Q28" s="13">
        <v>51.177300000000002</v>
      </c>
      <c r="R28" s="13">
        <v>70</v>
      </c>
      <c r="S28" s="13">
        <v>5.7415000000000003</v>
      </c>
      <c r="T28" s="13">
        <v>80</v>
      </c>
      <c r="U28" s="13">
        <v>60.577300000000001</v>
      </c>
      <c r="V28" s="13">
        <v>48.461799999999997</v>
      </c>
      <c r="W28" s="13">
        <v>26.67</v>
      </c>
      <c r="X28" s="13">
        <v>91.729600000000005</v>
      </c>
      <c r="Y28" s="13">
        <v>120.7039</v>
      </c>
      <c r="Z28" s="13">
        <v>80</v>
      </c>
      <c r="AA28" s="13">
        <v>86.491</v>
      </c>
      <c r="AB28" s="13">
        <v>80</v>
      </c>
      <c r="AC28" s="13">
        <v>0.14299999999999999</v>
      </c>
      <c r="AD28" s="13">
        <v>0</v>
      </c>
      <c r="AE28" s="13">
        <v>83.909899999999993</v>
      </c>
      <c r="AF28" s="13">
        <v>84.052899999999994</v>
      </c>
      <c r="AG28" s="13">
        <v>16.810600000000001</v>
      </c>
      <c r="AH28" s="13">
        <v>65.243799999999993</v>
      </c>
      <c r="AI28" s="13">
        <v>65.272400000000005</v>
      </c>
      <c r="AJ28" t="s">
        <v>19</v>
      </c>
    </row>
    <row r="29" spans="2:74" x14ac:dyDescent="0.3">
      <c r="B29" t="s">
        <v>61</v>
      </c>
      <c r="C29" t="s">
        <v>62</v>
      </c>
      <c r="D29" t="s">
        <v>63</v>
      </c>
      <c r="E29" t="s">
        <v>8</v>
      </c>
      <c r="F29" t="s">
        <v>14</v>
      </c>
      <c r="G29" t="s">
        <v>23</v>
      </c>
      <c r="H29" t="s">
        <v>31</v>
      </c>
      <c r="I29" t="s">
        <v>25</v>
      </c>
      <c r="J29" t="s">
        <v>26</v>
      </c>
      <c r="K29" s="13">
        <v>70.340900000000005</v>
      </c>
      <c r="L29" s="13">
        <v>29.659099999999999</v>
      </c>
      <c r="M29" s="13">
        <v>10.827500000000001</v>
      </c>
      <c r="N29" s="13">
        <v>15.0779</v>
      </c>
      <c r="O29" s="13">
        <v>42.247599999999998</v>
      </c>
      <c r="P29" s="13">
        <v>57.752400000000002</v>
      </c>
      <c r="Q29" s="13">
        <v>35.487000000000002</v>
      </c>
      <c r="R29" s="13">
        <v>50</v>
      </c>
      <c r="S29" s="13">
        <v>16.494700000000002</v>
      </c>
      <c r="T29" s="13">
        <v>40</v>
      </c>
      <c r="U29" s="13">
        <v>38.497900000000001</v>
      </c>
      <c r="V29" s="13">
        <v>30.798300000000001</v>
      </c>
      <c r="W29" s="13">
        <v>16.09</v>
      </c>
      <c r="X29" s="13">
        <v>57.135300000000001</v>
      </c>
      <c r="Y29" s="13">
        <v>109.8827</v>
      </c>
      <c r="Z29" s="13">
        <v>100</v>
      </c>
      <c r="AA29" s="13">
        <v>95.847499999999997</v>
      </c>
      <c r="AB29" s="13">
        <v>100</v>
      </c>
      <c r="AC29" s="13">
        <v>0</v>
      </c>
      <c r="AD29" s="13">
        <v>0</v>
      </c>
      <c r="AE29" s="13">
        <v>85.711799999999997</v>
      </c>
      <c r="AF29" s="13">
        <v>85.711799999999997</v>
      </c>
      <c r="AG29" s="13">
        <v>17.142399999999999</v>
      </c>
      <c r="AH29" s="13">
        <v>47.9407</v>
      </c>
      <c r="AI29" s="13">
        <v>47.9407</v>
      </c>
      <c r="AJ29" t="s">
        <v>27</v>
      </c>
    </row>
    <row r="30" spans="2:74" x14ac:dyDescent="0.3">
      <c r="B30" t="s">
        <v>64</v>
      </c>
      <c r="C30" t="s">
        <v>65</v>
      </c>
      <c r="D30" t="s">
        <v>66</v>
      </c>
      <c r="E30" t="s">
        <v>8</v>
      </c>
      <c r="F30" t="s">
        <v>14</v>
      </c>
      <c r="G30" t="s">
        <v>25</v>
      </c>
      <c r="H30" t="s">
        <v>60</v>
      </c>
      <c r="I30" t="s">
        <v>41</v>
      </c>
      <c r="J30" t="s">
        <v>26</v>
      </c>
      <c r="K30" s="13">
        <v>73.545400000000001</v>
      </c>
      <c r="L30" s="13">
        <v>26.454599999999999</v>
      </c>
      <c r="M30" s="13">
        <v>7.8525999999999998</v>
      </c>
      <c r="N30" s="13">
        <v>11.5303</v>
      </c>
      <c r="O30" s="13">
        <v>30.992899999999999</v>
      </c>
      <c r="P30" s="13">
        <v>69.007099999999994</v>
      </c>
      <c r="Q30" s="13">
        <v>40.0244</v>
      </c>
      <c r="R30" s="13">
        <v>50</v>
      </c>
      <c r="S30" s="13">
        <v>6.0317999999999996</v>
      </c>
      <c r="T30" s="13">
        <v>80</v>
      </c>
      <c r="U30" s="13">
        <v>47.398400000000002</v>
      </c>
      <c r="V30" s="13">
        <v>37.918700000000001</v>
      </c>
      <c r="W30" s="13">
        <v>5.05</v>
      </c>
      <c r="X30" s="13">
        <v>21.9756</v>
      </c>
      <c r="Y30" s="13">
        <v>84.408299999999997</v>
      </c>
      <c r="Z30" s="13">
        <v>80</v>
      </c>
      <c r="AA30" s="13">
        <v>95.224100000000007</v>
      </c>
      <c r="AB30" s="13">
        <v>100</v>
      </c>
      <c r="AC30" s="13">
        <v>0</v>
      </c>
      <c r="AD30" s="13">
        <v>0</v>
      </c>
      <c r="AE30" s="13">
        <v>67.325199999999995</v>
      </c>
      <c r="AF30" s="13">
        <v>67.325199999999995</v>
      </c>
      <c r="AG30" s="13">
        <v>13.465</v>
      </c>
      <c r="AH30" s="13">
        <v>51.383699999999997</v>
      </c>
      <c r="AI30" s="13">
        <v>51.383699999999997</v>
      </c>
      <c r="AJ30" t="s">
        <v>27</v>
      </c>
    </row>
    <row r="31" spans="2:74" x14ac:dyDescent="0.3">
      <c r="B31" t="s">
        <v>67</v>
      </c>
      <c r="C31" t="s">
        <v>68</v>
      </c>
      <c r="D31" t="s">
        <v>69</v>
      </c>
      <c r="E31" t="s">
        <v>8</v>
      </c>
      <c r="F31" t="s">
        <v>14</v>
      </c>
      <c r="G31" t="s">
        <v>23</v>
      </c>
      <c r="H31" t="s">
        <v>24</v>
      </c>
      <c r="I31" t="s">
        <v>37</v>
      </c>
      <c r="J31" t="s">
        <v>26</v>
      </c>
      <c r="K31" s="13">
        <v>76.394499999999994</v>
      </c>
      <c r="L31" s="13">
        <v>23.605499999999999</v>
      </c>
      <c r="M31" s="13">
        <v>36.259700000000002</v>
      </c>
      <c r="N31" s="13">
        <v>53.0655</v>
      </c>
      <c r="O31" s="13">
        <v>38.771799999999999</v>
      </c>
      <c r="P31" s="13">
        <v>61.228200000000001</v>
      </c>
      <c r="Q31" s="13">
        <v>45.732900000000001</v>
      </c>
      <c r="R31" s="13">
        <v>70</v>
      </c>
      <c r="S31" s="13">
        <v>12.552199999999999</v>
      </c>
      <c r="T31" s="13">
        <v>60</v>
      </c>
      <c r="U31" s="13">
        <v>53.579799999999999</v>
      </c>
      <c r="V31" s="13">
        <v>42.863799999999998</v>
      </c>
      <c r="W31" s="13">
        <v>16.79</v>
      </c>
      <c r="X31" s="13">
        <v>59.621000000000002</v>
      </c>
      <c r="Y31" s="13">
        <v>97.428200000000004</v>
      </c>
      <c r="Z31" s="13">
        <v>100</v>
      </c>
      <c r="AA31" s="13">
        <v>89.6066</v>
      </c>
      <c r="AB31" s="13">
        <v>80</v>
      </c>
      <c r="AC31" s="13">
        <v>0</v>
      </c>
      <c r="AD31" s="13">
        <v>0</v>
      </c>
      <c r="AE31" s="13">
        <v>79.873699999999999</v>
      </c>
      <c r="AF31" s="13">
        <v>79.873699999999999</v>
      </c>
      <c r="AG31" s="13">
        <v>15.9747</v>
      </c>
      <c r="AH31" s="13">
        <v>58.838500000000003</v>
      </c>
      <c r="AI31" s="13">
        <v>58.838500000000003</v>
      </c>
      <c r="AJ31" t="s">
        <v>27</v>
      </c>
    </row>
    <row r="32" spans="2:74" x14ac:dyDescent="0.3">
      <c r="B32" t="s">
        <v>70</v>
      </c>
      <c r="C32" t="s">
        <v>71</v>
      </c>
      <c r="D32" t="s">
        <v>72</v>
      </c>
      <c r="E32" t="s">
        <v>8</v>
      </c>
      <c r="F32" t="s">
        <v>14</v>
      </c>
      <c r="G32" t="s">
        <v>23</v>
      </c>
      <c r="H32" t="s">
        <v>24</v>
      </c>
      <c r="I32" t="s">
        <v>37</v>
      </c>
      <c r="J32" t="s">
        <v>26</v>
      </c>
      <c r="K32" s="13">
        <v>79.541499999999999</v>
      </c>
      <c r="L32" s="13">
        <v>20.458500000000001</v>
      </c>
      <c r="M32" s="13">
        <v>12.8185</v>
      </c>
      <c r="N32" s="13">
        <v>18.759699999999999</v>
      </c>
      <c r="O32" s="13">
        <v>39.652299999999997</v>
      </c>
      <c r="P32" s="13">
        <v>60.347700000000003</v>
      </c>
      <c r="Q32" s="13">
        <v>39.135199999999998</v>
      </c>
      <c r="R32" s="13">
        <v>50</v>
      </c>
      <c r="S32" s="13">
        <v>16.0533</v>
      </c>
      <c r="T32" s="13">
        <v>40</v>
      </c>
      <c r="U32" s="13">
        <v>37.913200000000003</v>
      </c>
      <c r="V32" s="13">
        <v>30.3306</v>
      </c>
      <c r="W32" s="13">
        <v>24.67</v>
      </c>
      <c r="X32" s="13">
        <v>87.602800000000002</v>
      </c>
      <c r="Y32" s="13">
        <v>148.10720000000001</v>
      </c>
      <c r="Z32" s="13">
        <v>60</v>
      </c>
      <c r="AA32" s="13">
        <v>87.241200000000006</v>
      </c>
      <c r="AB32" s="13">
        <v>80</v>
      </c>
      <c r="AC32" s="13">
        <v>0</v>
      </c>
      <c r="AD32" s="13">
        <v>0</v>
      </c>
      <c r="AE32" s="13">
        <v>75.867599999999996</v>
      </c>
      <c r="AF32" s="13">
        <v>75.867599999999996</v>
      </c>
      <c r="AG32" s="13">
        <v>15.173500000000001</v>
      </c>
      <c r="AH32" s="13">
        <v>45.504100000000001</v>
      </c>
      <c r="AI32" s="13">
        <v>45.504100000000001</v>
      </c>
      <c r="AJ32" t="s">
        <v>27</v>
      </c>
    </row>
    <row r="33" spans="2:36" x14ac:dyDescent="0.3">
      <c r="B33" t="s">
        <v>73</v>
      </c>
      <c r="C33" t="s">
        <v>74</v>
      </c>
      <c r="D33" t="s">
        <v>75</v>
      </c>
      <c r="E33" t="s">
        <v>8</v>
      </c>
      <c r="F33" t="s">
        <v>14</v>
      </c>
      <c r="G33" t="s">
        <v>23</v>
      </c>
      <c r="H33" t="s">
        <v>24</v>
      </c>
      <c r="I33" t="s">
        <v>37</v>
      </c>
      <c r="J33" t="s">
        <v>26</v>
      </c>
      <c r="K33" s="13">
        <v>74.911699999999996</v>
      </c>
      <c r="L33" s="13">
        <v>25.0883</v>
      </c>
      <c r="M33" s="13">
        <v>3.2574999999999998</v>
      </c>
      <c r="N33" s="13">
        <v>4.7672999999999996</v>
      </c>
      <c r="O33" s="13">
        <v>21.544</v>
      </c>
      <c r="P33" s="13">
        <v>78.456000000000003</v>
      </c>
      <c r="Q33" s="13">
        <v>15.166700000000001</v>
      </c>
      <c r="R33" s="13">
        <v>30</v>
      </c>
      <c r="S33" s="13">
        <v>27.989899999999999</v>
      </c>
      <c r="T33" s="13">
        <v>20</v>
      </c>
      <c r="U33" s="13">
        <v>31.662299999999998</v>
      </c>
      <c r="V33" s="13">
        <v>25.329799999999999</v>
      </c>
      <c r="W33" s="13">
        <v>13.86</v>
      </c>
      <c r="X33" s="13">
        <v>49.216700000000003</v>
      </c>
      <c r="Y33" s="13">
        <v>84.918599999999998</v>
      </c>
      <c r="Z33" s="13">
        <v>80</v>
      </c>
      <c r="AA33" s="13">
        <v>96.299899999999994</v>
      </c>
      <c r="AB33" s="13">
        <v>100</v>
      </c>
      <c r="AC33" s="13">
        <v>0</v>
      </c>
      <c r="AD33" s="13">
        <v>0</v>
      </c>
      <c r="AE33" s="13">
        <v>76.405600000000007</v>
      </c>
      <c r="AF33" s="13">
        <v>76.405600000000007</v>
      </c>
      <c r="AG33" s="13">
        <v>15.2811</v>
      </c>
      <c r="AH33" s="13">
        <v>40.610900000000001</v>
      </c>
      <c r="AI33" s="13">
        <v>40.610900000000001</v>
      </c>
      <c r="AJ33" t="s">
        <v>27</v>
      </c>
    </row>
    <row r="34" spans="2:36" x14ac:dyDescent="0.3">
      <c r="B34" t="s">
        <v>76</v>
      </c>
      <c r="C34" t="s">
        <v>77</v>
      </c>
      <c r="D34" t="s">
        <v>78</v>
      </c>
      <c r="E34" t="s">
        <v>8</v>
      </c>
      <c r="F34" t="s">
        <v>14</v>
      </c>
      <c r="G34" t="s">
        <v>37</v>
      </c>
      <c r="H34" t="s">
        <v>60</v>
      </c>
      <c r="I34" t="s">
        <v>25</v>
      </c>
      <c r="J34" t="s">
        <v>26</v>
      </c>
      <c r="K34" s="13">
        <v>40.1282</v>
      </c>
      <c r="L34" s="13">
        <v>59.8718</v>
      </c>
      <c r="M34" s="13">
        <v>10.963699999999999</v>
      </c>
      <c r="N34" s="13">
        <v>15.2676</v>
      </c>
      <c r="O34" s="13">
        <v>20.3901</v>
      </c>
      <c r="P34" s="13">
        <v>79.609899999999996</v>
      </c>
      <c r="Q34" s="13">
        <v>44.604199999999999</v>
      </c>
      <c r="R34" s="13">
        <v>50</v>
      </c>
      <c r="S34" s="13">
        <v>18.097999999999999</v>
      </c>
      <c r="T34" s="13">
        <v>40</v>
      </c>
      <c r="U34" s="13">
        <v>48.9499</v>
      </c>
      <c r="V34" s="13">
        <v>39.1599</v>
      </c>
      <c r="W34" s="13">
        <v>20.62</v>
      </c>
      <c r="X34" s="13">
        <v>76.369200000000006</v>
      </c>
      <c r="Y34" s="13">
        <v>101.8167</v>
      </c>
      <c r="Z34" s="13">
        <v>100</v>
      </c>
      <c r="AA34" s="13">
        <v>91.477000000000004</v>
      </c>
      <c r="AB34" s="13">
        <v>100</v>
      </c>
      <c r="AC34" s="13">
        <v>0</v>
      </c>
      <c r="AD34" s="13">
        <v>2</v>
      </c>
      <c r="AE34" s="13">
        <v>92.123099999999994</v>
      </c>
      <c r="AF34" s="13">
        <v>94.123099999999994</v>
      </c>
      <c r="AG34" s="13">
        <v>18.8246</v>
      </c>
      <c r="AH34" s="13">
        <v>57.584499999999998</v>
      </c>
      <c r="AI34" s="13">
        <v>57.984499999999997</v>
      </c>
      <c r="AJ34" t="s">
        <v>27</v>
      </c>
    </row>
    <row r="35" spans="2:36" x14ac:dyDescent="0.3">
      <c r="B35" t="s">
        <v>79</v>
      </c>
      <c r="C35" t="s">
        <v>80</v>
      </c>
      <c r="D35" t="s">
        <v>81</v>
      </c>
      <c r="E35" t="s">
        <v>8</v>
      </c>
      <c r="F35" t="s">
        <v>14</v>
      </c>
      <c r="G35" t="s">
        <v>23</v>
      </c>
      <c r="H35" t="s">
        <v>31</v>
      </c>
      <c r="I35" t="s">
        <v>25</v>
      </c>
      <c r="J35" t="s">
        <v>26</v>
      </c>
      <c r="K35" s="13">
        <v>52.738599999999998</v>
      </c>
      <c r="L35" s="13">
        <v>47.261400000000002</v>
      </c>
      <c r="M35" s="13">
        <v>5.7583000000000002</v>
      </c>
      <c r="N35" s="13">
        <v>8.0188000000000006</v>
      </c>
      <c r="O35" s="13">
        <v>28.497199999999999</v>
      </c>
      <c r="P35" s="13">
        <v>71.502799999999993</v>
      </c>
      <c r="Q35" s="13">
        <v>35.678199999999997</v>
      </c>
      <c r="R35" s="13">
        <v>50</v>
      </c>
      <c r="S35" s="13">
        <v>22.602900000000002</v>
      </c>
      <c r="T35" s="13">
        <v>20</v>
      </c>
      <c r="U35" s="13">
        <v>39.3566</v>
      </c>
      <c r="V35" s="13">
        <v>31.485299999999999</v>
      </c>
      <c r="W35" s="13">
        <v>24.21</v>
      </c>
      <c r="X35" s="13">
        <v>85.969300000000004</v>
      </c>
      <c r="Y35" s="13">
        <v>147.14420000000001</v>
      </c>
      <c r="Z35" s="13">
        <v>60</v>
      </c>
      <c r="AA35" s="13">
        <v>98.780900000000003</v>
      </c>
      <c r="AB35" s="13">
        <v>100</v>
      </c>
      <c r="AC35" s="13">
        <v>0.35680000000000001</v>
      </c>
      <c r="AD35" s="13">
        <v>0</v>
      </c>
      <c r="AE35" s="13">
        <v>81.989800000000002</v>
      </c>
      <c r="AF35" s="13">
        <v>82.346599999999995</v>
      </c>
      <c r="AG35" s="13">
        <v>16.4693</v>
      </c>
      <c r="AH35" s="13">
        <v>47.883299999999998</v>
      </c>
      <c r="AI35" s="13">
        <v>47.954599999999999</v>
      </c>
      <c r="AJ35" t="s">
        <v>27</v>
      </c>
    </row>
    <row r="36" spans="2:36" x14ac:dyDescent="0.3">
      <c r="B36" t="s">
        <v>82</v>
      </c>
      <c r="C36" t="s">
        <v>83</v>
      </c>
      <c r="D36" t="s">
        <v>84</v>
      </c>
      <c r="E36" t="s">
        <v>8</v>
      </c>
      <c r="F36" t="s">
        <v>14</v>
      </c>
      <c r="G36" t="s">
        <v>85</v>
      </c>
      <c r="H36" t="s">
        <v>60</v>
      </c>
      <c r="I36" t="s">
        <v>85</v>
      </c>
      <c r="J36" t="s">
        <v>26</v>
      </c>
      <c r="K36" s="13">
        <v>46.805300000000003</v>
      </c>
      <c r="L36" s="13">
        <v>53.194699999999997</v>
      </c>
      <c r="M36" s="13">
        <v>16.951899999999998</v>
      </c>
      <c r="N36" s="13">
        <v>29.432099999999998</v>
      </c>
      <c r="O36" s="13">
        <v>33.482199999999999</v>
      </c>
      <c r="P36" s="13">
        <v>66.517799999999994</v>
      </c>
      <c r="Q36" s="13">
        <v>63.1126</v>
      </c>
      <c r="R36" s="13">
        <v>80</v>
      </c>
      <c r="S36" s="13">
        <v>-2.5992999999999999</v>
      </c>
      <c r="T36" s="13">
        <v>100</v>
      </c>
      <c r="U36" s="13">
        <v>65.828900000000004</v>
      </c>
      <c r="V36" s="13">
        <v>52.6631</v>
      </c>
      <c r="W36" s="13">
        <v>16.829999999999998</v>
      </c>
      <c r="X36" s="13">
        <v>69.6404</v>
      </c>
      <c r="Y36" s="13">
        <v>123.3322</v>
      </c>
      <c r="Z36" s="13">
        <v>80</v>
      </c>
      <c r="AA36" s="13">
        <v>88.331800000000001</v>
      </c>
      <c r="AB36" s="13">
        <v>80</v>
      </c>
      <c r="AC36" s="13">
        <v>0.10009999999999999</v>
      </c>
      <c r="AD36" s="13">
        <v>2</v>
      </c>
      <c r="AE36" s="13">
        <v>76.546800000000005</v>
      </c>
      <c r="AF36" s="13">
        <v>78.646900000000002</v>
      </c>
      <c r="AG36" s="13">
        <v>15.7294</v>
      </c>
      <c r="AH36" s="13">
        <v>67.972499999999997</v>
      </c>
      <c r="AI36" s="13">
        <v>68.392499999999998</v>
      </c>
      <c r="AJ36" t="s">
        <v>19</v>
      </c>
    </row>
    <row r="37" spans="2:36" x14ac:dyDescent="0.3">
      <c r="B37" t="s">
        <v>86</v>
      </c>
      <c r="C37" t="s">
        <v>87</v>
      </c>
      <c r="D37" t="s">
        <v>88</v>
      </c>
      <c r="E37" t="s">
        <v>8</v>
      </c>
      <c r="F37" t="s">
        <v>14</v>
      </c>
      <c r="G37" t="s">
        <v>23</v>
      </c>
      <c r="H37" t="s">
        <v>31</v>
      </c>
      <c r="I37" t="s">
        <v>25</v>
      </c>
      <c r="J37" t="s">
        <v>26</v>
      </c>
      <c r="K37" s="13">
        <v>74.560199999999995</v>
      </c>
      <c r="L37" s="13">
        <v>25.439800000000002</v>
      </c>
      <c r="M37" s="13">
        <v>17.724399999999999</v>
      </c>
      <c r="N37" s="13">
        <v>24.682200000000002</v>
      </c>
      <c r="O37" s="13">
        <v>17.6983</v>
      </c>
      <c r="P37" s="13">
        <v>82.301699999999997</v>
      </c>
      <c r="Q37" s="13">
        <v>40.492100000000001</v>
      </c>
      <c r="R37" s="13">
        <v>50</v>
      </c>
      <c r="S37" s="13">
        <v>8.2774999999999999</v>
      </c>
      <c r="T37" s="13">
        <v>80</v>
      </c>
      <c r="U37" s="13">
        <v>52.484699999999997</v>
      </c>
      <c r="V37" s="13">
        <v>41.9878</v>
      </c>
      <c r="W37" s="13">
        <v>27.11</v>
      </c>
      <c r="X37" s="13">
        <v>96.267200000000003</v>
      </c>
      <c r="Y37" s="13">
        <v>130.4605</v>
      </c>
      <c r="Z37" s="13">
        <v>70</v>
      </c>
      <c r="AA37" s="13">
        <v>86.813400000000001</v>
      </c>
      <c r="AB37" s="13">
        <v>80</v>
      </c>
      <c r="AC37" s="13">
        <v>0.18140000000000001</v>
      </c>
      <c r="AD37" s="13">
        <v>0</v>
      </c>
      <c r="AE37" s="13">
        <v>82.089100000000002</v>
      </c>
      <c r="AF37" s="13">
        <v>82.270499999999998</v>
      </c>
      <c r="AG37" s="13">
        <v>16.4541</v>
      </c>
      <c r="AH37" s="13">
        <v>58.4056</v>
      </c>
      <c r="AI37" s="13">
        <v>58.441899999999997</v>
      </c>
      <c r="AJ37" t="s">
        <v>27</v>
      </c>
    </row>
    <row r="38" spans="2:36" x14ac:dyDescent="0.3">
      <c r="B38" t="s">
        <v>89</v>
      </c>
      <c r="C38" t="s">
        <v>90</v>
      </c>
      <c r="D38" t="s">
        <v>91</v>
      </c>
      <c r="E38" t="s">
        <v>8</v>
      </c>
      <c r="F38" t="s">
        <v>14</v>
      </c>
      <c r="G38" t="s">
        <v>23</v>
      </c>
      <c r="H38" t="s">
        <v>31</v>
      </c>
      <c r="I38" t="s">
        <v>25</v>
      </c>
      <c r="J38" t="s">
        <v>26</v>
      </c>
      <c r="K38" s="13">
        <v>79.2376</v>
      </c>
      <c r="L38" s="13">
        <v>20.7624</v>
      </c>
      <c r="M38" s="13">
        <v>5.9447999999999999</v>
      </c>
      <c r="N38" s="13">
        <v>8.2784999999999993</v>
      </c>
      <c r="O38" s="13">
        <v>20.428899999999999</v>
      </c>
      <c r="P38" s="13">
        <v>79.571100000000001</v>
      </c>
      <c r="Q38" s="13">
        <v>52.554600000000001</v>
      </c>
      <c r="R38" s="13">
        <v>70</v>
      </c>
      <c r="S38" s="13">
        <v>8.9449000000000005</v>
      </c>
      <c r="T38" s="13">
        <v>80</v>
      </c>
      <c r="U38" s="13">
        <v>51.7224</v>
      </c>
      <c r="V38" s="13">
        <v>41.377899999999997</v>
      </c>
      <c r="W38" s="13">
        <v>20.079999999999998</v>
      </c>
      <c r="X38" s="13">
        <v>71.303799999999995</v>
      </c>
      <c r="Y38" s="13">
        <v>153.9847</v>
      </c>
      <c r="Z38" s="13">
        <v>0</v>
      </c>
      <c r="AA38" s="13">
        <v>83.504900000000006</v>
      </c>
      <c r="AB38" s="13">
        <v>80</v>
      </c>
      <c r="AC38" s="13">
        <v>0.12939999999999999</v>
      </c>
      <c r="AD38" s="13">
        <v>0</v>
      </c>
      <c r="AE38" s="13">
        <v>50.434600000000003</v>
      </c>
      <c r="AF38" s="13">
        <v>50.564</v>
      </c>
      <c r="AG38" s="13">
        <v>10.1128</v>
      </c>
      <c r="AH38" s="13">
        <v>51.464799999999997</v>
      </c>
      <c r="AI38" s="13">
        <v>51.490699999999997</v>
      </c>
      <c r="AJ38" t="s">
        <v>27</v>
      </c>
    </row>
    <row r="39" spans="2:36" x14ac:dyDescent="0.3">
      <c r="B39" t="s">
        <v>92</v>
      </c>
      <c r="C39" t="s">
        <v>93</v>
      </c>
      <c r="D39" t="s">
        <v>94</v>
      </c>
      <c r="E39" t="s">
        <v>8</v>
      </c>
      <c r="F39" t="s">
        <v>14</v>
      </c>
      <c r="G39" t="s">
        <v>23</v>
      </c>
      <c r="H39" t="s">
        <v>36</v>
      </c>
      <c r="I39" t="s">
        <v>41</v>
      </c>
      <c r="J39" t="s">
        <v>26</v>
      </c>
      <c r="K39" s="13">
        <v>70.501199999999997</v>
      </c>
      <c r="L39" s="13">
        <v>29.498799999999999</v>
      </c>
      <c r="M39" s="13">
        <v>3.5910000000000002</v>
      </c>
      <c r="N39" s="13">
        <v>5.2728000000000002</v>
      </c>
      <c r="O39" s="13">
        <v>40.015500000000003</v>
      </c>
      <c r="P39" s="13">
        <v>59.984499999999997</v>
      </c>
      <c r="Q39" s="13">
        <v>45.218600000000002</v>
      </c>
      <c r="R39" s="13">
        <v>70</v>
      </c>
      <c r="S39" s="13">
        <v>11.261900000000001</v>
      </c>
      <c r="T39" s="13">
        <v>60</v>
      </c>
      <c r="U39" s="13">
        <v>44.9512</v>
      </c>
      <c r="V39" s="13">
        <v>35.960999999999999</v>
      </c>
      <c r="W39" s="13">
        <v>22.77</v>
      </c>
      <c r="X39" s="13">
        <v>80.855900000000005</v>
      </c>
      <c r="Y39" s="13">
        <v>124.5056</v>
      </c>
      <c r="Z39" s="13">
        <v>80</v>
      </c>
      <c r="AA39" s="13">
        <v>99.133799999999994</v>
      </c>
      <c r="AB39" s="13">
        <v>100</v>
      </c>
      <c r="AC39" s="13">
        <v>0</v>
      </c>
      <c r="AD39" s="13">
        <v>0</v>
      </c>
      <c r="AE39" s="13">
        <v>86.951999999999998</v>
      </c>
      <c r="AF39" s="13">
        <v>86.951999999999998</v>
      </c>
      <c r="AG39" s="13">
        <v>17.3904</v>
      </c>
      <c r="AH39" s="13">
        <v>53.351399999999998</v>
      </c>
      <c r="AI39" s="13">
        <v>53.351399999999998</v>
      </c>
      <c r="AJ39" t="s">
        <v>27</v>
      </c>
    </row>
    <row r="40" spans="2:36" x14ac:dyDescent="0.3">
      <c r="B40" t="s">
        <v>95</v>
      </c>
      <c r="C40" t="s">
        <v>96</v>
      </c>
      <c r="D40" t="s">
        <v>97</v>
      </c>
      <c r="E40" t="s">
        <v>8</v>
      </c>
      <c r="F40" t="s">
        <v>14</v>
      </c>
      <c r="G40" t="s">
        <v>23</v>
      </c>
      <c r="H40" t="s">
        <v>60</v>
      </c>
      <c r="I40" t="s">
        <v>37</v>
      </c>
      <c r="J40" t="s">
        <v>26</v>
      </c>
      <c r="K40" s="13">
        <v>57.572000000000003</v>
      </c>
      <c r="L40" s="13">
        <v>42.427999999999997</v>
      </c>
      <c r="M40" s="13">
        <v>10.5709</v>
      </c>
      <c r="N40" s="13">
        <v>15.4703</v>
      </c>
      <c r="O40" s="13">
        <v>27.438099999999999</v>
      </c>
      <c r="P40" s="13">
        <v>72.561899999999994</v>
      </c>
      <c r="Q40" s="13">
        <v>24.6234</v>
      </c>
      <c r="R40" s="13">
        <v>30</v>
      </c>
      <c r="S40" s="13">
        <v>6.0124000000000004</v>
      </c>
      <c r="T40" s="13">
        <v>80</v>
      </c>
      <c r="U40" s="13">
        <v>48.091999999999999</v>
      </c>
      <c r="V40" s="13">
        <v>38.473599999999998</v>
      </c>
      <c r="W40" s="13">
        <v>15.31</v>
      </c>
      <c r="X40" s="13">
        <v>54.365600000000001</v>
      </c>
      <c r="Y40" s="13">
        <v>92.6374</v>
      </c>
      <c r="Z40" s="13">
        <v>100</v>
      </c>
      <c r="AA40" s="13">
        <v>92.397599999999997</v>
      </c>
      <c r="AB40" s="13">
        <v>100</v>
      </c>
      <c r="AC40" s="13">
        <v>0</v>
      </c>
      <c r="AD40" s="13">
        <v>0</v>
      </c>
      <c r="AE40" s="13">
        <v>84.788499999999999</v>
      </c>
      <c r="AF40" s="13">
        <v>84.788499999999999</v>
      </c>
      <c r="AG40" s="13">
        <v>16.957699999999999</v>
      </c>
      <c r="AH40" s="13">
        <v>55.4313</v>
      </c>
      <c r="AI40" s="13">
        <v>55.4313</v>
      </c>
      <c r="AJ40" t="s">
        <v>27</v>
      </c>
    </row>
    <row r="41" spans="2:36" x14ac:dyDescent="0.3">
      <c r="B41" t="s">
        <v>98</v>
      </c>
      <c r="C41" t="s">
        <v>99</v>
      </c>
      <c r="D41" t="s">
        <v>100</v>
      </c>
      <c r="E41" t="s">
        <v>8</v>
      </c>
      <c r="F41" t="s">
        <v>14</v>
      </c>
      <c r="G41" t="s">
        <v>23</v>
      </c>
      <c r="H41" t="s">
        <v>24</v>
      </c>
      <c r="I41" t="s">
        <v>41</v>
      </c>
      <c r="J41" t="s">
        <v>26</v>
      </c>
      <c r="K41" s="13">
        <v>55.685499999999998</v>
      </c>
      <c r="L41" s="13">
        <v>44.314500000000002</v>
      </c>
      <c r="M41" s="13">
        <v>9.1975999999999996</v>
      </c>
      <c r="N41" s="13">
        <v>13.5052</v>
      </c>
      <c r="O41" s="13">
        <v>16.774699999999999</v>
      </c>
      <c r="P41" s="13">
        <v>83.225300000000004</v>
      </c>
      <c r="Q41" s="13">
        <v>68.365099999999998</v>
      </c>
      <c r="R41" s="13">
        <v>100</v>
      </c>
      <c r="S41" s="13">
        <v>29.520399999999999</v>
      </c>
      <c r="T41" s="13">
        <v>20</v>
      </c>
      <c r="U41" s="13">
        <v>52.209000000000003</v>
      </c>
      <c r="V41" s="13">
        <v>41.767200000000003</v>
      </c>
      <c r="W41" s="13">
        <v>39.979999999999997</v>
      </c>
      <c r="X41" s="13">
        <v>100</v>
      </c>
      <c r="Y41" s="13">
        <v>228.25630000000001</v>
      </c>
      <c r="Z41" s="13">
        <v>0</v>
      </c>
      <c r="AA41" s="13">
        <v>94.211200000000005</v>
      </c>
      <c r="AB41" s="13">
        <v>100</v>
      </c>
      <c r="AC41" s="13">
        <v>0</v>
      </c>
      <c r="AD41" s="13">
        <v>2</v>
      </c>
      <c r="AE41" s="13">
        <v>66.666700000000006</v>
      </c>
      <c r="AF41" s="13">
        <v>68.666700000000006</v>
      </c>
      <c r="AG41" s="13">
        <v>13.7333</v>
      </c>
      <c r="AH41" s="13">
        <v>55.100499999999997</v>
      </c>
      <c r="AI41" s="13">
        <v>55.500500000000002</v>
      </c>
      <c r="AJ41" t="s">
        <v>27</v>
      </c>
    </row>
    <row r="42" spans="2:36" x14ac:dyDescent="0.3">
      <c r="B42" t="s">
        <v>101</v>
      </c>
      <c r="C42" t="s">
        <v>102</v>
      </c>
      <c r="D42" t="s">
        <v>103</v>
      </c>
      <c r="E42" t="s">
        <v>8</v>
      </c>
      <c r="F42" t="s">
        <v>14</v>
      </c>
      <c r="G42" t="s">
        <v>23</v>
      </c>
      <c r="H42" t="s">
        <v>24</v>
      </c>
      <c r="I42" t="s">
        <v>37</v>
      </c>
      <c r="J42" t="s">
        <v>26</v>
      </c>
      <c r="K42" s="13">
        <v>79.998800000000003</v>
      </c>
      <c r="L42" s="13">
        <v>20.001200000000001</v>
      </c>
      <c r="M42" s="13">
        <v>4.8954000000000004</v>
      </c>
      <c r="N42" s="13">
        <v>7.1642999999999999</v>
      </c>
      <c r="O42" s="13">
        <v>32.988300000000002</v>
      </c>
      <c r="P42" s="13">
        <v>67.011700000000005</v>
      </c>
      <c r="Q42" s="13">
        <v>19.839400000000001</v>
      </c>
      <c r="R42" s="13">
        <v>30</v>
      </c>
      <c r="S42" s="13">
        <v>11.4786</v>
      </c>
      <c r="T42" s="13">
        <v>60</v>
      </c>
      <c r="U42" s="13">
        <v>36.8354</v>
      </c>
      <c r="V42" s="13">
        <v>29.468299999999999</v>
      </c>
      <c r="W42" s="13">
        <v>13.37</v>
      </c>
      <c r="X42" s="13">
        <v>47.476700000000001</v>
      </c>
      <c r="Y42" s="13">
        <v>85.4465</v>
      </c>
      <c r="Z42" s="13">
        <v>80</v>
      </c>
      <c r="AA42" s="13">
        <v>99.129599999999996</v>
      </c>
      <c r="AB42" s="13">
        <v>100</v>
      </c>
      <c r="AC42" s="13">
        <v>0</v>
      </c>
      <c r="AD42" s="13">
        <v>0</v>
      </c>
      <c r="AE42" s="13">
        <v>75.825599999999994</v>
      </c>
      <c r="AF42" s="13">
        <v>75.825599999999994</v>
      </c>
      <c r="AG42" s="13">
        <v>15.165100000000001</v>
      </c>
      <c r="AH42" s="13">
        <v>44.633400000000002</v>
      </c>
      <c r="AI42" s="13">
        <v>44.633400000000002</v>
      </c>
      <c r="AJ42" t="s">
        <v>27</v>
      </c>
    </row>
    <row r="43" spans="2:36" x14ac:dyDescent="0.3">
      <c r="B43" t="s">
        <v>104</v>
      </c>
      <c r="C43" t="s">
        <v>105</v>
      </c>
      <c r="D43" t="s">
        <v>106</v>
      </c>
      <c r="E43" t="s">
        <v>8</v>
      </c>
      <c r="F43" t="s">
        <v>14</v>
      </c>
      <c r="G43" t="s">
        <v>23</v>
      </c>
      <c r="H43" t="s">
        <v>24</v>
      </c>
      <c r="I43" t="s">
        <v>37</v>
      </c>
      <c r="J43" t="s">
        <v>26</v>
      </c>
      <c r="K43" s="13">
        <v>75.211200000000005</v>
      </c>
      <c r="L43" s="13">
        <v>24.788799999999998</v>
      </c>
      <c r="M43" s="13">
        <v>16.6096</v>
      </c>
      <c r="N43" s="13">
        <v>24.3079</v>
      </c>
      <c r="O43" s="13">
        <v>22.637799999999999</v>
      </c>
      <c r="P43" s="13">
        <v>77.362200000000001</v>
      </c>
      <c r="Q43" s="13">
        <v>29.235399999999998</v>
      </c>
      <c r="R43" s="13">
        <v>40</v>
      </c>
      <c r="S43" s="13">
        <v>16.055299999999999</v>
      </c>
      <c r="T43" s="13">
        <v>40</v>
      </c>
      <c r="U43" s="13">
        <v>41.291800000000002</v>
      </c>
      <c r="V43" s="13">
        <v>33.0334</v>
      </c>
      <c r="W43" s="13">
        <v>13.51</v>
      </c>
      <c r="X43" s="13">
        <v>47.973799999999997</v>
      </c>
      <c r="Y43" s="13">
        <v>122.4782</v>
      </c>
      <c r="Z43" s="13">
        <v>80</v>
      </c>
      <c r="AA43" s="13">
        <v>86.746899999999997</v>
      </c>
      <c r="AB43" s="13">
        <v>80</v>
      </c>
      <c r="AC43" s="13">
        <v>0</v>
      </c>
      <c r="AD43" s="13">
        <v>0</v>
      </c>
      <c r="AE43" s="13">
        <v>69.324600000000004</v>
      </c>
      <c r="AF43" s="13">
        <v>69.324600000000004</v>
      </c>
      <c r="AG43" s="13">
        <v>13.8649</v>
      </c>
      <c r="AH43" s="13">
        <v>46.898299999999999</v>
      </c>
      <c r="AI43" s="13">
        <v>46.898299999999999</v>
      </c>
      <c r="AJ43" t="s">
        <v>27</v>
      </c>
    </row>
    <row r="44" spans="2:36" x14ac:dyDescent="0.3">
      <c r="B44" t="s">
        <v>107</v>
      </c>
      <c r="C44" t="s">
        <v>108</v>
      </c>
      <c r="D44" t="s">
        <v>109</v>
      </c>
      <c r="E44" t="s">
        <v>8</v>
      </c>
      <c r="F44" t="s">
        <v>14</v>
      </c>
      <c r="G44" t="s">
        <v>25</v>
      </c>
      <c r="H44" t="s">
        <v>60</v>
      </c>
      <c r="I44" t="s">
        <v>85</v>
      </c>
      <c r="J44" t="s">
        <v>26</v>
      </c>
      <c r="K44" s="13">
        <v>40.083100000000002</v>
      </c>
      <c r="L44" s="13">
        <v>59.916899999999998</v>
      </c>
      <c r="M44" s="13">
        <v>3.7581000000000002</v>
      </c>
      <c r="N44" s="13">
        <v>6.5248999999999997</v>
      </c>
      <c r="O44" s="13">
        <v>23.274000000000001</v>
      </c>
      <c r="P44" s="13">
        <v>76.725999999999999</v>
      </c>
      <c r="Q44" s="13">
        <v>58.574599999999997</v>
      </c>
      <c r="R44" s="13">
        <v>80</v>
      </c>
      <c r="S44" s="13">
        <v>33.102200000000003</v>
      </c>
      <c r="T44" s="13">
        <v>0</v>
      </c>
      <c r="U44" s="13">
        <v>44.633600000000001</v>
      </c>
      <c r="V44" s="13">
        <v>35.706899999999997</v>
      </c>
      <c r="W44" s="13">
        <v>26.11</v>
      </c>
      <c r="X44" s="13">
        <v>100</v>
      </c>
      <c r="Y44" s="13">
        <v>104.9196</v>
      </c>
      <c r="Z44" s="13">
        <v>100</v>
      </c>
      <c r="AA44" s="13">
        <v>97.670599999999993</v>
      </c>
      <c r="AB44" s="13">
        <v>100</v>
      </c>
      <c r="AC44" s="13">
        <v>0</v>
      </c>
      <c r="AD44" s="13">
        <v>0</v>
      </c>
      <c r="AE44" s="13">
        <v>100</v>
      </c>
      <c r="AF44" s="13">
        <v>100</v>
      </c>
      <c r="AG44" s="13">
        <v>20</v>
      </c>
      <c r="AH44" s="13">
        <v>55.706899999999997</v>
      </c>
      <c r="AI44" s="13">
        <v>55.706899999999997</v>
      </c>
      <c r="AJ44" t="s">
        <v>27</v>
      </c>
    </row>
    <row r="45" spans="2:36" x14ac:dyDescent="0.3">
      <c r="B45" t="s">
        <v>110</v>
      </c>
      <c r="C45" t="s">
        <v>111</v>
      </c>
      <c r="D45" t="s">
        <v>112</v>
      </c>
      <c r="E45" t="s">
        <v>8</v>
      </c>
      <c r="F45" t="s">
        <v>14</v>
      </c>
      <c r="G45" t="s">
        <v>23</v>
      </c>
      <c r="H45" t="s">
        <v>24</v>
      </c>
      <c r="I45" t="s">
        <v>25</v>
      </c>
      <c r="J45" t="s">
        <v>26</v>
      </c>
      <c r="K45" s="13">
        <v>81.607500000000002</v>
      </c>
      <c r="L45" s="13">
        <v>18.392499999999998</v>
      </c>
      <c r="M45" s="13">
        <v>14.086499999999999</v>
      </c>
      <c r="N45" s="13">
        <v>19.616199999999999</v>
      </c>
      <c r="O45" s="13">
        <v>27.956900000000001</v>
      </c>
      <c r="P45" s="13">
        <v>72.043099999999995</v>
      </c>
      <c r="Q45" s="13">
        <v>18.6677</v>
      </c>
      <c r="R45" s="13">
        <v>30</v>
      </c>
      <c r="S45" s="13">
        <v>21.730699999999999</v>
      </c>
      <c r="T45" s="13">
        <v>20</v>
      </c>
      <c r="U45" s="13">
        <v>32.010399999999997</v>
      </c>
      <c r="V45" s="13">
        <v>25.6083</v>
      </c>
      <c r="W45" s="13">
        <v>11.67</v>
      </c>
      <c r="X45" s="13">
        <v>41.44</v>
      </c>
      <c r="Y45" s="13">
        <v>123.62139999999999</v>
      </c>
      <c r="Z45" s="13">
        <v>80</v>
      </c>
      <c r="AA45" s="13">
        <v>98.651700000000005</v>
      </c>
      <c r="AB45" s="13">
        <v>100</v>
      </c>
      <c r="AC45" s="13">
        <v>0</v>
      </c>
      <c r="AD45" s="13">
        <v>0</v>
      </c>
      <c r="AE45" s="13">
        <v>73.813299999999998</v>
      </c>
      <c r="AF45" s="13">
        <v>73.813299999999998</v>
      </c>
      <c r="AG45" s="13">
        <v>14.762700000000001</v>
      </c>
      <c r="AH45" s="13">
        <v>40.371000000000002</v>
      </c>
      <c r="AI45" s="13">
        <v>40.371000000000002</v>
      </c>
      <c r="AJ45" t="s">
        <v>27</v>
      </c>
    </row>
    <row r="46" spans="2:36" x14ac:dyDescent="0.3">
      <c r="B46" t="s">
        <v>113</v>
      </c>
      <c r="C46" t="s">
        <v>114</v>
      </c>
      <c r="D46" t="s">
        <v>115</v>
      </c>
      <c r="E46" t="s">
        <v>8</v>
      </c>
      <c r="F46" t="s">
        <v>14</v>
      </c>
      <c r="G46" t="s">
        <v>23</v>
      </c>
      <c r="H46" t="s">
        <v>24</v>
      </c>
      <c r="I46" t="s">
        <v>41</v>
      </c>
      <c r="J46" t="s">
        <v>26</v>
      </c>
      <c r="K46" s="13">
        <v>70.0154</v>
      </c>
      <c r="L46" s="13">
        <v>29.9846</v>
      </c>
      <c r="M46" s="13">
        <v>8.0632000000000001</v>
      </c>
      <c r="N46" s="13">
        <v>11.839600000000001</v>
      </c>
      <c r="O46" s="13">
        <v>14.2235</v>
      </c>
      <c r="P46" s="13">
        <v>85.776499999999999</v>
      </c>
      <c r="Q46" s="13">
        <v>58.357700000000001</v>
      </c>
      <c r="R46" s="13">
        <v>80</v>
      </c>
      <c r="S46" s="13">
        <v>8.3106000000000009</v>
      </c>
      <c r="T46" s="13">
        <v>80</v>
      </c>
      <c r="U46" s="13">
        <v>57.520099999999999</v>
      </c>
      <c r="V46" s="13">
        <v>46.016100000000002</v>
      </c>
      <c r="W46" s="13">
        <v>42.1</v>
      </c>
      <c r="X46" s="13">
        <v>100</v>
      </c>
      <c r="Y46" s="13">
        <v>206.8246</v>
      </c>
      <c r="Z46" s="13">
        <v>0</v>
      </c>
      <c r="AA46" s="13">
        <v>93.512799999999999</v>
      </c>
      <c r="AB46" s="13">
        <v>100</v>
      </c>
      <c r="AC46" s="13">
        <v>0</v>
      </c>
      <c r="AD46" s="13">
        <v>0</v>
      </c>
      <c r="AE46" s="13">
        <v>66.666700000000006</v>
      </c>
      <c r="AF46" s="13">
        <v>66.666700000000006</v>
      </c>
      <c r="AG46" s="13">
        <v>13.333299999999999</v>
      </c>
      <c r="AH46" s="13">
        <v>59.349400000000003</v>
      </c>
      <c r="AI46" s="13">
        <v>59.349400000000003</v>
      </c>
      <c r="AJ46" t="s">
        <v>27</v>
      </c>
    </row>
    <row r="47" spans="2:36" x14ac:dyDescent="0.3">
      <c r="B47" t="s">
        <v>116</v>
      </c>
      <c r="C47" t="s">
        <v>117</v>
      </c>
      <c r="D47" t="s">
        <v>118</v>
      </c>
      <c r="E47" t="s">
        <v>8</v>
      </c>
      <c r="F47" t="s">
        <v>14</v>
      </c>
      <c r="G47" t="s">
        <v>23</v>
      </c>
      <c r="H47" t="s">
        <v>31</v>
      </c>
      <c r="I47" t="s">
        <v>37</v>
      </c>
      <c r="J47" t="s">
        <v>26</v>
      </c>
      <c r="K47" s="13">
        <v>66.931200000000004</v>
      </c>
      <c r="L47" s="13">
        <v>33.068800000000003</v>
      </c>
      <c r="M47" s="13">
        <v>5.8929</v>
      </c>
      <c r="N47" s="13">
        <v>8.6242000000000001</v>
      </c>
      <c r="O47" s="13">
        <v>80.706100000000006</v>
      </c>
      <c r="P47" s="13">
        <v>19.293900000000001</v>
      </c>
      <c r="Q47" s="13">
        <v>40.568899999999999</v>
      </c>
      <c r="R47" s="13">
        <v>50</v>
      </c>
      <c r="S47" s="13">
        <v>18.384599999999999</v>
      </c>
      <c r="T47" s="13">
        <v>40</v>
      </c>
      <c r="U47" s="13">
        <v>30.197399999999998</v>
      </c>
      <c r="V47" s="13">
        <v>24.157900000000001</v>
      </c>
      <c r="W47" s="13">
        <v>22.29</v>
      </c>
      <c r="X47" s="13">
        <v>79.151499999999999</v>
      </c>
      <c r="Y47" s="13">
        <v>201.53579999999999</v>
      </c>
      <c r="Z47" s="13">
        <v>0</v>
      </c>
      <c r="AA47" s="13">
        <v>98.345699999999994</v>
      </c>
      <c r="AB47" s="13">
        <v>100</v>
      </c>
      <c r="AC47" s="13">
        <v>0</v>
      </c>
      <c r="AD47" s="13">
        <v>2</v>
      </c>
      <c r="AE47" s="13">
        <v>59.717199999999998</v>
      </c>
      <c r="AF47" s="13">
        <v>61.717199999999998</v>
      </c>
      <c r="AG47" s="13">
        <v>12.343400000000001</v>
      </c>
      <c r="AH47" s="13">
        <v>36.101300000000002</v>
      </c>
      <c r="AI47" s="13">
        <v>36.501300000000001</v>
      </c>
      <c r="AJ47" t="s">
        <v>119</v>
      </c>
    </row>
    <row r="48" spans="2:36" x14ac:dyDescent="0.3">
      <c r="B48" t="s">
        <v>120</v>
      </c>
      <c r="C48" t="s">
        <v>121</v>
      </c>
      <c r="D48" t="s">
        <v>122</v>
      </c>
      <c r="E48" t="s">
        <v>8</v>
      </c>
      <c r="F48" t="s">
        <v>14</v>
      </c>
      <c r="G48" t="s">
        <v>23</v>
      </c>
      <c r="H48" t="s">
        <v>31</v>
      </c>
      <c r="I48" t="s">
        <v>37</v>
      </c>
      <c r="J48" t="s">
        <v>26</v>
      </c>
      <c r="K48" s="13">
        <v>77.562100000000001</v>
      </c>
      <c r="L48" s="13">
        <v>22.437899999999999</v>
      </c>
      <c r="M48" s="13">
        <v>0.98319999999999996</v>
      </c>
      <c r="N48" s="13">
        <v>1.4389000000000001</v>
      </c>
      <c r="O48" s="13">
        <v>15.753399999999999</v>
      </c>
      <c r="P48" s="13">
        <v>84.246600000000001</v>
      </c>
      <c r="Q48" s="13">
        <v>-2.9251</v>
      </c>
      <c r="R48" s="13">
        <v>0</v>
      </c>
      <c r="S48" s="13">
        <v>8.0154999999999994</v>
      </c>
      <c r="T48" s="13">
        <v>80</v>
      </c>
      <c r="U48" s="13">
        <v>37.624699999999997</v>
      </c>
      <c r="V48" s="13">
        <v>30.099799999999998</v>
      </c>
      <c r="W48" s="13">
        <v>1.33</v>
      </c>
      <c r="X48" s="13">
        <v>4.7228000000000003</v>
      </c>
      <c r="Y48" s="13">
        <v>139.405</v>
      </c>
      <c r="Z48" s="13">
        <v>70</v>
      </c>
      <c r="AA48" s="13">
        <v>94.877099999999999</v>
      </c>
      <c r="AB48" s="13">
        <v>100</v>
      </c>
      <c r="AC48" s="13">
        <v>0</v>
      </c>
      <c r="AD48" s="13">
        <v>0</v>
      </c>
      <c r="AE48" s="13">
        <v>58.240900000000003</v>
      </c>
      <c r="AF48" s="13">
        <v>58.240900000000003</v>
      </c>
      <c r="AG48" s="13">
        <v>11.648199999999999</v>
      </c>
      <c r="AH48" s="13">
        <v>41.747999999999998</v>
      </c>
      <c r="AI48" s="13">
        <v>41.747999999999998</v>
      </c>
      <c r="AJ48" t="s">
        <v>27</v>
      </c>
    </row>
    <row r="49" spans="2:36" x14ac:dyDescent="0.3">
      <c r="B49" t="s">
        <v>123</v>
      </c>
      <c r="C49" t="s">
        <v>124</v>
      </c>
      <c r="D49" t="s">
        <v>125</v>
      </c>
      <c r="E49" t="s">
        <v>8</v>
      </c>
      <c r="F49" t="s">
        <v>14</v>
      </c>
      <c r="G49" t="s">
        <v>23</v>
      </c>
      <c r="H49" t="s">
        <v>36</v>
      </c>
      <c r="I49" t="s">
        <v>41</v>
      </c>
      <c r="J49" t="s">
        <v>26</v>
      </c>
      <c r="K49" s="13">
        <v>49.013100000000001</v>
      </c>
      <c r="L49" s="13">
        <v>50.986899999999999</v>
      </c>
      <c r="M49" s="13">
        <v>9.0602999999999998</v>
      </c>
      <c r="N49" s="13">
        <v>13.303599999999999</v>
      </c>
      <c r="O49" s="13">
        <v>51.276699999999998</v>
      </c>
      <c r="P49" s="13">
        <v>48.723300000000002</v>
      </c>
      <c r="Q49" s="13">
        <v>48.783900000000003</v>
      </c>
      <c r="R49" s="13">
        <v>70</v>
      </c>
      <c r="S49" s="13">
        <v>-21.008500000000002</v>
      </c>
      <c r="T49" s="13">
        <v>20</v>
      </c>
      <c r="U49" s="13">
        <v>40.602800000000002</v>
      </c>
      <c r="V49" s="13">
        <v>32.482199999999999</v>
      </c>
      <c r="W49" s="13">
        <v>19.850000000000001</v>
      </c>
      <c r="X49" s="13">
        <v>70.487099999999998</v>
      </c>
      <c r="Y49" s="13">
        <v>113.14060000000001</v>
      </c>
      <c r="Z49" s="13">
        <v>100</v>
      </c>
      <c r="AA49" s="13">
        <v>88.916899999999998</v>
      </c>
      <c r="AB49" s="13">
        <v>80</v>
      </c>
      <c r="AC49" s="13">
        <v>0</v>
      </c>
      <c r="AD49" s="13">
        <v>0</v>
      </c>
      <c r="AE49" s="13">
        <v>83.495699999999999</v>
      </c>
      <c r="AF49" s="13">
        <v>83.495699999999999</v>
      </c>
      <c r="AG49" s="13">
        <v>16.699100000000001</v>
      </c>
      <c r="AH49" s="13">
        <v>49.1813</v>
      </c>
      <c r="AI49" s="13">
        <v>49.1813</v>
      </c>
      <c r="AJ49" t="s">
        <v>27</v>
      </c>
    </row>
    <row r="50" spans="2:36" x14ac:dyDescent="0.3">
      <c r="B50" t="s">
        <v>126</v>
      </c>
      <c r="C50" t="s">
        <v>127</v>
      </c>
      <c r="D50" t="s">
        <v>128</v>
      </c>
      <c r="E50" t="s">
        <v>8</v>
      </c>
      <c r="F50" t="s">
        <v>14</v>
      </c>
      <c r="G50" t="s">
        <v>41</v>
      </c>
      <c r="H50" t="s">
        <v>60</v>
      </c>
      <c r="I50" t="s">
        <v>41</v>
      </c>
      <c r="J50" t="s">
        <v>26</v>
      </c>
      <c r="K50" s="13">
        <v>33.704300000000003</v>
      </c>
      <c r="L50" s="13">
        <v>66.295699999999997</v>
      </c>
      <c r="M50" s="13">
        <v>10.7416</v>
      </c>
      <c r="N50" s="13">
        <v>15.772399999999999</v>
      </c>
      <c r="O50" s="13">
        <v>49.436900000000001</v>
      </c>
      <c r="P50" s="13">
        <v>50.563099999999999</v>
      </c>
      <c r="Q50" s="13">
        <v>51.584800000000001</v>
      </c>
      <c r="R50" s="13">
        <v>70</v>
      </c>
      <c r="S50" s="13">
        <v>26.158899999999999</v>
      </c>
      <c r="T50" s="13">
        <v>20</v>
      </c>
      <c r="U50" s="13">
        <v>44.526200000000003</v>
      </c>
      <c r="V50" s="13">
        <v>35.621000000000002</v>
      </c>
      <c r="W50" s="13">
        <v>22.25</v>
      </c>
      <c r="X50" s="13">
        <v>84.283500000000004</v>
      </c>
      <c r="Y50" s="13">
        <v>101.1339</v>
      </c>
      <c r="Z50" s="13">
        <v>100</v>
      </c>
      <c r="AA50" s="13">
        <v>91.000100000000003</v>
      </c>
      <c r="AB50" s="13">
        <v>100</v>
      </c>
      <c r="AC50" s="13">
        <v>0</v>
      </c>
      <c r="AD50" s="13">
        <v>0</v>
      </c>
      <c r="AE50" s="13">
        <v>94.761200000000002</v>
      </c>
      <c r="AF50" s="13">
        <v>94.761200000000002</v>
      </c>
      <c r="AG50" s="13">
        <v>18.952200000000001</v>
      </c>
      <c r="AH50" s="13">
        <v>54.5732</v>
      </c>
      <c r="AI50" s="13">
        <v>54.5732</v>
      </c>
      <c r="AJ50" t="s">
        <v>27</v>
      </c>
    </row>
    <row r="51" spans="2:36" x14ac:dyDescent="0.3">
      <c r="B51" t="s">
        <v>129</v>
      </c>
      <c r="C51" t="s">
        <v>130</v>
      </c>
      <c r="D51" t="s">
        <v>131</v>
      </c>
      <c r="E51" t="s">
        <v>8</v>
      </c>
      <c r="F51" t="s">
        <v>14</v>
      </c>
      <c r="G51" t="s">
        <v>23</v>
      </c>
      <c r="H51" t="s">
        <v>36</v>
      </c>
      <c r="I51" t="s">
        <v>25</v>
      </c>
      <c r="J51" t="s">
        <v>26</v>
      </c>
      <c r="K51" s="13">
        <v>32.016500000000001</v>
      </c>
      <c r="L51" s="13">
        <v>67.983500000000006</v>
      </c>
      <c r="M51" s="13">
        <v>8.1790000000000003</v>
      </c>
      <c r="N51" s="13">
        <v>11.389699999999999</v>
      </c>
      <c r="O51" s="13">
        <v>12.5748</v>
      </c>
      <c r="P51" s="13">
        <v>87.425200000000004</v>
      </c>
      <c r="Q51" s="13">
        <v>33.475200000000001</v>
      </c>
      <c r="R51" s="13">
        <v>40</v>
      </c>
      <c r="S51" s="13">
        <v>11.3279</v>
      </c>
      <c r="T51" s="13">
        <v>60</v>
      </c>
      <c r="U51" s="13">
        <v>53.359699999999997</v>
      </c>
      <c r="V51" s="13">
        <v>42.687800000000003</v>
      </c>
      <c r="W51" s="13">
        <v>0</v>
      </c>
      <c r="X51" s="13">
        <v>0</v>
      </c>
      <c r="Y51" s="13">
        <v>116.04640000000001</v>
      </c>
      <c r="Z51" s="13">
        <v>100</v>
      </c>
      <c r="AA51" s="13">
        <v>95.341800000000006</v>
      </c>
      <c r="AB51" s="13">
        <v>100</v>
      </c>
      <c r="AC51" s="13">
        <v>0</v>
      </c>
      <c r="AD51" s="13">
        <v>0</v>
      </c>
      <c r="AE51" s="13">
        <v>66.666700000000006</v>
      </c>
      <c r="AF51" s="13">
        <v>66.666700000000006</v>
      </c>
      <c r="AG51" s="13">
        <v>13.333299999999999</v>
      </c>
      <c r="AH51" s="13">
        <v>56.021099999999997</v>
      </c>
      <c r="AI51" s="13">
        <v>56.021099999999997</v>
      </c>
      <c r="AJ51" t="s">
        <v>27</v>
      </c>
    </row>
    <row r="52" spans="2:36" x14ac:dyDescent="0.3">
      <c r="B52" t="s">
        <v>132</v>
      </c>
      <c r="C52" t="s">
        <v>133</v>
      </c>
      <c r="D52" t="s">
        <v>134</v>
      </c>
      <c r="E52" t="s">
        <v>8</v>
      </c>
      <c r="F52" t="s">
        <v>14</v>
      </c>
      <c r="G52" t="s">
        <v>32</v>
      </c>
      <c r="H52" t="s">
        <v>60</v>
      </c>
      <c r="I52" t="s">
        <v>41</v>
      </c>
      <c r="J52" t="s">
        <v>26</v>
      </c>
      <c r="K52" s="13">
        <v>62.001399999999997</v>
      </c>
      <c r="L52" s="13">
        <v>37.998600000000003</v>
      </c>
      <c r="M52" s="13">
        <v>10.603899999999999</v>
      </c>
      <c r="N52" s="13">
        <v>15.5702</v>
      </c>
      <c r="O52" s="13">
        <v>25.4848</v>
      </c>
      <c r="P52" s="13">
        <v>74.515199999999993</v>
      </c>
      <c r="Q52" s="13">
        <v>44.965000000000003</v>
      </c>
      <c r="R52" s="13">
        <v>50</v>
      </c>
      <c r="S52" s="13">
        <v>3.0272999999999999</v>
      </c>
      <c r="T52" s="13">
        <v>100</v>
      </c>
      <c r="U52" s="13">
        <v>55.616799999999998</v>
      </c>
      <c r="V52" s="13">
        <v>44.493400000000001</v>
      </c>
      <c r="W52" s="13">
        <v>9.2100000000000009</v>
      </c>
      <c r="X52" s="13">
        <v>31.677099999999999</v>
      </c>
      <c r="Y52" s="13">
        <v>131.49420000000001</v>
      </c>
      <c r="Z52" s="13">
        <v>70</v>
      </c>
      <c r="AA52" s="13">
        <v>93.338899999999995</v>
      </c>
      <c r="AB52" s="13">
        <v>100</v>
      </c>
      <c r="AC52" s="13">
        <v>0</v>
      </c>
      <c r="AD52" s="13">
        <v>0</v>
      </c>
      <c r="AE52" s="13">
        <v>67.225700000000003</v>
      </c>
      <c r="AF52" s="13">
        <v>67.225700000000003</v>
      </c>
      <c r="AG52" s="13">
        <v>13.4451</v>
      </c>
      <c r="AH52" s="13">
        <v>57.938499999999998</v>
      </c>
      <c r="AI52" s="13">
        <v>57.938499999999998</v>
      </c>
      <c r="AJ52" t="s">
        <v>27</v>
      </c>
    </row>
    <row r="53" spans="2:36" x14ac:dyDescent="0.3">
      <c r="B53" t="s">
        <v>135</v>
      </c>
      <c r="C53" t="s">
        <v>136</v>
      </c>
      <c r="D53" t="s">
        <v>137</v>
      </c>
      <c r="E53" t="s">
        <v>8</v>
      </c>
      <c r="F53" t="s">
        <v>14</v>
      </c>
      <c r="G53" t="s">
        <v>23</v>
      </c>
      <c r="H53" t="s">
        <v>36</v>
      </c>
      <c r="I53" t="s">
        <v>25</v>
      </c>
      <c r="J53" t="s">
        <v>26</v>
      </c>
      <c r="K53" s="13">
        <v>70.605000000000004</v>
      </c>
      <c r="L53" s="13">
        <v>29.395</v>
      </c>
      <c r="M53" s="13">
        <v>10.428599999999999</v>
      </c>
      <c r="N53" s="13">
        <v>14.522399999999999</v>
      </c>
      <c r="O53" s="13">
        <v>20.248999999999999</v>
      </c>
      <c r="P53" s="13">
        <v>79.751000000000005</v>
      </c>
      <c r="Q53" s="13">
        <v>48.1038</v>
      </c>
      <c r="R53" s="13">
        <v>70</v>
      </c>
      <c r="S53" s="13">
        <v>8.6663999999999994</v>
      </c>
      <c r="T53" s="13">
        <v>80</v>
      </c>
      <c r="U53" s="13">
        <v>54.733699999999999</v>
      </c>
      <c r="V53" s="13">
        <v>43.786999999999999</v>
      </c>
      <c r="W53" s="13">
        <v>20.63</v>
      </c>
      <c r="X53" s="13">
        <v>73.256799999999998</v>
      </c>
      <c r="Y53" s="13">
        <v>97.382499999999993</v>
      </c>
      <c r="Z53" s="13">
        <v>100</v>
      </c>
      <c r="AA53" s="13">
        <v>97.975700000000003</v>
      </c>
      <c r="AB53" s="13">
        <v>100</v>
      </c>
      <c r="AC53" s="13">
        <v>0</v>
      </c>
      <c r="AD53" s="13">
        <v>0</v>
      </c>
      <c r="AE53" s="13">
        <v>91.085599999999999</v>
      </c>
      <c r="AF53" s="13">
        <v>91.085599999999999</v>
      </c>
      <c r="AG53" s="13">
        <v>18.217099999999999</v>
      </c>
      <c r="AH53" s="13">
        <v>62.004100000000001</v>
      </c>
      <c r="AI53" s="13">
        <v>62.004100000000001</v>
      </c>
      <c r="AJ53" t="s">
        <v>19</v>
      </c>
    </row>
    <row r="54" spans="2:36" x14ac:dyDescent="0.3">
      <c r="B54" t="s">
        <v>138</v>
      </c>
      <c r="C54" t="s">
        <v>139</v>
      </c>
      <c r="D54" t="s">
        <v>140</v>
      </c>
      <c r="E54" t="s">
        <v>8</v>
      </c>
      <c r="F54" t="s">
        <v>14</v>
      </c>
      <c r="G54" t="s">
        <v>23</v>
      </c>
      <c r="H54" t="s">
        <v>36</v>
      </c>
      <c r="I54" t="s">
        <v>41</v>
      </c>
      <c r="J54" t="s">
        <v>26</v>
      </c>
      <c r="K54" s="13">
        <v>67.606899999999996</v>
      </c>
      <c r="L54" s="13">
        <v>32.393099999999997</v>
      </c>
      <c r="M54" s="13">
        <v>18.646899999999999</v>
      </c>
      <c r="N54" s="13">
        <v>27.380099999999999</v>
      </c>
      <c r="O54" s="13">
        <v>45.982599999999998</v>
      </c>
      <c r="P54" s="13">
        <v>54.017400000000002</v>
      </c>
      <c r="Q54" s="13">
        <v>42.754899999999999</v>
      </c>
      <c r="R54" s="13">
        <v>50</v>
      </c>
      <c r="S54" s="13">
        <v>14.042299999999999</v>
      </c>
      <c r="T54" s="13">
        <v>60</v>
      </c>
      <c r="U54" s="13">
        <v>44.758099999999999</v>
      </c>
      <c r="V54" s="13">
        <v>35.8065</v>
      </c>
      <c r="W54" s="13">
        <v>26.19</v>
      </c>
      <c r="X54" s="13">
        <v>93.000299999999996</v>
      </c>
      <c r="Y54" s="13">
        <v>127.4469</v>
      </c>
      <c r="Z54" s="13">
        <v>80</v>
      </c>
      <c r="AA54" s="13">
        <v>93.868399999999994</v>
      </c>
      <c r="AB54" s="13">
        <v>100</v>
      </c>
      <c r="AC54" s="13">
        <v>2.6599999999999999E-2</v>
      </c>
      <c r="AD54" s="13">
        <v>0</v>
      </c>
      <c r="AE54" s="13">
        <v>91.000100000000003</v>
      </c>
      <c r="AF54" s="13">
        <v>91.026700000000005</v>
      </c>
      <c r="AG54" s="13">
        <v>18.205300000000001</v>
      </c>
      <c r="AH54" s="13">
        <v>54.006500000000003</v>
      </c>
      <c r="AI54" s="13">
        <v>54.011800000000001</v>
      </c>
      <c r="AJ54" t="s">
        <v>27</v>
      </c>
    </row>
    <row r="55" spans="2:36" x14ac:dyDescent="0.3">
      <c r="B55" t="s">
        <v>141</v>
      </c>
      <c r="C55" t="s">
        <v>142</v>
      </c>
      <c r="D55" t="s">
        <v>143</v>
      </c>
      <c r="E55" t="s">
        <v>8</v>
      </c>
      <c r="F55" t="s">
        <v>14</v>
      </c>
      <c r="G55" t="s">
        <v>23</v>
      </c>
      <c r="H55" t="s">
        <v>31</v>
      </c>
      <c r="I55" t="s">
        <v>25</v>
      </c>
      <c r="J55" t="s">
        <v>26</v>
      </c>
      <c r="K55" s="13">
        <v>70.912300000000002</v>
      </c>
      <c r="L55" s="13">
        <v>29.087700000000002</v>
      </c>
      <c r="M55" s="13">
        <v>21.132999999999999</v>
      </c>
      <c r="N55" s="13">
        <v>29.428899999999999</v>
      </c>
      <c r="O55" s="13">
        <v>21.9923</v>
      </c>
      <c r="P55" s="13">
        <v>78.0077</v>
      </c>
      <c r="Q55" s="13">
        <v>34.631399999999999</v>
      </c>
      <c r="R55" s="13">
        <v>40</v>
      </c>
      <c r="S55" s="13">
        <v>10.549899999999999</v>
      </c>
      <c r="T55" s="13">
        <v>60</v>
      </c>
      <c r="U55" s="13">
        <v>47.304900000000004</v>
      </c>
      <c r="V55" s="13">
        <v>37.843899999999998</v>
      </c>
      <c r="W55" s="13">
        <v>16.809999999999999</v>
      </c>
      <c r="X55" s="13">
        <v>59.692100000000003</v>
      </c>
      <c r="Y55" s="13">
        <v>88.795699999999997</v>
      </c>
      <c r="Z55" s="13">
        <v>80</v>
      </c>
      <c r="AA55" s="13">
        <v>93.645200000000003</v>
      </c>
      <c r="AB55" s="13">
        <v>100</v>
      </c>
      <c r="AC55" s="13">
        <v>4.2799999999999998E-2</v>
      </c>
      <c r="AD55" s="13">
        <v>0</v>
      </c>
      <c r="AE55" s="13">
        <v>79.897400000000005</v>
      </c>
      <c r="AF55" s="13">
        <v>79.940200000000004</v>
      </c>
      <c r="AG55" s="13">
        <v>15.988</v>
      </c>
      <c r="AH55" s="13">
        <v>53.823399999999999</v>
      </c>
      <c r="AI55" s="13">
        <v>53.831899999999997</v>
      </c>
      <c r="AJ55" t="s">
        <v>27</v>
      </c>
    </row>
    <row r="56" spans="2:36" x14ac:dyDescent="0.3">
      <c r="B56" t="s">
        <v>144</v>
      </c>
      <c r="C56" t="s">
        <v>145</v>
      </c>
      <c r="D56" t="s">
        <v>146</v>
      </c>
      <c r="E56" t="s">
        <v>8</v>
      </c>
      <c r="F56" t="s">
        <v>14</v>
      </c>
      <c r="G56" t="s">
        <v>23</v>
      </c>
      <c r="H56" t="s">
        <v>31</v>
      </c>
      <c r="I56" t="s">
        <v>41</v>
      </c>
      <c r="J56" t="s">
        <v>26</v>
      </c>
      <c r="K56" s="13">
        <v>56.063000000000002</v>
      </c>
      <c r="L56" s="13">
        <v>43.936999999999998</v>
      </c>
      <c r="M56" s="13">
        <v>23.113099999999999</v>
      </c>
      <c r="N56" s="13">
        <v>33.938000000000002</v>
      </c>
      <c r="O56" s="13">
        <v>11.755000000000001</v>
      </c>
      <c r="P56" s="13">
        <v>88.245000000000005</v>
      </c>
      <c r="Q56" s="13">
        <v>54.267699999999998</v>
      </c>
      <c r="R56" s="13">
        <v>70</v>
      </c>
      <c r="S56" s="13">
        <v>23.963000000000001</v>
      </c>
      <c r="T56" s="13">
        <v>20</v>
      </c>
      <c r="U56" s="13">
        <v>51.223999999999997</v>
      </c>
      <c r="V56" s="13">
        <v>40.979199999999999</v>
      </c>
      <c r="W56" s="13">
        <v>33.119999999999997</v>
      </c>
      <c r="X56" s="13">
        <v>100</v>
      </c>
      <c r="Y56" s="13">
        <v>114.8387</v>
      </c>
      <c r="Z56" s="13">
        <v>100</v>
      </c>
      <c r="AA56" s="13">
        <v>97.178700000000006</v>
      </c>
      <c r="AB56" s="13">
        <v>100</v>
      </c>
      <c r="AC56" s="13">
        <v>0</v>
      </c>
      <c r="AD56" s="13">
        <v>0</v>
      </c>
      <c r="AE56" s="13">
        <v>100</v>
      </c>
      <c r="AF56" s="13">
        <v>100</v>
      </c>
      <c r="AG56" s="13">
        <v>20</v>
      </c>
      <c r="AH56" s="13">
        <v>60.979199999999999</v>
      </c>
      <c r="AI56" s="13">
        <v>60.979199999999999</v>
      </c>
      <c r="AJ56" t="s">
        <v>19</v>
      </c>
    </row>
    <row r="57" spans="2:36" x14ac:dyDescent="0.3">
      <c r="B57" t="s">
        <v>147</v>
      </c>
      <c r="C57" t="s">
        <v>148</v>
      </c>
      <c r="D57" t="s">
        <v>149</v>
      </c>
      <c r="E57" t="s">
        <v>8</v>
      </c>
      <c r="F57" t="s">
        <v>14</v>
      </c>
      <c r="G57" t="s">
        <v>23</v>
      </c>
      <c r="H57" t="s">
        <v>31</v>
      </c>
      <c r="I57" t="s">
        <v>41</v>
      </c>
      <c r="J57" t="s">
        <v>26</v>
      </c>
      <c r="K57" s="13">
        <v>74.185100000000006</v>
      </c>
      <c r="L57" s="13">
        <v>25.814900000000002</v>
      </c>
      <c r="M57" s="13">
        <v>24.8032</v>
      </c>
      <c r="N57" s="13">
        <v>36.419600000000003</v>
      </c>
      <c r="O57" s="13">
        <v>31.961500000000001</v>
      </c>
      <c r="P57" s="13">
        <v>68.038499999999999</v>
      </c>
      <c r="Q57" s="13">
        <v>40.700099999999999</v>
      </c>
      <c r="R57" s="13">
        <v>50</v>
      </c>
      <c r="S57" s="13">
        <v>15.1516</v>
      </c>
      <c r="T57" s="13">
        <v>40</v>
      </c>
      <c r="U57" s="13">
        <v>44.054600000000001</v>
      </c>
      <c r="V57" s="13">
        <v>35.243699999999997</v>
      </c>
      <c r="W57" s="13">
        <v>20.34</v>
      </c>
      <c r="X57" s="13">
        <v>72.227000000000004</v>
      </c>
      <c r="Y57" s="13">
        <v>186.2859</v>
      </c>
      <c r="Z57" s="13">
        <v>0</v>
      </c>
      <c r="AA57" s="13">
        <v>90.217799999999997</v>
      </c>
      <c r="AB57" s="13">
        <v>100</v>
      </c>
      <c r="AC57" s="13">
        <v>0.1633</v>
      </c>
      <c r="AD57" s="13">
        <v>0</v>
      </c>
      <c r="AE57" s="13">
        <v>57.408999999999999</v>
      </c>
      <c r="AF57" s="13">
        <v>57.572299999999998</v>
      </c>
      <c r="AG57" s="13">
        <v>11.5145</v>
      </c>
      <c r="AH57" s="13">
        <v>46.725499999999997</v>
      </c>
      <c r="AI57" s="13">
        <v>46.758200000000002</v>
      </c>
      <c r="AJ57" t="s">
        <v>27</v>
      </c>
    </row>
    <row r="58" spans="2:36" x14ac:dyDescent="0.3">
      <c r="B58" t="s">
        <v>150</v>
      </c>
      <c r="C58" t="s">
        <v>151</v>
      </c>
      <c r="D58" t="s">
        <v>152</v>
      </c>
      <c r="E58" t="s">
        <v>8</v>
      </c>
      <c r="F58" t="s">
        <v>14</v>
      </c>
      <c r="G58" t="s">
        <v>25</v>
      </c>
      <c r="H58" t="s">
        <v>60</v>
      </c>
      <c r="I58" t="s">
        <v>85</v>
      </c>
      <c r="J58" t="s">
        <v>26</v>
      </c>
      <c r="K58" s="13">
        <v>30.122599999999998</v>
      </c>
      <c r="L58" s="13">
        <v>69.877399999999994</v>
      </c>
      <c r="M58" s="13">
        <v>36.735300000000002</v>
      </c>
      <c r="N58" s="13">
        <v>63.780200000000001</v>
      </c>
      <c r="O58" s="13">
        <v>19.444500000000001</v>
      </c>
      <c r="P58" s="13">
        <v>80.555499999999995</v>
      </c>
      <c r="Q58" s="13">
        <v>62.686500000000002</v>
      </c>
      <c r="R58" s="13">
        <v>80</v>
      </c>
      <c r="S58" s="13">
        <v>12.4818</v>
      </c>
      <c r="T58" s="13">
        <v>60</v>
      </c>
      <c r="U58" s="13">
        <v>70.842600000000004</v>
      </c>
      <c r="V58" s="13">
        <v>56.674100000000003</v>
      </c>
      <c r="W58" s="13">
        <v>26.54</v>
      </c>
      <c r="X58" s="13">
        <v>100</v>
      </c>
      <c r="Y58" s="13">
        <v>113.9425</v>
      </c>
      <c r="Z58" s="13">
        <v>100</v>
      </c>
      <c r="AA58" s="13">
        <v>82.341200000000001</v>
      </c>
      <c r="AB58" s="13">
        <v>80</v>
      </c>
      <c r="AC58" s="13">
        <v>0</v>
      </c>
      <c r="AD58" s="13">
        <v>0</v>
      </c>
      <c r="AE58" s="13">
        <v>93.333299999999994</v>
      </c>
      <c r="AF58" s="13">
        <v>93.333299999999994</v>
      </c>
      <c r="AG58" s="13">
        <v>18.666699999999999</v>
      </c>
      <c r="AH58" s="13">
        <v>75.340800000000002</v>
      </c>
      <c r="AI58" s="13">
        <v>75.340800000000002</v>
      </c>
      <c r="AJ58" t="s">
        <v>153</v>
      </c>
    </row>
    <row r="59" spans="2:36" x14ac:dyDescent="0.3">
      <c r="B59" t="s">
        <v>154</v>
      </c>
      <c r="C59" t="s">
        <v>155</v>
      </c>
      <c r="D59" t="s">
        <v>156</v>
      </c>
      <c r="E59" t="s">
        <v>8</v>
      </c>
      <c r="F59" t="s">
        <v>14</v>
      </c>
      <c r="G59" t="s">
        <v>23</v>
      </c>
      <c r="H59" t="s">
        <v>24</v>
      </c>
      <c r="I59" t="s">
        <v>37</v>
      </c>
      <c r="J59" t="s">
        <v>26</v>
      </c>
      <c r="K59" s="13">
        <v>77.459599999999995</v>
      </c>
      <c r="L59" s="13">
        <v>22.540400000000002</v>
      </c>
      <c r="M59" s="13">
        <v>13.17</v>
      </c>
      <c r="N59" s="13">
        <v>19.274100000000001</v>
      </c>
      <c r="O59" s="13">
        <v>32.147399999999998</v>
      </c>
      <c r="P59" s="13">
        <v>67.852599999999995</v>
      </c>
      <c r="Q59" s="13">
        <v>43.6952</v>
      </c>
      <c r="R59" s="13">
        <v>50</v>
      </c>
      <c r="S59" s="13">
        <v>17.234000000000002</v>
      </c>
      <c r="T59" s="13">
        <v>40</v>
      </c>
      <c r="U59" s="13">
        <v>39.933399999999999</v>
      </c>
      <c r="V59" s="13">
        <v>31.9467</v>
      </c>
      <c r="W59" s="13">
        <v>30.13</v>
      </c>
      <c r="X59" s="13">
        <v>100</v>
      </c>
      <c r="Y59" s="13">
        <v>67.817400000000006</v>
      </c>
      <c r="Z59" s="13">
        <v>60</v>
      </c>
      <c r="AA59" s="13">
        <v>89.295299999999997</v>
      </c>
      <c r="AB59" s="13">
        <v>80</v>
      </c>
      <c r="AC59" s="13">
        <v>0</v>
      </c>
      <c r="AD59" s="13">
        <v>2</v>
      </c>
      <c r="AE59" s="13">
        <v>80</v>
      </c>
      <c r="AF59" s="13">
        <v>82</v>
      </c>
      <c r="AG59" s="13">
        <v>16.399999999999999</v>
      </c>
      <c r="AH59" s="13">
        <v>47.9467</v>
      </c>
      <c r="AI59" s="13">
        <v>48.346699999999998</v>
      </c>
      <c r="AJ59" t="s">
        <v>27</v>
      </c>
    </row>
    <row r="60" spans="2:36" x14ac:dyDescent="0.3">
      <c r="B60" t="s">
        <v>157</v>
      </c>
      <c r="C60" t="s">
        <v>158</v>
      </c>
      <c r="D60" t="s">
        <v>159</v>
      </c>
      <c r="E60" t="s">
        <v>8</v>
      </c>
      <c r="F60" t="s">
        <v>14</v>
      </c>
      <c r="G60" t="s">
        <v>23</v>
      </c>
      <c r="H60" t="s">
        <v>60</v>
      </c>
      <c r="I60" t="s">
        <v>41</v>
      </c>
      <c r="J60" t="s">
        <v>26</v>
      </c>
      <c r="K60" s="13">
        <v>46.462800000000001</v>
      </c>
      <c r="L60" s="13">
        <v>53.537199999999999</v>
      </c>
      <c r="M60" s="13">
        <v>18.377600000000001</v>
      </c>
      <c r="N60" s="13">
        <v>26.9847</v>
      </c>
      <c r="O60" s="13">
        <v>22.713999999999999</v>
      </c>
      <c r="P60" s="13">
        <v>77.286000000000001</v>
      </c>
      <c r="Q60" s="13">
        <v>49.1892</v>
      </c>
      <c r="R60" s="13">
        <v>70</v>
      </c>
      <c r="S60" s="13">
        <v>26.669499999999999</v>
      </c>
      <c r="T60" s="13">
        <v>20</v>
      </c>
      <c r="U60" s="13">
        <v>49.561599999999999</v>
      </c>
      <c r="V60" s="13">
        <v>39.649299999999997</v>
      </c>
      <c r="W60" s="13">
        <v>27.06</v>
      </c>
      <c r="X60" s="13">
        <v>96.089699999999993</v>
      </c>
      <c r="Y60" s="13">
        <v>108.8308</v>
      </c>
      <c r="Z60" s="13">
        <v>100</v>
      </c>
      <c r="AA60" s="13">
        <v>95.140199999999993</v>
      </c>
      <c r="AB60" s="13">
        <v>100</v>
      </c>
      <c r="AC60" s="13">
        <v>3.9899999999999998E-2</v>
      </c>
      <c r="AD60" s="13">
        <v>0</v>
      </c>
      <c r="AE60" s="13">
        <v>98.696600000000004</v>
      </c>
      <c r="AF60" s="13">
        <v>98.736500000000007</v>
      </c>
      <c r="AG60" s="13">
        <v>19.747299999999999</v>
      </c>
      <c r="AH60" s="13">
        <v>59.388599999999997</v>
      </c>
      <c r="AI60" s="13">
        <v>59.396599999999999</v>
      </c>
      <c r="AJ60" t="s">
        <v>27</v>
      </c>
    </row>
    <row r="61" spans="2:36" x14ac:dyDescent="0.3">
      <c r="B61" t="s">
        <v>160</v>
      </c>
      <c r="C61" t="s">
        <v>161</v>
      </c>
      <c r="D61" t="s">
        <v>162</v>
      </c>
      <c r="E61" t="s">
        <v>8</v>
      </c>
      <c r="F61" t="s">
        <v>14</v>
      </c>
      <c r="G61" t="s">
        <v>23</v>
      </c>
      <c r="H61" t="s">
        <v>31</v>
      </c>
      <c r="I61" t="s">
        <v>25</v>
      </c>
      <c r="J61" t="s">
        <v>26</v>
      </c>
      <c r="K61" s="13">
        <v>70.101699999999994</v>
      </c>
      <c r="L61" s="13">
        <v>29.898299999999999</v>
      </c>
      <c r="M61" s="13">
        <v>3.4727999999999999</v>
      </c>
      <c r="N61" s="13">
        <v>4.8361000000000001</v>
      </c>
      <c r="O61" s="13">
        <v>18.808199999999999</v>
      </c>
      <c r="P61" s="13">
        <v>81.191800000000001</v>
      </c>
      <c r="Q61" s="13">
        <v>37.869700000000002</v>
      </c>
      <c r="R61" s="13">
        <v>50</v>
      </c>
      <c r="S61" s="13">
        <v>18.468800000000002</v>
      </c>
      <c r="T61" s="13">
        <v>40</v>
      </c>
      <c r="U61" s="13">
        <v>41.185200000000002</v>
      </c>
      <c r="V61" s="13">
        <v>32.9482</v>
      </c>
      <c r="W61" s="13">
        <v>24.99</v>
      </c>
      <c r="X61" s="13">
        <v>88.739099999999993</v>
      </c>
      <c r="Y61" s="13">
        <v>141.88759999999999</v>
      </c>
      <c r="Z61" s="13">
        <v>60</v>
      </c>
      <c r="AA61" s="13">
        <v>94.829800000000006</v>
      </c>
      <c r="AB61" s="13">
        <v>100</v>
      </c>
      <c r="AC61" s="13">
        <v>0</v>
      </c>
      <c r="AD61" s="13">
        <v>0</v>
      </c>
      <c r="AE61" s="13">
        <v>82.912999999999997</v>
      </c>
      <c r="AF61" s="13">
        <v>82.912999999999997</v>
      </c>
      <c r="AG61" s="13">
        <v>16.582599999999999</v>
      </c>
      <c r="AH61" s="13">
        <v>49.530799999999999</v>
      </c>
      <c r="AI61" s="13">
        <v>49.530799999999999</v>
      </c>
      <c r="AJ61" t="s">
        <v>27</v>
      </c>
    </row>
    <row r="62" spans="2:36" x14ac:dyDescent="0.3">
      <c r="B62" t="s">
        <v>163</v>
      </c>
      <c r="C62" t="s">
        <v>164</v>
      </c>
      <c r="D62" t="s">
        <v>165</v>
      </c>
      <c r="E62" t="s">
        <v>8</v>
      </c>
      <c r="F62" t="s">
        <v>14</v>
      </c>
      <c r="G62" t="s">
        <v>37</v>
      </c>
      <c r="H62" t="s">
        <v>36</v>
      </c>
      <c r="I62" t="s">
        <v>41</v>
      </c>
      <c r="J62" t="s">
        <v>26</v>
      </c>
      <c r="K62" s="13">
        <v>81.408100000000005</v>
      </c>
      <c r="L62" s="13">
        <v>18.591899999999999</v>
      </c>
      <c r="M62" s="13">
        <v>8.9789999999999992</v>
      </c>
      <c r="N62" s="13">
        <v>13.1843</v>
      </c>
      <c r="O62" s="13">
        <v>26.7197</v>
      </c>
      <c r="P62" s="13">
        <v>73.280299999999997</v>
      </c>
      <c r="Q62" s="13">
        <v>57.865099999999998</v>
      </c>
      <c r="R62" s="13">
        <v>80</v>
      </c>
      <c r="S62" s="13">
        <v>6.431</v>
      </c>
      <c r="T62" s="13">
        <v>80</v>
      </c>
      <c r="U62" s="13">
        <v>53.011299999999999</v>
      </c>
      <c r="V62" s="13">
        <v>42.408999999999999</v>
      </c>
      <c r="W62" s="13">
        <v>39.24</v>
      </c>
      <c r="X62" s="13">
        <v>100</v>
      </c>
      <c r="Y62" s="13">
        <v>117.0059</v>
      </c>
      <c r="Z62" s="13">
        <v>100</v>
      </c>
      <c r="AA62" s="13">
        <v>93.325000000000003</v>
      </c>
      <c r="AB62" s="13">
        <v>100</v>
      </c>
      <c r="AC62" s="13">
        <v>0</v>
      </c>
      <c r="AD62" s="13">
        <v>0</v>
      </c>
      <c r="AE62" s="13">
        <v>100</v>
      </c>
      <c r="AF62" s="13">
        <v>100</v>
      </c>
      <c r="AG62" s="13">
        <v>20</v>
      </c>
      <c r="AH62" s="13">
        <v>62.408999999999999</v>
      </c>
      <c r="AI62" s="13">
        <v>62.408999999999999</v>
      </c>
      <c r="AJ62" t="s">
        <v>19</v>
      </c>
    </row>
    <row r="63" spans="2:36" x14ac:dyDescent="0.3">
      <c r="B63" t="s">
        <v>166</v>
      </c>
      <c r="C63" t="s">
        <v>167</v>
      </c>
      <c r="D63" t="s">
        <v>168</v>
      </c>
      <c r="E63" t="s">
        <v>8</v>
      </c>
      <c r="F63" t="s">
        <v>14</v>
      </c>
      <c r="G63" t="s">
        <v>23</v>
      </c>
      <c r="H63" t="s">
        <v>60</v>
      </c>
      <c r="I63" t="s">
        <v>25</v>
      </c>
      <c r="J63" t="s">
        <v>26</v>
      </c>
      <c r="K63" s="13">
        <v>30.7408</v>
      </c>
      <c r="L63" s="13">
        <v>69.259200000000007</v>
      </c>
      <c r="M63" s="13">
        <v>65.1678</v>
      </c>
      <c r="N63" s="13">
        <v>90.749799999999993</v>
      </c>
      <c r="O63" s="13">
        <v>50.393500000000003</v>
      </c>
      <c r="P63" s="13">
        <v>49.606499999999997</v>
      </c>
      <c r="Q63" s="13">
        <v>46.516300000000001</v>
      </c>
      <c r="R63" s="13">
        <v>70</v>
      </c>
      <c r="S63" s="13">
        <v>10.577400000000001</v>
      </c>
      <c r="T63" s="13">
        <v>60</v>
      </c>
      <c r="U63" s="13">
        <v>67.923100000000005</v>
      </c>
      <c r="V63" s="13">
        <v>54.338500000000003</v>
      </c>
      <c r="W63" s="13">
        <v>32.47</v>
      </c>
      <c r="X63" s="13">
        <v>100</v>
      </c>
      <c r="Y63" s="13">
        <v>118.2196</v>
      </c>
      <c r="Z63" s="13">
        <v>100</v>
      </c>
      <c r="AA63" s="13">
        <v>52.394399999999997</v>
      </c>
      <c r="AB63" s="13">
        <v>50</v>
      </c>
      <c r="AC63" s="13">
        <v>0</v>
      </c>
      <c r="AD63" s="13">
        <v>0</v>
      </c>
      <c r="AE63" s="13">
        <v>83.333299999999994</v>
      </c>
      <c r="AF63" s="13">
        <v>83.333299999999994</v>
      </c>
      <c r="AG63" s="13">
        <v>16.666699999999999</v>
      </c>
      <c r="AH63" s="13">
        <v>71.005200000000002</v>
      </c>
      <c r="AI63" s="13">
        <v>71.005200000000002</v>
      </c>
      <c r="AJ63" t="s">
        <v>153</v>
      </c>
    </row>
    <row r="64" spans="2:36" x14ac:dyDescent="0.3">
      <c r="B64" t="s">
        <v>169</v>
      </c>
      <c r="C64" t="s">
        <v>170</v>
      </c>
      <c r="D64" t="s">
        <v>171</v>
      </c>
      <c r="E64" t="s">
        <v>8</v>
      </c>
      <c r="F64" t="s">
        <v>14</v>
      </c>
      <c r="G64" t="s">
        <v>85</v>
      </c>
      <c r="H64" t="s">
        <v>60</v>
      </c>
      <c r="I64" t="s">
        <v>85</v>
      </c>
      <c r="J64" t="s">
        <v>26</v>
      </c>
      <c r="K64" s="13">
        <v>18.620100000000001</v>
      </c>
      <c r="L64" s="13">
        <v>81.379900000000006</v>
      </c>
      <c r="M64" s="13">
        <v>8.3240999999999996</v>
      </c>
      <c r="N64" s="13">
        <v>14.452400000000001</v>
      </c>
      <c r="O64" s="13">
        <v>22.981400000000001</v>
      </c>
      <c r="P64" s="13">
        <v>77.018600000000006</v>
      </c>
      <c r="Q64" s="13">
        <v>66.443299999999994</v>
      </c>
      <c r="R64" s="13">
        <v>100</v>
      </c>
      <c r="S64" s="13">
        <v>19.1525</v>
      </c>
      <c r="T64" s="13">
        <v>40</v>
      </c>
      <c r="U64" s="13">
        <v>62.5702</v>
      </c>
      <c r="V64" s="13">
        <v>50.056199999999997</v>
      </c>
      <c r="W64" s="13">
        <v>37.520000000000003</v>
      </c>
      <c r="X64" s="13">
        <v>100</v>
      </c>
      <c r="Y64" s="13">
        <v>106.09739999999999</v>
      </c>
      <c r="Z64" s="13">
        <v>100</v>
      </c>
      <c r="AA64" s="13">
        <v>91.284999999999997</v>
      </c>
      <c r="AB64" s="13">
        <v>100</v>
      </c>
      <c r="AC64" s="13">
        <v>0</v>
      </c>
      <c r="AD64" s="13">
        <v>2</v>
      </c>
      <c r="AE64" s="13">
        <v>100</v>
      </c>
      <c r="AF64" s="13">
        <v>102</v>
      </c>
      <c r="AG64" s="13">
        <v>20.399999999999999</v>
      </c>
      <c r="AH64" s="13">
        <v>70.056200000000004</v>
      </c>
      <c r="AI64" s="13">
        <v>70.456199999999995</v>
      </c>
      <c r="AJ64" t="s">
        <v>153</v>
      </c>
    </row>
    <row r="65" spans="2:36" x14ac:dyDescent="0.3">
      <c r="B65" t="s">
        <v>172</v>
      </c>
      <c r="C65" t="s">
        <v>173</v>
      </c>
      <c r="D65" t="s">
        <v>174</v>
      </c>
      <c r="E65" t="s">
        <v>8</v>
      </c>
      <c r="F65" t="s">
        <v>14</v>
      </c>
      <c r="G65" t="s">
        <v>23</v>
      </c>
      <c r="H65" t="s">
        <v>31</v>
      </c>
      <c r="I65" t="s">
        <v>25</v>
      </c>
      <c r="J65" t="s">
        <v>26</v>
      </c>
      <c r="K65" s="13">
        <v>55.130899999999997</v>
      </c>
      <c r="L65" s="13">
        <v>44.869100000000003</v>
      </c>
      <c r="M65" s="13">
        <v>27.8809</v>
      </c>
      <c r="N65" s="13">
        <v>38.825699999999998</v>
      </c>
      <c r="O65" s="13">
        <v>68.063900000000004</v>
      </c>
      <c r="P65" s="13">
        <v>31.9361</v>
      </c>
      <c r="Q65" s="13">
        <v>36.0792</v>
      </c>
      <c r="R65" s="13">
        <v>50</v>
      </c>
      <c r="S65" s="13">
        <v>10.2194</v>
      </c>
      <c r="T65" s="13">
        <v>60</v>
      </c>
      <c r="U65" s="13">
        <v>45.126199999999997</v>
      </c>
      <c r="V65" s="13">
        <v>36.100999999999999</v>
      </c>
      <c r="W65" s="13">
        <v>14.41</v>
      </c>
      <c r="X65" s="13">
        <v>51.169699999999999</v>
      </c>
      <c r="Y65" s="13">
        <v>108.6507</v>
      </c>
      <c r="Z65" s="13">
        <v>100</v>
      </c>
      <c r="AA65" s="13">
        <v>77.217699999999994</v>
      </c>
      <c r="AB65" s="13">
        <v>70</v>
      </c>
      <c r="AC65" s="13">
        <v>3.61E-2</v>
      </c>
      <c r="AD65" s="13">
        <v>2</v>
      </c>
      <c r="AE65" s="13">
        <v>73.723200000000006</v>
      </c>
      <c r="AF65" s="13">
        <v>75.759299999999996</v>
      </c>
      <c r="AG65" s="13">
        <v>15.151899999999999</v>
      </c>
      <c r="AH65" s="13">
        <v>50.845599999999997</v>
      </c>
      <c r="AI65" s="13">
        <v>51.252899999999997</v>
      </c>
      <c r="AJ65" t="s">
        <v>27</v>
      </c>
    </row>
    <row r="66" spans="2:36" x14ac:dyDescent="0.3">
      <c r="B66" t="s">
        <v>175</v>
      </c>
      <c r="C66" t="s">
        <v>176</v>
      </c>
      <c r="D66" t="s">
        <v>177</v>
      </c>
      <c r="E66" t="s">
        <v>8</v>
      </c>
      <c r="F66" t="s">
        <v>14</v>
      </c>
      <c r="G66" t="s">
        <v>23</v>
      </c>
      <c r="H66" t="s">
        <v>24</v>
      </c>
      <c r="I66" t="s">
        <v>37</v>
      </c>
      <c r="J66" t="s">
        <v>26</v>
      </c>
      <c r="K66" s="13">
        <v>80.945899999999995</v>
      </c>
      <c r="L66" s="13">
        <v>19.054099999999998</v>
      </c>
      <c r="M66" s="13">
        <v>3.8898999999999999</v>
      </c>
      <c r="N66" s="13">
        <v>5.6928000000000001</v>
      </c>
      <c r="O66" s="13">
        <v>22.5702</v>
      </c>
      <c r="P66" s="13">
        <v>77.4298</v>
      </c>
      <c r="Q66" s="13">
        <v>45.080100000000002</v>
      </c>
      <c r="R66" s="13">
        <v>70</v>
      </c>
      <c r="S66" s="13">
        <v>20.555099999999999</v>
      </c>
      <c r="T66" s="13">
        <v>20</v>
      </c>
      <c r="U66" s="13">
        <v>38.435299999999998</v>
      </c>
      <c r="V66" s="13">
        <v>30.748200000000001</v>
      </c>
      <c r="W66" s="13">
        <v>35.72</v>
      </c>
      <c r="X66" s="13">
        <v>100</v>
      </c>
      <c r="Y66" s="13">
        <v>152.65719999999999</v>
      </c>
      <c r="Z66" s="13">
        <v>0</v>
      </c>
      <c r="AA66" s="13">
        <v>93.099800000000002</v>
      </c>
      <c r="AB66" s="13">
        <v>100</v>
      </c>
      <c r="AC66" s="13">
        <v>0.123</v>
      </c>
      <c r="AD66" s="13">
        <v>0</v>
      </c>
      <c r="AE66" s="13">
        <v>66.666700000000006</v>
      </c>
      <c r="AF66" s="13">
        <v>66.789699999999996</v>
      </c>
      <c r="AG66" s="13">
        <v>13.357900000000001</v>
      </c>
      <c r="AH66" s="13">
        <v>44.081499999999998</v>
      </c>
      <c r="AI66" s="13">
        <v>44.106099999999998</v>
      </c>
      <c r="AJ66" t="s">
        <v>27</v>
      </c>
    </row>
    <row r="67" spans="2:36" x14ac:dyDescent="0.3">
      <c r="B67" t="s">
        <v>178</v>
      </c>
      <c r="C67" t="s">
        <v>179</v>
      </c>
      <c r="D67" t="s">
        <v>180</v>
      </c>
      <c r="E67" t="s">
        <v>8</v>
      </c>
      <c r="F67" t="s">
        <v>14</v>
      </c>
      <c r="G67" t="s">
        <v>23</v>
      </c>
      <c r="H67" t="s">
        <v>31</v>
      </c>
      <c r="I67" t="s">
        <v>41</v>
      </c>
      <c r="J67" t="s">
        <v>26</v>
      </c>
      <c r="K67" s="13">
        <v>60.198900000000002</v>
      </c>
      <c r="L67" s="13">
        <v>39.801099999999998</v>
      </c>
      <c r="M67" s="13">
        <v>18.260100000000001</v>
      </c>
      <c r="N67" s="13">
        <v>26.812100000000001</v>
      </c>
      <c r="O67" s="13">
        <v>29.250599999999999</v>
      </c>
      <c r="P67" s="13">
        <v>70.749399999999994</v>
      </c>
      <c r="Q67" s="13">
        <v>48.721400000000003</v>
      </c>
      <c r="R67" s="13">
        <v>70</v>
      </c>
      <c r="S67" s="13">
        <v>15.144399999999999</v>
      </c>
      <c r="T67" s="13">
        <v>40</v>
      </c>
      <c r="U67" s="13">
        <v>49.472499999999997</v>
      </c>
      <c r="V67" s="13">
        <v>39.578000000000003</v>
      </c>
      <c r="W67" s="13">
        <v>26.47</v>
      </c>
      <c r="X67" s="13">
        <v>93.994600000000005</v>
      </c>
      <c r="Y67" s="13">
        <v>182.01009999999999</v>
      </c>
      <c r="Z67" s="13">
        <v>0</v>
      </c>
      <c r="AA67" s="13">
        <v>95.418300000000002</v>
      </c>
      <c r="AB67" s="13">
        <v>100</v>
      </c>
      <c r="AC67" s="13">
        <v>0</v>
      </c>
      <c r="AD67" s="13">
        <v>0</v>
      </c>
      <c r="AE67" s="13">
        <v>64.664900000000003</v>
      </c>
      <c r="AF67" s="13">
        <v>64.664900000000003</v>
      </c>
      <c r="AG67" s="13">
        <v>12.933</v>
      </c>
      <c r="AH67" s="13">
        <v>52.511000000000003</v>
      </c>
      <c r="AI67" s="13">
        <v>52.511000000000003</v>
      </c>
      <c r="AJ67" t="s">
        <v>27</v>
      </c>
    </row>
    <row r="68" spans="2:36" x14ac:dyDescent="0.3">
      <c r="B68" t="s">
        <v>181</v>
      </c>
      <c r="C68" t="s">
        <v>182</v>
      </c>
      <c r="D68" t="s">
        <v>183</v>
      </c>
      <c r="E68" t="s">
        <v>8</v>
      </c>
      <c r="F68" t="s">
        <v>14</v>
      </c>
      <c r="G68" t="s">
        <v>41</v>
      </c>
      <c r="H68" t="s">
        <v>60</v>
      </c>
      <c r="I68" t="s">
        <v>85</v>
      </c>
      <c r="J68" t="s">
        <v>26</v>
      </c>
      <c r="K68" s="13">
        <v>24.350899999999999</v>
      </c>
      <c r="L68" s="13">
        <v>75.649100000000004</v>
      </c>
      <c r="M68" s="13">
        <v>10.913600000000001</v>
      </c>
      <c r="N68" s="13">
        <v>18.9483</v>
      </c>
      <c r="O68" s="13">
        <v>25.1496</v>
      </c>
      <c r="P68" s="13">
        <v>74.850399999999993</v>
      </c>
      <c r="Q68" s="13">
        <v>58.941499999999998</v>
      </c>
      <c r="R68" s="13">
        <v>80</v>
      </c>
      <c r="S68" s="13">
        <v>30.803000000000001</v>
      </c>
      <c r="T68" s="13">
        <v>0</v>
      </c>
      <c r="U68" s="13">
        <v>49.889600000000002</v>
      </c>
      <c r="V68" s="13">
        <v>39.911700000000003</v>
      </c>
      <c r="W68" s="13">
        <v>29.71</v>
      </c>
      <c r="X68" s="13">
        <v>100</v>
      </c>
      <c r="Y68" s="13">
        <v>130.86429999999999</v>
      </c>
      <c r="Z68" s="13">
        <v>70</v>
      </c>
      <c r="AA68" s="13">
        <v>88.383200000000002</v>
      </c>
      <c r="AB68" s="13">
        <v>80</v>
      </c>
      <c r="AC68" s="13">
        <v>6.5299999999999997E-2</v>
      </c>
      <c r="AD68" s="13">
        <v>0</v>
      </c>
      <c r="AE68" s="13">
        <v>83.333299999999994</v>
      </c>
      <c r="AF68" s="13">
        <v>83.398600000000002</v>
      </c>
      <c r="AG68" s="13">
        <v>16.6797</v>
      </c>
      <c r="AH68" s="13">
        <v>56.578400000000002</v>
      </c>
      <c r="AI68" s="13">
        <v>56.5914</v>
      </c>
      <c r="AJ68" t="s">
        <v>27</v>
      </c>
    </row>
    <row r="69" spans="2:36" x14ac:dyDescent="0.3">
      <c r="B69" t="s">
        <v>184</v>
      </c>
      <c r="C69" t="s">
        <v>185</v>
      </c>
      <c r="D69" t="s">
        <v>186</v>
      </c>
      <c r="E69" t="s">
        <v>8</v>
      </c>
      <c r="F69" t="s">
        <v>14</v>
      </c>
      <c r="G69" t="s">
        <v>23</v>
      </c>
      <c r="H69" t="s">
        <v>36</v>
      </c>
      <c r="I69" t="s">
        <v>25</v>
      </c>
      <c r="J69" t="s">
        <v>26</v>
      </c>
      <c r="K69" s="13">
        <v>54.436100000000003</v>
      </c>
      <c r="L69" s="13">
        <v>45.563899999999997</v>
      </c>
      <c r="M69" s="13">
        <v>26.9148</v>
      </c>
      <c r="N69" s="13">
        <v>37.480400000000003</v>
      </c>
      <c r="O69" s="13">
        <v>26.210999999999999</v>
      </c>
      <c r="P69" s="13">
        <v>73.789000000000001</v>
      </c>
      <c r="Q69" s="13">
        <v>45.561900000000001</v>
      </c>
      <c r="R69" s="13">
        <v>70</v>
      </c>
      <c r="S69" s="13">
        <v>7.3716999999999997</v>
      </c>
      <c r="T69" s="13">
        <v>80</v>
      </c>
      <c r="U69" s="13">
        <v>61.366700000000002</v>
      </c>
      <c r="V69" s="13">
        <v>49.093400000000003</v>
      </c>
      <c r="W69" s="13">
        <v>27.58</v>
      </c>
      <c r="X69" s="13">
        <v>97.936199999999999</v>
      </c>
      <c r="Y69" s="13">
        <v>113.0455</v>
      </c>
      <c r="Z69" s="13">
        <v>100</v>
      </c>
      <c r="AA69" s="13">
        <v>93.788399999999996</v>
      </c>
      <c r="AB69" s="13">
        <v>100</v>
      </c>
      <c r="AC69" s="13">
        <v>0</v>
      </c>
      <c r="AD69" s="13">
        <v>0</v>
      </c>
      <c r="AE69" s="13">
        <v>99.312100000000001</v>
      </c>
      <c r="AF69" s="13">
        <v>99.312100000000001</v>
      </c>
      <c r="AG69" s="13">
        <v>19.862400000000001</v>
      </c>
      <c r="AH69" s="13">
        <v>68.955799999999996</v>
      </c>
      <c r="AI69" s="13">
        <v>68.955799999999996</v>
      </c>
      <c r="AJ69" t="s">
        <v>19</v>
      </c>
    </row>
    <row r="70" spans="2:36" x14ac:dyDescent="0.3">
      <c r="B70" t="s">
        <v>187</v>
      </c>
      <c r="C70" t="s">
        <v>188</v>
      </c>
      <c r="D70" t="s">
        <v>189</v>
      </c>
      <c r="E70" t="s">
        <v>8</v>
      </c>
      <c r="F70" t="s">
        <v>14</v>
      </c>
      <c r="G70" t="s">
        <v>23</v>
      </c>
      <c r="H70" t="s">
        <v>24</v>
      </c>
      <c r="I70" t="s">
        <v>25</v>
      </c>
      <c r="J70" t="s">
        <v>26</v>
      </c>
      <c r="K70" s="13">
        <v>69.196299999999994</v>
      </c>
      <c r="L70" s="13">
        <v>30.803699999999999</v>
      </c>
      <c r="M70" s="13">
        <v>16.991299999999999</v>
      </c>
      <c r="N70" s="13">
        <v>23.661300000000001</v>
      </c>
      <c r="O70" s="13">
        <v>19.407900000000001</v>
      </c>
      <c r="P70" s="13">
        <v>80.592100000000002</v>
      </c>
      <c r="Q70" s="13">
        <v>26.597899999999999</v>
      </c>
      <c r="R70" s="13">
        <v>40</v>
      </c>
      <c r="S70" s="13">
        <v>13.5435</v>
      </c>
      <c r="T70" s="13">
        <v>60</v>
      </c>
      <c r="U70" s="13">
        <v>47.011400000000002</v>
      </c>
      <c r="V70" s="13">
        <v>37.609099999999998</v>
      </c>
      <c r="W70" s="13">
        <v>19.96</v>
      </c>
      <c r="X70" s="13">
        <v>70.877700000000004</v>
      </c>
      <c r="Y70" s="13">
        <v>97.620599999999996</v>
      </c>
      <c r="Z70" s="13">
        <v>100</v>
      </c>
      <c r="AA70" s="13">
        <v>90.573899999999995</v>
      </c>
      <c r="AB70" s="13">
        <v>100</v>
      </c>
      <c r="AC70" s="13">
        <v>0</v>
      </c>
      <c r="AD70" s="13">
        <v>2</v>
      </c>
      <c r="AE70" s="13">
        <v>90.292599999999993</v>
      </c>
      <c r="AF70" s="13">
        <v>92.292599999999993</v>
      </c>
      <c r="AG70" s="13">
        <v>18.458500000000001</v>
      </c>
      <c r="AH70" s="13">
        <v>55.6676</v>
      </c>
      <c r="AI70" s="13">
        <v>56.067599999999999</v>
      </c>
      <c r="AJ70" t="s">
        <v>27</v>
      </c>
    </row>
    <row r="71" spans="2:36" x14ac:dyDescent="0.3">
      <c r="B71" t="s">
        <v>190</v>
      </c>
      <c r="C71" t="s">
        <v>191</v>
      </c>
      <c r="D71" t="s">
        <v>192</v>
      </c>
      <c r="E71" t="s">
        <v>8</v>
      </c>
      <c r="F71" t="s">
        <v>14</v>
      </c>
      <c r="G71" t="s">
        <v>23</v>
      </c>
      <c r="H71" t="s">
        <v>31</v>
      </c>
      <c r="I71" t="s">
        <v>41</v>
      </c>
      <c r="J71" t="s">
        <v>26</v>
      </c>
      <c r="K71" s="13">
        <v>56.888599999999997</v>
      </c>
      <c r="L71" s="13">
        <v>43.111400000000003</v>
      </c>
      <c r="M71" s="13">
        <v>15.8064</v>
      </c>
      <c r="N71" s="13">
        <v>23.209199999999999</v>
      </c>
      <c r="O71" s="13">
        <v>16.536300000000001</v>
      </c>
      <c r="P71" s="13">
        <v>83.463700000000003</v>
      </c>
      <c r="Q71" s="13">
        <v>57.999699999999997</v>
      </c>
      <c r="R71" s="13">
        <v>80</v>
      </c>
      <c r="S71" s="13">
        <v>19.905100000000001</v>
      </c>
      <c r="T71" s="13">
        <v>40</v>
      </c>
      <c r="U71" s="13">
        <v>53.956899999999997</v>
      </c>
      <c r="V71" s="13">
        <v>43.165500000000002</v>
      </c>
      <c r="W71" s="13">
        <v>23.21</v>
      </c>
      <c r="X71" s="13">
        <v>82.418400000000005</v>
      </c>
      <c r="Y71" s="13">
        <v>242.0154</v>
      </c>
      <c r="Z71" s="13">
        <v>0</v>
      </c>
      <c r="AA71" s="13">
        <v>93.563299999999998</v>
      </c>
      <c r="AB71" s="13">
        <v>100</v>
      </c>
      <c r="AC71" s="13">
        <v>0.4461</v>
      </c>
      <c r="AD71" s="13">
        <v>0</v>
      </c>
      <c r="AE71" s="13">
        <v>60.806100000000001</v>
      </c>
      <c r="AF71" s="13">
        <v>61.252200000000002</v>
      </c>
      <c r="AG71" s="13">
        <v>12.250400000000001</v>
      </c>
      <c r="AH71" s="13">
        <v>55.326700000000002</v>
      </c>
      <c r="AI71" s="13">
        <v>55.415900000000001</v>
      </c>
      <c r="AJ71" t="s">
        <v>27</v>
      </c>
    </row>
    <row r="72" spans="2:36" x14ac:dyDescent="0.3">
      <c r="B72" t="s">
        <v>193</v>
      </c>
      <c r="C72" t="s">
        <v>194</v>
      </c>
      <c r="D72" t="s">
        <v>195</v>
      </c>
      <c r="E72" t="s">
        <v>8</v>
      </c>
      <c r="F72" t="s">
        <v>14</v>
      </c>
      <c r="G72" t="s">
        <v>41</v>
      </c>
      <c r="H72" t="s">
        <v>60</v>
      </c>
      <c r="I72" t="s">
        <v>85</v>
      </c>
      <c r="J72" t="s">
        <v>26</v>
      </c>
      <c r="K72" s="13">
        <v>26.881499999999999</v>
      </c>
      <c r="L72" s="13">
        <v>73.118499999999997</v>
      </c>
      <c r="M72" s="13">
        <v>18.962399999999999</v>
      </c>
      <c r="N72" s="13">
        <v>32.922699999999999</v>
      </c>
      <c r="O72" s="13">
        <v>28.454499999999999</v>
      </c>
      <c r="P72" s="13">
        <v>71.545500000000004</v>
      </c>
      <c r="Q72" s="13">
        <v>62.544800000000002</v>
      </c>
      <c r="R72" s="13">
        <v>80</v>
      </c>
      <c r="S72" s="13">
        <v>24.895</v>
      </c>
      <c r="T72" s="13">
        <v>20</v>
      </c>
      <c r="U72" s="13">
        <v>55.517299999999999</v>
      </c>
      <c r="V72" s="13">
        <v>44.413800000000002</v>
      </c>
      <c r="W72" s="13">
        <v>37.46</v>
      </c>
      <c r="X72" s="13">
        <v>100</v>
      </c>
      <c r="Y72" s="13">
        <v>119.82510000000001</v>
      </c>
      <c r="Z72" s="13">
        <v>100</v>
      </c>
      <c r="AA72" s="13">
        <v>94.069100000000006</v>
      </c>
      <c r="AB72" s="13">
        <v>100</v>
      </c>
      <c r="AC72" s="13">
        <v>0</v>
      </c>
      <c r="AD72" s="13">
        <v>0</v>
      </c>
      <c r="AE72" s="13">
        <v>100</v>
      </c>
      <c r="AF72" s="13">
        <v>100</v>
      </c>
      <c r="AG72" s="13">
        <v>20</v>
      </c>
      <c r="AH72" s="13">
        <v>64.413799999999995</v>
      </c>
      <c r="AI72" s="13">
        <v>64.413799999999995</v>
      </c>
      <c r="AJ72" t="s">
        <v>19</v>
      </c>
    </row>
    <row r="73" spans="2:36" x14ac:dyDescent="0.3">
      <c r="B73" t="s">
        <v>196</v>
      </c>
      <c r="C73" t="s">
        <v>197</v>
      </c>
      <c r="D73" t="s">
        <v>198</v>
      </c>
      <c r="E73" t="s">
        <v>8</v>
      </c>
      <c r="F73" t="s">
        <v>14</v>
      </c>
      <c r="G73" t="s">
        <v>23</v>
      </c>
      <c r="H73" t="s">
        <v>60</v>
      </c>
      <c r="I73" t="s">
        <v>41</v>
      </c>
      <c r="J73" t="s">
        <v>26</v>
      </c>
      <c r="K73" s="13">
        <v>28.7958</v>
      </c>
      <c r="L73" s="13">
        <v>71.2042</v>
      </c>
      <c r="M73" s="13">
        <v>30.636700000000001</v>
      </c>
      <c r="N73" s="13">
        <v>44.985199999999999</v>
      </c>
      <c r="O73" s="13">
        <v>14.633800000000001</v>
      </c>
      <c r="P73" s="13">
        <v>85.366200000000006</v>
      </c>
      <c r="Q73" s="13">
        <v>50.6312</v>
      </c>
      <c r="R73" s="13">
        <v>70</v>
      </c>
      <c r="S73" s="13">
        <v>8.4489999999999998</v>
      </c>
      <c r="T73" s="13">
        <v>80</v>
      </c>
      <c r="U73" s="13">
        <v>70.311099999999996</v>
      </c>
      <c r="V73" s="13">
        <v>56.248899999999999</v>
      </c>
      <c r="W73" s="13">
        <v>26.3</v>
      </c>
      <c r="X73" s="13">
        <v>93.390900000000002</v>
      </c>
      <c r="Y73" s="13">
        <v>169.1397</v>
      </c>
      <c r="Z73" s="13">
        <v>0</v>
      </c>
      <c r="AA73" s="13">
        <v>83.204899999999995</v>
      </c>
      <c r="AB73" s="13">
        <v>80</v>
      </c>
      <c r="AC73" s="13">
        <v>0</v>
      </c>
      <c r="AD73" s="13">
        <v>0</v>
      </c>
      <c r="AE73" s="13">
        <v>57.796999999999997</v>
      </c>
      <c r="AF73" s="13">
        <v>57.796999999999997</v>
      </c>
      <c r="AG73" s="13">
        <v>11.5594</v>
      </c>
      <c r="AH73" s="13">
        <v>67.808300000000003</v>
      </c>
      <c r="AI73" s="13">
        <v>67.808300000000003</v>
      </c>
      <c r="AJ73" t="s">
        <v>19</v>
      </c>
    </row>
    <row r="74" spans="2:36" x14ac:dyDescent="0.3">
      <c r="B74" t="s">
        <v>199</v>
      </c>
      <c r="C74" t="s">
        <v>200</v>
      </c>
      <c r="D74" t="s">
        <v>201</v>
      </c>
      <c r="E74" t="s">
        <v>8</v>
      </c>
      <c r="F74" t="s">
        <v>14</v>
      </c>
      <c r="G74" t="s">
        <v>23</v>
      </c>
      <c r="H74" t="s">
        <v>31</v>
      </c>
      <c r="I74" t="s">
        <v>25</v>
      </c>
      <c r="J74" t="s">
        <v>26</v>
      </c>
      <c r="K74" s="13">
        <v>73.412999999999997</v>
      </c>
      <c r="L74" s="13">
        <v>26.587</v>
      </c>
      <c r="M74" s="13">
        <v>23.488499999999998</v>
      </c>
      <c r="N74" s="13">
        <v>32.709099999999999</v>
      </c>
      <c r="O74" s="13">
        <v>26.6599</v>
      </c>
      <c r="P74" s="13">
        <v>73.340100000000007</v>
      </c>
      <c r="Q74" s="13">
        <v>15.501300000000001</v>
      </c>
      <c r="R74" s="13">
        <v>30</v>
      </c>
      <c r="S74" s="13">
        <v>4.2442000000000002</v>
      </c>
      <c r="T74" s="13">
        <v>100</v>
      </c>
      <c r="U74" s="13">
        <v>52.527200000000001</v>
      </c>
      <c r="V74" s="13">
        <v>42.021799999999999</v>
      </c>
      <c r="W74" s="13">
        <v>9.4499999999999993</v>
      </c>
      <c r="X74" s="13">
        <v>33.556800000000003</v>
      </c>
      <c r="Y74" s="13">
        <v>165.63130000000001</v>
      </c>
      <c r="Z74" s="13">
        <v>0</v>
      </c>
      <c r="AA74" s="13">
        <v>71.679000000000002</v>
      </c>
      <c r="AB74" s="13">
        <v>70</v>
      </c>
      <c r="AC74" s="13">
        <v>0</v>
      </c>
      <c r="AD74" s="13">
        <v>0</v>
      </c>
      <c r="AE74" s="13">
        <v>34.518900000000002</v>
      </c>
      <c r="AF74" s="13">
        <v>34.518900000000002</v>
      </c>
      <c r="AG74" s="13">
        <v>6.9038000000000004</v>
      </c>
      <c r="AH74" s="13">
        <v>48.925600000000003</v>
      </c>
      <c r="AI74" s="13">
        <v>48.925600000000003</v>
      </c>
      <c r="AJ74" t="s">
        <v>27</v>
      </c>
    </row>
    <row r="75" spans="2:36" x14ac:dyDescent="0.3">
      <c r="B75" t="s">
        <v>202</v>
      </c>
      <c r="C75" t="s">
        <v>203</v>
      </c>
      <c r="D75" t="s">
        <v>204</v>
      </c>
      <c r="E75" t="s">
        <v>8</v>
      </c>
      <c r="F75" t="s">
        <v>14</v>
      </c>
      <c r="G75" t="s">
        <v>23</v>
      </c>
      <c r="H75" t="s">
        <v>36</v>
      </c>
      <c r="I75" t="s">
        <v>25</v>
      </c>
      <c r="J75" t="s">
        <v>26</v>
      </c>
      <c r="K75" s="13">
        <v>75.147099999999995</v>
      </c>
      <c r="L75" s="13">
        <v>24.852900000000002</v>
      </c>
      <c r="M75" s="13">
        <v>0.99470000000000003</v>
      </c>
      <c r="N75" s="13">
        <v>1.3852</v>
      </c>
      <c r="O75" s="13">
        <v>34.581600000000002</v>
      </c>
      <c r="P75" s="13">
        <v>65.418400000000005</v>
      </c>
      <c r="Q75" s="13">
        <v>31.818899999999999</v>
      </c>
      <c r="R75" s="13">
        <v>40</v>
      </c>
      <c r="S75" s="13">
        <v>13.5328</v>
      </c>
      <c r="T75" s="13">
        <v>60</v>
      </c>
      <c r="U75" s="13">
        <v>38.331299999999999</v>
      </c>
      <c r="V75" s="13">
        <v>30.664999999999999</v>
      </c>
      <c r="W75" s="13">
        <v>5.1100000000000003</v>
      </c>
      <c r="X75" s="13">
        <v>18.145499999999998</v>
      </c>
      <c r="Y75" s="13">
        <v>124.2308</v>
      </c>
      <c r="Z75" s="13">
        <v>80</v>
      </c>
      <c r="AA75" s="13">
        <v>97.961299999999994</v>
      </c>
      <c r="AB75" s="13">
        <v>100</v>
      </c>
      <c r="AC75" s="13">
        <v>0</v>
      </c>
      <c r="AD75" s="13">
        <v>0</v>
      </c>
      <c r="AE75" s="13">
        <v>66.048500000000004</v>
      </c>
      <c r="AF75" s="13">
        <v>66.048500000000004</v>
      </c>
      <c r="AG75" s="13">
        <v>13.2097</v>
      </c>
      <c r="AH75" s="13">
        <v>43.874699999999997</v>
      </c>
      <c r="AI75" s="13">
        <v>43.874699999999997</v>
      </c>
      <c r="AJ75" t="s">
        <v>27</v>
      </c>
    </row>
    <row r="76" spans="2:36" x14ac:dyDescent="0.3">
      <c r="B76" t="s">
        <v>205</v>
      </c>
      <c r="C76" t="s">
        <v>206</v>
      </c>
      <c r="D76" t="s">
        <v>207</v>
      </c>
      <c r="E76" t="s">
        <v>8</v>
      </c>
      <c r="F76" t="s">
        <v>14</v>
      </c>
      <c r="G76" t="s">
        <v>85</v>
      </c>
      <c r="H76" t="s">
        <v>60</v>
      </c>
      <c r="I76" t="s">
        <v>85</v>
      </c>
      <c r="J76" t="s">
        <v>26</v>
      </c>
      <c r="K76" s="13">
        <v>32.5413</v>
      </c>
      <c r="L76" s="13">
        <v>67.458699999999993</v>
      </c>
      <c r="M76" s="13">
        <v>24.628799999999998</v>
      </c>
      <c r="N76" s="13">
        <v>42.760800000000003</v>
      </c>
      <c r="O76" s="13">
        <v>17.822600000000001</v>
      </c>
      <c r="P76" s="13">
        <v>82.177400000000006</v>
      </c>
      <c r="Q76" s="13">
        <v>64.42</v>
      </c>
      <c r="R76" s="13">
        <v>80</v>
      </c>
      <c r="S76" s="13">
        <v>9.7409999999999997</v>
      </c>
      <c r="T76" s="13">
        <v>80</v>
      </c>
      <c r="U76" s="13">
        <v>70.479399999999998</v>
      </c>
      <c r="V76" s="13">
        <v>56.383499999999998</v>
      </c>
      <c r="W76" s="13">
        <v>33.909999999999997</v>
      </c>
      <c r="X76" s="13">
        <v>100</v>
      </c>
      <c r="Y76" s="13">
        <v>96.6357</v>
      </c>
      <c r="Z76" s="13">
        <v>100</v>
      </c>
      <c r="AA76" s="13">
        <v>84.711500000000001</v>
      </c>
      <c r="AB76" s="13">
        <v>80</v>
      </c>
      <c r="AC76" s="13">
        <v>0</v>
      </c>
      <c r="AD76" s="13">
        <v>0</v>
      </c>
      <c r="AE76" s="13">
        <v>93.333299999999994</v>
      </c>
      <c r="AF76" s="13">
        <v>93.333299999999994</v>
      </c>
      <c r="AG76" s="13">
        <v>18.666699999999999</v>
      </c>
      <c r="AH76" s="13">
        <v>75.050200000000004</v>
      </c>
      <c r="AI76" s="13">
        <v>75.050200000000004</v>
      </c>
      <c r="AJ76" t="s">
        <v>153</v>
      </c>
    </row>
    <row r="77" spans="2:36" x14ac:dyDescent="0.3">
      <c r="B77" t="s">
        <v>208</v>
      </c>
      <c r="C77" t="s">
        <v>209</v>
      </c>
      <c r="D77" t="s">
        <v>210</v>
      </c>
      <c r="E77" t="s">
        <v>8</v>
      </c>
      <c r="F77" t="s">
        <v>14</v>
      </c>
      <c r="G77" t="s">
        <v>23</v>
      </c>
      <c r="H77" t="s">
        <v>24</v>
      </c>
      <c r="I77" t="s">
        <v>37</v>
      </c>
      <c r="J77" t="s">
        <v>26</v>
      </c>
      <c r="K77" s="13">
        <v>70.451300000000003</v>
      </c>
      <c r="L77" s="13">
        <v>29.5487</v>
      </c>
      <c r="M77" s="13">
        <v>28.726099999999999</v>
      </c>
      <c r="N77" s="13">
        <v>42.040199999999999</v>
      </c>
      <c r="O77" s="13">
        <v>68.365600000000001</v>
      </c>
      <c r="P77" s="13">
        <v>31.634399999999999</v>
      </c>
      <c r="Q77" s="13">
        <v>35.107399999999998</v>
      </c>
      <c r="R77" s="13">
        <v>50</v>
      </c>
      <c r="S77" s="13">
        <v>7.3789999999999996</v>
      </c>
      <c r="T77" s="13">
        <v>80</v>
      </c>
      <c r="U77" s="13">
        <v>46.6447</v>
      </c>
      <c r="V77" s="13">
        <v>37.315800000000003</v>
      </c>
      <c r="W77" s="13">
        <v>27.32</v>
      </c>
      <c r="X77" s="13">
        <v>97.012900000000002</v>
      </c>
      <c r="Y77" s="13">
        <v>102.8492</v>
      </c>
      <c r="Z77" s="13">
        <v>100</v>
      </c>
      <c r="AA77" s="13">
        <v>91.645600000000002</v>
      </c>
      <c r="AB77" s="13">
        <v>100</v>
      </c>
      <c r="AC77" s="13">
        <v>0</v>
      </c>
      <c r="AD77" s="13">
        <v>0</v>
      </c>
      <c r="AE77" s="13">
        <v>99.004300000000001</v>
      </c>
      <c r="AF77" s="13">
        <v>99.004300000000001</v>
      </c>
      <c r="AG77" s="13">
        <v>19.800899999999999</v>
      </c>
      <c r="AH77" s="13">
        <v>57.116700000000002</v>
      </c>
      <c r="AI77" s="13">
        <v>57.116700000000002</v>
      </c>
      <c r="AJ77" t="s">
        <v>27</v>
      </c>
    </row>
    <row r="78" spans="2:36" x14ac:dyDescent="0.3">
      <c r="B78" t="s">
        <v>211</v>
      </c>
      <c r="C78" t="s">
        <v>212</v>
      </c>
      <c r="D78" t="s">
        <v>213</v>
      </c>
      <c r="E78" t="s">
        <v>8</v>
      </c>
      <c r="F78" t="s">
        <v>14</v>
      </c>
      <c r="G78" t="s">
        <v>23</v>
      </c>
      <c r="H78" t="s">
        <v>31</v>
      </c>
      <c r="I78" t="s">
        <v>25</v>
      </c>
      <c r="J78" t="s">
        <v>26</v>
      </c>
      <c r="K78" s="13">
        <v>64.4649</v>
      </c>
      <c r="L78" s="13">
        <v>35.5351</v>
      </c>
      <c r="M78" s="13">
        <v>9.7573000000000008</v>
      </c>
      <c r="N78" s="13">
        <v>13.5876</v>
      </c>
      <c r="O78" s="13">
        <v>41.153300000000002</v>
      </c>
      <c r="P78" s="13">
        <v>58.846699999999998</v>
      </c>
      <c r="Q78" s="13">
        <v>57.429000000000002</v>
      </c>
      <c r="R78" s="13">
        <v>80</v>
      </c>
      <c r="S78" s="13">
        <v>22.424399999999999</v>
      </c>
      <c r="T78" s="13">
        <v>20</v>
      </c>
      <c r="U78" s="13">
        <v>41.593899999999998</v>
      </c>
      <c r="V78" s="13">
        <v>33.275100000000002</v>
      </c>
      <c r="W78" s="13">
        <v>36.159999999999997</v>
      </c>
      <c r="X78" s="13">
        <v>100</v>
      </c>
      <c r="Y78" s="13">
        <v>151.72239999999999</v>
      </c>
      <c r="Z78" s="13">
        <v>0</v>
      </c>
      <c r="AA78" s="13">
        <v>98.955200000000005</v>
      </c>
      <c r="AB78" s="13">
        <v>100</v>
      </c>
      <c r="AC78" s="13">
        <v>0.17530000000000001</v>
      </c>
      <c r="AD78" s="13">
        <v>2</v>
      </c>
      <c r="AE78" s="13">
        <v>66.666700000000006</v>
      </c>
      <c r="AF78" s="13">
        <v>68.841999999999999</v>
      </c>
      <c r="AG78" s="13">
        <v>13.7684</v>
      </c>
      <c r="AH78" s="13">
        <v>46.608400000000003</v>
      </c>
      <c r="AI78" s="13">
        <v>47.043500000000002</v>
      </c>
      <c r="AJ78" t="s">
        <v>27</v>
      </c>
    </row>
    <row r="79" spans="2:36" x14ac:dyDescent="0.3">
      <c r="B79" t="s">
        <v>214</v>
      </c>
      <c r="C79" t="s">
        <v>215</v>
      </c>
      <c r="D79" t="s">
        <v>216</v>
      </c>
      <c r="E79" t="s">
        <v>8</v>
      </c>
      <c r="F79" t="s">
        <v>14</v>
      </c>
      <c r="G79" t="s">
        <v>23</v>
      </c>
      <c r="H79" t="s">
        <v>36</v>
      </c>
      <c r="I79" t="s">
        <v>41</v>
      </c>
      <c r="J79" t="s">
        <v>26</v>
      </c>
      <c r="K79" s="13">
        <v>48.761499999999998</v>
      </c>
      <c r="L79" s="13">
        <v>51.238500000000002</v>
      </c>
      <c r="M79" s="13">
        <v>17.497399999999999</v>
      </c>
      <c r="N79" s="13">
        <v>25.6922</v>
      </c>
      <c r="O79" s="13">
        <v>38.229799999999997</v>
      </c>
      <c r="P79" s="13">
        <v>61.770200000000003</v>
      </c>
      <c r="Q79" s="13">
        <v>36.8733</v>
      </c>
      <c r="R79" s="13">
        <v>50</v>
      </c>
      <c r="S79" s="13">
        <v>21.749700000000001</v>
      </c>
      <c r="T79" s="13">
        <v>20</v>
      </c>
      <c r="U79" s="13">
        <v>41.740200000000002</v>
      </c>
      <c r="V79" s="13">
        <v>33.392200000000003</v>
      </c>
      <c r="W79" s="13">
        <v>13.56</v>
      </c>
      <c r="X79" s="13">
        <v>48.151400000000002</v>
      </c>
      <c r="Y79" s="13">
        <v>113.8556</v>
      </c>
      <c r="Z79" s="13">
        <v>100</v>
      </c>
      <c r="AA79" s="13">
        <v>96.430300000000003</v>
      </c>
      <c r="AB79" s="13">
        <v>100</v>
      </c>
      <c r="AC79" s="13">
        <v>0</v>
      </c>
      <c r="AD79" s="13">
        <v>2</v>
      </c>
      <c r="AE79" s="13">
        <v>82.717100000000002</v>
      </c>
      <c r="AF79" s="13">
        <v>84.717100000000002</v>
      </c>
      <c r="AG79" s="13">
        <v>16.9434</v>
      </c>
      <c r="AH79" s="13">
        <v>49.935600000000001</v>
      </c>
      <c r="AI79" s="13">
        <v>50.335599999999999</v>
      </c>
      <c r="AJ79" t="s">
        <v>27</v>
      </c>
    </row>
    <row r="80" spans="2:36" x14ac:dyDescent="0.3">
      <c r="B80" t="s">
        <v>217</v>
      </c>
      <c r="C80" t="s">
        <v>218</v>
      </c>
      <c r="D80" t="s">
        <v>219</v>
      </c>
      <c r="E80" t="s">
        <v>8</v>
      </c>
      <c r="F80" t="s">
        <v>14</v>
      </c>
      <c r="G80" t="s">
        <v>41</v>
      </c>
      <c r="H80" t="s">
        <v>60</v>
      </c>
      <c r="I80" t="s">
        <v>85</v>
      </c>
      <c r="J80" t="s">
        <v>26</v>
      </c>
      <c r="K80" s="13">
        <v>24.305199999999999</v>
      </c>
      <c r="L80" s="13">
        <v>75.694800000000001</v>
      </c>
      <c r="M80" s="13">
        <v>25.520299999999999</v>
      </c>
      <c r="N80" s="13">
        <v>44.308599999999998</v>
      </c>
      <c r="O80" s="13">
        <v>30.164300000000001</v>
      </c>
      <c r="P80" s="13">
        <v>69.835700000000003</v>
      </c>
      <c r="Q80" s="13">
        <v>67.299199999999999</v>
      </c>
      <c r="R80" s="13">
        <v>100</v>
      </c>
      <c r="S80" s="13">
        <v>26.9939</v>
      </c>
      <c r="T80" s="13">
        <v>20</v>
      </c>
      <c r="U80" s="13">
        <v>61.967799999999997</v>
      </c>
      <c r="V80" s="13">
        <v>49.574199999999998</v>
      </c>
      <c r="W80" s="13">
        <v>40.57</v>
      </c>
      <c r="X80" s="13">
        <v>100</v>
      </c>
      <c r="Y80" s="13">
        <v>117.27330000000001</v>
      </c>
      <c r="Z80" s="13">
        <v>100</v>
      </c>
      <c r="AA80" s="13">
        <v>82.335099999999997</v>
      </c>
      <c r="AB80" s="13">
        <v>80</v>
      </c>
      <c r="AC80" s="13">
        <v>0</v>
      </c>
      <c r="AD80" s="13">
        <v>0</v>
      </c>
      <c r="AE80" s="13">
        <v>93.333299999999994</v>
      </c>
      <c r="AF80" s="13">
        <v>93.333299999999994</v>
      </c>
      <c r="AG80" s="13">
        <v>18.666699999999999</v>
      </c>
      <c r="AH80" s="13">
        <v>68.240899999999996</v>
      </c>
      <c r="AI80" s="13">
        <v>68.240899999999996</v>
      </c>
      <c r="AJ80" t="s">
        <v>19</v>
      </c>
    </row>
    <row r="81" spans="2:36" x14ac:dyDescent="0.3">
      <c r="B81" t="s">
        <v>220</v>
      </c>
      <c r="C81" t="s">
        <v>221</v>
      </c>
      <c r="D81" t="s">
        <v>222</v>
      </c>
      <c r="E81" t="s">
        <v>8</v>
      </c>
      <c r="F81" t="s">
        <v>14</v>
      </c>
      <c r="G81" t="s">
        <v>41</v>
      </c>
      <c r="H81" t="s">
        <v>60</v>
      </c>
      <c r="I81" t="s">
        <v>85</v>
      </c>
      <c r="J81" t="s">
        <v>26</v>
      </c>
      <c r="K81" s="13">
        <v>27.946200000000001</v>
      </c>
      <c r="L81" s="13">
        <v>72.053799999999995</v>
      </c>
      <c r="M81" s="13">
        <v>10.9232</v>
      </c>
      <c r="N81" s="13">
        <v>18.965</v>
      </c>
      <c r="O81" s="13">
        <v>21.579899999999999</v>
      </c>
      <c r="P81" s="13">
        <v>78.420100000000005</v>
      </c>
      <c r="Q81" s="13">
        <v>56.702199999999998</v>
      </c>
      <c r="R81" s="13">
        <v>80</v>
      </c>
      <c r="S81" s="13">
        <v>17.03</v>
      </c>
      <c r="T81" s="13">
        <v>40</v>
      </c>
      <c r="U81" s="13">
        <v>57.887799999999999</v>
      </c>
      <c r="V81" s="13">
        <v>46.310200000000002</v>
      </c>
      <c r="W81" s="13">
        <v>26.68</v>
      </c>
      <c r="X81" s="13">
        <v>100</v>
      </c>
      <c r="Y81" s="13">
        <v>133.59780000000001</v>
      </c>
      <c r="Z81" s="13">
        <v>70</v>
      </c>
      <c r="AA81" s="13">
        <v>92.543300000000002</v>
      </c>
      <c r="AB81" s="13">
        <v>100</v>
      </c>
      <c r="AC81" s="13">
        <v>5.91E-2</v>
      </c>
      <c r="AD81" s="13">
        <v>0</v>
      </c>
      <c r="AE81" s="13">
        <v>90</v>
      </c>
      <c r="AF81" s="13">
        <v>90.059100000000001</v>
      </c>
      <c r="AG81" s="13">
        <v>18.011800000000001</v>
      </c>
      <c r="AH81" s="13">
        <v>64.310199999999995</v>
      </c>
      <c r="AI81" s="13">
        <v>64.322000000000003</v>
      </c>
      <c r="AJ81" t="s">
        <v>19</v>
      </c>
    </row>
    <row r="82" spans="2:36" x14ac:dyDescent="0.3">
      <c r="B82" t="s">
        <v>223</v>
      </c>
      <c r="C82" t="s">
        <v>224</v>
      </c>
      <c r="D82" t="s">
        <v>225</v>
      </c>
      <c r="E82" t="s">
        <v>8</v>
      </c>
      <c r="F82" t="s">
        <v>14</v>
      </c>
      <c r="G82" t="s">
        <v>23</v>
      </c>
      <c r="H82" t="s">
        <v>60</v>
      </c>
      <c r="I82" t="s">
        <v>25</v>
      </c>
      <c r="J82" t="s">
        <v>26</v>
      </c>
      <c r="K82" s="13">
        <v>56.741500000000002</v>
      </c>
      <c r="L82" s="13">
        <v>43.258499999999998</v>
      </c>
      <c r="M82" s="13">
        <v>13.193300000000001</v>
      </c>
      <c r="N82" s="13">
        <v>18.372399999999999</v>
      </c>
      <c r="O82" s="13">
        <v>17.5853</v>
      </c>
      <c r="P82" s="13">
        <v>82.414699999999996</v>
      </c>
      <c r="Q82" s="13">
        <v>24.027100000000001</v>
      </c>
      <c r="R82" s="13">
        <v>30</v>
      </c>
      <c r="S82" s="13">
        <v>-0.2006</v>
      </c>
      <c r="T82" s="13">
        <v>100</v>
      </c>
      <c r="U82" s="13">
        <v>54.809100000000001</v>
      </c>
      <c r="V82" s="13">
        <v>43.847299999999997</v>
      </c>
      <c r="W82" s="13">
        <v>14.72</v>
      </c>
      <c r="X82" s="13">
        <v>52.270499999999998</v>
      </c>
      <c r="Y82" s="13">
        <v>109.5235</v>
      </c>
      <c r="Z82" s="13">
        <v>100</v>
      </c>
      <c r="AA82" s="13">
        <v>94.188199999999995</v>
      </c>
      <c r="AB82" s="13">
        <v>100</v>
      </c>
      <c r="AC82" s="13">
        <v>0</v>
      </c>
      <c r="AD82" s="13">
        <v>0</v>
      </c>
      <c r="AE82" s="13">
        <v>84.090199999999996</v>
      </c>
      <c r="AF82" s="13">
        <v>84.090199999999996</v>
      </c>
      <c r="AG82" s="13">
        <v>16.818000000000001</v>
      </c>
      <c r="AH82" s="13">
        <v>60.665300000000002</v>
      </c>
      <c r="AI82" s="13">
        <v>60.665300000000002</v>
      </c>
      <c r="AJ82" t="s">
        <v>19</v>
      </c>
    </row>
    <row r="83" spans="2:36" x14ac:dyDescent="0.3">
      <c r="B83" t="s">
        <v>226</v>
      </c>
      <c r="C83" t="s">
        <v>227</v>
      </c>
      <c r="D83" t="s">
        <v>228</v>
      </c>
      <c r="E83" t="s">
        <v>8</v>
      </c>
      <c r="F83" t="s">
        <v>14</v>
      </c>
      <c r="G83" t="s">
        <v>23</v>
      </c>
      <c r="H83" t="s">
        <v>36</v>
      </c>
      <c r="I83" t="s">
        <v>41</v>
      </c>
      <c r="J83" t="s">
        <v>26</v>
      </c>
      <c r="K83" s="13">
        <v>52.395400000000002</v>
      </c>
      <c r="L83" s="13">
        <v>47.604599999999998</v>
      </c>
      <c r="M83" s="13">
        <v>27.975100000000001</v>
      </c>
      <c r="N83" s="13">
        <v>41.077100000000002</v>
      </c>
      <c r="O83" s="13">
        <v>13.4925</v>
      </c>
      <c r="P83" s="13">
        <v>86.507499999999993</v>
      </c>
      <c r="Q83" s="13">
        <v>58.368899999999996</v>
      </c>
      <c r="R83" s="13">
        <v>80</v>
      </c>
      <c r="S83" s="13">
        <v>19.291499999999999</v>
      </c>
      <c r="T83" s="13">
        <v>40</v>
      </c>
      <c r="U83" s="13">
        <v>59.037799999999997</v>
      </c>
      <c r="V83" s="13">
        <v>47.230200000000004</v>
      </c>
      <c r="W83" s="13">
        <v>31.69</v>
      </c>
      <c r="X83" s="13">
        <v>100</v>
      </c>
      <c r="Y83" s="13">
        <v>109.8287</v>
      </c>
      <c r="Z83" s="13">
        <v>100</v>
      </c>
      <c r="AA83" s="13">
        <v>84.476200000000006</v>
      </c>
      <c r="AB83" s="13">
        <v>80</v>
      </c>
      <c r="AC83" s="13">
        <v>7.0999999999999994E-2</v>
      </c>
      <c r="AD83" s="13">
        <v>0</v>
      </c>
      <c r="AE83" s="13">
        <v>93.333299999999994</v>
      </c>
      <c r="AF83" s="13">
        <v>93.404300000000006</v>
      </c>
      <c r="AG83" s="13">
        <v>18.680900000000001</v>
      </c>
      <c r="AH83" s="13">
        <v>65.896900000000002</v>
      </c>
      <c r="AI83" s="13">
        <v>65.911100000000005</v>
      </c>
      <c r="AJ83" t="s">
        <v>19</v>
      </c>
    </row>
    <row r="84" spans="2:36" x14ac:dyDescent="0.3">
      <c r="B84" t="s">
        <v>229</v>
      </c>
      <c r="C84" t="s">
        <v>230</v>
      </c>
      <c r="D84" t="s">
        <v>231</v>
      </c>
      <c r="E84" t="s">
        <v>8</v>
      </c>
      <c r="F84" t="s">
        <v>14</v>
      </c>
      <c r="G84" t="s">
        <v>23</v>
      </c>
      <c r="H84" t="s">
        <v>24</v>
      </c>
      <c r="I84" t="s">
        <v>25</v>
      </c>
      <c r="J84" t="s">
        <v>26</v>
      </c>
      <c r="K84" s="13">
        <v>76.408299999999997</v>
      </c>
      <c r="L84" s="13">
        <v>23.591699999999999</v>
      </c>
      <c r="M84" s="13">
        <v>8.5677000000000003</v>
      </c>
      <c r="N84" s="13">
        <v>11.930999999999999</v>
      </c>
      <c r="O84" s="13">
        <v>48.011400000000002</v>
      </c>
      <c r="P84" s="13">
        <v>51.988599999999998</v>
      </c>
      <c r="Q84" s="13">
        <v>18.441299999999998</v>
      </c>
      <c r="R84" s="13">
        <v>30</v>
      </c>
      <c r="S84" s="13">
        <v>15.224600000000001</v>
      </c>
      <c r="T84" s="13">
        <v>40</v>
      </c>
      <c r="U84" s="13">
        <v>31.502300000000002</v>
      </c>
      <c r="V84" s="13">
        <v>25.201799999999999</v>
      </c>
      <c r="W84" s="13">
        <v>6.8</v>
      </c>
      <c r="X84" s="13">
        <v>24.146699999999999</v>
      </c>
      <c r="Y84" s="13">
        <v>76.488500000000002</v>
      </c>
      <c r="Z84" s="13">
        <v>70</v>
      </c>
      <c r="AA84" s="13">
        <v>91.509200000000007</v>
      </c>
      <c r="AB84" s="13">
        <v>100</v>
      </c>
      <c r="AC84" s="13">
        <v>0</v>
      </c>
      <c r="AD84" s="13">
        <v>2</v>
      </c>
      <c r="AE84" s="13">
        <v>64.715599999999995</v>
      </c>
      <c r="AF84" s="13">
        <v>66.715599999999995</v>
      </c>
      <c r="AG84" s="13">
        <v>13.3431</v>
      </c>
      <c r="AH84" s="13">
        <v>38.1449</v>
      </c>
      <c r="AI84" s="13">
        <v>38.544899999999998</v>
      </c>
      <c r="AJ84" t="s">
        <v>119</v>
      </c>
    </row>
    <row r="85" spans="2:36" x14ac:dyDescent="0.3">
      <c r="B85" t="s">
        <v>232</v>
      </c>
      <c r="C85" t="s">
        <v>233</v>
      </c>
      <c r="D85" t="s">
        <v>234</v>
      </c>
      <c r="E85" t="s">
        <v>8</v>
      </c>
      <c r="F85" t="s">
        <v>14</v>
      </c>
      <c r="G85" t="s">
        <v>23</v>
      </c>
      <c r="H85" t="s">
        <v>36</v>
      </c>
      <c r="I85" t="s">
        <v>32</v>
      </c>
      <c r="J85" t="s">
        <v>26</v>
      </c>
      <c r="K85" s="13">
        <v>57.6158</v>
      </c>
      <c r="L85" s="13">
        <v>42.3842</v>
      </c>
      <c r="M85" s="13">
        <v>13.081899999999999</v>
      </c>
      <c r="N85" s="13">
        <v>15.754300000000001</v>
      </c>
      <c r="O85" s="13">
        <v>34.786200000000001</v>
      </c>
      <c r="P85" s="13">
        <v>65.213800000000006</v>
      </c>
      <c r="Q85" s="13">
        <v>50.515700000000002</v>
      </c>
      <c r="R85" s="13">
        <v>70</v>
      </c>
      <c r="S85" s="13">
        <v>13.8947</v>
      </c>
      <c r="T85" s="13">
        <v>60</v>
      </c>
      <c r="U85" s="13">
        <v>50.670499999999997</v>
      </c>
      <c r="V85" s="13">
        <v>40.5364</v>
      </c>
      <c r="W85" s="13">
        <v>30.59</v>
      </c>
      <c r="X85" s="13">
        <v>100</v>
      </c>
      <c r="Y85" s="13">
        <v>154.68350000000001</v>
      </c>
      <c r="Z85" s="13">
        <v>0</v>
      </c>
      <c r="AA85" s="13">
        <v>92.447999999999993</v>
      </c>
      <c r="AB85" s="13">
        <v>100</v>
      </c>
      <c r="AC85" s="13">
        <v>0</v>
      </c>
      <c r="AD85" s="13">
        <v>0</v>
      </c>
      <c r="AE85" s="13">
        <v>66.666700000000006</v>
      </c>
      <c r="AF85" s="13">
        <v>66.666700000000006</v>
      </c>
      <c r="AG85" s="13">
        <v>13.333299999999999</v>
      </c>
      <c r="AH85" s="13">
        <v>53.869700000000002</v>
      </c>
      <c r="AI85" s="13">
        <v>53.869700000000002</v>
      </c>
      <c r="AJ85" t="s">
        <v>27</v>
      </c>
    </row>
    <row r="86" spans="2:36" x14ac:dyDescent="0.3">
      <c r="B86" t="s">
        <v>235</v>
      </c>
      <c r="C86" t="s">
        <v>236</v>
      </c>
      <c r="D86" t="s">
        <v>237</v>
      </c>
      <c r="E86" t="s">
        <v>8</v>
      </c>
      <c r="F86" t="s">
        <v>14</v>
      </c>
      <c r="G86" t="s">
        <v>25</v>
      </c>
      <c r="H86" t="s">
        <v>60</v>
      </c>
      <c r="I86" t="s">
        <v>85</v>
      </c>
      <c r="J86" t="s">
        <v>26</v>
      </c>
      <c r="K86" s="13">
        <v>34.228499999999997</v>
      </c>
      <c r="L86" s="13">
        <v>65.771500000000003</v>
      </c>
      <c r="M86" s="13">
        <v>31.167400000000001</v>
      </c>
      <c r="N86" s="13">
        <v>54.113199999999999</v>
      </c>
      <c r="O86" s="13">
        <v>15.4979</v>
      </c>
      <c r="P86" s="13">
        <v>84.502099999999999</v>
      </c>
      <c r="Q86" s="13">
        <v>59.172400000000003</v>
      </c>
      <c r="R86" s="13">
        <v>80</v>
      </c>
      <c r="S86" s="13">
        <v>18.095400000000001</v>
      </c>
      <c r="T86" s="13">
        <v>40</v>
      </c>
      <c r="U86" s="13">
        <v>64.877399999999994</v>
      </c>
      <c r="V86" s="13">
        <v>51.901899999999998</v>
      </c>
      <c r="W86" s="13">
        <v>17.45</v>
      </c>
      <c r="X86" s="13">
        <v>75.935599999999994</v>
      </c>
      <c r="Y86" s="13">
        <v>152.59190000000001</v>
      </c>
      <c r="Z86" s="13">
        <v>0</v>
      </c>
      <c r="AA86" s="13">
        <v>92.761899999999997</v>
      </c>
      <c r="AB86" s="13">
        <v>100</v>
      </c>
      <c r="AC86" s="13">
        <v>0</v>
      </c>
      <c r="AD86" s="13">
        <v>0</v>
      </c>
      <c r="AE86" s="13">
        <v>58.645200000000003</v>
      </c>
      <c r="AF86" s="13">
        <v>58.645200000000003</v>
      </c>
      <c r="AG86" s="13">
        <v>11.728999999999999</v>
      </c>
      <c r="AH86" s="13">
        <v>63.630899999999997</v>
      </c>
      <c r="AI86" s="13">
        <v>63.630899999999997</v>
      </c>
      <c r="AJ86" t="s">
        <v>19</v>
      </c>
    </row>
    <row r="87" spans="2:36" x14ac:dyDescent="0.3">
      <c r="B87" t="s">
        <v>238</v>
      </c>
      <c r="C87" t="s">
        <v>239</v>
      </c>
      <c r="D87" t="s">
        <v>240</v>
      </c>
      <c r="E87" t="s">
        <v>8</v>
      </c>
      <c r="F87" t="s">
        <v>14</v>
      </c>
      <c r="G87" t="s">
        <v>23</v>
      </c>
      <c r="H87" t="s">
        <v>31</v>
      </c>
      <c r="I87" t="s">
        <v>25</v>
      </c>
      <c r="J87" t="s">
        <v>26</v>
      </c>
      <c r="K87" s="13">
        <v>59.378900000000002</v>
      </c>
      <c r="L87" s="13">
        <v>40.621099999999998</v>
      </c>
      <c r="M87" s="13">
        <v>5.9661</v>
      </c>
      <c r="N87" s="13">
        <v>8.3080999999999996</v>
      </c>
      <c r="O87" s="13">
        <v>18.538699999999999</v>
      </c>
      <c r="P87" s="13">
        <v>81.461299999999994</v>
      </c>
      <c r="Q87" s="13">
        <v>29.495200000000001</v>
      </c>
      <c r="R87" s="13">
        <v>40</v>
      </c>
      <c r="S87" s="13">
        <v>27.267700000000001</v>
      </c>
      <c r="T87" s="13">
        <v>20</v>
      </c>
      <c r="U87" s="13">
        <v>38.078099999999999</v>
      </c>
      <c r="V87" s="13">
        <v>30.462499999999999</v>
      </c>
      <c r="W87" s="13">
        <v>14.92</v>
      </c>
      <c r="X87" s="13">
        <v>52.980699999999999</v>
      </c>
      <c r="Y87" s="13">
        <v>118.8943</v>
      </c>
      <c r="Z87" s="13">
        <v>100</v>
      </c>
      <c r="AA87" s="13">
        <v>98.564300000000003</v>
      </c>
      <c r="AB87" s="13">
        <v>100</v>
      </c>
      <c r="AC87" s="13">
        <v>0</v>
      </c>
      <c r="AD87" s="13">
        <v>0</v>
      </c>
      <c r="AE87" s="13">
        <v>84.326899999999995</v>
      </c>
      <c r="AF87" s="13">
        <v>84.326899999999995</v>
      </c>
      <c r="AG87" s="13">
        <v>16.865400000000001</v>
      </c>
      <c r="AH87" s="13">
        <v>47.3279</v>
      </c>
      <c r="AI87" s="13">
        <v>47.3279</v>
      </c>
      <c r="AJ87" t="s">
        <v>27</v>
      </c>
    </row>
    <row r="88" spans="2:36" x14ac:dyDescent="0.3">
      <c r="B88" t="s">
        <v>241</v>
      </c>
      <c r="C88" t="s">
        <v>242</v>
      </c>
      <c r="D88" t="s">
        <v>243</v>
      </c>
      <c r="E88" t="s">
        <v>8</v>
      </c>
      <c r="F88" t="s">
        <v>14</v>
      </c>
      <c r="G88" t="s">
        <v>23</v>
      </c>
      <c r="H88" t="s">
        <v>31</v>
      </c>
      <c r="I88" t="s">
        <v>32</v>
      </c>
      <c r="J88" t="s">
        <v>26</v>
      </c>
      <c r="K88" s="13">
        <v>84.628299999999996</v>
      </c>
      <c r="L88" s="13">
        <v>15.371700000000001</v>
      </c>
      <c r="M88" s="13">
        <v>40.844000000000001</v>
      </c>
      <c r="N88" s="13">
        <v>49.187800000000003</v>
      </c>
      <c r="O88" s="13">
        <v>11.919600000000001</v>
      </c>
      <c r="P88" s="13">
        <v>88.080399999999997</v>
      </c>
      <c r="Q88" s="13">
        <v>38.736800000000002</v>
      </c>
      <c r="R88" s="13">
        <v>50</v>
      </c>
      <c r="S88" s="13">
        <v>25.760200000000001</v>
      </c>
      <c r="T88" s="13">
        <v>20</v>
      </c>
      <c r="U88" s="13">
        <v>44.527999999999999</v>
      </c>
      <c r="V88" s="13">
        <v>35.622399999999999</v>
      </c>
      <c r="W88" s="13">
        <v>16.829999999999998</v>
      </c>
      <c r="X88" s="13">
        <v>59.763100000000001</v>
      </c>
      <c r="Y88" s="13">
        <v>338.46929999999998</v>
      </c>
      <c r="Z88" s="13">
        <v>0</v>
      </c>
      <c r="AA88" s="13">
        <v>78.294300000000007</v>
      </c>
      <c r="AB88" s="13">
        <v>70</v>
      </c>
      <c r="AC88" s="13">
        <v>0</v>
      </c>
      <c r="AD88" s="13">
        <v>0</v>
      </c>
      <c r="AE88" s="13">
        <v>43.254399999999997</v>
      </c>
      <c r="AF88" s="13">
        <v>43.254399999999997</v>
      </c>
      <c r="AG88" s="13">
        <v>8.6509</v>
      </c>
      <c r="AH88" s="13">
        <v>44.273299999999999</v>
      </c>
      <c r="AI88" s="13">
        <v>44.273299999999999</v>
      </c>
      <c r="AJ88" t="s">
        <v>27</v>
      </c>
    </row>
    <row r="89" spans="2:36" x14ac:dyDescent="0.3">
      <c r="B89" t="s">
        <v>244</v>
      </c>
      <c r="C89" t="s">
        <v>245</v>
      </c>
      <c r="D89" t="s">
        <v>246</v>
      </c>
      <c r="E89" t="s">
        <v>8</v>
      </c>
      <c r="F89" t="s">
        <v>14</v>
      </c>
      <c r="G89" t="s">
        <v>23</v>
      </c>
      <c r="H89" t="s">
        <v>36</v>
      </c>
      <c r="I89" t="s">
        <v>37</v>
      </c>
      <c r="J89" t="s">
        <v>26</v>
      </c>
      <c r="K89" s="13">
        <v>82.3416</v>
      </c>
      <c r="L89" s="13">
        <v>17.6584</v>
      </c>
      <c r="M89" s="13">
        <v>18.265799999999999</v>
      </c>
      <c r="N89" s="13">
        <v>26.7317</v>
      </c>
      <c r="O89" s="13">
        <v>12.6912</v>
      </c>
      <c r="P89" s="13">
        <v>87.308800000000005</v>
      </c>
      <c r="Q89" s="13">
        <v>32.3078</v>
      </c>
      <c r="R89" s="13">
        <v>40</v>
      </c>
      <c r="S89" s="13">
        <v>2.8525999999999998</v>
      </c>
      <c r="T89" s="13">
        <v>100</v>
      </c>
      <c r="U89" s="13">
        <v>54.339799999999997</v>
      </c>
      <c r="V89" s="13">
        <v>43.471800000000002</v>
      </c>
      <c r="W89" s="13">
        <v>4.82</v>
      </c>
      <c r="X89" s="13">
        <v>17.1157</v>
      </c>
      <c r="Y89" s="13">
        <v>115.7092</v>
      </c>
      <c r="Z89" s="13">
        <v>100</v>
      </c>
      <c r="AA89" s="13">
        <v>95.577500000000001</v>
      </c>
      <c r="AB89" s="13">
        <v>100</v>
      </c>
      <c r="AC89" s="13">
        <v>0</v>
      </c>
      <c r="AD89" s="13">
        <v>0</v>
      </c>
      <c r="AE89" s="13">
        <v>72.371899999999997</v>
      </c>
      <c r="AF89" s="13">
        <v>72.371899999999997</v>
      </c>
      <c r="AG89" s="13">
        <v>14.474399999999999</v>
      </c>
      <c r="AH89" s="13">
        <v>57.946199999999997</v>
      </c>
      <c r="AI89" s="13">
        <v>57.946199999999997</v>
      </c>
      <c r="AJ89" t="s">
        <v>27</v>
      </c>
    </row>
    <row r="90" spans="2:36" x14ac:dyDescent="0.3">
      <c r="B90" t="s">
        <v>247</v>
      </c>
      <c r="C90" t="s">
        <v>248</v>
      </c>
      <c r="D90" t="s">
        <v>249</v>
      </c>
      <c r="E90" t="s">
        <v>8</v>
      </c>
      <c r="F90" t="s">
        <v>14</v>
      </c>
      <c r="G90" t="s">
        <v>23</v>
      </c>
      <c r="H90" t="s">
        <v>24</v>
      </c>
      <c r="I90" t="s">
        <v>25</v>
      </c>
      <c r="J90" t="s">
        <v>26</v>
      </c>
      <c r="K90" s="13">
        <v>81.524600000000007</v>
      </c>
      <c r="L90" s="13">
        <v>18.4754</v>
      </c>
      <c r="M90" s="13">
        <v>21.0762</v>
      </c>
      <c r="N90" s="13">
        <v>29.349799999999998</v>
      </c>
      <c r="O90" s="13">
        <v>54.182499999999997</v>
      </c>
      <c r="P90" s="13">
        <v>45.817500000000003</v>
      </c>
      <c r="Q90" s="13">
        <v>41.5212</v>
      </c>
      <c r="R90" s="13">
        <v>50</v>
      </c>
      <c r="S90" s="13">
        <v>10.722099999999999</v>
      </c>
      <c r="T90" s="13">
        <v>60</v>
      </c>
      <c r="U90" s="13">
        <v>40.728499999999997</v>
      </c>
      <c r="V90" s="13">
        <v>32.582799999999999</v>
      </c>
      <c r="W90" s="13">
        <v>25.79</v>
      </c>
      <c r="X90" s="13">
        <v>91.579899999999995</v>
      </c>
      <c r="Y90" s="13">
        <v>125.2171</v>
      </c>
      <c r="Z90" s="13">
        <v>80</v>
      </c>
      <c r="AA90" s="13">
        <v>87.819400000000002</v>
      </c>
      <c r="AB90" s="13">
        <v>80</v>
      </c>
      <c r="AC90" s="13">
        <v>0</v>
      </c>
      <c r="AD90" s="13">
        <v>2</v>
      </c>
      <c r="AE90" s="13">
        <v>83.86</v>
      </c>
      <c r="AF90" s="13">
        <v>85.86</v>
      </c>
      <c r="AG90" s="13">
        <v>17.172000000000001</v>
      </c>
      <c r="AH90" s="13">
        <v>49.354799999999997</v>
      </c>
      <c r="AI90" s="13">
        <v>49.754800000000003</v>
      </c>
      <c r="AJ90" t="s">
        <v>27</v>
      </c>
    </row>
    <row r="91" spans="2:36" x14ac:dyDescent="0.3">
      <c r="B91" t="s">
        <v>250</v>
      </c>
      <c r="C91" t="s">
        <v>251</v>
      </c>
      <c r="D91" t="s">
        <v>252</v>
      </c>
      <c r="E91" t="s">
        <v>8</v>
      </c>
      <c r="F91" t="s">
        <v>14</v>
      </c>
      <c r="G91" t="s">
        <v>23</v>
      </c>
      <c r="H91" t="s">
        <v>24</v>
      </c>
      <c r="I91" t="s">
        <v>25</v>
      </c>
      <c r="J91" t="s">
        <v>26</v>
      </c>
      <c r="K91" s="13">
        <v>72.688199999999995</v>
      </c>
      <c r="L91" s="13">
        <v>27.311800000000002</v>
      </c>
      <c r="M91" s="13">
        <v>16.575099999999999</v>
      </c>
      <c r="N91" s="13">
        <v>23.081800000000001</v>
      </c>
      <c r="O91" s="13">
        <v>20.839500000000001</v>
      </c>
      <c r="P91" s="13">
        <v>79.160499999999999</v>
      </c>
      <c r="Q91" s="13">
        <v>34.740600000000001</v>
      </c>
      <c r="R91" s="13">
        <v>40</v>
      </c>
      <c r="S91" s="13">
        <v>7.1646000000000001</v>
      </c>
      <c r="T91" s="13">
        <v>80</v>
      </c>
      <c r="U91" s="13">
        <v>49.910800000000002</v>
      </c>
      <c r="V91" s="13">
        <v>39.928600000000003</v>
      </c>
      <c r="W91" s="13">
        <v>19.87</v>
      </c>
      <c r="X91" s="13">
        <v>70.558099999999996</v>
      </c>
      <c r="Y91" s="13">
        <v>156.35749999999999</v>
      </c>
      <c r="Z91" s="13">
        <v>0</v>
      </c>
      <c r="AA91" s="13">
        <v>96.5505</v>
      </c>
      <c r="AB91" s="13">
        <v>100</v>
      </c>
      <c r="AC91" s="13">
        <v>0</v>
      </c>
      <c r="AD91" s="13">
        <v>0</v>
      </c>
      <c r="AE91" s="13">
        <v>56.852699999999999</v>
      </c>
      <c r="AF91" s="13">
        <v>56.852699999999999</v>
      </c>
      <c r="AG91" s="13">
        <v>11.3705</v>
      </c>
      <c r="AH91" s="13">
        <v>51.299100000000003</v>
      </c>
      <c r="AI91" s="13">
        <v>51.299100000000003</v>
      </c>
      <c r="AJ91" t="s">
        <v>27</v>
      </c>
    </row>
    <row r="92" spans="2:36" x14ac:dyDescent="0.3">
      <c r="B92" t="s">
        <v>253</v>
      </c>
      <c r="C92" t="s">
        <v>254</v>
      </c>
      <c r="D92" t="s">
        <v>255</v>
      </c>
      <c r="E92" t="s">
        <v>8</v>
      </c>
      <c r="F92" t="s">
        <v>14</v>
      </c>
      <c r="G92" t="s">
        <v>23</v>
      </c>
      <c r="H92" t="s">
        <v>24</v>
      </c>
      <c r="I92" t="s">
        <v>37</v>
      </c>
      <c r="J92" t="s">
        <v>26</v>
      </c>
      <c r="K92" s="13">
        <v>84.438299999999998</v>
      </c>
      <c r="L92" s="13">
        <v>15.5617</v>
      </c>
      <c r="M92" s="13">
        <v>7.7176999999999998</v>
      </c>
      <c r="N92" s="13">
        <v>11.294700000000001</v>
      </c>
      <c r="O92" s="13">
        <v>52.882800000000003</v>
      </c>
      <c r="P92" s="13">
        <v>47.117199999999997</v>
      </c>
      <c r="Q92" s="13">
        <v>44.807499999999997</v>
      </c>
      <c r="R92" s="13">
        <v>50</v>
      </c>
      <c r="S92" s="13">
        <v>3.4460999999999999</v>
      </c>
      <c r="T92" s="13">
        <v>100</v>
      </c>
      <c r="U92" s="13">
        <v>44.794699999999999</v>
      </c>
      <c r="V92" s="13">
        <v>35.835799999999999</v>
      </c>
      <c r="W92" s="13">
        <v>35.22</v>
      </c>
      <c r="X92" s="13">
        <v>100</v>
      </c>
      <c r="Y92" s="13">
        <v>101.5574</v>
      </c>
      <c r="Z92" s="13">
        <v>100</v>
      </c>
      <c r="AA92" s="13">
        <v>94.216700000000003</v>
      </c>
      <c r="AB92" s="13">
        <v>100</v>
      </c>
      <c r="AC92" s="13">
        <v>0</v>
      </c>
      <c r="AD92" s="13">
        <v>0</v>
      </c>
      <c r="AE92" s="13">
        <v>100</v>
      </c>
      <c r="AF92" s="13">
        <v>100</v>
      </c>
      <c r="AG92" s="13">
        <v>20</v>
      </c>
      <c r="AH92" s="13">
        <v>55.835799999999999</v>
      </c>
      <c r="AI92" s="13">
        <v>55.835799999999999</v>
      </c>
      <c r="AJ92" t="s">
        <v>27</v>
      </c>
    </row>
    <row r="93" spans="2:36" x14ac:dyDescent="0.3">
      <c r="B93" t="s">
        <v>256</v>
      </c>
      <c r="C93" t="s">
        <v>257</v>
      </c>
      <c r="D93" t="s">
        <v>258</v>
      </c>
      <c r="E93" t="s">
        <v>8</v>
      </c>
      <c r="F93" t="s">
        <v>14</v>
      </c>
      <c r="G93" t="s">
        <v>23</v>
      </c>
      <c r="H93" t="s">
        <v>36</v>
      </c>
      <c r="I93" t="s">
        <v>25</v>
      </c>
      <c r="J93" t="s">
        <v>26</v>
      </c>
      <c r="K93" s="13">
        <v>80.3887</v>
      </c>
      <c r="L93" s="13">
        <v>19.6113</v>
      </c>
      <c r="M93" s="13">
        <v>24.487200000000001</v>
      </c>
      <c r="N93" s="13">
        <v>34.099800000000002</v>
      </c>
      <c r="O93" s="13">
        <v>44.831800000000001</v>
      </c>
      <c r="P93" s="13">
        <v>55.168199999999999</v>
      </c>
      <c r="Q93" s="13">
        <v>9.1949000000000005</v>
      </c>
      <c r="R93" s="13">
        <v>20</v>
      </c>
      <c r="S93" s="13">
        <v>13.187200000000001</v>
      </c>
      <c r="T93" s="13">
        <v>60</v>
      </c>
      <c r="U93" s="13">
        <v>37.7759</v>
      </c>
      <c r="V93" s="13">
        <v>30.220700000000001</v>
      </c>
      <c r="W93" s="13">
        <v>22.36</v>
      </c>
      <c r="X93" s="13">
        <v>79.400000000000006</v>
      </c>
      <c r="Y93" s="13">
        <v>70.548000000000002</v>
      </c>
      <c r="Z93" s="13">
        <v>70</v>
      </c>
      <c r="AA93" s="13">
        <v>96.4358</v>
      </c>
      <c r="AB93" s="13">
        <v>100</v>
      </c>
      <c r="AC93" s="13">
        <v>0</v>
      </c>
      <c r="AD93" s="13">
        <v>0</v>
      </c>
      <c r="AE93" s="13">
        <v>83.133300000000006</v>
      </c>
      <c r="AF93" s="13">
        <v>83.133300000000006</v>
      </c>
      <c r="AG93" s="13">
        <v>16.6267</v>
      </c>
      <c r="AH93" s="13">
        <v>46.8474</v>
      </c>
      <c r="AI93" s="13">
        <v>46.8474</v>
      </c>
      <c r="AJ93" t="s">
        <v>27</v>
      </c>
    </row>
    <row r="94" spans="2:36" x14ac:dyDescent="0.3">
      <c r="B94" t="s">
        <v>259</v>
      </c>
      <c r="C94" t="s">
        <v>260</v>
      </c>
      <c r="D94" t="s">
        <v>261</v>
      </c>
      <c r="E94" t="s">
        <v>8</v>
      </c>
      <c r="F94" t="s">
        <v>14</v>
      </c>
      <c r="G94" t="s">
        <v>23</v>
      </c>
      <c r="H94" t="s">
        <v>36</v>
      </c>
      <c r="I94" t="s">
        <v>41</v>
      </c>
      <c r="J94" t="s">
        <v>26</v>
      </c>
      <c r="K94" s="13">
        <v>49.089799999999997</v>
      </c>
      <c r="L94" s="13">
        <v>50.910200000000003</v>
      </c>
      <c r="M94" s="13">
        <v>13.3576</v>
      </c>
      <c r="N94" s="13">
        <v>19.613600000000002</v>
      </c>
      <c r="O94" s="13">
        <v>47.847700000000003</v>
      </c>
      <c r="P94" s="13">
        <v>52.152299999999997</v>
      </c>
      <c r="Q94" s="13">
        <v>64.759600000000006</v>
      </c>
      <c r="R94" s="13">
        <v>80</v>
      </c>
      <c r="S94" s="13">
        <v>12.676</v>
      </c>
      <c r="T94" s="13">
        <v>60</v>
      </c>
      <c r="U94" s="13">
        <v>52.535200000000003</v>
      </c>
      <c r="V94" s="13">
        <v>42.028199999999998</v>
      </c>
      <c r="W94" s="13">
        <v>52</v>
      </c>
      <c r="X94" s="13">
        <v>100</v>
      </c>
      <c r="Y94" s="13">
        <v>118.48820000000001</v>
      </c>
      <c r="Z94" s="13">
        <v>100</v>
      </c>
      <c r="AA94" s="13">
        <v>92.108999999999995</v>
      </c>
      <c r="AB94" s="13">
        <v>100</v>
      </c>
      <c r="AC94" s="13">
        <v>0.16439999999999999</v>
      </c>
      <c r="AD94" s="13">
        <v>2</v>
      </c>
      <c r="AE94" s="13">
        <v>100</v>
      </c>
      <c r="AF94" s="13">
        <v>102.1644</v>
      </c>
      <c r="AG94" s="13">
        <v>20.4329</v>
      </c>
      <c r="AH94" s="13">
        <v>62.028199999999998</v>
      </c>
      <c r="AI94" s="13">
        <v>62.461100000000002</v>
      </c>
      <c r="AJ94" t="s">
        <v>19</v>
      </c>
    </row>
    <row r="95" spans="2:36" x14ac:dyDescent="0.3">
      <c r="B95" t="s">
        <v>262</v>
      </c>
      <c r="C95" t="s">
        <v>263</v>
      </c>
      <c r="D95" t="s">
        <v>264</v>
      </c>
      <c r="E95" t="s">
        <v>8</v>
      </c>
      <c r="F95" t="s">
        <v>14</v>
      </c>
      <c r="G95" t="s">
        <v>23</v>
      </c>
      <c r="H95" t="s">
        <v>24</v>
      </c>
      <c r="I95" t="s">
        <v>37</v>
      </c>
      <c r="J95" t="s">
        <v>26</v>
      </c>
      <c r="K95" s="13">
        <v>69.836200000000005</v>
      </c>
      <c r="L95" s="13">
        <v>30.163799999999998</v>
      </c>
      <c r="M95" s="13">
        <v>18.4328</v>
      </c>
      <c r="N95" s="13">
        <v>26.976099999999999</v>
      </c>
      <c r="O95" s="13">
        <v>11.5794</v>
      </c>
      <c r="P95" s="13">
        <v>88.420599999999993</v>
      </c>
      <c r="Q95" s="13">
        <v>46.154200000000003</v>
      </c>
      <c r="R95" s="13">
        <v>70</v>
      </c>
      <c r="S95" s="13">
        <v>1.8302</v>
      </c>
      <c r="T95" s="13">
        <v>100</v>
      </c>
      <c r="U95" s="13">
        <v>63.112099999999998</v>
      </c>
      <c r="V95" s="13">
        <v>50.489699999999999</v>
      </c>
      <c r="W95" s="13">
        <v>20.13</v>
      </c>
      <c r="X95" s="13">
        <v>71.481300000000005</v>
      </c>
      <c r="Y95" s="13">
        <v>268.58550000000002</v>
      </c>
      <c r="Z95" s="13">
        <v>0</v>
      </c>
      <c r="AA95" s="13">
        <v>85.6892</v>
      </c>
      <c r="AB95" s="13">
        <v>80</v>
      </c>
      <c r="AC95" s="13">
        <v>0.20730000000000001</v>
      </c>
      <c r="AD95" s="13">
        <v>0</v>
      </c>
      <c r="AE95" s="13">
        <v>50.4938</v>
      </c>
      <c r="AF95" s="13">
        <v>50.701099999999997</v>
      </c>
      <c r="AG95" s="13">
        <v>10.1402</v>
      </c>
      <c r="AH95" s="13">
        <v>60.588500000000003</v>
      </c>
      <c r="AI95" s="13">
        <v>60.629899999999999</v>
      </c>
      <c r="AJ95" t="s">
        <v>19</v>
      </c>
    </row>
    <row r="96" spans="2:36" x14ac:dyDescent="0.3">
      <c r="B96" t="s">
        <v>265</v>
      </c>
      <c r="C96" t="s">
        <v>266</v>
      </c>
      <c r="D96" t="s">
        <v>267</v>
      </c>
      <c r="E96" t="s">
        <v>8</v>
      </c>
      <c r="F96" t="s">
        <v>14</v>
      </c>
      <c r="G96" t="s">
        <v>23</v>
      </c>
      <c r="H96" t="s">
        <v>31</v>
      </c>
      <c r="I96" t="s">
        <v>41</v>
      </c>
      <c r="J96" t="s">
        <v>26</v>
      </c>
      <c r="K96" s="13">
        <v>75.385499999999993</v>
      </c>
      <c r="L96" s="13">
        <v>24.6145</v>
      </c>
      <c r="M96" s="13">
        <v>22.299600000000002</v>
      </c>
      <c r="N96" s="13">
        <v>32.743499999999997</v>
      </c>
      <c r="O96" s="13">
        <v>65.857699999999994</v>
      </c>
      <c r="P96" s="13">
        <v>34.142299999999999</v>
      </c>
      <c r="Q96" s="13">
        <v>36.624000000000002</v>
      </c>
      <c r="R96" s="13">
        <v>50</v>
      </c>
      <c r="S96" s="13">
        <v>3.9956999999999998</v>
      </c>
      <c r="T96" s="13">
        <v>100</v>
      </c>
      <c r="U96" s="13">
        <v>48.3001</v>
      </c>
      <c r="V96" s="13">
        <v>38.640099999999997</v>
      </c>
      <c r="W96" s="13">
        <v>1.4</v>
      </c>
      <c r="X96" s="13">
        <v>4.9714</v>
      </c>
      <c r="Y96" s="13">
        <v>119.2945</v>
      </c>
      <c r="Z96" s="13">
        <v>100</v>
      </c>
      <c r="AA96" s="13">
        <v>86.11</v>
      </c>
      <c r="AB96" s="13">
        <v>80</v>
      </c>
      <c r="AC96" s="13">
        <v>0</v>
      </c>
      <c r="AD96" s="13">
        <v>0</v>
      </c>
      <c r="AE96" s="13">
        <v>61.6571</v>
      </c>
      <c r="AF96" s="13">
        <v>61.6571</v>
      </c>
      <c r="AG96" s="13">
        <v>12.3314</v>
      </c>
      <c r="AH96" s="13">
        <v>50.971499999999999</v>
      </c>
      <c r="AI96" s="13">
        <v>50.971499999999999</v>
      </c>
      <c r="AJ96" t="s">
        <v>27</v>
      </c>
    </row>
    <row r="97" spans="2:36" x14ac:dyDescent="0.3">
      <c r="B97" t="s">
        <v>268</v>
      </c>
      <c r="C97" t="s">
        <v>269</v>
      </c>
      <c r="D97" t="s">
        <v>270</v>
      </c>
      <c r="E97" t="s">
        <v>8</v>
      </c>
      <c r="F97" t="s">
        <v>14</v>
      </c>
      <c r="G97" t="s">
        <v>23</v>
      </c>
      <c r="H97" t="s">
        <v>60</v>
      </c>
      <c r="I97" t="s">
        <v>25</v>
      </c>
      <c r="J97" t="s">
        <v>26</v>
      </c>
      <c r="K97" s="13">
        <v>60.761400000000002</v>
      </c>
      <c r="L97" s="13">
        <v>39.238599999999998</v>
      </c>
      <c r="M97" s="13">
        <v>9.8735999999999997</v>
      </c>
      <c r="N97" s="13">
        <v>13.749499999999999</v>
      </c>
      <c r="O97" s="13">
        <v>20.492799999999999</v>
      </c>
      <c r="P97" s="13">
        <v>79.507199999999997</v>
      </c>
      <c r="Q97" s="13">
        <v>62.749000000000002</v>
      </c>
      <c r="R97" s="13">
        <v>80</v>
      </c>
      <c r="S97" s="13">
        <v>21.134399999999999</v>
      </c>
      <c r="T97" s="13">
        <v>20</v>
      </c>
      <c r="U97" s="13">
        <v>46.499099999999999</v>
      </c>
      <c r="V97" s="13">
        <v>37.199300000000001</v>
      </c>
      <c r="W97" s="13">
        <v>31.27</v>
      </c>
      <c r="X97" s="13">
        <v>100</v>
      </c>
      <c r="Y97" s="13">
        <v>125.9704</v>
      </c>
      <c r="Z97" s="13">
        <v>80</v>
      </c>
      <c r="AA97" s="13">
        <v>85.573700000000002</v>
      </c>
      <c r="AB97" s="13">
        <v>80</v>
      </c>
      <c r="AC97" s="13">
        <v>0</v>
      </c>
      <c r="AD97" s="13">
        <v>0</v>
      </c>
      <c r="AE97" s="13">
        <v>86.666700000000006</v>
      </c>
      <c r="AF97" s="13">
        <v>86.666700000000006</v>
      </c>
      <c r="AG97" s="13">
        <v>17.333300000000001</v>
      </c>
      <c r="AH97" s="13">
        <v>54.532600000000002</v>
      </c>
      <c r="AI97" s="13">
        <v>54.532600000000002</v>
      </c>
      <c r="AJ97" t="s">
        <v>27</v>
      </c>
    </row>
    <row r="98" spans="2:36" x14ac:dyDescent="0.3">
      <c r="B98" t="s">
        <v>271</v>
      </c>
      <c r="C98" t="s">
        <v>272</v>
      </c>
      <c r="D98" t="s">
        <v>273</v>
      </c>
      <c r="E98" t="s">
        <v>8</v>
      </c>
      <c r="F98" t="s">
        <v>14</v>
      </c>
      <c r="G98" t="s">
        <v>23</v>
      </c>
      <c r="H98" t="s">
        <v>60</v>
      </c>
      <c r="I98" t="s">
        <v>37</v>
      </c>
      <c r="J98" t="s">
        <v>26</v>
      </c>
      <c r="K98" s="13">
        <v>58.611499999999999</v>
      </c>
      <c r="L98" s="13">
        <v>41.388500000000001</v>
      </c>
      <c r="M98" s="13">
        <v>10.2227</v>
      </c>
      <c r="N98" s="13">
        <v>14.960800000000001</v>
      </c>
      <c r="O98" s="13">
        <v>40.771900000000002</v>
      </c>
      <c r="P98" s="13">
        <v>59.228099999999998</v>
      </c>
      <c r="Q98" s="13">
        <v>28.328099999999999</v>
      </c>
      <c r="R98" s="13">
        <v>40</v>
      </c>
      <c r="S98" s="13">
        <v>-1.3007</v>
      </c>
      <c r="T98" s="13">
        <v>100</v>
      </c>
      <c r="U98" s="13">
        <v>51.115499999999997</v>
      </c>
      <c r="V98" s="13">
        <v>40.892400000000002</v>
      </c>
      <c r="W98" s="13">
        <v>4.95</v>
      </c>
      <c r="X98" s="13">
        <v>17.577400000000001</v>
      </c>
      <c r="Y98" s="13">
        <v>101.95189999999999</v>
      </c>
      <c r="Z98" s="13">
        <v>100</v>
      </c>
      <c r="AA98" s="13">
        <v>89.527600000000007</v>
      </c>
      <c r="AB98" s="13">
        <v>80</v>
      </c>
      <c r="AC98" s="13">
        <v>0</v>
      </c>
      <c r="AD98" s="13">
        <v>0</v>
      </c>
      <c r="AE98" s="13">
        <v>65.859099999999998</v>
      </c>
      <c r="AF98" s="13">
        <v>65.859099999999998</v>
      </c>
      <c r="AG98" s="13">
        <v>13.171799999999999</v>
      </c>
      <c r="AH98" s="13">
        <v>54.0642</v>
      </c>
      <c r="AI98" s="13">
        <v>54.0642</v>
      </c>
      <c r="AJ98" t="s">
        <v>27</v>
      </c>
    </row>
    <row r="99" spans="2:36" x14ac:dyDescent="0.3">
      <c r="B99" t="s">
        <v>274</v>
      </c>
      <c r="C99" t="s">
        <v>275</v>
      </c>
      <c r="D99" t="s">
        <v>276</v>
      </c>
      <c r="E99" t="s">
        <v>8</v>
      </c>
      <c r="F99" t="s">
        <v>14</v>
      </c>
      <c r="G99" t="s">
        <v>23</v>
      </c>
      <c r="H99" t="s">
        <v>31</v>
      </c>
      <c r="I99" t="s">
        <v>25</v>
      </c>
      <c r="J99" t="s">
        <v>26</v>
      </c>
      <c r="K99" s="13">
        <v>52.627600000000001</v>
      </c>
      <c r="L99" s="13">
        <v>47.372399999999999</v>
      </c>
      <c r="M99" s="13">
        <v>29.7529</v>
      </c>
      <c r="N99" s="13">
        <v>41.432600000000001</v>
      </c>
      <c r="O99" s="13">
        <v>27.022500000000001</v>
      </c>
      <c r="P99" s="13">
        <v>72.977500000000006</v>
      </c>
      <c r="Q99" s="13">
        <v>62.975000000000001</v>
      </c>
      <c r="R99" s="13">
        <v>80</v>
      </c>
      <c r="S99" s="13">
        <v>16.448699999999999</v>
      </c>
      <c r="T99" s="13">
        <v>40</v>
      </c>
      <c r="U99" s="13">
        <v>56.356499999999997</v>
      </c>
      <c r="V99" s="13">
        <v>45.0852</v>
      </c>
      <c r="W99" s="13">
        <v>27.24</v>
      </c>
      <c r="X99" s="13">
        <v>96.728800000000007</v>
      </c>
      <c r="Y99" s="13">
        <v>122.3402</v>
      </c>
      <c r="Z99" s="13">
        <v>80</v>
      </c>
      <c r="AA99" s="13">
        <v>89.346999999999994</v>
      </c>
      <c r="AB99" s="13">
        <v>80</v>
      </c>
      <c r="AC99" s="13">
        <v>0</v>
      </c>
      <c r="AD99" s="13">
        <v>0</v>
      </c>
      <c r="AE99" s="13">
        <v>85.576300000000003</v>
      </c>
      <c r="AF99" s="13">
        <v>85.576300000000003</v>
      </c>
      <c r="AG99" s="13">
        <v>17.115300000000001</v>
      </c>
      <c r="AH99" s="13">
        <v>62.200499999999998</v>
      </c>
      <c r="AI99" s="13">
        <v>62.200499999999998</v>
      </c>
      <c r="AJ99" t="s">
        <v>19</v>
      </c>
    </row>
    <row r="100" spans="2:36" x14ac:dyDescent="0.3">
      <c r="B100" t="s">
        <v>277</v>
      </c>
      <c r="C100" t="s">
        <v>278</v>
      </c>
      <c r="D100" t="s">
        <v>279</v>
      </c>
      <c r="E100" t="s">
        <v>8</v>
      </c>
      <c r="F100" t="s">
        <v>14</v>
      </c>
      <c r="G100" t="s">
        <v>32</v>
      </c>
      <c r="H100" t="s">
        <v>60</v>
      </c>
      <c r="I100" t="s">
        <v>37</v>
      </c>
      <c r="J100" t="s">
        <v>26</v>
      </c>
      <c r="K100" s="13">
        <v>48.941400000000002</v>
      </c>
      <c r="L100" s="13">
        <v>51.058599999999998</v>
      </c>
      <c r="M100" s="13">
        <v>35.034300000000002</v>
      </c>
      <c r="N100" s="13">
        <v>51.272100000000002</v>
      </c>
      <c r="O100" s="13">
        <v>22.632100000000001</v>
      </c>
      <c r="P100" s="13">
        <v>77.367900000000006</v>
      </c>
      <c r="Q100" s="13">
        <v>54.394300000000001</v>
      </c>
      <c r="R100" s="13">
        <v>70</v>
      </c>
      <c r="S100" s="13">
        <v>0.38080000000000003</v>
      </c>
      <c r="T100" s="13">
        <v>100</v>
      </c>
      <c r="U100" s="13">
        <v>69.939700000000002</v>
      </c>
      <c r="V100" s="13">
        <v>55.951799999999999</v>
      </c>
      <c r="W100" s="13">
        <v>0.66</v>
      </c>
      <c r="X100" s="13">
        <v>2.27</v>
      </c>
      <c r="Y100" s="13">
        <v>103.5531</v>
      </c>
      <c r="Z100" s="13">
        <v>100</v>
      </c>
      <c r="AA100" s="13">
        <v>88.781300000000002</v>
      </c>
      <c r="AB100" s="13">
        <v>80</v>
      </c>
      <c r="AC100" s="13">
        <v>0</v>
      </c>
      <c r="AD100" s="13">
        <v>0</v>
      </c>
      <c r="AE100" s="13">
        <v>60.756700000000002</v>
      </c>
      <c r="AF100" s="13">
        <v>60.756700000000002</v>
      </c>
      <c r="AG100" s="13">
        <v>12.151300000000001</v>
      </c>
      <c r="AH100" s="13">
        <v>68.103099999999998</v>
      </c>
      <c r="AI100" s="13">
        <v>68.103099999999998</v>
      </c>
      <c r="AJ100" t="s">
        <v>19</v>
      </c>
    </row>
    <row r="101" spans="2:36" x14ac:dyDescent="0.3">
      <c r="B101" t="s">
        <v>280</v>
      </c>
      <c r="C101" t="s">
        <v>281</v>
      </c>
      <c r="D101" t="s">
        <v>282</v>
      </c>
      <c r="E101" t="s">
        <v>8</v>
      </c>
      <c r="F101" t="s">
        <v>14</v>
      </c>
      <c r="G101" t="s">
        <v>41</v>
      </c>
      <c r="H101" t="s">
        <v>60</v>
      </c>
      <c r="I101" t="s">
        <v>85</v>
      </c>
      <c r="J101" t="s">
        <v>26</v>
      </c>
      <c r="K101" s="13">
        <v>8.8388000000000009</v>
      </c>
      <c r="L101" s="13">
        <v>91.161199999999994</v>
      </c>
      <c r="M101" s="13">
        <v>15.569100000000001</v>
      </c>
      <c r="N101" s="13">
        <v>27.031199999999998</v>
      </c>
      <c r="O101" s="13">
        <v>15.960100000000001</v>
      </c>
      <c r="P101" s="13">
        <v>84.039900000000003</v>
      </c>
      <c r="Q101" s="13">
        <v>63.724600000000002</v>
      </c>
      <c r="R101" s="13">
        <v>80</v>
      </c>
      <c r="S101" s="13">
        <v>12.2958</v>
      </c>
      <c r="T101" s="13">
        <v>60</v>
      </c>
      <c r="U101" s="13">
        <v>68.4465</v>
      </c>
      <c r="V101" s="13">
        <v>54.757199999999997</v>
      </c>
      <c r="W101" s="13">
        <v>22.14</v>
      </c>
      <c r="X101" s="13">
        <v>83.866799999999998</v>
      </c>
      <c r="Y101" s="13">
        <v>115.9114</v>
      </c>
      <c r="Z101" s="13">
        <v>100</v>
      </c>
      <c r="AA101" s="13">
        <v>86.233099999999993</v>
      </c>
      <c r="AB101" s="13">
        <v>80</v>
      </c>
      <c r="AC101" s="13">
        <v>0</v>
      </c>
      <c r="AD101" s="13">
        <v>0</v>
      </c>
      <c r="AE101" s="13">
        <v>87.955600000000004</v>
      </c>
      <c r="AF101" s="13">
        <v>87.955600000000004</v>
      </c>
      <c r="AG101" s="13">
        <v>17.591100000000001</v>
      </c>
      <c r="AH101" s="13">
        <v>72.348299999999995</v>
      </c>
      <c r="AI101" s="13">
        <v>72.348299999999995</v>
      </c>
      <c r="AJ101" t="s">
        <v>153</v>
      </c>
    </row>
    <row r="102" spans="2:36" x14ac:dyDescent="0.3">
      <c r="B102" t="s">
        <v>283</v>
      </c>
      <c r="C102" t="s">
        <v>284</v>
      </c>
      <c r="D102" t="s">
        <v>285</v>
      </c>
      <c r="E102" t="s">
        <v>8</v>
      </c>
      <c r="F102" t="s">
        <v>14</v>
      </c>
      <c r="G102" t="s">
        <v>85</v>
      </c>
      <c r="H102" t="s">
        <v>60</v>
      </c>
      <c r="I102" t="s">
        <v>286</v>
      </c>
      <c r="J102" t="s">
        <v>26</v>
      </c>
      <c r="K102" s="13">
        <v>21.542899999999999</v>
      </c>
      <c r="L102" s="13">
        <v>78.457099999999997</v>
      </c>
      <c r="M102" s="13">
        <v>15.607900000000001</v>
      </c>
      <c r="N102" s="13">
        <v>83.671400000000006</v>
      </c>
      <c r="O102" s="13">
        <v>13.3521</v>
      </c>
      <c r="P102" s="13">
        <v>86.647900000000007</v>
      </c>
      <c r="Q102" s="13">
        <v>69.373000000000005</v>
      </c>
      <c r="R102" s="13">
        <v>100</v>
      </c>
      <c r="S102" s="13">
        <v>35.833799999999997</v>
      </c>
      <c r="T102" s="13">
        <v>0</v>
      </c>
      <c r="U102" s="13">
        <v>69.755300000000005</v>
      </c>
      <c r="V102" s="13">
        <v>55.804200000000002</v>
      </c>
      <c r="W102" s="13">
        <v>41.74</v>
      </c>
      <c r="X102" s="13">
        <v>100</v>
      </c>
      <c r="Y102" s="13">
        <v>105.10169999999999</v>
      </c>
      <c r="Z102" s="13">
        <v>100</v>
      </c>
      <c r="AA102" s="13">
        <v>87.191000000000003</v>
      </c>
      <c r="AB102" s="13">
        <v>80</v>
      </c>
      <c r="AC102" s="13">
        <v>4.3999999999999997E-2</v>
      </c>
      <c r="AD102" s="13">
        <v>0</v>
      </c>
      <c r="AE102" s="13">
        <v>93.333299999999994</v>
      </c>
      <c r="AF102" s="13">
        <v>93.377300000000005</v>
      </c>
      <c r="AG102" s="13">
        <v>18.6755</v>
      </c>
      <c r="AH102" s="13">
        <v>74.4709</v>
      </c>
      <c r="AI102" s="13">
        <v>74.479699999999994</v>
      </c>
      <c r="AJ102" t="s">
        <v>153</v>
      </c>
    </row>
    <row r="103" spans="2:36" x14ac:dyDescent="0.3">
      <c r="B103" t="s">
        <v>287</v>
      </c>
      <c r="C103" t="s">
        <v>288</v>
      </c>
      <c r="D103" t="s">
        <v>289</v>
      </c>
      <c r="E103" t="s">
        <v>8</v>
      </c>
      <c r="F103" t="s">
        <v>14</v>
      </c>
      <c r="G103" t="s">
        <v>23</v>
      </c>
      <c r="H103" t="s">
        <v>24</v>
      </c>
      <c r="I103" t="s">
        <v>25</v>
      </c>
      <c r="J103" t="s">
        <v>26</v>
      </c>
      <c r="K103" s="13">
        <v>60.202199999999998</v>
      </c>
      <c r="L103" s="13">
        <v>39.797800000000002</v>
      </c>
      <c r="M103" s="13">
        <v>5.2789999999999999</v>
      </c>
      <c r="N103" s="13">
        <v>7.3513000000000002</v>
      </c>
      <c r="O103" s="13">
        <v>44.674700000000001</v>
      </c>
      <c r="P103" s="13">
        <v>55.325299999999999</v>
      </c>
      <c r="Q103" s="13">
        <v>33.691099999999999</v>
      </c>
      <c r="R103" s="13">
        <v>40</v>
      </c>
      <c r="S103" s="13">
        <v>16.685099999999998</v>
      </c>
      <c r="T103" s="13">
        <v>40</v>
      </c>
      <c r="U103" s="13">
        <v>36.494900000000001</v>
      </c>
      <c r="V103" s="13">
        <v>29.195900000000002</v>
      </c>
      <c r="W103" s="13">
        <v>17.09</v>
      </c>
      <c r="X103" s="13">
        <v>60.686300000000003</v>
      </c>
      <c r="Y103" s="13">
        <v>176.06870000000001</v>
      </c>
      <c r="Z103" s="13">
        <v>0</v>
      </c>
      <c r="AA103" s="13">
        <v>93.483400000000003</v>
      </c>
      <c r="AB103" s="13">
        <v>100</v>
      </c>
      <c r="AC103" s="13">
        <v>0.52949999999999997</v>
      </c>
      <c r="AD103" s="13">
        <v>0</v>
      </c>
      <c r="AE103" s="13">
        <v>53.562100000000001</v>
      </c>
      <c r="AF103" s="13">
        <v>54.0916</v>
      </c>
      <c r="AG103" s="13">
        <v>10.818300000000001</v>
      </c>
      <c r="AH103" s="13">
        <v>39.908299999999997</v>
      </c>
      <c r="AI103" s="13">
        <v>40.014200000000002</v>
      </c>
      <c r="AJ103" t="s">
        <v>27</v>
      </c>
    </row>
    <row r="104" spans="2:36" x14ac:dyDescent="0.3">
      <c r="B104" t="s">
        <v>290</v>
      </c>
      <c r="C104" t="s">
        <v>291</v>
      </c>
      <c r="D104" t="s">
        <v>292</v>
      </c>
      <c r="E104" t="s">
        <v>8</v>
      </c>
      <c r="F104" t="s">
        <v>14</v>
      </c>
      <c r="G104" t="s">
        <v>85</v>
      </c>
      <c r="H104" t="s">
        <v>60</v>
      </c>
      <c r="I104" t="s">
        <v>85</v>
      </c>
      <c r="J104" t="s">
        <v>26</v>
      </c>
      <c r="K104" s="13">
        <v>15.891299999999999</v>
      </c>
      <c r="L104" s="13">
        <v>84.108699999999999</v>
      </c>
      <c r="M104" s="13">
        <v>51.440300000000001</v>
      </c>
      <c r="N104" s="13">
        <v>89.311199999999999</v>
      </c>
      <c r="O104" s="13">
        <v>26.292300000000001</v>
      </c>
      <c r="P104" s="13">
        <v>73.707700000000003</v>
      </c>
      <c r="Q104" s="13">
        <v>41.853299999999997</v>
      </c>
      <c r="R104" s="13">
        <v>50</v>
      </c>
      <c r="S104" s="13">
        <v>-5.3026999999999997</v>
      </c>
      <c r="T104" s="13">
        <v>80</v>
      </c>
      <c r="U104" s="13">
        <v>75.4255</v>
      </c>
      <c r="V104" s="13">
        <v>60.340400000000002</v>
      </c>
      <c r="W104" s="13">
        <v>7.5</v>
      </c>
      <c r="X104" s="13">
        <v>31.034099999999999</v>
      </c>
      <c r="Y104" s="13">
        <v>108.8753</v>
      </c>
      <c r="Z104" s="13">
        <v>100</v>
      </c>
      <c r="AA104" s="13">
        <v>66.210999999999999</v>
      </c>
      <c r="AB104" s="13">
        <v>60</v>
      </c>
      <c r="AC104" s="13">
        <v>2.0999999999999999E-3</v>
      </c>
      <c r="AD104" s="13">
        <v>0</v>
      </c>
      <c r="AE104" s="13">
        <v>63.677999999999997</v>
      </c>
      <c r="AF104" s="13">
        <v>63.680100000000003</v>
      </c>
      <c r="AG104" s="13">
        <v>12.736000000000001</v>
      </c>
      <c r="AH104" s="13">
        <v>73.075999999999993</v>
      </c>
      <c r="AI104" s="13">
        <v>73.076400000000007</v>
      </c>
      <c r="AJ104" t="s">
        <v>153</v>
      </c>
    </row>
    <row r="105" spans="2:36" x14ac:dyDescent="0.3">
      <c r="B105" t="s">
        <v>293</v>
      </c>
      <c r="C105" t="s">
        <v>294</v>
      </c>
      <c r="D105" t="s">
        <v>295</v>
      </c>
      <c r="E105" t="s">
        <v>8</v>
      </c>
      <c r="F105" t="s">
        <v>14</v>
      </c>
      <c r="G105" t="s">
        <v>23</v>
      </c>
      <c r="H105" t="s">
        <v>31</v>
      </c>
      <c r="I105" t="s">
        <v>25</v>
      </c>
      <c r="J105" t="s">
        <v>26</v>
      </c>
      <c r="K105" s="13">
        <v>74.858900000000006</v>
      </c>
      <c r="L105" s="13">
        <v>25.141100000000002</v>
      </c>
      <c r="M105" s="13">
        <v>9.9487000000000005</v>
      </c>
      <c r="N105" s="13">
        <v>13.854100000000001</v>
      </c>
      <c r="O105" s="13">
        <v>56.196399999999997</v>
      </c>
      <c r="P105" s="13">
        <v>43.803600000000003</v>
      </c>
      <c r="Q105" s="13">
        <v>39.727400000000003</v>
      </c>
      <c r="R105" s="13">
        <v>50</v>
      </c>
      <c r="S105" s="13">
        <v>7.5438000000000001</v>
      </c>
      <c r="T105" s="13">
        <v>80</v>
      </c>
      <c r="U105" s="13">
        <v>42.559800000000003</v>
      </c>
      <c r="V105" s="13">
        <v>34.047800000000002</v>
      </c>
      <c r="W105" s="13">
        <v>15.41</v>
      </c>
      <c r="X105" s="13">
        <v>54.720700000000001</v>
      </c>
      <c r="Y105" s="13">
        <v>117.82859999999999</v>
      </c>
      <c r="Z105" s="13">
        <v>100</v>
      </c>
      <c r="AA105" s="13">
        <v>95.019000000000005</v>
      </c>
      <c r="AB105" s="13">
        <v>100</v>
      </c>
      <c r="AC105" s="13">
        <v>0</v>
      </c>
      <c r="AD105" s="13">
        <v>0</v>
      </c>
      <c r="AE105" s="13">
        <v>84.906899999999993</v>
      </c>
      <c r="AF105" s="13">
        <v>84.906899999999993</v>
      </c>
      <c r="AG105" s="13">
        <v>16.981400000000001</v>
      </c>
      <c r="AH105" s="13">
        <v>51.029200000000003</v>
      </c>
      <c r="AI105" s="13">
        <v>51.029200000000003</v>
      </c>
      <c r="AJ105" t="s">
        <v>27</v>
      </c>
    </row>
    <row r="106" spans="2:36" x14ac:dyDescent="0.3">
      <c r="B106" t="s">
        <v>296</v>
      </c>
      <c r="C106" t="s">
        <v>297</v>
      </c>
      <c r="D106" t="s">
        <v>298</v>
      </c>
      <c r="E106" t="s">
        <v>8</v>
      </c>
      <c r="F106" t="s">
        <v>14</v>
      </c>
      <c r="G106" t="s">
        <v>23</v>
      </c>
      <c r="H106" t="s">
        <v>24</v>
      </c>
      <c r="I106" t="s">
        <v>25</v>
      </c>
      <c r="J106" t="s">
        <v>26</v>
      </c>
      <c r="K106" s="13">
        <v>69.007599999999996</v>
      </c>
      <c r="L106" s="13">
        <v>30.9924</v>
      </c>
      <c r="M106" s="13">
        <v>9.1386000000000003</v>
      </c>
      <c r="N106" s="13">
        <v>12.726000000000001</v>
      </c>
      <c r="O106" s="13">
        <v>27.370699999999999</v>
      </c>
      <c r="P106" s="13">
        <v>72.629300000000001</v>
      </c>
      <c r="Q106" s="13">
        <v>23.260899999999999</v>
      </c>
      <c r="R106" s="13">
        <v>30</v>
      </c>
      <c r="S106" s="13">
        <v>23.422499999999999</v>
      </c>
      <c r="T106" s="13">
        <v>20</v>
      </c>
      <c r="U106" s="13">
        <v>33.269500000000001</v>
      </c>
      <c r="V106" s="13">
        <v>26.615600000000001</v>
      </c>
      <c r="W106" s="13">
        <v>4.43</v>
      </c>
      <c r="X106" s="13">
        <v>15.7309</v>
      </c>
      <c r="Y106" s="13">
        <v>155.23490000000001</v>
      </c>
      <c r="Z106" s="13">
        <v>0</v>
      </c>
      <c r="AA106" s="13">
        <v>95.416899999999998</v>
      </c>
      <c r="AB106" s="13">
        <v>100</v>
      </c>
      <c r="AC106" s="13">
        <v>0</v>
      </c>
      <c r="AD106" s="13">
        <v>0</v>
      </c>
      <c r="AE106" s="13">
        <v>38.576999999999998</v>
      </c>
      <c r="AF106" s="13">
        <v>38.576999999999998</v>
      </c>
      <c r="AG106" s="13">
        <v>7.7153999999999998</v>
      </c>
      <c r="AH106" s="13">
        <v>34.331000000000003</v>
      </c>
      <c r="AI106" s="13">
        <v>34.331000000000003</v>
      </c>
      <c r="AJ106" t="s">
        <v>119</v>
      </c>
    </row>
    <row r="107" spans="2:36" x14ac:dyDescent="0.3">
      <c r="B107" t="s">
        <v>299</v>
      </c>
      <c r="C107" t="s">
        <v>300</v>
      </c>
      <c r="D107" t="s">
        <v>301</v>
      </c>
      <c r="E107" t="s">
        <v>8</v>
      </c>
      <c r="F107" t="s">
        <v>14</v>
      </c>
      <c r="G107" t="s">
        <v>23</v>
      </c>
      <c r="H107" t="s">
        <v>60</v>
      </c>
      <c r="I107" t="s">
        <v>37</v>
      </c>
      <c r="J107" t="s">
        <v>26</v>
      </c>
      <c r="K107" s="13">
        <v>42.6096</v>
      </c>
      <c r="L107" s="13">
        <v>57.3904</v>
      </c>
      <c r="M107" s="13">
        <v>13.841200000000001</v>
      </c>
      <c r="N107" s="13">
        <v>20.256399999999999</v>
      </c>
      <c r="O107" s="13">
        <v>24.625499999999999</v>
      </c>
      <c r="P107" s="13">
        <v>75.374499999999998</v>
      </c>
      <c r="Q107" s="13">
        <v>37.960799999999999</v>
      </c>
      <c r="R107" s="13">
        <v>50</v>
      </c>
      <c r="S107" s="13">
        <v>6.2545999999999999</v>
      </c>
      <c r="T107" s="13">
        <v>80</v>
      </c>
      <c r="U107" s="13">
        <v>56.604300000000002</v>
      </c>
      <c r="V107" s="13">
        <v>45.2834</v>
      </c>
      <c r="W107" s="13">
        <v>26.68</v>
      </c>
      <c r="X107" s="13">
        <v>94.740300000000005</v>
      </c>
      <c r="Y107" s="13">
        <v>117.02209999999999</v>
      </c>
      <c r="Z107" s="13">
        <v>100</v>
      </c>
      <c r="AA107" s="13">
        <v>91.947500000000005</v>
      </c>
      <c r="AB107" s="13">
        <v>100</v>
      </c>
      <c r="AC107" s="13">
        <v>0</v>
      </c>
      <c r="AD107" s="13">
        <v>0</v>
      </c>
      <c r="AE107" s="13">
        <v>98.246799999999993</v>
      </c>
      <c r="AF107" s="13">
        <v>98.246799999999993</v>
      </c>
      <c r="AG107" s="13">
        <v>19.6494</v>
      </c>
      <c r="AH107" s="13">
        <v>64.9328</v>
      </c>
      <c r="AI107" s="13">
        <v>64.9328</v>
      </c>
      <c r="AJ107" t="s">
        <v>19</v>
      </c>
    </row>
    <row r="108" spans="2:36" x14ac:dyDescent="0.3">
      <c r="B108" t="s">
        <v>302</v>
      </c>
      <c r="C108" t="s">
        <v>303</v>
      </c>
      <c r="D108" t="s">
        <v>304</v>
      </c>
      <c r="E108" t="s">
        <v>8</v>
      </c>
      <c r="F108" t="s">
        <v>14</v>
      </c>
      <c r="G108" t="s">
        <v>23</v>
      </c>
      <c r="H108" t="s">
        <v>31</v>
      </c>
      <c r="I108" t="s">
        <v>37</v>
      </c>
      <c r="J108" t="s">
        <v>26</v>
      </c>
      <c r="K108" s="13">
        <v>75.855199999999996</v>
      </c>
      <c r="L108" s="13">
        <v>24.1448</v>
      </c>
      <c r="M108" s="13">
        <v>19.163699999999999</v>
      </c>
      <c r="N108" s="13">
        <v>28.0458</v>
      </c>
      <c r="O108" s="13">
        <v>16.427099999999999</v>
      </c>
      <c r="P108" s="13">
        <v>83.572900000000004</v>
      </c>
      <c r="Q108" s="13">
        <v>36.2986</v>
      </c>
      <c r="R108" s="13">
        <v>50</v>
      </c>
      <c r="S108" s="13">
        <v>9.6829999999999998</v>
      </c>
      <c r="T108" s="13">
        <v>80</v>
      </c>
      <c r="U108" s="13">
        <v>53.152700000000003</v>
      </c>
      <c r="V108" s="13">
        <v>42.522199999999998</v>
      </c>
      <c r="W108" s="13">
        <v>12.09</v>
      </c>
      <c r="X108" s="13">
        <v>42.931399999999996</v>
      </c>
      <c r="Y108" s="13">
        <v>207.65530000000001</v>
      </c>
      <c r="Z108" s="13">
        <v>0</v>
      </c>
      <c r="AA108" s="13">
        <v>95.287800000000004</v>
      </c>
      <c r="AB108" s="13">
        <v>100</v>
      </c>
      <c r="AC108" s="13">
        <v>0</v>
      </c>
      <c r="AD108" s="13">
        <v>0</v>
      </c>
      <c r="AE108" s="13">
        <v>47.643799999999999</v>
      </c>
      <c r="AF108" s="13">
        <v>47.643799999999999</v>
      </c>
      <c r="AG108" s="13">
        <v>9.5288000000000004</v>
      </c>
      <c r="AH108" s="13">
        <v>52.051000000000002</v>
      </c>
      <c r="AI108" s="13">
        <v>52.051000000000002</v>
      </c>
      <c r="AJ108" t="s">
        <v>27</v>
      </c>
    </row>
    <row r="109" spans="2:36" x14ac:dyDescent="0.3">
      <c r="B109" t="s">
        <v>305</v>
      </c>
      <c r="C109" t="s">
        <v>306</v>
      </c>
      <c r="D109" t="s">
        <v>307</v>
      </c>
      <c r="E109" t="s">
        <v>8</v>
      </c>
      <c r="F109" t="s">
        <v>14</v>
      </c>
      <c r="G109" t="s">
        <v>23</v>
      </c>
      <c r="H109" t="s">
        <v>60</v>
      </c>
      <c r="I109" t="s">
        <v>41</v>
      </c>
      <c r="J109" t="s">
        <v>26</v>
      </c>
      <c r="K109" s="13">
        <v>42.882399999999997</v>
      </c>
      <c r="L109" s="13">
        <v>57.117600000000003</v>
      </c>
      <c r="M109" s="13">
        <v>40.4876</v>
      </c>
      <c r="N109" s="13">
        <v>59.449800000000003</v>
      </c>
      <c r="O109" s="13">
        <v>26.259499999999999</v>
      </c>
      <c r="P109" s="13">
        <v>73.740499999999997</v>
      </c>
      <c r="Q109" s="13">
        <v>48.625500000000002</v>
      </c>
      <c r="R109" s="13">
        <v>70</v>
      </c>
      <c r="S109" s="13">
        <v>1.0118</v>
      </c>
      <c r="T109" s="13">
        <v>100</v>
      </c>
      <c r="U109" s="13">
        <v>72.061599999999999</v>
      </c>
      <c r="V109" s="13">
        <v>57.649299999999997</v>
      </c>
      <c r="W109" s="13">
        <v>31.17</v>
      </c>
      <c r="X109" s="13">
        <v>100</v>
      </c>
      <c r="Y109" s="13">
        <v>115.35980000000001</v>
      </c>
      <c r="Z109" s="13">
        <v>100</v>
      </c>
      <c r="AA109" s="13">
        <v>81.139399999999995</v>
      </c>
      <c r="AB109" s="13">
        <v>80</v>
      </c>
      <c r="AC109" s="13">
        <v>0</v>
      </c>
      <c r="AD109" s="13">
        <v>2</v>
      </c>
      <c r="AE109" s="13">
        <v>93.333299999999994</v>
      </c>
      <c r="AF109" s="13">
        <v>95.333299999999994</v>
      </c>
      <c r="AG109" s="13">
        <v>19.066700000000001</v>
      </c>
      <c r="AH109" s="13">
        <v>76.316000000000003</v>
      </c>
      <c r="AI109" s="13">
        <v>76.715999999999994</v>
      </c>
      <c r="AJ109" t="s">
        <v>153</v>
      </c>
    </row>
    <row r="110" spans="2:36" x14ac:dyDescent="0.3">
      <c r="B110" t="s">
        <v>308</v>
      </c>
      <c r="C110" t="s">
        <v>309</v>
      </c>
      <c r="D110" t="s">
        <v>310</v>
      </c>
      <c r="E110" t="s">
        <v>8</v>
      </c>
      <c r="F110" t="s">
        <v>14</v>
      </c>
      <c r="G110" t="s">
        <v>23</v>
      </c>
      <c r="H110" t="s">
        <v>36</v>
      </c>
      <c r="I110" t="s">
        <v>37</v>
      </c>
      <c r="J110" t="s">
        <v>26</v>
      </c>
      <c r="K110" s="13">
        <v>67.123999999999995</v>
      </c>
      <c r="L110" s="13">
        <v>32.875999999999998</v>
      </c>
      <c r="M110" s="13">
        <v>1.2266999999999999</v>
      </c>
      <c r="N110" s="13">
        <v>1.7952999999999999</v>
      </c>
      <c r="O110" s="13">
        <v>53.692100000000003</v>
      </c>
      <c r="P110" s="13">
        <v>46.307899999999997</v>
      </c>
      <c r="Q110" s="13">
        <v>18.3218</v>
      </c>
      <c r="R110" s="13">
        <v>30</v>
      </c>
      <c r="S110" s="13">
        <v>10.614599999999999</v>
      </c>
      <c r="T110" s="13">
        <v>60</v>
      </c>
      <c r="U110" s="13">
        <v>34.195799999999998</v>
      </c>
      <c r="V110" s="13">
        <v>27.3566</v>
      </c>
      <c r="W110" s="13">
        <v>5.33</v>
      </c>
      <c r="X110" s="13">
        <v>18.9268</v>
      </c>
      <c r="Y110" s="13">
        <v>84.130600000000001</v>
      </c>
      <c r="Z110" s="13">
        <v>80</v>
      </c>
      <c r="AA110" s="13">
        <v>95.398399999999995</v>
      </c>
      <c r="AB110" s="13">
        <v>100</v>
      </c>
      <c r="AC110" s="13">
        <v>0</v>
      </c>
      <c r="AD110" s="13">
        <v>0</v>
      </c>
      <c r="AE110" s="13">
        <v>66.308899999999994</v>
      </c>
      <c r="AF110" s="13">
        <v>66.308899999999994</v>
      </c>
      <c r="AG110" s="13">
        <v>13.261799999999999</v>
      </c>
      <c r="AH110" s="13">
        <v>40.618400000000001</v>
      </c>
      <c r="AI110" s="13">
        <v>40.618400000000001</v>
      </c>
      <c r="AJ110" t="s">
        <v>27</v>
      </c>
    </row>
    <row r="111" spans="2:36" x14ac:dyDescent="0.3">
      <c r="B111" t="s">
        <v>311</v>
      </c>
      <c r="C111" t="s">
        <v>312</v>
      </c>
      <c r="D111" t="s">
        <v>313</v>
      </c>
      <c r="E111" t="s">
        <v>8</v>
      </c>
      <c r="F111" t="s">
        <v>14</v>
      </c>
      <c r="G111" t="s">
        <v>23</v>
      </c>
      <c r="H111" t="s">
        <v>24</v>
      </c>
      <c r="I111" t="s">
        <v>37</v>
      </c>
      <c r="J111" t="s">
        <v>26</v>
      </c>
      <c r="K111" s="13">
        <v>74.839399999999998</v>
      </c>
      <c r="L111" s="13">
        <v>25.160599999999999</v>
      </c>
      <c r="M111" s="13">
        <v>16.185500000000001</v>
      </c>
      <c r="N111" s="13">
        <v>23.687200000000001</v>
      </c>
      <c r="O111" s="13">
        <v>17.863700000000001</v>
      </c>
      <c r="P111" s="13">
        <v>82.136300000000006</v>
      </c>
      <c r="Q111" s="13">
        <v>61.548699999999997</v>
      </c>
      <c r="R111" s="13">
        <v>80</v>
      </c>
      <c r="S111" s="13">
        <v>14.9617</v>
      </c>
      <c r="T111" s="13">
        <v>60</v>
      </c>
      <c r="U111" s="13">
        <v>54.196800000000003</v>
      </c>
      <c r="V111" s="13">
        <v>43.357399999999998</v>
      </c>
      <c r="W111" s="13">
        <v>33.61</v>
      </c>
      <c r="X111" s="13">
        <v>100</v>
      </c>
      <c r="Y111" s="13">
        <v>144.2482</v>
      </c>
      <c r="Z111" s="13">
        <v>60</v>
      </c>
      <c r="AA111" s="13">
        <v>97.945099999999996</v>
      </c>
      <c r="AB111" s="13">
        <v>100</v>
      </c>
      <c r="AC111" s="13">
        <v>0</v>
      </c>
      <c r="AD111" s="13">
        <v>0</v>
      </c>
      <c r="AE111" s="13">
        <v>86.666700000000006</v>
      </c>
      <c r="AF111" s="13">
        <v>86.666700000000006</v>
      </c>
      <c r="AG111" s="13">
        <v>17.333300000000001</v>
      </c>
      <c r="AH111" s="13">
        <v>60.6907</v>
      </c>
      <c r="AI111" s="13">
        <v>60.6907</v>
      </c>
      <c r="AJ111" t="s">
        <v>19</v>
      </c>
    </row>
    <row r="112" spans="2:36" x14ac:dyDescent="0.3">
      <c r="B112" t="s">
        <v>314</v>
      </c>
      <c r="C112" t="s">
        <v>315</v>
      </c>
      <c r="D112" t="s">
        <v>316</v>
      </c>
      <c r="E112" t="s">
        <v>8</v>
      </c>
      <c r="F112" t="s">
        <v>14</v>
      </c>
      <c r="G112" t="s">
        <v>23</v>
      </c>
      <c r="H112" t="s">
        <v>31</v>
      </c>
      <c r="I112" t="s">
        <v>25</v>
      </c>
      <c r="J112" t="s">
        <v>26</v>
      </c>
      <c r="K112" s="13">
        <v>72.067499999999995</v>
      </c>
      <c r="L112" s="13">
        <v>27.932500000000001</v>
      </c>
      <c r="M112" s="13">
        <v>23.968399999999999</v>
      </c>
      <c r="N112" s="13">
        <v>33.377299999999998</v>
      </c>
      <c r="O112" s="13">
        <v>21.361699999999999</v>
      </c>
      <c r="P112" s="13">
        <v>78.638300000000001</v>
      </c>
      <c r="Q112" s="13">
        <v>42.464799999999997</v>
      </c>
      <c r="R112" s="13">
        <v>50</v>
      </c>
      <c r="S112" s="13">
        <v>0.93920000000000003</v>
      </c>
      <c r="T112" s="13">
        <v>100</v>
      </c>
      <c r="U112" s="13">
        <v>57.989600000000003</v>
      </c>
      <c r="V112" s="13">
        <v>46.3917</v>
      </c>
      <c r="W112" s="13">
        <v>15.81</v>
      </c>
      <c r="X112" s="13">
        <v>56.141100000000002</v>
      </c>
      <c r="Y112" s="13">
        <v>147.18530000000001</v>
      </c>
      <c r="Z112" s="13">
        <v>60</v>
      </c>
      <c r="AA112" s="13">
        <v>91.027799999999999</v>
      </c>
      <c r="AB112" s="13">
        <v>100</v>
      </c>
      <c r="AC112" s="13">
        <v>6.8900000000000003E-2</v>
      </c>
      <c r="AD112" s="13">
        <v>2</v>
      </c>
      <c r="AE112" s="13">
        <v>72.046999999999997</v>
      </c>
      <c r="AF112" s="13">
        <v>74.115899999999996</v>
      </c>
      <c r="AG112" s="13">
        <v>14.8232</v>
      </c>
      <c r="AH112" s="13">
        <v>60.801099999999998</v>
      </c>
      <c r="AI112" s="13">
        <v>61.2149</v>
      </c>
      <c r="AJ112" t="s">
        <v>19</v>
      </c>
    </row>
    <row r="113" spans="2:36" x14ac:dyDescent="0.3">
      <c r="B113" t="s">
        <v>317</v>
      </c>
      <c r="C113" t="s">
        <v>318</v>
      </c>
      <c r="D113" t="s">
        <v>319</v>
      </c>
      <c r="E113" t="s">
        <v>8</v>
      </c>
      <c r="F113" t="s">
        <v>14</v>
      </c>
      <c r="G113" t="s">
        <v>32</v>
      </c>
      <c r="H113" t="s">
        <v>60</v>
      </c>
      <c r="I113" t="s">
        <v>41</v>
      </c>
      <c r="J113" t="s">
        <v>26</v>
      </c>
      <c r="K113" s="13">
        <v>39.0565</v>
      </c>
      <c r="L113" s="13">
        <v>60.9435</v>
      </c>
      <c r="M113" s="13">
        <v>19.6798</v>
      </c>
      <c r="N113" s="13">
        <v>28.896699999999999</v>
      </c>
      <c r="O113" s="13">
        <v>19.8416</v>
      </c>
      <c r="P113" s="13">
        <v>80.1584</v>
      </c>
      <c r="Q113" s="13">
        <v>44.314399999999999</v>
      </c>
      <c r="R113" s="13">
        <v>50</v>
      </c>
      <c r="S113" s="13">
        <v>24.8171</v>
      </c>
      <c r="T113" s="13">
        <v>20</v>
      </c>
      <c r="U113" s="13">
        <v>47.999699999999997</v>
      </c>
      <c r="V113" s="13">
        <v>38.399799999999999</v>
      </c>
      <c r="W113" s="13">
        <v>22.54</v>
      </c>
      <c r="X113" s="13">
        <v>77.524699999999996</v>
      </c>
      <c r="Y113" s="13">
        <v>106.25539999999999</v>
      </c>
      <c r="Z113" s="13">
        <v>100</v>
      </c>
      <c r="AA113" s="13">
        <v>94.273200000000003</v>
      </c>
      <c r="AB113" s="13">
        <v>100</v>
      </c>
      <c r="AC113" s="13">
        <v>0</v>
      </c>
      <c r="AD113" s="13">
        <v>0</v>
      </c>
      <c r="AE113" s="13">
        <v>92.508200000000002</v>
      </c>
      <c r="AF113" s="13">
        <v>92.508200000000002</v>
      </c>
      <c r="AG113" s="13">
        <v>18.5016</v>
      </c>
      <c r="AH113" s="13">
        <v>56.901400000000002</v>
      </c>
      <c r="AI113" s="13">
        <v>56.901400000000002</v>
      </c>
      <c r="AJ113" t="s">
        <v>27</v>
      </c>
    </row>
    <row r="114" spans="2:36" x14ac:dyDescent="0.3">
      <c r="B114" t="s">
        <v>320</v>
      </c>
      <c r="C114" t="s">
        <v>321</v>
      </c>
      <c r="D114" t="s">
        <v>322</v>
      </c>
      <c r="E114" t="s">
        <v>8</v>
      </c>
      <c r="F114" t="s">
        <v>14</v>
      </c>
      <c r="G114" t="s">
        <v>23</v>
      </c>
      <c r="H114" t="s">
        <v>24</v>
      </c>
      <c r="I114" t="s">
        <v>37</v>
      </c>
      <c r="J114" t="s">
        <v>26</v>
      </c>
      <c r="K114" s="13">
        <v>85.239400000000003</v>
      </c>
      <c r="L114" s="13">
        <v>14.7606</v>
      </c>
      <c r="M114" s="13">
        <v>7.3875000000000002</v>
      </c>
      <c r="N114" s="13">
        <v>10.811500000000001</v>
      </c>
      <c r="O114" s="13">
        <v>29.581399999999999</v>
      </c>
      <c r="P114" s="13">
        <v>70.418599999999998</v>
      </c>
      <c r="Q114" s="13">
        <v>43.941699999999997</v>
      </c>
      <c r="R114" s="13">
        <v>50</v>
      </c>
      <c r="S114" s="13">
        <v>7.5881999999999996</v>
      </c>
      <c r="T114" s="13">
        <v>80</v>
      </c>
      <c r="U114" s="13">
        <v>45.198099999999997</v>
      </c>
      <c r="V114" s="13">
        <v>36.158499999999997</v>
      </c>
      <c r="W114" s="13">
        <v>21.8</v>
      </c>
      <c r="X114" s="13">
        <v>77.411500000000004</v>
      </c>
      <c r="Y114" s="13">
        <v>92.209299999999999</v>
      </c>
      <c r="Z114" s="13">
        <v>100</v>
      </c>
      <c r="AA114" s="13">
        <v>94.168899999999994</v>
      </c>
      <c r="AB114" s="13">
        <v>100</v>
      </c>
      <c r="AC114" s="13">
        <v>0</v>
      </c>
      <c r="AD114" s="13">
        <v>0</v>
      </c>
      <c r="AE114" s="13">
        <v>92.470500000000001</v>
      </c>
      <c r="AF114" s="13">
        <v>92.470500000000001</v>
      </c>
      <c r="AG114" s="13">
        <v>18.4941</v>
      </c>
      <c r="AH114" s="13">
        <v>54.6526</v>
      </c>
      <c r="AI114" s="13">
        <v>54.6526</v>
      </c>
      <c r="AJ114" t="s">
        <v>27</v>
      </c>
    </row>
    <row r="115" spans="2:36" x14ac:dyDescent="0.3">
      <c r="B115" t="s">
        <v>323</v>
      </c>
      <c r="C115" t="s">
        <v>324</v>
      </c>
      <c r="D115" t="s">
        <v>325</v>
      </c>
      <c r="E115" t="s">
        <v>8</v>
      </c>
      <c r="F115" t="s">
        <v>14</v>
      </c>
      <c r="G115" t="s">
        <v>23</v>
      </c>
      <c r="H115" t="s">
        <v>31</v>
      </c>
      <c r="I115" t="s">
        <v>37</v>
      </c>
      <c r="J115" t="s">
        <v>26</v>
      </c>
      <c r="K115" s="13">
        <v>58.709499999999998</v>
      </c>
      <c r="L115" s="13">
        <v>41.290500000000002</v>
      </c>
      <c r="M115" s="13">
        <v>9.6562999999999999</v>
      </c>
      <c r="N115" s="13">
        <v>14.1318</v>
      </c>
      <c r="O115" s="13">
        <v>62.821199999999997</v>
      </c>
      <c r="P115" s="13">
        <v>37.178800000000003</v>
      </c>
      <c r="Q115" s="13">
        <v>48.816600000000001</v>
      </c>
      <c r="R115" s="13">
        <v>70</v>
      </c>
      <c r="S115" s="13">
        <v>30.89</v>
      </c>
      <c r="T115" s="13">
        <v>0</v>
      </c>
      <c r="U115" s="13">
        <v>32.520200000000003</v>
      </c>
      <c r="V115" s="13">
        <v>26.016200000000001</v>
      </c>
      <c r="W115" s="13">
        <v>23.15</v>
      </c>
      <c r="X115" s="13">
        <v>82.205299999999994</v>
      </c>
      <c r="Y115" s="13">
        <v>124.14279999999999</v>
      </c>
      <c r="Z115" s="13">
        <v>80</v>
      </c>
      <c r="AA115" s="13">
        <v>88.313900000000004</v>
      </c>
      <c r="AB115" s="13">
        <v>80</v>
      </c>
      <c r="AC115" s="13">
        <v>0</v>
      </c>
      <c r="AD115" s="13">
        <v>0</v>
      </c>
      <c r="AE115" s="13">
        <v>80.735100000000003</v>
      </c>
      <c r="AF115" s="13">
        <v>80.735100000000003</v>
      </c>
      <c r="AG115" s="13">
        <v>16.146999999999998</v>
      </c>
      <c r="AH115" s="13">
        <v>42.163200000000003</v>
      </c>
      <c r="AI115" s="13">
        <v>42.163200000000003</v>
      </c>
      <c r="AJ115" t="s">
        <v>27</v>
      </c>
    </row>
    <row r="116" spans="2:36" x14ac:dyDescent="0.3">
      <c r="B116" t="s">
        <v>326</v>
      </c>
      <c r="C116" t="s">
        <v>327</v>
      </c>
      <c r="D116" t="s">
        <v>328</v>
      </c>
      <c r="E116" t="s">
        <v>8</v>
      </c>
      <c r="F116" t="s">
        <v>14</v>
      </c>
      <c r="G116" t="s">
        <v>23</v>
      </c>
      <c r="H116" t="s">
        <v>24</v>
      </c>
      <c r="I116" t="s">
        <v>25</v>
      </c>
      <c r="J116" t="s">
        <v>26</v>
      </c>
      <c r="K116" s="13">
        <v>72.013099999999994</v>
      </c>
      <c r="L116" s="13">
        <v>27.986899999999999</v>
      </c>
      <c r="M116" s="13">
        <v>5.0533999999999999</v>
      </c>
      <c r="N116" s="13">
        <v>7.0370999999999997</v>
      </c>
      <c r="O116" s="13">
        <v>54.980800000000002</v>
      </c>
      <c r="P116" s="13">
        <v>45.019199999999998</v>
      </c>
      <c r="Q116" s="13">
        <v>39.565600000000003</v>
      </c>
      <c r="R116" s="13">
        <v>50</v>
      </c>
      <c r="S116" s="13">
        <v>4.5290999999999997</v>
      </c>
      <c r="T116" s="13">
        <v>100</v>
      </c>
      <c r="U116" s="13">
        <v>46.008600000000001</v>
      </c>
      <c r="V116" s="13">
        <v>36.806899999999999</v>
      </c>
      <c r="W116" s="13">
        <v>21.81</v>
      </c>
      <c r="X116" s="13">
        <v>77.447000000000003</v>
      </c>
      <c r="Y116" s="13">
        <v>128.92740000000001</v>
      </c>
      <c r="Z116" s="13">
        <v>80</v>
      </c>
      <c r="AA116" s="13">
        <v>94.521900000000002</v>
      </c>
      <c r="AB116" s="13">
        <v>100</v>
      </c>
      <c r="AC116" s="13">
        <v>6.7199999999999996E-2</v>
      </c>
      <c r="AD116" s="13">
        <v>0</v>
      </c>
      <c r="AE116" s="13">
        <v>85.815700000000007</v>
      </c>
      <c r="AF116" s="13">
        <v>85.882900000000006</v>
      </c>
      <c r="AG116" s="13">
        <v>17.176600000000001</v>
      </c>
      <c r="AH116" s="13">
        <v>53.97</v>
      </c>
      <c r="AI116" s="13">
        <v>53.983499999999999</v>
      </c>
      <c r="AJ116" t="s">
        <v>27</v>
      </c>
    </row>
    <row r="117" spans="2:36" x14ac:dyDescent="0.3">
      <c r="B117" t="s">
        <v>329</v>
      </c>
      <c r="C117" t="s">
        <v>330</v>
      </c>
      <c r="D117" t="s">
        <v>331</v>
      </c>
      <c r="E117" t="s">
        <v>8</v>
      </c>
      <c r="F117" t="s">
        <v>14</v>
      </c>
      <c r="G117" t="s">
        <v>23</v>
      </c>
      <c r="H117" t="s">
        <v>31</v>
      </c>
      <c r="I117" t="s">
        <v>41</v>
      </c>
      <c r="J117" t="s">
        <v>26</v>
      </c>
      <c r="K117" s="13">
        <v>60.876399999999997</v>
      </c>
      <c r="L117" s="13">
        <v>39.123600000000003</v>
      </c>
      <c r="M117" s="13">
        <v>5.9581</v>
      </c>
      <c r="N117" s="13">
        <v>8.7484999999999999</v>
      </c>
      <c r="O117" s="13">
        <v>37.525599999999997</v>
      </c>
      <c r="P117" s="13">
        <v>62.474400000000003</v>
      </c>
      <c r="Q117" s="13">
        <v>47.607799999999997</v>
      </c>
      <c r="R117" s="13">
        <v>70</v>
      </c>
      <c r="S117" s="13">
        <v>7.9347000000000003</v>
      </c>
      <c r="T117" s="13">
        <v>80</v>
      </c>
      <c r="U117" s="13">
        <v>52.069299999999998</v>
      </c>
      <c r="V117" s="13">
        <v>41.6554</v>
      </c>
      <c r="W117" s="13">
        <v>33.43</v>
      </c>
      <c r="X117" s="13">
        <v>100</v>
      </c>
      <c r="Y117" s="13">
        <v>125.9609</v>
      </c>
      <c r="Z117" s="13">
        <v>80</v>
      </c>
      <c r="AA117" s="13">
        <v>91.205500000000001</v>
      </c>
      <c r="AB117" s="13">
        <v>100</v>
      </c>
      <c r="AC117" s="13">
        <v>0</v>
      </c>
      <c r="AD117" s="13">
        <v>0</v>
      </c>
      <c r="AE117" s="13">
        <v>93.333299999999994</v>
      </c>
      <c r="AF117" s="13">
        <v>93.333299999999994</v>
      </c>
      <c r="AG117" s="13">
        <v>18.666699999999999</v>
      </c>
      <c r="AH117" s="13">
        <v>60.322099999999999</v>
      </c>
      <c r="AI117" s="13">
        <v>60.322099999999999</v>
      </c>
      <c r="AJ117" t="s">
        <v>19</v>
      </c>
    </row>
    <row r="118" spans="2:36" x14ac:dyDescent="0.3">
      <c r="B118" t="s">
        <v>332</v>
      </c>
      <c r="C118" t="s">
        <v>333</v>
      </c>
      <c r="D118" t="s">
        <v>334</v>
      </c>
      <c r="E118" t="s">
        <v>8</v>
      </c>
      <c r="F118" t="s">
        <v>14</v>
      </c>
      <c r="G118" t="s">
        <v>23</v>
      </c>
      <c r="H118" t="s">
        <v>31</v>
      </c>
      <c r="I118" t="s">
        <v>41</v>
      </c>
      <c r="J118" t="s">
        <v>26</v>
      </c>
      <c r="K118" s="13">
        <v>42.176600000000001</v>
      </c>
      <c r="L118" s="13">
        <v>57.823399999999999</v>
      </c>
      <c r="M118" s="13">
        <v>1.5522</v>
      </c>
      <c r="N118" s="13">
        <v>2.2791999999999999</v>
      </c>
      <c r="O118" s="13">
        <v>98.824200000000005</v>
      </c>
      <c r="P118" s="13">
        <v>1.1758</v>
      </c>
      <c r="Q118" s="13">
        <v>62.885599999999997</v>
      </c>
      <c r="R118" s="13">
        <v>80</v>
      </c>
      <c r="S118" s="13">
        <v>-8.0724999999999998</v>
      </c>
      <c r="T118" s="13">
        <v>80</v>
      </c>
      <c r="U118" s="13">
        <v>44.255699999999997</v>
      </c>
      <c r="V118" s="13">
        <v>35.404600000000002</v>
      </c>
      <c r="W118" s="13">
        <v>59.17</v>
      </c>
      <c r="X118" s="13">
        <v>100</v>
      </c>
      <c r="Y118" s="13">
        <v>282.97890000000001</v>
      </c>
      <c r="Z118" s="13">
        <v>0</v>
      </c>
      <c r="AA118" s="13">
        <v>94.826499999999996</v>
      </c>
      <c r="AB118" s="13">
        <v>100</v>
      </c>
      <c r="AC118" s="13">
        <v>0.85</v>
      </c>
      <c r="AD118" s="13">
        <v>2</v>
      </c>
      <c r="AE118" s="13">
        <v>66.666700000000006</v>
      </c>
      <c r="AF118" s="13">
        <v>69.5167</v>
      </c>
      <c r="AG118" s="13">
        <v>13.9033</v>
      </c>
      <c r="AH118" s="13">
        <v>48.737900000000003</v>
      </c>
      <c r="AI118" s="13">
        <v>49.307899999999997</v>
      </c>
      <c r="AJ118" t="s">
        <v>27</v>
      </c>
    </row>
    <row r="119" spans="2:36" x14ac:dyDescent="0.3">
      <c r="B119" t="s">
        <v>335</v>
      </c>
      <c r="C119" t="s">
        <v>336</v>
      </c>
      <c r="D119" t="s">
        <v>337</v>
      </c>
      <c r="E119" t="s">
        <v>8</v>
      </c>
      <c r="F119" t="s">
        <v>14</v>
      </c>
      <c r="G119" t="s">
        <v>32</v>
      </c>
      <c r="H119" t="s">
        <v>60</v>
      </c>
      <c r="I119" t="s">
        <v>41</v>
      </c>
      <c r="J119" t="s">
        <v>26</v>
      </c>
      <c r="K119" s="13">
        <v>45.987000000000002</v>
      </c>
      <c r="L119" s="13">
        <v>54.012999999999998</v>
      </c>
      <c r="M119" s="13">
        <v>36.951900000000002</v>
      </c>
      <c r="N119" s="13">
        <v>54.258099999999999</v>
      </c>
      <c r="O119" s="13">
        <v>17.0549</v>
      </c>
      <c r="P119" s="13">
        <v>82.945099999999996</v>
      </c>
      <c r="Q119" s="13">
        <v>54.051900000000003</v>
      </c>
      <c r="R119" s="13">
        <v>70</v>
      </c>
      <c r="S119" s="13">
        <v>20.886900000000001</v>
      </c>
      <c r="T119" s="13">
        <v>20</v>
      </c>
      <c r="U119" s="13">
        <v>56.243200000000002</v>
      </c>
      <c r="V119" s="13">
        <v>44.994599999999998</v>
      </c>
      <c r="W119" s="13">
        <v>33.04</v>
      </c>
      <c r="X119" s="13">
        <v>100</v>
      </c>
      <c r="Y119" s="13">
        <v>135.22399999999999</v>
      </c>
      <c r="Z119" s="13">
        <v>70</v>
      </c>
      <c r="AA119" s="13">
        <v>94.457800000000006</v>
      </c>
      <c r="AB119" s="13">
        <v>100</v>
      </c>
      <c r="AC119" s="13">
        <v>0</v>
      </c>
      <c r="AD119" s="13">
        <v>0</v>
      </c>
      <c r="AE119" s="13">
        <v>90</v>
      </c>
      <c r="AF119" s="13">
        <v>90</v>
      </c>
      <c r="AG119" s="13">
        <v>18</v>
      </c>
      <c r="AH119" s="13">
        <v>62.994599999999998</v>
      </c>
      <c r="AI119" s="13">
        <v>62.994599999999998</v>
      </c>
      <c r="AJ119" t="s">
        <v>19</v>
      </c>
    </row>
    <row r="120" spans="2:36" x14ac:dyDescent="0.3">
      <c r="B120" t="s">
        <v>338</v>
      </c>
      <c r="C120" t="s">
        <v>339</v>
      </c>
      <c r="D120" t="s">
        <v>340</v>
      </c>
      <c r="E120" t="s">
        <v>8</v>
      </c>
      <c r="F120" t="s">
        <v>14</v>
      </c>
      <c r="G120" t="s">
        <v>23</v>
      </c>
      <c r="H120" t="s">
        <v>60</v>
      </c>
      <c r="I120" t="s">
        <v>25</v>
      </c>
      <c r="J120" t="s">
        <v>26</v>
      </c>
      <c r="K120" s="13">
        <v>47.971899999999998</v>
      </c>
      <c r="L120" s="13">
        <v>52.028100000000002</v>
      </c>
      <c r="M120" s="13">
        <v>33.569499999999998</v>
      </c>
      <c r="N120" s="13">
        <v>46.747399999999999</v>
      </c>
      <c r="O120" s="13">
        <v>25.161899999999999</v>
      </c>
      <c r="P120" s="13">
        <v>74.838099999999997</v>
      </c>
      <c r="Q120" s="13">
        <v>43.022199999999998</v>
      </c>
      <c r="R120" s="13">
        <v>50</v>
      </c>
      <c r="S120" s="13">
        <v>14.7074</v>
      </c>
      <c r="T120" s="13">
        <v>60</v>
      </c>
      <c r="U120" s="13">
        <v>56.722700000000003</v>
      </c>
      <c r="V120" s="13">
        <v>45.3782</v>
      </c>
      <c r="W120" s="13">
        <v>19.77</v>
      </c>
      <c r="X120" s="13">
        <v>70.203000000000003</v>
      </c>
      <c r="Y120" s="13">
        <v>134.51310000000001</v>
      </c>
      <c r="Z120" s="13">
        <v>70</v>
      </c>
      <c r="AA120" s="13">
        <v>84.493600000000001</v>
      </c>
      <c r="AB120" s="13">
        <v>80</v>
      </c>
      <c r="AC120" s="13">
        <v>0.1804</v>
      </c>
      <c r="AD120" s="13">
        <v>0</v>
      </c>
      <c r="AE120" s="13">
        <v>73.400999999999996</v>
      </c>
      <c r="AF120" s="13">
        <v>73.581400000000002</v>
      </c>
      <c r="AG120" s="13">
        <v>14.7163</v>
      </c>
      <c r="AH120" s="13">
        <v>60.058399999999999</v>
      </c>
      <c r="AI120" s="13">
        <v>60.094499999999996</v>
      </c>
      <c r="AJ120" t="s">
        <v>19</v>
      </c>
    </row>
    <row r="121" spans="2:36" x14ac:dyDescent="0.3">
      <c r="B121" t="s">
        <v>341</v>
      </c>
      <c r="C121" t="s">
        <v>342</v>
      </c>
      <c r="D121" t="s">
        <v>343</v>
      </c>
      <c r="E121" t="s">
        <v>8</v>
      </c>
      <c r="F121" t="s">
        <v>14</v>
      </c>
      <c r="G121" t="s">
        <v>32</v>
      </c>
      <c r="H121" t="s">
        <v>36</v>
      </c>
      <c r="I121" t="s">
        <v>85</v>
      </c>
      <c r="J121" t="s">
        <v>26</v>
      </c>
      <c r="K121" s="13">
        <v>55.327100000000002</v>
      </c>
      <c r="L121" s="13">
        <v>44.672899999999998</v>
      </c>
      <c r="M121" s="13">
        <v>12.2524</v>
      </c>
      <c r="N121" s="13">
        <v>21.2727</v>
      </c>
      <c r="O121" s="13">
        <v>18.093800000000002</v>
      </c>
      <c r="P121" s="13">
        <v>81.906199999999998</v>
      </c>
      <c r="Q121" s="13">
        <v>57.516199999999998</v>
      </c>
      <c r="R121" s="13">
        <v>80</v>
      </c>
      <c r="S121" s="13">
        <v>18.226500000000001</v>
      </c>
      <c r="T121" s="13">
        <v>40</v>
      </c>
      <c r="U121" s="13">
        <v>53.570399999999999</v>
      </c>
      <c r="V121" s="13">
        <v>42.856299999999997</v>
      </c>
      <c r="W121" s="13">
        <v>41.53</v>
      </c>
      <c r="X121" s="13">
        <v>100</v>
      </c>
      <c r="Y121" s="13">
        <v>124.73650000000001</v>
      </c>
      <c r="Z121" s="13">
        <v>80</v>
      </c>
      <c r="AA121" s="13">
        <v>94.962999999999994</v>
      </c>
      <c r="AB121" s="13">
        <v>100</v>
      </c>
      <c r="AC121" s="13">
        <v>0</v>
      </c>
      <c r="AD121" s="13">
        <v>0</v>
      </c>
      <c r="AE121" s="13">
        <v>93.333299999999994</v>
      </c>
      <c r="AF121" s="13">
        <v>93.333299999999994</v>
      </c>
      <c r="AG121" s="13">
        <v>18.666699999999999</v>
      </c>
      <c r="AH121" s="13">
        <v>61.523000000000003</v>
      </c>
      <c r="AI121" s="13">
        <v>61.523000000000003</v>
      </c>
      <c r="AJ121" t="s">
        <v>19</v>
      </c>
    </row>
    <row r="122" spans="2:36" x14ac:dyDescent="0.3">
      <c r="B122" t="s">
        <v>344</v>
      </c>
      <c r="C122" t="s">
        <v>345</v>
      </c>
      <c r="D122" t="s">
        <v>346</v>
      </c>
      <c r="E122" t="s">
        <v>8</v>
      </c>
      <c r="F122" t="s">
        <v>14</v>
      </c>
      <c r="G122" t="s">
        <v>41</v>
      </c>
      <c r="H122" t="s">
        <v>60</v>
      </c>
      <c r="I122" t="s">
        <v>25</v>
      </c>
      <c r="J122" t="s">
        <v>26</v>
      </c>
      <c r="K122" s="13">
        <v>65.103899999999996</v>
      </c>
      <c r="L122" s="13">
        <v>34.896099999999997</v>
      </c>
      <c r="M122" s="13">
        <v>12.4008</v>
      </c>
      <c r="N122" s="13">
        <v>17.268799999999999</v>
      </c>
      <c r="O122" s="13">
        <v>22.9694</v>
      </c>
      <c r="P122" s="13">
        <v>77.030600000000007</v>
      </c>
      <c r="Q122" s="13">
        <v>60.186900000000001</v>
      </c>
      <c r="R122" s="13">
        <v>80</v>
      </c>
      <c r="S122" s="13">
        <v>31.693300000000001</v>
      </c>
      <c r="T122" s="13">
        <v>0</v>
      </c>
      <c r="U122" s="13">
        <v>41.839100000000002</v>
      </c>
      <c r="V122" s="13">
        <v>33.471299999999999</v>
      </c>
      <c r="W122" s="13">
        <v>36.51</v>
      </c>
      <c r="X122" s="13">
        <v>100</v>
      </c>
      <c r="Y122" s="13">
        <v>178.42679999999999</v>
      </c>
      <c r="Z122" s="13">
        <v>0</v>
      </c>
      <c r="AA122" s="13">
        <v>96.948899999999995</v>
      </c>
      <c r="AB122" s="13">
        <v>100</v>
      </c>
      <c r="AC122" s="13">
        <v>0</v>
      </c>
      <c r="AD122" s="13">
        <v>0</v>
      </c>
      <c r="AE122" s="13">
        <v>66.666700000000006</v>
      </c>
      <c r="AF122" s="13">
        <v>66.666700000000006</v>
      </c>
      <c r="AG122" s="13">
        <v>13.333299999999999</v>
      </c>
      <c r="AH122" s="13">
        <v>46.804600000000001</v>
      </c>
      <c r="AI122" s="13">
        <v>46.804600000000001</v>
      </c>
      <c r="AJ122" t="s">
        <v>27</v>
      </c>
    </row>
    <row r="123" spans="2:36" x14ac:dyDescent="0.3">
      <c r="B123" t="s">
        <v>347</v>
      </c>
      <c r="C123" t="s">
        <v>348</v>
      </c>
      <c r="D123" t="s">
        <v>349</v>
      </c>
      <c r="E123" t="s">
        <v>8</v>
      </c>
      <c r="F123" t="s">
        <v>14</v>
      </c>
      <c r="G123" t="s">
        <v>32</v>
      </c>
      <c r="H123" t="s">
        <v>60</v>
      </c>
      <c r="I123" t="s">
        <v>25</v>
      </c>
      <c r="J123" t="s">
        <v>26</v>
      </c>
      <c r="K123" s="13">
        <v>54.0762</v>
      </c>
      <c r="L123" s="13">
        <v>45.9238</v>
      </c>
      <c r="M123" s="13">
        <v>16.071300000000001</v>
      </c>
      <c r="N123" s="13">
        <v>22.380199999999999</v>
      </c>
      <c r="O123" s="13">
        <v>22.906099999999999</v>
      </c>
      <c r="P123" s="13">
        <v>77.093900000000005</v>
      </c>
      <c r="Q123" s="13">
        <v>53.360700000000001</v>
      </c>
      <c r="R123" s="13">
        <v>70</v>
      </c>
      <c r="S123" s="13">
        <v>5.6577999999999999</v>
      </c>
      <c r="T123" s="13">
        <v>80</v>
      </c>
      <c r="U123" s="13">
        <v>59.079599999999999</v>
      </c>
      <c r="V123" s="13">
        <v>47.2637</v>
      </c>
      <c r="W123" s="13">
        <v>39.94</v>
      </c>
      <c r="X123" s="13">
        <v>100</v>
      </c>
      <c r="Y123" s="13">
        <v>106.00060000000001</v>
      </c>
      <c r="Z123" s="13">
        <v>100</v>
      </c>
      <c r="AA123" s="13">
        <v>78.697199999999995</v>
      </c>
      <c r="AB123" s="13">
        <v>70</v>
      </c>
      <c r="AC123" s="13">
        <v>0</v>
      </c>
      <c r="AD123" s="13">
        <v>0</v>
      </c>
      <c r="AE123" s="13">
        <v>90</v>
      </c>
      <c r="AF123" s="13">
        <v>90</v>
      </c>
      <c r="AG123" s="13">
        <v>18</v>
      </c>
      <c r="AH123" s="13">
        <v>65.2637</v>
      </c>
      <c r="AI123" s="13">
        <v>65.2637</v>
      </c>
      <c r="AJ123" t="s">
        <v>19</v>
      </c>
    </row>
    <row r="124" spans="2:36" x14ac:dyDescent="0.3">
      <c r="B124" t="s">
        <v>350</v>
      </c>
      <c r="C124" t="s">
        <v>351</v>
      </c>
      <c r="D124" t="s">
        <v>352</v>
      </c>
      <c r="E124" t="s">
        <v>8</v>
      </c>
      <c r="F124" t="s">
        <v>14</v>
      </c>
      <c r="G124" t="s">
        <v>23</v>
      </c>
      <c r="H124" t="s">
        <v>36</v>
      </c>
      <c r="I124" t="s">
        <v>41</v>
      </c>
      <c r="J124" t="s">
        <v>26</v>
      </c>
      <c r="K124" s="13">
        <v>51.887799999999999</v>
      </c>
      <c r="L124" s="13">
        <v>48.112200000000001</v>
      </c>
      <c r="M124" s="13">
        <v>17.584199999999999</v>
      </c>
      <c r="N124" s="13">
        <v>25.819700000000001</v>
      </c>
      <c r="O124" s="13">
        <v>57.9054</v>
      </c>
      <c r="P124" s="13">
        <v>42.0946</v>
      </c>
      <c r="Q124" s="13">
        <v>48.074399999999997</v>
      </c>
      <c r="R124" s="13">
        <v>70</v>
      </c>
      <c r="S124" s="13">
        <v>11.153</v>
      </c>
      <c r="T124" s="13">
        <v>60</v>
      </c>
      <c r="U124" s="13">
        <v>49.205300000000001</v>
      </c>
      <c r="V124" s="13">
        <v>39.364199999999997</v>
      </c>
      <c r="W124" s="13">
        <v>25.1</v>
      </c>
      <c r="X124" s="13">
        <v>89.1297</v>
      </c>
      <c r="Y124" s="13">
        <v>124.0275</v>
      </c>
      <c r="Z124" s="13">
        <v>80</v>
      </c>
      <c r="AA124" s="13">
        <v>87.296300000000002</v>
      </c>
      <c r="AB124" s="13">
        <v>80</v>
      </c>
      <c r="AC124" s="13">
        <v>0</v>
      </c>
      <c r="AD124" s="13">
        <v>0</v>
      </c>
      <c r="AE124" s="13">
        <v>83.043199999999999</v>
      </c>
      <c r="AF124" s="13">
        <v>83.043199999999999</v>
      </c>
      <c r="AG124" s="13">
        <v>16.608599999999999</v>
      </c>
      <c r="AH124" s="13">
        <v>55.972799999999999</v>
      </c>
      <c r="AI124" s="13">
        <v>55.972799999999999</v>
      </c>
      <c r="AJ124" t="s">
        <v>27</v>
      </c>
    </row>
    <row r="125" spans="2:36" x14ac:dyDescent="0.3">
      <c r="B125" t="s">
        <v>353</v>
      </c>
      <c r="C125" t="s">
        <v>354</v>
      </c>
      <c r="D125" t="s">
        <v>355</v>
      </c>
      <c r="E125" t="s">
        <v>8</v>
      </c>
      <c r="F125" t="s">
        <v>14</v>
      </c>
      <c r="G125" t="s">
        <v>23</v>
      </c>
      <c r="H125" t="s">
        <v>36</v>
      </c>
      <c r="I125" t="s">
        <v>37</v>
      </c>
      <c r="J125" t="s">
        <v>26</v>
      </c>
      <c r="K125" s="13">
        <v>64.228300000000004</v>
      </c>
      <c r="L125" s="13">
        <v>35.771700000000003</v>
      </c>
      <c r="M125" s="13">
        <v>11.001300000000001</v>
      </c>
      <c r="N125" s="13">
        <v>16.100200000000001</v>
      </c>
      <c r="O125" s="13">
        <v>87.230599999999995</v>
      </c>
      <c r="P125" s="13">
        <v>12.769399999999999</v>
      </c>
      <c r="Q125" s="13">
        <v>45.349699999999999</v>
      </c>
      <c r="R125" s="13">
        <v>70</v>
      </c>
      <c r="S125" s="13">
        <v>12.228199999999999</v>
      </c>
      <c r="T125" s="13">
        <v>60</v>
      </c>
      <c r="U125" s="13">
        <v>38.9283</v>
      </c>
      <c r="V125" s="13">
        <v>31.142600000000002</v>
      </c>
      <c r="W125" s="13">
        <v>32.299999999999997</v>
      </c>
      <c r="X125" s="13">
        <v>100</v>
      </c>
      <c r="Y125" s="13">
        <v>136.0847</v>
      </c>
      <c r="Z125" s="13">
        <v>70</v>
      </c>
      <c r="AA125" s="13">
        <v>89.043300000000002</v>
      </c>
      <c r="AB125" s="13">
        <v>80</v>
      </c>
      <c r="AC125" s="13">
        <v>0.21179999999999999</v>
      </c>
      <c r="AD125" s="13">
        <v>2</v>
      </c>
      <c r="AE125" s="13">
        <v>83.333299999999994</v>
      </c>
      <c r="AF125" s="13">
        <v>85.545100000000005</v>
      </c>
      <c r="AG125" s="13">
        <v>17.109000000000002</v>
      </c>
      <c r="AH125" s="13">
        <v>47.8093</v>
      </c>
      <c r="AI125" s="13">
        <v>48.251600000000003</v>
      </c>
      <c r="AJ125" t="s">
        <v>27</v>
      </c>
    </row>
    <row r="126" spans="2:36" x14ac:dyDescent="0.3">
      <c r="B126" t="s">
        <v>356</v>
      </c>
      <c r="C126" t="s">
        <v>357</v>
      </c>
      <c r="D126" t="s">
        <v>358</v>
      </c>
      <c r="E126" t="s">
        <v>8</v>
      </c>
      <c r="F126" t="s">
        <v>14</v>
      </c>
      <c r="G126" t="s">
        <v>23</v>
      </c>
      <c r="H126" t="s">
        <v>24</v>
      </c>
      <c r="I126" t="s">
        <v>37</v>
      </c>
      <c r="J126" t="s">
        <v>26</v>
      </c>
      <c r="K126" s="13">
        <v>81.988</v>
      </c>
      <c r="L126" s="13">
        <v>18.012</v>
      </c>
      <c r="M126" s="13">
        <v>5.65</v>
      </c>
      <c r="N126" s="13">
        <v>8.2687000000000008</v>
      </c>
      <c r="O126" s="13">
        <v>28.5501</v>
      </c>
      <c r="P126" s="13">
        <v>71.4499</v>
      </c>
      <c r="Q126" s="13">
        <v>23.941700000000001</v>
      </c>
      <c r="R126" s="13">
        <v>30</v>
      </c>
      <c r="S126" s="13">
        <v>3.8252999999999999</v>
      </c>
      <c r="T126" s="13">
        <v>100</v>
      </c>
      <c r="U126" s="13">
        <v>45.546100000000003</v>
      </c>
      <c r="V126" s="13">
        <v>36.436900000000001</v>
      </c>
      <c r="W126" s="13">
        <v>3.02</v>
      </c>
      <c r="X126" s="13">
        <v>10.724</v>
      </c>
      <c r="Y126" s="13">
        <v>80.6828</v>
      </c>
      <c r="Z126" s="13">
        <v>80</v>
      </c>
      <c r="AA126" s="13">
        <v>96.238900000000001</v>
      </c>
      <c r="AB126" s="13">
        <v>100</v>
      </c>
      <c r="AC126" s="13">
        <v>0</v>
      </c>
      <c r="AD126" s="13">
        <v>0</v>
      </c>
      <c r="AE126" s="13">
        <v>63.5747</v>
      </c>
      <c r="AF126" s="13">
        <v>63.5747</v>
      </c>
      <c r="AG126" s="13">
        <v>12.7149</v>
      </c>
      <c r="AH126" s="13">
        <v>49.151800000000001</v>
      </c>
      <c r="AI126" s="13">
        <v>49.151800000000001</v>
      </c>
      <c r="AJ126" t="s">
        <v>27</v>
      </c>
    </row>
    <row r="127" spans="2:36" x14ac:dyDescent="0.3">
      <c r="B127" t="s">
        <v>359</v>
      </c>
      <c r="C127" t="s">
        <v>360</v>
      </c>
      <c r="D127" t="s">
        <v>361</v>
      </c>
      <c r="E127" t="s">
        <v>8</v>
      </c>
      <c r="F127" t="s">
        <v>14</v>
      </c>
      <c r="G127" t="s">
        <v>23</v>
      </c>
      <c r="H127" t="s">
        <v>60</v>
      </c>
      <c r="I127" t="s">
        <v>37</v>
      </c>
      <c r="J127" t="s">
        <v>26</v>
      </c>
      <c r="K127" s="13">
        <v>63.2483</v>
      </c>
      <c r="L127" s="13">
        <v>36.7517</v>
      </c>
      <c r="M127" s="13">
        <v>4.2892999999999999</v>
      </c>
      <c r="N127" s="13">
        <v>6.2773000000000003</v>
      </c>
      <c r="O127" s="13">
        <v>25.6052</v>
      </c>
      <c r="P127" s="13">
        <v>74.394800000000004</v>
      </c>
      <c r="Q127" s="13">
        <v>29.398499999999999</v>
      </c>
      <c r="R127" s="13">
        <v>40</v>
      </c>
      <c r="S127" s="13">
        <v>15.807499999999999</v>
      </c>
      <c r="T127" s="13">
        <v>40</v>
      </c>
      <c r="U127" s="13">
        <v>39.4848</v>
      </c>
      <c r="V127" s="13">
        <v>31.587800000000001</v>
      </c>
      <c r="W127" s="13">
        <v>14.44</v>
      </c>
      <c r="X127" s="13">
        <v>51.276200000000003</v>
      </c>
      <c r="Y127" s="13">
        <v>140.97730000000001</v>
      </c>
      <c r="Z127" s="13">
        <v>60</v>
      </c>
      <c r="AA127" s="13">
        <v>95.903199999999998</v>
      </c>
      <c r="AB127" s="13">
        <v>100</v>
      </c>
      <c r="AC127" s="13">
        <v>0.31819999999999998</v>
      </c>
      <c r="AD127" s="13">
        <v>2</v>
      </c>
      <c r="AE127" s="13">
        <v>70.425399999999996</v>
      </c>
      <c r="AF127" s="13">
        <v>72.743600000000001</v>
      </c>
      <c r="AG127" s="13">
        <v>14.5487</v>
      </c>
      <c r="AH127" s="13">
        <v>45.672899999999998</v>
      </c>
      <c r="AI127" s="13">
        <v>46.136499999999998</v>
      </c>
      <c r="AJ127" t="s">
        <v>27</v>
      </c>
    </row>
    <row r="128" spans="2:36" x14ac:dyDescent="0.3">
      <c r="B128" t="s">
        <v>362</v>
      </c>
      <c r="C128" t="s">
        <v>363</v>
      </c>
      <c r="D128" t="s">
        <v>364</v>
      </c>
      <c r="E128" t="s">
        <v>8</v>
      </c>
      <c r="F128" t="s">
        <v>14</v>
      </c>
      <c r="G128" t="s">
        <v>23</v>
      </c>
      <c r="H128" t="s">
        <v>36</v>
      </c>
      <c r="I128" t="s">
        <v>41</v>
      </c>
      <c r="J128" t="s">
        <v>26</v>
      </c>
      <c r="K128" s="13">
        <v>61.286299999999997</v>
      </c>
      <c r="L128" s="13">
        <v>38.713700000000003</v>
      </c>
      <c r="M128" s="13">
        <v>8.8656000000000006</v>
      </c>
      <c r="N128" s="13">
        <v>13.017799999999999</v>
      </c>
      <c r="O128" s="13">
        <v>44.4133</v>
      </c>
      <c r="P128" s="13">
        <v>55.5867</v>
      </c>
      <c r="Q128" s="13">
        <v>25.6967</v>
      </c>
      <c r="R128" s="13">
        <v>40</v>
      </c>
      <c r="S128" s="13">
        <v>22.1325</v>
      </c>
      <c r="T128" s="13">
        <v>20</v>
      </c>
      <c r="U128" s="13">
        <v>33.4636</v>
      </c>
      <c r="V128" s="13">
        <v>26.770900000000001</v>
      </c>
      <c r="W128" s="13">
        <v>10.96</v>
      </c>
      <c r="X128" s="13">
        <v>38.918799999999997</v>
      </c>
      <c r="Y128" s="13">
        <v>130.08680000000001</v>
      </c>
      <c r="Z128" s="13">
        <v>70</v>
      </c>
      <c r="AA128" s="13">
        <v>94.977900000000005</v>
      </c>
      <c r="AB128" s="13">
        <v>100</v>
      </c>
      <c r="AC128" s="13">
        <v>0</v>
      </c>
      <c r="AD128" s="13">
        <v>0</v>
      </c>
      <c r="AE128" s="13">
        <v>69.639600000000002</v>
      </c>
      <c r="AF128" s="13">
        <v>69.639600000000002</v>
      </c>
      <c r="AG128" s="13">
        <v>13.927899999999999</v>
      </c>
      <c r="AH128" s="13">
        <v>40.698799999999999</v>
      </c>
      <c r="AI128" s="13">
        <v>40.698799999999999</v>
      </c>
      <c r="AJ128" t="s">
        <v>27</v>
      </c>
    </row>
    <row r="129" spans="2:36" x14ac:dyDescent="0.3">
      <c r="B129" t="s">
        <v>365</v>
      </c>
      <c r="C129" t="s">
        <v>366</v>
      </c>
      <c r="D129" t="s">
        <v>367</v>
      </c>
      <c r="E129" t="s">
        <v>8</v>
      </c>
      <c r="F129" t="s">
        <v>14</v>
      </c>
      <c r="G129" t="s">
        <v>23</v>
      </c>
      <c r="H129" t="s">
        <v>36</v>
      </c>
      <c r="I129" t="s">
        <v>25</v>
      </c>
      <c r="J129" t="s">
        <v>26</v>
      </c>
      <c r="K129" s="13">
        <v>62.414999999999999</v>
      </c>
      <c r="L129" s="13">
        <v>37.585000000000001</v>
      </c>
      <c r="M129" s="13">
        <v>13.910500000000001</v>
      </c>
      <c r="N129" s="13">
        <v>19.371099999999998</v>
      </c>
      <c r="O129" s="13">
        <v>34.110399999999998</v>
      </c>
      <c r="P129" s="13">
        <v>65.889600000000002</v>
      </c>
      <c r="Q129" s="13">
        <v>30.694299999999998</v>
      </c>
      <c r="R129" s="13">
        <v>40</v>
      </c>
      <c r="S129" s="13">
        <v>13.348800000000001</v>
      </c>
      <c r="T129" s="13">
        <v>60</v>
      </c>
      <c r="U129" s="13">
        <v>44.569099999999999</v>
      </c>
      <c r="V129" s="13">
        <v>35.655299999999997</v>
      </c>
      <c r="W129" s="13">
        <v>1.0900000000000001</v>
      </c>
      <c r="X129" s="13">
        <v>3.8706</v>
      </c>
      <c r="Y129" s="13">
        <v>88.671899999999994</v>
      </c>
      <c r="Z129" s="13">
        <v>80</v>
      </c>
      <c r="AA129" s="13">
        <v>90.314999999999998</v>
      </c>
      <c r="AB129" s="13">
        <v>100</v>
      </c>
      <c r="AC129" s="13">
        <v>0</v>
      </c>
      <c r="AD129" s="13">
        <v>0</v>
      </c>
      <c r="AE129" s="13">
        <v>61.290199999999999</v>
      </c>
      <c r="AF129" s="13">
        <v>61.290199999999999</v>
      </c>
      <c r="AG129" s="13">
        <v>12.257999999999999</v>
      </c>
      <c r="AH129" s="13">
        <v>47.9133</v>
      </c>
      <c r="AI129" s="13">
        <v>47.9133</v>
      </c>
      <c r="AJ129" t="s">
        <v>27</v>
      </c>
    </row>
    <row r="130" spans="2:36" x14ac:dyDescent="0.3">
      <c r="B130" t="s">
        <v>368</v>
      </c>
      <c r="C130" t="s">
        <v>369</v>
      </c>
      <c r="D130" t="s">
        <v>370</v>
      </c>
      <c r="E130" t="s">
        <v>8</v>
      </c>
      <c r="F130" t="s">
        <v>14</v>
      </c>
      <c r="G130" t="s">
        <v>32</v>
      </c>
      <c r="H130" t="s">
        <v>36</v>
      </c>
      <c r="I130" t="s">
        <v>37</v>
      </c>
      <c r="J130" t="s">
        <v>26</v>
      </c>
      <c r="K130" s="13">
        <v>84.140600000000006</v>
      </c>
      <c r="L130" s="13">
        <v>15.859400000000001</v>
      </c>
      <c r="M130" s="13">
        <v>3.0861999999999998</v>
      </c>
      <c r="N130" s="13">
        <v>4.5166000000000004</v>
      </c>
      <c r="O130" s="13">
        <v>44.917999999999999</v>
      </c>
      <c r="P130" s="13">
        <v>55.082000000000001</v>
      </c>
      <c r="Q130" s="13">
        <v>13.6244</v>
      </c>
      <c r="R130" s="13">
        <v>20</v>
      </c>
      <c r="S130" s="13">
        <v>0.56130000000000002</v>
      </c>
      <c r="T130" s="13">
        <v>100</v>
      </c>
      <c r="U130" s="13">
        <v>39.0916</v>
      </c>
      <c r="V130" s="13">
        <v>31.273299999999999</v>
      </c>
      <c r="W130" s="13">
        <v>0</v>
      </c>
      <c r="X130" s="13">
        <v>0</v>
      </c>
      <c r="Y130" s="13">
        <v>66.023799999999994</v>
      </c>
      <c r="Z130" s="13">
        <v>60</v>
      </c>
      <c r="AA130" s="13">
        <v>96.3934</v>
      </c>
      <c r="AB130" s="13">
        <v>100</v>
      </c>
      <c r="AC130" s="13">
        <v>0</v>
      </c>
      <c r="AD130" s="13">
        <v>0</v>
      </c>
      <c r="AE130" s="13">
        <v>53.333300000000001</v>
      </c>
      <c r="AF130" s="13">
        <v>53.333300000000001</v>
      </c>
      <c r="AG130" s="13">
        <v>10.666700000000001</v>
      </c>
      <c r="AH130" s="13">
        <v>41.94</v>
      </c>
      <c r="AI130" s="13">
        <v>41.94</v>
      </c>
      <c r="AJ130" t="s">
        <v>27</v>
      </c>
    </row>
    <row r="131" spans="2:36" x14ac:dyDescent="0.3">
      <c r="B131" t="s">
        <v>371</v>
      </c>
      <c r="C131" t="s">
        <v>372</v>
      </c>
      <c r="D131" t="s">
        <v>373</v>
      </c>
      <c r="E131" t="s">
        <v>8</v>
      </c>
      <c r="F131" t="s">
        <v>14</v>
      </c>
      <c r="G131" t="s">
        <v>23</v>
      </c>
      <c r="H131" t="s">
        <v>24</v>
      </c>
      <c r="I131" t="s">
        <v>37</v>
      </c>
      <c r="J131" t="s">
        <v>26</v>
      </c>
      <c r="K131" s="13">
        <v>78.606099999999998</v>
      </c>
      <c r="L131" s="13">
        <v>21.393899999999999</v>
      </c>
      <c r="M131" s="13">
        <v>27.0581</v>
      </c>
      <c r="N131" s="13">
        <v>39.5991</v>
      </c>
      <c r="O131" s="13">
        <v>88.9435</v>
      </c>
      <c r="P131" s="13">
        <v>11.0565</v>
      </c>
      <c r="Q131" s="13">
        <v>29.014099999999999</v>
      </c>
      <c r="R131" s="13">
        <v>40</v>
      </c>
      <c r="S131" s="13">
        <v>-9.6577999999999999</v>
      </c>
      <c r="T131" s="13">
        <v>80</v>
      </c>
      <c r="U131" s="13">
        <v>38.4099</v>
      </c>
      <c r="V131" s="13">
        <v>30.727900000000002</v>
      </c>
      <c r="W131" s="13">
        <v>15.67</v>
      </c>
      <c r="X131" s="13">
        <v>55.643900000000002</v>
      </c>
      <c r="Y131" s="13">
        <v>178.1617</v>
      </c>
      <c r="Z131" s="13">
        <v>0</v>
      </c>
      <c r="AA131" s="13">
        <v>90.028099999999995</v>
      </c>
      <c r="AB131" s="13">
        <v>100</v>
      </c>
      <c r="AC131" s="13">
        <v>0</v>
      </c>
      <c r="AD131" s="13">
        <v>0</v>
      </c>
      <c r="AE131" s="13">
        <v>51.881300000000003</v>
      </c>
      <c r="AF131" s="13">
        <v>51.881300000000003</v>
      </c>
      <c r="AG131" s="13">
        <v>10.376300000000001</v>
      </c>
      <c r="AH131" s="13">
        <v>41.104199999999999</v>
      </c>
      <c r="AI131" s="13">
        <v>41.104199999999999</v>
      </c>
      <c r="AJ131" t="s">
        <v>27</v>
      </c>
    </row>
    <row r="132" spans="2:36" x14ac:dyDescent="0.3">
      <c r="B132" t="s">
        <v>374</v>
      </c>
      <c r="C132" t="s">
        <v>375</v>
      </c>
      <c r="D132" t="s">
        <v>376</v>
      </c>
      <c r="E132" t="s">
        <v>8</v>
      </c>
      <c r="F132" t="s">
        <v>14</v>
      </c>
      <c r="G132" t="s">
        <v>23</v>
      </c>
      <c r="H132" t="s">
        <v>31</v>
      </c>
      <c r="I132" t="s">
        <v>37</v>
      </c>
      <c r="J132" t="s">
        <v>26</v>
      </c>
      <c r="K132" s="13">
        <v>74.034899999999993</v>
      </c>
      <c r="L132" s="13">
        <v>25.9651</v>
      </c>
      <c r="M132" s="13">
        <v>4.0777999999999999</v>
      </c>
      <c r="N132" s="13">
        <v>5.9678000000000004</v>
      </c>
      <c r="O132" s="13">
        <v>44.674500000000002</v>
      </c>
      <c r="P132" s="13">
        <v>55.325499999999998</v>
      </c>
      <c r="Q132" s="13">
        <v>36.201999999999998</v>
      </c>
      <c r="R132" s="13">
        <v>50</v>
      </c>
      <c r="S132" s="13">
        <v>14.680899999999999</v>
      </c>
      <c r="T132" s="13">
        <v>60</v>
      </c>
      <c r="U132" s="13">
        <v>39.451700000000002</v>
      </c>
      <c r="V132" s="13">
        <v>31.561399999999999</v>
      </c>
      <c r="W132" s="13">
        <v>15.05</v>
      </c>
      <c r="X132" s="13">
        <v>53.442300000000003</v>
      </c>
      <c r="Y132" s="13">
        <v>153.40049999999999</v>
      </c>
      <c r="Z132" s="13">
        <v>0</v>
      </c>
      <c r="AA132" s="13">
        <v>97.355599999999995</v>
      </c>
      <c r="AB132" s="13">
        <v>100</v>
      </c>
      <c r="AC132" s="13">
        <v>0</v>
      </c>
      <c r="AD132" s="13">
        <v>0</v>
      </c>
      <c r="AE132" s="13">
        <v>51.147399999999998</v>
      </c>
      <c r="AF132" s="13">
        <v>51.147399999999998</v>
      </c>
      <c r="AG132" s="13">
        <v>10.2295</v>
      </c>
      <c r="AH132" s="13">
        <v>41.790900000000001</v>
      </c>
      <c r="AI132" s="13">
        <v>41.790900000000001</v>
      </c>
      <c r="AJ132" t="s">
        <v>27</v>
      </c>
    </row>
    <row r="133" spans="2:36" x14ac:dyDescent="0.3">
      <c r="B133" t="s">
        <v>377</v>
      </c>
      <c r="C133" t="s">
        <v>378</v>
      </c>
      <c r="D133" t="s">
        <v>379</v>
      </c>
      <c r="E133" t="s">
        <v>8</v>
      </c>
      <c r="F133" t="s">
        <v>14</v>
      </c>
      <c r="G133" t="s">
        <v>23</v>
      </c>
      <c r="H133" t="s">
        <v>24</v>
      </c>
      <c r="I133" t="s">
        <v>25</v>
      </c>
      <c r="J133" t="s">
        <v>26</v>
      </c>
      <c r="K133" s="13">
        <v>81.189700000000002</v>
      </c>
      <c r="L133" s="13">
        <v>18.810300000000002</v>
      </c>
      <c r="M133" s="13">
        <v>7.4099000000000004</v>
      </c>
      <c r="N133" s="13">
        <v>10.3187</v>
      </c>
      <c r="O133" s="13">
        <v>39.5563</v>
      </c>
      <c r="P133" s="13">
        <v>60.4437</v>
      </c>
      <c r="Q133" s="13">
        <v>41.702199999999998</v>
      </c>
      <c r="R133" s="13">
        <v>50</v>
      </c>
      <c r="S133" s="13">
        <v>5.9122000000000003</v>
      </c>
      <c r="T133" s="13">
        <v>80</v>
      </c>
      <c r="U133" s="13">
        <v>43.914499999999997</v>
      </c>
      <c r="V133" s="13">
        <v>35.131599999999999</v>
      </c>
      <c r="W133" s="13">
        <v>23.61</v>
      </c>
      <c r="X133" s="13">
        <v>83.838800000000006</v>
      </c>
      <c r="Y133" s="13">
        <v>101.1421</v>
      </c>
      <c r="Z133" s="13">
        <v>100</v>
      </c>
      <c r="AA133" s="13">
        <v>95.116799999999998</v>
      </c>
      <c r="AB133" s="13">
        <v>100</v>
      </c>
      <c r="AC133" s="13">
        <v>0</v>
      </c>
      <c r="AD133" s="13">
        <v>0</v>
      </c>
      <c r="AE133" s="13">
        <v>94.612899999999996</v>
      </c>
      <c r="AF133" s="13">
        <v>94.612899999999996</v>
      </c>
      <c r="AG133" s="13">
        <v>18.922599999999999</v>
      </c>
      <c r="AH133" s="13">
        <v>54.054200000000002</v>
      </c>
      <c r="AI133" s="13">
        <v>54.054200000000002</v>
      </c>
      <c r="AJ133" t="s">
        <v>27</v>
      </c>
    </row>
    <row r="134" spans="2:36" x14ac:dyDescent="0.3">
      <c r="B134" t="s">
        <v>380</v>
      </c>
      <c r="C134" t="s">
        <v>381</v>
      </c>
      <c r="D134" t="s">
        <v>382</v>
      </c>
      <c r="E134" t="s">
        <v>8</v>
      </c>
      <c r="F134" t="s">
        <v>14</v>
      </c>
      <c r="G134" t="s">
        <v>23</v>
      </c>
      <c r="H134" t="s">
        <v>60</v>
      </c>
      <c r="I134" t="s">
        <v>37</v>
      </c>
      <c r="J134" t="s">
        <v>26</v>
      </c>
      <c r="K134" s="13">
        <v>68.420199999999994</v>
      </c>
      <c r="L134" s="13">
        <v>31.579799999999999</v>
      </c>
      <c r="M134" s="13">
        <v>16.4757</v>
      </c>
      <c r="N134" s="13">
        <v>24.111899999999999</v>
      </c>
      <c r="O134" s="13">
        <v>64.586299999999994</v>
      </c>
      <c r="P134" s="13">
        <v>35.413699999999999</v>
      </c>
      <c r="Q134" s="13">
        <v>23.347799999999999</v>
      </c>
      <c r="R134" s="13">
        <v>30</v>
      </c>
      <c r="S134" s="13">
        <v>-6.8654999999999999</v>
      </c>
      <c r="T134" s="13">
        <v>80</v>
      </c>
      <c r="U134" s="13">
        <v>40.2211</v>
      </c>
      <c r="V134" s="13">
        <v>32.176900000000003</v>
      </c>
      <c r="W134" s="13">
        <v>11.26</v>
      </c>
      <c r="X134" s="13">
        <v>39.984099999999998</v>
      </c>
      <c r="Y134" s="13">
        <v>128.41749999999999</v>
      </c>
      <c r="Z134" s="13">
        <v>80</v>
      </c>
      <c r="AA134" s="13">
        <v>94.807500000000005</v>
      </c>
      <c r="AB134" s="13">
        <v>100</v>
      </c>
      <c r="AC134" s="13">
        <v>0</v>
      </c>
      <c r="AD134" s="13">
        <v>2</v>
      </c>
      <c r="AE134" s="13">
        <v>73.328000000000003</v>
      </c>
      <c r="AF134" s="13">
        <v>75.328000000000003</v>
      </c>
      <c r="AG134" s="13">
        <v>15.0656</v>
      </c>
      <c r="AH134" s="13">
        <v>46.842500000000001</v>
      </c>
      <c r="AI134" s="13">
        <v>47.2425</v>
      </c>
      <c r="AJ134" t="s">
        <v>27</v>
      </c>
    </row>
    <row r="135" spans="2:36" x14ac:dyDescent="0.3">
      <c r="B135" t="s">
        <v>383</v>
      </c>
      <c r="C135" t="s">
        <v>384</v>
      </c>
      <c r="D135" t="s">
        <v>385</v>
      </c>
      <c r="E135" t="s">
        <v>8</v>
      </c>
      <c r="F135" t="s">
        <v>14</v>
      </c>
      <c r="G135" t="s">
        <v>23</v>
      </c>
      <c r="H135" t="s">
        <v>36</v>
      </c>
      <c r="I135" t="s">
        <v>37</v>
      </c>
      <c r="J135" t="s">
        <v>26</v>
      </c>
      <c r="K135" s="13">
        <v>64.270300000000006</v>
      </c>
      <c r="L135" s="13">
        <v>35.729700000000001</v>
      </c>
      <c r="M135" s="13">
        <v>12.295999999999999</v>
      </c>
      <c r="N135" s="13">
        <v>17.995000000000001</v>
      </c>
      <c r="O135" s="13">
        <v>13.6477</v>
      </c>
      <c r="P135" s="13">
        <v>86.3523</v>
      </c>
      <c r="Q135" s="13">
        <v>51.817100000000003</v>
      </c>
      <c r="R135" s="13">
        <v>70</v>
      </c>
      <c r="S135" s="13">
        <v>15.0358</v>
      </c>
      <c r="T135" s="13">
        <v>40</v>
      </c>
      <c r="U135" s="13">
        <v>50.0154</v>
      </c>
      <c r="V135" s="13">
        <v>40.012300000000003</v>
      </c>
      <c r="W135" s="13">
        <v>27.75</v>
      </c>
      <c r="X135" s="13">
        <v>98.5398</v>
      </c>
      <c r="Y135" s="13">
        <v>131.69749999999999</v>
      </c>
      <c r="Z135" s="13">
        <v>70</v>
      </c>
      <c r="AA135" s="13">
        <v>94.362200000000001</v>
      </c>
      <c r="AB135" s="13">
        <v>100</v>
      </c>
      <c r="AC135" s="13">
        <v>0.10879999999999999</v>
      </c>
      <c r="AD135" s="13">
        <v>0</v>
      </c>
      <c r="AE135" s="13">
        <v>89.513300000000001</v>
      </c>
      <c r="AF135" s="13">
        <v>89.622100000000003</v>
      </c>
      <c r="AG135" s="13">
        <v>17.924399999999999</v>
      </c>
      <c r="AH135" s="13">
        <v>57.914999999999999</v>
      </c>
      <c r="AI135" s="13">
        <v>57.936700000000002</v>
      </c>
      <c r="AJ135" t="s">
        <v>27</v>
      </c>
    </row>
    <row r="136" spans="2:36" x14ac:dyDescent="0.3">
      <c r="B136" t="s">
        <v>386</v>
      </c>
      <c r="C136" t="s">
        <v>387</v>
      </c>
      <c r="D136" t="s">
        <v>388</v>
      </c>
      <c r="E136" t="s">
        <v>8</v>
      </c>
      <c r="F136" t="s">
        <v>14</v>
      </c>
      <c r="G136" t="s">
        <v>23</v>
      </c>
      <c r="H136" t="s">
        <v>60</v>
      </c>
      <c r="I136" t="s">
        <v>41</v>
      </c>
      <c r="J136" t="s">
        <v>26</v>
      </c>
      <c r="K136" s="13">
        <v>56.582500000000003</v>
      </c>
      <c r="L136" s="13">
        <v>43.417499999999997</v>
      </c>
      <c r="M136" s="13">
        <v>9.7189999999999994</v>
      </c>
      <c r="N136" s="13">
        <v>14.270799999999999</v>
      </c>
      <c r="O136" s="13">
        <v>21.177</v>
      </c>
      <c r="P136" s="13">
        <v>78.822999999999993</v>
      </c>
      <c r="Q136" s="13">
        <v>35.0062</v>
      </c>
      <c r="R136" s="13">
        <v>50</v>
      </c>
      <c r="S136" s="13">
        <v>15.9072</v>
      </c>
      <c r="T136" s="13">
        <v>40</v>
      </c>
      <c r="U136" s="13">
        <v>45.302300000000002</v>
      </c>
      <c r="V136" s="13">
        <v>36.241799999999998</v>
      </c>
      <c r="W136" s="13">
        <v>11.29</v>
      </c>
      <c r="X136" s="13">
        <v>40.090600000000002</v>
      </c>
      <c r="Y136" s="13">
        <v>123.67189999999999</v>
      </c>
      <c r="Z136" s="13">
        <v>80</v>
      </c>
      <c r="AA136" s="13">
        <v>89.277699999999996</v>
      </c>
      <c r="AB136" s="13">
        <v>80</v>
      </c>
      <c r="AC136" s="13">
        <v>0</v>
      </c>
      <c r="AD136" s="13">
        <v>0</v>
      </c>
      <c r="AE136" s="13">
        <v>66.696899999999999</v>
      </c>
      <c r="AF136" s="13">
        <v>66.696899999999999</v>
      </c>
      <c r="AG136" s="13">
        <v>13.339399999999999</v>
      </c>
      <c r="AH136" s="13">
        <v>49.581200000000003</v>
      </c>
      <c r="AI136" s="13">
        <v>49.581200000000003</v>
      </c>
      <c r="AJ136" t="s">
        <v>27</v>
      </c>
    </row>
    <row r="137" spans="2:36" x14ac:dyDescent="0.3">
      <c r="B137" t="s">
        <v>389</v>
      </c>
      <c r="C137" t="s">
        <v>390</v>
      </c>
      <c r="D137" t="s">
        <v>391</v>
      </c>
      <c r="E137" t="s">
        <v>8</v>
      </c>
      <c r="F137" t="s">
        <v>14</v>
      </c>
      <c r="G137" t="s">
        <v>23</v>
      </c>
      <c r="H137" t="s">
        <v>24</v>
      </c>
      <c r="I137" t="s">
        <v>32</v>
      </c>
      <c r="J137" t="s">
        <v>26</v>
      </c>
      <c r="K137" s="13">
        <v>78.229699999999994</v>
      </c>
      <c r="L137" s="13">
        <v>21.770299999999999</v>
      </c>
      <c r="M137" s="13">
        <v>13.388</v>
      </c>
      <c r="N137" s="13">
        <v>16.123000000000001</v>
      </c>
      <c r="O137" s="13">
        <v>21.303000000000001</v>
      </c>
      <c r="P137" s="13">
        <v>78.697000000000003</v>
      </c>
      <c r="Q137" s="13">
        <v>36.858400000000003</v>
      </c>
      <c r="R137" s="13">
        <v>50</v>
      </c>
      <c r="S137" s="13">
        <v>12.3028</v>
      </c>
      <c r="T137" s="13">
        <v>60</v>
      </c>
      <c r="U137" s="13">
        <v>45.318100000000001</v>
      </c>
      <c r="V137" s="13">
        <v>36.2545</v>
      </c>
      <c r="W137" s="13">
        <v>15.33</v>
      </c>
      <c r="X137" s="13">
        <v>54.436599999999999</v>
      </c>
      <c r="Y137" s="13">
        <v>822.45889999999997</v>
      </c>
      <c r="Z137" s="13">
        <v>0</v>
      </c>
      <c r="AA137" s="13">
        <v>95.396900000000002</v>
      </c>
      <c r="AB137" s="13">
        <v>100</v>
      </c>
      <c r="AC137" s="13">
        <v>0</v>
      </c>
      <c r="AD137" s="13">
        <v>0</v>
      </c>
      <c r="AE137" s="13">
        <v>51.478900000000003</v>
      </c>
      <c r="AF137" s="13">
        <v>51.478900000000003</v>
      </c>
      <c r="AG137" s="13">
        <v>10.2958</v>
      </c>
      <c r="AH137" s="13">
        <v>46.5503</v>
      </c>
      <c r="AI137" s="13">
        <v>46.5503</v>
      </c>
      <c r="AJ137" t="s">
        <v>27</v>
      </c>
    </row>
    <row r="138" spans="2:36" x14ac:dyDescent="0.3">
      <c r="B138" t="s">
        <v>392</v>
      </c>
      <c r="C138" t="s">
        <v>393</v>
      </c>
      <c r="D138" t="s">
        <v>394</v>
      </c>
      <c r="E138" t="s">
        <v>8</v>
      </c>
      <c r="F138" t="s">
        <v>14</v>
      </c>
      <c r="G138" t="s">
        <v>23</v>
      </c>
      <c r="H138" t="s">
        <v>31</v>
      </c>
      <c r="I138" t="s">
        <v>37</v>
      </c>
      <c r="J138" t="s">
        <v>26</v>
      </c>
      <c r="K138" s="13">
        <v>72.854100000000003</v>
      </c>
      <c r="L138" s="13">
        <v>27.145900000000001</v>
      </c>
      <c r="M138" s="13">
        <v>9.5667000000000009</v>
      </c>
      <c r="N138" s="13">
        <v>14.0007</v>
      </c>
      <c r="O138" s="13">
        <v>51.252200000000002</v>
      </c>
      <c r="P138" s="13">
        <v>48.747799999999998</v>
      </c>
      <c r="Q138" s="13">
        <v>32.616500000000002</v>
      </c>
      <c r="R138" s="13">
        <v>40</v>
      </c>
      <c r="S138" s="13">
        <v>9.4221000000000004</v>
      </c>
      <c r="T138" s="13">
        <v>80</v>
      </c>
      <c r="U138" s="13">
        <v>41.978900000000003</v>
      </c>
      <c r="V138" s="13">
        <v>33.583100000000002</v>
      </c>
      <c r="W138" s="13">
        <v>19.149999999999999</v>
      </c>
      <c r="X138" s="13">
        <v>68.001400000000004</v>
      </c>
      <c r="Y138" s="13">
        <v>115.123</v>
      </c>
      <c r="Z138" s="13">
        <v>100</v>
      </c>
      <c r="AA138" s="13">
        <v>92.906400000000005</v>
      </c>
      <c r="AB138" s="13">
        <v>100</v>
      </c>
      <c r="AC138" s="13">
        <v>0</v>
      </c>
      <c r="AD138" s="13">
        <v>2</v>
      </c>
      <c r="AE138" s="13">
        <v>89.333799999999997</v>
      </c>
      <c r="AF138" s="13">
        <v>91.333799999999997</v>
      </c>
      <c r="AG138" s="13">
        <v>18.2668</v>
      </c>
      <c r="AH138" s="13">
        <v>51.4499</v>
      </c>
      <c r="AI138" s="13">
        <v>51.849899999999998</v>
      </c>
      <c r="AJ138" t="s">
        <v>27</v>
      </c>
    </row>
    <row r="139" spans="2:36" x14ac:dyDescent="0.3">
      <c r="B139" t="s">
        <v>395</v>
      </c>
      <c r="C139" t="s">
        <v>396</v>
      </c>
      <c r="D139" t="s">
        <v>397</v>
      </c>
      <c r="E139" t="s">
        <v>8</v>
      </c>
      <c r="F139" t="s">
        <v>14</v>
      </c>
      <c r="G139" t="s">
        <v>32</v>
      </c>
      <c r="H139" t="s">
        <v>36</v>
      </c>
      <c r="I139" t="s">
        <v>25</v>
      </c>
      <c r="J139" t="s">
        <v>26</v>
      </c>
      <c r="K139" s="13">
        <v>56.659399999999998</v>
      </c>
      <c r="L139" s="13">
        <v>43.340600000000002</v>
      </c>
      <c r="M139" s="13">
        <v>5.3205999999999998</v>
      </c>
      <c r="N139" s="13">
        <v>7.4092000000000002</v>
      </c>
      <c r="O139" s="13">
        <v>73.336399999999998</v>
      </c>
      <c r="P139" s="13">
        <v>26.663599999999999</v>
      </c>
      <c r="Q139" s="13">
        <v>59.820700000000002</v>
      </c>
      <c r="R139" s="13">
        <v>80</v>
      </c>
      <c r="S139" s="13">
        <v>23.1953</v>
      </c>
      <c r="T139" s="13">
        <v>20</v>
      </c>
      <c r="U139" s="13">
        <v>35.482700000000001</v>
      </c>
      <c r="V139" s="13">
        <v>28.386199999999999</v>
      </c>
      <c r="W139" s="13">
        <v>41.16</v>
      </c>
      <c r="X139" s="13">
        <v>100</v>
      </c>
      <c r="Y139" s="13">
        <v>150.1944</v>
      </c>
      <c r="Z139" s="13">
        <v>0</v>
      </c>
      <c r="AA139" s="13">
        <v>96.893000000000001</v>
      </c>
      <c r="AB139" s="13">
        <v>100</v>
      </c>
      <c r="AC139" s="13">
        <v>5.6099999999999997E-2</v>
      </c>
      <c r="AD139" s="13">
        <v>0</v>
      </c>
      <c r="AE139" s="13">
        <v>66.666700000000006</v>
      </c>
      <c r="AF139" s="13">
        <v>66.722800000000007</v>
      </c>
      <c r="AG139" s="13">
        <v>13.3446</v>
      </c>
      <c r="AH139" s="13">
        <v>41.719499999999996</v>
      </c>
      <c r="AI139" s="13">
        <v>41.730800000000002</v>
      </c>
      <c r="AJ139" t="s">
        <v>27</v>
      </c>
    </row>
    <row r="140" spans="2:36" x14ac:dyDescent="0.3">
      <c r="B140" t="s">
        <v>398</v>
      </c>
      <c r="C140" t="s">
        <v>399</v>
      </c>
      <c r="D140" t="s">
        <v>400</v>
      </c>
      <c r="E140" t="s">
        <v>8</v>
      </c>
      <c r="F140" t="s">
        <v>14</v>
      </c>
      <c r="G140" t="s">
        <v>23</v>
      </c>
      <c r="H140" t="s">
        <v>24</v>
      </c>
      <c r="I140" t="s">
        <v>25</v>
      </c>
      <c r="J140" t="s">
        <v>26</v>
      </c>
      <c r="K140" s="13">
        <v>68.650000000000006</v>
      </c>
      <c r="L140" s="13">
        <v>31.35</v>
      </c>
      <c r="M140" s="13">
        <v>8.1818000000000008</v>
      </c>
      <c r="N140" s="13">
        <v>11.393599999999999</v>
      </c>
      <c r="O140" s="13">
        <v>41.849899999999998</v>
      </c>
      <c r="P140" s="13">
        <v>58.150100000000002</v>
      </c>
      <c r="Q140" s="13">
        <v>62.024799999999999</v>
      </c>
      <c r="R140" s="13">
        <v>80</v>
      </c>
      <c r="S140" s="13">
        <v>16.910699999999999</v>
      </c>
      <c r="T140" s="13">
        <v>40</v>
      </c>
      <c r="U140" s="13">
        <v>44.178699999999999</v>
      </c>
      <c r="V140" s="13">
        <v>35.343000000000004</v>
      </c>
      <c r="W140" s="13">
        <v>36.29</v>
      </c>
      <c r="X140" s="13">
        <v>100</v>
      </c>
      <c r="Y140" s="13">
        <v>98.533799999999999</v>
      </c>
      <c r="Z140" s="13">
        <v>100</v>
      </c>
      <c r="AA140" s="13">
        <v>96.463800000000006</v>
      </c>
      <c r="AB140" s="13">
        <v>100</v>
      </c>
      <c r="AC140" s="13">
        <v>0.20250000000000001</v>
      </c>
      <c r="AD140" s="13">
        <v>0</v>
      </c>
      <c r="AE140" s="13">
        <v>100</v>
      </c>
      <c r="AF140" s="13">
        <v>100.2025</v>
      </c>
      <c r="AG140" s="13">
        <v>20.040500000000002</v>
      </c>
      <c r="AH140" s="13">
        <v>55.343000000000004</v>
      </c>
      <c r="AI140" s="13">
        <v>55.383499999999998</v>
      </c>
      <c r="AJ140" t="s">
        <v>27</v>
      </c>
    </row>
    <row r="141" spans="2:36" x14ac:dyDescent="0.3">
      <c r="B141" t="s">
        <v>401</v>
      </c>
      <c r="C141" t="s">
        <v>402</v>
      </c>
      <c r="D141" t="s">
        <v>403</v>
      </c>
      <c r="E141" t="s">
        <v>8</v>
      </c>
      <c r="F141" t="s">
        <v>14</v>
      </c>
      <c r="G141" t="s">
        <v>32</v>
      </c>
      <c r="H141" t="s">
        <v>60</v>
      </c>
      <c r="I141" t="s">
        <v>37</v>
      </c>
      <c r="J141" t="s">
        <v>26</v>
      </c>
      <c r="K141" s="13">
        <v>55.819200000000002</v>
      </c>
      <c r="L141" s="13">
        <v>44.180799999999998</v>
      </c>
      <c r="M141" s="13">
        <v>31.776700000000002</v>
      </c>
      <c r="N141" s="13">
        <v>46.5047</v>
      </c>
      <c r="O141" s="13">
        <v>16.005400000000002</v>
      </c>
      <c r="P141" s="13">
        <v>83.994600000000005</v>
      </c>
      <c r="Q141" s="13">
        <v>64.205200000000005</v>
      </c>
      <c r="R141" s="13">
        <v>80</v>
      </c>
      <c r="S141" s="13">
        <v>16.2454</v>
      </c>
      <c r="T141" s="13">
        <v>40</v>
      </c>
      <c r="U141" s="13">
        <v>58.936</v>
      </c>
      <c r="V141" s="13">
        <v>47.148800000000001</v>
      </c>
      <c r="W141" s="13">
        <v>30.08</v>
      </c>
      <c r="X141" s="13">
        <v>100</v>
      </c>
      <c r="Y141" s="13">
        <v>124.8788</v>
      </c>
      <c r="Z141" s="13">
        <v>80</v>
      </c>
      <c r="AA141" s="13">
        <v>87.302300000000002</v>
      </c>
      <c r="AB141" s="13">
        <v>80</v>
      </c>
      <c r="AC141" s="13">
        <v>0</v>
      </c>
      <c r="AD141" s="13">
        <v>0</v>
      </c>
      <c r="AE141" s="13">
        <v>86.666700000000006</v>
      </c>
      <c r="AF141" s="13">
        <v>86.666700000000006</v>
      </c>
      <c r="AG141" s="13">
        <v>17.333300000000001</v>
      </c>
      <c r="AH141" s="13">
        <v>64.482100000000003</v>
      </c>
      <c r="AI141" s="13">
        <v>64.482100000000003</v>
      </c>
      <c r="AJ141" t="s">
        <v>19</v>
      </c>
    </row>
    <row r="142" spans="2:36" x14ac:dyDescent="0.3">
      <c r="B142" t="s">
        <v>404</v>
      </c>
      <c r="C142" t="s">
        <v>405</v>
      </c>
      <c r="D142" t="s">
        <v>406</v>
      </c>
      <c r="E142" t="s">
        <v>8</v>
      </c>
      <c r="F142" t="s">
        <v>14</v>
      </c>
      <c r="G142" t="s">
        <v>23</v>
      </c>
      <c r="H142" t="s">
        <v>60</v>
      </c>
      <c r="I142" t="s">
        <v>37</v>
      </c>
      <c r="J142" t="s">
        <v>26</v>
      </c>
      <c r="K142" s="13">
        <v>58.801099999999998</v>
      </c>
      <c r="L142" s="13">
        <v>41.198900000000002</v>
      </c>
      <c r="M142" s="13">
        <v>15.787800000000001</v>
      </c>
      <c r="N142" s="13">
        <v>23.1052</v>
      </c>
      <c r="O142" s="13">
        <v>18.277000000000001</v>
      </c>
      <c r="P142" s="13">
        <v>81.722999999999999</v>
      </c>
      <c r="Q142" s="13">
        <v>53.497</v>
      </c>
      <c r="R142" s="13">
        <v>70</v>
      </c>
      <c r="S142" s="13">
        <v>16.7059</v>
      </c>
      <c r="T142" s="13">
        <v>40</v>
      </c>
      <c r="U142" s="13">
        <v>51.205399999999997</v>
      </c>
      <c r="V142" s="13">
        <v>40.964300000000001</v>
      </c>
      <c r="W142" s="13">
        <v>27.51</v>
      </c>
      <c r="X142" s="13">
        <v>97.687600000000003</v>
      </c>
      <c r="Y142" s="13">
        <v>140.64359999999999</v>
      </c>
      <c r="Z142" s="13">
        <v>60</v>
      </c>
      <c r="AA142" s="13">
        <v>98.146000000000001</v>
      </c>
      <c r="AB142" s="13">
        <v>100</v>
      </c>
      <c r="AC142" s="13">
        <v>0</v>
      </c>
      <c r="AD142" s="13">
        <v>0</v>
      </c>
      <c r="AE142" s="13">
        <v>85.895899999999997</v>
      </c>
      <c r="AF142" s="13">
        <v>85.895899999999997</v>
      </c>
      <c r="AG142" s="13">
        <v>17.179200000000002</v>
      </c>
      <c r="AH142" s="13">
        <v>58.143500000000003</v>
      </c>
      <c r="AI142" s="13">
        <v>58.143500000000003</v>
      </c>
      <c r="AJ142" t="s">
        <v>27</v>
      </c>
    </row>
  </sheetData>
  <mergeCells count="9">
    <mergeCell ref="C11:D11"/>
    <mergeCell ref="C12:D12"/>
    <mergeCell ref="C13:D13"/>
    <mergeCell ref="B14:D14"/>
    <mergeCell ref="B6:L6"/>
    <mergeCell ref="B7:L7"/>
    <mergeCell ref="B8:D8"/>
    <mergeCell ref="C9:D9"/>
    <mergeCell ref="C10:D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699C-FD7A-433B-A986-0D14D238FD38}">
  <dimension ref="A1:J126"/>
  <sheetViews>
    <sheetView tabSelected="1" topLeftCell="A100" workbookViewId="0">
      <selection activeCell="A2" sqref="A2:A126"/>
    </sheetView>
  </sheetViews>
  <sheetFormatPr baseColWidth="10" defaultRowHeight="14.4" x14ac:dyDescent="0.3"/>
  <sheetData>
    <row r="1" spans="1:10" x14ac:dyDescent="0.3">
      <c r="C1" t="s">
        <v>575</v>
      </c>
      <c r="J1" t="s">
        <v>440</v>
      </c>
    </row>
    <row r="2" spans="1:10" x14ac:dyDescent="0.3">
      <c r="A2" s="12" t="s">
        <v>11</v>
      </c>
      <c r="B2" s="12" t="s">
        <v>441</v>
      </c>
      <c r="C2" s="17">
        <v>69.728300000000004</v>
      </c>
      <c r="J2" t="str">
        <f>UPPER(SUBSTITUTE(SUBSTITUTE(SUBSTITUTE(SUBSTITUTE(SUBSTITUTE(SUBSTITUTE(SUBSTITUTE(SUBSTITUTE(SUBSTITUTE(SUBSTITUTE(B2,"á","a"),"é","e"),"í","i"),"ó","o"),"ú","u"),"Á","A"),"É","E"),"Í","I"),"Ó","O"),"Ú","U"))</f>
        <v>MEDELLIN</v>
      </c>
    </row>
    <row r="3" spans="1:10" x14ac:dyDescent="0.3">
      <c r="A3" t="s">
        <v>20</v>
      </c>
      <c r="B3" t="s">
        <v>442</v>
      </c>
      <c r="C3" s="13">
        <v>49.944899999999997</v>
      </c>
      <c r="J3" t="str">
        <f t="shared" ref="J3:J66" si="0">UPPER(SUBSTITUTE(SUBSTITUTE(SUBSTITUTE(SUBSTITUTE(SUBSTITUTE(SUBSTITUTE(SUBSTITUTE(SUBSTITUTE(SUBSTITUTE(SUBSTITUTE(B3,"á","a"),"é","e"),"í","i"),"ó","o"),"ú","u"),"Á","A"),"É","E"),"Í","I"),"Ó","O"),"Ú","U"))</f>
        <v>ABEJORRAL</v>
      </c>
    </row>
    <row r="4" spans="1:10" x14ac:dyDescent="0.3">
      <c r="A4" t="s">
        <v>28</v>
      </c>
      <c r="B4" t="s">
        <v>443</v>
      </c>
      <c r="C4" s="13">
        <v>55.817399999999999</v>
      </c>
      <c r="J4" t="str">
        <f t="shared" si="0"/>
        <v>ABRIAQUI</v>
      </c>
    </row>
    <row r="5" spans="1:10" x14ac:dyDescent="0.3">
      <c r="A5" t="s">
        <v>33</v>
      </c>
      <c r="B5" t="s">
        <v>444</v>
      </c>
      <c r="C5" s="13">
        <v>61.3506</v>
      </c>
      <c r="J5" t="str">
        <f t="shared" si="0"/>
        <v>ALEJANDRIA</v>
      </c>
    </row>
    <row r="6" spans="1:10" x14ac:dyDescent="0.3">
      <c r="A6" t="s">
        <v>38</v>
      </c>
      <c r="B6" t="s">
        <v>445</v>
      </c>
      <c r="C6" s="13">
        <v>65.251800000000003</v>
      </c>
      <c r="J6" t="str">
        <f t="shared" si="0"/>
        <v>AMAGA</v>
      </c>
    </row>
    <row r="7" spans="1:10" x14ac:dyDescent="0.3">
      <c r="A7" t="s">
        <v>42</v>
      </c>
      <c r="B7" t="s">
        <v>446</v>
      </c>
      <c r="C7" s="13">
        <v>47.802100000000003</v>
      </c>
      <c r="J7" t="str">
        <f t="shared" si="0"/>
        <v>AMALFI</v>
      </c>
    </row>
    <row r="8" spans="1:10" x14ac:dyDescent="0.3">
      <c r="A8" t="s">
        <v>45</v>
      </c>
      <c r="B8" t="s">
        <v>447</v>
      </c>
      <c r="C8" s="13">
        <v>63.1569</v>
      </c>
      <c r="J8" t="str">
        <f t="shared" si="0"/>
        <v>ANDES</v>
      </c>
    </row>
    <row r="9" spans="1:10" x14ac:dyDescent="0.3">
      <c r="A9" t="s">
        <v>48</v>
      </c>
      <c r="B9" t="s">
        <v>448</v>
      </c>
      <c r="C9" s="13">
        <v>42.923200000000001</v>
      </c>
      <c r="J9" t="str">
        <f t="shared" si="0"/>
        <v>ANGELOPOLIS</v>
      </c>
    </row>
    <row r="10" spans="1:10" x14ac:dyDescent="0.3">
      <c r="A10" t="s">
        <v>51</v>
      </c>
      <c r="B10" t="s">
        <v>449</v>
      </c>
      <c r="C10" s="13">
        <v>54.126399999999997</v>
      </c>
      <c r="J10" t="str">
        <f t="shared" si="0"/>
        <v>ANGOSTURA</v>
      </c>
    </row>
    <row r="11" spans="1:10" x14ac:dyDescent="0.3">
      <c r="A11" t="s">
        <v>54</v>
      </c>
      <c r="B11" t="s">
        <v>450</v>
      </c>
      <c r="C11" s="13">
        <v>49.569000000000003</v>
      </c>
      <c r="J11" t="str">
        <f t="shared" si="0"/>
        <v>ANORI</v>
      </c>
    </row>
    <row r="12" spans="1:10" x14ac:dyDescent="0.3">
      <c r="A12" t="s">
        <v>57</v>
      </c>
      <c r="B12" t="s">
        <v>451</v>
      </c>
      <c r="C12" s="13">
        <v>65.272400000000005</v>
      </c>
      <c r="J12" t="str">
        <f t="shared" si="0"/>
        <v>SANTA FE DE ANTIOQUIA</v>
      </c>
    </row>
    <row r="13" spans="1:10" x14ac:dyDescent="0.3">
      <c r="A13" t="s">
        <v>61</v>
      </c>
      <c r="B13" t="s">
        <v>452</v>
      </c>
      <c r="C13" s="13">
        <v>47.9407</v>
      </c>
      <c r="J13" t="str">
        <f t="shared" si="0"/>
        <v>ANZA</v>
      </c>
    </row>
    <row r="14" spans="1:10" x14ac:dyDescent="0.3">
      <c r="A14" t="s">
        <v>64</v>
      </c>
      <c r="B14" t="s">
        <v>453</v>
      </c>
      <c r="C14" s="13">
        <v>51.383699999999997</v>
      </c>
      <c r="J14" t="str">
        <f t="shared" si="0"/>
        <v>APARTADO</v>
      </c>
    </row>
    <row r="15" spans="1:10" x14ac:dyDescent="0.3">
      <c r="A15" t="s">
        <v>67</v>
      </c>
      <c r="B15" t="s">
        <v>454</v>
      </c>
      <c r="C15" s="13">
        <v>58.838500000000003</v>
      </c>
      <c r="J15" t="str">
        <f t="shared" si="0"/>
        <v>ARBOLETES</v>
      </c>
    </row>
    <row r="16" spans="1:10" x14ac:dyDescent="0.3">
      <c r="A16" t="s">
        <v>70</v>
      </c>
      <c r="B16" t="s">
        <v>455</v>
      </c>
      <c r="C16" s="13">
        <v>45.504100000000001</v>
      </c>
      <c r="J16" t="str">
        <f t="shared" si="0"/>
        <v>ARGELIA</v>
      </c>
    </row>
    <row r="17" spans="1:10" x14ac:dyDescent="0.3">
      <c r="A17" t="s">
        <v>73</v>
      </c>
      <c r="B17" t="s">
        <v>456</v>
      </c>
      <c r="C17" s="13">
        <v>40.610900000000001</v>
      </c>
      <c r="J17" t="str">
        <f t="shared" si="0"/>
        <v>ARMENIA</v>
      </c>
    </row>
    <row r="18" spans="1:10" x14ac:dyDescent="0.3">
      <c r="A18" t="s">
        <v>76</v>
      </c>
      <c r="B18" t="s">
        <v>457</v>
      </c>
      <c r="C18" s="13">
        <v>57.984499999999997</v>
      </c>
      <c r="J18" t="str">
        <f t="shared" si="0"/>
        <v>BARBOSA</v>
      </c>
    </row>
    <row r="19" spans="1:10" x14ac:dyDescent="0.3">
      <c r="A19" t="s">
        <v>79</v>
      </c>
      <c r="B19" t="s">
        <v>458</v>
      </c>
      <c r="C19" s="13">
        <v>47.954599999999999</v>
      </c>
      <c r="J19" t="str">
        <f t="shared" si="0"/>
        <v>BELMIRA</v>
      </c>
    </row>
    <row r="20" spans="1:10" x14ac:dyDescent="0.3">
      <c r="A20" t="s">
        <v>82</v>
      </c>
      <c r="B20" t="s">
        <v>459</v>
      </c>
      <c r="C20" s="13">
        <v>68.392499999999998</v>
      </c>
      <c r="J20" t="str">
        <f t="shared" si="0"/>
        <v>BELLO</v>
      </c>
    </row>
    <row r="21" spans="1:10" x14ac:dyDescent="0.3">
      <c r="A21" t="s">
        <v>86</v>
      </c>
      <c r="B21" t="s">
        <v>460</v>
      </c>
      <c r="C21" s="13">
        <v>58.441899999999997</v>
      </c>
      <c r="J21" t="str">
        <f t="shared" si="0"/>
        <v>BETANIA</v>
      </c>
    </row>
    <row r="22" spans="1:10" x14ac:dyDescent="0.3">
      <c r="A22" t="s">
        <v>89</v>
      </c>
      <c r="B22" t="s">
        <v>461</v>
      </c>
      <c r="C22" s="13">
        <v>51.490699999999997</v>
      </c>
      <c r="J22" t="str">
        <f t="shared" si="0"/>
        <v>BETULIA</v>
      </c>
    </row>
    <row r="23" spans="1:10" x14ac:dyDescent="0.3">
      <c r="A23" t="s">
        <v>92</v>
      </c>
      <c r="B23" t="s">
        <v>462</v>
      </c>
      <c r="C23" s="13">
        <v>53.351399999999998</v>
      </c>
      <c r="J23" t="str">
        <f t="shared" si="0"/>
        <v>CIUDAD BOLIVAR</v>
      </c>
    </row>
    <row r="24" spans="1:10" x14ac:dyDescent="0.3">
      <c r="A24" t="s">
        <v>95</v>
      </c>
      <c r="B24" t="s">
        <v>463</v>
      </c>
      <c r="C24" s="13">
        <v>55.4313</v>
      </c>
      <c r="J24" t="str">
        <f t="shared" si="0"/>
        <v>BRICEÑO</v>
      </c>
    </row>
    <row r="25" spans="1:10" x14ac:dyDescent="0.3">
      <c r="A25" t="s">
        <v>98</v>
      </c>
      <c r="B25" t="s">
        <v>464</v>
      </c>
      <c r="C25" s="13">
        <v>55.500500000000002</v>
      </c>
      <c r="J25" t="str">
        <f t="shared" si="0"/>
        <v>BURITICA</v>
      </c>
    </row>
    <row r="26" spans="1:10" x14ac:dyDescent="0.3">
      <c r="A26" t="s">
        <v>101</v>
      </c>
      <c r="B26" t="s">
        <v>465</v>
      </c>
      <c r="C26" s="13">
        <v>44.633400000000002</v>
      </c>
      <c r="J26" t="str">
        <f t="shared" si="0"/>
        <v>CACERES</v>
      </c>
    </row>
    <row r="27" spans="1:10" x14ac:dyDescent="0.3">
      <c r="A27" t="s">
        <v>104</v>
      </c>
      <c r="B27" t="s">
        <v>466</v>
      </c>
      <c r="C27" s="13">
        <v>46.898299999999999</v>
      </c>
      <c r="J27" t="str">
        <f t="shared" si="0"/>
        <v>CAICEDO</v>
      </c>
    </row>
    <row r="28" spans="1:10" x14ac:dyDescent="0.3">
      <c r="A28" t="s">
        <v>107</v>
      </c>
      <c r="B28" t="s">
        <v>467</v>
      </c>
      <c r="C28" s="13">
        <v>55.706899999999997</v>
      </c>
      <c r="J28" t="str">
        <f t="shared" si="0"/>
        <v>CALDAS</v>
      </c>
    </row>
    <row r="29" spans="1:10" x14ac:dyDescent="0.3">
      <c r="A29" t="s">
        <v>110</v>
      </c>
      <c r="B29" t="s">
        <v>468</v>
      </c>
      <c r="C29" s="13">
        <v>40.371000000000002</v>
      </c>
      <c r="J29" t="str">
        <f t="shared" si="0"/>
        <v>CAMPAMENTO</v>
      </c>
    </row>
    <row r="30" spans="1:10" x14ac:dyDescent="0.3">
      <c r="A30" t="s">
        <v>113</v>
      </c>
      <c r="B30" t="s">
        <v>469</v>
      </c>
      <c r="C30" s="13">
        <v>59.349400000000003</v>
      </c>
      <c r="J30" t="str">
        <f t="shared" si="0"/>
        <v>CAÑASGORDAS</v>
      </c>
    </row>
    <row r="31" spans="1:10" x14ac:dyDescent="0.3">
      <c r="A31" t="s">
        <v>116</v>
      </c>
      <c r="B31" t="s">
        <v>470</v>
      </c>
      <c r="C31" s="13">
        <v>36.501300000000001</v>
      </c>
      <c r="J31" t="str">
        <f t="shared" si="0"/>
        <v>CARACOLI</v>
      </c>
    </row>
    <row r="32" spans="1:10" x14ac:dyDescent="0.3">
      <c r="A32" t="s">
        <v>120</v>
      </c>
      <c r="B32" t="s">
        <v>471</v>
      </c>
      <c r="C32" s="13">
        <v>41.747999999999998</v>
      </c>
      <c r="J32" t="str">
        <f t="shared" si="0"/>
        <v>CARAMANTA</v>
      </c>
    </row>
    <row r="33" spans="1:10" x14ac:dyDescent="0.3">
      <c r="A33" t="s">
        <v>123</v>
      </c>
      <c r="B33" t="s">
        <v>472</v>
      </c>
      <c r="C33" s="13">
        <v>49.1813</v>
      </c>
      <c r="J33" t="str">
        <f t="shared" si="0"/>
        <v>CAREPA</v>
      </c>
    </row>
    <row r="34" spans="1:10" x14ac:dyDescent="0.3">
      <c r="A34" t="s">
        <v>126</v>
      </c>
      <c r="B34" t="s">
        <v>473</v>
      </c>
      <c r="C34" s="13">
        <v>54.5732</v>
      </c>
      <c r="J34" t="str">
        <f t="shared" si="0"/>
        <v>CARMEN DE VIBORAL</v>
      </c>
    </row>
    <row r="35" spans="1:10" x14ac:dyDescent="0.3">
      <c r="A35" t="s">
        <v>129</v>
      </c>
      <c r="B35" t="s">
        <v>569</v>
      </c>
      <c r="C35" s="13">
        <v>56.021099999999997</v>
      </c>
      <c r="J35" t="str">
        <f t="shared" si="0"/>
        <v>CAROLINA DEL PRINCIPE</v>
      </c>
    </row>
    <row r="36" spans="1:10" x14ac:dyDescent="0.3">
      <c r="A36" t="s">
        <v>132</v>
      </c>
      <c r="B36" t="s">
        <v>475</v>
      </c>
      <c r="C36" s="13">
        <v>57.938499999999998</v>
      </c>
      <c r="J36" t="str">
        <f t="shared" si="0"/>
        <v>CAUCASIA</v>
      </c>
    </row>
    <row r="37" spans="1:10" x14ac:dyDescent="0.3">
      <c r="A37" t="s">
        <v>135</v>
      </c>
      <c r="B37" t="s">
        <v>476</v>
      </c>
      <c r="C37" s="13">
        <v>62.004100000000001</v>
      </c>
      <c r="J37" t="str">
        <f t="shared" si="0"/>
        <v>CHIGORODO</v>
      </c>
    </row>
    <row r="38" spans="1:10" x14ac:dyDescent="0.3">
      <c r="A38" t="s">
        <v>138</v>
      </c>
      <c r="B38" t="s">
        <v>477</v>
      </c>
      <c r="C38" s="13">
        <v>54.011800000000001</v>
      </c>
      <c r="J38" t="str">
        <f t="shared" si="0"/>
        <v>CISNEROS</v>
      </c>
    </row>
    <row r="39" spans="1:10" x14ac:dyDescent="0.3">
      <c r="A39" t="s">
        <v>141</v>
      </c>
      <c r="B39" t="s">
        <v>478</v>
      </c>
      <c r="C39" s="13">
        <v>53.831899999999997</v>
      </c>
      <c r="J39" t="str">
        <f t="shared" si="0"/>
        <v>COCORNA</v>
      </c>
    </row>
    <row r="40" spans="1:10" x14ac:dyDescent="0.3">
      <c r="A40" t="s">
        <v>144</v>
      </c>
      <c r="B40" t="s">
        <v>479</v>
      </c>
      <c r="C40" s="13">
        <v>60.979199999999999</v>
      </c>
      <c r="J40" t="str">
        <f t="shared" si="0"/>
        <v>CONCEPCION</v>
      </c>
    </row>
    <row r="41" spans="1:10" x14ac:dyDescent="0.3">
      <c r="A41" t="s">
        <v>147</v>
      </c>
      <c r="B41" t="s">
        <v>480</v>
      </c>
      <c r="C41" s="13">
        <v>46.758200000000002</v>
      </c>
      <c r="J41" t="str">
        <f t="shared" si="0"/>
        <v>CONCORDIA</v>
      </c>
    </row>
    <row r="42" spans="1:10" x14ac:dyDescent="0.3">
      <c r="A42" t="s">
        <v>150</v>
      </c>
      <c r="B42" t="s">
        <v>481</v>
      </c>
      <c r="C42" s="13">
        <v>75.340800000000002</v>
      </c>
      <c r="J42" t="str">
        <f t="shared" si="0"/>
        <v>COPACABANA</v>
      </c>
    </row>
    <row r="43" spans="1:10" x14ac:dyDescent="0.3">
      <c r="A43" t="s">
        <v>154</v>
      </c>
      <c r="B43" t="s">
        <v>482</v>
      </c>
      <c r="C43" s="13">
        <v>48.346699999999998</v>
      </c>
      <c r="J43" t="str">
        <f t="shared" si="0"/>
        <v>DABEIBA</v>
      </c>
    </row>
    <row r="44" spans="1:10" x14ac:dyDescent="0.3">
      <c r="A44" t="s">
        <v>157</v>
      </c>
      <c r="B44" t="s">
        <v>483</v>
      </c>
      <c r="C44" s="13">
        <v>59.396599999999999</v>
      </c>
      <c r="J44" t="str">
        <f t="shared" si="0"/>
        <v>DONMATIAS</v>
      </c>
    </row>
    <row r="45" spans="1:10" x14ac:dyDescent="0.3">
      <c r="A45" t="s">
        <v>160</v>
      </c>
      <c r="B45" t="s">
        <v>484</v>
      </c>
      <c r="C45" s="13">
        <v>49.530799999999999</v>
      </c>
      <c r="J45" t="str">
        <f t="shared" si="0"/>
        <v>EBEJICO</v>
      </c>
    </row>
    <row r="46" spans="1:10" x14ac:dyDescent="0.3">
      <c r="A46" t="s">
        <v>163</v>
      </c>
      <c r="B46" t="s">
        <v>485</v>
      </c>
      <c r="C46" s="13">
        <v>62.408999999999999</v>
      </c>
      <c r="J46" t="str">
        <f t="shared" si="0"/>
        <v>EL BAGRE</v>
      </c>
    </row>
    <row r="47" spans="1:10" x14ac:dyDescent="0.3">
      <c r="A47" t="s">
        <v>166</v>
      </c>
      <c r="B47" t="s">
        <v>486</v>
      </c>
      <c r="C47" s="13">
        <v>71.005200000000002</v>
      </c>
      <c r="J47" t="str">
        <f t="shared" si="0"/>
        <v>ENTRERRIOS</v>
      </c>
    </row>
    <row r="48" spans="1:10" x14ac:dyDescent="0.3">
      <c r="A48" t="s">
        <v>169</v>
      </c>
      <c r="B48" t="s">
        <v>487</v>
      </c>
      <c r="C48" s="13">
        <v>70.456199999999995</v>
      </c>
      <c r="J48" t="str">
        <f t="shared" si="0"/>
        <v>ENVIGADO</v>
      </c>
    </row>
    <row r="49" spans="1:10" x14ac:dyDescent="0.3">
      <c r="A49" t="s">
        <v>172</v>
      </c>
      <c r="B49" t="s">
        <v>488</v>
      </c>
      <c r="C49" s="13">
        <v>51.252899999999997</v>
      </c>
      <c r="J49" t="str">
        <f t="shared" si="0"/>
        <v>FREDONIA</v>
      </c>
    </row>
    <row r="50" spans="1:10" x14ac:dyDescent="0.3">
      <c r="A50" t="s">
        <v>175</v>
      </c>
      <c r="B50" t="s">
        <v>489</v>
      </c>
      <c r="C50" s="13">
        <v>44.106099999999998</v>
      </c>
      <c r="J50" t="str">
        <f t="shared" si="0"/>
        <v>FRONTINO</v>
      </c>
    </row>
    <row r="51" spans="1:10" x14ac:dyDescent="0.3">
      <c r="A51" t="s">
        <v>178</v>
      </c>
      <c r="B51" t="s">
        <v>490</v>
      </c>
      <c r="C51" s="13">
        <v>52.511000000000003</v>
      </c>
      <c r="J51" t="str">
        <f t="shared" si="0"/>
        <v>GIRALDO</v>
      </c>
    </row>
    <row r="52" spans="1:10" x14ac:dyDescent="0.3">
      <c r="A52" t="s">
        <v>181</v>
      </c>
      <c r="B52" t="s">
        <v>491</v>
      </c>
      <c r="C52" s="13">
        <v>56.5914</v>
      </c>
      <c r="J52" t="str">
        <f t="shared" si="0"/>
        <v>GIRARDOTA</v>
      </c>
    </row>
    <row r="53" spans="1:10" x14ac:dyDescent="0.3">
      <c r="A53" t="s">
        <v>184</v>
      </c>
      <c r="B53" t="s">
        <v>492</v>
      </c>
      <c r="C53" s="13">
        <v>68.955799999999996</v>
      </c>
      <c r="J53" t="str">
        <f t="shared" si="0"/>
        <v>GOMEZ PLATA</v>
      </c>
    </row>
    <row r="54" spans="1:10" x14ac:dyDescent="0.3">
      <c r="A54" t="s">
        <v>187</v>
      </c>
      <c r="B54" t="s">
        <v>493</v>
      </c>
      <c r="C54" s="13">
        <v>56.067599999999999</v>
      </c>
      <c r="J54" t="str">
        <f t="shared" si="0"/>
        <v>GRANADA</v>
      </c>
    </row>
    <row r="55" spans="1:10" x14ac:dyDescent="0.3">
      <c r="A55" t="s">
        <v>190</v>
      </c>
      <c r="B55" t="s">
        <v>494</v>
      </c>
      <c r="C55" s="13">
        <v>55.415900000000001</v>
      </c>
      <c r="J55" t="str">
        <f t="shared" si="0"/>
        <v>GUADALUPE</v>
      </c>
    </row>
    <row r="56" spans="1:10" x14ac:dyDescent="0.3">
      <c r="A56" t="s">
        <v>193</v>
      </c>
      <c r="B56" t="s">
        <v>495</v>
      </c>
      <c r="C56" s="13">
        <v>64.413799999999995</v>
      </c>
      <c r="J56" t="str">
        <f t="shared" si="0"/>
        <v>GUARNE</v>
      </c>
    </row>
    <row r="57" spans="1:10" x14ac:dyDescent="0.3">
      <c r="A57" t="s">
        <v>196</v>
      </c>
      <c r="B57" t="s">
        <v>496</v>
      </c>
      <c r="C57" s="13">
        <v>67.808300000000003</v>
      </c>
      <c r="J57" t="str">
        <f t="shared" si="0"/>
        <v>GUATAPE</v>
      </c>
    </row>
    <row r="58" spans="1:10" x14ac:dyDescent="0.3">
      <c r="A58" t="s">
        <v>199</v>
      </c>
      <c r="B58" t="s">
        <v>497</v>
      </c>
      <c r="C58" s="13">
        <v>48.925600000000003</v>
      </c>
      <c r="J58" t="str">
        <f t="shared" si="0"/>
        <v>HELICONIA</v>
      </c>
    </row>
    <row r="59" spans="1:10" x14ac:dyDescent="0.3">
      <c r="A59" t="s">
        <v>202</v>
      </c>
      <c r="B59" t="s">
        <v>498</v>
      </c>
      <c r="C59" s="13">
        <v>43.874699999999997</v>
      </c>
      <c r="J59" t="str">
        <f t="shared" si="0"/>
        <v>HISPANIA</v>
      </c>
    </row>
    <row r="60" spans="1:10" x14ac:dyDescent="0.3">
      <c r="A60" t="s">
        <v>205</v>
      </c>
      <c r="B60" t="s">
        <v>499</v>
      </c>
      <c r="C60" s="13">
        <v>75.050200000000004</v>
      </c>
      <c r="J60" t="str">
        <f t="shared" si="0"/>
        <v>ITAGÜI</v>
      </c>
    </row>
    <row r="61" spans="1:10" x14ac:dyDescent="0.3">
      <c r="A61" t="s">
        <v>208</v>
      </c>
      <c r="B61" t="s">
        <v>500</v>
      </c>
      <c r="C61" s="13">
        <v>57.116700000000002</v>
      </c>
      <c r="J61" t="str">
        <f t="shared" si="0"/>
        <v>ITUANGO</v>
      </c>
    </row>
    <row r="62" spans="1:10" x14ac:dyDescent="0.3">
      <c r="A62" t="s">
        <v>211</v>
      </c>
      <c r="B62" t="s">
        <v>501</v>
      </c>
      <c r="C62" s="13">
        <v>47.043500000000002</v>
      </c>
      <c r="J62" t="str">
        <f t="shared" si="0"/>
        <v>JARDIN</v>
      </c>
    </row>
    <row r="63" spans="1:10" x14ac:dyDescent="0.3">
      <c r="A63" t="s">
        <v>214</v>
      </c>
      <c r="B63" t="s">
        <v>502</v>
      </c>
      <c r="C63" s="13">
        <v>50.335599999999999</v>
      </c>
      <c r="J63" t="str">
        <f t="shared" si="0"/>
        <v>JERICO</v>
      </c>
    </row>
    <row r="64" spans="1:10" x14ac:dyDescent="0.3">
      <c r="A64" t="s">
        <v>217</v>
      </c>
      <c r="B64" t="s">
        <v>565</v>
      </c>
      <c r="C64" s="13">
        <v>68.240899999999996</v>
      </c>
      <c r="J64" t="str">
        <f t="shared" si="0"/>
        <v>LA CEJA DEL TAMBO</v>
      </c>
    </row>
    <row r="65" spans="1:10" x14ac:dyDescent="0.3">
      <c r="A65" t="s">
        <v>220</v>
      </c>
      <c r="B65" t="s">
        <v>503</v>
      </c>
      <c r="C65" s="13">
        <v>64.322000000000003</v>
      </c>
      <c r="J65" t="str">
        <f t="shared" si="0"/>
        <v>LA ESTRELLA</v>
      </c>
    </row>
    <row r="66" spans="1:10" x14ac:dyDescent="0.3">
      <c r="A66" t="s">
        <v>223</v>
      </c>
      <c r="B66" t="s">
        <v>504</v>
      </c>
      <c r="C66" s="13">
        <v>60.665300000000002</v>
      </c>
      <c r="J66" t="str">
        <f t="shared" si="0"/>
        <v>LA PINTADA</v>
      </c>
    </row>
    <row r="67" spans="1:10" x14ac:dyDescent="0.3">
      <c r="A67" t="s">
        <v>226</v>
      </c>
      <c r="B67" t="s">
        <v>505</v>
      </c>
      <c r="C67" s="13">
        <v>65.911100000000005</v>
      </c>
      <c r="J67" t="str">
        <f t="shared" ref="J67:J126" si="1">UPPER(SUBSTITUTE(SUBSTITUTE(SUBSTITUTE(SUBSTITUTE(SUBSTITUTE(SUBSTITUTE(SUBSTITUTE(SUBSTITUTE(SUBSTITUTE(SUBSTITUTE(B67,"á","a"),"é","e"),"í","i"),"ó","o"),"ú","u"),"Á","A"),"É","E"),"Í","I"),"Ó","O"),"Ú","U"))</f>
        <v>LA UNION</v>
      </c>
    </row>
    <row r="68" spans="1:10" x14ac:dyDescent="0.3">
      <c r="A68" t="s">
        <v>229</v>
      </c>
      <c r="B68" t="s">
        <v>506</v>
      </c>
      <c r="C68" s="13">
        <v>38.544899999999998</v>
      </c>
      <c r="J68" t="str">
        <f t="shared" si="1"/>
        <v>LIBORINA</v>
      </c>
    </row>
    <row r="69" spans="1:10" x14ac:dyDescent="0.3">
      <c r="A69" t="s">
        <v>232</v>
      </c>
      <c r="B69" t="s">
        <v>507</v>
      </c>
      <c r="C69" s="13">
        <v>53.869700000000002</v>
      </c>
      <c r="J69" t="str">
        <f t="shared" si="1"/>
        <v>MACEO</v>
      </c>
    </row>
    <row r="70" spans="1:10" x14ac:dyDescent="0.3">
      <c r="A70" t="s">
        <v>235</v>
      </c>
      <c r="B70" t="s">
        <v>508</v>
      </c>
      <c r="C70" s="13">
        <v>63.630899999999997</v>
      </c>
      <c r="J70" t="str">
        <f t="shared" si="1"/>
        <v>MARINILLA</v>
      </c>
    </row>
    <row r="71" spans="1:10" x14ac:dyDescent="0.3">
      <c r="A71" t="s">
        <v>238</v>
      </c>
      <c r="B71" t="s">
        <v>509</v>
      </c>
      <c r="C71" s="13">
        <v>47.3279</v>
      </c>
      <c r="J71" t="str">
        <f t="shared" si="1"/>
        <v>MONTEBELLO</v>
      </c>
    </row>
    <row r="72" spans="1:10" x14ac:dyDescent="0.3">
      <c r="A72" t="s">
        <v>241</v>
      </c>
      <c r="B72" t="s">
        <v>510</v>
      </c>
      <c r="C72" s="13">
        <v>44.273299999999999</v>
      </c>
      <c r="J72" t="str">
        <f t="shared" si="1"/>
        <v>MURINDO</v>
      </c>
    </row>
    <row r="73" spans="1:10" x14ac:dyDescent="0.3">
      <c r="A73" t="s">
        <v>244</v>
      </c>
      <c r="B73" t="s">
        <v>511</v>
      </c>
      <c r="C73" s="13">
        <v>57.946199999999997</v>
      </c>
      <c r="J73" t="str">
        <f t="shared" si="1"/>
        <v>MUTATA</v>
      </c>
    </row>
    <row r="74" spans="1:10" x14ac:dyDescent="0.3">
      <c r="A74" t="s">
        <v>247</v>
      </c>
      <c r="B74" t="s">
        <v>512</v>
      </c>
      <c r="C74" s="13">
        <v>49.754800000000003</v>
      </c>
      <c r="J74" t="str">
        <f t="shared" si="1"/>
        <v>NARIÑO</v>
      </c>
    </row>
    <row r="75" spans="1:10" x14ac:dyDescent="0.3">
      <c r="A75" t="s">
        <v>250</v>
      </c>
      <c r="B75" t="s">
        <v>513</v>
      </c>
      <c r="C75" s="13">
        <v>51.299100000000003</v>
      </c>
      <c r="J75" t="str">
        <f t="shared" si="1"/>
        <v>NECOCLI</v>
      </c>
    </row>
    <row r="76" spans="1:10" x14ac:dyDescent="0.3">
      <c r="A76" t="s">
        <v>253</v>
      </c>
      <c r="B76" t="s">
        <v>514</v>
      </c>
      <c r="C76" s="13">
        <v>55.835799999999999</v>
      </c>
      <c r="J76" t="str">
        <f t="shared" si="1"/>
        <v>NECHI</v>
      </c>
    </row>
    <row r="77" spans="1:10" x14ac:dyDescent="0.3">
      <c r="A77" t="s">
        <v>256</v>
      </c>
      <c r="B77" t="s">
        <v>515</v>
      </c>
      <c r="C77" s="13">
        <v>46.8474</v>
      </c>
      <c r="J77" t="str">
        <f t="shared" si="1"/>
        <v>OLAYA</v>
      </c>
    </row>
    <row r="78" spans="1:10" x14ac:dyDescent="0.3">
      <c r="A78" t="s">
        <v>259</v>
      </c>
      <c r="B78" t="s">
        <v>564</v>
      </c>
      <c r="C78" s="13">
        <v>62.461100000000002</v>
      </c>
      <c r="J78" t="str">
        <f t="shared" si="1"/>
        <v>EL PEÑOL</v>
      </c>
    </row>
    <row r="79" spans="1:10" x14ac:dyDescent="0.3">
      <c r="A79" t="s">
        <v>262</v>
      </c>
      <c r="B79" t="s">
        <v>516</v>
      </c>
      <c r="C79" s="13">
        <v>60.629899999999999</v>
      </c>
      <c r="J79" t="str">
        <f t="shared" si="1"/>
        <v>PEQUE</v>
      </c>
    </row>
    <row r="80" spans="1:10" x14ac:dyDescent="0.3">
      <c r="A80" t="s">
        <v>265</v>
      </c>
      <c r="B80" t="s">
        <v>517</v>
      </c>
      <c r="C80" s="13">
        <v>50.971499999999999</v>
      </c>
      <c r="J80" t="str">
        <f t="shared" si="1"/>
        <v>PUEBLORRICO</v>
      </c>
    </row>
    <row r="81" spans="1:10" x14ac:dyDescent="0.3">
      <c r="A81" t="s">
        <v>268</v>
      </c>
      <c r="B81" t="s">
        <v>518</v>
      </c>
      <c r="C81" s="13">
        <v>54.532600000000002</v>
      </c>
      <c r="J81" t="str">
        <f t="shared" si="1"/>
        <v>PUERTO BERRIO</v>
      </c>
    </row>
    <row r="82" spans="1:10" x14ac:dyDescent="0.3">
      <c r="A82" t="s">
        <v>271</v>
      </c>
      <c r="B82" t="s">
        <v>519</v>
      </c>
      <c r="C82" s="13">
        <v>54.0642</v>
      </c>
      <c r="J82" t="str">
        <f t="shared" si="1"/>
        <v>PUERTO NARE</v>
      </c>
    </row>
    <row r="83" spans="1:10" x14ac:dyDescent="0.3">
      <c r="A83" t="s">
        <v>274</v>
      </c>
      <c r="B83" t="s">
        <v>520</v>
      </c>
      <c r="C83" s="13">
        <v>62.200499999999998</v>
      </c>
      <c r="J83" t="str">
        <f t="shared" si="1"/>
        <v>PUERTO TRIUNFO</v>
      </c>
    </row>
    <row r="84" spans="1:10" x14ac:dyDescent="0.3">
      <c r="A84" t="s">
        <v>277</v>
      </c>
      <c r="B84" t="s">
        <v>521</v>
      </c>
      <c r="C84" s="13">
        <v>68.103099999999998</v>
      </c>
      <c r="J84" t="str">
        <f t="shared" si="1"/>
        <v>REMEDIOS</v>
      </c>
    </row>
    <row r="85" spans="1:10" x14ac:dyDescent="0.3">
      <c r="A85" t="s">
        <v>280</v>
      </c>
      <c r="B85" t="s">
        <v>522</v>
      </c>
      <c r="C85" s="13">
        <v>72.348299999999995</v>
      </c>
      <c r="J85" t="str">
        <f t="shared" si="1"/>
        <v>EL RETIRO</v>
      </c>
    </row>
    <row r="86" spans="1:10" x14ac:dyDescent="0.3">
      <c r="A86" t="s">
        <v>283</v>
      </c>
      <c r="B86" t="s">
        <v>523</v>
      </c>
      <c r="C86" s="13">
        <v>74.479699999999994</v>
      </c>
      <c r="J86" t="str">
        <f t="shared" si="1"/>
        <v>RIONEGRO</v>
      </c>
    </row>
    <row r="87" spans="1:10" x14ac:dyDescent="0.3">
      <c r="A87" t="s">
        <v>287</v>
      </c>
      <c r="B87" t="s">
        <v>524</v>
      </c>
      <c r="C87" s="13">
        <v>40.014200000000002</v>
      </c>
      <c r="J87" t="str">
        <f t="shared" si="1"/>
        <v>SABANALARGA</v>
      </c>
    </row>
    <row r="88" spans="1:10" x14ac:dyDescent="0.3">
      <c r="A88" t="s">
        <v>290</v>
      </c>
      <c r="B88" t="s">
        <v>525</v>
      </c>
      <c r="C88" s="13">
        <v>73.076400000000007</v>
      </c>
      <c r="J88" t="str">
        <f t="shared" si="1"/>
        <v>SABANETA</v>
      </c>
    </row>
    <row r="89" spans="1:10" x14ac:dyDescent="0.3">
      <c r="A89" t="s">
        <v>293</v>
      </c>
      <c r="B89" t="s">
        <v>526</v>
      </c>
      <c r="C89" s="13">
        <v>51.029200000000003</v>
      </c>
      <c r="J89" t="str">
        <f t="shared" si="1"/>
        <v>SALGAR</v>
      </c>
    </row>
    <row r="90" spans="1:10" x14ac:dyDescent="0.3">
      <c r="A90" t="s">
        <v>296</v>
      </c>
      <c r="B90" t="s">
        <v>527</v>
      </c>
      <c r="C90" s="13">
        <v>34.331000000000003</v>
      </c>
      <c r="J90" t="str">
        <f t="shared" si="1"/>
        <v>SAN ANDRES DE CUERQUIA</v>
      </c>
    </row>
    <row r="91" spans="1:10" x14ac:dyDescent="0.3">
      <c r="A91" t="s">
        <v>299</v>
      </c>
      <c r="B91" t="s">
        <v>528</v>
      </c>
      <c r="C91" s="13">
        <v>64.9328</v>
      </c>
      <c r="J91" t="str">
        <f t="shared" si="1"/>
        <v>SAN CARLOS</v>
      </c>
    </row>
    <row r="92" spans="1:10" x14ac:dyDescent="0.3">
      <c r="A92" t="s">
        <v>302</v>
      </c>
      <c r="B92" t="s">
        <v>529</v>
      </c>
      <c r="C92" s="13">
        <v>52.051000000000002</v>
      </c>
      <c r="J92" t="str">
        <f t="shared" si="1"/>
        <v>SAN FRANCISCO</v>
      </c>
    </row>
    <row r="93" spans="1:10" x14ac:dyDescent="0.3">
      <c r="A93" t="s">
        <v>305</v>
      </c>
      <c r="B93" t="s">
        <v>530</v>
      </c>
      <c r="C93" s="13">
        <v>76.715999999999994</v>
      </c>
      <c r="J93" t="str">
        <f t="shared" si="1"/>
        <v>SAN JERONIMO</v>
      </c>
    </row>
    <row r="94" spans="1:10" x14ac:dyDescent="0.3">
      <c r="A94" t="s">
        <v>308</v>
      </c>
      <c r="B94" t="s">
        <v>531</v>
      </c>
      <c r="C94" s="13">
        <v>40.618400000000001</v>
      </c>
      <c r="J94" t="str">
        <f t="shared" si="1"/>
        <v>SAN JOSE DE LA MONTAÑA</v>
      </c>
    </row>
    <row r="95" spans="1:10" x14ac:dyDescent="0.3">
      <c r="A95" t="s">
        <v>311</v>
      </c>
      <c r="B95" t="s">
        <v>532</v>
      </c>
      <c r="C95" s="13">
        <v>60.6907</v>
      </c>
      <c r="J95" t="str">
        <f t="shared" si="1"/>
        <v>SAN JUAN DE URABA</v>
      </c>
    </row>
    <row r="96" spans="1:10" x14ac:dyDescent="0.3">
      <c r="A96" t="s">
        <v>314</v>
      </c>
      <c r="B96" t="s">
        <v>533</v>
      </c>
      <c r="C96" s="13">
        <v>61.2149</v>
      </c>
      <c r="J96" t="str">
        <f t="shared" si="1"/>
        <v>SAN LUIS</v>
      </c>
    </row>
    <row r="97" spans="1:10" x14ac:dyDescent="0.3">
      <c r="A97" t="s">
        <v>317</v>
      </c>
      <c r="B97" t="s">
        <v>534</v>
      </c>
      <c r="C97" s="13">
        <v>56.901400000000002</v>
      </c>
      <c r="J97" t="str">
        <f t="shared" si="1"/>
        <v>SAN PEDRO DE LOS MILAGROS</v>
      </c>
    </row>
    <row r="98" spans="1:10" x14ac:dyDescent="0.3">
      <c r="A98" t="s">
        <v>320</v>
      </c>
      <c r="B98" t="s">
        <v>535</v>
      </c>
      <c r="C98" s="13">
        <v>54.6526</v>
      </c>
      <c r="J98" t="str">
        <f t="shared" si="1"/>
        <v>SAN PEDRO DE URABA</v>
      </c>
    </row>
    <row r="99" spans="1:10" x14ac:dyDescent="0.3">
      <c r="A99" t="s">
        <v>323</v>
      </c>
      <c r="B99" t="s">
        <v>536</v>
      </c>
      <c r="C99" s="13">
        <v>42.163200000000003</v>
      </c>
      <c r="J99" t="str">
        <f t="shared" si="1"/>
        <v>SAN RAFAEL</v>
      </c>
    </row>
    <row r="100" spans="1:10" x14ac:dyDescent="0.3">
      <c r="A100" t="s">
        <v>326</v>
      </c>
      <c r="B100" t="s">
        <v>537</v>
      </c>
      <c r="C100" s="13">
        <v>53.983499999999999</v>
      </c>
      <c r="J100" t="str">
        <f t="shared" si="1"/>
        <v>SAN ROQUE</v>
      </c>
    </row>
    <row r="101" spans="1:10" x14ac:dyDescent="0.3">
      <c r="A101" t="s">
        <v>329</v>
      </c>
      <c r="B101" t="s">
        <v>563</v>
      </c>
      <c r="C101" s="13">
        <v>60.322099999999999</v>
      </c>
      <c r="J101" t="str">
        <f t="shared" si="1"/>
        <v>SAN VICENTE FERRER</v>
      </c>
    </row>
    <row r="102" spans="1:10" x14ac:dyDescent="0.3">
      <c r="A102" t="s">
        <v>332</v>
      </c>
      <c r="B102" t="s">
        <v>538</v>
      </c>
      <c r="C102" s="13">
        <v>49.307899999999997</v>
      </c>
      <c r="J102" t="str">
        <f t="shared" si="1"/>
        <v>SANTA BARBARA</v>
      </c>
    </row>
    <row r="103" spans="1:10" x14ac:dyDescent="0.3">
      <c r="A103" t="s">
        <v>335</v>
      </c>
      <c r="B103" t="s">
        <v>539</v>
      </c>
      <c r="C103" s="13">
        <v>62.994599999999998</v>
      </c>
      <c r="J103" t="str">
        <f t="shared" si="1"/>
        <v>SANTA ROSA DE OSOS</v>
      </c>
    </row>
    <row r="104" spans="1:10" x14ac:dyDescent="0.3">
      <c r="A104" t="s">
        <v>338</v>
      </c>
      <c r="B104" t="s">
        <v>540</v>
      </c>
      <c r="C104" s="13">
        <v>60.094499999999996</v>
      </c>
      <c r="J104" t="str">
        <f t="shared" si="1"/>
        <v>SANTO DOMINGO</v>
      </c>
    </row>
    <row r="105" spans="1:10" x14ac:dyDescent="0.3">
      <c r="A105" t="s">
        <v>341</v>
      </c>
      <c r="B105" t="s">
        <v>541</v>
      </c>
      <c r="C105" s="13">
        <v>61.523000000000003</v>
      </c>
      <c r="J105" t="str">
        <f t="shared" si="1"/>
        <v>SANTUARIO</v>
      </c>
    </row>
    <row r="106" spans="1:10" x14ac:dyDescent="0.3">
      <c r="A106" t="s">
        <v>344</v>
      </c>
      <c r="B106" t="s">
        <v>542</v>
      </c>
      <c r="C106" s="13">
        <v>46.804600000000001</v>
      </c>
      <c r="J106" t="str">
        <f t="shared" si="1"/>
        <v>SEGOVIA</v>
      </c>
    </row>
    <row r="107" spans="1:10" x14ac:dyDescent="0.3">
      <c r="A107" t="s">
        <v>347</v>
      </c>
      <c r="B107" t="s">
        <v>543</v>
      </c>
      <c r="C107" s="13">
        <v>65.2637</v>
      </c>
      <c r="J107" t="str">
        <f t="shared" si="1"/>
        <v>SONSON</v>
      </c>
    </row>
    <row r="108" spans="1:10" x14ac:dyDescent="0.3">
      <c r="A108" t="s">
        <v>350</v>
      </c>
      <c r="B108" t="s">
        <v>544</v>
      </c>
      <c r="C108" s="13">
        <v>55.972799999999999</v>
      </c>
      <c r="J108" t="str">
        <f t="shared" si="1"/>
        <v>SOPETRAN</v>
      </c>
    </row>
    <row r="109" spans="1:10" x14ac:dyDescent="0.3">
      <c r="A109" t="s">
        <v>353</v>
      </c>
      <c r="B109" t="s">
        <v>545</v>
      </c>
      <c r="C109" s="13">
        <v>48.251600000000003</v>
      </c>
      <c r="J109" t="str">
        <f t="shared" si="1"/>
        <v>TAMESIS</v>
      </c>
    </row>
    <row r="110" spans="1:10" x14ac:dyDescent="0.3">
      <c r="A110" t="s">
        <v>356</v>
      </c>
      <c r="B110" t="s">
        <v>546</v>
      </c>
      <c r="C110" s="13">
        <v>49.151800000000001</v>
      </c>
      <c r="J110" t="str">
        <f t="shared" si="1"/>
        <v>TARAZA</v>
      </c>
    </row>
    <row r="111" spans="1:10" x14ac:dyDescent="0.3">
      <c r="A111" t="s">
        <v>359</v>
      </c>
      <c r="B111" t="s">
        <v>547</v>
      </c>
      <c r="C111" s="13">
        <v>46.136499999999998</v>
      </c>
      <c r="J111" t="str">
        <f t="shared" si="1"/>
        <v>TARSO</v>
      </c>
    </row>
    <row r="112" spans="1:10" x14ac:dyDescent="0.3">
      <c r="A112" t="s">
        <v>362</v>
      </c>
      <c r="B112" t="s">
        <v>548</v>
      </c>
      <c r="C112" s="13">
        <v>40.698799999999999</v>
      </c>
      <c r="J112" t="str">
        <f t="shared" si="1"/>
        <v>TITIRIBI</v>
      </c>
    </row>
    <row r="113" spans="1:10" x14ac:dyDescent="0.3">
      <c r="A113" t="s">
        <v>365</v>
      </c>
      <c r="B113" t="s">
        <v>549</v>
      </c>
      <c r="C113" s="13">
        <v>47.9133</v>
      </c>
      <c r="J113" t="str">
        <f t="shared" si="1"/>
        <v>TOLEDO</v>
      </c>
    </row>
    <row r="114" spans="1:10" x14ac:dyDescent="0.3">
      <c r="A114" t="s">
        <v>368</v>
      </c>
      <c r="B114" t="s">
        <v>550</v>
      </c>
      <c r="C114" s="13">
        <v>41.94</v>
      </c>
      <c r="J114" t="str">
        <f t="shared" si="1"/>
        <v>TURBO</v>
      </c>
    </row>
    <row r="115" spans="1:10" x14ac:dyDescent="0.3">
      <c r="A115" t="s">
        <v>371</v>
      </c>
      <c r="B115" t="s">
        <v>551</v>
      </c>
      <c r="C115" s="13">
        <v>41.104199999999999</v>
      </c>
      <c r="J115" t="str">
        <f t="shared" si="1"/>
        <v>URAMITA</v>
      </c>
    </row>
    <row r="116" spans="1:10" x14ac:dyDescent="0.3">
      <c r="A116" t="s">
        <v>374</v>
      </c>
      <c r="B116" t="s">
        <v>552</v>
      </c>
      <c r="C116" s="13">
        <v>41.790900000000001</v>
      </c>
      <c r="J116" t="str">
        <f t="shared" si="1"/>
        <v>URRAO</v>
      </c>
    </row>
    <row r="117" spans="1:10" x14ac:dyDescent="0.3">
      <c r="A117" t="s">
        <v>377</v>
      </c>
      <c r="B117" t="s">
        <v>553</v>
      </c>
      <c r="C117" s="13">
        <v>54.054200000000002</v>
      </c>
      <c r="J117" t="str">
        <f t="shared" si="1"/>
        <v>VALDIVIA</v>
      </c>
    </row>
    <row r="118" spans="1:10" x14ac:dyDescent="0.3">
      <c r="A118" t="s">
        <v>380</v>
      </c>
      <c r="B118" t="s">
        <v>554</v>
      </c>
      <c r="C118" s="13">
        <v>47.2425</v>
      </c>
      <c r="J118" t="str">
        <f t="shared" si="1"/>
        <v>VALPARAISO</v>
      </c>
    </row>
    <row r="119" spans="1:10" x14ac:dyDescent="0.3">
      <c r="A119" t="s">
        <v>383</v>
      </c>
      <c r="B119" t="s">
        <v>555</v>
      </c>
      <c r="C119" s="13">
        <v>57.936700000000002</v>
      </c>
      <c r="J119" t="str">
        <f t="shared" si="1"/>
        <v>VEGACHI</v>
      </c>
    </row>
    <row r="120" spans="1:10" x14ac:dyDescent="0.3">
      <c r="A120" t="s">
        <v>386</v>
      </c>
      <c r="B120" t="s">
        <v>556</v>
      </c>
      <c r="C120" s="13">
        <v>49.581200000000003</v>
      </c>
      <c r="J120" t="str">
        <f t="shared" si="1"/>
        <v>VENECIA</v>
      </c>
    </row>
    <row r="121" spans="1:10" x14ac:dyDescent="0.3">
      <c r="A121" t="s">
        <v>389</v>
      </c>
      <c r="B121" t="s">
        <v>557</v>
      </c>
      <c r="C121" s="13">
        <v>46.5503</v>
      </c>
      <c r="J121" t="str">
        <f t="shared" si="1"/>
        <v>VIGIA DEL FUERTE</v>
      </c>
    </row>
    <row r="122" spans="1:10" x14ac:dyDescent="0.3">
      <c r="A122" t="s">
        <v>392</v>
      </c>
      <c r="B122" t="s">
        <v>558</v>
      </c>
      <c r="C122" s="13">
        <v>51.849899999999998</v>
      </c>
      <c r="J122" t="str">
        <f t="shared" si="1"/>
        <v>YALI</v>
      </c>
    </row>
    <row r="123" spans="1:10" x14ac:dyDescent="0.3">
      <c r="A123" t="s">
        <v>395</v>
      </c>
      <c r="B123" t="s">
        <v>559</v>
      </c>
      <c r="C123" s="13">
        <v>41.730800000000002</v>
      </c>
      <c r="J123" t="str">
        <f t="shared" si="1"/>
        <v>YARUMAL</v>
      </c>
    </row>
    <row r="124" spans="1:10" x14ac:dyDescent="0.3">
      <c r="A124" t="s">
        <v>398</v>
      </c>
      <c r="B124" t="s">
        <v>560</v>
      </c>
      <c r="C124" s="13">
        <v>55.383499999999998</v>
      </c>
      <c r="J124" t="str">
        <f t="shared" si="1"/>
        <v>YOLOMBO</v>
      </c>
    </row>
    <row r="125" spans="1:10" x14ac:dyDescent="0.3">
      <c r="A125" t="s">
        <v>401</v>
      </c>
      <c r="B125" t="s">
        <v>561</v>
      </c>
      <c r="C125" s="13">
        <v>64.482100000000003</v>
      </c>
      <c r="J125" t="str">
        <f t="shared" si="1"/>
        <v>YONDO</v>
      </c>
    </row>
    <row r="126" spans="1:10" x14ac:dyDescent="0.3">
      <c r="A126" t="s">
        <v>404</v>
      </c>
      <c r="B126" t="s">
        <v>562</v>
      </c>
      <c r="C126" s="13">
        <v>58.143500000000003</v>
      </c>
      <c r="J126" t="str">
        <f t="shared" si="1"/>
        <v>ZARAGOZA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0CBC-3F1D-42C6-8CD5-4282B2221FB0}">
  <dimension ref="A1:D126"/>
  <sheetViews>
    <sheetView topLeftCell="A103" workbookViewId="0">
      <selection activeCell="A35" sqref="A35"/>
    </sheetView>
  </sheetViews>
  <sheetFormatPr baseColWidth="10" defaultRowHeight="14.4" x14ac:dyDescent="0.3"/>
  <sheetData>
    <row r="1" spans="1:4" x14ac:dyDescent="0.3">
      <c r="A1" t="s">
        <v>575</v>
      </c>
      <c r="B1" t="s">
        <v>576</v>
      </c>
      <c r="C1" s="18" t="s">
        <v>577</v>
      </c>
      <c r="D1" s="18"/>
    </row>
    <row r="2" spans="1:4" x14ac:dyDescent="0.3">
      <c r="A2" s="12" t="s">
        <v>441</v>
      </c>
      <c r="B2" t="s">
        <v>441</v>
      </c>
      <c r="C2" t="str">
        <f>IF(COUNTIF(B:B,A1)&gt;0,"AMBOS","SOLO A")</f>
        <v>SOLO A</v>
      </c>
      <c r="D2" t="str">
        <f>IF(COUNTIF(A:A,B1)&gt;0,"AMBOS","SOLO B")</f>
        <v>SOLO B</v>
      </c>
    </row>
    <row r="3" spans="1:4" x14ac:dyDescent="0.3">
      <c r="A3" t="s">
        <v>442</v>
      </c>
      <c r="B3" t="s">
        <v>442</v>
      </c>
      <c r="C3" t="str">
        <f t="shared" ref="C3:C66" si="0">IF(COUNTIF(B:B,A2)&gt;0,"AMBOS","SOLO A")</f>
        <v>AMBOS</v>
      </c>
      <c r="D3" t="str">
        <f t="shared" ref="D3:D66" si="1">IF(COUNTIF(A:A,B2)&gt;0,"AMBOS","SOLO B")</f>
        <v>AMBOS</v>
      </c>
    </row>
    <row r="4" spans="1:4" x14ac:dyDescent="0.3">
      <c r="A4" t="s">
        <v>443</v>
      </c>
      <c r="B4" t="s">
        <v>443</v>
      </c>
      <c r="C4" t="str">
        <f t="shared" si="0"/>
        <v>AMBOS</v>
      </c>
      <c r="D4" t="str">
        <f t="shared" si="1"/>
        <v>AMBOS</v>
      </c>
    </row>
    <row r="5" spans="1:4" x14ac:dyDescent="0.3">
      <c r="A5" t="s">
        <v>444</v>
      </c>
      <c r="B5" t="s">
        <v>444</v>
      </c>
      <c r="C5" t="str">
        <f t="shared" si="0"/>
        <v>AMBOS</v>
      </c>
      <c r="D5" t="str">
        <f t="shared" si="1"/>
        <v>AMBOS</v>
      </c>
    </row>
    <row r="6" spans="1:4" x14ac:dyDescent="0.3">
      <c r="A6" t="s">
        <v>445</v>
      </c>
      <c r="B6" t="s">
        <v>445</v>
      </c>
      <c r="C6" t="str">
        <f t="shared" si="0"/>
        <v>AMBOS</v>
      </c>
      <c r="D6" t="str">
        <f t="shared" si="1"/>
        <v>AMBOS</v>
      </c>
    </row>
    <row r="7" spans="1:4" x14ac:dyDescent="0.3">
      <c r="A7" t="s">
        <v>446</v>
      </c>
      <c r="B7" t="s">
        <v>446</v>
      </c>
      <c r="C7" t="str">
        <f t="shared" si="0"/>
        <v>AMBOS</v>
      </c>
      <c r="D7" t="str">
        <f t="shared" si="1"/>
        <v>AMBOS</v>
      </c>
    </row>
    <row r="8" spans="1:4" x14ac:dyDescent="0.3">
      <c r="A8" t="s">
        <v>447</v>
      </c>
      <c r="B8" t="s">
        <v>447</v>
      </c>
      <c r="C8" t="str">
        <f t="shared" si="0"/>
        <v>AMBOS</v>
      </c>
      <c r="D8" t="str">
        <f t="shared" si="1"/>
        <v>AMBOS</v>
      </c>
    </row>
    <row r="9" spans="1:4" x14ac:dyDescent="0.3">
      <c r="A9" t="s">
        <v>448</v>
      </c>
      <c r="B9" t="s">
        <v>448</v>
      </c>
      <c r="C9" t="str">
        <f t="shared" si="0"/>
        <v>AMBOS</v>
      </c>
      <c r="D9" t="str">
        <f t="shared" si="1"/>
        <v>AMBOS</v>
      </c>
    </row>
    <row r="10" spans="1:4" x14ac:dyDescent="0.3">
      <c r="A10" t="s">
        <v>449</v>
      </c>
      <c r="B10" t="s">
        <v>449</v>
      </c>
      <c r="C10" t="str">
        <f t="shared" si="0"/>
        <v>AMBOS</v>
      </c>
      <c r="D10" t="str">
        <f t="shared" si="1"/>
        <v>AMBOS</v>
      </c>
    </row>
    <row r="11" spans="1:4" x14ac:dyDescent="0.3">
      <c r="A11" t="s">
        <v>450</v>
      </c>
      <c r="B11" t="s">
        <v>450</v>
      </c>
      <c r="C11" t="str">
        <f t="shared" si="0"/>
        <v>AMBOS</v>
      </c>
      <c r="D11" t="str">
        <f t="shared" si="1"/>
        <v>AMBOS</v>
      </c>
    </row>
    <row r="12" spans="1:4" x14ac:dyDescent="0.3">
      <c r="A12" t="s">
        <v>451</v>
      </c>
      <c r="B12" t="s">
        <v>451</v>
      </c>
      <c r="C12" t="str">
        <f t="shared" si="0"/>
        <v>AMBOS</v>
      </c>
      <c r="D12" t="str">
        <f t="shared" si="1"/>
        <v>AMBOS</v>
      </c>
    </row>
    <row r="13" spans="1:4" x14ac:dyDescent="0.3">
      <c r="A13" t="s">
        <v>452</v>
      </c>
      <c r="B13" t="s">
        <v>452</v>
      </c>
      <c r="C13" t="str">
        <f t="shared" si="0"/>
        <v>AMBOS</v>
      </c>
      <c r="D13" t="str">
        <f t="shared" si="1"/>
        <v>AMBOS</v>
      </c>
    </row>
    <row r="14" spans="1:4" x14ac:dyDescent="0.3">
      <c r="A14" t="s">
        <v>453</v>
      </c>
      <c r="B14" t="s">
        <v>453</v>
      </c>
      <c r="C14" t="str">
        <f t="shared" si="0"/>
        <v>AMBOS</v>
      </c>
      <c r="D14" t="str">
        <f t="shared" si="1"/>
        <v>AMBOS</v>
      </c>
    </row>
    <row r="15" spans="1:4" x14ac:dyDescent="0.3">
      <c r="A15" t="s">
        <v>454</v>
      </c>
      <c r="B15" t="s">
        <v>454</v>
      </c>
      <c r="C15" t="str">
        <f t="shared" si="0"/>
        <v>AMBOS</v>
      </c>
      <c r="D15" t="str">
        <f t="shared" si="1"/>
        <v>AMBOS</v>
      </c>
    </row>
    <row r="16" spans="1:4" x14ac:dyDescent="0.3">
      <c r="A16" t="s">
        <v>455</v>
      </c>
      <c r="B16" t="s">
        <v>455</v>
      </c>
      <c r="C16" t="str">
        <f t="shared" si="0"/>
        <v>AMBOS</v>
      </c>
      <c r="D16" t="str">
        <f t="shared" si="1"/>
        <v>AMBOS</v>
      </c>
    </row>
    <row r="17" spans="1:4" x14ac:dyDescent="0.3">
      <c r="A17" t="s">
        <v>456</v>
      </c>
      <c r="B17" t="s">
        <v>456</v>
      </c>
      <c r="C17" t="str">
        <f t="shared" si="0"/>
        <v>AMBOS</v>
      </c>
      <c r="D17" t="str">
        <f t="shared" si="1"/>
        <v>AMBOS</v>
      </c>
    </row>
    <row r="18" spans="1:4" x14ac:dyDescent="0.3">
      <c r="A18" t="s">
        <v>457</v>
      </c>
      <c r="B18" t="s">
        <v>457</v>
      </c>
      <c r="C18" t="str">
        <f t="shared" si="0"/>
        <v>AMBOS</v>
      </c>
      <c r="D18" t="str">
        <f t="shared" si="1"/>
        <v>AMBOS</v>
      </c>
    </row>
    <row r="19" spans="1:4" x14ac:dyDescent="0.3">
      <c r="A19" t="s">
        <v>458</v>
      </c>
      <c r="B19" t="s">
        <v>458</v>
      </c>
      <c r="C19" t="str">
        <f t="shared" si="0"/>
        <v>AMBOS</v>
      </c>
      <c r="D19" t="str">
        <f t="shared" si="1"/>
        <v>AMBOS</v>
      </c>
    </row>
    <row r="20" spans="1:4" x14ac:dyDescent="0.3">
      <c r="A20" t="s">
        <v>459</v>
      </c>
      <c r="B20" t="s">
        <v>459</v>
      </c>
      <c r="C20" t="str">
        <f t="shared" si="0"/>
        <v>AMBOS</v>
      </c>
      <c r="D20" t="str">
        <f t="shared" si="1"/>
        <v>AMBOS</v>
      </c>
    </row>
    <row r="21" spans="1:4" x14ac:dyDescent="0.3">
      <c r="A21" t="s">
        <v>460</v>
      </c>
      <c r="B21" t="s">
        <v>460</v>
      </c>
      <c r="C21" t="str">
        <f t="shared" si="0"/>
        <v>AMBOS</v>
      </c>
      <c r="D21" t="str">
        <f t="shared" si="1"/>
        <v>AMBOS</v>
      </c>
    </row>
    <row r="22" spans="1:4" x14ac:dyDescent="0.3">
      <c r="A22" t="s">
        <v>461</v>
      </c>
      <c r="B22" t="s">
        <v>461</v>
      </c>
      <c r="C22" t="str">
        <f t="shared" si="0"/>
        <v>AMBOS</v>
      </c>
      <c r="D22" t="str">
        <f t="shared" si="1"/>
        <v>AMBOS</v>
      </c>
    </row>
    <row r="23" spans="1:4" x14ac:dyDescent="0.3">
      <c r="A23" t="s">
        <v>462</v>
      </c>
      <c r="B23" t="s">
        <v>462</v>
      </c>
      <c r="C23" t="str">
        <f t="shared" si="0"/>
        <v>AMBOS</v>
      </c>
      <c r="D23" t="str">
        <f t="shared" si="1"/>
        <v>AMBOS</v>
      </c>
    </row>
    <row r="24" spans="1:4" x14ac:dyDescent="0.3">
      <c r="A24" t="s">
        <v>463</v>
      </c>
      <c r="B24" t="s">
        <v>566</v>
      </c>
      <c r="C24" t="str">
        <f t="shared" si="0"/>
        <v>AMBOS</v>
      </c>
      <c r="D24" t="str">
        <f t="shared" si="1"/>
        <v>AMBOS</v>
      </c>
    </row>
    <row r="25" spans="1:4" x14ac:dyDescent="0.3">
      <c r="A25" t="s">
        <v>464</v>
      </c>
      <c r="B25" t="s">
        <v>464</v>
      </c>
      <c r="C25" t="str">
        <f t="shared" si="0"/>
        <v>AMBOS</v>
      </c>
      <c r="D25" t="str">
        <f t="shared" si="1"/>
        <v>AMBOS</v>
      </c>
    </row>
    <row r="26" spans="1:4" x14ac:dyDescent="0.3">
      <c r="A26" t="s">
        <v>465</v>
      </c>
      <c r="B26" t="s">
        <v>465</v>
      </c>
      <c r="C26" t="str">
        <f t="shared" si="0"/>
        <v>AMBOS</v>
      </c>
      <c r="D26" t="str">
        <f t="shared" si="1"/>
        <v>AMBOS</v>
      </c>
    </row>
    <row r="27" spans="1:4" x14ac:dyDescent="0.3">
      <c r="A27" t="s">
        <v>466</v>
      </c>
      <c r="B27" t="s">
        <v>466</v>
      </c>
      <c r="C27" t="str">
        <f t="shared" si="0"/>
        <v>AMBOS</v>
      </c>
      <c r="D27" t="str">
        <f t="shared" si="1"/>
        <v>AMBOS</v>
      </c>
    </row>
    <row r="28" spans="1:4" x14ac:dyDescent="0.3">
      <c r="A28" t="s">
        <v>467</v>
      </c>
      <c r="B28" t="s">
        <v>467</v>
      </c>
      <c r="C28" t="str">
        <f t="shared" si="0"/>
        <v>AMBOS</v>
      </c>
      <c r="D28" t="str">
        <f t="shared" si="1"/>
        <v>AMBOS</v>
      </c>
    </row>
    <row r="29" spans="1:4" x14ac:dyDescent="0.3">
      <c r="A29" t="s">
        <v>468</v>
      </c>
      <c r="B29" t="s">
        <v>468</v>
      </c>
      <c r="C29" t="str">
        <f t="shared" si="0"/>
        <v>AMBOS</v>
      </c>
      <c r="D29" t="str">
        <f t="shared" si="1"/>
        <v>AMBOS</v>
      </c>
    </row>
    <row r="30" spans="1:4" x14ac:dyDescent="0.3">
      <c r="A30" t="s">
        <v>469</v>
      </c>
      <c r="B30" t="s">
        <v>567</v>
      </c>
      <c r="C30" t="str">
        <f t="shared" si="0"/>
        <v>AMBOS</v>
      </c>
      <c r="D30" t="str">
        <f t="shared" si="1"/>
        <v>AMBOS</v>
      </c>
    </row>
    <row r="31" spans="1:4" x14ac:dyDescent="0.3">
      <c r="A31" t="s">
        <v>470</v>
      </c>
      <c r="B31" t="s">
        <v>470</v>
      </c>
      <c r="C31" t="str">
        <f t="shared" si="0"/>
        <v>AMBOS</v>
      </c>
      <c r="D31" t="str">
        <f t="shared" si="1"/>
        <v>AMBOS</v>
      </c>
    </row>
    <row r="32" spans="1:4" x14ac:dyDescent="0.3">
      <c r="A32" t="s">
        <v>471</v>
      </c>
      <c r="B32" t="s">
        <v>471</v>
      </c>
      <c r="C32" t="str">
        <f t="shared" si="0"/>
        <v>AMBOS</v>
      </c>
      <c r="D32" t="str">
        <f t="shared" si="1"/>
        <v>AMBOS</v>
      </c>
    </row>
    <row r="33" spans="1:4" x14ac:dyDescent="0.3">
      <c r="A33" t="s">
        <v>472</v>
      </c>
      <c r="B33" t="s">
        <v>472</v>
      </c>
      <c r="C33" t="str">
        <f t="shared" si="0"/>
        <v>AMBOS</v>
      </c>
      <c r="D33" t="str">
        <f t="shared" si="1"/>
        <v>AMBOS</v>
      </c>
    </row>
    <row r="34" spans="1:4" x14ac:dyDescent="0.3">
      <c r="A34" t="s">
        <v>473</v>
      </c>
      <c r="B34" t="s">
        <v>568</v>
      </c>
      <c r="C34" t="str">
        <f t="shared" si="0"/>
        <v>AMBOS</v>
      </c>
      <c r="D34" t="str">
        <f t="shared" si="1"/>
        <v>AMBOS</v>
      </c>
    </row>
    <row r="35" spans="1:4" x14ac:dyDescent="0.3">
      <c r="A35" t="s">
        <v>474</v>
      </c>
      <c r="B35" t="s">
        <v>569</v>
      </c>
      <c r="C35" t="str">
        <f t="shared" si="0"/>
        <v>SOLO A</v>
      </c>
      <c r="D35" t="str">
        <f t="shared" si="1"/>
        <v>SOLO B</v>
      </c>
    </row>
    <row r="36" spans="1:4" x14ac:dyDescent="0.3">
      <c r="A36" t="s">
        <v>475</v>
      </c>
      <c r="B36" t="s">
        <v>475</v>
      </c>
      <c r="C36" t="str">
        <f t="shared" si="0"/>
        <v>SOLO A</v>
      </c>
      <c r="D36" t="str">
        <f t="shared" si="1"/>
        <v>SOLO B</v>
      </c>
    </row>
    <row r="37" spans="1:4" x14ac:dyDescent="0.3">
      <c r="A37" t="s">
        <v>476</v>
      </c>
      <c r="B37" t="s">
        <v>476</v>
      </c>
      <c r="C37" t="str">
        <f t="shared" si="0"/>
        <v>AMBOS</v>
      </c>
      <c r="D37" t="str">
        <f t="shared" si="1"/>
        <v>AMBOS</v>
      </c>
    </row>
    <row r="38" spans="1:4" x14ac:dyDescent="0.3">
      <c r="A38" t="s">
        <v>477</v>
      </c>
      <c r="B38" t="s">
        <v>477</v>
      </c>
      <c r="C38" t="str">
        <f t="shared" si="0"/>
        <v>AMBOS</v>
      </c>
      <c r="D38" t="str">
        <f t="shared" si="1"/>
        <v>AMBOS</v>
      </c>
    </row>
    <row r="39" spans="1:4" x14ac:dyDescent="0.3">
      <c r="A39" t="s">
        <v>478</v>
      </c>
      <c r="B39" t="s">
        <v>478</v>
      </c>
      <c r="C39" t="str">
        <f t="shared" si="0"/>
        <v>AMBOS</v>
      </c>
      <c r="D39" t="str">
        <f t="shared" si="1"/>
        <v>AMBOS</v>
      </c>
    </row>
    <row r="40" spans="1:4" x14ac:dyDescent="0.3">
      <c r="A40" t="s">
        <v>479</v>
      </c>
      <c r="B40" t="s">
        <v>479</v>
      </c>
      <c r="C40" t="str">
        <f t="shared" si="0"/>
        <v>AMBOS</v>
      </c>
      <c r="D40" t="str">
        <f t="shared" si="1"/>
        <v>AMBOS</v>
      </c>
    </row>
    <row r="41" spans="1:4" x14ac:dyDescent="0.3">
      <c r="A41" t="s">
        <v>480</v>
      </c>
      <c r="B41" t="s">
        <v>480</v>
      </c>
      <c r="C41" t="str">
        <f t="shared" si="0"/>
        <v>AMBOS</v>
      </c>
      <c r="D41" t="str">
        <f t="shared" si="1"/>
        <v>AMBOS</v>
      </c>
    </row>
    <row r="42" spans="1:4" x14ac:dyDescent="0.3">
      <c r="A42" t="s">
        <v>481</v>
      </c>
      <c r="B42" t="s">
        <v>481</v>
      </c>
      <c r="C42" t="str">
        <f t="shared" si="0"/>
        <v>AMBOS</v>
      </c>
      <c r="D42" t="str">
        <f t="shared" si="1"/>
        <v>AMBOS</v>
      </c>
    </row>
    <row r="43" spans="1:4" x14ac:dyDescent="0.3">
      <c r="A43" t="s">
        <v>482</v>
      </c>
      <c r="B43" t="s">
        <v>482</v>
      </c>
      <c r="C43" t="str">
        <f t="shared" si="0"/>
        <v>AMBOS</v>
      </c>
      <c r="D43" t="str">
        <f t="shared" si="1"/>
        <v>AMBOS</v>
      </c>
    </row>
    <row r="44" spans="1:4" x14ac:dyDescent="0.3">
      <c r="A44" t="s">
        <v>483</v>
      </c>
      <c r="B44" t="s">
        <v>483</v>
      </c>
      <c r="C44" t="str">
        <f t="shared" si="0"/>
        <v>AMBOS</v>
      </c>
      <c r="D44" t="str">
        <f t="shared" si="1"/>
        <v>AMBOS</v>
      </c>
    </row>
    <row r="45" spans="1:4" x14ac:dyDescent="0.3">
      <c r="A45" t="s">
        <v>484</v>
      </c>
      <c r="B45" t="s">
        <v>484</v>
      </c>
      <c r="C45" t="str">
        <f t="shared" si="0"/>
        <v>AMBOS</v>
      </c>
      <c r="D45" t="str">
        <f t="shared" si="1"/>
        <v>AMBOS</v>
      </c>
    </row>
    <row r="46" spans="1:4" x14ac:dyDescent="0.3">
      <c r="A46" t="s">
        <v>485</v>
      </c>
      <c r="B46" t="s">
        <v>485</v>
      </c>
      <c r="C46" t="str">
        <f t="shared" si="0"/>
        <v>AMBOS</v>
      </c>
      <c r="D46" t="str">
        <f t="shared" si="1"/>
        <v>AMBOS</v>
      </c>
    </row>
    <row r="47" spans="1:4" x14ac:dyDescent="0.3">
      <c r="A47" t="s">
        <v>486</v>
      </c>
      <c r="B47" t="s">
        <v>486</v>
      </c>
      <c r="C47" t="str">
        <f t="shared" si="0"/>
        <v>AMBOS</v>
      </c>
      <c r="D47" t="str">
        <f t="shared" si="1"/>
        <v>AMBOS</v>
      </c>
    </row>
    <row r="48" spans="1:4" x14ac:dyDescent="0.3">
      <c r="A48" t="s">
        <v>487</v>
      </c>
      <c r="B48" t="s">
        <v>487</v>
      </c>
      <c r="C48" t="str">
        <f t="shared" si="0"/>
        <v>AMBOS</v>
      </c>
      <c r="D48" t="str">
        <f t="shared" si="1"/>
        <v>AMBOS</v>
      </c>
    </row>
    <row r="49" spans="1:4" x14ac:dyDescent="0.3">
      <c r="A49" t="s">
        <v>488</v>
      </c>
      <c r="B49" t="s">
        <v>488</v>
      </c>
      <c r="C49" t="str">
        <f t="shared" si="0"/>
        <v>AMBOS</v>
      </c>
      <c r="D49" t="str">
        <f t="shared" si="1"/>
        <v>AMBOS</v>
      </c>
    </row>
    <row r="50" spans="1:4" x14ac:dyDescent="0.3">
      <c r="A50" t="s">
        <v>489</v>
      </c>
      <c r="B50" t="s">
        <v>489</v>
      </c>
      <c r="C50" t="str">
        <f t="shared" si="0"/>
        <v>AMBOS</v>
      </c>
      <c r="D50" t="str">
        <f t="shared" si="1"/>
        <v>AMBOS</v>
      </c>
    </row>
    <row r="51" spans="1:4" x14ac:dyDescent="0.3">
      <c r="A51" t="s">
        <v>490</v>
      </c>
      <c r="B51" t="s">
        <v>490</v>
      </c>
      <c r="C51" t="str">
        <f t="shared" si="0"/>
        <v>AMBOS</v>
      </c>
      <c r="D51" t="str">
        <f t="shared" si="1"/>
        <v>AMBOS</v>
      </c>
    </row>
    <row r="52" spans="1:4" x14ac:dyDescent="0.3">
      <c r="A52" t="s">
        <v>491</v>
      </c>
      <c r="B52" t="s">
        <v>491</v>
      </c>
      <c r="C52" t="str">
        <f t="shared" si="0"/>
        <v>AMBOS</v>
      </c>
      <c r="D52" t="str">
        <f t="shared" si="1"/>
        <v>AMBOS</v>
      </c>
    </row>
    <row r="53" spans="1:4" x14ac:dyDescent="0.3">
      <c r="A53" t="s">
        <v>492</v>
      </c>
      <c r="B53" t="s">
        <v>492</v>
      </c>
      <c r="C53" t="str">
        <f t="shared" si="0"/>
        <v>AMBOS</v>
      </c>
      <c r="D53" t="str">
        <f t="shared" si="1"/>
        <v>AMBOS</v>
      </c>
    </row>
    <row r="54" spans="1:4" x14ac:dyDescent="0.3">
      <c r="A54" t="s">
        <v>493</v>
      </c>
      <c r="B54" t="s">
        <v>493</v>
      </c>
      <c r="C54" t="str">
        <f t="shared" si="0"/>
        <v>AMBOS</v>
      </c>
      <c r="D54" t="str">
        <f t="shared" si="1"/>
        <v>AMBOS</v>
      </c>
    </row>
    <row r="55" spans="1:4" x14ac:dyDescent="0.3">
      <c r="A55" t="s">
        <v>494</v>
      </c>
      <c r="B55" t="s">
        <v>494</v>
      </c>
      <c r="C55" t="str">
        <f t="shared" si="0"/>
        <v>AMBOS</v>
      </c>
      <c r="D55" t="str">
        <f t="shared" si="1"/>
        <v>AMBOS</v>
      </c>
    </row>
    <row r="56" spans="1:4" x14ac:dyDescent="0.3">
      <c r="A56" t="s">
        <v>495</v>
      </c>
      <c r="B56" t="s">
        <v>495</v>
      </c>
      <c r="C56" t="str">
        <f t="shared" si="0"/>
        <v>AMBOS</v>
      </c>
      <c r="D56" t="str">
        <f t="shared" si="1"/>
        <v>AMBOS</v>
      </c>
    </row>
    <row r="57" spans="1:4" x14ac:dyDescent="0.3">
      <c r="A57" t="s">
        <v>496</v>
      </c>
      <c r="B57" t="s">
        <v>496</v>
      </c>
      <c r="C57" t="str">
        <f t="shared" si="0"/>
        <v>AMBOS</v>
      </c>
      <c r="D57" t="str">
        <f t="shared" si="1"/>
        <v>AMBOS</v>
      </c>
    </row>
    <row r="58" spans="1:4" x14ac:dyDescent="0.3">
      <c r="A58" t="s">
        <v>497</v>
      </c>
      <c r="B58" t="s">
        <v>497</v>
      </c>
      <c r="C58" t="str">
        <f t="shared" si="0"/>
        <v>AMBOS</v>
      </c>
      <c r="D58" t="str">
        <f t="shared" si="1"/>
        <v>AMBOS</v>
      </c>
    </row>
    <row r="59" spans="1:4" x14ac:dyDescent="0.3">
      <c r="A59" t="s">
        <v>498</v>
      </c>
      <c r="B59" t="s">
        <v>498</v>
      </c>
      <c r="C59" t="str">
        <f t="shared" si="0"/>
        <v>AMBOS</v>
      </c>
      <c r="D59" t="str">
        <f t="shared" si="1"/>
        <v>AMBOS</v>
      </c>
    </row>
    <row r="60" spans="1:4" x14ac:dyDescent="0.3">
      <c r="A60" t="s">
        <v>499</v>
      </c>
      <c r="B60" t="s">
        <v>570</v>
      </c>
      <c r="C60" t="str">
        <f t="shared" si="0"/>
        <v>AMBOS</v>
      </c>
      <c r="D60" t="str">
        <f t="shared" si="1"/>
        <v>AMBOS</v>
      </c>
    </row>
    <row r="61" spans="1:4" x14ac:dyDescent="0.3">
      <c r="A61" t="s">
        <v>500</v>
      </c>
      <c r="B61" t="s">
        <v>500</v>
      </c>
      <c r="C61" t="str">
        <f t="shared" si="0"/>
        <v>AMBOS</v>
      </c>
      <c r="D61" t="str">
        <f t="shared" si="1"/>
        <v>AMBOS</v>
      </c>
    </row>
    <row r="62" spans="1:4" x14ac:dyDescent="0.3">
      <c r="A62" t="s">
        <v>501</v>
      </c>
      <c r="B62" t="s">
        <v>501</v>
      </c>
      <c r="C62" t="str">
        <f t="shared" si="0"/>
        <v>AMBOS</v>
      </c>
      <c r="D62" t="str">
        <f t="shared" si="1"/>
        <v>AMBOS</v>
      </c>
    </row>
    <row r="63" spans="1:4" x14ac:dyDescent="0.3">
      <c r="A63" t="s">
        <v>502</v>
      </c>
      <c r="B63" t="s">
        <v>502</v>
      </c>
      <c r="C63" t="str">
        <f t="shared" si="0"/>
        <v>AMBOS</v>
      </c>
      <c r="D63" t="str">
        <f t="shared" si="1"/>
        <v>AMBOS</v>
      </c>
    </row>
    <row r="64" spans="1:4" x14ac:dyDescent="0.3">
      <c r="A64" t="s">
        <v>565</v>
      </c>
      <c r="B64" t="s">
        <v>565</v>
      </c>
      <c r="C64" t="str">
        <f t="shared" si="0"/>
        <v>AMBOS</v>
      </c>
      <c r="D64" t="str">
        <f t="shared" si="1"/>
        <v>AMBOS</v>
      </c>
    </row>
    <row r="65" spans="1:4" x14ac:dyDescent="0.3">
      <c r="A65" t="s">
        <v>503</v>
      </c>
      <c r="B65" t="s">
        <v>503</v>
      </c>
      <c r="C65" t="str">
        <f t="shared" si="0"/>
        <v>AMBOS</v>
      </c>
      <c r="D65" t="str">
        <f t="shared" si="1"/>
        <v>AMBOS</v>
      </c>
    </row>
    <row r="66" spans="1:4" x14ac:dyDescent="0.3">
      <c r="A66" t="s">
        <v>504</v>
      </c>
      <c r="B66" t="s">
        <v>504</v>
      </c>
      <c r="C66" t="str">
        <f t="shared" si="0"/>
        <v>AMBOS</v>
      </c>
      <c r="D66" t="str">
        <f t="shared" si="1"/>
        <v>AMBOS</v>
      </c>
    </row>
    <row r="67" spans="1:4" x14ac:dyDescent="0.3">
      <c r="A67" t="s">
        <v>505</v>
      </c>
      <c r="B67" t="s">
        <v>505</v>
      </c>
      <c r="C67" t="str">
        <f t="shared" ref="C67:C126" si="2">IF(COUNTIF(B:B,A66)&gt;0,"AMBOS","SOLO A")</f>
        <v>AMBOS</v>
      </c>
      <c r="D67" t="str">
        <f t="shared" ref="D67:D126" si="3">IF(COUNTIF(A:A,B66)&gt;0,"AMBOS","SOLO B")</f>
        <v>AMBOS</v>
      </c>
    </row>
    <row r="68" spans="1:4" x14ac:dyDescent="0.3">
      <c r="A68" t="s">
        <v>506</v>
      </c>
      <c r="B68" t="s">
        <v>506</v>
      </c>
      <c r="C68" t="str">
        <f t="shared" si="2"/>
        <v>AMBOS</v>
      </c>
      <c r="D68" t="str">
        <f t="shared" si="3"/>
        <v>AMBOS</v>
      </c>
    </row>
    <row r="69" spans="1:4" x14ac:dyDescent="0.3">
      <c r="A69" t="s">
        <v>507</v>
      </c>
      <c r="B69" t="s">
        <v>507</v>
      </c>
      <c r="C69" t="str">
        <f t="shared" si="2"/>
        <v>AMBOS</v>
      </c>
      <c r="D69" t="str">
        <f t="shared" si="3"/>
        <v>AMBOS</v>
      </c>
    </row>
    <row r="70" spans="1:4" x14ac:dyDescent="0.3">
      <c r="A70" t="s">
        <v>508</v>
      </c>
      <c r="B70" t="s">
        <v>508</v>
      </c>
      <c r="C70" t="str">
        <f t="shared" si="2"/>
        <v>AMBOS</v>
      </c>
      <c r="D70" t="str">
        <f t="shared" si="3"/>
        <v>AMBOS</v>
      </c>
    </row>
    <row r="71" spans="1:4" x14ac:dyDescent="0.3">
      <c r="A71" t="s">
        <v>509</v>
      </c>
      <c r="B71" t="s">
        <v>509</v>
      </c>
      <c r="C71" t="str">
        <f t="shared" si="2"/>
        <v>AMBOS</v>
      </c>
      <c r="D71" t="str">
        <f t="shared" si="3"/>
        <v>AMBOS</v>
      </c>
    </row>
    <row r="72" spans="1:4" x14ac:dyDescent="0.3">
      <c r="A72" t="s">
        <v>510</v>
      </c>
      <c r="B72" t="s">
        <v>510</v>
      </c>
      <c r="C72" t="str">
        <f t="shared" si="2"/>
        <v>AMBOS</v>
      </c>
      <c r="D72" t="str">
        <f t="shared" si="3"/>
        <v>AMBOS</v>
      </c>
    </row>
    <row r="73" spans="1:4" x14ac:dyDescent="0.3">
      <c r="A73" t="s">
        <v>511</v>
      </c>
      <c r="B73" t="s">
        <v>511</v>
      </c>
      <c r="C73" t="str">
        <f t="shared" si="2"/>
        <v>AMBOS</v>
      </c>
      <c r="D73" t="str">
        <f t="shared" si="3"/>
        <v>AMBOS</v>
      </c>
    </row>
    <row r="74" spans="1:4" x14ac:dyDescent="0.3">
      <c r="A74" t="s">
        <v>512</v>
      </c>
      <c r="B74" t="s">
        <v>571</v>
      </c>
      <c r="C74" t="str">
        <f t="shared" si="2"/>
        <v>AMBOS</v>
      </c>
      <c r="D74" t="str">
        <f t="shared" si="3"/>
        <v>AMBOS</v>
      </c>
    </row>
    <row r="75" spans="1:4" x14ac:dyDescent="0.3">
      <c r="A75" t="s">
        <v>513</v>
      </c>
      <c r="B75" t="s">
        <v>513</v>
      </c>
      <c r="C75" t="str">
        <f t="shared" si="2"/>
        <v>AMBOS</v>
      </c>
      <c r="D75" t="str">
        <f t="shared" si="3"/>
        <v>AMBOS</v>
      </c>
    </row>
    <row r="76" spans="1:4" x14ac:dyDescent="0.3">
      <c r="A76" t="s">
        <v>514</v>
      </c>
      <c r="B76" t="s">
        <v>514</v>
      </c>
      <c r="C76" t="str">
        <f t="shared" si="2"/>
        <v>AMBOS</v>
      </c>
      <c r="D76" t="str">
        <f t="shared" si="3"/>
        <v>AMBOS</v>
      </c>
    </row>
    <row r="77" spans="1:4" x14ac:dyDescent="0.3">
      <c r="A77" t="s">
        <v>515</v>
      </c>
      <c r="B77" t="s">
        <v>515</v>
      </c>
      <c r="C77" t="str">
        <f t="shared" si="2"/>
        <v>AMBOS</v>
      </c>
      <c r="D77" t="str">
        <f t="shared" si="3"/>
        <v>AMBOS</v>
      </c>
    </row>
    <row r="78" spans="1:4" x14ac:dyDescent="0.3">
      <c r="A78" t="s">
        <v>564</v>
      </c>
      <c r="B78" t="s">
        <v>572</v>
      </c>
      <c r="C78" t="str">
        <f t="shared" si="2"/>
        <v>AMBOS</v>
      </c>
      <c r="D78" t="str">
        <f t="shared" si="3"/>
        <v>AMBOS</v>
      </c>
    </row>
    <row r="79" spans="1:4" x14ac:dyDescent="0.3">
      <c r="A79" t="s">
        <v>516</v>
      </c>
      <c r="B79" t="s">
        <v>516</v>
      </c>
      <c r="C79" t="str">
        <f t="shared" si="2"/>
        <v>AMBOS</v>
      </c>
      <c r="D79" t="str">
        <f t="shared" si="3"/>
        <v>AMBOS</v>
      </c>
    </row>
    <row r="80" spans="1:4" x14ac:dyDescent="0.3">
      <c r="A80" t="s">
        <v>517</v>
      </c>
      <c r="B80" t="s">
        <v>517</v>
      </c>
      <c r="C80" t="str">
        <f t="shared" si="2"/>
        <v>AMBOS</v>
      </c>
      <c r="D80" t="str">
        <f t="shared" si="3"/>
        <v>AMBOS</v>
      </c>
    </row>
    <row r="81" spans="1:4" x14ac:dyDescent="0.3">
      <c r="A81" t="s">
        <v>518</v>
      </c>
      <c r="B81" t="s">
        <v>518</v>
      </c>
      <c r="C81" t="str">
        <f t="shared" si="2"/>
        <v>AMBOS</v>
      </c>
      <c r="D81" t="str">
        <f t="shared" si="3"/>
        <v>AMBOS</v>
      </c>
    </row>
    <row r="82" spans="1:4" x14ac:dyDescent="0.3">
      <c r="A82" t="s">
        <v>519</v>
      </c>
      <c r="B82" t="s">
        <v>519</v>
      </c>
      <c r="C82" t="str">
        <f t="shared" si="2"/>
        <v>AMBOS</v>
      </c>
      <c r="D82" t="str">
        <f t="shared" si="3"/>
        <v>AMBOS</v>
      </c>
    </row>
    <row r="83" spans="1:4" x14ac:dyDescent="0.3">
      <c r="A83" t="s">
        <v>520</v>
      </c>
      <c r="B83" t="s">
        <v>520</v>
      </c>
      <c r="C83" t="str">
        <f t="shared" si="2"/>
        <v>AMBOS</v>
      </c>
      <c r="D83" t="str">
        <f t="shared" si="3"/>
        <v>AMBOS</v>
      </c>
    </row>
    <row r="84" spans="1:4" x14ac:dyDescent="0.3">
      <c r="A84" t="s">
        <v>521</v>
      </c>
      <c r="B84" t="s">
        <v>521</v>
      </c>
      <c r="C84" t="str">
        <f t="shared" si="2"/>
        <v>AMBOS</v>
      </c>
      <c r="D84" t="str">
        <f t="shared" si="3"/>
        <v>AMBOS</v>
      </c>
    </row>
    <row r="85" spans="1:4" x14ac:dyDescent="0.3">
      <c r="A85" t="s">
        <v>522</v>
      </c>
      <c r="B85" t="s">
        <v>522</v>
      </c>
      <c r="C85" t="str">
        <f t="shared" si="2"/>
        <v>AMBOS</v>
      </c>
      <c r="D85" t="str">
        <f t="shared" si="3"/>
        <v>AMBOS</v>
      </c>
    </row>
    <row r="86" spans="1:4" x14ac:dyDescent="0.3">
      <c r="A86" t="s">
        <v>523</v>
      </c>
      <c r="B86" t="s">
        <v>523</v>
      </c>
      <c r="C86" t="str">
        <f t="shared" si="2"/>
        <v>AMBOS</v>
      </c>
      <c r="D86" t="str">
        <f t="shared" si="3"/>
        <v>AMBOS</v>
      </c>
    </row>
    <row r="87" spans="1:4" x14ac:dyDescent="0.3">
      <c r="A87" t="s">
        <v>524</v>
      </c>
      <c r="B87" t="s">
        <v>524</v>
      </c>
      <c r="C87" t="str">
        <f t="shared" si="2"/>
        <v>AMBOS</v>
      </c>
      <c r="D87" t="str">
        <f t="shared" si="3"/>
        <v>AMBOS</v>
      </c>
    </row>
    <row r="88" spans="1:4" x14ac:dyDescent="0.3">
      <c r="A88" t="s">
        <v>525</v>
      </c>
      <c r="B88" t="s">
        <v>525</v>
      </c>
      <c r="C88" t="str">
        <f t="shared" si="2"/>
        <v>AMBOS</v>
      </c>
      <c r="D88" t="str">
        <f t="shared" si="3"/>
        <v>AMBOS</v>
      </c>
    </row>
    <row r="89" spans="1:4" x14ac:dyDescent="0.3">
      <c r="A89" t="s">
        <v>526</v>
      </c>
      <c r="B89" t="s">
        <v>526</v>
      </c>
      <c r="C89" t="str">
        <f t="shared" si="2"/>
        <v>AMBOS</v>
      </c>
      <c r="D89" t="str">
        <f t="shared" si="3"/>
        <v>AMBOS</v>
      </c>
    </row>
    <row r="90" spans="1:4" x14ac:dyDescent="0.3">
      <c r="A90" t="s">
        <v>527</v>
      </c>
      <c r="B90" t="s">
        <v>527</v>
      </c>
      <c r="C90" t="str">
        <f t="shared" si="2"/>
        <v>AMBOS</v>
      </c>
      <c r="D90" t="str">
        <f t="shared" si="3"/>
        <v>AMBOS</v>
      </c>
    </row>
    <row r="91" spans="1:4" x14ac:dyDescent="0.3">
      <c r="A91" t="s">
        <v>528</v>
      </c>
      <c r="B91" t="s">
        <v>528</v>
      </c>
      <c r="C91" t="str">
        <f t="shared" si="2"/>
        <v>AMBOS</v>
      </c>
      <c r="D91" t="str">
        <f t="shared" si="3"/>
        <v>AMBOS</v>
      </c>
    </row>
    <row r="92" spans="1:4" x14ac:dyDescent="0.3">
      <c r="A92" t="s">
        <v>529</v>
      </c>
      <c r="B92" t="s">
        <v>529</v>
      </c>
      <c r="C92" t="str">
        <f t="shared" si="2"/>
        <v>AMBOS</v>
      </c>
      <c r="D92" t="str">
        <f t="shared" si="3"/>
        <v>AMBOS</v>
      </c>
    </row>
    <row r="93" spans="1:4" x14ac:dyDescent="0.3">
      <c r="A93" t="s">
        <v>530</v>
      </c>
      <c r="B93" t="s">
        <v>530</v>
      </c>
      <c r="C93" t="str">
        <f t="shared" si="2"/>
        <v>AMBOS</v>
      </c>
      <c r="D93" t="str">
        <f t="shared" si="3"/>
        <v>AMBOS</v>
      </c>
    </row>
    <row r="94" spans="1:4" x14ac:dyDescent="0.3">
      <c r="A94" t="s">
        <v>531</v>
      </c>
      <c r="B94" t="s">
        <v>573</v>
      </c>
      <c r="C94" t="str">
        <f t="shared" si="2"/>
        <v>AMBOS</v>
      </c>
      <c r="D94" t="str">
        <f t="shared" si="3"/>
        <v>AMBOS</v>
      </c>
    </row>
    <row r="95" spans="1:4" x14ac:dyDescent="0.3">
      <c r="A95" t="s">
        <v>532</v>
      </c>
      <c r="B95" t="s">
        <v>532</v>
      </c>
      <c r="C95" t="str">
        <f t="shared" si="2"/>
        <v>AMBOS</v>
      </c>
      <c r="D95" t="str">
        <f t="shared" si="3"/>
        <v>AMBOS</v>
      </c>
    </row>
    <row r="96" spans="1:4" x14ac:dyDescent="0.3">
      <c r="A96" t="s">
        <v>533</v>
      </c>
      <c r="B96" t="s">
        <v>533</v>
      </c>
      <c r="C96" t="str">
        <f t="shared" si="2"/>
        <v>AMBOS</v>
      </c>
      <c r="D96" t="str">
        <f t="shared" si="3"/>
        <v>AMBOS</v>
      </c>
    </row>
    <row r="97" spans="1:4" x14ac:dyDescent="0.3">
      <c r="A97" t="s">
        <v>534</v>
      </c>
      <c r="B97" t="s">
        <v>534</v>
      </c>
      <c r="C97" t="str">
        <f t="shared" si="2"/>
        <v>AMBOS</v>
      </c>
      <c r="D97" t="str">
        <f t="shared" si="3"/>
        <v>AMBOS</v>
      </c>
    </row>
    <row r="98" spans="1:4" x14ac:dyDescent="0.3">
      <c r="A98" t="s">
        <v>535</v>
      </c>
      <c r="B98" t="s">
        <v>535</v>
      </c>
      <c r="C98" t="str">
        <f t="shared" si="2"/>
        <v>AMBOS</v>
      </c>
      <c r="D98" t="str">
        <f t="shared" si="3"/>
        <v>AMBOS</v>
      </c>
    </row>
    <row r="99" spans="1:4" x14ac:dyDescent="0.3">
      <c r="A99" t="s">
        <v>536</v>
      </c>
      <c r="B99" t="s">
        <v>536</v>
      </c>
      <c r="C99" t="str">
        <f t="shared" si="2"/>
        <v>AMBOS</v>
      </c>
      <c r="D99" t="str">
        <f t="shared" si="3"/>
        <v>AMBOS</v>
      </c>
    </row>
    <row r="100" spans="1:4" x14ac:dyDescent="0.3">
      <c r="A100" t="s">
        <v>537</v>
      </c>
      <c r="B100" t="s">
        <v>537</v>
      </c>
      <c r="C100" t="str">
        <f t="shared" si="2"/>
        <v>AMBOS</v>
      </c>
      <c r="D100" t="str">
        <f t="shared" si="3"/>
        <v>AMBOS</v>
      </c>
    </row>
    <row r="101" spans="1:4" x14ac:dyDescent="0.3">
      <c r="A101" t="s">
        <v>563</v>
      </c>
      <c r="B101" t="s">
        <v>563</v>
      </c>
      <c r="C101" t="str">
        <f t="shared" si="2"/>
        <v>AMBOS</v>
      </c>
      <c r="D101" t="str">
        <f t="shared" si="3"/>
        <v>AMBOS</v>
      </c>
    </row>
    <row r="102" spans="1:4" x14ac:dyDescent="0.3">
      <c r="A102" t="s">
        <v>538</v>
      </c>
      <c r="B102" t="s">
        <v>538</v>
      </c>
      <c r="C102" t="str">
        <f t="shared" si="2"/>
        <v>AMBOS</v>
      </c>
      <c r="D102" t="str">
        <f t="shared" si="3"/>
        <v>AMBOS</v>
      </c>
    </row>
    <row r="103" spans="1:4" x14ac:dyDescent="0.3">
      <c r="A103" t="s">
        <v>539</v>
      </c>
      <c r="B103" t="s">
        <v>539</v>
      </c>
      <c r="C103" t="str">
        <f t="shared" si="2"/>
        <v>AMBOS</v>
      </c>
      <c r="D103" t="str">
        <f t="shared" si="3"/>
        <v>AMBOS</v>
      </c>
    </row>
    <row r="104" spans="1:4" x14ac:dyDescent="0.3">
      <c r="A104" t="s">
        <v>540</v>
      </c>
      <c r="B104" t="s">
        <v>540</v>
      </c>
      <c r="C104" t="str">
        <f t="shared" si="2"/>
        <v>AMBOS</v>
      </c>
      <c r="D104" t="str">
        <f t="shared" si="3"/>
        <v>AMBOS</v>
      </c>
    </row>
    <row r="105" spans="1:4" x14ac:dyDescent="0.3">
      <c r="A105" t="s">
        <v>541</v>
      </c>
      <c r="B105" t="s">
        <v>574</v>
      </c>
      <c r="C105" t="str">
        <f t="shared" si="2"/>
        <v>AMBOS</v>
      </c>
      <c r="D105" t="str">
        <f t="shared" si="3"/>
        <v>AMBOS</v>
      </c>
    </row>
    <row r="106" spans="1:4" x14ac:dyDescent="0.3">
      <c r="A106" t="s">
        <v>542</v>
      </c>
      <c r="B106" t="s">
        <v>542</v>
      </c>
      <c r="C106" t="str">
        <f t="shared" si="2"/>
        <v>SOLO A</v>
      </c>
      <c r="D106" t="str">
        <f t="shared" si="3"/>
        <v>SOLO B</v>
      </c>
    </row>
    <row r="107" spans="1:4" x14ac:dyDescent="0.3">
      <c r="A107" t="s">
        <v>543</v>
      </c>
      <c r="B107" t="s">
        <v>543</v>
      </c>
      <c r="C107" t="str">
        <f t="shared" si="2"/>
        <v>AMBOS</v>
      </c>
      <c r="D107" t="str">
        <f t="shared" si="3"/>
        <v>AMBOS</v>
      </c>
    </row>
    <row r="108" spans="1:4" x14ac:dyDescent="0.3">
      <c r="A108" t="s">
        <v>544</v>
      </c>
      <c r="B108" t="s">
        <v>544</v>
      </c>
      <c r="C108" t="str">
        <f t="shared" si="2"/>
        <v>AMBOS</v>
      </c>
      <c r="D108" t="str">
        <f t="shared" si="3"/>
        <v>AMBOS</v>
      </c>
    </row>
    <row r="109" spans="1:4" x14ac:dyDescent="0.3">
      <c r="A109" t="s">
        <v>545</v>
      </c>
      <c r="B109" t="s">
        <v>545</v>
      </c>
      <c r="C109" t="str">
        <f t="shared" si="2"/>
        <v>AMBOS</v>
      </c>
      <c r="D109" t="str">
        <f t="shared" si="3"/>
        <v>AMBOS</v>
      </c>
    </row>
    <row r="110" spans="1:4" x14ac:dyDescent="0.3">
      <c r="A110" t="s">
        <v>546</v>
      </c>
      <c r="B110" t="s">
        <v>546</v>
      </c>
      <c r="C110" t="str">
        <f t="shared" si="2"/>
        <v>AMBOS</v>
      </c>
      <c r="D110" t="str">
        <f t="shared" si="3"/>
        <v>AMBOS</v>
      </c>
    </row>
    <row r="111" spans="1:4" x14ac:dyDescent="0.3">
      <c r="A111" t="s">
        <v>547</v>
      </c>
      <c r="B111" t="s">
        <v>547</v>
      </c>
      <c r="C111" t="str">
        <f t="shared" si="2"/>
        <v>AMBOS</v>
      </c>
      <c r="D111" t="str">
        <f t="shared" si="3"/>
        <v>AMBOS</v>
      </c>
    </row>
    <row r="112" spans="1:4" x14ac:dyDescent="0.3">
      <c r="A112" t="s">
        <v>548</v>
      </c>
      <c r="B112" t="s">
        <v>548</v>
      </c>
      <c r="C112" t="str">
        <f t="shared" si="2"/>
        <v>AMBOS</v>
      </c>
      <c r="D112" t="str">
        <f t="shared" si="3"/>
        <v>AMBOS</v>
      </c>
    </row>
    <row r="113" spans="1:4" x14ac:dyDescent="0.3">
      <c r="A113" t="s">
        <v>549</v>
      </c>
      <c r="B113" t="s">
        <v>549</v>
      </c>
      <c r="C113" t="str">
        <f t="shared" si="2"/>
        <v>AMBOS</v>
      </c>
      <c r="D113" t="str">
        <f t="shared" si="3"/>
        <v>AMBOS</v>
      </c>
    </row>
    <row r="114" spans="1:4" x14ac:dyDescent="0.3">
      <c r="A114" t="s">
        <v>550</v>
      </c>
      <c r="B114" t="s">
        <v>550</v>
      </c>
      <c r="C114" t="str">
        <f t="shared" si="2"/>
        <v>AMBOS</v>
      </c>
      <c r="D114" t="str">
        <f t="shared" si="3"/>
        <v>AMBOS</v>
      </c>
    </row>
    <row r="115" spans="1:4" x14ac:dyDescent="0.3">
      <c r="A115" t="s">
        <v>551</v>
      </c>
      <c r="B115" t="s">
        <v>551</v>
      </c>
      <c r="C115" t="str">
        <f t="shared" si="2"/>
        <v>AMBOS</v>
      </c>
      <c r="D115" t="str">
        <f t="shared" si="3"/>
        <v>AMBOS</v>
      </c>
    </row>
    <row r="116" spans="1:4" x14ac:dyDescent="0.3">
      <c r="A116" t="s">
        <v>552</v>
      </c>
      <c r="B116" t="s">
        <v>552</v>
      </c>
      <c r="C116" t="str">
        <f t="shared" si="2"/>
        <v>AMBOS</v>
      </c>
      <c r="D116" t="str">
        <f t="shared" si="3"/>
        <v>AMBOS</v>
      </c>
    </row>
    <row r="117" spans="1:4" x14ac:dyDescent="0.3">
      <c r="A117" t="s">
        <v>553</v>
      </c>
      <c r="B117" t="s">
        <v>553</v>
      </c>
      <c r="C117" t="str">
        <f t="shared" si="2"/>
        <v>AMBOS</v>
      </c>
      <c r="D117" t="str">
        <f t="shared" si="3"/>
        <v>AMBOS</v>
      </c>
    </row>
    <row r="118" spans="1:4" x14ac:dyDescent="0.3">
      <c r="A118" t="s">
        <v>554</v>
      </c>
      <c r="B118" t="s">
        <v>554</v>
      </c>
      <c r="C118" t="str">
        <f t="shared" si="2"/>
        <v>AMBOS</v>
      </c>
      <c r="D118" t="str">
        <f t="shared" si="3"/>
        <v>AMBOS</v>
      </c>
    </row>
    <row r="119" spans="1:4" x14ac:dyDescent="0.3">
      <c r="A119" t="s">
        <v>555</v>
      </c>
      <c r="B119" t="s">
        <v>555</v>
      </c>
      <c r="C119" t="str">
        <f t="shared" si="2"/>
        <v>AMBOS</v>
      </c>
      <c r="D119" t="str">
        <f t="shared" si="3"/>
        <v>AMBOS</v>
      </c>
    </row>
    <row r="120" spans="1:4" x14ac:dyDescent="0.3">
      <c r="A120" t="s">
        <v>556</v>
      </c>
      <c r="B120" t="s">
        <v>556</v>
      </c>
      <c r="C120" t="str">
        <f t="shared" si="2"/>
        <v>AMBOS</v>
      </c>
      <c r="D120" t="str">
        <f t="shared" si="3"/>
        <v>AMBOS</v>
      </c>
    </row>
    <row r="121" spans="1:4" x14ac:dyDescent="0.3">
      <c r="A121" t="s">
        <v>557</v>
      </c>
      <c r="B121" t="s">
        <v>557</v>
      </c>
      <c r="C121" t="str">
        <f t="shared" si="2"/>
        <v>AMBOS</v>
      </c>
      <c r="D121" t="str">
        <f t="shared" si="3"/>
        <v>AMBOS</v>
      </c>
    </row>
    <row r="122" spans="1:4" x14ac:dyDescent="0.3">
      <c r="A122" t="s">
        <v>558</v>
      </c>
      <c r="B122" t="s">
        <v>558</v>
      </c>
      <c r="C122" t="str">
        <f t="shared" si="2"/>
        <v>AMBOS</v>
      </c>
      <c r="D122" t="str">
        <f t="shared" si="3"/>
        <v>AMBOS</v>
      </c>
    </row>
    <row r="123" spans="1:4" x14ac:dyDescent="0.3">
      <c r="A123" t="s">
        <v>559</v>
      </c>
      <c r="B123" t="s">
        <v>559</v>
      </c>
      <c r="C123" t="str">
        <f t="shared" si="2"/>
        <v>AMBOS</v>
      </c>
      <c r="D123" t="str">
        <f t="shared" si="3"/>
        <v>AMBOS</v>
      </c>
    </row>
    <row r="124" spans="1:4" x14ac:dyDescent="0.3">
      <c r="A124" t="s">
        <v>560</v>
      </c>
      <c r="B124" t="s">
        <v>560</v>
      </c>
      <c r="C124" t="str">
        <f t="shared" si="2"/>
        <v>AMBOS</v>
      </c>
      <c r="D124" t="str">
        <f t="shared" si="3"/>
        <v>AMBOS</v>
      </c>
    </row>
    <row r="125" spans="1:4" x14ac:dyDescent="0.3">
      <c r="A125" t="s">
        <v>561</v>
      </c>
      <c r="B125" t="s">
        <v>561</v>
      </c>
      <c r="C125" t="str">
        <f t="shared" si="2"/>
        <v>AMBOS</v>
      </c>
      <c r="D125" t="str">
        <f t="shared" si="3"/>
        <v>AMBOS</v>
      </c>
    </row>
    <row r="126" spans="1:4" x14ac:dyDescent="0.3">
      <c r="A126" t="s">
        <v>562</v>
      </c>
      <c r="B126" t="s">
        <v>562</v>
      </c>
      <c r="C126" t="str">
        <f t="shared" si="2"/>
        <v>AMBOS</v>
      </c>
      <c r="D126" t="str">
        <f t="shared" si="3"/>
        <v>AMBOS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Alberto Montaña Prieto</dc:creator>
  <cp:lastModifiedBy>Deiver Peña Agualimpia</cp:lastModifiedBy>
  <dcterms:created xsi:type="dcterms:W3CDTF">2023-05-11T18:15:20Z</dcterms:created>
  <dcterms:modified xsi:type="dcterms:W3CDTF">2026-04-27T06:56:33Z</dcterms:modified>
</cp:coreProperties>
</file>
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N por Tecnología" sheetId="1" state="visible" r:id="rId3"/>
    <sheet name="Antioquia – Todas las plantas" sheetId="2" state="visible" r:id="rId4"/>
    <sheet name="Norte Antioquia – Plant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<sst xmlns="http://schemas.openxmlformats.org/spreadsheetml/2006/main" count="571" uniqueCount="185">
  <si>
    <t xml:space="preserve">Capacidad Instalada de Generación – Sistema Interconectado Nacional (SIN)</t>
  </si>
  <si>
    <t xml:space="preserve">Tecnología</t>
  </si>
  <si>
    <t xml:space="preserve">Cap. Instalada (MW)</t>
  </si>
  <si>
    <t xml:space="preserve">Participación (%)</t>
  </si>
  <si>
    <t xml:space="preserve">Estado predominante</t>
  </si>
  <si>
    <t xml:space="preserve">Hidráulica</t>
  </si>
  <si>
    <t xml:space="preserve">Operación</t>
  </si>
  <si>
    <t xml:space="preserve">Térmica</t>
  </si>
  <si>
    <t xml:space="preserve">Solar</t>
  </si>
  <si>
    <t xml:space="preserve">Eólica</t>
  </si>
  <si>
    <t xml:space="preserve">Total SIN</t>
  </si>
  <si>
    <t xml:space="preserve">Fuente: XM S.A. E.S.P. (2026). Canasta de generación de energía eléctrica – Sistema Interconectado Nacional. Fecha corte: 01/01/2024 – 01/07/2025. Consultado en Intégrame, Ministerio de Minas y Energía.</t>
  </si>
  <si>
    <t xml:space="preserve">Plantas de Generación – Departamento de Antioquia</t>
  </si>
  <si>
    <t xml:space="preserve">Municipio</t>
  </si>
  <si>
    <t xml:space="preserve">Central / Planta</t>
  </si>
  <si>
    <t xml:space="preserve">Estado</t>
  </si>
  <si>
    <t xml:space="preserve">Modo despacho</t>
  </si>
  <si>
    <t xml:space="preserve">Empresa operadora</t>
  </si>
  <si>
    <t xml:space="preserve">Cap. Efectiva Neta (MW)</t>
  </si>
  <si>
    <t xml:space="preserve">Potencia Nominal (MW)</t>
  </si>
  <si>
    <t xml:space="preserve">Tensión conexión (kV)</t>
  </si>
  <si>
    <t xml:space="preserve">ABEJORRAL</t>
  </si>
  <si>
    <t xml:space="preserve">LA CASCADA ( ABEJORRAL)</t>
  </si>
  <si>
    <t xml:space="preserve">No Despachada Centralmente</t>
  </si>
  <si>
    <t xml:space="preserve">EMPRESA DE GENERACION Y PROMOCION DE ENERGIA DE ANTIOQUIA S.A. E.S.P.</t>
  </si>
  <si>
    <t xml:space="preserve">ALEJANDRÍA</t>
  </si>
  <si>
    <t xml:space="preserve">ALEJANDRIA</t>
  </si>
  <si>
    <t xml:space="preserve">GENERADORA ALEJANDRIA S.A.S. E.S.P.</t>
  </si>
  <si>
    <t xml:space="preserve">AMALFI</t>
  </si>
  <si>
    <t xml:space="preserve">PORCE II</t>
  </si>
  <si>
    <t xml:space="preserve">Despachada Centralmente</t>
  </si>
  <si>
    <t xml:space="preserve">EMPRESAS PUBLICAS DE MEDELLIN E.S.P.</t>
  </si>
  <si>
    <t xml:space="preserve">LUZMA I</t>
  </si>
  <si>
    <t xml:space="preserve">ISAGEN S.A. E.S.P.</t>
  </si>
  <si>
    <t xml:space="preserve">LUZMA II</t>
  </si>
  <si>
    <t xml:space="preserve">HZ ENERGY S.A.S. E.S.P.</t>
  </si>
  <si>
    <t xml:space="preserve">ANDES</t>
  </si>
  <si>
    <t xml:space="preserve">SANTA RITA</t>
  </si>
  <si>
    <t xml:space="preserve">ANORÍ</t>
  </si>
  <si>
    <t xml:space="preserve">PORCE III</t>
  </si>
  <si>
    <t xml:space="preserve">PROVIDENCIA</t>
  </si>
  <si>
    <t xml:space="preserve">PORCE III MENOR</t>
  </si>
  <si>
    <t xml:space="preserve">BELLO</t>
  </si>
  <si>
    <t xml:space="preserve">NIQUIA</t>
  </si>
  <si>
    <t xml:space="preserve">AUTOG PTAR BELLO</t>
  </si>
  <si>
    <t xml:space="preserve">CARACOLÍ</t>
  </si>
  <si>
    <t xml:space="preserve">CARACOLI</t>
  </si>
  <si>
    <t xml:space="preserve">CAROLINA</t>
  </si>
  <si>
    <t xml:space="preserve">TRONERAS</t>
  </si>
  <si>
    <t xml:space="preserve">CAÑASGORDAS</t>
  </si>
  <si>
    <t xml:space="preserve">LA HERRADURA</t>
  </si>
  <si>
    <t xml:space="preserve">LA VUELTA</t>
  </si>
  <si>
    <t xml:space="preserve">CISNEROS</t>
  </si>
  <si>
    <t xml:space="preserve">AUTOG CANTAYUS</t>
  </si>
  <si>
    <t xml:space="preserve">GENERADORA Y COMERCIALIZADORA DE ENERGIA DEL CARIBE S.A. E.S.P.</t>
  </si>
  <si>
    <t xml:space="preserve">CIUDAD BOLÍVAR</t>
  </si>
  <si>
    <t xml:space="preserve">GD CSF ARENALES I</t>
  </si>
  <si>
    <t xml:space="preserve">GENERADORA CANTAYÚS S.A.S E.S.P</t>
  </si>
  <si>
    <t xml:space="preserve">COCORNÁ</t>
  </si>
  <si>
    <t xml:space="preserve">EL MOLINO</t>
  </si>
  <si>
    <t xml:space="preserve">EL POPAL</t>
  </si>
  <si>
    <t xml:space="preserve">SAN MATIAS</t>
  </si>
  <si>
    <t xml:space="preserve">CONCORDIA</t>
  </si>
  <si>
    <t xml:space="preserve">MAGALLO</t>
  </si>
  <si>
    <t xml:space="preserve">CENTRAL HIDROELÉCTRICA CONCORDIA S.A.S. E.S.P.</t>
  </si>
  <si>
    <t xml:space="preserve">DABEIBA</t>
  </si>
  <si>
    <t xml:space="preserve">HIDROBARRANCAS</t>
  </si>
  <si>
    <t xml:space="preserve">HIDROELECTRICA BARRANCAS SAS ESP</t>
  </si>
  <si>
    <t xml:space="preserve">DONMATÍAS</t>
  </si>
  <si>
    <t xml:space="preserve">HIDROMONTAÑITAS</t>
  </si>
  <si>
    <t xml:space="preserve">CELSIA COLOMBIA S.A. E.S.P.</t>
  </si>
  <si>
    <t xml:space="preserve">RIOGRANDE I</t>
  </si>
  <si>
    <t xml:space="preserve">ZEUS</t>
  </si>
  <si>
    <t xml:space="preserve">CENTRAL HIDROELÉCTRICA ZEUS SAS ESP</t>
  </si>
  <si>
    <t xml:space="preserve">RIO GRANDE</t>
  </si>
  <si>
    <t xml:space="preserve">ENVIGADO</t>
  </si>
  <si>
    <t xml:space="preserve">AUTOG AYURA</t>
  </si>
  <si>
    <t xml:space="preserve">GIRARDOTA</t>
  </si>
  <si>
    <t xml:space="preserve">LA TASAJERA</t>
  </si>
  <si>
    <t xml:space="preserve">CARLOS LLERAS</t>
  </si>
  <si>
    <t xml:space="preserve">HIDROELECTRICA DEL ALTO PORCE S.A.S. E.S.P.</t>
  </si>
  <si>
    <t xml:space="preserve">GRANADA</t>
  </si>
  <si>
    <t xml:space="preserve">LA CASCADA DE GRANADA</t>
  </si>
  <si>
    <t xml:space="preserve">SANTA FE ENERGY ZOMAC S.A.S. E.S.P.</t>
  </si>
  <si>
    <t xml:space="preserve">GUATAPÉ</t>
  </si>
  <si>
    <t xml:space="preserve">GUATAPE</t>
  </si>
  <si>
    <t xml:space="preserve">GÓMEZ PLATA</t>
  </si>
  <si>
    <t xml:space="preserve">GUADALUPE III</t>
  </si>
  <si>
    <t xml:space="preserve">GUADALUPE IV</t>
  </si>
  <si>
    <t xml:space="preserve">ITUANGO</t>
  </si>
  <si>
    <t xml:space="preserve">JERICÓ</t>
  </si>
  <si>
    <t xml:space="preserve">RIO PIEDRAS</t>
  </si>
  <si>
    <t xml:space="preserve">AGUA FRESCA</t>
  </si>
  <si>
    <t xml:space="preserve">ENERGIA DEL RIO PIEDRAS S.A. E.S.P</t>
  </si>
  <si>
    <t xml:space="preserve">LA ESTRELLA</t>
  </si>
  <si>
    <t xml:space="preserve">AUTOG CI JEANS</t>
  </si>
  <si>
    <t xml:space="preserve">Pruebas</t>
  </si>
  <si>
    <t xml:space="preserve">ERCO GENERACION S.A.S. ESP</t>
  </si>
  <si>
    <t xml:space="preserve">LIBORINA</t>
  </si>
  <si>
    <t xml:space="preserve">JUAN GARCIA</t>
  </si>
  <si>
    <t xml:space="preserve">MARINILLA</t>
  </si>
  <si>
    <t xml:space="preserve">ESCUELA DE MINAS</t>
  </si>
  <si>
    <t xml:space="preserve">MEDELLÍN</t>
  </si>
  <si>
    <t xml:space="preserve">MANANTIALES</t>
  </si>
  <si>
    <t xml:space="preserve">CAMPESTRE (EPM)</t>
  </si>
  <si>
    <t xml:space="preserve">NUTIBARA</t>
  </si>
  <si>
    <t xml:space="preserve">AMERICA</t>
  </si>
  <si>
    <t xml:space="preserve">COMUNIDAD EL SALVADOR I</t>
  </si>
  <si>
    <t xml:space="preserve">COMUNIDAD EL SALVADOR II</t>
  </si>
  <si>
    <t xml:space="preserve">PUERTO NARE</t>
  </si>
  <si>
    <t xml:space="preserve">TERMOSIERRA CC</t>
  </si>
  <si>
    <t xml:space="preserve">AUTOG CEMENTOS DEL NARE</t>
  </si>
  <si>
    <t xml:space="preserve">COMPAÑÍA ELÉCTRICA DE SOCHAGOTA  S.A.S. E.S.P.</t>
  </si>
  <si>
    <t xml:space="preserve">REMEDIOS</t>
  </si>
  <si>
    <t xml:space="preserve">AUTOG GRAN COLOMBIA GOLD</t>
  </si>
  <si>
    <t xml:space="preserve">PROELECTRICA S.A.S E.S.P.</t>
  </si>
  <si>
    <t xml:space="preserve">POCUNE</t>
  </si>
  <si>
    <t xml:space="preserve">SPECTRUM RENOVAVEIS S.A.S. E.S.P.</t>
  </si>
  <si>
    <t xml:space="preserve">COMPAÑÍA INTEGRAL ENERGETICA S.A.S E.S.P</t>
  </si>
  <si>
    <t xml:space="preserve">RIONEGRO</t>
  </si>
  <si>
    <t xml:space="preserve">AUTOG PINTUCO</t>
  </si>
  <si>
    <t xml:space="preserve">GD ALAMO SOLAR</t>
  </si>
  <si>
    <t xml:space="preserve">SALGAR</t>
  </si>
  <si>
    <t xml:space="preserve">BARROSO</t>
  </si>
  <si>
    <t xml:space="preserve">SAN ANDRÉS DE CUERQUÍA</t>
  </si>
  <si>
    <t xml:space="preserve">SAN ANDRES DE CUERQUIA</t>
  </si>
  <si>
    <t xml:space="preserve">LA CHORRERA</t>
  </si>
  <si>
    <t xml:space="preserve">HIDROENERGIA DE LA MONTAÑA S.A.S E.S.P</t>
  </si>
  <si>
    <t xml:space="preserve">SAN CARLOS</t>
  </si>
  <si>
    <t xml:space="preserve">PLAYAS</t>
  </si>
  <si>
    <t xml:space="preserve">CALDERAS</t>
  </si>
  <si>
    <t xml:space="preserve">SAN JOSÉ DE LA MONTAÑA</t>
  </si>
  <si>
    <t xml:space="preserve">SAN JOSE DE LA MONTAÑA II</t>
  </si>
  <si>
    <t xml:space="preserve">SAN JOSE DE LA MONTAÑA</t>
  </si>
  <si>
    <t xml:space="preserve">SAN LUIS</t>
  </si>
  <si>
    <t xml:space="preserve">SAN MIGUEL</t>
  </si>
  <si>
    <t xml:space="preserve">SAN RAFAEL</t>
  </si>
  <si>
    <t xml:space="preserve">JAGUAS</t>
  </si>
  <si>
    <t xml:space="preserve">SAN ROQUE</t>
  </si>
  <si>
    <t xml:space="preserve">LA CASCADA (ANTIOQUIA)</t>
  </si>
  <si>
    <t xml:space="preserve">VATIA S.A. E.S.P.</t>
  </si>
  <si>
    <t xml:space="preserve">LAS VIOLETAS</t>
  </si>
  <si>
    <t xml:space="preserve">P.CH EL COCUYO SAS ESP</t>
  </si>
  <si>
    <t xml:space="preserve">LA REBUSCA</t>
  </si>
  <si>
    <t xml:space="preserve">SANTA BÁRBARA</t>
  </si>
  <si>
    <t xml:space="preserve">AUTOG ARGOS EL CAIRO</t>
  </si>
  <si>
    <t xml:space="preserve">SANTA FÉ DE ANTIOQUIA</t>
  </si>
  <si>
    <t xml:space="preserve">PCH LA NOQUE</t>
  </si>
  <si>
    <t xml:space="preserve">NITRO ENERGY COLOMBIA S.A.S. E.S.P.</t>
  </si>
  <si>
    <t xml:space="preserve">SANTA ROSA DE OSOS</t>
  </si>
  <si>
    <t xml:space="preserve">CARUQUIA</t>
  </si>
  <si>
    <t xml:space="preserve">GUANAQUITAS</t>
  </si>
  <si>
    <t xml:space="preserve">LAS PALMAS</t>
  </si>
  <si>
    <t xml:space="preserve">SANTO DOMINGO</t>
  </si>
  <si>
    <t xml:space="preserve">SANTIAGO</t>
  </si>
  <si>
    <t xml:space="preserve">HIDROTOLIMA S.A. E.S.P.</t>
  </si>
  <si>
    <t xml:space="preserve">SONSÓN</t>
  </si>
  <si>
    <t xml:space="preserve">AURES BAJO</t>
  </si>
  <si>
    <t xml:space="preserve">AURES BAJO S.A.S. E.S.P.</t>
  </si>
  <si>
    <t xml:space="preserve">SONSON</t>
  </si>
  <si>
    <t xml:space="preserve">TARAZÁ</t>
  </si>
  <si>
    <t xml:space="preserve">TZ II</t>
  </si>
  <si>
    <t xml:space="preserve">CENTRAL HIDROELÉCTRICA TZ II S.A.S. E.S.P.</t>
  </si>
  <si>
    <t xml:space="preserve">TARSO</t>
  </si>
  <si>
    <t xml:space="preserve">MULATOS II</t>
  </si>
  <si>
    <t xml:space="preserve">ENERGIA DEL SUROESTE S.A. E.S.P.</t>
  </si>
  <si>
    <t xml:space="preserve">TÁMESIS</t>
  </si>
  <si>
    <t xml:space="preserve">RIOFRIO (TAMESIS)</t>
  </si>
  <si>
    <t xml:space="preserve">URRAO</t>
  </si>
  <si>
    <t xml:space="preserve">YARUMAL</t>
  </si>
  <si>
    <t xml:space="preserve">PAJARITO</t>
  </si>
  <si>
    <t xml:space="preserve">Total Antioquia</t>
  </si>
  <si>
    <t xml:space="preserve">Nota: Filas en verde corresponden a municipios de la Provincia Administrativa y de Planificación Bio-energética del Norte de Antioquia.</t>
  </si>
  <si>
    <t xml:space="preserve">Fuente: XM S.A. E.S.P. (2026). PARATEC – Portal de Acceso a la Red de los Agentes del SIN. Fecha consulta: junio 2026. https://paratec.xm.com.co</t>
  </si>
  <si>
    <t xml:space="preserve">Plantas de Generación – PAP Bio-energética del Norte de Antioquia</t>
  </si>
  <si>
    <t xml:space="preserve">% del SIN</t>
  </si>
  <si>
    <t xml:space="preserve">% de Antioquia</t>
  </si>
  <si>
    <t xml:space="preserve">Total Provincia Norte</t>
  </si>
  <si>
    <t xml:space="preserve">Resumen de participaciones</t>
  </si>
  <si>
    <t xml:space="preserve">Total SIN (MW)</t>
  </si>
  <si>
    <t xml:space="preserve">Total Antioquia (MW)</t>
  </si>
  <si>
    <t xml:space="preserve">27.7% del SIN</t>
  </si>
  <si>
    <t xml:space="preserve">Total Provincia Norte (MW)</t>
  </si>
  <si>
    <t xml:space="preserve">10.4% del SIN</t>
  </si>
  <si>
    <t xml:space="preserve">37.7% de Antioquia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</si>
</sst>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.0"/>
    <numFmt numFmtId="168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CCCCCC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3" t="s">
        <v>4</v>
      </c>
    </row>
    <row r="3" customFormat="false" ht="15" hidden="false" customHeight="false" outlineLevel="0" collapsed="false">
      <c r="A3" s="4" t="s">
        <v>5</v>
      </c>
      <c r="B3" s="5" t="n">
        <v>13233.17</v>
      </c>
      <c r="C3" s="6" t="n">
        <v>0.5772</v>
      </c>
      <c r="D3" s="7" t="s">
        <v>6</v>
      </c>
    </row>
    <row r="4" customFormat="false" ht="15" hidden="false" customHeight="false" outlineLevel="0" collapsed="false">
      <c r="A4" s="8" t="s">
        <v>7</v>
      </c>
      <c r="B4" s="9" t="n">
        <v>6301.52</v>
      </c>
      <c r="C4" s="10" t="n">
        <v>0.2749</v>
      </c>
      <c r="D4" s="11" t="s">
        <v>6</v>
      </c>
    </row>
    <row r="5" customFormat="false" ht="15" hidden="false" customHeight="false" outlineLevel="0" collapsed="false">
      <c r="A5" s="4" t="s">
        <v>8</v>
      </c>
      <c r="B5" s="5" t="n">
        <v>3348.92</v>
      </c>
      <c r="C5" s="6" t="n">
        <v>0.1461</v>
      </c>
      <c r="D5" s="7" t="s">
        <v>6</v>
      </c>
    </row>
    <row r="6" customFormat="false" ht="15" hidden="false" customHeight="false" outlineLevel="0" collapsed="false">
      <c r="A6" s="8" t="s">
        <v>9</v>
      </c>
      <c r="B6" s="9" t="n">
        <v>41</v>
      </c>
      <c r="C6" s="10" t="n">
        <v>0.0018</v>
      </c>
      <c r="D6" s="11" t="s">
        <v>6</v>
      </c>
    </row>
    <row r="7" customFormat="false" ht="15" hidden="false" customHeight="false" outlineLevel="0" collapsed="false">
      <c r="A7" s="12" t="s">
        <v>10</v>
      </c>
      <c r="B7" s="13" t="n">
        <f aca="false">SUM(B3:B6)</f>
        <v>22924.61</v>
      </c>
      <c r="C7" s="14" t="n">
        <v>1</v>
      </c>
      <c r="D7" s="15"/>
    </row>
    <row r="9" customFormat="false" ht="15" hidden="false" customHeight="false" outlineLevel="0" collapsed="false">
      <c r="A9" s="16" t="s">
        <v>11</v>
      </c>
      <c r="B9" s="16"/>
      <c r="C9" s="16"/>
      <c r="D9" s="16"/>
    </row>
  </sheetData>
  <mergeCells count="2">
    <mergeCell ref="A1:D1"/>
    <mergeCell ref="A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22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" t="s">
        <v>12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</row>
    <row r="3" customFormat="false" ht="15" hidden="false" customHeight="false" outlineLevel="0" collapsed="false">
      <c r="A3" s="4" t="s">
        <v>21</v>
      </c>
      <c r="B3" s="4" t="s">
        <v>22</v>
      </c>
      <c r="C3" s="7" t="s">
        <v>5</v>
      </c>
      <c r="D3" s="7" t="s">
        <v>6</v>
      </c>
      <c r="E3" s="4" t="s">
        <v>23</v>
      </c>
      <c r="F3" s="4" t="s">
        <v>24</v>
      </c>
      <c r="G3" s="5" t="n">
        <v>3</v>
      </c>
      <c r="H3" s="5" t="n">
        <v>0</v>
      </c>
      <c r="I3" s="17" t="n">
        <v>0</v>
      </c>
    </row>
    <row r="4" customFormat="false" ht="15" hidden="false" customHeight="false" outlineLevel="0" collapsed="false">
      <c r="A4" s="8" t="s">
        <v>25</v>
      </c>
      <c r="B4" s="8" t="s">
        <v>26</v>
      </c>
      <c r="C4" s="11" t="s">
        <v>5</v>
      </c>
      <c r="D4" s="11" t="s">
        <v>6</v>
      </c>
      <c r="E4" s="8" t="s">
        <v>23</v>
      </c>
      <c r="F4" s="8" t="s">
        <v>27</v>
      </c>
      <c r="G4" s="9" t="n">
        <v>17</v>
      </c>
      <c r="H4" s="9" t="n">
        <v>0</v>
      </c>
      <c r="I4" s="18" t="n">
        <v>0</v>
      </c>
    </row>
    <row r="5" customFormat="false" ht="15" hidden="false" customHeight="false" outlineLevel="0" collapsed="false">
      <c r="A5" s="4" t="s">
        <v>28</v>
      </c>
      <c r="B5" s="4" t="s">
        <v>29</v>
      </c>
      <c r="C5" s="7" t="s">
        <v>5</v>
      </c>
      <c r="D5" s="7" t="s">
        <v>6</v>
      </c>
      <c r="E5" s="4" t="s">
        <v>30</v>
      </c>
      <c r="F5" s="4" t="s">
        <v>31</v>
      </c>
      <c r="G5" s="5" t="n">
        <v>405</v>
      </c>
      <c r="H5" s="5" t="n">
        <v>0</v>
      </c>
      <c r="I5" s="17" t="n">
        <v>0</v>
      </c>
    </row>
    <row r="6" customFormat="false" ht="15" hidden="false" customHeight="false" outlineLevel="0" collapsed="false">
      <c r="A6" s="8" t="s">
        <v>28</v>
      </c>
      <c r="B6" s="8" t="s">
        <v>32</v>
      </c>
      <c r="C6" s="11" t="s">
        <v>5</v>
      </c>
      <c r="D6" s="11" t="s">
        <v>6</v>
      </c>
      <c r="E6" s="8" t="s">
        <v>23</v>
      </c>
      <c r="F6" s="8" t="s">
        <v>33</v>
      </c>
      <c r="G6" s="9" t="n">
        <v>19.6</v>
      </c>
      <c r="H6" s="9" t="n">
        <v>0</v>
      </c>
      <c r="I6" s="18" t="n">
        <v>0</v>
      </c>
    </row>
    <row r="7" customFormat="false" ht="15" hidden="false" customHeight="false" outlineLevel="0" collapsed="false">
      <c r="A7" s="4" t="s">
        <v>28</v>
      </c>
      <c r="B7" s="4" t="s">
        <v>34</v>
      </c>
      <c r="C7" s="7" t="s">
        <v>5</v>
      </c>
      <c r="D7" s="7" t="s">
        <v>6</v>
      </c>
      <c r="E7" s="4" t="s">
        <v>23</v>
      </c>
      <c r="F7" s="4" t="s">
        <v>33</v>
      </c>
      <c r="G7" s="5" t="n">
        <v>19.6</v>
      </c>
      <c r="H7" s="5" t="n">
        <v>0</v>
      </c>
      <c r="I7" s="17" t="n">
        <v>0</v>
      </c>
    </row>
    <row r="8" customFormat="false" ht="15" hidden="false" customHeight="false" outlineLevel="0" collapsed="false">
      <c r="A8" s="8" t="s">
        <v>28</v>
      </c>
      <c r="B8" s="8" t="s">
        <v>28</v>
      </c>
      <c r="C8" s="11" t="s">
        <v>5</v>
      </c>
      <c r="D8" s="11" t="s">
        <v>6</v>
      </c>
      <c r="E8" s="8" t="s">
        <v>23</v>
      </c>
      <c r="F8" s="8" t="s">
        <v>35</v>
      </c>
      <c r="G8" s="9" t="n">
        <v>0.81</v>
      </c>
      <c r="H8" s="9" t="n">
        <v>0</v>
      </c>
      <c r="I8" s="18" t="n">
        <v>0</v>
      </c>
    </row>
    <row r="9" customFormat="false" ht="15" hidden="false" customHeight="false" outlineLevel="0" collapsed="false">
      <c r="A9" s="4" t="s">
        <v>36</v>
      </c>
      <c r="B9" s="4" t="s">
        <v>37</v>
      </c>
      <c r="C9" s="7" t="s">
        <v>5</v>
      </c>
      <c r="D9" s="7" t="s">
        <v>6</v>
      </c>
      <c r="E9" s="4" t="s">
        <v>23</v>
      </c>
      <c r="F9" s="4" t="s">
        <v>24</v>
      </c>
      <c r="G9" s="5" t="n">
        <v>1.3</v>
      </c>
      <c r="H9" s="5" t="n">
        <v>0</v>
      </c>
      <c r="I9" s="17" t="n">
        <v>0</v>
      </c>
    </row>
    <row r="10" customFormat="false" ht="15" hidden="false" customHeight="false" outlineLevel="0" collapsed="false">
      <c r="A10" s="19" t="s">
        <v>38</v>
      </c>
      <c r="B10" s="19" t="s">
        <v>39</v>
      </c>
      <c r="C10" s="20" t="s">
        <v>5</v>
      </c>
      <c r="D10" s="20" t="s">
        <v>6</v>
      </c>
      <c r="E10" s="19" t="s">
        <v>30</v>
      </c>
      <c r="F10" s="19" t="s">
        <v>31</v>
      </c>
      <c r="G10" s="21" t="n">
        <v>700</v>
      </c>
      <c r="H10" s="21" t="n">
        <v>0</v>
      </c>
      <c r="I10" s="22" t="n">
        <v>0</v>
      </c>
    </row>
    <row r="11" customFormat="false" ht="15" hidden="false" customHeight="false" outlineLevel="0" collapsed="false">
      <c r="A11" s="19" t="s">
        <v>38</v>
      </c>
      <c r="B11" s="19" t="s">
        <v>40</v>
      </c>
      <c r="C11" s="20" t="s">
        <v>5</v>
      </c>
      <c r="D11" s="20" t="s">
        <v>6</v>
      </c>
      <c r="E11" s="19" t="s">
        <v>23</v>
      </c>
      <c r="F11" s="19" t="s">
        <v>35</v>
      </c>
      <c r="G11" s="21" t="n">
        <v>4.9</v>
      </c>
      <c r="H11" s="21" t="n">
        <v>0</v>
      </c>
      <c r="I11" s="22" t="n">
        <v>0</v>
      </c>
    </row>
    <row r="12" customFormat="false" ht="15" hidden="false" customHeight="false" outlineLevel="0" collapsed="false">
      <c r="A12" s="19" t="s">
        <v>38</v>
      </c>
      <c r="B12" s="19" t="s">
        <v>41</v>
      </c>
      <c r="C12" s="20" t="s">
        <v>5</v>
      </c>
      <c r="D12" s="20" t="s">
        <v>6</v>
      </c>
      <c r="E12" s="19" t="s">
        <v>23</v>
      </c>
      <c r="F12" s="19" t="s">
        <v>31</v>
      </c>
      <c r="G12" s="21" t="n">
        <v>1.8</v>
      </c>
      <c r="H12" s="21" t="n">
        <v>0</v>
      </c>
      <c r="I12" s="22" t="n">
        <v>0</v>
      </c>
    </row>
    <row r="13" customFormat="false" ht="15" hidden="false" customHeight="false" outlineLevel="0" collapsed="false">
      <c r="A13" s="4" t="s">
        <v>42</v>
      </c>
      <c r="B13" s="4" t="s">
        <v>43</v>
      </c>
      <c r="C13" s="7" t="s">
        <v>5</v>
      </c>
      <c r="D13" s="7" t="s">
        <v>6</v>
      </c>
      <c r="E13" s="4" t="s">
        <v>23</v>
      </c>
      <c r="F13" s="4" t="s">
        <v>31</v>
      </c>
      <c r="G13" s="5" t="n">
        <v>19</v>
      </c>
      <c r="H13" s="5" t="n">
        <v>0</v>
      </c>
      <c r="I13" s="17" t="n">
        <v>0</v>
      </c>
    </row>
    <row r="14" customFormat="false" ht="15" hidden="false" customHeight="false" outlineLevel="0" collapsed="false">
      <c r="A14" s="8" t="s">
        <v>42</v>
      </c>
      <c r="B14" s="8" t="s">
        <v>44</v>
      </c>
      <c r="C14" s="11" t="s">
        <v>7</v>
      </c>
      <c r="D14" s="11" t="s">
        <v>6</v>
      </c>
      <c r="E14" s="8" t="s">
        <v>23</v>
      </c>
      <c r="F14" s="8" t="s">
        <v>31</v>
      </c>
      <c r="G14" s="9" t="n">
        <v>5</v>
      </c>
      <c r="H14" s="9" t="n">
        <v>0</v>
      </c>
      <c r="I14" s="18" t="n">
        <v>0</v>
      </c>
    </row>
    <row r="15" customFormat="false" ht="15" hidden="false" customHeight="false" outlineLevel="0" collapsed="false">
      <c r="A15" s="4" t="s">
        <v>42</v>
      </c>
      <c r="B15" s="4" t="s">
        <v>42</v>
      </c>
      <c r="C15" s="7" t="s">
        <v>5</v>
      </c>
      <c r="D15" s="7" t="s">
        <v>6</v>
      </c>
      <c r="E15" s="4" t="s">
        <v>23</v>
      </c>
      <c r="F15" s="4" t="s">
        <v>31</v>
      </c>
      <c r="G15" s="5" t="n">
        <v>0.35</v>
      </c>
      <c r="H15" s="5" t="n">
        <v>0</v>
      </c>
      <c r="I15" s="17" t="n">
        <v>0</v>
      </c>
    </row>
    <row r="16" customFormat="false" ht="15" hidden="false" customHeight="false" outlineLevel="0" collapsed="false">
      <c r="A16" s="8" t="s">
        <v>45</v>
      </c>
      <c r="B16" s="8" t="s">
        <v>46</v>
      </c>
      <c r="C16" s="11" t="s">
        <v>5</v>
      </c>
      <c r="D16" s="11" t="s">
        <v>6</v>
      </c>
      <c r="E16" s="8" t="s">
        <v>23</v>
      </c>
      <c r="F16" s="8" t="s">
        <v>31</v>
      </c>
      <c r="G16" s="9" t="n">
        <v>3.75</v>
      </c>
      <c r="H16" s="9" t="n">
        <v>0</v>
      </c>
      <c r="I16" s="18" t="n">
        <v>0</v>
      </c>
    </row>
    <row r="17" customFormat="false" ht="15" hidden="false" customHeight="false" outlineLevel="0" collapsed="false">
      <c r="A17" s="4" t="s">
        <v>47</v>
      </c>
      <c r="B17" s="4" t="s">
        <v>48</v>
      </c>
      <c r="C17" s="7" t="s">
        <v>5</v>
      </c>
      <c r="D17" s="7" t="s">
        <v>6</v>
      </c>
      <c r="E17" s="4" t="s">
        <v>30</v>
      </c>
      <c r="F17" s="4" t="s">
        <v>31</v>
      </c>
      <c r="G17" s="5" t="n">
        <v>40</v>
      </c>
      <c r="H17" s="5" t="n">
        <v>0</v>
      </c>
      <c r="I17" s="17" t="n">
        <v>0</v>
      </c>
    </row>
    <row r="18" customFormat="false" ht="15" hidden="false" customHeight="false" outlineLevel="0" collapsed="false">
      <c r="A18" s="8" t="s">
        <v>49</v>
      </c>
      <c r="B18" s="8" t="s">
        <v>50</v>
      </c>
      <c r="C18" s="11" t="s">
        <v>5</v>
      </c>
      <c r="D18" s="11" t="s">
        <v>6</v>
      </c>
      <c r="E18" s="8" t="s">
        <v>23</v>
      </c>
      <c r="F18" s="8" t="s">
        <v>31</v>
      </c>
      <c r="G18" s="9" t="n">
        <v>19.8</v>
      </c>
      <c r="H18" s="9" t="n">
        <v>0</v>
      </c>
      <c r="I18" s="18" t="n">
        <v>0</v>
      </c>
    </row>
    <row r="19" customFormat="false" ht="15" hidden="false" customHeight="false" outlineLevel="0" collapsed="false">
      <c r="A19" s="4" t="s">
        <v>49</v>
      </c>
      <c r="B19" s="4" t="s">
        <v>51</v>
      </c>
      <c r="C19" s="7" t="s">
        <v>5</v>
      </c>
      <c r="D19" s="7" t="s">
        <v>6</v>
      </c>
      <c r="E19" s="4" t="s">
        <v>23</v>
      </c>
      <c r="F19" s="4" t="s">
        <v>31</v>
      </c>
      <c r="G19" s="5" t="n">
        <v>11.6</v>
      </c>
      <c r="H19" s="5" t="n">
        <v>0</v>
      </c>
      <c r="I19" s="17" t="n">
        <v>0</v>
      </c>
    </row>
    <row r="20" customFormat="false" ht="15" hidden="false" customHeight="false" outlineLevel="0" collapsed="false">
      <c r="A20" s="8" t="s">
        <v>52</v>
      </c>
      <c r="B20" s="8" t="s">
        <v>53</v>
      </c>
      <c r="C20" s="11" t="s">
        <v>5</v>
      </c>
      <c r="D20" s="11" t="s">
        <v>6</v>
      </c>
      <c r="E20" s="8" t="s">
        <v>23</v>
      </c>
      <c r="F20" s="8" t="s">
        <v>54</v>
      </c>
      <c r="G20" s="9" t="n">
        <v>4.32</v>
      </c>
      <c r="H20" s="9" t="n">
        <v>0</v>
      </c>
      <c r="I20" s="18" t="n">
        <v>0</v>
      </c>
    </row>
    <row r="21" customFormat="false" ht="15" hidden="false" customHeight="false" outlineLevel="0" collapsed="false">
      <c r="A21" s="4" t="s">
        <v>55</v>
      </c>
      <c r="B21" s="4" t="s">
        <v>56</v>
      </c>
      <c r="C21" s="7" t="s">
        <v>8</v>
      </c>
      <c r="D21" s="7" t="s">
        <v>6</v>
      </c>
      <c r="E21" s="4" t="s">
        <v>23</v>
      </c>
      <c r="F21" s="4" t="s">
        <v>57</v>
      </c>
      <c r="G21" s="5" t="n">
        <v>0.99</v>
      </c>
      <c r="H21" s="5" t="n">
        <v>0.99</v>
      </c>
      <c r="I21" s="17" t="n">
        <v>13.2</v>
      </c>
    </row>
    <row r="22" customFormat="false" ht="15" hidden="false" customHeight="false" outlineLevel="0" collapsed="false">
      <c r="A22" s="8" t="s">
        <v>58</v>
      </c>
      <c r="B22" s="8" t="s">
        <v>59</v>
      </c>
      <c r="C22" s="11" t="s">
        <v>5</v>
      </c>
      <c r="D22" s="11" t="s">
        <v>6</v>
      </c>
      <c r="E22" s="8" t="s">
        <v>23</v>
      </c>
      <c r="F22" s="8" t="s">
        <v>33</v>
      </c>
      <c r="G22" s="9" t="n">
        <v>19.9</v>
      </c>
      <c r="H22" s="9" t="n">
        <v>0</v>
      </c>
      <c r="I22" s="18" t="n">
        <v>0</v>
      </c>
    </row>
    <row r="23" customFormat="false" ht="15" hidden="false" customHeight="false" outlineLevel="0" collapsed="false">
      <c r="A23" s="4" t="s">
        <v>58</v>
      </c>
      <c r="B23" s="4" t="s">
        <v>60</v>
      </c>
      <c r="C23" s="7" t="s">
        <v>5</v>
      </c>
      <c r="D23" s="7" t="s">
        <v>6</v>
      </c>
      <c r="E23" s="4" t="s">
        <v>23</v>
      </c>
      <c r="F23" s="4" t="s">
        <v>33</v>
      </c>
      <c r="G23" s="5" t="n">
        <v>19.9</v>
      </c>
      <c r="H23" s="5" t="n">
        <v>0</v>
      </c>
      <c r="I23" s="17" t="n">
        <v>0</v>
      </c>
    </row>
    <row r="24" customFormat="false" ht="15" hidden="false" customHeight="false" outlineLevel="0" collapsed="false">
      <c r="A24" s="8" t="s">
        <v>58</v>
      </c>
      <c r="B24" s="8" t="s">
        <v>61</v>
      </c>
      <c r="C24" s="11" t="s">
        <v>5</v>
      </c>
      <c r="D24" s="11" t="s">
        <v>6</v>
      </c>
      <c r="E24" s="8" t="s">
        <v>23</v>
      </c>
      <c r="F24" s="8" t="s">
        <v>33</v>
      </c>
      <c r="G24" s="9" t="n">
        <v>19.9</v>
      </c>
      <c r="H24" s="9" t="n">
        <v>0</v>
      </c>
      <c r="I24" s="18" t="n">
        <v>0</v>
      </c>
    </row>
    <row r="25" customFormat="false" ht="15" hidden="false" customHeight="false" outlineLevel="0" collapsed="false">
      <c r="A25" s="4" t="s">
        <v>62</v>
      </c>
      <c r="B25" s="4" t="s">
        <v>63</v>
      </c>
      <c r="C25" s="7" t="s">
        <v>5</v>
      </c>
      <c r="D25" s="7" t="s">
        <v>6</v>
      </c>
      <c r="E25" s="4" t="s">
        <v>23</v>
      </c>
      <c r="F25" s="4" t="s">
        <v>64</v>
      </c>
      <c r="G25" s="5" t="n">
        <v>5.7</v>
      </c>
      <c r="H25" s="5" t="n">
        <v>0</v>
      </c>
      <c r="I25" s="17" t="n">
        <v>0</v>
      </c>
    </row>
    <row r="26" customFormat="false" ht="15" hidden="false" customHeight="false" outlineLevel="0" collapsed="false">
      <c r="A26" s="8" t="s">
        <v>65</v>
      </c>
      <c r="B26" s="8" t="s">
        <v>66</v>
      </c>
      <c r="C26" s="11" t="s">
        <v>5</v>
      </c>
      <c r="D26" s="11" t="s">
        <v>6</v>
      </c>
      <c r="E26" s="8" t="s">
        <v>23</v>
      </c>
      <c r="F26" s="8" t="s">
        <v>67</v>
      </c>
      <c r="G26" s="9" t="n">
        <v>4.7</v>
      </c>
      <c r="H26" s="9" t="n">
        <v>0</v>
      </c>
      <c r="I26" s="18" t="n">
        <v>0</v>
      </c>
    </row>
    <row r="27" customFormat="false" ht="15" hidden="false" customHeight="false" outlineLevel="0" collapsed="false">
      <c r="A27" s="4" t="s">
        <v>68</v>
      </c>
      <c r="B27" s="4" t="s">
        <v>69</v>
      </c>
      <c r="C27" s="7" t="s">
        <v>5</v>
      </c>
      <c r="D27" s="7" t="s">
        <v>6</v>
      </c>
      <c r="E27" s="4" t="s">
        <v>23</v>
      </c>
      <c r="F27" s="4" t="s">
        <v>70</v>
      </c>
      <c r="G27" s="5" t="n">
        <v>19.9</v>
      </c>
      <c r="H27" s="5" t="n">
        <v>0</v>
      </c>
      <c r="I27" s="17" t="n">
        <v>0</v>
      </c>
    </row>
    <row r="28" customFormat="false" ht="15" hidden="false" customHeight="false" outlineLevel="0" collapsed="false">
      <c r="A28" s="8" t="s">
        <v>68</v>
      </c>
      <c r="B28" s="8" t="s">
        <v>71</v>
      </c>
      <c r="C28" s="11" t="s">
        <v>5</v>
      </c>
      <c r="D28" s="11" t="s">
        <v>6</v>
      </c>
      <c r="E28" s="8" t="s">
        <v>23</v>
      </c>
      <c r="F28" s="8" t="s">
        <v>31</v>
      </c>
      <c r="G28" s="9" t="n">
        <v>19</v>
      </c>
      <c r="H28" s="9" t="n">
        <v>0</v>
      </c>
      <c r="I28" s="18" t="n">
        <v>0</v>
      </c>
    </row>
    <row r="29" customFormat="false" ht="15" hidden="false" customHeight="false" outlineLevel="0" collapsed="false">
      <c r="A29" s="4" t="s">
        <v>68</v>
      </c>
      <c r="B29" s="4" t="s">
        <v>72</v>
      </c>
      <c r="C29" s="7" t="s">
        <v>5</v>
      </c>
      <c r="D29" s="7" t="s">
        <v>6</v>
      </c>
      <c r="E29" s="4" t="s">
        <v>23</v>
      </c>
      <c r="F29" s="4" t="s">
        <v>73</v>
      </c>
      <c r="G29" s="5" t="n">
        <v>9.9</v>
      </c>
      <c r="H29" s="5" t="n">
        <v>0</v>
      </c>
      <c r="I29" s="17" t="n">
        <v>0</v>
      </c>
    </row>
    <row r="30" customFormat="false" ht="15" hidden="false" customHeight="false" outlineLevel="0" collapsed="false">
      <c r="A30" s="8" t="s">
        <v>68</v>
      </c>
      <c r="B30" s="8" t="s">
        <v>74</v>
      </c>
      <c r="C30" s="11" t="s">
        <v>5</v>
      </c>
      <c r="D30" s="11" t="s">
        <v>6</v>
      </c>
      <c r="E30" s="8" t="s">
        <v>23</v>
      </c>
      <c r="F30" s="8" t="s">
        <v>31</v>
      </c>
      <c r="G30" s="9" t="n">
        <v>0.3</v>
      </c>
      <c r="H30" s="9" t="n">
        <v>0</v>
      </c>
      <c r="I30" s="18" t="n">
        <v>0</v>
      </c>
    </row>
    <row r="31" customFormat="false" ht="15" hidden="false" customHeight="false" outlineLevel="0" collapsed="false">
      <c r="A31" s="4" t="s">
        <v>75</v>
      </c>
      <c r="B31" s="4" t="s">
        <v>76</v>
      </c>
      <c r="C31" s="7" t="s">
        <v>5</v>
      </c>
      <c r="D31" s="7" t="s">
        <v>6</v>
      </c>
      <c r="E31" s="4" t="s">
        <v>23</v>
      </c>
      <c r="F31" s="4" t="s">
        <v>31</v>
      </c>
      <c r="G31" s="5" t="n">
        <v>16.7</v>
      </c>
      <c r="H31" s="5" t="n">
        <v>0</v>
      </c>
      <c r="I31" s="17" t="n">
        <v>0</v>
      </c>
    </row>
    <row r="32" customFormat="false" ht="15" hidden="false" customHeight="false" outlineLevel="0" collapsed="false">
      <c r="A32" s="8" t="s">
        <v>77</v>
      </c>
      <c r="B32" s="8" t="s">
        <v>78</v>
      </c>
      <c r="C32" s="11" t="s">
        <v>5</v>
      </c>
      <c r="D32" s="11" t="s">
        <v>6</v>
      </c>
      <c r="E32" s="8" t="s">
        <v>30</v>
      </c>
      <c r="F32" s="8" t="s">
        <v>31</v>
      </c>
      <c r="G32" s="9" t="n">
        <v>306</v>
      </c>
      <c r="H32" s="9" t="n">
        <v>0</v>
      </c>
      <c r="I32" s="18" t="n">
        <v>0</v>
      </c>
    </row>
    <row r="33" customFormat="false" ht="15" hidden="false" customHeight="false" outlineLevel="0" collapsed="false">
      <c r="A33" s="4" t="s">
        <v>77</v>
      </c>
      <c r="B33" s="4" t="s">
        <v>79</v>
      </c>
      <c r="C33" s="7" t="s">
        <v>5</v>
      </c>
      <c r="D33" s="7" t="s">
        <v>6</v>
      </c>
      <c r="E33" s="4" t="s">
        <v>30</v>
      </c>
      <c r="F33" s="4" t="s">
        <v>80</v>
      </c>
      <c r="G33" s="5" t="n">
        <v>78</v>
      </c>
      <c r="H33" s="5" t="n">
        <v>0</v>
      </c>
      <c r="I33" s="17" t="n">
        <v>0</v>
      </c>
    </row>
    <row r="34" customFormat="false" ht="15" hidden="false" customHeight="false" outlineLevel="0" collapsed="false">
      <c r="A34" s="8" t="s">
        <v>81</v>
      </c>
      <c r="B34" s="8" t="s">
        <v>82</v>
      </c>
      <c r="C34" s="11" t="s">
        <v>5</v>
      </c>
      <c r="D34" s="11" t="s">
        <v>6</v>
      </c>
      <c r="E34" s="8" t="s">
        <v>23</v>
      </c>
      <c r="F34" s="8" t="s">
        <v>83</v>
      </c>
      <c r="G34" s="9" t="n">
        <v>2.09</v>
      </c>
      <c r="H34" s="9" t="n">
        <v>0</v>
      </c>
      <c r="I34" s="18" t="n">
        <v>0</v>
      </c>
    </row>
    <row r="35" customFormat="false" ht="15" hidden="false" customHeight="false" outlineLevel="0" collapsed="false">
      <c r="A35" s="4" t="s">
        <v>84</v>
      </c>
      <c r="B35" s="4" t="s">
        <v>85</v>
      </c>
      <c r="C35" s="7" t="s">
        <v>5</v>
      </c>
      <c r="D35" s="7" t="s">
        <v>6</v>
      </c>
      <c r="E35" s="4" t="s">
        <v>30</v>
      </c>
      <c r="F35" s="4" t="s">
        <v>31</v>
      </c>
      <c r="G35" s="5" t="n">
        <v>560</v>
      </c>
      <c r="H35" s="5" t="n">
        <v>0</v>
      </c>
      <c r="I35" s="17" t="n">
        <v>0</v>
      </c>
    </row>
    <row r="36" customFormat="false" ht="15" hidden="false" customHeight="false" outlineLevel="0" collapsed="false">
      <c r="A36" s="19" t="s">
        <v>86</v>
      </c>
      <c r="B36" s="19" t="s">
        <v>87</v>
      </c>
      <c r="C36" s="20" t="s">
        <v>5</v>
      </c>
      <c r="D36" s="20" t="s">
        <v>6</v>
      </c>
      <c r="E36" s="19" t="s">
        <v>30</v>
      </c>
      <c r="F36" s="19" t="s">
        <v>31</v>
      </c>
      <c r="G36" s="21" t="n">
        <v>270</v>
      </c>
      <c r="H36" s="21" t="n">
        <v>0</v>
      </c>
      <c r="I36" s="22" t="n">
        <v>0</v>
      </c>
    </row>
    <row r="37" customFormat="false" ht="15" hidden="false" customHeight="false" outlineLevel="0" collapsed="false">
      <c r="A37" s="19" t="s">
        <v>86</v>
      </c>
      <c r="B37" s="19" t="s">
        <v>88</v>
      </c>
      <c r="C37" s="20" t="s">
        <v>5</v>
      </c>
      <c r="D37" s="20" t="s">
        <v>6</v>
      </c>
      <c r="E37" s="19" t="s">
        <v>30</v>
      </c>
      <c r="F37" s="19" t="s">
        <v>31</v>
      </c>
      <c r="G37" s="21" t="n">
        <v>202</v>
      </c>
      <c r="H37" s="21" t="n">
        <v>0</v>
      </c>
      <c r="I37" s="22" t="n">
        <v>0</v>
      </c>
    </row>
    <row r="38" customFormat="false" ht="15" hidden="false" customHeight="false" outlineLevel="0" collapsed="false">
      <c r="A38" s="19" t="s">
        <v>89</v>
      </c>
      <c r="B38" s="19" t="s">
        <v>89</v>
      </c>
      <c r="C38" s="20" t="s">
        <v>5</v>
      </c>
      <c r="D38" s="20" t="s">
        <v>6</v>
      </c>
      <c r="E38" s="19" t="s">
        <v>30</v>
      </c>
      <c r="F38" s="19" t="s">
        <v>31</v>
      </c>
      <c r="G38" s="21" t="n">
        <v>1200</v>
      </c>
      <c r="H38" s="21" t="n">
        <v>0</v>
      </c>
      <c r="I38" s="22" t="n">
        <v>0</v>
      </c>
    </row>
    <row r="39" customFormat="false" ht="15" hidden="false" customHeight="false" outlineLevel="0" collapsed="false">
      <c r="A39" s="4" t="s">
        <v>90</v>
      </c>
      <c r="B39" s="4" t="s">
        <v>91</v>
      </c>
      <c r="C39" s="7" t="s">
        <v>5</v>
      </c>
      <c r="D39" s="7" t="s">
        <v>6</v>
      </c>
      <c r="E39" s="4" t="s">
        <v>23</v>
      </c>
      <c r="F39" s="4" t="s">
        <v>70</v>
      </c>
      <c r="G39" s="5" t="n">
        <v>19.9</v>
      </c>
      <c r="H39" s="5" t="n">
        <v>0</v>
      </c>
      <c r="I39" s="17" t="n">
        <v>0</v>
      </c>
    </row>
    <row r="40" customFormat="false" ht="15" hidden="false" customHeight="false" outlineLevel="0" collapsed="false">
      <c r="A40" s="8" t="s">
        <v>90</v>
      </c>
      <c r="B40" s="8" t="s">
        <v>92</v>
      </c>
      <c r="C40" s="11" t="s">
        <v>5</v>
      </c>
      <c r="D40" s="11" t="s">
        <v>6</v>
      </c>
      <c r="E40" s="8" t="s">
        <v>23</v>
      </c>
      <c r="F40" s="8" t="s">
        <v>93</v>
      </c>
      <c r="G40" s="9" t="n">
        <v>7.29</v>
      </c>
      <c r="H40" s="9" t="n">
        <v>0</v>
      </c>
      <c r="I40" s="18" t="n">
        <v>0</v>
      </c>
    </row>
    <row r="41" customFormat="false" ht="15" hidden="false" customHeight="false" outlineLevel="0" collapsed="false">
      <c r="A41" s="4" t="s">
        <v>94</v>
      </c>
      <c r="B41" s="4" t="s">
        <v>95</v>
      </c>
      <c r="C41" s="7" t="s">
        <v>8</v>
      </c>
      <c r="D41" s="7" t="s">
        <v>96</v>
      </c>
      <c r="E41" s="4" t="s">
        <v>23</v>
      </c>
      <c r="F41" s="4" t="s">
        <v>97</v>
      </c>
      <c r="G41" s="5" t="n">
        <v>1.392</v>
      </c>
      <c r="H41" s="5" t="n">
        <v>1.44</v>
      </c>
      <c r="I41" s="17" t="n">
        <v>44</v>
      </c>
    </row>
    <row r="42" customFormat="false" ht="15" hidden="false" customHeight="false" outlineLevel="0" collapsed="false">
      <c r="A42" s="8" t="s">
        <v>98</v>
      </c>
      <c r="B42" s="8" t="s">
        <v>99</v>
      </c>
      <c r="C42" s="11" t="s">
        <v>5</v>
      </c>
      <c r="D42" s="11" t="s">
        <v>6</v>
      </c>
      <c r="E42" s="8" t="s">
        <v>23</v>
      </c>
      <c r="F42" s="8" t="s">
        <v>24</v>
      </c>
      <c r="G42" s="9" t="n">
        <v>4.52</v>
      </c>
      <c r="H42" s="9" t="n">
        <v>0</v>
      </c>
      <c r="I42" s="18" t="n">
        <v>0</v>
      </c>
    </row>
    <row r="43" customFormat="false" ht="15" hidden="false" customHeight="false" outlineLevel="0" collapsed="false">
      <c r="A43" s="4" t="s">
        <v>100</v>
      </c>
      <c r="B43" s="4" t="s">
        <v>101</v>
      </c>
      <c r="C43" s="7" t="s">
        <v>5</v>
      </c>
      <c r="D43" s="7" t="s">
        <v>6</v>
      </c>
      <c r="E43" s="4" t="s">
        <v>30</v>
      </c>
      <c r="F43" s="4" t="s">
        <v>80</v>
      </c>
      <c r="G43" s="5" t="n">
        <v>55</v>
      </c>
      <c r="H43" s="5" t="n">
        <v>0</v>
      </c>
      <c r="I43" s="17" t="n">
        <v>0</v>
      </c>
    </row>
    <row r="44" customFormat="false" ht="15" hidden="false" customHeight="false" outlineLevel="0" collapsed="false">
      <c r="A44" s="8" t="s">
        <v>102</v>
      </c>
      <c r="B44" s="8" t="s">
        <v>103</v>
      </c>
      <c r="C44" s="11" t="s">
        <v>5</v>
      </c>
      <c r="D44" s="11" t="s">
        <v>6</v>
      </c>
      <c r="E44" s="8" t="s">
        <v>23</v>
      </c>
      <c r="F44" s="8" t="s">
        <v>31</v>
      </c>
      <c r="G44" s="9" t="n">
        <v>3.15</v>
      </c>
      <c r="H44" s="9" t="n">
        <v>0</v>
      </c>
      <c r="I44" s="18" t="n">
        <v>0</v>
      </c>
    </row>
    <row r="45" customFormat="false" ht="15" hidden="false" customHeight="false" outlineLevel="0" collapsed="false">
      <c r="A45" s="4" t="s">
        <v>102</v>
      </c>
      <c r="B45" s="4" t="s">
        <v>104</v>
      </c>
      <c r="C45" s="7" t="s">
        <v>5</v>
      </c>
      <c r="D45" s="7" t="s">
        <v>6</v>
      </c>
      <c r="E45" s="4" t="s">
        <v>23</v>
      </c>
      <c r="F45" s="4" t="s">
        <v>31</v>
      </c>
      <c r="G45" s="5" t="n">
        <v>0.87</v>
      </c>
      <c r="H45" s="5" t="n">
        <v>0</v>
      </c>
      <c r="I45" s="17" t="n">
        <v>0</v>
      </c>
    </row>
    <row r="46" customFormat="false" ht="15" hidden="false" customHeight="false" outlineLevel="0" collapsed="false">
      <c r="A46" s="8" t="s">
        <v>102</v>
      </c>
      <c r="B46" s="8" t="s">
        <v>105</v>
      </c>
      <c r="C46" s="11" t="s">
        <v>5</v>
      </c>
      <c r="D46" s="11" t="s">
        <v>6</v>
      </c>
      <c r="E46" s="8" t="s">
        <v>23</v>
      </c>
      <c r="F46" s="8" t="s">
        <v>31</v>
      </c>
      <c r="G46" s="9" t="n">
        <v>0.75</v>
      </c>
      <c r="H46" s="9" t="n">
        <v>0</v>
      </c>
      <c r="I46" s="18" t="n">
        <v>0</v>
      </c>
    </row>
    <row r="47" customFormat="false" ht="15" hidden="false" customHeight="false" outlineLevel="0" collapsed="false">
      <c r="A47" s="4" t="s">
        <v>102</v>
      </c>
      <c r="B47" s="4" t="s">
        <v>106</v>
      </c>
      <c r="C47" s="7" t="s">
        <v>5</v>
      </c>
      <c r="D47" s="7" t="s">
        <v>6</v>
      </c>
      <c r="E47" s="4" t="s">
        <v>23</v>
      </c>
      <c r="F47" s="4" t="s">
        <v>31</v>
      </c>
      <c r="G47" s="5" t="n">
        <v>0.41</v>
      </c>
      <c r="H47" s="5" t="n">
        <v>0</v>
      </c>
      <c r="I47" s="17" t="n">
        <v>0</v>
      </c>
    </row>
    <row r="48" customFormat="false" ht="15" hidden="false" customHeight="false" outlineLevel="0" collapsed="false">
      <c r="A48" s="8" t="s">
        <v>102</v>
      </c>
      <c r="B48" s="8" t="s">
        <v>107</v>
      </c>
      <c r="C48" s="11" t="s">
        <v>8</v>
      </c>
      <c r="D48" s="11" t="s">
        <v>6</v>
      </c>
      <c r="E48" s="8" t="s">
        <v>23</v>
      </c>
      <c r="F48" s="8" t="s">
        <v>97</v>
      </c>
      <c r="G48" s="9" t="n">
        <v>0.0127</v>
      </c>
      <c r="H48" s="9" t="n">
        <v>0.013</v>
      </c>
      <c r="I48" s="18" t="n">
        <v>7.6</v>
      </c>
    </row>
    <row r="49" customFormat="false" ht="15" hidden="false" customHeight="false" outlineLevel="0" collapsed="false">
      <c r="A49" s="4" t="s">
        <v>102</v>
      </c>
      <c r="B49" s="4" t="s">
        <v>108</v>
      </c>
      <c r="C49" s="7" t="s">
        <v>8</v>
      </c>
      <c r="D49" s="7" t="s">
        <v>6</v>
      </c>
      <c r="E49" s="4" t="s">
        <v>23</v>
      </c>
      <c r="F49" s="4" t="s">
        <v>97</v>
      </c>
      <c r="G49" s="5" t="n">
        <v>0.0037</v>
      </c>
      <c r="H49" s="5" t="n">
        <v>0.004</v>
      </c>
      <c r="I49" s="17" t="n">
        <v>7.6</v>
      </c>
    </row>
    <row r="50" customFormat="false" ht="15" hidden="false" customHeight="false" outlineLevel="0" collapsed="false">
      <c r="A50" s="8" t="s">
        <v>109</v>
      </c>
      <c r="B50" s="8" t="s">
        <v>110</v>
      </c>
      <c r="C50" s="11" t="s">
        <v>7</v>
      </c>
      <c r="D50" s="11" t="s">
        <v>6</v>
      </c>
      <c r="E50" s="8" t="s">
        <v>30</v>
      </c>
      <c r="F50" s="8" t="s">
        <v>31</v>
      </c>
      <c r="G50" s="9" t="n">
        <v>352</v>
      </c>
      <c r="H50" s="9" t="n">
        <v>0</v>
      </c>
      <c r="I50" s="18" t="n">
        <v>0</v>
      </c>
    </row>
    <row r="51" customFormat="false" ht="15" hidden="false" customHeight="false" outlineLevel="0" collapsed="false">
      <c r="A51" s="4" t="s">
        <v>109</v>
      </c>
      <c r="B51" s="4" t="s">
        <v>111</v>
      </c>
      <c r="C51" s="7" t="s">
        <v>5</v>
      </c>
      <c r="D51" s="7" t="s">
        <v>6</v>
      </c>
      <c r="E51" s="4" t="s">
        <v>23</v>
      </c>
      <c r="F51" s="4" t="s">
        <v>112</v>
      </c>
      <c r="G51" s="5" t="n">
        <v>9</v>
      </c>
      <c r="H51" s="5" t="n">
        <v>0</v>
      </c>
      <c r="I51" s="17" t="n">
        <v>0</v>
      </c>
    </row>
    <row r="52" customFormat="false" ht="15" hidden="false" customHeight="false" outlineLevel="0" collapsed="false">
      <c r="A52" s="8" t="s">
        <v>113</v>
      </c>
      <c r="B52" s="8" t="s">
        <v>114</v>
      </c>
      <c r="C52" s="11" t="s">
        <v>5</v>
      </c>
      <c r="D52" s="11" t="s">
        <v>6</v>
      </c>
      <c r="E52" s="8" t="s">
        <v>23</v>
      </c>
      <c r="F52" s="8" t="s">
        <v>115</v>
      </c>
      <c r="G52" s="9" t="n">
        <v>1</v>
      </c>
      <c r="H52" s="9" t="n">
        <v>0</v>
      </c>
      <c r="I52" s="18" t="n">
        <v>0</v>
      </c>
    </row>
    <row r="53" customFormat="false" ht="15" hidden="false" customHeight="false" outlineLevel="0" collapsed="false">
      <c r="A53" s="4" t="s">
        <v>113</v>
      </c>
      <c r="B53" s="4" t="s">
        <v>116</v>
      </c>
      <c r="C53" s="7" t="s">
        <v>5</v>
      </c>
      <c r="D53" s="7" t="s">
        <v>6</v>
      </c>
      <c r="E53" s="4" t="s">
        <v>23</v>
      </c>
      <c r="F53" s="4" t="s">
        <v>117</v>
      </c>
      <c r="G53" s="5" t="n">
        <v>1</v>
      </c>
      <c r="H53" s="5" t="n">
        <v>0</v>
      </c>
      <c r="I53" s="17" t="n">
        <v>0</v>
      </c>
    </row>
    <row r="54" customFormat="false" ht="15" hidden="false" customHeight="false" outlineLevel="0" collapsed="false">
      <c r="A54" s="8" t="s">
        <v>113</v>
      </c>
      <c r="B54" s="8" t="s">
        <v>113</v>
      </c>
      <c r="C54" s="11" t="s">
        <v>5</v>
      </c>
      <c r="D54" s="11" t="s">
        <v>6</v>
      </c>
      <c r="E54" s="8" t="s">
        <v>23</v>
      </c>
      <c r="F54" s="8" t="s">
        <v>118</v>
      </c>
      <c r="G54" s="9" t="n">
        <v>0.75</v>
      </c>
      <c r="H54" s="9" t="n">
        <v>0</v>
      </c>
      <c r="I54" s="18" t="n">
        <v>0</v>
      </c>
    </row>
    <row r="55" customFormat="false" ht="15" hidden="false" customHeight="false" outlineLevel="0" collapsed="false">
      <c r="A55" s="4" t="s">
        <v>119</v>
      </c>
      <c r="B55" s="4" t="s">
        <v>120</v>
      </c>
      <c r="C55" s="7" t="s">
        <v>8</v>
      </c>
      <c r="D55" s="7" t="s">
        <v>96</v>
      </c>
      <c r="E55" s="4" t="s">
        <v>23</v>
      </c>
      <c r="F55" s="4" t="s">
        <v>97</v>
      </c>
      <c r="G55" s="5" t="n">
        <v>1.406</v>
      </c>
      <c r="H55" s="5" t="n">
        <v>1.5</v>
      </c>
      <c r="I55" s="17" t="n">
        <v>44</v>
      </c>
    </row>
    <row r="56" customFormat="false" ht="15" hidden="false" customHeight="false" outlineLevel="0" collapsed="false">
      <c r="A56" s="8" t="s">
        <v>119</v>
      </c>
      <c r="B56" s="8" t="s">
        <v>121</v>
      </c>
      <c r="C56" s="11" t="s">
        <v>8</v>
      </c>
      <c r="D56" s="11" t="s">
        <v>6</v>
      </c>
      <c r="E56" s="8" t="s">
        <v>23</v>
      </c>
      <c r="F56" s="8" t="s">
        <v>97</v>
      </c>
      <c r="G56" s="9" t="n">
        <v>0.99</v>
      </c>
      <c r="H56" s="9" t="n">
        <v>0.99</v>
      </c>
      <c r="I56" s="18" t="n">
        <v>13.2</v>
      </c>
    </row>
    <row r="57" customFormat="false" ht="15" hidden="false" customHeight="false" outlineLevel="0" collapsed="false">
      <c r="A57" s="4" t="s">
        <v>122</v>
      </c>
      <c r="B57" s="4" t="s">
        <v>123</v>
      </c>
      <c r="C57" s="7" t="s">
        <v>5</v>
      </c>
      <c r="D57" s="7" t="s">
        <v>6</v>
      </c>
      <c r="E57" s="4" t="s">
        <v>23</v>
      </c>
      <c r="F57" s="4" t="s">
        <v>33</v>
      </c>
      <c r="G57" s="5" t="n">
        <v>19.9</v>
      </c>
      <c r="H57" s="5" t="n">
        <v>0</v>
      </c>
      <c r="I57" s="17" t="n">
        <v>0</v>
      </c>
    </row>
    <row r="58" customFormat="false" ht="15" hidden="false" customHeight="false" outlineLevel="0" collapsed="false">
      <c r="A58" s="8" t="s">
        <v>124</v>
      </c>
      <c r="B58" s="8" t="s">
        <v>125</v>
      </c>
      <c r="C58" s="11" t="s">
        <v>5</v>
      </c>
      <c r="D58" s="11" t="s">
        <v>6</v>
      </c>
      <c r="E58" s="8" t="s">
        <v>23</v>
      </c>
      <c r="F58" s="8" t="s">
        <v>70</v>
      </c>
      <c r="G58" s="9" t="n">
        <v>19.9</v>
      </c>
      <c r="H58" s="9" t="n">
        <v>0</v>
      </c>
      <c r="I58" s="18" t="n">
        <v>0</v>
      </c>
    </row>
    <row r="59" customFormat="false" ht="15" hidden="false" customHeight="false" outlineLevel="0" collapsed="false">
      <c r="A59" s="4" t="s">
        <v>124</v>
      </c>
      <c r="B59" s="4" t="s">
        <v>126</v>
      </c>
      <c r="C59" s="7" t="s">
        <v>5</v>
      </c>
      <c r="D59" s="7" t="s">
        <v>6</v>
      </c>
      <c r="E59" s="4" t="s">
        <v>23</v>
      </c>
      <c r="F59" s="4" t="s">
        <v>127</v>
      </c>
      <c r="G59" s="5" t="n">
        <v>15</v>
      </c>
      <c r="H59" s="5" t="n">
        <v>0</v>
      </c>
      <c r="I59" s="17" t="n">
        <v>0</v>
      </c>
    </row>
    <row r="60" customFormat="false" ht="15" hidden="false" customHeight="false" outlineLevel="0" collapsed="false">
      <c r="A60" s="8" t="s">
        <v>128</v>
      </c>
      <c r="B60" s="8" t="s">
        <v>128</v>
      </c>
      <c r="C60" s="11" t="s">
        <v>5</v>
      </c>
      <c r="D60" s="11" t="s">
        <v>6</v>
      </c>
      <c r="E60" s="8" t="s">
        <v>30</v>
      </c>
      <c r="F60" s="8" t="s">
        <v>33</v>
      </c>
      <c r="G60" s="9" t="n">
        <v>1240</v>
      </c>
      <c r="H60" s="9" t="n">
        <v>0</v>
      </c>
      <c r="I60" s="18" t="n">
        <v>0</v>
      </c>
    </row>
    <row r="61" customFormat="false" ht="15" hidden="false" customHeight="false" outlineLevel="0" collapsed="false">
      <c r="A61" s="4" t="s">
        <v>128</v>
      </c>
      <c r="B61" s="4" t="s">
        <v>129</v>
      </c>
      <c r="C61" s="7" t="s">
        <v>5</v>
      </c>
      <c r="D61" s="7" t="s">
        <v>6</v>
      </c>
      <c r="E61" s="4" t="s">
        <v>30</v>
      </c>
      <c r="F61" s="4" t="s">
        <v>31</v>
      </c>
      <c r="G61" s="5" t="n">
        <v>207</v>
      </c>
      <c r="H61" s="5" t="n">
        <v>0</v>
      </c>
      <c r="I61" s="17" t="n">
        <v>0</v>
      </c>
    </row>
    <row r="62" customFormat="false" ht="15" hidden="false" customHeight="false" outlineLevel="0" collapsed="false">
      <c r="A62" s="8" t="s">
        <v>128</v>
      </c>
      <c r="B62" s="8" t="s">
        <v>130</v>
      </c>
      <c r="C62" s="11" t="s">
        <v>5</v>
      </c>
      <c r="D62" s="11" t="s">
        <v>6</v>
      </c>
      <c r="E62" s="8" t="s">
        <v>23</v>
      </c>
      <c r="F62" s="8" t="s">
        <v>33</v>
      </c>
      <c r="G62" s="9" t="n">
        <v>19.9</v>
      </c>
      <c r="H62" s="9" t="n">
        <v>0</v>
      </c>
      <c r="I62" s="18" t="n">
        <v>0</v>
      </c>
    </row>
    <row r="63" customFormat="false" ht="15" hidden="false" customHeight="false" outlineLevel="0" collapsed="false">
      <c r="A63" s="19" t="s">
        <v>131</v>
      </c>
      <c r="B63" s="19" t="s">
        <v>132</v>
      </c>
      <c r="C63" s="20" t="s">
        <v>5</v>
      </c>
      <c r="D63" s="20" t="s">
        <v>6</v>
      </c>
      <c r="E63" s="19" t="s">
        <v>23</v>
      </c>
      <c r="F63" s="19" t="s">
        <v>24</v>
      </c>
      <c r="G63" s="21" t="n">
        <v>1.1</v>
      </c>
      <c r="H63" s="21" t="n">
        <v>0</v>
      </c>
      <c r="I63" s="22" t="n">
        <v>0</v>
      </c>
    </row>
    <row r="64" customFormat="false" ht="15" hidden="false" customHeight="false" outlineLevel="0" collapsed="false">
      <c r="A64" s="19" t="s">
        <v>131</v>
      </c>
      <c r="B64" s="19" t="s">
        <v>133</v>
      </c>
      <c r="C64" s="20" t="s">
        <v>5</v>
      </c>
      <c r="D64" s="20" t="s">
        <v>6</v>
      </c>
      <c r="E64" s="19" t="s">
        <v>23</v>
      </c>
      <c r="F64" s="19" t="s">
        <v>24</v>
      </c>
      <c r="G64" s="21" t="n">
        <v>0.4</v>
      </c>
      <c r="H64" s="21" t="n">
        <v>0</v>
      </c>
      <c r="I64" s="22" t="n">
        <v>0</v>
      </c>
    </row>
    <row r="65" customFormat="false" ht="15" hidden="false" customHeight="false" outlineLevel="0" collapsed="false">
      <c r="A65" s="4" t="s">
        <v>134</v>
      </c>
      <c r="B65" s="4" t="s">
        <v>135</v>
      </c>
      <c r="C65" s="7" t="s">
        <v>5</v>
      </c>
      <c r="D65" s="7" t="s">
        <v>6</v>
      </c>
      <c r="E65" s="4" t="s">
        <v>30</v>
      </c>
      <c r="F65" s="4" t="s">
        <v>33</v>
      </c>
      <c r="G65" s="5" t="n">
        <v>50</v>
      </c>
      <c r="H65" s="5" t="n">
        <v>0</v>
      </c>
      <c r="I65" s="17" t="n">
        <v>0</v>
      </c>
    </row>
    <row r="66" customFormat="false" ht="15" hidden="false" customHeight="false" outlineLevel="0" collapsed="false">
      <c r="A66" s="8" t="s">
        <v>136</v>
      </c>
      <c r="B66" s="8" t="s">
        <v>137</v>
      </c>
      <c r="C66" s="11" t="s">
        <v>5</v>
      </c>
      <c r="D66" s="11" t="s">
        <v>6</v>
      </c>
      <c r="E66" s="8" t="s">
        <v>30</v>
      </c>
      <c r="F66" s="8" t="s">
        <v>33</v>
      </c>
      <c r="G66" s="9" t="n">
        <v>170</v>
      </c>
      <c r="H66" s="9" t="n">
        <v>0</v>
      </c>
      <c r="I66" s="18" t="n">
        <v>0</v>
      </c>
    </row>
    <row r="67" customFormat="false" ht="15" hidden="false" customHeight="false" outlineLevel="0" collapsed="false">
      <c r="A67" s="4" t="s">
        <v>138</v>
      </c>
      <c r="B67" s="4" t="s">
        <v>139</v>
      </c>
      <c r="C67" s="7" t="s">
        <v>5</v>
      </c>
      <c r="D67" s="7" t="s">
        <v>6</v>
      </c>
      <c r="E67" s="4" t="s">
        <v>23</v>
      </c>
      <c r="F67" s="4" t="s">
        <v>140</v>
      </c>
      <c r="G67" s="5" t="n">
        <v>2.3</v>
      </c>
      <c r="H67" s="5" t="n">
        <v>0</v>
      </c>
      <c r="I67" s="17" t="n">
        <v>0</v>
      </c>
    </row>
    <row r="68" customFormat="false" ht="15" hidden="false" customHeight="false" outlineLevel="0" collapsed="false">
      <c r="A68" s="8" t="s">
        <v>138</v>
      </c>
      <c r="B68" s="8" t="s">
        <v>141</v>
      </c>
      <c r="C68" s="11" t="s">
        <v>5</v>
      </c>
      <c r="D68" s="11" t="s">
        <v>6</v>
      </c>
      <c r="E68" s="8" t="s">
        <v>23</v>
      </c>
      <c r="F68" s="8" t="s">
        <v>142</v>
      </c>
      <c r="G68" s="9" t="n">
        <v>0.945</v>
      </c>
      <c r="H68" s="9" t="n">
        <v>0</v>
      </c>
      <c r="I68" s="18" t="n">
        <v>0</v>
      </c>
    </row>
    <row r="69" customFormat="false" ht="15" hidden="false" customHeight="false" outlineLevel="0" collapsed="false">
      <c r="A69" s="4" t="s">
        <v>138</v>
      </c>
      <c r="B69" s="4" t="s">
        <v>143</v>
      </c>
      <c r="C69" s="7" t="s">
        <v>5</v>
      </c>
      <c r="D69" s="7" t="s">
        <v>6</v>
      </c>
      <c r="E69" s="4" t="s">
        <v>23</v>
      </c>
      <c r="F69" s="4" t="s">
        <v>35</v>
      </c>
      <c r="G69" s="5" t="n">
        <v>0.7</v>
      </c>
      <c r="H69" s="5" t="n">
        <v>0</v>
      </c>
      <c r="I69" s="17" t="n">
        <v>0</v>
      </c>
    </row>
    <row r="70" customFormat="false" ht="15" hidden="false" customHeight="false" outlineLevel="0" collapsed="false">
      <c r="A70" s="8" t="s">
        <v>144</v>
      </c>
      <c r="B70" s="8" t="s">
        <v>145</v>
      </c>
      <c r="C70" s="11" t="s">
        <v>5</v>
      </c>
      <c r="D70" s="11" t="s">
        <v>6</v>
      </c>
      <c r="E70" s="8" t="s">
        <v>23</v>
      </c>
      <c r="F70" s="8" t="s">
        <v>112</v>
      </c>
      <c r="G70" s="9" t="n">
        <v>6.5</v>
      </c>
      <c r="H70" s="9" t="n">
        <v>0</v>
      </c>
      <c r="I70" s="18" t="n">
        <v>0</v>
      </c>
    </row>
    <row r="71" customFormat="false" ht="15" hidden="false" customHeight="false" outlineLevel="0" collapsed="false">
      <c r="A71" s="4" t="s">
        <v>146</v>
      </c>
      <c r="B71" s="4" t="s">
        <v>147</v>
      </c>
      <c r="C71" s="7" t="s">
        <v>5</v>
      </c>
      <c r="D71" s="7" t="s">
        <v>96</v>
      </c>
      <c r="E71" s="4" t="s">
        <v>23</v>
      </c>
      <c r="F71" s="4" t="s">
        <v>148</v>
      </c>
      <c r="G71" s="5" t="n">
        <v>9.9</v>
      </c>
      <c r="H71" s="5" t="n">
        <v>0</v>
      </c>
      <c r="I71" s="17" t="n">
        <v>0</v>
      </c>
    </row>
    <row r="72" customFormat="false" ht="15" hidden="false" customHeight="false" outlineLevel="0" collapsed="false">
      <c r="A72" s="8" t="s">
        <v>149</v>
      </c>
      <c r="B72" s="8" t="s">
        <v>150</v>
      </c>
      <c r="C72" s="11" t="s">
        <v>5</v>
      </c>
      <c r="D72" s="11" t="s">
        <v>6</v>
      </c>
      <c r="E72" s="8" t="s">
        <v>23</v>
      </c>
      <c r="F72" s="8" t="s">
        <v>33</v>
      </c>
      <c r="G72" s="9" t="n">
        <v>9.5</v>
      </c>
      <c r="H72" s="9" t="n">
        <v>0</v>
      </c>
      <c r="I72" s="18" t="n">
        <v>0</v>
      </c>
    </row>
    <row r="73" customFormat="false" ht="15" hidden="false" customHeight="false" outlineLevel="0" collapsed="false">
      <c r="A73" s="4" t="s">
        <v>149</v>
      </c>
      <c r="B73" s="4" t="s">
        <v>151</v>
      </c>
      <c r="C73" s="7" t="s">
        <v>5</v>
      </c>
      <c r="D73" s="7" t="s">
        <v>6</v>
      </c>
      <c r="E73" s="4" t="s">
        <v>23</v>
      </c>
      <c r="F73" s="4" t="s">
        <v>33</v>
      </c>
      <c r="G73" s="5" t="n">
        <v>9.5</v>
      </c>
      <c r="H73" s="5" t="n">
        <v>0</v>
      </c>
      <c r="I73" s="17" t="n">
        <v>0</v>
      </c>
    </row>
    <row r="74" customFormat="false" ht="15" hidden="false" customHeight="false" outlineLevel="0" collapsed="false">
      <c r="A74" s="8" t="s">
        <v>149</v>
      </c>
      <c r="B74" s="8" t="s">
        <v>152</v>
      </c>
      <c r="C74" s="11" t="s">
        <v>5</v>
      </c>
      <c r="D74" s="11" t="s">
        <v>6</v>
      </c>
      <c r="E74" s="8" t="s">
        <v>23</v>
      </c>
      <c r="F74" s="8" t="s">
        <v>140</v>
      </c>
      <c r="G74" s="9" t="n">
        <v>2.8</v>
      </c>
      <c r="H74" s="9" t="n">
        <v>0</v>
      </c>
      <c r="I74" s="18" t="n">
        <v>0</v>
      </c>
    </row>
    <row r="75" customFormat="false" ht="15" hidden="false" customHeight="false" outlineLevel="0" collapsed="false">
      <c r="A75" s="4" t="s">
        <v>153</v>
      </c>
      <c r="B75" s="4" t="s">
        <v>154</v>
      </c>
      <c r="C75" s="7" t="s">
        <v>5</v>
      </c>
      <c r="D75" s="7" t="s">
        <v>6</v>
      </c>
      <c r="E75" s="4" t="s">
        <v>23</v>
      </c>
      <c r="F75" s="4" t="s">
        <v>155</v>
      </c>
      <c r="G75" s="5" t="n">
        <v>2.8</v>
      </c>
      <c r="H75" s="5" t="n">
        <v>0</v>
      </c>
      <c r="I75" s="17" t="n">
        <v>0</v>
      </c>
    </row>
    <row r="76" customFormat="false" ht="15" hidden="false" customHeight="false" outlineLevel="0" collapsed="false">
      <c r="A76" s="8" t="s">
        <v>156</v>
      </c>
      <c r="B76" s="8" t="s">
        <v>157</v>
      </c>
      <c r="C76" s="11" t="s">
        <v>5</v>
      </c>
      <c r="D76" s="11" t="s">
        <v>6</v>
      </c>
      <c r="E76" s="8" t="s">
        <v>23</v>
      </c>
      <c r="F76" s="8" t="s">
        <v>158</v>
      </c>
      <c r="G76" s="9" t="n">
        <v>19.4</v>
      </c>
      <c r="H76" s="9" t="n">
        <v>0</v>
      </c>
      <c r="I76" s="18" t="n">
        <v>0</v>
      </c>
    </row>
    <row r="77" customFormat="false" ht="15" hidden="false" customHeight="false" outlineLevel="0" collapsed="false">
      <c r="A77" s="4" t="s">
        <v>156</v>
      </c>
      <c r="B77" s="4" t="s">
        <v>159</v>
      </c>
      <c r="C77" s="7" t="s">
        <v>5</v>
      </c>
      <c r="D77" s="7" t="s">
        <v>6</v>
      </c>
      <c r="E77" s="4" t="s">
        <v>23</v>
      </c>
      <c r="F77" s="4" t="s">
        <v>31</v>
      </c>
      <c r="G77" s="5" t="n">
        <v>18.5</v>
      </c>
      <c r="H77" s="5" t="n">
        <v>0</v>
      </c>
      <c r="I77" s="17" t="n">
        <v>0</v>
      </c>
    </row>
    <row r="78" customFormat="false" ht="15" hidden="false" customHeight="false" outlineLevel="0" collapsed="false">
      <c r="A78" s="8" t="s">
        <v>160</v>
      </c>
      <c r="B78" s="8" t="s">
        <v>161</v>
      </c>
      <c r="C78" s="11" t="s">
        <v>5</v>
      </c>
      <c r="D78" s="11" t="s">
        <v>96</v>
      </c>
      <c r="E78" s="8" t="s">
        <v>23</v>
      </c>
      <c r="F78" s="8" t="s">
        <v>162</v>
      </c>
      <c r="G78" s="9" t="n">
        <v>10.5</v>
      </c>
      <c r="H78" s="9" t="n">
        <v>0</v>
      </c>
      <c r="I78" s="18" t="n">
        <v>0</v>
      </c>
    </row>
    <row r="79" customFormat="false" ht="15" hidden="false" customHeight="false" outlineLevel="0" collapsed="false">
      <c r="A79" s="4" t="s">
        <v>163</v>
      </c>
      <c r="B79" s="4" t="s">
        <v>164</v>
      </c>
      <c r="C79" s="7" t="s">
        <v>5</v>
      </c>
      <c r="D79" s="7" t="s">
        <v>6</v>
      </c>
      <c r="E79" s="4" t="s">
        <v>23</v>
      </c>
      <c r="F79" s="4" t="s">
        <v>165</v>
      </c>
      <c r="G79" s="5" t="n">
        <v>7.34</v>
      </c>
      <c r="H79" s="5" t="n">
        <v>0</v>
      </c>
      <c r="I79" s="17" t="n">
        <v>0</v>
      </c>
    </row>
    <row r="80" customFormat="false" ht="15" hidden="false" customHeight="false" outlineLevel="0" collapsed="false">
      <c r="A80" s="8" t="s">
        <v>166</v>
      </c>
      <c r="B80" s="8" t="s">
        <v>167</v>
      </c>
      <c r="C80" s="11" t="s">
        <v>5</v>
      </c>
      <c r="D80" s="11" t="s">
        <v>6</v>
      </c>
      <c r="E80" s="8" t="s">
        <v>23</v>
      </c>
      <c r="F80" s="8" t="s">
        <v>31</v>
      </c>
      <c r="G80" s="9" t="n">
        <v>1</v>
      </c>
      <c r="H80" s="9" t="n">
        <v>0</v>
      </c>
      <c r="I80" s="18" t="n">
        <v>0</v>
      </c>
    </row>
    <row r="81" customFormat="false" ht="15" hidden="false" customHeight="false" outlineLevel="0" collapsed="false">
      <c r="A81" s="4" t="s">
        <v>168</v>
      </c>
      <c r="B81" s="4" t="s">
        <v>168</v>
      </c>
      <c r="C81" s="7" t="s">
        <v>5</v>
      </c>
      <c r="D81" s="7" t="s">
        <v>6</v>
      </c>
      <c r="E81" s="4" t="s">
        <v>23</v>
      </c>
      <c r="F81" s="4" t="s">
        <v>83</v>
      </c>
      <c r="G81" s="5" t="n">
        <v>1.03</v>
      </c>
      <c r="H81" s="5" t="n">
        <v>0</v>
      </c>
      <c r="I81" s="17" t="n">
        <v>0</v>
      </c>
    </row>
    <row r="82" customFormat="false" ht="15" hidden="false" customHeight="false" outlineLevel="0" collapsed="false">
      <c r="A82" s="19" t="s">
        <v>169</v>
      </c>
      <c r="B82" s="19" t="s">
        <v>170</v>
      </c>
      <c r="C82" s="20" t="s">
        <v>5</v>
      </c>
      <c r="D82" s="20" t="s">
        <v>6</v>
      </c>
      <c r="E82" s="19" t="s">
        <v>23</v>
      </c>
      <c r="F82" s="19" t="s">
        <v>31</v>
      </c>
      <c r="G82" s="21" t="n">
        <v>13.2</v>
      </c>
      <c r="H82" s="21" t="n">
        <v>0</v>
      </c>
      <c r="I82" s="22" t="n">
        <v>0</v>
      </c>
    </row>
    <row r="83" customFormat="false" ht="15" hidden="false" customHeight="false" outlineLevel="0" collapsed="false">
      <c r="A83" s="12" t="s">
        <v>171</v>
      </c>
      <c r="B83" s="15"/>
      <c r="C83" s="15"/>
      <c r="D83" s="15"/>
      <c r="E83" s="15"/>
      <c r="F83" s="15"/>
      <c r="G83" s="13" t="n">
        <f aca="false">SUM(G3:G82)</f>
        <v>6350.3694</v>
      </c>
      <c r="H83" s="15"/>
      <c r="I83" s="15"/>
    </row>
    <row r="85" customFormat="false" ht="15" hidden="false" customHeight="false" outlineLevel="0" collapsed="false">
      <c r="A85" s="16" t="s">
        <v>172</v>
      </c>
      <c r="B85" s="16"/>
      <c r="C85" s="16"/>
      <c r="D85" s="16"/>
      <c r="E85" s="16"/>
      <c r="F85" s="16"/>
      <c r="G85" s="16"/>
      <c r="H85" s="16"/>
      <c r="I85" s="16"/>
    </row>
    <row r="86" customFormat="false" ht="15" hidden="false" customHeight="false" outlineLevel="0" collapsed="false">
      <c r="A86" s="16" t="s">
        <v>173</v>
      </c>
      <c r="B86" s="16"/>
      <c r="C86" s="16"/>
      <c r="D86" s="16"/>
      <c r="E86" s="16"/>
      <c r="F86" s="16"/>
      <c r="G86" s="16"/>
      <c r="H86" s="16"/>
      <c r="I86" s="16"/>
    </row>
  </sheetData>
  <mergeCells count="3">
    <mergeCell ref="A1:I1"/>
    <mergeCell ref="A85:I85"/>
    <mergeCell ref="A86:I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174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1</v>
      </c>
      <c r="D2" s="2" t="s">
        <v>15</v>
      </c>
      <c r="E2" s="2" t="s">
        <v>17</v>
      </c>
      <c r="F2" s="2" t="s">
        <v>18</v>
      </c>
      <c r="G2" s="2" t="s">
        <v>175</v>
      </c>
      <c r="H2" s="2" t="s">
        <v>176</v>
      </c>
    </row>
    <row r="3" customFormat="false" ht="15" hidden="false" customHeight="false" outlineLevel="0" collapsed="false">
      <c r="A3" s="4" t="s">
        <v>89</v>
      </c>
      <c r="B3" s="4" t="s">
        <v>89</v>
      </c>
      <c r="C3" s="7" t="s">
        <v>5</v>
      </c>
      <c r="D3" s="7" t="s">
        <v>6</v>
      </c>
      <c r="E3" s="4" t="s">
        <v>31</v>
      </c>
      <c r="F3" s="5" t="n">
        <v>1200</v>
      </c>
      <c r="G3" s="23" t="n">
        <v>0.0523</v>
      </c>
      <c r="H3" s="23" t="n">
        <v>0.189</v>
      </c>
    </row>
    <row r="4" customFormat="false" ht="15" hidden="false" customHeight="false" outlineLevel="0" collapsed="false">
      <c r="A4" s="8" t="s">
        <v>38</v>
      </c>
      <c r="B4" s="8" t="s">
        <v>39</v>
      </c>
      <c r="C4" s="11" t="s">
        <v>5</v>
      </c>
      <c r="D4" s="11" t="s">
        <v>6</v>
      </c>
      <c r="E4" s="8" t="s">
        <v>31</v>
      </c>
      <c r="F4" s="9" t="n">
        <v>700</v>
      </c>
      <c r="G4" s="24" t="n">
        <v>0.0305</v>
      </c>
      <c r="H4" s="24" t="n">
        <v>0.1102</v>
      </c>
    </row>
    <row r="5" customFormat="false" ht="15" hidden="false" customHeight="false" outlineLevel="0" collapsed="false">
      <c r="A5" s="4" t="s">
        <v>86</v>
      </c>
      <c r="B5" s="4" t="s">
        <v>87</v>
      </c>
      <c r="C5" s="7" t="s">
        <v>5</v>
      </c>
      <c r="D5" s="7" t="s">
        <v>6</v>
      </c>
      <c r="E5" s="4" t="s">
        <v>31</v>
      </c>
      <c r="F5" s="5" t="n">
        <v>270</v>
      </c>
      <c r="G5" s="23" t="n">
        <v>0.0118</v>
      </c>
      <c r="H5" s="23" t="n">
        <v>0.0425</v>
      </c>
    </row>
    <row r="6" customFormat="false" ht="15" hidden="false" customHeight="false" outlineLevel="0" collapsed="false">
      <c r="A6" s="8" t="s">
        <v>86</v>
      </c>
      <c r="B6" s="8" t="s">
        <v>88</v>
      </c>
      <c r="C6" s="11" t="s">
        <v>5</v>
      </c>
      <c r="D6" s="11" t="s">
        <v>6</v>
      </c>
      <c r="E6" s="8" t="s">
        <v>31</v>
      </c>
      <c r="F6" s="9" t="n">
        <v>202</v>
      </c>
      <c r="G6" s="24" t="n">
        <v>0.0088</v>
      </c>
      <c r="H6" s="24" t="n">
        <v>0.0318</v>
      </c>
    </row>
    <row r="7" customFormat="false" ht="15" hidden="false" customHeight="false" outlineLevel="0" collapsed="false">
      <c r="A7" s="4" t="s">
        <v>169</v>
      </c>
      <c r="B7" s="4" t="s">
        <v>170</v>
      </c>
      <c r="C7" s="7" t="s">
        <v>5</v>
      </c>
      <c r="D7" s="7" t="s">
        <v>6</v>
      </c>
      <c r="E7" s="4" t="s">
        <v>31</v>
      </c>
      <c r="F7" s="5" t="n">
        <v>13.2</v>
      </c>
      <c r="G7" s="23" t="n">
        <v>0.0006</v>
      </c>
      <c r="H7" s="23" t="n">
        <v>0.0021</v>
      </c>
    </row>
    <row r="8" customFormat="false" ht="15" hidden="false" customHeight="false" outlineLevel="0" collapsed="false">
      <c r="A8" s="8" t="s">
        <v>38</v>
      </c>
      <c r="B8" s="8" t="s">
        <v>40</v>
      </c>
      <c r="C8" s="11" t="s">
        <v>5</v>
      </c>
      <c r="D8" s="11" t="s">
        <v>6</v>
      </c>
      <c r="E8" s="8" t="s">
        <v>35</v>
      </c>
      <c r="F8" s="9" t="n">
        <v>4.9</v>
      </c>
      <c r="G8" s="24" t="n">
        <v>0.0002</v>
      </c>
      <c r="H8" s="24" t="n">
        <v>0.0008</v>
      </c>
    </row>
    <row r="9" customFormat="false" ht="15" hidden="false" customHeight="false" outlineLevel="0" collapsed="false">
      <c r="A9" s="4" t="s">
        <v>38</v>
      </c>
      <c r="B9" s="4" t="s">
        <v>41</v>
      </c>
      <c r="C9" s="7" t="s">
        <v>5</v>
      </c>
      <c r="D9" s="7" t="s">
        <v>6</v>
      </c>
      <c r="E9" s="4" t="s">
        <v>31</v>
      </c>
      <c r="F9" s="5" t="n">
        <v>1.8</v>
      </c>
      <c r="G9" s="23" t="n">
        <v>0.0001</v>
      </c>
      <c r="H9" s="23" t="n">
        <v>0.0003</v>
      </c>
    </row>
    <row r="10" customFormat="false" ht="15" hidden="false" customHeight="false" outlineLevel="0" collapsed="false">
      <c r="A10" s="8" t="s">
        <v>131</v>
      </c>
      <c r="B10" s="8" t="s">
        <v>132</v>
      </c>
      <c r="C10" s="11" t="s">
        <v>5</v>
      </c>
      <c r="D10" s="11" t="s">
        <v>6</v>
      </c>
      <c r="E10" s="8" t="s">
        <v>24</v>
      </c>
      <c r="F10" s="9" t="n">
        <v>1.1</v>
      </c>
      <c r="G10" s="24" t="n">
        <v>0</v>
      </c>
      <c r="H10" s="24" t="n">
        <v>0.0002</v>
      </c>
    </row>
    <row r="11" customFormat="false" ht="15" hidden="false" customHeight="false" outlineLevel="0" collapsed="false">
      <c r="A11" s="4" t="s">
        <v>131</v>
      </c>
      <c r="B11" s="4" t="s">
        <v>133</v>
      </c>
      <c r="C11" s="7" t="s">
        <v>5</v>
      </c>
      <c r="D11" s="7" t="s">
        <v>6</v>
      </c>
      <c r="E11" s="4" t="s">
        <v>24</v>
      </c>
      <c r="F11" s="5" t="n">
        <v>0.4</v>
      </c>
      <c r="G11" s="23" t="n">
        <v>0</v>
      </c>
      <c r="H11" s="23" t="n">
        <v>0.0001</v>
      </c>
    </row>
    <row r="12" customFormat="false" ht="15" hidden="false" customHeight="false" outlineLevel="0" collapsed="false">
      <c r="A12" s="12" t="s">
        <v>177</v>
      </c>
      <c r="B12" s="15"/>
      <c r="C12" s="15"/>
      <c r="D12" s="15"/>
      <c r="E12" s="15"/>
      <c r="F12" s="13" t="n">
        <f aca="false">SUM(F3:F11)</f>
        <v>2393.4</v>
      </c>
      <c r="G12" s="25" t="n">
        <v>0.1044</v>
      </c>
      <c r="H12" s="25" t="n">
        <v>0.3769</v>
      </c>
    </row>
    <row r="14" customFormat="false" ht="15" hidden="false" customHeight="false" outlineLevel="0" collapsed="false">
      <c r="A14" s="26" t="s">
        <v>178</v>
      </c>
      <c r="B14" s="26"/>
      <c r="C14" s="26"/>
      <c r="D14" s="26"/>
      <c r="E14" s="26"/>
      <c r="F14" s="26"/>
      <c r="G14" s="26"/>
      <c r="H14" s="26"/>
    </row>
    <row r="15" customFormat="false" ht="15" hidden="false" customHeight="false" outlineLevel="0" collapsed="false">
      <c r="A15" s="27" t="s">
        <v>179</v>
      </c>
      <c r="B15" s="27"/>
      <c r="C15" s="27"/>
      <c r="D15" s="28" t="n">
        <v>22924.61</v>
      </c>
      <c r="E15" s="29"/>
      <c r="F15" s="29"/>
    </row>
    <row r="16" customFormat="false" ht="15" hidden="false" customHeight="false" outlineLevel="0" collapsed="false">
      <c r="A16" s="27" t="s">
        <v>180</v>
      </c>
      <c r="B16" s="27"/>
      <c r="C16" s="27"/>
      <c r="D16" s="28" t="n">
        <v>6350.37</v>
      </c>
      <c r="E16" s="29" t="s">
        <v>181</v>
      </c>
      <c r="F16" s="29"/>
    </row>
    <row r="17" customFormat="false" ht="15" hidden="false" customHeight="false" outlineLevel="0" collapsed="false">
      <c r="A17" s="27" t="s">
        <v>182</v>
      </c>
      <c r="B17" s="27"/>
      <c r="C17" s="27"/>
      <c r="D17" s="28" t="n">
        <v>2393.4</v>
      </c>
      <c r="E17" s="29" t="s">
        <v>183</v>
      </c>
      <c r="F17" s="29" t="s">
        <v>184</v>
      </c>
    </row>
    <row r="19" customFormat="false" ht="15" hidden="false" customHeight="false" outlineLevel="0" collapsed="false">
      <c r="A19" s="16" t="s">
        <v>173</v>
      </c>
      <c r="B19" s="16"/>
      <c r="C19" s="16"/>
      <c r="D19" s="16"/>
      <c r="E19" s="16"/>
      <c r="F19" s="16"/>
      <c r="G19" s="16"/>
      <c r="H19" s="16"/>
    </row>
  </sheetData>
  <mergeCells count="6">
    <mergeCell ref="A1:H1"/>
    <mergeCell ref="A14:H14"/>
    <mergeCell ref="A15:C15"/>
    <mergeCell ref="A16:C16"/>
    <mergeCell ref="A17:C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2026-06-04T18:17:59Z</dcterms:created>
  <dc:creator>openpyxl</dc:creator>
  <dc:description/>
  <dc:language>en-US</dc:language>
  <cp:lastModifiedBy/>
  <dcterms:modified xsi:type="dcterms:W3CDTF">2026-06-04T18:17:59Z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
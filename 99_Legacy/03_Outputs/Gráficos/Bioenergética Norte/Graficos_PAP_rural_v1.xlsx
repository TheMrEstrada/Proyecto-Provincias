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AURA\Trabajo\EAFIT\Proyectos\Provincias\git\Proyecto-Provincias\03_Outputs\Gráficos\"/>
    </mc:Choice>
  </mc:AlternateContent>
  <xr:revisionPtr revIDLastSave="0" documentId="13_ncr:1_{3834C961-DC51-436C-B29D-58A5CE61B569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T31 Inventario Pecuario" sheetId="6" r:id="rId1"/>
    <sheet name="Suelo_Rural_Participacion" sheetId="11" r:id="rId2"/>
    <sheet name="T33 Producción Agrícola" sheetId="8" r:id="rId3"/>
    <sheet name="T35 Áreas y Rendimiento" sheetId="10" r:id="rId4"/>
  </sheets>
  <definedNames>
    <definedName name="_xlnm._FilterDatabase" localSheetId="0" hidden="1">'T31 Inventario Pecuario'!$A$39:$C$53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0" i="6" l="1"/>
  <c r="D20" i="6"/>
  <c r="E20" i="6"/>
  <c r="F20" i="6"/>
  <c r="G20" i="6"/>
  <c r="H20" i="6"/>
  <c r="I20" i="6"/>
  <c r="B20" i="6"/>
  <c r="C49" i="8"/>
  <c r="C48" i="8"/>
  <c r="C47" i="8"/>
  <c r="C46" i="8"/>
  <c r="C45" i="8"/>
  <c r="C44" i="8"/>
  <c r="C43" i="8"/>
  <c r="C42" i="8"/>
  <c r="C41" i="8"/>
  <c r="C40" i="8"/>
  <c r="C39" i="8"/>
  <c r="C38" i="8"/>
  <c r="C50" i="8"/>
  <c r="B48" i="8"/>
  <c r="B49" i="8"/>
  <c r="B47" i="8"/>
  <c r="B46" i="8"/>
  <c r="B45" i="8"/>
  <c r="B44" i="8"/>
  <c r="B43" i="8"/>
  <c r="B42" i="8"/>
  <c r="B41" i="8"/>
  <c r="B40" i="8"/>
  <c r="B39" i="8"/>
  <c r="B38" i="8"/>
  <c r="B50" i="8"/>
  <c r="C50" i="6"/>
  <c r="C45" i="6"/>
  <c r="C42" i="6"/>
  <c r="C46" i="6"/>
  <c r="C51" i="6"/>
  <c r="C41" i="6"/>
  <c r="C49" i="6"/>
  <c r="C43" i="6"/>
  <c r="C44" i="6"/>
  <c r="C40" i="6"/>
  <c r="C48" i="6"/>
  <c r="C52" i="6"/>
  <c r="C53" i="6"/>
  <c r="C47" i="6"/>
  <c r="K36" i="6"/>
  <c r="L36" i="6"/>
  <c r="M36" i="6"/>
  <c r="N36" i="6"/>
  <c r="J36" i="6"/>
  <c r="F36" i="6"/>
  <c r="K35" i="6"/>
  <c r="L35" i="6"/>
  <c r="M35" i="6"/>
  <c r="N35" i="6"/>
  <c r="J35" i="6"/>
  <c r="K34" i="6"/>
  <c r="L34" i="6"/>
  <c r="M34" i="6"/>
  <c r="N34" i="6"/>
  <c r="J34" i="6"/>
  <c r="K33" i="6"/>
  <c r="L33" i="6"/>
  <c r="M33" i="6"/>
  <c r="N33" i="6"/>
  <c r="J33" i="6"/>
  <c r="K32" i="6"/>
  <c r="L32" i="6"/>
  <c r="M32" i="6"/>
  <c r="N32" i="6"/>
  <c r="J32" i="6"/>
  <c r="K31" i="6"/>
  <c r="L31" i="6"/>
  <c r="M31" i="6"/>
  <c r="N31" i="6"/>
  <c r="J31" i="6"/>
  <c r="K30" i="6"/>
  <c r="L30" i="6"/>
  <c r="M30" i="6"/>
  <c r="N30" i="6"/>
  <c r="J30" i="6"/>
  <c r="K29" i="6"/>
  <c r="L29" i="6"/>
  <c r="M29" i="6"/>
  <c r="N29" i="6"/>
  <c r="J29" i="6"/>
  <c r="K28" i="6"/>
  <c r="L28" i="6"/>
  <c r="M28" i="6"/>
  <c r="N28" i="6"/>
  <c r="J28" i="6"/>
  <c r="K27" i="6"/>
  <c r="L27" i="6"/>
  <c r="M27" i="6"/>
  <c r="N27" i="6"/>
  <c r="J27" i="6"/>
  <c r="K26" i="6"/>
  <c r="L26" i="6"/>
  <c r="M26" i="6"/>
  <c r="N26" i="6"/>
  <c r="J26" i="6"/>
  <c r="K25" i="6"/>
  <c r="L25" i="6"/>
  <c r="M25" i="6"/>
  <c r="N25" i="6"/>
  <c r="J25" i="6"/>
  <c r="K24" i="6"/>
  <c r="L24" i="6"/>
  <c r="M24" i="6"/>
  <c r="N24" i="6"/>
  <c r="J24" i="6"/>
</calcChain>
</file>

<file path=xl/sharedStrings.xml><?xml version="1.0" encoding="utf-8"?>
<sst xmlns="http://schemas.openxmlformats.org/spreadsheetml/2006/main" count="224" uniqueCount="70">
  <si>
    <t>Municipio</t>
  </si>
  <si>
    <t>Ituango</t>
  </si>
  <si>
    <t>Anorí</t>
  </si>
  <si>
    <t>Yarumal</t>
  </si>
  <si>
    <t>Valdivia</t>
  </si>
  <si>
    <t>Briceño</t>
  </si>
  <si>
    <t>Angostura</t>
  </si>
  <si>
    <t>Gómez Plata</t>
  </si>
  <si>
    <t>San Andrés de Cuerquia</t>
  </si>
  <si>
    <t>Campamento</t>
  </si>
  <si>
    <t>Carolina del Príncipe</t>
  </si>
  <si>
    <t>San José de la Montaña</t>
  </si>
  <si>
    <t>Toledo</t>
  </si>
  <si>
    <t>Guadalupe</t>
  </si>
  <si>
    <t>Provincia</t>
  </si>
  <si>
    <t>Tabla 31. Inventario de especies pecuarias por municipio — PAP Bio-energética del Norte de Antioquia - 2024</t>
  </si>
  <si>
    <t>Gráfico 31. Inventario pecuario por municipio (bovinos, porcinos, aves y otros), ordenado por total — 2024</t>
  </si>
  <si>
    <t>Bovinos</t>
  </si>
  <si>
    <t>Aves</t>
  </si>
  <si>
    <t>Porcinos</t>
  </si>
  <si>
    <t>Equinos</t>
  </si>
  <si>
    <t>Ovinos</t>
  </si>
  <si>
    <t>Caprinos</t>
  </si>
  <si>
    <t>Bufalinos</t>
  </si>
  <si>
    <t>Total municipio</t>
  </si>
  <si>
    <t>Total, Provincia</t>
  </si>
  <si>
    <t>Total, Antioquia</t>
  </si>
  <si>
    <t>Fuente: UPRA (2024).</t>
  </si>
  <si>
    <t>[Bloque auxiliar — datos para gráfico]</t>
  </si>
  <si>
    <t>Otros</t>
  </si>
  <si>
    <t>Total</t>
  </si>
  <si>
    <t>Suelo rural (ha)</t>
  </si>
  <si>
    <t>Tabla 33. Producción en toneladas por municipio y según tipo de cultivo — PAP Bio-energética del Norte de Antioquia - 2025</t>
  </si>
  <si>
    <t>Gráfico 33. Producción agrícola total por municipio (cultivos permanentes y transitorios, t) — 2025</t>
  </si>
  <si>
    <t>Cultivos permanentes (t)</t>
  </si>
  <si>
    <t>Cultivos transitorios (t)</t>
  </si>
  <si>
    <t>Producción total (t)</t>
  </si>
  <si>
    <t>Participación provincial (%)</t>
  </si>
  <si>
    <t>Antioquia</t>
  </si>
  <si>
    <t>Fuente: UPRA. EVA 2025.</t>
  </si>
  <si>
    <t>[Bloque auxiliar — datos para gráfico (ordenados por total)]</t>
  </si>
  <si>
    <t>Total (t)</t>
  </si>
  <si>
    <t>Tabla 35. Áreas sembradas, cosechadas y rendimiento de cultivos permanentes — PAP Bio-energética del Norte de Antioquia - 2025</t>
  </si>
  <si>
    <t>Gráfico 35. % Área perdida vs. Rendimiento (ton/ha) por municipio — 2025</t>
  </si>
  <si>
    <t>Área sembrada (ha)</t>
  </si>
  <si>
    <t>Área cosechada (ha)</t>
  </si>
  <si>
    <t>% Área perdida</t>
  </si>
  <si>
    <t>Rendimiento (ton/ha)</t>
  </si>
  <si>
    <t>Nota metodológica: La guía recomienda un diagrama de dispersión (scatter) con % área perdida en eje X y rendimiento (ton/ha) en eje Y. En este Excel se presentan barras agrupadas para ambas variables. Para el scatter completo, usar el bloque auxiliar con los valores numéricos.</t>
  </si>
  <si>
    <t>[Bloque auxiliar — datos para gráficos (ordenados por % perdida desc)]</t>
  </si>
  <si>
    <t>Ref. Provincia (% perdida)</t>
  </si>
  <si>
    <t>Ref. Provincia (rendimiento)</t>
  </si>
  <si>
    <t>-</t>
  </si>
  <si>
    <t>Peso</t>
  </si>
  <si>
    <t>San José de la M.</t>
  </si>
  <si>
    <t>San Andrés de C.</t>
  </si>
  <si>
    <t>Carolina del P.</t>
  </si>
  <si>
    <t>Carolina</t>
  </si>
  <si>
    <t>Rendimiento de cultivos permanentes y porcentaje de área perdida por municipio (2025)</t>
  </si>
  <si>
    <t>Área perdida en el eje secundario. Ordenado por área perdida.</t>
  </si>
  <si>
    <t>Subregión</t>
  </si>
  <si>
    <t>Nota: los municipios resaltados en naranja concentran una participación del suelo rural provincial superior a la participación promedio por municipio (1/13 = 7,7%). Ituango y Anorí concentran juntos cerca del 59% del suelo rural total de la Provincia.</t>
  </si>
  <si>
    <t>Total Provincia</t>
  </si>
  <si>
    <t>San Jose De La Montana</t>
  </si>
  <si>
    <t>San Andres De Cuerquia</t>
  </si>
  <si>
    <t>Gomez Plata</t>
  </si>
  <si>
    <t>Anori</t>
  </si>
  <si>
    <t>% del suelo rural provincial</t>
  </si>
  <si>
    <t>Fuente: elaboración propia con base en ESTADÍSTICAS_DEFINITIVAS_2025.xlsx (catastro), 2025 (TERRENO (ha) RURAL convertido de m² a ha, /10.000). El porcentaje corresponde a la participación de cada municipio dentro del total del suelo rural catastral de la Provincia (misma lógica que la Tabla 1 de extensión municipal).</t>
  </si>
  <si>
    <t>Participación del suelo rural por municipio en el total de la PAP Bio-energética del Norte de Antioquia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</si>
</sst>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.##0"/>
    <numFmt numFmtId="166" formatCode="000%"/>
    <numFmt numFmtId="167" formatCode="#.##000"/>
  </numFmts>
  <fonts count="2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1"/>
      <name val="Arial"/>
      <family val="2"/>
    </font>
    <font>
      <b/>
      <sz val="10"/>
      <color rgb="FF1B3A6B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9"/>
      <color rgb="FF595959"/>
      <name val="Arial"/>
      <family val="2"/>
    </font>
    <font>
      <b/>
      <sz val="9"/>
      <color rgb="FF1B3A6B"/>
      <name val="Arial"/>
      <family val="2"/>
    </font>
    <font>
      <i/>
      <sz val="8"/>
      <color rgb="FF595959"/>
      <name val="Arial"/>
      <family val="2"/>
    </font>
    <font>
      <i/>
      <sz val="8"/>
      <color rgb="FFAAAAAA"/>
      <name val="Arial"/>
      <family val="2"/>
    </font>
    <font>
      <sz val="9"/>
      <color rgb="FF1F3864"/>
      <name val="Arial"/>
      <family val="2"/>
    </font>
    <font>
      <sz val="11"/>
      <color theme="0"/>
      <name val="Calibri"/>
      <family val="2"/>
      <charset val="1"/>
    </font>
    <font>
      <i/>
      <sz val="9"/>
      <color rgb="FF595959"/>
      <name val="Arial"/>
      <family val="2"/>
    </font>
    <font>
      <sz val="12"/>
      <color theme="1"/>
      <name val="Calibri"/>
      <family val="2"/>
      <charset val="1"/>
    </font>
    <font>
      <sz val="12"/>
      <color rgb="FF595959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b/>
      <sz val="13"/>
      <color rgb="FF1F3864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1F3864"/>
      </patternFill>
    </fill>
    <fill>
      <patternFill patternType="solid">
        <fgColor rgb="FFF4F6F9"/>
        <bgColor rgb="FFF2F2F2"/>
      </patternFill>
    </fill>
    <fill>
      <patternFill patternType="solid">
        <fgColor rgb="FFFFFFFF"/>
        <bgColor rgb="FFF4F6F9"/>
      </patternFill>
    </fill>
    <fill>
      <patternFill patternType="solid">
        <fgColor rgb="FFD9D9D9"/>
        <bgColor rgb="FFD0D7E3"/>
      </patternFill>
    </fill>
    <fill>
      <patternFill patternType="solid">
        <fgColor rgb="FF1F3864"/>
        <bgColor rgb="FF1B3A6B"/>
      </patternFill>
    </fill>
    <fill>
      <patternFill patternType="solid">
        <fgColor rgb="FFA9B4C2"/>
        <bgColor rgb="FFB3B3B3"/>
      </patternFill>
    </fill>
    <fill>
      <patternFill patternType="solid">
        <fgColor rgb="FFFFF2CC"/>
        <bgColor rgb="FFF2F2F2"/>
      </patternFill>
    </fill>
    <fill>
      <patternFill patternType="solid">
        <fgColor rgb="FFE8714A"/>
        <bgColor rgb="FFFF6600"/>
      </patternFill>
    </fill>
    <fill>
      <patternFill patternType="solid">
        <fgColor rgb="FF1F3864"/>
        <bgColor indexed="64"/>
      </patternFill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8714A"/>
      </patternFill>
    </fill>
    <fill>
      <patternFill patternType="solid">
        <fgColor rgb="FF1F38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3">
    <xf numFmtId="0" fontId="0" fillId="0" borderId="0"/>
    <xf numFmtId="9" fontId="2" fillId="0" borderId="0"/>
    <xf numFmtId="0" fontId="1" fillId="0" borderId="0"/>
  </cellStyleXfs>
  <cellXfs count="70">
    <xf numFmtId="0" fontId="0" fillId="0" borderId="0" xfId="0"/>
    <xf numFmtId="164" fontId="2" fillId="0" borderId="0" xfId="1" applyNumberForma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165" fontId="6" fillId="3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  <xf numFmtId="165" fontId="6" fillId="4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165" fontId="5" fillId="6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10" fillId="0" borderId="0" xfId="0" applyFont="1"/>
    <xf numFmtId="0" fontId="6" fillId="3" borderId="1" xfId="0" applyFont="1" applyFill="1" applyBorder="1" applyAlignment="1">
      <alignment horizontal="right" vertical="center"/>
    </xf>
    <xf numFmtId="166" fontId="5" fillId="6" borderId="1" xfId="0" applyNumberFormat="1" applyFont="1" applyFill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166" fontId="11" fillId="8" borderId="1" xfId="0" applyNumberFormat="1" applyFont="1" applyFill="1" applyBorder="1" applyAlignment="1">
      <alignment horizontal="right" vertical="center"/>
    </xf>
    <xf numFmtId="167" fontId="11" fillId="8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right" vertical="center"/>
    </xf>
    <xf numFmtId="9" fontId="2" fillId="0" borderId="0" xfId="1"/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2" fontId="6" fillId="3" borderId="3" xfId="0" applyNumberFormat="1" applyFont="1" applyFill="1" applyBorder="1" applyAlignment="1">
      <alignment horizontal="right" vertical="center"/>
    </xf>
    <xf numFmtId="2" fontId="6" fillId="4" borderId="3" xfId="0" applyNumberFormat="1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left" vertical="center"/>
    </xf>
    <xf numFmtId="2" fontId="6" fillId="3" borderId="9" xfId="0" applyNumberFormat="1" applyFont="1" applyFill="1" applyBorder="1" applyAlignment="1">
      <alignment horizontal="right" vertical="center"/>
    </xf>
    <xf numFmtId="10" fontId="2" fillId="0" borderId="0" xfId="1" applyNumberFormat="1"/>
    <xf numFmtId="0" fontId="5" fillId="6" borderId="2" xfId="0" applyFont="1" applyFill="1" applyBorder="1" applyAlignment="1">
      <alignment horizontal="left" vertical="center"/>
    </xf>
    <xf numFmtId="0" fontId="8" fillId="7" borderId="2" xfId="0" applyFont="1" applyFill="1" applyBorder="1" applyAlignment="1">
      <alignment horizontal="left" vertical="center"/>
    </xf>
    <xf numFmtId="167" fontId="6" fillId="3" borderId="3" xfId="0" applyNumberFormat="1" applyFont="1" applyFill="1" applyBorder="1" applyAlignment="1">
      <alignment horizontal="right" vertical="center"/>
    </xf>
    <xf numFmtId="167" fontId="6" fillId="4" borderId="3" xfId="0" applyNumberFormat="1" applyFont="1" applyFill="1" applyBorder="1" applyAlignment="1">
      <alignment horizontal="right" vertical="center"/>
    </xf>
    <xf numFmtId="167" fontId="5" fillId="6" borderId="3" xfId="0" applyNumberFormat="1" applyFont="1" applyFill="1" applyBorder="1" applyAlignment="1">
      <alignment horizontal="right" vertical="center"/>
    </xf>
    <xf numFmtId="167" fontId="8" fillId="7" borderId="3" xfId="0" applyNumberFormat="1" applyFont="1" applyFill="1" applyBorder="1" applyAlignment="1">
      <alignment horizontal="right" vertical="center"/>
    </xf>
    <xf numFmtId="10" fontId="6" fillId="3" borderId="1" xfId="0" applyNumberFormat="1" applyFont="1" applyFill="1" applyBorder="1" applyAlignment="1">
      <alignment horizontal="right" vertical="center"/>
    </xf>
    <xf numFmtId="10" fontId="6" fillId="4" borderId="1" xfId="0" applyNumberFormat="1" applyFont="1" applyFill="1" applyBorder="1" applyAlignment="1">
      <alignment horizontal="right" vertical="center"/>
    </xf>
    <xf numFmtId="10" fontId="6" fillId="3" borderId="8" xfId="0" applyNumberFormat="1" applyFont="1" applyFill="1" applyBorder="1" applyAlignment="1">
      <alignment horizontal="right" vertical="center"/>
    </xf>
    <xf numFmtId="167" fontId="6" fillId="3" borderId="9" xfId="0" applyNumberFormat="1" applyFont="1" applyFill="1" applyBorder="1" applyAlignment="1">
      <alignment horizontal="right" vertical="center"/>
    </xf>
    <xf numFmtId="0" fontId="6" fillId="4" borderId="7" xfId="0" applyFont="1" applyFill="1" applyBorder="1" applyAlignment="1">
      <alignment horizontal="left" vertical="center"/>
    </xf>
    <xf numFmtId="10" fontId="6" fillId="4" borderId="8" xfId="0" applyNumberFormat="1" applyFont="1" applyFill="1" applyBorder="1" applyAlignment="1">
      <alignment horizontal="right" vertical="center"/>
    </xf>
    <xf numFmtId="167" fontId="6" fillId="4" borderId="9" xfId="0" applyNumberFormat="1" applyFont="1" applyFill="1" applyBorder="1" applyAlignment="1">
      <alignment horizontal="right" vertical="center"/>
    </xf>
    <xf numFmtId="10" fontId="6" fillId="3" borderId="1" xfId="1" applyNumberFormat="1" applyFont="1" applyFill="1" applyBorder="1" applyAlignment="1">
      <alignment horizontal="right" vertical="center"/>
    </xf>
    <xf numFmtId="0" fontId="12" fillId="10" borderId="0" xfId="0" applyFont="1" applyFill="1" applyAlignment="1">
      <alignment horizontal="center"/>
    </xf>
    <xf numFmtId="0" fontId="14" fillId="0" borderId="0" xfId="0" applyFont="1"/>
    <xf numFmtId="0" fontId="15" fillId="0" borderId="0" xfId="0" applyFont="1"/>
    <xf numFmtId="0" fontId="1" fillId="0" borderId="0" xfId="2"/>
    <xf numFmtId="0" fontId="1" fillId="0" borderId="0" xfId="2"/>
    <xf numFmtId="0" fontId="13" fillId="0" borderId="0" xfId="2" applyFont="1" applyAlignment="1">
      <alignment vertical="top" wrapText="1"/>
    </xf>
    <xf numFmtId="164" fontId="16" fillId="11" borderId="0" xfId="2" applyNumberFormat="1" applyFont="1" applyFill="1" applyAlignment="1">
      <alignment horizontal="center"/>
    </xf>
    <xf numFmtId="4" fontId="16" fillId="11" borderId="0" xfId="2" applyNumberFormat="1" applyFont="1" applyFill="1" applyAlignment="1">
      <alignment horizontal="center"/>
    </xf>
    <xf numFmtId="0" fontId="16" fillId="11" borderId="0" xfId="2" applyFont="1" applyFill="1" applyAlignment="1">
      <alignment horizontal="left"/>
    </xf>
    <xf numFmtId="164" fontId="17" fillId="12" borderId="0" xfId="2" applyNumberFormat="1" applyFont="1" applyFill="1" applyAlignment="1">
      <alignment horizontal="center"/>
    </xf>
    <xf numFmtId="4" fontId="17" fillId="12" borderId="0" xfId="2" applyNumberFormat="1" applyFont="1" applyFill="1" applyAlignment="1">
      <alignment horizontal="center"/>
    </xf>
    <xf numFmtId="0" fontId="17" fillId="12" borderId="0" xfId="2" applyFont="1" applyFill="1" applyAlignment="1">
      <alignment horizontal="left"/>
    </xf>
    <xf numFmtId="164" fontId="17" fillId="13" borderId="0" xfId="2" applyNumberFormat="1" applyFont="1" applyFill="1" applyAlignment="1">
      <alignment horizontal="center"/>
    </xf>
    <xf numFmtId="4" fontId="17" fillId="13" borderId="0" xfId="2" applyNumberFormat="1" applyFont="1" applyFill="1" applyAlignment="1">
      <alignment horizontal="center"/>
    </xf>
    <xf numFmtId="0" fontId="17" fillId="13" borderId="0" xfId="2" applyFont="1" applyFill="1" applyAlignment="1">
      <alignment horizontal="left"/>
    </xf>
    <xf numFmtId="164" fontId="18" fillId="14" borderId="0" xfId="2" applyNumberFormat="1" applyFont="1" applyFill="1" applyAlignment="1">
      <alignment horizontal="center"/>
    </xf>
    <xf numFmtId="4" fontId="18" fillId="14" borderId="0" xfId="2" applyNumberFormat="1" applyFont="1" applyFill="1" applyAlignment="1">
      <alignment horizontal="center"/>
    </xf>
    <xf numFmtId="0" fontId="18" fillId="14" borderId="0" xfId="2" applyFont="1" applyFill="1" applyAlignment="1">
      <alignment horizontal="left"/>
    </xf>
    <xf numFmtId="0" fontId="16" fillId="15" borderId="0" xfId="2" applyFont="1" applyFill="1" applyAlignment="1">
      <alignment horizontal="center" vertical="center" wrapText="1"/>
    </xf>
    <xf numFmtId="0" fontId="19" fillId="0" borderId="0" xfId="2" applyFont="1"/>
  </cellXfs>
  <cellStyles count="3">
    <cellStyle name="Normal" xfId="0" builtinId="0"/>
    <cellStyle name="Normal 2" xfId="2" xr:uid="{6B29E092-EE94-4A81-9358-EE690674F547}"/>
    <cellStyle name="Porcentaje" xfId="1" builtinId="5"/>
  </cellStyles>
  <dxfs count="23"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rgb="FFCCCCCC"/>
        </top>
        <bottom style="thin">
          <color rgb="FFCCCCCC"/>
        </bottom>
      </border>
    </dxf>
    <dxf>
      <border outline="0">
        <left style="thin">
          <color rgb="FFCCCCCC"/>
        </lef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numFmt numFmtId="13" formatCode="0%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7" formatCode="#.##000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4" formatCode="0.00%"/>
      <fill>
        <patternFill patternType="solid">
          <fgColor rgb="FFF2F2F2"/>
          <bgColor rgb="FFF4F6F9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F2F2F2"/>
          <bgColor rgb="FFF4F6F9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family val="2"/>
        <scheme val="none"/>
      </font>
      <fill>
        <patternFill patternType="solid">
          <fgColor rgb="FF1F3864"/>
          <bgColor rgb="FF1B3A6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A9B4C2"/>
      <rgbColor rgb="FF993366"/>
      <rgbColor rgb="FFFFF2CC"/>
      <rgbColor rgb="FFF4F6F9"/>
      <rgbColor rgb="FF660066"/>
      <rgbColor rgb="FFE8714A"/>
      <rgbColor rgb="FF0066CC"/>
      <rgbColor rgb="FFD0D7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D9D9"/>
      <rgbColor rgb="FFFFFF99"/>
      <rgbColor rgb="FFB9CDE5"/>
      <rgbColor rgb="FFFF99CC"/>
      <rgbColor rgb="FFB3B3B3"/>
      <rgbColor rgb="FFFFCC99"/>
      <rgbColor rgb="FF3366FF"/>
      <rgbColor rgb="FF33CCCC"/>
      <rgbColor rgb="FF99CC00"/>
      <rgbColor rgb="FFFFCC00"/>
      <rgbColor rgb="FFFF9900"/>
      <rgbColor rgb="FFFF6600"/>
      <rgbColor rgb="FF6D7A8A"/>
      <rgbColor rgb="FFAAAAAA"/>
      <rgbColor rgb="FF1B3A6B"/>
      <rgbColor rgb="FF70AD47"/>
      <rgbColor rgb="FF003300"/>
      <rgbColor rgb="FF333300"/>
      <rgbColor rgb="FF993300"/>
      <rgbColor rgb="FF993366"/>
      <rgbColor rgb="FF59595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F3864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'T31 Inventario Pecuario'!$J$23</c:f>
              <c:strCache>
                <c:ptCount val="1"/>
                <c:pt idx="0">
                  <c:v>Bovinos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'T31 Inventario Pecuario'!$I$24:$I$36</c:f>
              <c:strCache>
                <c:ptCount val="13"/>
                <c:pt idx="0">
                  <c:v>Yarumal</c:v>
                </c:pt>
                <c:pt idx="1">
                  <c:v>Gómez Plata</c:v>
                </c:pt>
                <c:pt idx="2">
                  <c:v>Anorí</c:v>
                </c:pt>
                <c:pt idx="3">
                  <c:v>Ituango</c:v>
                </c:pt>
                <c:pt idx="4">
                  <c:v>Valdivia</c:v>
                </c:pt>
                <c:pt idx="5">
                  <c:v>Angostura</c:v>
                </c:pt>
                <c:pt idx="6">
                  <c:v>Carolina del P.</c:v>
                </c:pt>
                <c:pt idx="7">
                  <c:v>Briceño</c:v>
                </c:pt>
                <c:pt idx="8">
                  <c:v>San José de la M.</c:v>
                </c:pt>
                <c:pt idx="9">
                  <c:v>San Andrés de C.</c:v>
                </c:pt>
                <c:pt idx="10">
                  <c:v>Campamento</c:v>
                </c:pt>
                <c:pt idx="11">
                  <c:v>Guadalupe</c:v>
                </c:pt>
                <c:pt idx="12">
                  <c:v>Toledo</c:v>
                </c:pt>
              </c:strCache>
            </c:strRef>
          </c:cat>
          <c:val>
            <c:numRef>
              <c:f>'T31 Inventario Pecuario'!$J$24:$J$36</c:f>
              <c:numCache>
                <c:formatCode>General</c:formatCode>
                <c:ptCount val="13"/>
                <c:pt idx="0">
                  <c:v>0.3532895091008057</c:v>
                </c:pt>
                <c:pt idx="1">
                  <c:v>0.2839340217924185</c:v>
                </c:pt>
                <c:pt idx="2">
                  <c:v>0.73178948178948178</c:v>
                </c:pt>
                <c:pt idx="3">
                  <c:v>0.82515343399902585</c:v>
                </c:pt>
                <c:pt idx="4">
                  <c:v>0.76099484379739157</c:v>
                </c:pt>
                <c:pt idx="5">
                  <c:v>0.49773357247676503</c:v>
                </c:pt>
                <c:pt idx="6">
                  <c:v>0.18833998608415425</c:v>
                </c:pt>
                <c:pt idx="7">
                  <c:v>0.88142344392891536</c:v>
                </c:pt>
                <c:pt idx="8">
                  <c:v>0.81516560139453809</c:v>
                </c:pt>
                <c:pt idx="9">
                  <c:v>0.71606765327695565</c:v>
                </c:pt>
                <c:pt idx="10">
                  <c:v>0.77206307273177577</c:v>
                </c:pt>
                <c:pt idx="11">
                  <c:v>0.88008330593006689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F-4A86-AE3F-6E46C5E9D224}"/>
            </c:ext>
          </c:extLst>
        </c:ser>
        <c:ser>
          <c:idx val="1"/>
          <c:order val="1"/>
          <c:tx>
            <c:strRef>
              <c:f>'T31 Inventario Pecuario'!$K$23</c:f>
              <c:strCache>
                <c:ptCount val="1"/>
                <c:pt idx="0">
                  <c:v>Porcinos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'T31 Inventario Pecuario'!$I$24:$I$36</c:f>
              <c:strCache>
                <c:ptCount val="13"/>
                <c:pt idx="0">
                  <c:v>Yarumal</c:v>
                </c:pt>
                <c:pt idx="1">
                  <c:v>Gómez Plata</c:v>
                </c:pt>
                <c:pt idx="2">
                  <c:v>Anorí</c:v>
                </c:pt>
                <c:pt idx="3">
                  <c:v>Ituango</c:v>
                </c:pt>
                <c:pt idx="4">
                  <c:v>Valdivia</c:v>
                </c:pt>
                <c:pt idx="5">
                  <c:v>Angostura</c:v>
                </c:pt>
                <c:pt idx="6">
                  <c:v>Carolina del P.</c:v>
                </c:pt>
                <c:pt idx="7">
                  <c:v>Briceño</c:v>
                </c:pt>
                <c:pt idx="8">
                  <c:v>San José de la M.</c:v>
                </c:pt>
                <c:pt idx="9">
                  <c:v>San Andrés de C.</c:v>
                </c:pt>
                <c:pt idx="10">
                  <c:v>Campamento</c:v>
                </c:pt>
                <c:pt idx="11">
                  <c:v>Guadalupe</c:v>
                </c:pt>
                <c:pt idx="12">
                  <c:v>Toledo</c:v>
                </c:pt>
              </c:strCache>
            </c:strRef>
          </c:cat>
          <c:val>
            <c:numRef>
              <c:f>'T31 Inventario Pecuario'!$K$24:$K$36</c:f>
              <c:numCache>
                <c:formatCode>General</c:formatCode>
                <c:ptCount val="13"/>
                <c:pt idx="0">
                  <c:v>0.60867432693515489</c:v>
                </c:pt>
                <c:pt idx="1">
                  <c:v>0.4819319026457704</c:v>
                </c:pt>
                <c:pt idx="2">
                  <c:v>7.8405328405328406E-2</c:v>
                </c:pt>
                <c:pt idx="3">
                  <c:v>2.2016561130053579E-2</c:v>
                </c:pt>
                <c:pt idx="4">
                  <c:v>7.276587531364602E-2</c:v>
                </c:pt>
                <c:pt idx="5">
                  <c:v>0.39041252241969671</c:v>
                </c:pt>
                <c:pt idx="6">
                  <c:v>0.71772805507745263</c:v>
                </c:pt>
                <c:pt idx="7">
                  <c:v>3.5367241530245994E-2</c:v>
                </c:pt>
                <c:pt idx="8">
                  <c:v>0.10075537478210343</c:v>
                </c:pt>
                <c:pt idx="9">
                  <c:v>0.10014094432699083</c:v>
                </c:pt>
                <c:pt idx="10">
                  <c:v>7.0172541897135315E-2</c:v>
                </c:pt>
                <c:pt idx="11">
                  <c:v>3.1020497643319083E-2</c:v>
                </c:pt>
                <c:pt idx="12">
                  <c:v>0.26521060842433697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F-4A86-AE3F-6E46C5E9D224}"/>
            </c:ext>
          </c:extLst>
        </c:ser>
        <c:ser>
          <c:idx val="2"/>
          <c:order val="2"/>
          <c:tx>
            <c:strRef>
              <c:f>'T31 Inventario Pecuario'!$L$23</c:f>
              <c:strCache>
                <c:ptCount val="1"/>
                <c:pt idx="0">
                  <c:v>Aves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'T31 Inventario Pecuario'!$I$24:$I$36</c:f>
              <c:strCache>
                <c:ptCount val="13"/>
                <c:pt idx="0">
                  <c:v>Yarumal</c:v>
                </c:pt>
                <c:pt idx="1">
                  <c:v>Gómez Plata</c:v>
                </c:pt>
                <c:pt idx="2">
                  <c:v>Anorí</c:v>
                </c:pt>
                <c:pt idx="3">
                  <c:v>Ituango</c:v>
                </c:pt>
                <c:pt idx="4">
                  <c:v>Valdivia</c:v>
                </c:pt>
                <c:pt idx="5">
                  <c:v>Angostura</c:v>
                </c:pt>
                <c:pt idx="6">
                  <c:v>Carolina del P.</c:v>
                </c:pt>
                <c:pt idx="7">
                  <c:v>Briceño</c:v>
                </c:pt>
                <c:pt idx="8">
                  <c:v>San José de la M.</c:v>
                </c:pt>
                <c:pt idx="9">
                  <c:v>San Andrés de C.</c:v>
                </c:pt>
                <c:pt idx="10">
                  <c:v>Campamento</c:v>
                </c:pt>
                <c:pt idx="11">
                  <c:v>Guadalupe</c:v>
                </c:pt>
                <c:pt idx="12">
                  <c:v>Toledo</c:v>
                </c:pt>
              </c:strCache>
            </c:strRef>
          </c:cat>
          <c:val>
            <c:numRef>
              <c:f>'T31 Inventario Pecuario'!$L$24:$L$36</c:f>
              <c:numCache>
                <c:formatCode>General</c:formatCode>
                <c:ptCount val="13"/>
                <c:pt idx="0">
                  <c:v>2.3327730690321385E-2</c:v>
                </c:pt>
                <c:pt idx="1">
                  <c:v>0.20875175936615376</c:v>
                </c:pt>
                <c:pt idx="2">
                  <c:v>0.13792638792638792</c:v>
                </c:pt>
                <c:pt idx="3">
                  <c:v>6.1919142717973698E-2</c:v>
                </c:pt>
                <c:pt idx="4">
                  <c:v>8.6221633992334623E-2</c:v>
                </c:pt>
                <c:pt idx="5">
                  <c:v>7.3569215718245554E-2</c:v>
                </c:pt>
                <c:pt idx="6">
                  <c:v>4.3688431537700953E-2</c:v>
                </c:pt>
                <c:pt idx="7">
                  <c:v>1.6239166593714435E-2</c:v>
                </c:pt>
                <c:pt idx="8">
                  <c:v>5.1074956420685651E-2</c:v>
                </c:pt>
                <c:pt idx="9">
                  <c:v>8.4848484848484854E-2</c:v>
                </c:pt>
                <c:pt idx="10">
                  <c:v>9.4526541732023447E-2</c:v>
                </c:pt>
                <c:pt idx="11">
                  <c:v>4.7352844459059518E-2</c:v>
                </c:pt>
                <c:pt idx="12">
                  <c:v>0.73478939157566303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F-4A86-AE3F-6E46C5E9D224}"/>
            </c:ext>
          </c:extLst>
        </c:ser>
        <c:ser>
          <c:idx val="3"/>
          <c:order val="3"/>
          <c:tx>
            <c:strRef>
              <c:f>'T31 Inventario Pecuario'!$M$23</c:f>
              <c:strCache>
                <c:ptCount val="1"/>
                <c:pt idx="0">
                  <c:v>Otros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'T31 Inventario Pecuario'!$I$24:$I$36</c:f>
              <c:strCache>
                <c:ptCount val="13"/>
                <c:pt idx="0">
                  <c:v>Yarumal</c:v>
                </c:pt>
                <c:pt idx="1">
                  <c:v>Gómez Plata</c:v>
                </c:pt>
                <c:pt idx="2">
                  <c:v>Anorí</c:v>
                </c:pt>
                <c:pt idx="3">
                  <c:v>Ituango</c:v>
                </c:pt>
                <c:pt idx="4">
                  <c:v>Valdivia</c:v>
                </c:pt>
                <c:pt idx="5">
                  <c:v>Angostura</c:v>
                </c:pt>
                <c:pt idx="6">
                  <c:v>Carolina del P.</c:v>
                </c:pt>
                <c:pt idx="7">
                  <c:v>Briceño</c:v>
                </c:pt>
                <c:pt idx="8">
                  <c:v>San José de la M.</c:v>
                </c:pt>
                <c:pt idx="9">
                  <c:v>San Andrés de C.</c:v>
                </c:pt>
                <c:pt idx="10">
                  <c:v>Campamento</c:v>
                </c:pt>
                <c:pt idx="11">
                  <c:v>Guadalupe</c:v>
                </c:pt>
                <c:pt idx="12">
                  <c:v>Toledo</c:v>
                </c:pt>
              </c:strCache>
            </c:strRef>
          </c:cat>
          <c:val>
            <c:numRef>
              <c:f>'T31 Inventario Pecuario'!$M$24:$M$36</c:f>
              <c:numCache>
                <c:formatCode>General</c:formatCode>
                <c:ptCount val="13"/>
                <c:pt idx="0">
                  <c:v>1.4708433273718022E-2</c:v>
                </c:pt>
                <c:pt idx="1">
                  <c:v>2.5382316195657329E-2</c:v>
                </c:pt>
                <c:pt idx="2">
                  <c:v>5.1878801878801881E-2</c:v>
                </c:pt>
                <c:pt idx="3">
                  <c:v>9.09108621529469E-2</c:v>
                </c:pt>
                <c:pt idx="4">
                  <c:v>8.0017646896627784E-2</c:v>
                </c:pt>
                <c:pt idx="5">
                  <c:v>3.8284689385292676E-2</c:v>
                </c:pt>
                <c:pt idx="6">
                  <c:v>5.0243527300692127E-2</c:v>
                </c:pt>
                <c:pt idx="7">
                  <c:v>6.697014794712422E-2</c:v>
                </c:pt>
                <c:pt idx="8">
                  <c:v>3.3004067402672865E-2</c:v>
                </c:pt>
                <c:pt idx="9">
                  <c:v>9.8942917547568704E-2</c:v>
                </c:pt>
                <c:pt idx="10">
                  <c:v>6.3237843639065469E-2</c:v>
                </c:pt>
                <c:pt idx="11">
                  <c:v>4.1543351967554536E-2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1F-4A86-AE3F-6E46C5E9D224}"/>
            </c:ext>
          </c:extLst>
        </c:ser>
        <c:ser>
          <c:idx val="4"/>
          <c:order val="4"/>
          <c:tx>
            <c:strRef>
              <c:f>'T31 Inventario Pecuario'!$N$23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'T31 Inventario Pecuario'!$I$24:$I$36</c:f>
              <c:strCache>
                <c:ptCount val="13"/>
                <c:pt idx="0">
                  <c:v>Yarumal</c:v>
                </c:pt>
                <c:pt idx="1">
                  <c:v>Gómez Plata</c:v>
                </c:pt>
                <c:pt idx="2">
                  <c:v>Anorí</c:v>
                </c:pt>
                <c:pt idx="3">
                  <c:v>Ituango</c:v>
                </c:pt>
                <c:pt idx="4">
                  <c:v>Valdivia</c:v>
                </c:pt>
                <c:pt idx="5">
                  <c:v>Angostura</c:v>
                </c:pt>
                <c:pt idx="6">
                  <c:v>Carolina del P.</c:v>
                </c:pt>
                <c:pt idx="7">
                  <c:v>Briceño</c:v>
                </c:pt>
                <c:pt idx="8">
                  <c:v>San José de la M.</c:v>
                </c:pt>
                <c:pt idx="9">
                  <c:v>San Andrés de C.</c:v>
                </c:pt>
                <c:pt idx="10">
                  <c:v>Campamento</c:v>
                </c:pt>
                <c:pt idx="11">
                  <c:v>Guadalupe</c:v>
                </c:pt>
                <c:pt idx="12">
                  <c:v>Toledo</c:v>
                </c:pt>
              </c:strCache>
            </c:strRef>
          </c:cat>
          <c:val>
            <c:numRef>
              <c:f>'T31 Inventario Pecuario'!$N$24:$N$36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1F-4A86-AE3F-6E46C5E9D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544241327"/>
        <c:axId val="1544229807"/>
      </c:barChart>
      <c:catAx>
        <c:axId val="154424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229807"/>
        <c:crosses val="autoZero"/>
        <c:auto val="1"/>
        <c:lblAlgn val="ctr"/>
        <c:lblOffset val="100"/>
        <c:noMultiLvlLbl val="0"/>
      </c:catAx>
      <c:valAx>
        <c:axId val="1544229807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5442413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t"/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437816669228304"/>
          <c:y val="3.6771731514242532E-2"/>
          <c:w val="0.68048966624407081"/>
          <c:h val="0.926456536971514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'T31 Inventario Pecuario'!$C$39</c:f>
              <c:strCache>
                <c:ptCount val="1"/>
                <c:pt idx="0">
                  <c:v>Peso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'T31 Inventario Pecuario'!$A$40:$A$52</c:f>
              <c:strCache>
                <c:ptCount val="13"/>
                <c:pt idx="0">
                  <c:v>Toledo</c:v>
                </c:pt>
                <c:pt idx="1">
                  <c:v>Guadalupe</c:v>
                </c:pt>
                <c:pt idx="2">
                  <c:v>Campamento</c:v>
                </c:pt>
                <c:pt idx="3">
                  <c:v>San Andrés de Cuerquia</c:v>
                </c:pt>
                <c:pt idx="4">
                  <c:v>San José de la Montaña</c:v>
                </c:pt>
                <c:pt idx="5">
                  <c:v>Briceño</c:v>
                </c:pt>
                <c:pt idx="6">
                  <c:v>Carolina del Príncipe</c:v>
                </c:pt>
                <c:pt idx="7">
                  <c:v>Angostura</c:v>
                </c:pt>
                <c:pt idx="8">
                  <c:v>Valdivia</c:v>
                </c:pt>
                <c:pt idx="9">
                  <c:v>Ituango</c:v>
                </c:pt>
                <c:pt idx="10">
                  <c:v>Anorí</c:v>
                </c:pt>
                <c:pt idx="11">
                  <c:v>Gómez Plata</c:v>
                </c:pt>
                <c:pt idx="12">
                  <c:v>Yarumal</c:v>
                </c:pt>
              </c:strCache>
            </c:strRef>
          </c:cat>
          <c:val>
            <c:numRef>
              <c:f>'T31 Inventario Pecuario'!$C$40:$C$52</c:f>
              <c:numCache>
                <c:formatCode>0.0%</c:formatCode>
                <c:ptCount val="13"/>
                <c:pt idx="0">
                  <c:v>2.9431451295377589E-3</c:v>
                </c:pt>
                <c:pt idx="1">
                  <c:v>1.7960075596503661E-2</c:v>
                </c:pt>
                <c:pt idx="2">
                  <c:v>2.3846365855579178E-2</c:v>
                </c:pt>
                <c:pt idx="3">
                  <c:v>2.7935270493739665E-2</c:v>
                </c:pt>
                <c:pt idx="4">
                  <c:v>3.3880620521300892E-2</c:v>
                </c:pt>
                <c:pt idx="5">
                  <c:v>4.4975982360815812E-2</c:v>
                </c:pt>
                <c:pt idx="6">
                  <c:v>5.3758169934640526E-2</c:v>
                </c:pt>
                <c:pt idx="7">
                  <c:v>6.0368926687140723E-2</c:v>
                </c:pt>
                <c:pt idx="8">
                  <c:v>7.1397354122371845E-2</c:v>
                </c:pt>
                <c:pt idx="9">
                  <c:v>0.10104142058429798</c:v>
                </c:pt>
                <c:pt idx="10">
                  <c:v>0.10226789510985117</c:v>
                </c:pt>
                <c:pt idx="11">
                  <c:v>0.12448421135522482</c:v>
                </c:pt>
                <c:pt idx="12">
                  <c:v>0.32912630915820146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7-4CB2-8A3B-85F0625122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182728815"/>
        <c:axId val="1182729295"/>
      </c:barChart>
      <c:catAx>
        <c:axId val="118272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1182729295"/>
        <c:crosses val="autoZero"/>
        <c:auto val="1"/>
        <c:lblAlgn val="ctr"/>
        <c:lblOffset val="100"/>
        <c:noMultiLvlLbl val="0"/>
      </c:catAx>
      <c:valAx>
        <c:axId val="1182729295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1182728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Suelo_Rural_Participacion!$C$4</c:f>
              <c:strCache>
                <c:ptCount val="1"/>
                <c:pt idx="0">
                  <c:v>% del suelo rural provincial</c:v>
                </c:pt>
              </c:strCache>
            </c:strRef>
          </c:tx>
          <c:spPr>
            <a:solidFill>
              <a:srgbClr val="1B3A6B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Suelo_Rural_Participacion!$A$5:$A$17</c:f>
              <c:strCache>
                <c:ptCount val="13"/>
                <c:pt idx="0">
                  <c:v>Ituango</c:v>
                </c:pt>
                <c:pt idx="1">
                  <c:v>Anori</c:v>
                </c:pt>
                <c:pt idx="2">
                  <c:v>Yarumal</c:v>
                </c:pt>
                <c:pt idx="3">
                  <c:v>Valdivia</c:v>
                </c:pt>
                <c:pt idx="4">
                  <c:v>Briceño</c:v>
                </c:pt>
                <c:pt idx="5">
                  <c:v>Angostura</c:v>
                </c:pt>
                <c:pt idx="6">
                  <c:v>Gomez Plata</c:v>
                </c:pt>
                <c:pt idx="7">
                  <c:v>Campamento</c:v>
                </c:pt>
                <c:pt idx="8">
                  <c:v>San Andres De Cuerquia</c:v>
                </c:pt>
                <c:pt idx="9">
                  <c:v>Carolina</c:v>
                </c:pt>
                <c:pt idx="10">
                  <c:v>San Jose De La Montana</c:v>
                </c:pt>
                <c:pt idx="11">
                  <c:v>Toledo</c:v>
                </c:pt>
                <c:pt idx="12">
                  <c:v>Guadalupe</c:v>
                </c:pt>
              </c:strCache>
            </c:strRef>
          </c:cat>
          <c:val>
            <c:numRef>
              <c:f>Suelo_Rural_Participacion!$C$5:$C$17</c:f>
              <c:numCache>
                <c:formatCode>0.0%</c:formatCode>
                <c:ptCount val="13"/>
                <c:pt idx="0">
                  <c:v>0.41920947313787849</c:v>
                </c:pt>
                <c:pt idx="1">
                  <c:v>0.17233278972005139</c:v>
                </c:pt>
                <c:pt idx="2">
                  <c:v>9.118559351009374E-2</c:v>
                </c:pt>
                <c:pt idx="3">
                  <c:v>7.0935383813115108E-2</c:v>
                </c:pt>
                <c:pt idx="4">
                  <c:v>4.4902211103977727E-2</c:v>
                </c:pt>
                <c:pt idx="5">
                  <c:v>4.1567967648860248E-2</c:v>
                </c:pt>
                <c:pt idx="6">
                  <c:v>4.031593524852474E-2</c:v>
                </c:pt>
                <c:pt idx="7">
                  <c:v>2.8251902031539409E-2</c:v>
                </c:pt>
                <c:pt idx="8">
                  <c:v>2.5108292193368902E-2</c:v>
                </c:pt>
                <c:pt idx="9">
                  <c:v>1.8790325159455799E-2</c:v>
                </c:pt>
                <c:pt idx="10">
                  <c:v>1.6895058038712149E-2</c:v>
                </c:pt>
                <c:pt idx="11">
                  <c:v>1.634283549671741E-2</c:v>
                </c:pt>
                <c:pt idx="12">
                  <c:v>1.416223289770477E-2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7B8-44E5-B3FC-5B11048283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0.0%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'T33 Producción Agrícola'!$B$37</c:f>
              <c:strCache>
                <c:ptCount val="1"/>
                <c:pt idx="0">
                  <c:v>Cultivos permanentes (t)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'T33 Producción Agrícola'!$A$38:$A$50</c:f>
              <c:strCache>
                <c:ptCount val="13"/>
                <c:pt idx="0">
                  <c:v>San José de la Montaña</c:v>
                </c:pt>
                <c:pt idx="1">
                  <c:v>Carolina del Príncipe</c:v>
                </c:pt>
                <c:pt idx="2">
                  <c:v>Toledo</c:v>
                </c:pt>
                <c:pt idx="3">
                  <c:v>Valdivia</c:v>
                </c:pt>
                <c:pt idx="4">
                  <c:v>Briceño</c:v>
                </c:pt>
                <c:pt idx="5">
                  <c:v>Guadalupe</c:v>
                </c:pt>
                <c:pt idx="6">
                  <c:v>San Andrés de Cuerquia</c:v>
                </c:pt>
                <c:pt idx="7">
                  <c:v>Gómez Plata</c:v>
                </c:pt>
                <c:pt idx="8">
                  <c:v>Yarumal</c:v>
                </c:pt>
                <c:pt idx="9">
                  <c:v>Ituango</c:v>
                </c:pt>
                <c:pt idx="10">
                  <c:v>Anorí</c:v>
                </c:pt>
                <c:pt idx="11">
                  <c:v>Angostura</c:v>
                </c:pt>
                <c:pt idx="12">
                  <c:v>Campamento</c:v>
                </c:pt>
              </c:strCache>
            </c:strRef>
          </c:cat>
          <c:val>
            <c:numRef>
              <c:f>'T33 Producción Agrícola'!$B$38:$B$50</c:f>
              <c:numCache>
                <c:formatCode>0%</c:formatCode>
                <c:ptCount val="13"/>
                <c:pt idx="0">
                  <c:v>0.99966558091938496</c:v>
                </c:pt>
                <c:pt idx="1">
                  <c:v>0.99387342938856282</c:v>
                </c:pt>
                <c:pt idx="2">
                  <c:v>0.95538044694126123</c:v>
                </c:pt>
                <c:pt idx="3">
                  <c:v>0.88571019062634371</c:v>
                </c:pt>
                <c:pt idx="4">
                  <c:v>0.74139923217413994</c:v>
                </c:pt>
                <c:pt idx="5">
                  <c:v>0.98796332507713036</c:v>
                </c:pt>
                <c:pt idx="6">
                  <c:v>0.25854723612738312</c:v>
                </c:pt>
                <c:pt idx="7">
                  <c:v>0.96944858420268254</c:v>
                </c:pt>
                <c:pt idx="8">
                  <c:v>0.94463242079360199</c:v>
                </c:pt>
                <c:pt idx="9">
                  <c:v>0.85609819796291464</c:v>
                </c:pt>
                <c:pt idx="10">
                  <c:v>0.90109389243391069</c:v>
                </c:pt>
                <c:pt idx="11">
                  <c:v>0.63204747774480707</c:v>
                </c:pt>
                <c:pt idx="12">
                  <c:v>0.37383177570093457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C-4030-BD88-0310DAAD4F59}"/>
            </c:ext>
          </c:extLst>
        </c:ser>
        <c:ser>
          <c:idx val="1"/>
          <c:order val="1"/>
          <c:tx>
            <c:strRef>
              <c:f>'T33 Producción Agrícola'!$C$37</c:f>
              <c:strCache>
                <c:ptCount val="1"/>
                <c:pt idx="0">
                  <c:v>Cultivos transitorios (t)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'T33 Producción Agrícola'!$A$38:$A$50</c:f>
              <c:strCache>
                <c:ptCount val="13"/>
                <c:pt idx="0">
                  <c:v>San José de la Montaña</c:v>
                </c:pt>
                <c:pt idx="1">
                  <c:v>Carolina del Príncipe</c:v>
                </c:pt>
                <c:pt idx="2">
                  <c:v>Toledo</c:v>
                </c:pt>
                <c:pt idx="3">
                  <c:v>Valdivia</c:v>
                </c:pt>
                <c:pt idx="4">
                  <c:v>Briceño</c:v>
                </c:pt>
                <c:pt idx="5">
                  <c:v>Guadalupe</c:v>
                </c:pt>
                <c:pt idx="6">
                  <c:v>San Andrés de Cuerquia</c:v>
                </c:pt>
                <c:pt idx="7">
                  <c:v>Gómez Plata</c:v>
                </c:pt>
                <c:pt idx="8">
                  <c:v>Yarumal</c:v>
                </c:pt>
                <c:pt idx="9">
                  <c:v>Ituango</c:v>
                </c:pt>
                <c:pt idx="10">
                  <c:v>Anorí</c:v>
                </c:pt>
                <c:pt idx="11">
                  <c:v>Angostura</c:v>
                </c:pt>
                <c:pt idx="12">
                  <c:v>Campamento</c:v>
                </c:pt>
              </c:strCache>
            </c:strRef>
          </c:cat>
          <c:val>
            <c:numRef>
              <c:f>'T33 Producción Agrícola'!$C$38:$C$50</c:f>
              <c:numCache>
                <c:formatCode>0%</c:formatCode>
                <c:ptCount val="13"/>
                <c:pt idx="0">
                  <c:v>3.3441908061506359E-4</c:v>
                </c:pt>
                <c:pt idx="1">
                  <c:v>6.1265706114371687E-3</c:v>
                </c:pt>
                <c:pt idx="2">
                  <c:v>4.4619553058738722E-2</c:v>
                </c:pt>
                <c:pt idx="3">
                  <c:v>0.11428980937365629</c:v>
                </c:pt>
                <c:pt idx="4">
                  <c:v>0.25860076782586006</c:v>
                </c:pt>
                <c:pt idx="5">
                  <c:v>1.2036674922869682E-2</c:v>
                </c:pt>
                <c:pt idx="6">
                  <c:v>0.74145276387261694</c:v>
                </c:pt>
                <c:pt idx="7">
                  <c:v>3.0551415797317436E-2</c:v>
                </c:pt>
                <c:pt idx="8">
                  <c:v>5.5367579206398031E-2</c:v>
                </c:pt>
                <c:pt idx="9">
                  <c:v>0.14390180203708541</c:v>
                </c:pt>
                <c:pt idx="10">
                  <c:v>9.8906107566089335E-2</c:v>
                </c:pt>
                <c:pt idx="11">
                  <c:v>0.36795252225519287</c:v>
                </c:pt>
                <c:pt idx="12">
                  <c:v>0.62616822429906538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C-4030-BD88-0310DAAD4F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916597168"/>
        <c:axId val="916604368"/>
      </c:barChart>
      <c:catAx>
        <c:axId val="91659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916604368"/>
        <c:crosses val="autoZero"/>
        <c:auto val="1"/>
        <c:lblAlgn val="ctr"/>
        <c:lblOffset val="100"/>
        <c:noMultiLvlLbl val="0"/>
      </c:catAx>
      <c:valAx>
        <c:axId val="916604368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91659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346808209161559"/>
          <c:y val="4.6656667378038905E-2"/>
          <c:w val="0.59629837441581646"/>
          <c:h val="0.906686665243922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'T33 Producción Agrícola'!$G$22</c:f>
              <c:strCache>
                <c:ptCount val="1"/>
                <c:pt idx="0">
                  <c:v>Participación provincial (%)</c:v>
                </c:pt>
              </c:strCache>
            </c:strRef>
          </c:tx>
          <c:spPr>
            <a:solidFill>
              <a:srgbClr val="1F3864"/>
            </a:solidFill>
            <a:ln>
              <a:solidFill>
                <a:srgbClr val="1F3864"/>
              </a:solidFill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'T33 Producción Agrícola'!$F$23:$F$35</c:f>
              <c:strCache>
                <c:ptCount val="13"/>
                <c:pt idx="0">
                  <c:v>San José de la Montaña</c:v>
                </c:pt>
                <c:pt idx="1">
                  <c:v>Carolina del Príncipe</c:v>
                </c:pt>
                <c:pt idx="2">
                  <c:v>Toledo</c:v>
                </c:pt>
                <c:pt idx="3">
                  <c:v>Valdivia</c:v>
                </c:pt>
                <c:pt idx="4">
                  <c:v>Briceño</c:v>
                </c:pt>
                <c:pt idx="5">
                  <c:v>Guadalupe</c:v>
                </c:pt>
                <c:pt idx="6">
                  <c:v>San Andrés de Cuerquia</c:v>
                </c:pt>
                <c:pt idx="7">
                  <c:v>Gómez Plata</c:v>
                </c:pt>
                <c:pt idx="8">
                  <c:v>Yarumal</c:v>
                </c:pt>
                <c:pt idx="9">
                  <c:v>Ituango</c:v>
                </c:pt>
                <c:pt idx="10">
                  <c:v>Anorí</c:v>
                </c:pt>
                <c:pt idx="11">
                  <c:v>Angostura</c:v>
                </c:pt>
                <c:pt idx="12">
                  <c:v>Campamento</c:v>
                </c:pt>
              </c:strCache>
            </c:strRef>
          </c:cat>
          <c:val>
            <c:numRef>
              <c:f>'T33 Producción Agrícola'!$G$23:$G$35</c:f>
              <c:numCache>
                <c:formatCode>0.0%</c:formatCode>
                <c:ptCount val="13"/>
                <c:pt idx="0">
                  <c:v>5.0000000000000001E-4</c:v>
                </c:pt>
                <c:pt idx="1">
                  <c:v>4.3E-3</c:v>
                </c:pt>
                <c:pt idx="2">
                  <c:v>5.5999999999999999E-3</c:v>
                </c:pt>
                <c:pt idx="3">
                  <c:v>9.7000000000000003E-3</c:v>
                </c:pt>
                <c:pt idx="4">
                  <c:v>1.6500000000000001E-2</c:v>
                </c:pt>
                <c:pt idx="5">
                  <c:v>3.0700000000000002E-2</c:v>
                </c:pt>
                <c:pt idx="6">
                  <c:v>4.7699999999999999E-2</c:v>
                </c:pt>
                <c:pt idx="7">
                  <c:v>5.8500000000000003E-2</c:v>
                </c:pt>
                <c:pt idx="8">
                  <c:v>6.8199999999999997E-2</c:v>
                </c:pt>
                <c:pt idx="9">
                  <c:v>8.8599999999999998E-2</c:v>
                </c:pt>
                <c:pt idx="10">
                  <c:v>0.1022</c:v>
                </c:pt>
                <c:pt idx="11">
                  <c:v>0.1875</c:v>
                </c:pt>
                <c:pt idx="12">
                  <c:v>0.37990000000000002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C-42DE-8B79-0B6377F5ED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71969151"/>
        <c:axId val="771971551"/>
      </c:barChart>
      <c:catAx>
        <c:axId val="771969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71971551"/>
        <c:crosses val="autoZero"/>
        <c:auto val="1"/>
        <c:lblAlgn val="ctr"/>
        <c:lblOffset val="100"/>
        <c:noMultiLvlLbl val="0"/>
      </c:catAx>
      <c:valAx>
        <c:axId val="771971551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crossAx val="771969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'T35 Áreas y Rendimiento'!$C$23</c:f>
              <c:strCache>
                <c:ptCount val="1"/>
                <c:pt idx="0">
                  <c:v>Rendimiento (ton/ha)</c:v>
                </c:pt>
              </c:strCache>
            </c:strRef>
          </c:tx>
          <c:spPr>
            <a:solidFill>
              <a:srgbClr val="1F3864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C1E-4740-90D3-3F0B7B406899}"/>
              </c:ext>
            </c:extLst>
          </c:dPt>
          <c:cat>
            <c:strRef>
              <c:f>'T35 Áreas y Rendimiento'!$A$24:$A$37</c:f>
              <c:strCache>
                <c:ptCount val="14"/>
                <c:pt idx="0">
                  <c:v>Toledo</c:v>
                </c:pt>
                <c:pt idx="1">
                  <c:v>Valdivia</c:v>
                </c:pt>
                <c:pt idx="2">
                  <c:v>San Andrés de C.</c:v>
                </c:pt>
                <c:pt idx="3">
                  <c:v>Briceño</c:v>
                </c:pt>
                <c:pt idx="4">
                  <c:v>Ituango</c:v>
                </c:pt>
                <c:pt idx="5">
                  <c:v>Gómez Plata</c:v>
                </c:pt>
                <c:pt idx="6">
                  <c:v>Carolina</c:v>
                </c:pt>
                <c:pt idx="7">
                  <c:v>Guadalupe</c:v>
                </c:pt>
                <c:pt idx="8">
                  <c:v>Yarumal</c:v>
                </c:pt>
                <c:pt idx="9">
                  <c:v>San José de la M.</c:v>
                </c:pt>
                <c:pt idx="10">
                  <c:v>Provincia</c:v>
                </c:pt>
                <c:pt idx="11">
                  <c:v>Angostura</c:v>
                </c:pt>
                <c:pt idx="12">
                  <c:v>Anorí</c:v>
                </c:pt>
                <c:pt idx="13">
                  <c:v>Campamento</c:v>
                </c:pt>
              </c:strCache>
            </c:strRef>
          </c:cat>
          <c:val>
            <c:numRef>
              <c:f>'T35 Áreas y Rendimiento'!$C$24:$C$37</c:f>
              <c:numCache>
                <c:formatCode>#.##000</c:formatCode>
                <c:ptCount val="14"/>
                <c:pt idx="0">
                  <c:v>1.47</c:v>
                </c:pt>
                <c:pt idx="1">
                  <c:v>2.4500000000000002</c:v>
                </c:pt>
                <c:pt idx="2">
                  <c:v>3.53</c:v>
                </c:pt>
                <c:pt idx="3">
                  <c:v>5.63</c:v>
                </c:pt>
                <c:pt idx="4">
                  <c:v>7.88</c:v>
                </c:pt>
                <c:pt idx="5">
                  <c:v>11.87</c:v>
                </c:pt>
                <c:pt idx="6">
                  <c:v>14.01</c:v>
                </c:pt>
                <c:pt idx="7">
                  <c:v>15.11</c:v>
                </c:pt>
                <c:pt idx="8">
                  <c:v>15.74</c:v>
                </c:pt>
                <c:pt idx="9">
                  <c:v>16</c:v>
                </c:pt>
                <c:pt idx="10">
                  <c:v>17</c:v>
                </c:pt>
                <c:pt idx="11">
                  <c:v>26.83</c:v>
                </c:pt>
                <c:pt idx="12">
                  <c:v>27.49</c:v>
                </c:pt>
                <c:pt idx="13">
                  <c:v>35.89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1E-4740-90D3-3F0B7B40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754376063"/>
        <c:axId val="754377023"/>
      </c:barChart>
      <c:lineChart>
        <c:grouping val="standard"/>
        <c:varyColors val="0"/>
        <c:ser>
          <c:idx val="0"/>
          <c:order val="0"/>
          <c:tx>
            <c:strRef>
              <c:f>'T35 Áreas y Rendimiento'!$B$23</c:f>
              <c:strCache>
                <c:ptCount val="1"/>
                <c:pt idx="0">
                  <c:v>% Área perdida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dPt>
            <c:idx val="10"/>
            <c:marker>
              <c:symbol val="diamond"/>
              <c:size val="11"/>
              <c:spPr>
                <a:solidFill>
                  <a:schemeClr val="tx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C1E-4740-90D3-3F0B7B406899}"/>
              </c:ext>
            </c:extLst>
          </c:dPt>
          <c:cat>
            <c:strRef>
              <c:f>'T35 Áreas y Rendimiento'!$A$24:$A$37</c:f>
              <c:strCache>
                <c:ptCount val="14"/>
                <c:pt idx="0">
                  <c:v>Toledo</c:v>
                </c:pt>
                <c:pt idx="1">
                  <c:v>Valdivia</c:v>
                </c:pt>
                <c:pt idx="2">
                  <c:v>San Andrés de C.</c:v>
                </c:pt>
                <c:pt idx="3">
                  <c:v>Briceño</c:v>
                </c:pt>
                <c:pt idx="4">
                  <c:v>Ituango</c:v>
                </c:pt>
                <c:pt idx="5">
                  <c:v>Gómez Plata</c:v>
                </c:pt>
                <c:pt idx="6">
                  <c:v>Carolina</c:v>
                </c:pt>
                <c:pt idx="7">
                  <c:v>Guadalupe</c:v>
                </c:pt>
                <c:pt idx="8">
                  <c:v>Yarumal</c:v>
                </c:pt>
                <c:pt idx="9">
                  <c:v>San José de la M.</c:v>
                </c:pt>
                <c:pt idx="10">
                  <c:v>Provincia</c:v>
                </c:pt>
                <c:pt idx="11">
                  <c:v>Angostura</c:v>
                </c:pt>
                <c:pt idx="12">
                  <c:v>Anorí</c:v>
                </c:pt>
                <c:pt idx="13">
                  <c:v>Campamento</c:v>
                </c:pt>
              </c:strCache>
            </c:strRef>
          </c:cat>
          <c:val>
            <c:numRef>
              <c:f>'T35 Áreas y Rendimiento'!$B$24:$B$37</c:f>
              <c:numCache>
                <c:formatCode>0.00%</c:formatCode>
                <c:ptCount val="14"/>
                <c:pt idx="0">
                  <c:v>0.25319999999999998</c:v>
                </c:pt>
                <c:pt idx="1">
                  <c:v>0.1143</c:v>
                </c:pt>
                <c:pt idx="2">
                  <c:v>0.1157</c:v>
                </c:pt>
                <c:pt idx="3">
                  <c:v>0</c:v>
                </c:pt>
                <c:pt idx="4">
                  <c:v>9.3100000000000002E-2</c:v>
                </c:pt>
                <c:pt idx="5">
                  <c:v>8.72E-2</c:v>
                </c:pt>
                <c:pt idx="6">
                  <c:v>6.5799999999999997E-2</c:v>
                </c:pt>
                <c:pt idx="7">
                  <c:v>0.1123</c:v>
                </c:pt>
                <c:pt idx="8">
                  <c:v>0.23019999999999999</c:v>
                </c:pt>
                <c:pt idx="9">
                  <c:v>0.2</c:v>
                </c:pt>
                <c:pt idx="10">
                  <c:v>9.3600000000000003E-2</c:v>
                </c:pt>
                <c:pt idx="11">
                  <c:v>6.2600000000000003E-2</c:v>
                </c:pt>
                <c:pt idx="12">
                  <c:v>4.7199999999999999E-2</c:v>
                </c:pt>
                <c:pt idx="13">
                  <c:v>9.7999999999999997E-3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E-4740-90D3-3F0B7B406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7963887"/>
        <c:axId val="737965807"/>
      </c:lineChart>
      <c:catAx>
        <c:axId val="754376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54377023"/>
        <c:crosses val="autoZero"/>
        <c:auto val="1"/>
        <c:lblAlgn val="ctr"/>
        <c:lblOffset val="100"/>
        <c:noMultiLvlLbl val="0"/>
      </c:catAx>
      <c:valAx>
        <c:axId val="754377023"/>
        <c:scaling>
          <c:orientation val="minMax"/>
        </c:scaling>
        <c:delete val="0"/>
        <c:axPos val="l"/>
        <c:numFmt formatCode="#.##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54376063"/>
        <c:crosses val="autoZero"/>
        <c:crossBetween val="between"/>
        <c:majorUnit val="10"/>
      </c:valAx>
      <c:valAx>
        <c:axId val="737965807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CO"/>
          </a:p>
        </c:txPr>
        <c:crossAx val="737963887"/>
        <c:crosses val="max"/>
        <c:crossBetween val="between"/>
      </c:valAx>
      <c:catAx>
        <c:axId val="73796388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7965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336177</xdr:colOff>
      <xdr:row>2</xdr:row>
      <xdr:rowOff>170328</xdr:rowOff>
    </xdr:from>
    <xdr:to>
      <xdr:col>18</xdr:col>
      <xdr:colOff>251012</xdr:colOff>
      <xdr:row>20</xdr:row>
      <xdr:rowOff>44822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903125-FC1A-2D80-AC6B-0FBD90AA6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468084</xdr:colOff>
      <xdr:row>2</xdr:row>
      <xdr:rowOff>228601</xdr:rowOff>
    </xdr:from>
    <xdr:to>
      <xdr:col>28</xdr:col>
      <xdr:colOff>108857</xdr:colOff>
      <xdr:row>22</xdr:row>
      <xdr:rowOff>130629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F6A656D-693C-B01F-0003-82EB3B9AD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B1852-384D-40F3-A1FD-6EA529CA6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918883</xdr:colOff>
      <xdr:row>1</xdr:row>
      <xdr:rowOff>161363</xdr:rowOff>
    </xdr:from>
    <xdr:to>
      <xdr:col>12</xdr:col>
      <xdr:colOff>448236</xdr:colOff>
      <xdr:row>22</xdr:row>
      <xdr:rowOff>53788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DE1EF2-C609-F9C0-9E5A-01BFA1931C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578221</xdr:colOff>
      <xdr:row>1</xdr:row>
      <xdr:rowOff>170327</xdr:rowOff>
    </xdr:from>
    <xdr:to>
      <xdr:col>22</xdr:col>
      <xdr:colOff>107576</xdr:colOff>
      <xdr:row>22</xdr:row>
      <xdr:rowOff>80681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3FA692-2F81-0754-7201-4A83D8880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586740</xdr:colOff>
      <xdr:row>1</xdr:row>
      <xdr:rowOff>19050</xdr:rowOff>
    </xdr:from>
    <xdr:to>
      <xdr:col>5</xdr:col>
      <xdr:colOff>60960</xdr:colOff>
      <xdr:row>17</xdr:row>
      <xdr:rowOff>137160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8E8AFB-12EF-003D-1E65-5DDF351CD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7BF43-41E1-46D0-BC0C-B7226E35560C}" name="Tabla1" displayName="Tabla1" ref="A37:D50" totalsRowShown="0" headerRowDxfId="12" headerRowBorderDxfId="11" tableBorderDxfId="10" totalsRowBorderDxfId="9">
  <autoFilter ref="A37:D50" xr:uid="{0FB7BF43-41E1-46D0-BC0C-B7226E35560C}"/>
  <sortState xmlns:xlrd2="http://schemas.microsoft.com/office/spreadsheetml/2017/richdata2" ref="A38:D50">
    <sortCondition ref="D37:D50"/>
  </sortState>
  <tableColumns count="4">
    <tableColumn id="1" xr3:uid="{9856A7E4-BDAB-46C4-9BB1-9814014922DA}" name="Municipio" dataDxfId="8"/>
    <tableColumn id="2" xr3:uid="{133F1ACE-60FE-4FA6-B350-233456DA13CB}" name="Cultivos permanentes (t)" dataDxfId="7" dataCellStyle="Porcentaje">
      <calculatedColumnFormula>B23/D23</calculatedColumnFormula>
    </tableColumn>
    <tableColumn id="3" xr3:uid="{CC83E473-D7AF-4090-8DD5-81D64BE21DCE}" name="Cultivos transitorios (t)" dataDxfId="6" dataCellStyle="Porcentaje">
      <calculatedColumnFormula>C23/D23</calculatedColumnFormula>
    </tableColumn>
    <tableColumn id="4" xr3:uid="{42A91F05-F594-4495-AF3B-A854A22E9DE6}" name="Total (t)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84AE2D-6FBC-4563-BF41-F3BF866BDBF8}" name="Tabla2" displayName="Tabla2" ref="F22:G35" totalsRowShown="0" headerRowDxfId="4" headerRowBorderDxfId="3" tableBorderDxfId="2">
  <autoFilter ref="F22:G35" xr:uid="{4784AE2D-6FBC-4563-BF41-F3BF866BDBF8}"/>
  <sortState xmlns:xlrd2="http://schemas.microsoft.com/office/spreadsheetml/2017/richdata2" ref="F23:G35">
    <sortCondition ref="G22:G35"/>
  </sortState>
  <tableColumns count="2">
    <tableColumn id="1" xr3:uid="{C8ED5E69-97F6-4F6D-A8F2-0A3ECC70D05C}" name="Municipio" dataDxfId="1"/>
    <tableColumn id="2" xr3:uid="{8A64ED6E-44C3-4EB2-BB63-2C142EAC18E3}" name="Participación provincial (%)" dataDxfId="0" dataCellStyle="Porcentaj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52C4EB-1C66-4843-B666-293B26F00456}" name="Tabla3" displayName="Tabla3" ref="A3:E18" totalsRowShown="0" headerRowDxfId="22" headerRowBorderDxfId="21" tableBorderDxfId="20">
  <autoFilter ref="A3:E18" xr:uid="{9552C4EB-1C66-4843-B666-293B26F00456}"/>
  <tableColumns count="5">
    <tableColumn id="1" xr3:uid="{D3DB05A8-8B1A-4EB8-8844-856A2020C060}" name="Municipio"/>
    <tableColumn id="2" xr3:uid="{33780C8F-9D88-41AC-AA3E-7A962DA65706}" name="Área sembrada (ha)"/>
    <tableColumn id="3" xr3:uid="{D746D763-368F-45C3-BFE9-219DE018B81F}" name="Área cosechada (ha)"/>
    <tableColumn id="4" xr3:uid="{748D85E4-FDD9-4D3D-B231-3EB2839F05FB}" name="% Área perdida" dataCellStyle="Porcentaje"/>
    <tableColumn id="5" xr3:uid="{D8C7D472-D7E2-4F2B-8F47-4C7BCF37011F}" name="Rendimiento (ton/ha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5ABC73-1ED8-48D9-A4A3-2CEE5428B285}" name="Tabla4" displayName="Tabla4" ref="A23:C37" totalsRowShown="0" headerRowDxfId="19" headerRowBorderDxfId="18" tableBorderDxfId="17" totalsRowBorderDxfId="16">
  <autoFilter ref="A23:C37" xr:uid="{545ABC73-1ED8-48D9-A4A3-2CEE5428B285}"/>
  <sortState xmlns:xlrd2="http://schemas.microsoft.com/office/spreadsheetml/2017/richdata2" ref="A24:C37">
    <sortCondition ref="C23:C37"/>
  </sortState>
  <tableColumns count="3">
    <tableColumn id="1" xr3:uid="{F34E99D8-2146-4A15-9BF7-0C2AC176D6AF}" name="Municipio" dataDxfId="15"/>
    <tableColumn id="2" xr3:uid="{14A91B34-9D20-4D20-8160-DED5229870C9}" name="% Área perdida" dataDxfId="14"/>
    <tableColumn id="3" xr3:uid="{C11098C0-A6B4-4FD3-8065-0465CF565689}" name="Rendimiento (ton/ha)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zoomScale="70" zoomScaleNormal="70" workbookViewId="0">
      <selection activeCell="B20" sqref="B20:I20"/>
    </sheetView>
  </sheetViews>
  <sheetFormatPr baseColWidth="10" defaultColWidth="8.6640625" defaultRowHeight="14.4" x14ac:dyDescent="0.3"/>
  <cols>
    <col min="1" max="1" width="28" customWidth="1"/>
    <col min="2" max="9" width="12" customWidth="1"/>
  </cols>
  <sheetData>
    <row r="1" spans="1:9" x14ac:dyDescent="0.3">
      <c r="A1" s="2" t="s">
        <v>15</v>
      </c>
    </row>
    <row r="2" spans="1:9" x14ac:dyDescent="0.3">
      <c r="A2" s="3" t="s">
        <v>16</v>
      </c>
    </row>
    <row r="3" spans="1:9" ht="30" customHeight="1" x14ac:dyDescent="0.3">
      <c r="A3" s="4" t="s">
        <v>0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spans="1:9" x14ac:dyDescent="0.3">
      <c r="A4" s="5" t="s">
        <v>6</v>
      </c>
      <c r="B4" s="16">
        <v>15263</v>
      </c>
      <c r="C4" s="16">
        <v>2256</v>
      </c>
      <c r="D4" s="16">
        <v>11972</v>
      </c>
      <c r="E4" s="16">
        <v>1150</v>
      </c>
      <c r="F4" s="16">
        <v>0</v>
      </c>
      <c r="G4" s="16">
        <v>13</v>
      </c>
      <c r="H4" s="16">
        <v>11</v>
      </c>
      <c r="I4" s="16">
        <v>30665</v>
      </c>
    </row>
    <row r="5" spans="1:9" x14ac:dyDescent="0.3">
      <c r="A5" s="7" t="s">
        <v>2</v>
      </c>
      <c r="B5" s="22">
        <v>38015</v>
      </c>
      <c r="C5" s="22">
        <v>7165</v>
      </c>
      <c r="D5" s="22">
        <v>4073</v>
      </c>
      <c r="E5" s="22">
        <v>2670</v>
      </c>
      <c r="F5" s="22">
        <v>0</v>
      </c>
      <c r="G5" s="22">
        <v>3</v>
      </c>
      <c r="H5" s="22">
        <v>22</v>
      </c>
      <c r="I5" s="22">
        <v>51948</v>
      </c>
    </row>
    <row r="6" spans="1:9" x14ac:dyDescent="0.3">
      <c r="A6" s="5" t="s">
        <v>5</v>
      </c>
      <c r="B6" s="16">
        <v>20137</v>
      </c>
      <c r="C6" s="16">
        <v>371</v>
      </c>
      <c r="D6" s="16">
        <v>808</v>
      </c>
      <c r="E6" s="16">
        <v>1530</v>
      </c>
      <c r="F6" s="16">
        <v>0</v>
      </c>
      <c r="G6" s="16">
        <v>0</v>
      </c>
      <c r="H6" s="16">
        <v>0</v>
      </c>
      <c r="I6" s="16">
        <v>22846</v>
      </c>
    </row>
    <row r="7" spans="1:9" x14ac:dyDescent="0.3">
      <c r="A7" s="7" t="s">
        <v>9</v>
      </c>
      <c r="B7" s="22">
        <v>9352</v>
      </c>
      <c r="C7" s="22">
        <v>1145</v>
      </c>
      <c r="D7" s="22">
        <v>850</v>
      </c>
      <c r="E7" s="22">
        <v>729</v>
      </c>
      <c r="F7" s="22">
        <v>1</v>
      </c>
      <c r="G7" s="22">
        <v>25</v>
      </c>
      <c r="H7" s="22">
        <v>11</v>
      </c>
      <c r="I7" s="22">
        <v>12113</v>
      </c>
    </row>
    <row r="8" spans="1:9" x14ac:dyDescent="0.3">
      <c r="A8" s="5" t="s">
        <v>10</v>
      </c>
      <c r="B8" s="16">
        <v>5143</v>
      </c>
      <c r="C8" s="16">
        <v>1193</v>
      </c>
      <c r="D8" s="16">
        <v>19599</v>
      </c>
      <c r="E8" s="16">
        <v>1361</v>
      </c>
      <c r="F8" s="16">
        <v>6</v>
      </c>
      <c r="G8" s="16">
        <v>5</v>
      </c>
      <c r="H8" s="16">
        <v>0</v>
      </c>
      <c r="I8" s="16">
        <v>27307</v>
      </c>
    </row>
    <row r="9" spans="1:9" x14ac:dyDescent="0.3">
      <c r="A9" s="7" t="s">
        <v>7</v>
      </c>
      <c r="B9" s="22">
        <v>17954</v>
      </c>
      <c r="C9" s="22">
        <v>13200</v>
      </c>
      <c r="D9" s="22">
        <v>30474</v>
      </c>
      <c r="E9" s="22">
        <v>1483</v>
      </c>
      <c r="F9" s="22">
        <v>0</v>
      </c>
      <c r="G9" s="22">
        <v>0</v>
      </c>
      <c r="H9" s="22">
        <v>122</v>
      </c>
      <c r="I9" s="22">
        <v>63233</v>
      </c>
    </row>
    <row r="10" spans="1:9" x14ac:dyDescent="0.3">
      <c r="A10" s="5" t="s">
        <v>13</v>
      </c>
      <c r="B10" s="16">
        <v>8029</v>
      </c>
      <c r="C10" s="16">
        <v>432</v>
      </c>
      <c r="D10" s="16">
        <v>283</v>
      </c>
      <c r="E10" s="16">
        <v>379</v>
      </c>
      <c r="F10" s="16">
        <v>0</v>
      </c>
      <c r="G10" s="16">
        <v>0</v>
      </c>
      <c r="H10" s="16">
        <v>0</v>
      </c>
      <c r="I10" s="16">
        <v>9123</v>
      </c>
    </row>
    <row r="11" spans="1:9" x14ac:dyDescent="0.3">
      <c r="A11" s="7" t="s">
        <v>1</v>
      </c>
      <c r="B11" s="22">
        <v>42351</v>
      </c>
      <c r="C11" s="22">
        <v>3178</v>
      </c>
      <c r="D11" s="22">
        <v>1130</v>
      </c>
      <c r="E11" s="22">
        <v>4654</v>
      </c>
      <c r="F11" s="22">
        <v>4</v>
      </c>
      <c r="G11" s="22">
        <v>8</v>
      </c>
      <c r="H11" s="22">
        <v>0</v>
      </c>
      <c r="I11" s="22">
        <v>51325</v>
      </c>
    </row>
    <row r="12" spans="1:9" x14ac:dyDescent="0.3">
      <c r="A12" s="5" t="s">
        <v>8</v>
      </c>
      <c r="B12" s="16">
        <v>10161</v>
      </c>
      <c r="C12" s="16">
        <v>1204</v>
      </c>
      <c r="D12" s="16">
        <v>1421</v>
      </c>
      <c r="E12" s="16">
        <v>1389</v>
      </c>
      <c r="F12" s="16">
        <v>10</v>
      </c>
      <c r="G12" s="16">
        <v>5</v>
      </c>
      <c r="H12" s="16">
        <v>0</v>
      </c>
      <c r="I12" s="16">
        <v>14190</v>
      </c>
    </row>
    <row r="13" spans="1:9" x14ac:dyDescent="0.3">
      <c r="A13" s="7" t="s">
        <v>11</v>
      </c>
      <c r="B13" s="22">
        <v>14029</v>
      </c>
      <c r="C13" s="22">
        <v>879</v>
      </c>
      <c r="D13" s="22">
        <v>1734</v>
      </c>
      <c r="E13" s="22">
        <v>523</v>
      </c>
      <c r="F13" s="22">
        <v>12</v>
      </c>
      <c r="G13" s="22">
        <v>33</v>
      </c>
      <c r="H13" s="22">
        <v>0</v>
      </c>
      <c r="I13" s="22">
        <v>17210</v>
      </c>
    </row>
    <row r="14" spans="1:9" x14ac:dyDescent="0.3">
      <c r="A14" s="5" t="s">
        <v>12</v>
      </c>
      <c r="B14" s="9" t="s">
        <v>52</v>
      </c>
      <c r="C14" s="16">
        <v>942</v>
      </c>
      <c r="D14" s="16">
        <v>340</v>
      </c>
      <c r="E14" s="16">
        <v>212</v>
      </c>
      <c r="F14" s="16">
        <v>0</v>
      </c>
      <c r="G14" s="16">
        <v>1</v>
      </c>
      <c r="H14" s="16">
        <v>0</v>
      </c>
      <c r="I14" s="9">
        <v>1495</v>
      </c>
    </row>
    <row r="15" spans="1:9" x14ac:dyDescent="0.3">
      <c r="A15" s="7" t="s">
        <v>4</v>
      </c>
      <c r="B15" s="22">
        <v>27599</v>
      </c>
      <c r="C15" s="22">
        <v>3127</v>
      </c>
      <c r="D15" s="22">
        <v>2639</v>
      </c>
      <c r="E15" s="22">
        <v>2726</v>
      </c>
      <c r="F15" s="22">
        <v>30</v>
      </c>
      <c r="G15" s="22">
        <v>40</v>
      </c>
      <c r="H15" s="22">
        <v>106</v>
      </c>
      <c r="I15" s="22">
        <v>36267</v>
      </c>
    </row>
    <row r="16" spans="1:9" x14ac:dyDescent="0.3">
      <c r="A16" s="5" t="s">
        <v>3</v>
      </c>
      <c r="B16" s="16">
        <v>59064</v>
      </c>
      <c r="C16" s="16">
        <v>3900</v>
      </c>
      <c r="D16" s="16">
        <v>101760</v>
      </c>
      <c r="E16" s="16">
        <v>2111</v>
      </c>
      <c r="F16" s="16">
        <v>83</v>
      </c>
      <c r="G16" s="16">
        <v>56</v>
      </c>
      <c r="H16" s="16">
        <v>209</v>
      </c>
      <c r="I16" s="16">
        <v>167183</v>
      </c>
    </row>
    <row r="17" spans="1:14" x14ac:dyDescent="0.3">
      <c r="A17" s="10" t="s">
        <v>25</v>
      </c>
      <c r="B17" s="23">
        <v>270152</v>
      </c>
      <c r="C17" s="23">
        <v>38992</v>
      </c>
      <c r="D17" s="23">
        <v>177083</v>
      </c>
      <c r="E17" s="23">
        <v>20917</v>
      </c>
      <c r="F17" s="23">
        <v>146</v>
      </c>
      <c r="G17" s="23">
        <v>189</v>
      </c>
      <c r="H17" s="23">
        <v>481</v>
      </c>
      <c r="I17" s="23">
        <v>507960</v>
      </c>
    </row>
    <row r="18" spans="1:14" x14ac:dyDescent="0.3">
      <c r="A18" s="12" t="s">
        <v>26</v>
      </c>
      <c r="B18" s="24">
        <v>3172473</v>
      </c>
      <c r="C18" s="24">
        <v>11083512</v>
      </c>
      <c r="D18" s="24">
        <v>3473154</v>
      </c>
      <c r="E18" s="24">
        <v>255370</v>
      </c>
      <c r="F18" s="24">
        <v>12213</v>
      </c>
      <c r="G18" s="24">
        <v>4124</v>
      </c>
      <c r="H18" s="24">
        <v>69902</v>
      </c>
      <c r="I18" s="24">
        <v>18070748</v>
      </c>
    </row>
    <row r="19" spans="1:14" x14ac:dyDescent="0.3">
      <c r="A19" s="14" t="s">
        <v>27</v>
      </c>
    </row>
    <row r="20" spans="1:14" s="51" customFormat="1" ht="15.6" x14ac:dyDescent="0.3">
      <c r="A20" s="52" t="s">
        <v>60</v>
      </c>
      <c r="B20" s="51">
        <f>SUM(B4,B6:B16)</f>
        <v>229082</v>
      </c>
      <c r="C20" s="51">
        <f>SUM(C4,C6:C16)</f>
        <v>31827</v>
      </c>
      <c r="D20" s="51">
        <f t="shared" ref="C20:I20" si="0">SUM(D4,D6:D16)</f>
        <v>173010</v>
      </c>
      <c r="E20" s="51">
        <f t="shared" si="0"/>
        <v>18247</v>
      </c>
      <c r="F20" s="51">
        <f t="shared" si="0"/>
        <v>146</v>
      </c>
      <c r="G20" s="51">
        <f t="shared" si="0"/>
        <v>186</v>
      </c>
      <c r="H20" s="51">
        <f t="shared" si="0"/>
        <v>459</v>
      </c>
      <c r="I20" s="51">
        <f t="shared" si="0"/>
        <v>452957</v>
      </c>
    </row>
    <row r="22" spans="1:14" x14ac:dyDescent="0.3">
      <c r="A22" s="15" t="s">
        <v>28</v>
      </c>
    </row>
    <row r="23" spans="1:14" ht="30" customHeight="1" x14ac:dyDescent="0.3">
      <c r="A23" s="4" t="s">
        <v>0</v>
      </c>
      <c r="B23" s="4" t="s">
        <v>17</v>
      </c>
      <c r="C23" s="4" t="s">
        <v>19</v>
      </c>
      <c r="D23" s="4" t="s">
        <v>18</v>
      </c>
      <c r="E23" s="4" t="s">
        <v>29</v>
      </c>
      <c r="F23" s="4" t="s">
        <v>30</v>
      </c>
      <c r="I23" s="4" t="s">
        <v>0</v>
      </c>
      <c r="J23" s="4" t="s">
        <v>17</v>
      </c>
      <c r="K23" s="4" t="s">
        <v>19</v>
      </c>
      <c r="L23" s="4" t="s">
        <v>18</v>
      </c>
      <c r="M23" s="4" t="s">
        <v>29</v>
      </c>
      <c r="N23" s="4" t="s">
        <v>30</v>
      </c>
    </row>
    <row r="24" spans="1:14" x14ac:dyDescent="0.3">
      <c r="A24" s="5" t="s">
        <v>3</v>
      </c>
      <c r="B24" s="6">
        <v>59064</v>
      </c>
      <c r="C24" s="6">
        <v>101760</v>
      </c>
      <c r="D24" s="6">
        <v>3900</v>
      </c>
      <c r="E24" s="6">
        <v>2459</v>
      </c>
      <c r="F24" s="6">
        <v>167183</v>
      </c>
      <c r="I24" s="5" t="s">
        <v>3</v>
      </c>
      <c r="J24">
        <f>B24/$F$24</f>
        <v>0.3532895091008057</v>
      </c>
      <c r="K24">
        <f>C24/$F$24</f>
        <v>0.60867432693515489</v>
      </c>
      <c r="L24">
        <f>D24/$F$24</f>
        <v>2.3327730690321385E-2</v>
      </c>
      <c r="M24">
        <f>E24/$F$24</f>
        <v>1.4708433273718022E-2</v>
      </c>
      <c r="N24">
        <f>F24/$F$24</f>
        <v>1</v>
      </c>
    </row>
    <row r="25" spans="1:14" x14ac:dyDescent="0.3">
      <c r="A25" s="7" t="s">
        <v>7</v>
      </c>
      <c r="B25" s="8">
        <v>17954</v>
      </c>
      <c r="C25" s="8">
        <v>30474</v>
      </c>
      <c r="D25" s="8">
        <v>13200</v>
      </c>
      <c r="E25" s="8">
        <v>1605</v>
      </c>
      <c r="F25" s="8">
        <v>63233</v>
      </c>
      <c r="I25" s="7" t="s">
        <v>7</v>
      </c>
      <c r="J25">
        <f>B25/$F$25</f>
        <v>0.2839340217924185</v>
      </c>
      <c r="K25">
        <f>C25/$F$25</f>
        <v>0.4819319026457704</v>
      </c>
      <c r="L25">
        <f>D25/$F$25</f>
        <v>0.20875175936615376</v>
      </c>
      <c r="M25">
        <f>E25/$F$25</f>
        <v>2.5382316195657329E-2</v>
      </c>
      <c r="N25">
        <f>F25/$F$25</f>
        <v>1</v>
      </c>
    </row>
    <row r="26" spans="1:14" x14ac:dyDescent="0.3">
      <c r="A26" s="5" t="s">
        <v>2</v>
      </c>
      <c r="B26" s="6">
        <v>38015</v>
      </c>
      <c r="C26" s="6">
        <v>4073</v>
      </c>
      <c r="D26" s="6">
        <v>7165</v>
      </c>
      <c r="E26" s="6">
        <v>2695</v>
      </c>
      <c r="F26" s="6">
        <v>51948</v>
      </c>
      <c r="I26" s="5" t="s">
        <v>2</v>
      </c>
      <c r="J26">
        <f>B26/$F$26</f>
        <v>0.73178948178948178</v>
      </c>
      <c r="K26">
        <f>C26/$F$26</f>
        <v>7.8405328405328406E-2</v>
      </c>
      <c r="L26">
        <f>D26/$F$26</f>
        <v>0.13792638792638792</v>
      </c>
      <c r="M26">
        <f>E26/$F$26</f>
        <v>5.1878801878801881E-2</v>
      </c>
      <c r="N26">
        <f>F26/$F$26</f>
        <v>1</v>
      </c>
    </row>
    <row r="27" spans="1:14" x14ac:dyDescent="0.3">
      <c r="A27" s="7" t="s">
        <v>1</v>
      </c>
      <c r="B27" s="8">
        <v>42351</v>
      </c>
      <c r="C27" s="8">
        <v>1130</v>
      </c>
      <c r="D27" s="8">
        <v>3178</v>
      </c>
      <c r="E27" s="8">
        <v>4666</v>
      </c>
      <c r="F27" s="8">
        <v>51325</v>
      </c>
      <c r="I27" s="7" t="s">
        <v>1</v>
      </c>
      <c r="J27">
        <f>B27/$F$27</f>
        <v>0.82515343399902585</v>
      </c>
      <c r="K27">
        <f>C27/$F$27</f>
        <v>2.2016561130053579E-2</v>
      </c>
      <c r="L27">
        <f>D27/$F$27</f>
        <v>6.1919142717973698E-2</v>
      </c>
      <c r="M27">
        <f>E27/$F$27</f>
        <v>9.09108621529469E-2</v>
      </c>
      <c r="N27">
        <f>F27/$F$27</f>
        <v>1</v>
      </c>
    </row>
    <row r="28" spans="1:14" x14ac:dyDescent="0.3">
      <c r="A28" s="5" t="s">
        <v>4</v>
      </c>
      <c r="B28" s="6">
        <v>27599</v>
      </c>
      <c r="C28" s="6">
        <v>2639</v>
      </c>
      <c r="D28" s="6">
        <v>3127</v>
      </c>
      <c r="E28" s="6">
        <v>2902</v>
      </c>
      <c r="F28" s="6">
        <v>36267</v>
      </c>
      <c r="I28" s="5" t="s">
        <v>4</v>
      </c>
      <c r="J28">
        <f>B28/$F$28</f>
        <v>0.76099484379739157</v>
      </c>
      <c r="K28">
        <f>C28/$F$28</f>
        <v>7.276587531364602E-2</v>
      </c>
      <c r="L28">
        <f>D28/$F$28</f>
        <v>8.6221633992334623E-2</v>
      </c>
      <c r="M28">
        <f>E28/$F$28</f>
        <v>8.0017646896627784E-2</v>
      </c>
      <c r="N28">
        <f>F28/$F$28</f>
        <v>1</v>
      </c>
    </row>
    <row r="29" spans="1:14" x14ac:dyDescent="0.3">
      <c r="A29" s="7" t="s">
        <v>6</v>
      </c>
      <c r="B29" s="8">
        <v>15263</v>
      </c>
      <c r="C29" s="8">
        <v>11972</v>
      </c>
      <c r="D29" s="8">
        <v>2256</v>
      </c>
      <c r="E29" s="8">
        <v>1174</v>
      </c>
      <c r="F29" s="8">
        <v>30665</v>
      </c>
      <c r="I29" s="7" t="s">
        <v>6</v>
      </c>
      <c r="J29">
        <f>B29/$F$29</f>
        <v>0.49773357247676503</v>
      </c>
      <c r="K29">
        <f>C29/$F$29</f>
        <v>0.39041252241969671</v>
      </c>
      <c r="L29">
        <f>D29/$F$29</f>
        <v>7.3569215718245554E-2</v>
      </c>
      <c r="M29">
        <f>E29/$F$29</f>
        <v>3.8284689385292676E-2</v>
      </c>
      <c r="N29">
        <f>F29/$F$29</f>
        <v>1</v>
      </c>
    </row>
    <row r="30" spans="1:14" x14ac:dyDescent="0.3">
      <c r="A30" s="5" t="s">
        <v>10</v>
      </c>
      <c r="B30" s="6">
        <v>5143</v>
      </c>
      <c r="C30" s="6">
        <v>19599</v>
      </c>
      <c r="D30" s="6">
        <v>1193</v>
      </c>
      <c r="E30" s="6">
        <v>1372</v>
      </c>
      <c r="F30" s="6">
        <v>27307</v>
      </c>
      <c r="I30" s="5" t="s">
        <v>56</v>
      </c>
      <c r="J30">
        <f>B30/$F$30</f>
        <v>0.18833998608415425</v>
      </c>
      <c r="K30">
        <f>C30/$F$30</f>
        <v>0.71772805507745263</v>
      </c>
      <c r="L30">
        <f>D30/$F$30</f>
        <v>4.3688431537700953E-2</v>
      </c>
      <c r="M30">
        <f>E30/$F$30</f>
        <v>5.0243527300692127E-2</v>
      </c>
      <c r="N30">
        <f>F30/$F$30</f>
        <v>1</v>
      </c>
    </row>
    <row r="31" spans="1:14" x14ac:dyDescent="0.3">
      <c r="A31" s="7" t="s">
        <v>5</v>
      </c>
      <c r="B31" s="8">
        <v>20137</v>
      </c>
      <c r="C31" s="8">
        <v>808</v>
      </c>
      <c r="D31" s="8">
        <v>371</v>
      </c>
      <c r="E31" s="8">
        <v>1530</v>
      </c>
      <c r="F31" s="8">
        <v>22846</v>
      </c>
      <c r="I31" s="7" t="s">
        <v>5</v>
      </c>
      <c r="J31">
        <f>B31/$F$31</f>
        <v>0.88142344392891536</v>
      </c>
      <c r="K31">
        <f>C31/$F$31</f>
        <v>3.5367241530245994E-2</v>
      </c>
      <c r="L31">
        <f>D31/$F$31</f>
        <v>1.6239166593714435E-2</v>
      </c>
      <c r="M31">
        <f>E31/$F$31</f>
        <v>6.697014794712422E-2</v>
      </c>
      <c r="N31">
        <f>F31/$F$31</f>
        <v>1</v>
      </c>
    </row>
    <row r="32" spans="1:14" x14ac:dyDescent="0.3">
      <c r="A32" s="5" t="s">
        <v>11</v>
      </c>
      <c r="B32" s="6">
        <v>14029</v>
      </c>
      <c r="C32" s="6">
        <v>1734</v>
      </c>
      <c r="D32" s="6">
        <v>879</v>
      </c>
      <c r="E32" s="6">
        <v>568</v>
      </c>
      <c r="F32" s="6">
        <v>17210</v>
      </c>
      <c r="I32" s="5" t="s">
        <v>54</v>
      </c>
      <c r="J32">
        <f>B32/$F$32</f>
        <v>0.81516560139453809</v>
      </c>
      <c r="K32">
        <f>C32/$F$32</f>
        <v>0.10075537478210343</v>
      </c>
      <c r="L32">
        <f>D32/$F$32</f>
        <v>5.1074956420685651E-2</v>
      </c>
      <c r="M32">
        <f>E32/$F$32</f>
        <v>3.3004067402672865E-2</v>
      </c>
      <c r="N32">
        <f>F32/$F$32</f>
        <v>1</v>
      </c>
    </row>
    <row r="33" spans="1:14" x14ac:dyDescent="0.3">
      <c r="A33" s="7" t="s">
        <v>8</v>
      </c>
      <c r="B33" s="8">
        <v>10161</v>
      </c>
      <c r="C33" s="8">
        <v>1421</v>
      </c>
      <c r="D33" s="8">
        <v>1204</v>
      </c>
      <c r="E33" s="8">
        <v>1404</v>
      </c>
      <c r="F33" s="8">
        <v>14190</v>
      </c>
      <c r="I33" s="7" t="s">
        <v>55</v>
      </c>
      <c r="J33">
        <f>B33/$F$33</f>
        <v>0.71606765327695565</v>
      </c>
      <c r="K33">
        <f>C33/$F$33</f>
        <v>0.10014094432699083</v>
      </c>
      <c r="L33">
        <f>D33/$F$33</f>
        <v>8.4848484848484854E-2</v>
      </c>
      <c r="M33">
        <f>E33/$F$33</f>
        <v>9.8942917547568704E-2</v>
      </c>
      <c r="N33">
        <f>F33/$F$33</f>
        <v>1</v>
      </c>
    </row>
    <row r="34" spans="1:14" x14ac:dyDescent="0.3">
      <c r="A34" s="5" t="s">
        <v>9</v>
      </c>
      <c r="B34" s="6">
        <v>9352</v>
      </c>
      <c r="C34" s="6">
        <v>850</v>
      </c>
      <c r="D34" s="6">
        <v>1145</v>
      </c>
      <c r="E34" s="6">
        <v>766</v>
      </c>
      <c r="F34" s="6">
        <v>12113</v>
      </c>
      <c r="I34" s="5" t="s">
        <v>9</v>
      </c>
      <c r="J34">
        <f>B34/$F$34</f>
        <v>0.77206307273177577</v>
      </c>
      <c r="K34">
        <f>C34/$F$34</f>
        <v>7.0172541897135315E-2</v>
      </c>
      <c r="L34">
        <f>D34/$F$34</f>
        <v>9.4526541732023447E-2</v>
      </c>
      <c r="M34">
        <f>E34/$F$34</f>
        <v>6.3237843639065469E-2</v>
      </c>
      <c r="N34">
        <f>F34/$F$34</f>
        <v>1</v>
      </c>
    </row>
    <row r="35" spans="1:14" x14ac:dyDescent="0.3">
      <c r="A35" s="7" t="s">
        <v>13</v>
      </c>
      <c r="B35" s="8">
        <v>8029</v>
      </c>
      <c r="C35" s="8">
        <v>283</v>
      </c>
      <c r="D35" s="8">
        <v>432</v>
      </c>
      <c r="E35" s="8">
        <v>379</v>
      </c>
      <c r="F35" s="8">
        <v>9123</v>
      </c>
      <c r="I35" s="7" t="s">
        <v>13</v>
      </c>
      <c r="J35">
        <f>B35/$F$35</f>
        <v>0.88008330593006689</v>
      </c>
      <c r="K35">
        <f>C35/$F$35</f>
        <v>3.1020497643319083E-2</v>
      </c>
      <c r="L35">
        <f>D35/$F$35</f>
        <v>4.7352844459059518E-2</v>
      </c>
      <c r="M35">
        <f>E35/$F$35</f>
        <v>4.1543351967554536E-2</v>
      </c>
      <c r="N35">
        <f>F35/$F$35</f>
        <v>1</v>
      </c>
    </row>
    <row r="36" spans="1:14" x14ac:dyDescent="0.3">
      <c r="A36" s="5" t="s">
        <v>12</v>
      </c>
      <c r="B36" s="16">
        <v>0</v>
      </c>
      <c r="C36" s="6">
        <v>340</v>
      </c>
      <c r="D36" s="6">
        <v>942</v>
      </c>
      <c r="E36" s="16">
        <v>0</v>
      </c>
      <c r="F36" s="6">
        <f>SUM(C36:D36)</f>
        <v>1282</v>
      </c>
      <c r="I36" s="5" t="s">
        <v>12</v>
      </c>
      <c r="J36">
        <f>B36/$F$36</f>
        <v>0</v>
      </c>
      <c r="K36">
        <f>C36/$F$36</f>
        <v>0.26521060842433697</v>
      </c>
      <c r="L36">
        <f>D36/$F$36</f>
        <v>0.73478939157566303</v>
      </c>
      <c r="M36">
        <f>E36/$F$36</f>
        <v>0</v>
      </c>
      <c r="N36">
        <f>F36/$F$36</f>
        <v>1</v>
      </c>
    </row>
    <row r="39" spans="1:14" ht="24" x14ac:dyDescent="0.3">
      <c r="A39" s="4" t="s">
        <v>0</v>
      </c>
      <c r="B39" s="4" t="s">
        <v>24</v>
      </c>
      <c r="C39" t="s">
        <v>53</v>
      </c>
    </row>
    <row r="40" spans="1:14" x14ac:dyDescent="0.3">
      <c r="A40" s="5" t="s">
        <v>12</v>
      </c>
      <c r="B40" s="9">
        <v>1495</v>
      </c>
      <c r="C40" s="1">
        <f t="shared" ref="C40:C53" si="1">B40/$B$53</f>
        <v>2.9431451295377589E-3</v>
      </c>
    </row>
    <row r="41" spans="1:14" x14ac:dyDescent="0.3">
      <c r="A41" s="5" t="s">
        <v>13</v>
      </c>
      <c r="B41" s="16">
        <v>9123</v>
      </c>
      <c r="C41" s="1">
        <f t="shared" si="1"/>
        <v>1.7960075596503661E-2</v>
      </c>
    </row>
    <row r="42" spans="1:14" x14ac:dyDescent="0.3">
      <c r="A42" s="7" t="s">
        <v>9</v>
      </c>
      <c r="B42" s="22">
        <v>12113</v>
      </c>
      <c r="C42" s="1">
        <f t="shared" si="1"/>
        <v>2.3846365855579178E-2</v>
      </c>
    </row>
    <row r="43" spans="1:14" x14ac:dyDescent="0.3">
      <c r="A43" s="5" t="s">
        <v>8</v>
      </c>
      <c r="B43" s="16">
        <v>14190</v>
      </c>
      <c r="C43" s="1">
        <f t="shared" si="1"/>
        <v>2.7935270493739665E-2</v>
      </c>
    </row>
    <row r="44" spans="1:14" x14ac:dyDescent="0.3">
      <c r="A44" s="7" t="s">
        <v>11</v>
      </c>
      <c r="B44" s="22">
        <v>17210</v>
      </c>
      <c r="C44" s="1">
        <f t="shared" si="1"/>
        <v>3.3880620521300892E-2</v>
      </c>
    </row>
    <row r="45" spans="1:14" x14ac:dyDescent="0.3">
      <c r="A45" s="5" t="s">
        <v>5</v>
      </c>
      <c r="B45" s="16">
        <v>22846</v>
      </c>
      <c r="C45" s="1">
        <f t="shared" si="1"/>
        <v>4.4975982360815812E-2</v>
      </c>
    </row>
    <row r="46" spans="1:14" x14ac:dyDescent="0.3">
      <c r="A46" s="5" t="s">
        <v>10</v>
      </c>
      <c r="B46" s="16">
        <v>27307</v>
      </c>
      <c r="C46" s="1">
        <f t="shared" si="1"/>
        <v>5.3758169934640526E-2</v>
      </c>
    </row>
    <row r="47" spans="1:14" x14ac:dyDescent="0.3">
      <c r="A47" s="5" t="s">
        <v>6</v>
      </c>
      <c r="B47" s="16">
        <v>30665</v>
      </c>
      <c r="C47" s="1">
        <f t="shared" si="1"/>
        <v>6.0368926687140723E-2</v>
      </c>
    </row>
    <row r="48" spans="1:14" x14ac:dyDescent="0.3">
      <c r="A48" s="7" t="s">
        <v>4</v>
      </c>
      <c r="B48" s="22">
        <v>36267</v>
      </c>
      <c r="C48" s="1">
        <f t="shared" si="1"/>
        <v>7.1397354122371845E-2</v>
      </c>
    </row>
    <row r="49" spans="1:3" x14ac:dyDescent="0.3">
      <c r="A49" s="7" t="s">
        <v>1</v>
      </c>
      <c r="B49" s="22">
        <v>51325</v>
      </c>
      <c r="C49" s="1">
        <f t="shared" si="1"/>
        <v>0.10104142058429798</v>
      </c>
    </row>
    <row r="50" spans="1:3" x14ac:dyDescent="0.3">
      <c r="A50" s="7" t="s">
        <v>2</v>
      </c>
      <c r="B50" s="22">
        <v>51948</v>
      </c>
      <c r="C50" s="1">
        <f t="shared" si="1"/>
        <v>0.10226789510985117</v>
      </c>
    </row>
    <row r="51" spans="1:3" x14ac:dyDescent="0.3">
      <c r="A51" s="7" t="s">
        <v>7</v>
      </c>
      <c r="B51" s="22">
        <v>63233</v>
      </c>
      <c r="C51" s="1">
        <f t="shared" si="1"/>
        <v>0.12448421135522482</v>
      </c>
    </row>
    <row r="52" spans="1:3" x14ac:dyDescent="0.3">
      <c r="A52" s="5" t="s">
        <v>3</v>
      </c>
      <c r="B52" s="16">
        <v>167183</v>
      </c>
      <c r="C52" s="1">
        <f t="shared" si="1"/>
        <v>0.32912630915820146</v>
      </c>
    </row>
    <row r="53" spans="1:3" x14ac:dyDescent="0.3">
      <c r="A53" s="10" t="s">
        <v>25</v>
      </c>
      <c r="B53" s="23">
        <v>507960</v>
      </c>
      <c r="C53">
        <f t="shared" si="1"/>
        <v>1</v>
      </c>
    </row>
  </sheetData>
  <autoFilter ref="A39:C53" xr:uid="{00000000-0001-0000-0500-000000000000}">
    <sortState xmlns:xlrd2="http://schemas.microsoft.com/office/spreadsheetml/2017/richdata2" ref="A40:C53">
      <sortCondition ref="B39:B53"/>
    </sortState>
  </autoFilter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07C6-663C-4E56-805B-8F043BEB981F}">
  <dimension ref="A1:C20"/>
  <sheetViews>
    <sheetView showGridLines="0" tabSelected="1" workbookViewId="0">
      <selection sqref="A1:C1"/>
    </sheetView>
  </sheetViews>
  <sheetFormatPr baseColWidth="10" defaultColWidth="8.88671875" defaultRowHeight="14.4" x14ac:dyDescent="0.3"/>
  <cols>
    <col min="1" max="1" width="26" style="53" customWidth="1"/>
    <col min="2" max="2" width="18" style="53" customWidth="1"/>
    <col min="3" max="3" width="22" style="53" customWidth="1"/>
    <col min="4" max="16384" width="8.88671875" style="53"/>
  </cols>
  <sheetData>
    <row r="1" spans="1:3" ht="16.8" x14ac:dyDescent="0.3">
      <c r="A1" s="69" t="s">
        <v>69</v>
      </c>
      <c r="B1" s="54"/>
      <c r="C1" s="54"/>
    </row>
    <row r="2" spans="1:3" ht="30" customHeight="1" x14ac:dyDescent="0.3">
      <c r="A2" s="55" t="s">
        <v>68</v>
      </c>
      <c r="B2" s="54"/>
      <c r="C2" s="54"/>
    </row>
    <row r="4" spans="1:3" ht="27.6" x14ac:dyDescent="0.3">
      <c r="A4" s="68" t="s">
        <v>0</v>
      </c>
      <c r="B4" s="68" t="s">
        <v>31</v>
      </c>
      <c r="C4" s="68" t="s">
        <v>67</v>
      </c>
    </row>
    <row r="5" spans="1:3" x14ac:dyDescent="0.3">
      <c r="A5" s="67" t="s">
        <v>1</v>
      </c>
      <c r="B5" s="66">
        <v>340850</v>
      </c>
      <c r="C5" s="65">
        <v>0.41920947313787849</v>
      </c>
    </row>
    <row r="6" spans="1:3" x14ac:dyDescent="0.3">
      <c r="A6" s="67" t="s">
        <v>66</v>
      </c>
      <c r="B6" s="66">
        <v>140120</v>
      </c>
      <c r="C6" s="65">
        <v>0.17233278972005139</v>
      </c>
    </row>
    <row r="7" spans="1:3" x14ac:dyDescent="0.3">
      <c r="A7" s="67" t="s">
        <v>3</v>
      </c>
      <c r="B7" s="66">
        <v>74141</v>
      </c>
      <c r="C7" s="65">
        <v>9.118559351009374E-2</v>
      </c>
    </row>
    <row r="8" spans="1:3" x14ac:dyDescent="0.3">
      <c r="A8" s="64" t="s">
        <v>4</v>
      </c>
      <c r="B8" s="63">
        <v>57676</v>
      </c>
      <c r="C8" s="62">
        <v>7.0935383813115108E-2</v>
      </c>
    </row>
    <row r="9" spans="1:3" x14ac:dyDescent="0.3">
      <c r="A9" s="61" t="s">
        <v>5</v>
      </c>
      <c r="B9" s="60">
        <v>36509</v>
      </c>
      <c r="C9" s="59">
        <v>4.4902211103977727E-2</v>
      </c>
    </row>
    <row r="10" spans="1:3" x14ac:dyDescent="0.3">
      <c r="A10" s="64" t="s">
        <v>6</v>
      </c>
      <c r="B10" s="63">
        <v>33798</v>
      </c>
      <c r="C10" s="62">
        <v>4.1567967648860248E-2</v>
      </c>
    </row>
    <row r="11" spans="1:3" x14ac:dyDescent="0.3">
      <c r="A11" s="61" t="s">
        <v>65</v>
      </c>
      <c r="B11" s="60">
        <v>32780</v>
      </c>
      <c r="C11" s="59">
        <v>4.031593524852474E-2</v>
      </c>
    </row>
    <row r="12" spans="1:3" x14ac:dyDescent="0.3">
      <c r="A12" s="64" t="s">
        <v>9</v>
      </c>
      <c r="B12" s="63">
        <v>22971</v>
      </c>
      <c r="C12" s="62">
        <v>2.8251902031539409E-2</v>
      </c>
    </row>
    <row r="13" spans="1:3" x14ac:dyDescent="0.3">
      <c r="A13" s="61" t="s">
        <v>64</v>
      </c>
      <c r="B13" s="60">
        <v>20415</v>
      </c>
      <c r="C13" s="59">
        <v>2.5108292193368902E-2</v>
      </c>
    </row>
    <row r="14" spans="1:3" x14ac:dyDescent="0.3">
      <c r="A14" s="64" t="s">
        <v>57</v>
      </c>
      <c r="B14" s="63">
        <v>15278</v>
      </c>
      <c r="C14" s="62">
        <v>1.8790325159455799E-2</v>
      </c>
    </row>
    <row r="15" spans="1:3" x14ac:dyDescent="0.3">
      <c r="A15" s="61" t="s">
        <v>63</v>
      </c>
      <c r="B15" s="60">
        <v>13737</v>
      </c>
      <c r="C15" s="59">
        <v>1.6895058038712149E-2</v>
      </c>
    </row>
    <row r="16" spans="1:3" x14ac:dyDescent="0.3">
      <c r="A16" s="64" t="s">
        <v>12</v>
      </c>
      <c r="B16" s="63">
        <v>13288</v>
      </c>
      <c r="C16" s="62">
        <v>1.634283549671741E-2</v>
      </c>
    </row>
    <row r="17" spans="1:3" x14ac:dyDescent="0.3">
      <c r="A17" s="61" t="s">
        <v>13</v>
      </c>
      <c r="B17" s="60">
        <v>11515</v>
      </c>
      <c r="C17" s="59">
        <v>1.416223289770477E-2</v>
      </c>
    </row>
    <row r="18" spans="1:3" x14ac:dyDescent="0.3">
      <c r="A18" s="58" t="s">
        <v>62</v>
      </c>
      <c r="B18" s="57">
        <v>813078</v>
      </c>
      <c r="C18" s="56">
        <v>1</v>
      </c>
    </row>
    <row r="20" spans="1:3" ht="30" customHeight="1" x14ac:dyDescent="0.3">
      <c r="A20" s="55" t="s">
        <v>61</v>
      </c>
      <c r="B20" s="54"/>
      <c r="C20" s="54"/>
    </row>
  </sheetData>
  <mergeCells count="3">
    <mergeCell ref="A1:C1"/>
    <mergeCell ref="A20:C20"/>
    <mergeCell ref="A2:C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0"/>
  <sheetViews>
    <sheetView zoomScale="85" zoomScaleNormal="85" workbookViewId="0"/>
  </sheetViews>
  <sheetFormatPr baseColWidth="10" defaultColWidth="8.6640625" defaultRowHeight="14.4" x14ac:dyDescent="0.3"/>
  <cols>
    <col min="1" max="1" width="28" customWidth="1"/>
    <col min="2" max="2" width="22.88671875" customWidth="1"/>
    <col min="3" max="3" width="21.21875" customWidth="1"/>
    <col min="4" max="5" width="18" customWidth="1"/>
    <col min="6" max="6" width="21.21875" customWidth="1"/>
    <col min="7" max="7" width="25.44140625" customWidth="1"/>
  </cols>
  <sheetData>
    <row r="1" spans="1:5" x14ac:dyDescent="0.3">
      <c r="A1" s="2" t="s">
        <v>32</v>
      </c>
    </row>
    <row r="2" spans="1:5" x14ac:dyDescent="0.3">
      <c r="A2" s="3" t="s">
        <v>33</v>
      </c>
    </row>
    <row r="3" spans="1:5" ht="30" customHeight="1" x14ac:dyDescent="0.3">
      <c r="A3" s="4" t="s">
        <v>0</v>
      </c>
      <c r="B3" s="4" t="s">
        <v>34</v>
      </c>
      <c r="C3" s="4" t="s">
        <v>35</v>
      </c>
      <c r="D3" s="4" t="s">
        <v>36</v>
      </c>
      <c r="E3" s="4" t="s">
        <v>37</v>
      </c>
    </row>
    <row r="4" spans="1:5" x14ac:dyDescent="0.3">
      <c r="A4" s="5" t="s">
        <v>6</v>
      </c>
      <c r="B4" s="6">
        <v>73325</v>
      </c>
      <c r="C4" s="6">
        <v>452</v>
      </c>
      <c r="D4" s="6">
        <v>73777</v>
      </c>
      <c r="E4" s="35">
        <v>0.1875</v>
      </c>
    </row>
    <row r="5" spans="1:5" x14ac:dyDescent="0.3">
      <c r="A5" s="7" t="s">
        <v>2</v>
      </c>
      <c r="B5" s="8">
        <v>38434</v>
      </c>
      <c r="C5" s="8">
        <v>1795</v>
      </c>
      <c r="D5" s="8">
        <v>40229</v>
      </c>
      <c r="E5" s="35">
        <v>0.1022</v>
      </c>
    </row>
    <row r="6" spans="1:5" x14ac:dyDescent="0.3">
      <c r="A6" s="5" t="s">
        <v>5</v>
      </c>
      <c r="B6" s="6">
        <v>6142</v>
      </c>
      <c r="C6" s="6">
        <v>360</v>
      </c>
      <c r="D6" s="6">
        <v>6502</v>
      </c>
      <c r="E6" s="35">
        <v>1.6500000000000001E-2</v>
      </c>
    </row>
    <row r="7" spans="1:5" x14ac:dyDescent="0.3">
      <c r="A7" s="7" t="s">
        <v>9</v>
      </c>
      <c r="B7" s="8">
        <v>149463</v>
      </c>
      <c r="C7" s="8">
        <v>50</v>
      </c>
      <c r="D7" s="8">
        <v>149513</v>
      </c>
      <c r="E7" s="35">
        <v>0.37990000000000002</v>
      </c>
    </row>
    <row r="8" spans="1:5" x14ac:dyDescent="0.3">
      <c r="A8" s="5" t="s">
        <v>10</v>
      </c>
      <c r="B8" s="6">
        <v>1065</v>
      </c>
      <c r="C8" s="6">
        <v>620</v>
      </c>
      <c r="D8" s="6">
        <v>1685</v>
      </c>
      <c r="E8" s="35">
        <v>4.3E-3</v>
      </c>
    </row>
    <row r="9" spans="1:5" x14ac:dyDescent="0.3">
      <c r="A9" s="7" t="s">
        <v>7</v>
      </c>
      <c r="B9" s="8">
        <v>22736</v>
      </c>
      <c r="C9" s="8">
        <v>277</v>
      </c>
      <c r="D9" s="8">
        <v>23013</v>
      </c>
      <c r="E9" s="35">
        <v>5.8500000000000003E-2</v>
      </c>
    </row>
    <row r="10" spans="1:5" x14ac:dyDescent="0.3">
      <c r="A10" s="5" t="s">
        <v>13</v>
      </c>
      <c r="B10" s="6">
        <v>11709</v>
      </c>
      <c r="C10" s="6">
        <v>369</v>
      </c>
      <c r="D10" s="6">
        <v>12078</v>
      </c>
      <c r="E10" s="35">
        <v>3.0700000000000002E-2</v>
      </c>
    </row>
    <row r="11" spans="1:5" x14ac:dyDescent="0.3">
      <c r="A11" s="7" t="s">
        <v>1</v>
      </c>
      <c r="B11" s="8">
        <v>30898</v>
      </c>
      <c r="C11" s="8">
        <v>3987</v>
      </c>
      <c r="D11" s="8">
        <v>34885</v>
      </c>
      <c r="E11" s="35">
        <v>8.8599999999999998E-2</v>
      </c>
    </row>
    <row r="12" spans="1:5" x14ac:dyDescent="0.3">
      <c r="A12" s="5" t="s">
        <v>8</v>
      </c>
      <c r="B12" s="6">
        <v>4855</v>
      </c>
      <c r="C12" s="6">
        <v>13923</v>
      </c>
      <c r="D12" s="6">
        <v>18778</v>
      </c>
      <c r="E12" s="35">
        <v>4.7699999999999999E-2</v>
      </c>
    </row>
    <row r="13" spans="1:5" x14ac:dyDescent="0.3">
      <c r="A13" s="7" t="s">
        <v>11</v>
      </c>
      <c r="B13" s="8">
        <v>80</v>
      </c>
      <c r="C13" s="8">
        <v>134</v>
      </c>
      <c r="D13" s="8">
        <v>214</v>
      </c>
      <c r="E13" s="35">
        <v>5.0000000000000001E-4</v>
      </c>
    </row>
    <row r="14" spans="1:5" x14ac:dyDescent="0.3">
      <c r="A14" s="5" t="s">
        <v>12</v>
      </c>
      <c r="B14" s="6">
        <v>1977</v>
      </c>
      <c r="C14" s="6">
        <v>217</v>
      </c>
      <c r="D14" s="6">
        <v>2194</v>
      </c>
      <c r="E14" s="35">
        <v>5.5999999999999999E-3</v>
      </c>
    </row>
    <row r="15" spans="1:5" x14ac:dyDescent="0.3">
      <c r="A15" s="7" t="s">
        <v>4</v>
      </c>
      <c r="B15" s="8">
        <v>3278</v>
      </c>
      <c r="C15" s="8">
        <v>551</v>
      </c>
      <c r="D15" s="8">
        <v>3829</v>
      </c>
      <c r="E15" s="35">
        <v>9.7000000000000003E-3</v>
      </c>
    </row>
    <row r="16" spans="1:5" x14ac:dyDescent="0.3">
      <c r="A16" s="5" t="s">
        <v>3</v>
      </c>
      <c r="B16" s="6">
        <v>19891</v>
      </c>
      <c r="C16" s="6">
        <v>6938</v>
      </c>
      <c r="D16" s="6">
        <v>26829</v>
      </c>
      <c r="E16" s="35">
        <v>6.8199999999999997E-2</v>
      </c>
    </row>
    <row r="17" spans="1:7" x14ac:dyDescent="0.3">
      <c r="A17" s="10" t="s">
        <v>14</v>
      </c>
      <c r="B17" s="11">
        <v>363854</v>
      </c>
      <c r="C17" s="11">
        <v>29671</v>
      </c>
      <c r="D17" s="11">
        <v>393525</v>
      </c>
      <c r="E17" s="17"/>
    </row>
    <row r="18" spans="1:7" x14ac:dyDescent="0.3">
      <c r="A18" s="12" t="s">
        <v>38</v>
      </c>
      <c r="B18" s="13">
        <v>28737651</v>
      </c>
      <c r="C18" s="13">
        <v>6637135</v>
      </c>
      <c r="D18" s="13">
        <v>35374786</v>
      </c>
      <c r="E18" s="18"/>
    </row>
    <row r="19" spans="1:7" x14ac:dyDescent="0.3">
      <c r="A19" s="14" t="s">
        <v>39</v>
      </c>
    </row>
    <row r="21" spans="1:7" x14ac:dyDescent="0.3">
      <c r="A21" s="15" t="s">
        <v>40</v>
      </c>
    </row>
    <row r="22" spans="1:7" ht="30" customHeight="1" x14ac:dyDescent="0.3">
      <c r="A22" s="4" t="s">
        <v>0</v>
      </c>
      <c r="B22" s="4" t="s">
        <v>34</v>
      </c>
      <c r="C22" s="4" t="s">
        <v>35</v>
      </c>
      <c r="D22" s="4" t="s">
        <v>41</v>
      </c>
      <c r="F22" s="30" t="s">
        <v>0</v>
      </c>
      <c r="G22" s="31" t="s">
        <v>37</v>
      </c>
    </row>
    <row r="23" spans="1:7" x14ac:dyDescent="0.3">
      <c r="A23" s="5" t="s">
        <v>9</v>
      </c>
      <c r="B23" s="6">
        <v>149463</v>
      </c>
      <c r="C23" s="6">
        <v>50</v>
      </c>
      <c r="D23" s="6">
        <v>149513</v>
      </c>
      <c r="F23" s="27" t="s">
        <v>11</v>
      </c>
      <c r="G23" s="1">
        <v>5.0000000000000001E-4</v>
      </c>
    </row>
    <row r="24" spans="1:7" x14ac:dyDescent="0.3">
      <c r="A24" s="7" t="s">
        <v>6</v>
      </c>
      <c r="B24" s="8">
        <v>73325</v>
      </c>
      <c r="C24" s="8">
        <v>452</v>
      </c>
      <c r="D24" s="8">
        <v>73777</v>
      </c>
      <c r="F24" s="26" t="s">
        <v>10</v>
      </c>
      <c r="G24" s="1">
        <v>4.3E-3</v>
      </c>
    </row>
    <row r="25" spans="1:7" x14ac:dyDescent="0.3">
      <c r="A25" s="5" t="s">
        <v>2</v>
      </c>
      <c r="B25" s="6">
        <v>38434</v>
      </c>
      <c r="C25" s="6">
        <v>1795</v>
      </c>
      <c r="D25" s="6">
        <v>40229</v>
      </c>
      <c r="F25" s="26" t="s">
        <v>12</v>
      </c>
      <c r="G25" s="1">
        <v>5.5999999999999999E-3</v>
      </c>
    </row>
    <row r="26" spans="1:7" x14ac:dyDescent="0.3">
      <c r="A26" s="7" t="s">
        <v>1</v>
      </c>
      <c r="B26" s="8">
        <v>30898</v>
      </c>
      <c r="C26" s="8">
        <v>3987</v>
      </c>
      <c r="D26" s="8">
        <v>34885</v>
      </c>
      <c r="F26" s="27" t="s">
        <v>4</v>
      </c>
      <c r="G26" s="1">
        <v>9.7000000000000003E-3</v>
      </c>
    </row>
    <row r="27" spans="1:7" x14ac:dyDescent="0.3">
      <c r="A27" s="5" t="s">
        <v>3</v>
      </c>
      <c r="B27" s="6">
        <v>19891</v>
      </c>
      <c r="C27" s="6">
        <v>6938</v>
      </c>
      <c r="D27" s="6">
        <v>26829</v>
      </c>
      <c r="F27" s="26" t="s">
        <v>5</v>
      </c>
      <c r="G27" s="1">
        <v>1.6500000000000001E-2</v>
      </c>
    </row>
    <row r="28" spans="1:7" x14ac:dyDescent="0.3">
      <c r="A28" s="7" t="s">
        <v>7</v>
      </c>
      <c r="B28" s="8">
        <v>22736</v>
      </c>
      <c r="C28" s="8">
        <v>277</v>
      </c>
      <c r="D28" s="8">
        <v>23013</v>
      </c>
      <c r="F28" s="26" t="s">
        <v>13</v>
      </c>
      <c r="G28" s="1">
        <v>3.0700000000000002E-2</v>
      </c>
    </row>
    <row r="29" spans="1:7" x14ac:dyDescent="0.3">
      <c r="A29" s="5" t="s">
        <v>8</v>
      </c>
      <c r="B29" s="6">
        <v>4855</v>
      </c>
      <c r="C29" s="6">
        <v>13923</v>
      </c>
      <c r="D29" s="6">
        <v>18778</v>
      </c>
      <c r="F29" s="26" t="s">
        <v>8</v>
      </c>
      <c r="G29" s="1">
        <v>4.7699999999999999E-2</v>
      </c>
    </row>
    <row r="30" spans="1:7" x14ac:dyDescent="0.3">
      <c r="A30" s="7" t="s">
        <v>13</v>
      </c>
      <c r="B30" s="8">
        <v>11709</v>
      </c>
      <c r="C30" s="8">
        <v>369</v>
      </c>
      <c r="D30" s="8">
        <v>12078</v>
      </c>
      <c r="F30" s="27" t="s">
        <v>7</v>
      </c>
      <c r="G30" s="1">
        <v>5.8500000000000003E-2</v>
      </c>
    </row>
    <row r="31" spans="1:7" x14ac:dyDescent="0.3">
      <c r="A31" s="5" t="s">
        <v>5</v>
      </c>
      <c r="B31" s="6">
        <v>6142</v>
      </c>
      <c r="C31" s="6">
        <v>360</v>
      </c>
      <c r="D31" s="6">
        <v>6502</v>
      </c>
      <c r="F31" s="26" t="s">
        <v>3</v>
      </c>
      <c r="G31" s="1">
        <v>6.8199999999999997E-2</v>
      </c>
    </row>
    <row r="32" spans="1:7" x14ac:dyDescent="0.3">
      <c r="A32" s="7" t="s">
        <v>4</v>
      </c>
      <c r="B32" s="8">
        <v>3278</v>
      </c>
      <c r="C32" s="8">
        <v>551</v>
      </c>
      <c r="D32" s="8">
        <v>3829</v>
      </c>
      <c r="F32" s="27" t="s">
        <v>1</v>
      </c>
      <c r="G32" s="1">
        <v>8.8599999999999998E-2</v>
      </c>
    </row>
    <row r="33" spans="1:7" x14ac:dyDescent="0.3">
      <c r="A33" s="5" t="s">
        <v>12</v>
      </c>
      <c r="B33" s="6">
        <v>1977</v>
      </c>
      <c r="C33" s="6">
        <v>217</v>
      </c>
      <c r="D33" s="6">
        <v>2194</v>
      </c>
      <c r="F33" s="27" t="s">
        <v>2</v>
      </c>
      <c r="G33" s="1">
        <v>0.1022</v>
      </c>
    </row>
    <row r="34" spans="1:7" x14ac:dyDescent="0.3">
      <c r="A34" s="7" t="s">
        <v>10</v>
      </c>
      <c r="B34" s="8">
        <v>1065</v>
      </c>
      <c r="C34" s="8">
        <v>620</v>
      </c>
      <c r="D34" s="8">
        <v>1685</v>
      </c>
      <c r="F34" s="26" t="s">
        <v>6</v>
      </c>
      <c r="G34" s="1">
        <v>0.1875</v>
      </c>
    </row>
    <row r="35" spans="1:7" x14ac:dyDescent="0.3">
      <c r="A35" s="5" t="s">
        <v>11</v>
      </c>
      <c r="B35" s="6">
        <v>80</v>
      </c>
      <c r="C35" s="6">
        <v>134</v>
      </c>
      <c r="D35" s="6">
        <v>214</v>
      </c>
      <c r="F35" s="27" t="s">
        <v>9</v>
      </c>
      <c r="G35" s="1">
        <v>0.37990000000000002</v>
      </c>
    </row>
    <row r="37" spans="1:7" x14ac:dyDescent="0.3">
      <c r="A37" s="30" t="s">
        <v>0</v>
      </c>
      <c r="B37" s="31" t="s">
        <v>34</v>
      </c>
      <c r="C37" s="31" t="s">
        <v>35</v>
      </c>
      <c r="D37" s="32" t="s">
        <v>41</v>
      </c>
    </row>
    <row r="38" spans="1:7" x14ac:dyDescent="0.3">
      <c r="A38" s="26" t="s">
        <v>11</v>
      </c>
      <c r="B38" s="25">
        <f t="shared" ref="B38:B50" si="0">B23/D23</f>
        <v>0.99966558091938496</v>
      </c>
      <c r="C38" s="25">
        <f t="shared" ref="C38:C50" si="1">C23/D23</f>
        <v>3.3441908061506359E-4</v>
      </c>
      <c r="D38" s="28">
        <v>214</v>
      </c>
    </row>
    <row r="39" spans="1:7" x14ac:dyDescent="0.3">
      <c r="A39" s="27" t="s">
        <v>10</v>
      </c>
      <c r="B39" s="25">
        <f t="shared" si="0"/>
        <v>0.99387342938856282</v>
      </c>
      <c r="C39" s="25">
        <f t="shared" si="1"/>
        <v>6.1265706114371687E-3</v>
      </c>
      <c r="D39" s="29">
        <v>1685</v>
      </c>
    </row>
    <row r="40" spans="1:7" x14ac:dyDescent="0.3">
      <c r="A40" s="26" t="s">
        <v>12</v>
      </c>
      <c r="B40" s="25">
        <f t="shared" si="0"/>
        <v>0.95538044694126123</v>
      </c>
      <c r="C40" s="25">
        <f t="shared" si="1"/>
        <v>4.4619553058738722E-2</v>
      </c>
      <c r="D40" s="28">
        <v>2194</v>
      </c>
    </row>
    <row r="41" spans="1:7" x14ac:dyDescent="0.3">
      <c r="A41" s="27" t="s">
        <v>4</v>
      </c>
      <c r="B41" s="25">
        <f t="shared" si="0"/>
        <v>0.88571019062634371</v>
      </c>
      <c r="C41" s="25">
        <f t="shared" si="1"/>
        <v>0.11428980937365629</v>
      </c>
      <c r="D41" s="29">
        <v>3829</v>
      </c>
    </row>
    <row r="42" spans="1:7" x14ac:dyDescent="0.3">
      <c r="A42" s="26" t="s">
        <v>5</v>
      </c>
      <c r="B42" s="25">
        <f t="shared" si="0"/>
        <v>0.74139923217413994</v>
      </c>
      <c r="C42" s="25">
        <f t="shared" si="1"/>
        <v>0.25860076782586006</v>
      </c>
      <c r="D42" s="28">
        <v>6502</v>
      </c>
    </row>
    <row r="43" spans="1:7" x14ac:dyDescent="0.3">
      <c r="A43" s="27" t="s">
        <v>13</v>
      </c>
      <c r="B43" s="25">
        <f t="shared" si="0"/>
        <v>0.98796332507713036</v>
      </c>
      <c r="C43" s="25">
        <f t="shared" si="1"/>
        <v>1.2036674922869682E-2</v>
      </c>
      <c r="D43" s="29">
        <v>12078</v>
      </c>
    </row>
    <row r="44" spans="1:7" x14ac:dyDescent="0.3">
      <c r="A44" s="26" t="s">
        <v>8</v>
      </c>
      <c r="B44" s="25">
        <f t="shared" si="0"/>
        <v>0.25854723612738312</v>
      </c>
      <c r="C44" s="25">
        <f t="shared" si="1"/>
        <v>0.74145276387261694</v>
      </c>
      <c r="D44" s="28">
        <v>18778</v>
      </c>
    </row>
    <row r="45" spans="1:7" x14ac:dyDescent="0.3">
      <c r="A45" s="27" t="s">
        <v>7</v>
      </c>
      <c r="B45" s="25">
        <f t="shared" si="0"/>
        <v>0.96944858420268254</v>
      </c>
      <c r="C45" s="25">
        <f t="shared" si="1"/>
        <v>3.0551415797317436E-2</v>
      </c>
      <c r="D45" s="29">
        <v>23013</v>
      </c>
    </row>
    <row r="46" spans="1:7" x14ac:dyDescent="0.3">
      <c r="A46" s="26" t="s">
        <v>3</v>
      </c>
      <c r="B46" s="25">
        <f t="shared" si="0"/>
        <v>0.94463242079360199</v>
      </c>
      <c r="C46" s="25">
        <f t="shared" si="1"/>
        <v>5.5367579206398031E-2</v>
      </c>
      <c r="D46" s="28">
        <v>26829</v>
      </c>
    </row>
    <row r="47" spans="1:7" x14ac:dyDescent="0.3">
      <c r="A47" s="27" t="s">
        <v>1</v>
      </c>
      <c r="B47" s="25">
        <f t="shared" si="0"/>
        <v>0.85609819796291464</v>
      </c>
      <c r="C47" s="25">
        <f t="shared" si="1"/>
        <v>0.14390180203708541</v>
      </c>
      <c r="D47" s="29">
        <v>34885</v>
      </c>
    </row>
    <row r="48" spans="1:7" x14ac:dyDescent="0.3">
      <c r="A48" s="26" t="s">
        <v>2</v>
      </c>
      <c r="B48" s="25">
        <f t="shared" si="0"/>
        <v>0.90109389243391069</v>
      </c>
      <c r="C48" s="25">
        <f t="shared" si="1"/>
        <v>9.8906107566089335E-2</v>
      </c>
      <c r="D48" s="28">
        <v>40229</v>
      </c>
    </row>
    <row r="49" spans="1:4" x14ac:dyDescent="0.3">
      <c r="A49" s="27" t="s">
        <v>6</v>
      </c>
      <c r="B49" s="25">
        <f t="shared" si="0"/>
        <v>0.63204747774480707</v>
      </c>
      <c r="C49" s="25">
        <f t="shared" si="1"/>
        <v>0.36795252225519287</v>
      </c>
      <c r="D49" s="29">
        <v>73777</v>
      </c>
    </row>
    <row r="50" spans="1:4" x14ac:dyDescent="0.3">
      <c r="A50" s="33" t="s">
        <v>9</v>
      </c>
      <c r="B50" s="25">
        <f t="shared" si="0"/>
        <v>0.37383177570093457</v>
      </c>
      <c r="C50" s="25">
        <f t="shared" si="1"/>
        <v>0.62616822429906538</v>
      </c>
      <c r="D50" s="34">
        <v>149513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7"/>
  <sheetViews>
    <sheetView zoomScaleNormal="100" workbookViewId="0">
      <selection activeCell="G18" sqref="G18"/>
    </sheetView>
  </sheetViews>
  <sheetFormatPr baseColWidth="10" defaultColWidth="8.6640625" defaultRowHeight="14.4" x14ac:dyDescent="0.3"/>
  <cols>
    <col min="1" max="1" width="28" customWidth="1"/>
    <col min="2" max="2" width="18" customWidth="1"/>
    <col min="3" max="3" width="19.33203125" customWidth="1"/>
    <col min="4" max="4" width="24" customWidth="1"/>
    <col min="5" max="5" width="22" customWidth="1"/>
    <col min="7" max="7" width="21.21875" customWidth="1"/>
  </cols>
  <sheetData>
    <row r="1" spans="1:13" x14ac:dyDescent="0.3">
      <c r="A1" s="2" t="s">
        <v>42</v>
      </c>
    </row>
    <row r="2" spans="1:13" x14ac:dyDescent="0.3">
      <c r="A2" s="3" t="s">
        <v>43</v>
      </c>
      <c r="G2" s="50" t="s">
        <v>58</v>
      </c>
      <c r="H2" s="50"/>
      <c r="I2" s="50"/>
      <c r="J2" s="50"/>
      <c r="K2" s="50"/>
      <c r="L2" s="50"/>
      <c r="M2" s="50"/>
    </row>
    <row r="3" spans="1:13" ht="30" customHeight="1" x14ac:dyDescent="0.3">
      <c r="A3" s="30" t="s">
        <v>0</v>
      </c>
      <c r="B3" s="31" t="s">
        <v>44</v>
      </c>
      <c r="C3" s="31" t="s">
        <v>45</v>
      </c>
      <c r="D3" s="31" t="s">
        <v>46</v>
      </c>
      <c r="E3" s="32" t="s">
        <v>47</v>
      </c>
    </row>
    <row r="4" spans="1:13" x14ac:dyDescent="0.3">
      <c r="A4" s="26" t="s">
        <v>6</v>
      </c>
      <c r="B4" s="6">
        <v>2733</v>
      </c>
      <c r="C4" s="6">
        <v>2562</v>
      </c>
      <c r="D4" s="25">
        <v>6.2600000000000003E-2</v>
      </c>
      <c r="E4" s="38">
        <v>26.83</v>
      </c>
    </row>
    <row r="5" spans="1:13" x14ac:dyDescent="0.3">
      <c r="A5" s="27" t="s">
        <v>2</v>
      </c>
      <c r="B5" s="8">
        <v>1398</v>
      </c>
      <c r="C5" s="8">
        <v>1332</v>
      </c>
      <c r="D5" s="25">
        <v>4.7199999999999999E-2</v>
      </c>
      <c r="E5" s="39">
        <v>27.49</v>
      </c>
    </row>
    <row r="6" spans="1:13" x14ac:dyDescent="0.3">
      <c r="A6" s="26" t="s">
        <v>5</v>
      </c>
      <c r="B6" s="6">
        <v>1090</v>
      </c>
      <c r="C6" s="6">
        <v>935</v>
      </c>
      <c r="D6" s="25">
        <v>0</v>
      </c>
      <c r="E6" s="38">
        <v>5.63</v>
      </c>
    </row>
    <row r="7" spans="1:13" x14ac:dyDescent="0.3">
      <c r="A7" s="27" t="s">
        <v>9</v>
      </c>
      <c r="B7" s="8">
        <v>4164</v>
      </c>
      <c r="C7" s="8">
        <v>4123</v>
      </c>
      <c r="D7" s="25">
        <v>9.7999999999999997E-3</v>
      </c>
      <c r="E7" s="39">
        <v>35.89</v>
      </c>
    </row>
    <row r="8" spans="1:13" x14ac:dyDescent="0.3">
      <c r="A8" s="26" t="s">
        <v>10</v>
      </c>
      <c r="B8" s="6">
        <v>76</v>
      </c>
      <c r="C8" s="6">
        <v>71</v>
      </c>
      <c r="D8" s="25">
        <v>6.5799999999999997E-2</v>
      </c>
      <c r="E8" s="38">
        <v>14.01</v>
      </c>
    </row>
    <row r="9" spans="1:13" x14ac:dyDescent="0.3">
      <c r="A9" s="27" t="s">
        <v>7</v>
      </c>
      <c r="B9" s="8">
        <v>1915</v>
      </c>
      <c r="C9" s="8">
        <v>1748</v>
      </c>
      <c r="D9" s="25">
        <v>8.72E-2</v>
      </c>
      <c r="E9" s="39">
        <v>11.87</v>
      </c>
    </row>
    <row r="10" spans="1:13" x14ac:dyDescent="0.3">
      <c r="A10" s="26" t="s">
        <v>13</v>
      </c>
      <c r="B10" s="6">
        <v>775</v>
      </c>
      <c r="C10" s="6">
        <v>688</v>
      </c>
      <c r="D10" s="25">
        <v>0.1123</v>
      </c>
      <c r="E10" s="38">
        <v>15.11</v>
      </c>
    </row>
    <row r="11" spans="1:13" x14ac:dyDescent="0.3">
      <c r="A11" s="27" t="s">
        <v>1</v>
      </c>
      <c r="B11" s="8">
        <v>3922</v>
      </c>
      <c r="C11" s="8">
        <v>3557</v>
      </c>
      <c r="D11" s="25">
        <v>9.3100000000000002E-2</v>
      </c>
      <c r="E11" s="39">
        <v>7.88</v>
      </c>
    </row>
    <row r="12" spans="1:13" x14ac:dyDescent="0.3">
      <c r="A12" s="26" t="s">
        <v>8</v>
      </c>
      <c r="B12" s="6">
        <v>1374</v>
      </c>
      <c r="C12" s="6">
        <v>1215</v>
      </c>
      <c r="D12" s="25">
        <v>0.1157</v>
      </c>
      <c r="E12" s="38">
        <v>3.53</v>
      </c>
    </row>
    <row r="13" spans="1:13" x14ac:dyDescent="0.3">
      <c r="A13" s="27" t="s">
        <v>11</v>
      </c>
      <c r="B13" s="8">
        <v>5</v>
      </c>
      <c r="C13" s="8">
        <v>4</v>
      </c>
      <c r="D13" s="25">
        <v>0.2</v>
      </c>
      <c r="E13" s="39">
        <v>16</v>
      </c>
    </row>
    <row r="14" spans="1:13" x14ac:dyDescent="0.3">
      <c r="A14" s="26" t="s">
        <v>12</v>
      </c>
      <c r="B14" s="6">
        <v>1347</v>
      </c>
      <c r="C14" s="6">
        <v>1006</v>
      </c>
      <c r="D14" s="25">
        <v>0.25319999999999998</v>
      </c>
      <c r="E14" s="38">
        <v>1.47</v>
      </c>
    </row>
    <row r="15" spans="1:13" x14ac:dyDescent="0.3">
      <c r="A15" s="27" t="s">
        <v>4</v>
      </c>
      <c r="B15" s="8">
        <v>1338</v>
      </c>
      <c r="C15" s="8">
        <v>1185</v>
      </c>
      <c r="D15" s="25">
        <v>0.1143</v>
      </c>
      <c r="E15" s="39">
        <v>2.4500000000000002</v>
      </c>
    </row>
    <row r="16" spans="1:13" x14ac:dyDescent="0.3">
      <c r="A16" s="26" t="s">
        <v>3</v>
      </c>
      <c r="B16" s="6">
        <v>1264</v>
      </c>
      <c r="C16" s="6">
        <v>973</v>
      </c>
      <c r="D16" s="25">
        <v>0.23019999999999999</v>
      </c>
      <c r="E16" s="38">
        <v>15.74</v>
      </c>
    </row>
    <row r="17" spans="1:7" x14ac:dyDescent="0.3">
      <c r="A17" s="36" t="s">
        <v>14</v>
      </c>
      <c r="B17" s="11">
        <v>21401</v>
      </c>
      <c r="C17" s="11">
        <v>19398</v>
      </c>
      <c r="D17" s="25">
        <v>9.3600000000000003E-2</v>
      </c>
      <c r="E17" s="40">
        <v>17</v>
      </c>
    </row>
    <row r="18" spans="1:7" x14ac:dyDescent="0.3">
      <c r="A18" s="37" t="s">
        <v>38</v>
      </c>
      <c r="B18" s="13">
        <v>2311059</v>
      </c>
      <c r="C18" s="13">
        <v>2026660</v>
      </c>
      <c r="D18" s="25">
        <v>0.1231</v>
      </c>
      <c r="E18" s="41">
        <v>12.43</v>
      </c>
      <c r="G18" t="s">
        <v>59</v>
      </c>
    </row>
    <row r="19" spans="1:7" x14ac:dyDescent="0.3">
      <c r="A19" s="14" t="s">
        <v>39</v>
      </c>
    </row>
    <row r="20" spans="1:7" x14ac:dyDescent="0.3">
      <c r="A20" s="14" t="s">
        <v>48</v>
      </c>
    </row>
    <row r="22" spans="1:7" x14ac:dyDescent="0.3">
      <c r="A22" s="15" t="s">
        <v>49</v>
      </c>
    </row>
    <row r="23" spans="1:7" ht="30" customHeight="1" x14ac:dyDescent="0.3">
      <c r="A23" s="30" t="s">
        <v>0</v>
      </c>
      <c r="B23" s="31" t="s">
        <v>46</v>
      </c>
      <c r="C23" s="32" t="s">
        <v>47</v>
      </c>
      <c r="D23" s="19" t="s">
        <v>50</v>
      </c>
      <c r="E23" s="19" t="s">
        <v>51</v>
      </c>
    </row>
    <row r="24" spans="1:7" x14ac:dyDescent="0.3">
      <c r="A24" s="26" t="s">
        <v>12</v>
      </c>
      <c r="B24" s="42">
        <v>0.25319999999999998</v>
      </c>
      <c r="C24" s="38">
        <v>1.47</v>
      </c>
      <c r="D24" s="20">
        <v>9.3600000000000003E-2</v>
      </c>
      <c r="E24" s="21">
        <v>17</v>
      </c>
    </row>
    <row r="25" spans="1:7" x14ac:dyDescent="0.3">
      <c r="A25" s="26" t="s">
        <v>4</v>
      </c>
      <c r="B25" s="42">
        <v>0.1143</v>
      </c>
      <c r="C25" s="38">
        <v>2.4500000000000002</v>
      </c>
      <c r="D25" s="20">
        <v>9.3600000000000003E-2</v>
      </c>
      <c r="E25" s="21">
        <v>17</v>
      </c>
    </row>
    <row r="26" spans="1:7" x14ac:dyDescent="0.3">
      <c r="A26" s="27" t="s">
        <v>55</v>
      </c>
      <c r="B26" s="43">
        <v>0.1157</v>
      </c>
      <c r="C26" s="39">
        <v>3.53</v>
      </c>
      <c r="D26" s="20">
        <v>9.3600000000000003E-2</v>
      </c>
      <c r="E26" s="21">
        <v>17</v>
      </c>
    </row>
    <row r="27" spans="1:7" x14ac:dyDescent="0.3">
      <c r="A27" s="26" t="s">
        <v>5</v>
      </c>
      <c r="B27" s="42">
        <v>0</v>
      </c>
      <c r="C27" s="38">
        <v>5.63</v>
      </c>
      <c r="D27" s="20">
        <v>9.3600000000000003E-2</v>
      </c>
      <c r="E27" s="21">
        <v>17</v>
      </c>
    </row>
    <row r="28" spans="1:7" x14ac:dyDescent="0.3">
      <c r="A28" s="26" t="s">
        <v>1</v>
      </c>
      <c r="B28" s="42">
        <v>9.3100000000000002E-2</v>
      </c>
      <c r="C28" s="38">
        <v>7.88</v>
      </c>
      <c r="D28" s="20">
        <v>9.3600000000000003E-2</v>
      </c>
      <c r="E28" s="21">
        <v>17</v>
      </c>
    </row>
    <row r="29" spans="1:7" x14ac:dyDescent="0.3">
      <c r="A29" s="27" t="s">
        <v>7</v>
      </c>
      <c r="B29" s="43">
        <v>8.72E-2</v>
      </c>
      <c r="C29" s="39">
        <v>11.87</v>
      </c>
      <c r="D29" s="20">
        <v>9.3600000000000003E-2</v>
      </c>
      <c r="E29" s="21">
        <v>17</v>
      </c>
    </row>
    <row r="30" spans="1:7" x14ac:dyDescent="0.3">
      <c r="A30" s="26" t="s">
        <v>57</v>
      </c>
      <c r="B30" s="42">
        <v>6.5799999999999997E-2</v>
      </c>
      <c r="C30" s="38">
        <v>14.01</v>
      </c>
      <c r="D30" s="20">
        <v>9.3600000000000003E-2</v>
      </c>
      <c r="E30" s="21">
        <v>17</v>
      </c>
    </row>
    <row r="31" spans="1:7" x14ac:dyDescent="0.3">
      <c r="A31" s="27" t="s">
        <v>13</v>
      </c>
      <c r="B31" s="43">
        <v>0.1123</v>
      </c>
      <c r="C31" s="39">
        <v>15.11</v>
      </c>
      <c r="D31" s="20">
        <v>9.3600000000000003E-2</v>
      </c>
      <c r="E31" s="21">
        <v>17</v>
      </c>
    </row>
    <row r="32" spans="1:7" x14ac:dyDescent="0.3">
      <c r="A32" s="27" t="s">
        <v>3</v>
      </c>
      <c r="B32" s="43">
        <v>0.23019999999999999</v>
      </c>
      <c r="C32" s="39">
        <v>15.74</v>
      </c>
      <c r="D32" s="20">
        <v>9.3600000000000003E-2</v>
      </c>
      <c r="E32" s="21">
        <v>17</v>
      </c>
    </row>
    <row r="33" spans="1:5" x14ac:dyDescent="0.3">
      <c r="A33" s="26" t="s">
        <v>54</v>
      </c>
      <c r="B33" s="42">
        <v>0.2</v>
      </c>
      <c r="C33" s="38">
        <v>16</v>
      </c>
      <c r="D33" s="20">
        <v>9.3600000000000003E-2</v>
      </c>
      <c r="E33" s="21">
        <v>17</v>
      </c>
    </row>
    <row r="34" spans="1:5" x14ac:dyDescent="0.3">
      <c r="A34" s="26" t="s">
        <v>14</v>
      </c>
      <c r="B34" s="49">
        <v>9.3600000000000003E-2</v>
      </c>
      <c r="C34" s="38">
        <v>17</v>
      </c>
      <c r="D34" s="20">
        <v>9.3600000000000003E-2</v>
      </c>
      <c r="E34" s="21">
        <v>17</v>
      </c>
    </row>
    <row r="35" spans="1:5" x14ac:dyDescent="0.3">
      <c r="A35" s="27" t="s">
        <v>6</v>
      </c>
      <c r="B35" s="43">
        <v>6.2600000000000003E-2</v>
      </c>
      <c r="C35" s="39">
        <v>26.83</v>
      </c>
      <c r="D35" s="20">
        <v>9.3600000000000003E-2</v>
      </c>
      <c r="E35" s="21">
        <v>17</v>
      </c>
    </row>
    <row r="36" spans="1:5" x14ac:dyDescent="0.3">
      <c r="A36" s="33" t="s">
        <v>2</v>
      </c>
      <c r="B36" s="44">
        <v>4.7199999999999999E-2</v>
      </c>
      <c r="C36" s="45">
        <v>27.49</v>
      </c>
      <c r="D36" s="20">
        <v>9.3600000000000003E-2</v>
      </c>
      <c r="E36" s="21">
        <v>17</v>
      </c>
    </row>
    <row r="37" spans="1:5" x14ac:dyDescent="0.3">
      <c r="A37" s="46" t="s">
        <v>9</v>
      </c>
      <c r="B37" s="47">
        <v>9.7999999999999997E-3</v>
      </c>
      <c r="C37" s="48">
        <v>35.89</v>
      </c>
    </row>
  </sheetData>
  <mergeCells count="1">
    <mergeCell ref="G2:M2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T31 Inventario Pecuario</vt:lpstr>
      <vt:lpstr>Suelo_Rural_Participacion</vt:lpstr>
      <vt:lpstr>T33 Producción Agrícola</vt:lpstr>
      <vt:lpstr>T35 Áreas y 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Laura Peña Agualimpia</cp:lastModifiedBy>
  <cp:revision>3</cp:revision>
  <dcterms:created xsi:type="dcterms:W3CDTF">2026-06-24T22:14:15Z</dcterms:created>
  <dcterms:modified xsi:type="dcterms:W3CDTF">2026-07-02T17:05:49Z</dcterms:modified>
  <dc:language>en-US</dc:language>
</cp:coreProperties>
</file>
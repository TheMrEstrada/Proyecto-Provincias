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27" documentId="8_{0ABB647E-A9D4-4115-9EDA-D5F90E4955AC}" xr6:coauthVersionLast="47" xr6:coauthVersionMax="47" xr10:uidLastSave="{424A079F-BFE7-4570-87DC-68BF6451048F}"/>
  <bookViews>
    <workbookView xWindow="-110" yWindow="-110" windowWidth="19420" windowHeight="10300" activeTab="1" xr2:uid="{CC30957A-E45D-4349-92AB-47DE4310F185}"/>
  </bookViews>
  <sheets>
    <sheet name="Hoja1" sheetId="1" r:id="rId1"/>
    <sheet name="Hoja1 (2)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25" i="1"/>
  <c r="G12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3" i="1"/>
</calcChain>
</file>

<file path=xl/sharedStrings.xml><?xml version="1.0" encoding="utf-8"?>
<sst xmlns="http://schemas.openxmlformats.org/spreadsheetml/2006/main" count="637" uniqueCount="259">
  <si>
    <t>Cod_mpio</t>
  </si>
  <si>
    <t>Municipio</t>
  </si>
  <si>
    <t>Total viviendas</t>
  </si>
  <si>
    <t>Viviendas con déficit cuantitativo</t>
  </si>
  <si>
    <t>Viviendas con déficit cualitativo</t>
  </si>
  <si>
    <t>% cuantitativo</t>
  </si>
  <si>
    <t>% cualitativo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</si>
  <si>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</si>
  <si>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</si>
  <si>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</si>
  <si>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</si>
  <si>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</si>
  <si>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</si>
  <si>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</si>
  <si>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</si>
  <si>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</si>
  <si>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</si>
  <si>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</si>
  <si>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</si>
  <si>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</si>
  <si>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</si>
  <si>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</si>
  <si>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</si>
  <si>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</si>
  <si>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</si>
  <si>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</si>
  <si>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</si>
  <si>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</si>
  <si>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</si>
  <si>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</si>
  <si>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</si>
  <si>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</si>
  <si>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</si>
  <si>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</si>
  <si>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</si>
  <si>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</si>
  <si>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</si>
  <si>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</si>
  <si>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</si>
  <si>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</si>
  <si>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</si>
  <si>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05091</t>
  </si>
  <si>
    <t>Betania</t>
  </si>
  <si>
    <t>05093</t>
  </si>
  <si>
    <t>Betulia</t>
  </si>
  <si>
    <t>05107</t>
  </si>
  <si>
    <t>Briceño</t>
  </si>
  <si>
    <t>05113</t>
  </si>
  <si>
    <t>Buriticá</t>
  </si>
  <si>
    <t>05125</t>
  </si>
  <si>
    <t>Caicedo</t>
  </si>
  <si>
    <t>05129</t>
  </si>
  <si>
    <t>Caldas</t>
  </si>
  <si>
    <t>05134</t>
  </si>
  <si>
    <t>Campamento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</si>
  <si>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</si>
  <si>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</si>
  <si>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</si>
  <si>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</si>
  <si>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</si>
  <si>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</si>
  <si>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</si>
  <si>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</si>
  <si>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05154</t>
  </si>
  <si>
    <t>Caucasia</t>
  </si>
  <si>
    <t>05138</t>
  </si>
  <si>
    <t>Cañasgordas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</si>
  <si>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</si>
  <si>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</si>
  <si>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</si>
  <si>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</si>
  <si>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</si>
  <si>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</si>
  <si>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</si>
  <si>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</si>
  <si>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</si>
  <si>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</si>
  <si>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</si>
  <si>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</si>
  <si>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</si>
  <si>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</si>
  <si>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05120</t>
  </si>
  <si>
    <t>Cáceres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</si>
  <si>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</si>
  <si>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</si>
  <si>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</si>
  <si>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</si>
  <si>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</si>
  <si>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</si>
  <si>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</si>
  <si>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</si>
  <si>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05148</t>
  </si>
  <si>
    <t>El Carmen de Viboral</t>
  </si>
  <si>
    <t>05541</t>
  </si>
  <si>
    <t>Peñol</t>
  </si>
  <si>
    <t>05607</t>
  </si>
  <si>
    <t>Retiro</t>
  </si>
  <si>
    <t>05697</t>
  </si>
  <si>
    <t>El Santuario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</si>
  <si>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</si>
  <si>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</si>
  <si>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</si>
  <si>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</si>
  <si>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</si>
  <si>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</si>
  <si>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</si>
  <si>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</si>
  <si>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</si>
  <si>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</si>
  <si>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</si>
  <si>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</si>
  <si>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</si>
  <si>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</si>
  <si>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</si>
  <si>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</si>
  <si>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</si>
  <si>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</si>
  <si>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</si>
  <si>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</si>
  <si>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05310</t>
  </si>
  <si>
    <t>Gómez Plata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</si>
  <si>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</si>
  <si>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</si>
  <si>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</si>
  <si>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</si>
  <si>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</si>
  <si>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</si>
  <si>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</si>
  <si>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</si>
  <si>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</si>
  <si>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</si>
  <si>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</si>
  <si>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</si>
  <si>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</si>
  <si>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</si>
  <si>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</si>
  <si>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</si>
  <si>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</si>
  <si>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</si>
  <si>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</si>
  <si>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</si>
  <si>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</si>
  <si>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</si>
  <si>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</si>
  <si>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</si>
  <si>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</si>
  <si>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</si>
  <si>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05001</t>
  </si>
  <si>
    <t>Medellín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</si>
  <si>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</si>
  <si>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</si>
  <si>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</si>
  <si>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</si>
  <si>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</si>
  <si>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</si>
  <si>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</si>
  <si>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</si>
  <si>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</si>
  <si>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</si>
  <si>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</si>
  <si>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</si>
  <si>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</si>
  <si>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</si>
  <si>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</si>
  <si>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</si>
  <si>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</si>
  <si>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</si>
  <si>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</si>
  <si>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</si>
  <si>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</si>
  <si>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</si>
  <si>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</si>
  <si>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</si>
  <si>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</si>
  <si>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</si>
  <si>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</si>
  <si>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</si>
  <si>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</si>
  <si>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</si>
  <si>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</si>
  <si>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</si>
  <si>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</si>
  <si>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</si>
  <si>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</si>
  <si>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</si>
  <si>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</si>
  <si>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</si>
  <si>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</si>
  <si>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</si>
  <si>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</si>
  <si>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</si>
  <si>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</si>
  <si>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</si>
  <si>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</si>
  <si>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</si>
  <si>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</si>
  <si>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</si>
  <si>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05665</t>
  </si>
  <si>
    <t>San Pedro de Urabá</t>
  </si>
  <si>
    <t>05664</t>
  </si>
  <si>
    <t>San Pedro de los Milagros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</si>
  <si>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</si>
  <si>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</si>
  <si>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</si>
  <si>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</si>
  <si>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</si>
  <si>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</si>
  <si>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</si>
  <si>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</si>
  <si>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05042</t>
  </si>
  <si>
    <t>Santa Fé de Antioquia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</si>
  <si>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</si>
  <si>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</si>
  <si>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</si>
  <si>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</si>
  <si>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</si>
  <si>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</si>
  <si>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</si>
  <si>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</si>
  <si>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</si>
  <si>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</si>
  <si>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</si>
  <si>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</si>
  <si>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</si>
  <si>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</si>
  <si>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</si>
  <si>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</si>
  <si>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</si>
  <si>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</si>
  <si>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</si>
  <si>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</si>
  <si>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05789</t>
  </si>
  <si>
    <t>Támesis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</si>
  <si>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</si>
  <si>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</si>
  <si>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</si>
  <si>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</si>
  <si>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</si>
  <si>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</si>
  <si>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</si>
  <si>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</si>
  <si>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</si>
  <si>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</si>
  <si>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</si>
  <si>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</si>
  <si>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</si>
  <si>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</si>
  <si>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</si>
  <si>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</si>
  <si>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</si>
  <si>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</si>
  <si>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</si>
  <si>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</si>
  <si>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</si>
  <si>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</si>
  <si>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</si>
  <si>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</si>
  <si>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Depto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</si>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</sst>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3E49-6CB7-4254-BB39-BDE512B6D212}">
  <dimension ref="A1:G126"/>
  <sheetViews>
    <sheetView workbookViewId="0">
      <selection activeCell="I3" sqref="I3"/>
    </sheetView>
  </sheetViews>
  <sheetFormatPr defaultColWidth="11.42578125" defaultRowHeight="14.45"/>
  <cols>
    <col min="2" max="2" width="21.42578125" bestFit="1" customWidth="1"/>
    <col min="3" max="3" width="14.42578125" bestFit="1" customWidth="1"/>
    <col min="4" max="4" width="31.28515625" bestFit="1" customWidth="1"/>
    <col min="5" max="5" width="29.85546875" bestFit="1" customWidth="1"/>
    <col min="6" max="6" width="13.85546875" bestFit="1" customWidth="1"/>
    <col min="7" max="7" width="12.5703125" bestFit="1" customWidth="1"/>
  </cols>
  <sheetData>
    <row r="1" spans="1:7" ht="16.5" thickBo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>
      <c r="A2" s="9" t="s">
        <v>7</v>
      </c>
      <c r="B2" s="9" t="s">
        <v>8</v>
      </c>
      <c r="C2" s="10">
        <v>7523</v>
      </c>
      <c r="D2" s="10">
        <v>880.31158267020396</v>
      </c>
      <c r="E2" s="10">
        <v>1119.55296198055</v>
      </c>
      <c r="F2" s="11">
        <v>0.117016028535186</v>
      </c>
      <c r="G2" s="12">
        <f>E2/C2</f>
        <v>0.14881735504194471</v>
      </c>
    </row>
    <row r="3" spans="1:7">
      <c r="A3" s="9" t="s">
        <v>9</v>
      </c>
      <c r="B3" s="3" t="s">
        <v>10</v>
      </c>
      <c r="C3" s="1">
        <v>1009</v>
      </c>
      <c r="D3" s="1">
        <v>51.274999999999999</v>
      </c>
      <c r="E3" s="1">
        <v>239.242307692308</v>
      </c>
      <c r="F3" s="2">
        <v>5.0817641228939503E-2</v>
      </c>
      <c r="G3" s="4">
        <f>E3/C3</f>
        <v>0.23710833269802578</v>
      </c>
    </row>
    <row r="4" spans="1:7">
      <c r="A4" s="9" t="s">
        <v>11</v>
      </c>
      <c r="B4" s="3" t="s">
        <v>12</v>
      </c>
      <c r="C4" s="1">
        <v>1849</v>
      </c>
      <c r="D4" s="1">
        <v>70.486111111110802</v>
      </c>
      <c r="E4" s="1">
        <v>352.89611111110997</v>
      </c>
      <c r="F4" s="2">
        <v>3.8121206658253602E-2</v>
      </c>
      <c r="G4" s="4">
        <f t="shared" ref="G4:G67" si="0">E4/C4</f>
        <v>0.19085782104440777</v>
      </c>
    </row>
    <row r="5" spans="1:7">
      <c r="A5" s="9" t="s">
        <v>13</v>
      </c>
      <c r="B5" s="3" t="s">
        <v>14</v>
      </c>
      <c r="C5" s="1">
        <v>11159</v>
      </c>
      <c r="D5" s="1">
        <v>213.49090909090901</v>
      </c>
      <c r="E5" s="1">
        <v>1564.6169386169399</v>
      </c>
      <c r="F5" s="2">
        <v>1.9131724087365298E-2</v>
      </c>
      <c r="G5" s="4">
        <f t="shared" si="0"/>
        <v>0.14021121414257012</v>
      </c>
    </row>
    <row r="6" spans="1:7">
      <c r="A6" s="9" t="s">
        <v>15</v>
      </c>
      <c r="B6" s="3" t="s">
        <v>16</v>
      </c>
      <c r="C6" s="1">
        <v>9669</v>
      </c>
      <c r="D6" s="1">
        <v>1120.39690902705</v>
      </c>
      <c r="E6" s="1">
        <v>2384.4574991218801</v>
      </c>
      <c r="F6" s="2">
        <v>0.115875158654157</v>
      </c>
      <c r="G6" s="4">
        <f t="shared" si="0"/>
        <v>0.24660849096306547</v>
      </c>
    </row>
    <row r="7" spans="1:7">
      <c r="A7" s="9" t="s">
        <v>17</v>
      </c>
      <c r="B7" s="3" t="s">
        <v>18</v>
      </c>
      <c r="C7" s="1">
        <v>15404</v>
      </c>
      <c r="D7" s="1">
        <v>54.864864864864899</v>
      </c>
      <c r="E7" s="1">
        <v>2036.97297297297</v>
      </c>
      <c r="F7" s="2">
        <v>3.5617284383838502E-3</v>
      </c>
      <c r="G7" s="4">
        <f t="shared" si="0"/>
        <v>0.13223662509562256</v>
      </c>
    </row>
    <row r="8" spans="1:7">
      <c r="A8" s="9" t="s">
        <v>19</v>
      </c>
      <c r="B8" s="3" t="s">
        <v>20</v>
      </c>
      <c r="C8" s="1">
        <v>2202</v>
      </c>
      <c r="D8" s="1">
        <v>99.618869103405004</v>
      </c>
      <c r="E8" s="1">
        <v>418.84098719150199</v>
      </c>
      <c r="F8" s="2">
        <v>4.5240176704543701E-2</v>
      </c>
      <c r="G8" s="4">
        <f t="shared" si="0"/>
        <v>0.19020934931494188</v>
      </c>
    </row>
    <row r="9" spans="1:7">
      <c r="A9" s="9" t="s">
        <v>21</v>
      </c>
      <c r="B9" s="3" t="s">
        <v>22</v>
      </c>
      <c r="C9" s="1">
        <v>3758</v>
      </c>
      <c r="D9" s="1">
        <v>331.18300653594702</v>
      </c>
      <c r="E9" s="1">
        <v>872.70135746606297</v>
      </c>
      <c r="F9" s="2">
        <v>8.8127463154855701E-2</v>
      </c>
      <c r="G9" s="4">
        <f t="shared" si="0"/>
        <v>0.23222494876691405</v>
      </c>
    </row>
    <row r="10" spans="1:7">
      <c r="A10" s="9" t="s">
        <v>23</v>
      </c>
      <c r="B10" s="3" t="s">
        <v>24</v>
      </c>
      <c r="C10" s="1">
        <v>6610</v>
      </c>
      <c r="D10" s="1">
        <v>279.99624060150398</v>
      </c>
      <c r="E10" s="1">
        <v>2880.4191729323302</v>
      </c>
      <c r="F10" s="2">
        <v>4.23594917702729E-2</v>
      </c>
      <c r="G10" s="4">
        <f t="shared" si="0"/>
        <v>0.43576689454346901</v>
      </c>
    </row>
    <row r="11" spans="1:7">
      <c r="A11" s="9" t="s">
        <v>25</v>
      </c>
      <c r="B11" s="3" t="s">
        <v>26</v>
      </c>
      <c r="C11" s="1">
        <v>2599</v>
      </c>
      <c r="D11" s="1">
        <v>195.98392955420999</v>
      </c>
      <c r="E11" s="1">
        <v>530.85481563016003</v>
      </c>
      <c r="F11" s="2">
        <v>7.5407437304428698E-2</v>
      </c>
      <c r="G11" s="4">
        <f t="shared" si="0"/>
        <v>0.20425348812241634</v>
      </c>
    </row>
    <row r="12" spans="1:7">
      <c r="A12" s="9" t="s">
        <v>27</v>
      </c>
      <c r="B12" s="3" t="s">
        <v>28</v>
      </c>
      <c r="C12" s="1">
        <v>44195</v>
      </c>
      <c r="D12" s="1">
        <v>10333.663917525801</v>
      </c>
      <c r="E12" s="1">
        <v>5958.3505154639197</v>
      </c>
      <c r="F12" s="2">
        <v>0.233819751499622</v>
      </c>
      <c r="G12" s="4">
        <f t="shared" si="0"/>
        <v>0.13481956138621834</v>
      </c>
    </row>
    <row r="13" spans="1:7">
      <c r="A13" s="9" t="s">
        <v>29</v>
      </c>
      <c r="B13" s="3" t="s">
        <v>30</v>
      </c>
      <c r="C13" s="1">
        <v>9271</v>
      </c>
      <c r="D13" s="1">
        <v>7784.92921960072</v>
      </c>
      <c r="E13" s="1">
        <v>845.02250453720501</v>
      </c>
      <c r="F13" s="2">
        <v>0.83970760647187204</v>
      </c>
      <c r="G13" s="4">
        <f t="shared" si="0"/>
        <v>9.1146856276259847E-2</v>
      </c>
    </row>
    <row r="14" spans="1:7">
      <c r="A14" s="9" t="s">
        <v>31</v>
      </c>
      <c r="B14" s="3" t="s">
        <v>32</v>
      </c>
      <c r="C14" s="1">
        <v>2793</v>
      </c>
      <c r="D14" s="1">
        <v>121.786735010873</v>
      </c>
      <c r="E14" s="1">
        <v>964.57999378689101</v>
      </c>
      <c r="F14" s="2">
        <v>4.3604273186850298E-2</v>
      </c>
      <c r="G14" s="4">
        <f t="shared" si="0"/>
        <v>0.34535624553773397</v>
      </c>
    </row>
    <row r="15" spans="1:7">
      <c r="A15" s="9" t="s">
        <v>33</v>
      </c>
      <c r="B15" s="3" t="s">
        <v>34</v>
      </c>
      <c r="C15" s="1">
        <v>1974</v>
      </c>
      <c r="D15" s="1">
        <v>13.785714285714301</v>
      </c>
      <c r="E15" s="1">
        <v>282.98789346247003</v>
      </c>
      <c r="F15" s="2">
        <v>6.9836445216384397E-3</v>
      </c>
      <c r="G15" s="4">
        <f t="shared" si="0"/>
        <v>0.14335759547237589</v>
      </c>
    </row>
    <row r="16" spans="1:7">
      <c r="A16" s="9" t="s">
        <v>35</v>
      </c>
      <c r="B16" s="3" t="s">
        <v>36</v>
      </c>
      <c r="C16" s="1">
        <v>21240</v>
      </c>
      <c r="D16" s="1">
        <v>196.08299595141699</v>
      </c>
      <c r="E16" s="1">
        <v>4277.39878542511</v>
      </c>
      <c r="F16" s="2">
        <v>9.2317794704056995E-3</v>
      </c>
      <c r="G16" s="4">
        <f t="shared" si="0"/>
        <v>0.2013841236075852</v>
      </c>
    </row>
    <row r="17" spans="1:7">
      <c r="A17" s="9" t="s">
        <v>37</v>
      </c>
      <c r="B17" s="3" t="s">
        <v>38</v>
      </c>
      <c r="C17" s="1">
        <v>197025</v>
      </c>
      <c r="D17" s="1">
        <v>4724.6869709882803</v>
      </c>
      <c r="E17" s="1">
        <v>34817.709853482098</v>
      </c>
      <c r="F17" s="2">
        <v>2.39801394289469E-2</v>
      </c>
      <c r="G17" s="4">
        <f t="shared" si="0"/>
        <v>0.17671721788342645</v>
      </c>
    </row>
    <row r="18" spans="1:7">
      <c r="A18" s="9" t="s">
        <v>39</v>
      </c>
      <c r="B18" s="3" t="s">
        <v>40</v>
      </c>
      <c r="C18" s="1">
        <v>1921</v>
      </c>
      <c r="D18" s="1">
        <v>98.433767100433997</v>
      </c>
      <c r="E18" s="1">
        <v>582.33099766433202</v>
      </c>
      <c r="F18" s="2">
        <v>5.1240899063213899E-2</v>
      </c>
      <c r="G18" s="4">
        <f t="shared" si="0"/>
        <v>0.30313950945566476</v>
      </c>
    </row>
    <row r="19" spans="1:7">
      <c r="A19" s="9" t="s">
        <v>41</v>
      </c>
      <c r="B19" s="3" t="s">
        <v>42</v>
      </c>
      <c r="C19" s="1">
        <v>3365</v>
      </c>
      <c r="D19" s="1">
        <v>62.882553606237799</v>
      </c>
      <c r="E19" s="1">
        <v>1051.67153996101</v>
      </c>
      <c r="F19" s="2">
        <v>1.8687237327262299E-2</v>
      </c>
      <c r="G19" s="4">
        <f t="shared" si="0"/>
        <v>0.31253240414888855</v>
      </c>
    </row>
    <row r="20" spans="1:7">
      <c r="A20" s="9" t="s">
        <v>43</v>
      </c>
      <c r="B20" s="3" t="s">
        <v>44</v>
      </c>
      <c r="C20" s="1">
        <v>5454.99999999999</v>
      </c>
      <c r="D20" s="1">
        <v>183.213884992987</v>
      </c>
      <c r="E20" s="1">
        <v>2006.28952781673</v>
      </c>
      <c r="F20" s="2">
        <v>3.35864133809326E-2</v>
      </c>
      <c r="G20" s="4">
        <f t="shared" si="0"/>
        <v>0.36778909767492829</v>
      </c>
    </row>
    <row r="21" spans="1:7">
      <c r="A21" s="9" t="s">
        <v>45</v>
      </c>
      <c r="B21" s="3" t="s">
        <v>46</v>
      </c>
      <c r="C21" s="1">
        <v>2823</v>
      </c>
      <c r="D21" s="1">
        <v>242.47773279352199</v>
      </c>
      <c r="E21" s="1">
        <v>1420.4939271255</v>
      </c>
      <c r="F21" s="2">
        <v>8.58936354210139E-2</v>
      </c>
      <c r="G21" s="4">
        <f t="shared" si="0"/>
        <v>0.50318594655526039</v>
      </c>
    </row>
    <row r="22" spans="1:7">
      <c r="A22" s="9" t="s">
        <v>47</v>
      </c>
      <c r="B22" s="3" t="s">
        <v>48</v>
      </c>
      <c r="C22" s="1">
        <v>3058</v>
      </c>
      <c r="D22" s="1">
        <v>132.55913483663099</v>
      </c>
      <c r="E22" s="1">
        <v>1290.99493787391</v>
      </c>
      <c r="F22" s="2">
        <v>4.3348310934150203E-2</v>
      </c>
      <c r="G22" s="4">
        <f t="shared" si="0"/>
        <v>0.42216969845451602</v>
      </c>
    </row>
    <row r="23" spans="1:7">
      <c r="A23" s="9" t="s">
        <v>49</v>
      </c>
      <c r="B23" s="3" t="s">
        <v>50</v>
      </c>
      <c r="C23" s="1">
        <v>2957</v>
      </c>
      <c r="D23" s="1">
        <v>202.28682908260399</v>
      </c>
      <c r="E23" s="1">
        <v>654.54244385230402</v>
      </c>
      <c r="F23" s="2">
        <v>6.8409478891648196E-2</v>
      </c>
      <c r="G23" s="4">
        <f t="shared" si="0"/>
        <v>0.22135354881714711</v>
      </c>
    </row>
    <row r="24" spans="1:7">
      <c r="A24" s="9" t="s">
        <v>51</v>
      </c>
      <c r="B24" s="3" t="s">
        <v>52</v>
      </c>
      <c r="C24" s="1">
        <v>29406</v>
      </c>
      <c r="D24" s="1">
        <v>83.393442622950801</v>
      </c>
      <c r="E24" s="1">
        <v>4671.0929424840197</v>
      </c>
      <c r="F24" s="2">
        <v>2.8359328920271698E-3</v>
      </c>
      <c r="G24" s="4">
        <f t="shared" si="0"/>
        <v>0.15884829431014147</v>
      </c>
    </row>
    <row r="25" spans="1:7">
      <c r="A25" s="9" t="s">
        <v>53</v>
      </c>
      <c r="B25" s="3" t="s">
        <v>54</v>
      </c>
      <c r="C25" s="1">
        <v>2986</v>
      </c>
      <c r="D25" s="1">
        <v>183.85392156862801</v>
      </c>
      <c r="E25" s="1">
        <v>1352.93366013072</v>
      </c>
      <c r="F25" s="2">
        <v>6.1571976412802203E-2</v>
      </c>
      <c r="G25" s="4">
        <f t="shared" si="0"/>
        <v>0.45309231752535833</v>
      </c>
    </row>
    <row r="26" spans="1:7">
      <c r="A26" s="9" t="s">
        <v>55</v>
      </c>
      <c r="B26" s="3" t="s">
        <v>56</v>
      </c>
      <c r="C26" s="1">
        <v>1879</v>
      </c>
      <c r="D26" s="1">
        <v>159.869791666667</v>
      </c>
      <c r="E26" s="1">
        <v>388.255208333334</v>
      </c>
      <c r="F26" s="2">
        <v>8.5082379811956696E-2</v>
      </c>
      <c r="G26" s="4">
        <f t="shared" si="0"/>
        <v>0.20662863668618095</v>
      </c>
    </row>
    <row r="27" spans="1:7">
      <c r="A27" s="9" t="s">
        <v>57</v>
      </c>
      <c r="B27" s="3" t="s">
        <v>58</v>
      </c>
      <c r="C27" s="1">
        <v>1812</v>
      </c>
      <c r="D27" s="1">
        <v>136.847096188748</v>
      </c>
      <c r="E27" s="1">
        <v>353.744101633394</v>
      </c>
      <c r="F27" s="2">
        <v>7.5522680015865207E-2</v>
      </c>
      <c r="G27" s="4">
        <f t="shared" si="0"/>
        <v>0.19522301414646467</v>
      </c>
    </row>
    <row r="28" spans="1:7">
      <c r="A28" s="9" t="s">
        <v>59</v>
      </c>
      <c r="B28" s="3" t="s">
        <v>60</v>
      </c>
      <c r="C28" s="1">
        <v>17414</v>
      </c>
      <c r="D28" s="1">
        <v>3410.34082332761</v>
      </c>
      <c r="E28" s="1">
        <v>3660.87718696398</v>
      </c>
      <c r="F28" s="2">
        <v>0.195839027410567</v>
      </c>
      <c r="G28" s="4">
        <f t="shared" si="0"/>
        <v>0.21022609319880442</v>
      </c>
    </row>
    <row r="29" spans="1:7">
      <c r="A29" s="9" t="s">
        <v>61</v>
      </c>
      <c r="B29" s="3" t="s">
        <v>62</v>
      </c>
      <c r="C29" s="1">
        <v>1645</v>
      </c>
      <c r="D29" s="1">
        <v>32.093939393939401</v>
      </c>
      <c r="E29" s="1">
        <v>228.030303030303</v>
      </c>
      <c r="F29" s="2">
        <v>1.9509993552546699E-2</v>
      </c>
      <c r="G29" s="4">
        <f t="shared" si="0"/>
        <v>0.1386202450032237</v>
      </c>
    </row>
    <row r="30" spans="1:7">
      <c r="A30" s="9" t="s">
        <v>63</v>
      </c>
      <c r="B30" s="3" t="s">
        <v>64</v>
      </c>
      <c r="C30" s="1">
        <v>31179</v>
      </c>
      <c r="D30" s="1">
        <v>4650.0347459857803</v>
      </c>
      <c r="E30" s="1">
        <v>7427.9354216021702</v>
      </c>
      <c r="F30" s="2">
        <v>0.14913995785579401</v>
      </c>
      <c r="G30" s="4">
        <f t="shared" si="0"/>
        <v>0.23823520387447225</v>
      </c>
    </row>
    <row r="31" spans="1:7">
      <c r="A31" s="9" t="s">
        <v>65</v>
      </c>
      <c r="B31" s="3" t="s">
        <v>66</v>
      </c>
      <c r="C31" s="1">
        <v>5512</v>
      </c>
      <c r="D31" s="1">
        <v>273.29577464788701</v>
      </c>
      <c r="E31" s="1">
        <v>1703.82554978997</v>
      </c>
      <c r="F31" s="2">
        <v>4.95819620188475E-2</v>
      </c>
      <c r="G31" s="4">
        <f t="shared" si="0"/>
        <v>0.30911203733490022</v>
      </c>
    </row>
    <row r="32" spans="1:7">
      <c r="A32" s="9" t="s">
        <v>67</v>
      </c>
      <c r="B32" s="3" t="s">
        <v>68</v>
      </c>
      <c r="C32" s="1">
        <v>19854</v>
      </c>
      <c r="D32" s="1">
        <v>3341.7815656565599</v>
      </c>
      <c r="E32" s="1">
        <v>5320.8800505050403</v>
      </c>
      <c r="F32" s="2">
        <v>0.16831779820976001</v>
      </c>
      <c r="G32" s="4">
        <f t="shared" si="0"/>
        <v>0.26800040548529469</v>
      </c>
    </row>
    <row r="33" spans="1:7">
      <c r="A33" s="9" t="s">
        <v>69</v>
      </c>
      <c r="B33" s="3" t="s">
        <v>70</v>
      </c>
      <c r="C33" s="1">
        <v>3821</v>
      </c>
      <c r="D33" s="1">
        <v>118.275862068965</v>
      </c>
      <c r="E33" s="1">
        <v>745.68602540834797</v>
      </c>
      <c r="F33" s="2">
        <v>3.0954164372929999E-2</v>
      </c>
      <c r="G33" s="4">
        <f t="shared" si="0"/>
        <v>0.19515467820160901</v>
      </c>
    </row>
    <row r="34" spans="1:7">
      <c r="A34" s="9" t="s">
        <v>71</v>
      </c>
      <c r="B34" s="3" t="s">
        <v>72</v>
      </c>
      <c r="C34" s="1">
        <v>9125.9999999999909</v>
      </c>
      <c r="D34" s="1">
        <v>178.40442086649</v>
      </c>
      <c r="E34" s="1">
        <v>1550.9533156498701</v>
      </c>
      <c r="F34" s="2">
        <v>1.9549027050897401E-2</v>
      </c>
      <c r="G34" s="4">
        <f t="shared" si="0"/>
        <v>0.1699488621137269</v>
      </c>
    </row>
    <row r="35" spans="1:7">
      <c r="A35" s="9" t="s">
        <v>73</v>
      </c>
      <c r="B35" s="3" t="s">
        <v>74</v>
      </c>
      <c r="C35" s="1">
        <v>5600</v>
      </c>
      <c r="D35" s="1">
        <v>137.019602577873</v>
      </c>
      <c r="E35" s="1">
        <v>978.05719656283497</v>
      </c>
      <c r="F35" s="2">
        <v>2.4467786174620199E-2</v>
      </c>
      <c r="G35" s="4">
        <f t="shared" si="0"/>
        <v>0.17465307081479195</v>
      </c>
    </row>
    <row r="36" spans="1:7">
      <c r="A36" s="9" t="s">
        <v>75</v>
      </c>
      <c r="B36" s="3" t="s">
        <v>76</v>
      </c>
      <c r="C36" s="1">
        <v>1819.99999999999</v>
      </c>
      <c r="D36" s="1">
        <v>47.692307692307601</v>
      </c>
      <c r="E36" s="1">
        <v>485.07918552036102</v>
      </c>
      <c r="F36" s="2">
        <v>2.6204564666103099E-2</v>
      </c>
      <c r="G36" s="4">
        <f t="shared" si="0"/>
        <v>0.26652702501118886</v>
      </c>
    </row>
    <row r="37" spans="1:7">
      <c r="A37" s="9" t="s">
        <v>77</v>
      </c>
      <c r="B37" s="3" t="s">
        <v>78</v>
      </c>
      <c r="C37" s="1">
        <v>7752</v>
      </c>
      <c r="D37" s="1">
        <v>264.92194780987899</v>
      </c>
      <c r="E37" s="1">
        <v>3190.1418918918898</v>
      </c>
      <c r="F37" s="2">
        <v>3.41746578702114E-2</v>
      </c>
      <c r="G37" s="4">
        <f t="shared" si="0"/>
        <v>0.41152501185395896</v>
      </c>
    </row>
    <row r="38" spans="1:7">
      <c r="A38" s="9" t="s">
        <v>79</v>
      </c>
      <c r="B38" s="3" t="s">
        <v>80</v>
      </c>
      <c r="C38" s="1">
        <v>29194</v>
      </c>
      <c r="D38" s="1">
        <v>124.60344827586199</v>
      </c>
      <c r="E38" s="1">
        <v>4471.4845808802902</v>
      </c>
      <c r="F38" s="2">
        <v>4.2681183899384101E-3</v>
      </c>
      <c r="G38" s="4">
        <f t="shared" si="0"/>
        <v>0.15316450575050661</v>
      </c>
    </row>
    <row r="39" spans="1:7">
      <c r="A39" s="9" t="s">
        <v>81</v>
      </c>
      <c r="B39" s="3" t="s">
        <v>82</v>
      </c>
      <c r="C39" s="1">
        <v>9441.0000000000091</v>
      </c>
      <c r="D39" s="1">
        <v>1529.19047619048</v>
      </c>
      <c r="E39" s="1">
        <v>3050.3804511278199</v>
      </c>
      <c r="F39" s="2">
        <v>0.16197335835086099</v>
      </c>
      <c r="G39" s="4">
        <f t="shared" si="0"/>
        <v>0.32309929574492291</v>
      </c>
    </row>
    <row r="40" spans="1:7">
      <c r="A40" s="9" t="s">
        <v>83</v>
      </c>
      <c r="B40" s="3" t="s">
        <v>84</v>
      </c>
      <c r="C40" s="1">
        <v>7390</v>
      </c>
      <c r="D40" s="1">
        <v>2901.4789377289399</v>
      </c>
      <c r="E40" s="1">
        <v>2401.0714285714298</v>
      </c>
      <c r="F40" s="2">
        <v>0.39262231904315797</v>
      </c>
      <c r="G40" s="4">
        <f t="shared" si="0"/>
        <v>0.32490817707326519</v>
      </c>
    </row>
    <row r="41" spans="1:7">
      <c r="A41" s="9" t="s">
        <v>85</v>
      </c>
      <c r="B41" s="3" t="s">
        <v>86</v>
      </c>
      <c r="C41" s="1">
        <v>7165</v>
      </c>
      <c r="D41" s="1">
        <v>23.258064516129</v>
      </c>
      <c r="E41" s="1">
        <v>1299.6633260256799</v>
      </c>
      <c r="F41" s="2">
        <v>3.2460662269545E-3</v>
      </c>
      <c r="G41" s="4">
        <f t="shared" si="0"/>
        <v>0.18139055492333286</v>
      </c>
    </row>
    <row r="42" spans="1:7">
      <c r="A42" s="9" t="s">
        <v>87</v>
      </c>
      <c r="B42" s="3" t="s">
        <v>88</v>
      </c>
      <c r="C42" s="1">
        <v>4897</v>
      </c>
      <c r="D42" s="1">
        <v>56.265625</v>
      </c>
      <c r="E42" s="1">
        <v>847.10586734693902</v>
      </c>
      <c r="F42" s="2">
        <v>1.1489815192975299E-2</v>
      </c>
      <c r="G42" s="4">
        <f t="shared" si="0"/>
        <v>0.17298465741207658</v>
      </c>
    </row>
    <row r="43" spans="1:7">
      <c r="A43" s="9" t="s">
        <v>89</v>
      </c>
      <c r="B43" s="3" t="s">
        <v>90</v>
      </c>
      <c r="C43" s="1">
        <v>15997</v>
      </c>
      <c r="D43" s="1">
        <v>4649.5428340517201</v>
      </c>
      <c r="E43" s="1">
        <v>5592.1072198275897</v>
      </c>
      <c r="F43" s="2">
        <v>0.290650924176516</v>
      </c>
      <c r="G43" s="4">
        <f t="shared" si="0"/>
        <v>0.34957224603535597</v>
      </c>
    </row>
    <row r="44" spans="1:7">
      <c r="A44" s="9" t="s">
        <v>91</v>
      </c>
      <c r="B44" s="3" t="s">
        <v>92</v>
      </c>
      <c r="C44" s="1">
        <v>21081</v>
      </c>
      <c r="D44" s="1">
        <v>225.43689320388401</v>
      </c>
      <c r="E44" s="1">
        <v>3441.2645631067999</v>
      </c>
      <c r="F44" s="2">
        <v>1.0693842474450099E-2</v>
      </c>
      <c r="G44" s="4">
        <f t="shared" si="0"/>
        <v>0.16324010071186376</v>
      </c>
    </row>
    <row r="45" spans="1:7">
      <c r="A45" s="9" t="s">
        <v>93</v>
      </c>
      <c r="B45" s="3" t="s">
        <v>94</v>
      </c>
      <c r="C45" s="1">
        <v>8061</v>
      </c>
      <c r="D45" s="1">
        <v>174.68421052631601</v>
      </c>
      <c r="E45" s="1">
        <v>419.30251303935501</v>
      </c>
      <c r="F45" s="2">
        <v>2.1670290351856601E-2</v>
      </c>
      <c r="G45" s="4">
        <f t="shared" si="0"/>
        <v>5.2016190676014762E-2</v>
      </c>
    </row>
    <row r="46" spans="1:7">
      <c r="A46" s="9" t="s">
        <v>95</v>
      </c>
      <c r="B46" s="3" t="s">
        <v>96</v>
      </c>
      <c r="C46" s="1">
        <v>8979.0000000000091</v>
      </c>
      <c r="D46" s="1">
        <v>565.59505352528697</v>
      </c>
      <c r="E46" s="1">
        <v>1300.36471022518</v>
      </c>
      <c r="F46" s="2">
        <v>6.2990873541072107E-2</v>
      </c>
      <c r="G46" s="4">
        <f t="shared" si="0"/>
        <v>0.14482288787450481</v>
      </c>
    </row>
    <row r="47" spans="1:7">
      <c r="A47" s="9" t="s">
        <v>97</v>
      </c>
      <c r="B47" s="3" t="s">
        <v>98</v>
      </c>
      <c r="C47" s="1">
        <v>11756</v>
      </c>
      <c r="D47" s="1">
        <v>204.06976744185999</v>
      </c>
      <c r="E47" s="1">
        <v>1104.7629407351801</v>
      </c>
      <c r="F47" s="2">
        <v>1.7358775726595801E-2</v>
      </c>
      <c r="G47" s="4">
        <f t="shared" si="0"/>
        <v>9.3974391011839076E-2</v>
      </c>
    </row>
    <row r="48" spans="1:7">
      <c r="A48" s="9" t="s">
        <v>99</v>
      </c>
      <c r="B48" s="3" t="s">
        <v>100</v>
      </c>
      <c r="C48" s="1">
        <v>4008.00000000001</v>
      </c>
      <c r="D48" s="1">
        <v>0</v>
      </c>
      <c r="E48" s="1">
        <v>527.50776053215202</v>
      </c>
      <c r="F48" s="2">
        <v>0</v>
      </c>
      <c r="G48" s="4">
        <f t="shared" si="0"/>
        <v>0.13161371270762243</v>
      </c>
    </row>
    <row r="49" spans="1:7">
      <c r="A49" s="9" t="s">
        <v>101</v>
      </c>
      <c r="B49" s="3" t="s">
        <v>102</v>
      </c>
      <c r="C49" s="1">
        <v>93882.000000000204</v>
      </c>
      <c r="D49" s="1">
        <v>352.11290563631502</v>
      </c>
      <c r="E49" s="1">
        <v>4724.0083892115999</v>
      </c>
      <c r="F49" s="2">
        <v>3.7505901625052101E-3</v>
      </c>
      <c r="G49" s="4">
        <f t="shared" si="0"/>
        <v>5.0318574265690863E-2</v>
      </c>
    </row>
    <row r="50" spans="1:7">
      <c r="A50" s="9" t="s">
        <v>103</v>
      </c>
      <c r="B50" s="3" t="s">
        <v>104</v>
      </c>
      <c r="C50" s="1">
        <v>9563.9999999999909</v>
      </c>
      <c r="D50" s="1">
        <v>863.248275862068</v>
      </c>
      <c r="E50" s="1">
        <v>1773.8275862068999</v>
      </c>
      <c r="F50" s="2">
        <v>9.0260171043712797E-2</v>
      </c>
      <c r="G50" s="4">
        <f t="shared" si="0"/>
        <v>0.18546921645827077</v>
      </c>
    </row>
    <row r="51" spans="1:7">
      <c r="A51" s="9" t="s">
        <v>105</v>
      </c>
      <c r="B51" s="3" t="s">
        <v>106</v>
      </c>
      <c r="C51" s="1">
        <v>6763</v>
      </c>
      <c r="D51" s="1">
        <v>461.09680992467901</v>
      </c>
      <c r="E51" s="1">
        <v>1206.5150642445701</v>
      </c>
      <c r="F51" s="2">
        <v>6.8179330167777399E-2</v>
      </c>
      <c r="G51" s="4">
        <f t="shared" si="0"/>
        <v>0.1783993884732471</v>
      </c>
    </row>
    <row r="52" spans="1:7">
      <c r="A52" s="9" t="s">
        <v>107</v>
      </c>
      <c r="B52" s="3" t="s">
        <v>108</v>
      </c>
      <c r="C52" s="1">
        <v>1916</v>
      </c>
      <c r="D52" s="1">
        <v>79.413445378151096</v>
      </c>
      <c r="E52" s="1">
        <v>445.271848739495</v>
      </c>
      <c r="F52" s="2">
        <v>4.1447518464588301E-2</v>
      </c>
      <c r="G52" s="4">
        <f t="shared" si="0"/>
        <v>0.23239658076174061</v>
      </c>
    </row>
    <row r="53" spans="1:7">
      <c r="A53" s="9" t="s">
        <v>109</v>
      </c>
      <c r="B53" s="3" t="s">
        <v>110</v>
      </c>
      <c r="C53" s="1">
        <v>18553</v>
      </c>
      <c r="D53" s="1">
        <v>149.02040816326499</v>
      </c>
      <c r="E53" s="1">
        <v>2201.3340336134402</v>
      </c>
      <c r="F53" s="2">
        <v>8.0321461846205693E-3</v>
      </c>
      <c r="G53" s="4">
        <f t="shared" si="0"/>
        <v>0.11865110944933112</v>
      </c>
    </row>
    <row r="54" spans="1:7">
      <c r="A54" s="9" t="s">
        <v>111</v>
      </c>
      <c r="B54" s="3" t="s">
        <v>112</v>
      </c>
      <c r="C54" s="1">
        <v>3702</v>
      </c>
      <c r="D54" s="1">
        <v>0</v>
      </c>
      <c r="E54" s="1">
        <v>734.00564971751396</v>
      </c>
      <c r="F54" s="2">
        <v>0</v>
      </c>
      <c r="G54" s="4">
        <f t="shared" si="0"/>
        <v>0.19827273087993355</v>
      </c>
    </row>
    <row r="55" spans="1:7">
      <c r="A55" s="9" t="s">
        <v>113</v>
      </c>
      <c r="B55" s="3" t="s">
        <v>114</v>
      </c>
      <c r="C55" s="1">
        <v>2250</v>
      </c>
      <c r="D55" s="1">
        <v>59.516666666666701</v>
      </c>
      <c r="E55" s="1">
        <v>805.17500000000098</v>
      </c>
      <c r="F55" s="2">
        <v>2.64518518518519E-2</v>
      </c>
      <c r="G55" s="4">
        <f t="shared" si="0"/>
        <v>0.35785555555555598</v>
      </c>
    </row>
    <row r="56" spans="1:7">
      <c r="A56" s="9" t="s">
        <v>115</v>
      </c>
      <c r="B56" s="3" t="s">
        <v>116</v>
      </c>
      <c r="C56" s="1">
        <v>19524</v>
      </c>
      <c r="D56" s="1">
        <v>694.02693602693603</v>
      </c>
      <c r="E56" s="1">
        <v>3670.06734006734</v>
      </c>
      <c r="F56" s="2">
        <v>3.5547374309922997E-2</v>
      </c>
      <c r="G56" s="4">
        <f t="shared" si="0"/>
        <v>0.18797722495735197</v>
      </c>
    </row>
    <row r="57" spans="1:7">
      <c r="A57" s="9" t="s">
        <v>117</v>
      </c>
      <c r="B57" s="3" t="s">
        <v>118</v>
      </c>
      <c r="C57" s="1">
        <v>3347</v>
      </c>
      <c r="D57" s="1">
        <v>90.625418060200701</v>
      </c>
      <c r="E57" s="1">
        <v>256.55602006689003</v>
      </c>
      <c r="F57" s="2">
        <v>2.7076611311682298E-2</v>
      </c>
      <c r="G57" s="4">
        <f t="shared" si="0"/>
        <v>7.6652530644424871E-2</v>
      </c>
    </row>
    <row r="58" spans="1:7">
      <c r="A58" s="9" t="s">
        <v>119</v>
      </c>
      <c r="B58" s="3" t="s">
        <v>120</v>
      </c>
      <c r="C58" s="1">
        <v>3949</v>
      </c>
      <c r="D58" s="1">
        <v>71.349450549450594</v>
      </c>
      <c r="E58" s="1">
        <v>818.02637362637495</v>
      </c>
      <c r="F58" s="2">
        <v>1.8067726145720601E-2</v>
      </c>
      <c r="G58" s="4">
        <f t="shared" si="0"/>
        <v>0.20714772692488603</v>
      </c>
    </row>
    <row r="59" spans="1:7">
      <c r="A59" s="9" t="s">
        <v>121</v>
      </c>
      <c r="B59" s="3" t="s">
        <v>122</v>
      </c>
      <c r="C59" s="1">
        <v>2070</v>
      </c>
      <c r="D59" s="1">
        <v>49.927703875072197</v>
      </c>
      <c r="E59" s="1">
        <v>326.39213418160699</v>
      </c>
      <c r="F59" s="2">
        <v>2.4119663707764399E-2</v>
      </c>
      <c r="G59" s="4">
        <f t="shared" si="0"/>
        <v>0.1576773595080227</v>
      </c>
    </row>
    <row r="60" spans="1:7">
      <c r="A60" s="9" t="s">
        <v>123</v>
      </c>
      <c r="B60" s="3" t="s">
        <v>124</v>
      </c>
      <c r="C60" s="1">
        <v>2105</v>
      </c>
      <c r="D60" s="1">
        <v>77.313822080556506</v>
      </c>
      <c r="E60" s="1">
        <v>661.61112720950496</v>
      </c>
      <c r="F60" s="2">
        <v>3.6728656570335597E-2</v>
      </c>
      <c r="G60" s="4">
        <f t="shared" si="0"/>
        <v>0.31430457349620189</v>
      </c>
    </row>
    <row r="61" spans="1:7">
      <c r="A61" s="9" t="s">
        <v>125</v>
      </c>
      <c r="B61" s="3" t="s">
        <v>126</v>
      </c>
      <c r="C61" s="1">
        <v>100976</v>
      </c>
      <c r="D61" s="1">
        <v>994.60194174757396</v>
      </c>
      <c r="E61" s="1">
        <v>11866.8404993065</v>
      </c>
      <c r="F61" s="2">
        <v>9.8498845443231297E-3</v>
      </c>
      <c r="G61" s="4">
        <f t="shared" si="0"/>
        <v>0.11752139616648015</v>
      </c>
    </row>
    <row r="62" spans="1:7">
      <c r="A62" s="9" t="s">
        <v>127</v>
      </c>
      <c r="B62" s="3" t="s">
        <v>128</v>
      </c>
      <c r="C62" s="1">
        <v>7122</v>
      </c>
      <c r="D62" s="1">
        <v>770.64722112731602</v>
      </c>
      <c r="E62" s="1">
        <v>1429.55892786756</v>
      </c>
      <c r="F62" s="2">
        <v>0.108206574154355</v>
      </c>
      <c r="G62" s="4">
        <f t="shared" si="0"/>
        <v>0.2007243650473968</v>
      </c>
    </row>
    <row r="63" spans="1:7">
      <c r="A63" s="9" t="s">
        <v>129</v>
      </c>
      <c r="B63" s="3" t="s">
        <v>130</v>
      </c>
      <c r="C63" s="1">
        <v>5188</v>
      </c>
      <c r="D63" s="1">
        <v>222.51524637681101</v>
      </c>
      <c r="E63" s="1">
        <v>1117.9395942029</v>
      </c>
      <c r="F63" s="2">
        <v>4.2890371313957502E-2</v>
      </c>
      <c r="G63" s="4">
        <f t="shared" si="0"/>
        <v>0.21548565809616424</v>
      </c>
    </row>
    <row r="64" spans="1:7">
      <c r="A64" s="9" t="s">
        <v>131</v>
      </c>
      <c r="B64" s="3" t="s">
        <v>132</v>
      </c>
      <c r="C64" s="1">
        <v>5095</v>
      </c>
      <c r="D64" s="1">
        <v>80.253286384976505</v>
      </c>
      <c r="E64" s="1">
        <v>818.11091549295804</v>
      </c>
      <c r="F64" s="2">
        <v>1.5751381037286901E-2</v>
      </c>
      <c r="G64" s="4">
        <f t="shared" si="0"/>
        <v>0.1605713278690791</v>
      </c>
    </row>
    <row r="65" spans="1:7">
      <c r="A65" s="9" t="s">
        <v>133</v>
      </c>
      <c r="B65" s="3" t="s">
        <v>134</v>
      </c>
      <c r="C65" s="1">
        <v>22540</v>
      </c>
      <c r="D65" s="1">
        <v>293.30436899111601</v>
      </c>
      <c r="E65" s="1">
        <v>2855.17366435439</v>
      </c>
      <c r="F65" s="2">
        <v>1.30126161930397E-2</v>
      </c>
      <c r="G65" s="4">
        <f t="shared" si="0"/>
        <v>0.12667141368031898</v>
      </c>
    </row>
    <row r="66" spans="1:7">
      <c r="A66" s="9" t="s">
        <v>135</v>
      </c>
      <c r="B66" s="3" t="s">
        <v>136</v>
      </c>
      <c r="C66" s="1">
        <v>26780</v>
      </c>
      <c r="D66" s="1">
        <v>245.39115929941599</v>
      </c>
      <c r="E66" s="1">
        <v>2119.6196830692302</v>
      </c>
      <c r="F66" s="2">
        <v>9.1632247684621405E-3</v>
      </c>
      <c r="G66" s="4">
        <f t="shared" si="0"/>
        <v>7.9149353363302102E-2</v>
      </c>
    </row>
    <row r="67" spans="1:7">
      <c r="A67" s="9" t="s">
        <v>137</v>
      </c>
      <c r="B67" s="3" t="s">
        <v>138</v>
      </c>
      <c r="C67" s="1">
        <v>2924.00000000001</v>
      </c>
      <c r="D67" s="1">
        <v>203.512354312355</v>
      </c>
      <c r="E67" s="1">
        <v>839.41072261072497</v>
      </c>
      <c r="F67" s="2">
        <v>6.9600668369478202E-2</v>
      </c>
      <c r="G67" s="4">
        <f t="shared" si="0"/>
        <v>0.28707617052350276</v>
      </c>
    </row>
    <row r="68" spans="1:7">
      <c r="A68" s="9" t="s">
        <v>139</v>
      </c>
      <c r="B68" s="3" t="s">
        <v>140</v>
      </c>
      <c r="C68" s="1">
        <v>7329</v>
      </c>
      <c r="D68" s="1">
        <v>127.526315789474</v>
      </c>
      <c r="E68" s="1">
        <v>1466.2402476780201</v>
      </c>
      <c r="F68" s="2">
        <v>1.74002341096294E-2</v>
      </c>
      <c r="G68" s="4">
        <f t="shared" ref="G68:G124" si="1">E68/C68</f>
        <v>0.20006006926975303</v>
      </c>
    </row>
    <row r="69" spans="1:7">
      <c r="A69" s="9" t="s">
        <v>141</v>
      </c>
      <c r="B69" s="3" t="s">
        <v>142</v>
      </c>
      <c r="C69" s="1">
        <v>3508</v>
      </c>
      <c r="D69" s="1">
        <v>91.253240279162497</v>
      </c>
      <c r="E69" s="1">
        <v>465.15353938185501</v>
      </c>
      <c r="F69" s="2">
        <v>2.6012896316751001E-2</v>
      </c>
      <c r="G69" s="4">
        <f t="shared" si="1"/>
        <v>0.13259793026848773</v>
      </c>
    </row>
    <row r="70" spans="1:7">
      <c r="A70" s="9" t="s">
        <v>143</v>
      </c>
      <c r="B70" s="3" t="s">
        <v>144</v>
      </c>
      <c r="C70" s="1">
        <v>3091.99999999999</v>
      </c>
      <c r="D70" s="1">
        <v>631.53982300884797</v>
      </c>
      <c r="E70" s="1">
        <v>491.30088495575097</v>
      </c>
      <c r="F70" s="2">
        <v>0.20424961934309499</v>
      </c>
      <c r="G70" s="4">
        <f t="shared" si="1"/>
        <v>0.15889420600121362</v>
      </c>
    </row>
    <row r="71" spans="1:7">
      <c r="A71" s="9" t="s">
        <v>145</v>
      </c>
      <c r="B71" s="3" t="s">
        <v>146</v>
      </c>
      <c r="C71" s="1">
        <v>22323</v>
      </c>
      <c r="D71" s="1">
        <v>110.29629629629601</v>
      </c>
      <c r="E71" s="1">
        <v>1611.4074074074099</v>
      </c>
      <c r="F71" s="2">
        <v>4.9409262328672801E-3</v>
      </c>
      <c r="G71" s="4">
        <f t="shared" si="1"/>
        <v>7.2185969959566804E-2</v>
      </c>
    </row>
    <row r="72" spans="1:7">
      <c r="A72" s="9" t="s">
        <v>147</v>
      </c>
      <c r="B72" s="3" t="s">
        <v>148</v>
      </c>
      <c r="C72" s="1">
        <v>961771.99999999697</v>
      </c>
      <c r="D72" s="1">
        <v>14168.806583166101</v>
      </c>
      <c r="E72" s="1">
        <v>131438.33147340699</v>
      </c>
      <c r="F72" s="2">
        <v>1.4731980743009901E-2</v>
      </c>
      <c r="G72" s="4">
        <f t="shared" si="1"/>
        <v>0.13666267210254343</v>
      </c>
    </row>
    <row r="73" spans="1:7">
      <c r="A73" s="9" t="s">
        <v>149</v>
      </c>
      <c r="B73" s="3" t="s">
        <v>150</v>
      </c>
      <c r="C73" s="1">
        <v>2518</v>
      </c>
      <c r="D73" s="1">
        <v>90.373034591194795</v>
      </c>
      <c r="E73" s="1">
        <v>487.75628930817498</v>
      </c>
      <c r="F73" s="2">
        <v>3.5890800075931303E-2</v>
      </c>
      <c r="G73" s="4">
        <f t="shared" si="1"/>
        <v>0.19370781942342136</v>
      </c>
    </row>
    <row r="74" spans="1:7">
      <c r="A74" s="9" t="s">
        <v>151</v>
      </c>
      <c r="B74" s="3" t="s">
        <v>152</v>
      </c>
      <c r="C74" s="1">
        <v>1388</v>
      </c>
      <c r="D74" s="1">
        <v>1370.43365384615</v>
      </c>
      <c r="E74" s="1">
        <v>17.566346153846101</v>
      </c>
      <c r="F74" s="2">
        <v>0.98734413101307905</v>
      </c>
      <c r="G74" s="4">
        <f t="shared" si="1"/>
        <v>1.2655868986920822E-2</v>
      </c>
    </row>
    <row r="75" spans="1:7">
      <c r="A75" s="9" t="s">
        <v>153</v>
      </c>
      <c r="B75" s="3" t="s">
        <v>154</v>
      </c>
      <c r="C75" s="1">
        <v>4573</v>
      </c>
      <c r="D75" s="1">
        <v>2084.85210084034</v>
      </c>
      <c r="E75" s="1">
        <v>944.37647058823495</v>
      </c>
      <c r="F75" s="2">
        <v>0.455904679825134</v>
      </c>
      <c r="G75" s="4">
        <f t="shared" si="1"/>
        <v>0.20651136465957468</v>
      </c>
    </row>
    <row r="76" spans="1:7">
      <c r="A76" s="9" t="s">
        <v>155</v>
      </c>
      <c r="B76" s="3" t="s">
        <v>156</v>
      </c>
      <c r="C76" s="1">
        <v>3612</v>
      </c>
      <c r="D76" s="1">
        <v>178.67817083692799</v>
      </c>
      <c r="E76" s="1">
        <v>1149.1369715271801</v>
      </c>
      <c r="F76" s="2">
        <v>4.9467932125395402E-2</v>
      </c>
      <c r="G76" s="4">
        <f t="shared" si="1"/>
        <v>0.31814423353465671</v>
      </c>
    </row>
    <row r="77" spans="1:7">
      <c r="A77" s="9" t="s">
        <v>157</v>
      </c>
      <c r="B77" s="3" t="s">
        <v>158</v>
      </c>
      <c r="C77" s="1">
        <v>8074</v>
      </c>
      <c r="D77" s="1">
        <v>3194.3542976939202</v>
      </c>
      <c r="E77" s="1">
        <v>3453.6813417190801</v>
      </c>
      <c r="F77" s="2">
        <v>0.39563466654618801</v>
      </c>
      <c r="G77" s="4">
        <f t="shared" si="1"/>
        <v>0.42775344831794404</v>
      </c>
    </row>
    <row r="78" spans="1:7">
      <c r="A78" s="9" t="s">
        <v>159</v>
      </c>
      <c r="B78" s="3" t="s">
        <v>160</v>
      </c>
      <c r="C78" s="1">
        <v>13462</v>
      </c>
      <c r="D78" s="1">
        <v>5049.2367021276496</v>
      </c>
      <c r="E78" s="1">
        <v>4216.6382978723304</v>
      </c>
      <c r="F78" s="2">
        <v>0.37507329535935602</v>
      </c>
      <c r="G78" s="4">
        <f t="shared" si="1"/>
        <v>0.3132252486905609</v>
      </c>
    </row>
    <row r="79" spans="1:7">
      <c r="A79" s="9" t="s">
        <v>161</v>
      </c>
      <c r="B79" s="3" t="s">
        <v>162</v>
      </c>
      <c r="C79" s="1">
        <v>1219</v>
      </c>
      <c r="D79" s="1">
        <v>148.48275862068999</v>
      </c>
      <c r="E79" s="1">
        <v>200.89655172413899</v>
      </c>
      <c r="F79" s="2">
        <v>0.121807021017793</v>
      </c>
      <c r="G79" s="4">
        <f t="shared" si="1"/>
        <v>0.16480439025770222</v>
      </c>
    </row>
    <row r="80" spans="1:7">
      <c r="A80" s="9" t="s">
        <v>163</v>
      </c>
      <c r="B80" s="3" t="s">
        <v>164</v>
      </c>
      <c r="C80" s="1">
        <v>2694</v>
      </c>
      <c r="D80" s="1">
        <v>209.635964912281</v>
      </c>
      <c r="E80" s="1">
        <v>738.97368421052704</v>
      </c>
      <c r="F80" s="2">
        <v>7.7815874132249704E-2</v>
      </c>
      <c r="G80" s="4">
        <f t="shared" si="1"/>
        <v>0.27430352049388529</v>
      </c>
    </row>
    <row r="81" spans="1:7">
      <c r="A81" s="9" t="s">
        <v>165</v>
      </c>
      <c r="B81" s="3" t="s">
        <v>166</v>
      </c>
      <c r="C81" s="1">
        <v>3104</v>
      </c>
      <c r="D81" s="1">
        <v>52.6323529411764</v>
      </c>
      <c r="E81" s="1">
        <v>1380.2941176470599</v>
      </c>
      <c r="F81" s="2">
        <v>1.6956299272286202E-2</v>
      </c>
      <c r="G81" s="4">
        <f t="shared" si="1"/>
        <v>0.44468238326258375</v>
      </c>
    </row>
    <row r="82" spans="1:7">
      <c r="A82" s="9" t="s">
        <v>167</v>
      </c>
      <c r="B82" s="3" t="s">
        <v>168</v>
      </c>
      <c r="C82" s="1">
        <v>14654</v>
      </c>
      <c r="D82" s="1">
        <v>2204.0818584070798</v>
      </c>
      <c r="E82" s="1">
        <v>2003.7831858407101</v>
      </c>
      <c r="F82" s="2">
        <v>0.15040820652429901</v>
      </c>
      <c r="G82" s="4">
        <f t="shared" si="1"/>
        <v>0.1367396742077733</v>
      </c>
    </row>
    <row r="83" spans="1:7">
      <c r="A83" s="9" t="s">
        <v>169</v>
      </c>
      <c r="B83" s="3" t="s">
        <v>170</v>
      </c>
      <c r="C83" s="1">
        <v>5633</v>
      </c>
      <c r="D83" s="1">
        <v>945.36107315861398</v>
      </c>
      <c r="E83" s="1">
        <v>327.69258477207802</v>
      </c>
      <c r="F83" s="2">
        <v>0.16782550562020501</v>
      </c>
      <c r="G83" s="4">
        <f t="shared" si="1"/>
        <v>5.8173723552650103E-2</v>
      </c>
    </row>
    <row r="84" spans="1:7">
      <c r="A84" s="9" t="s">
        <v>171</v>
      </c>
      <c r="B84" s="3" t="s">
        <v>172</v>
      </c>
      <c r="C84" s="1">
        <v>6063.00000000001</v>
      </c>
      <c r="D84" s="1">
        <v>859.06445556946301</v>
      </c>
      <c r="E84" s="1">
        <v>881.41739674593305</v>
      </c>
      <c r="F84" s="2">
        <v>0.1416896677502</v>
      </c>
      <c r="G84" s="4">
        <f t="shared" si="1"/>
        <v>0.14537644676660591</v>
      </c>
    </row>
    <row r="85" spans="1:7">
      <c r="A85" s="9" t="s">
        <v>173</v>
      </c>
      <c r="B85" s="3" t="s">
        <v>174</v>
      </c>
      <c r="C85" s="1">
        <v>10348</v>
      </c>
      <c r="D85" s="1">
        <v>1193.53534801039</v>
      </c>
      <c r="E85" s="1">
        <v>2665.7524955558602</v>
      </c>
      <c r="F85" s="2">
        <v>0.11533971279574699</v>
      </c>
      <c r="G85" s="4">
        <f t="shared" si="1"/>
        <v>0.25761040737880364</v>
      </c>
    </row>
    <row r="86" spans="1:7">
      <c r="A86" s="9" t="s">
        <v>175</v>
      </c>
      <c r="B86" s="3" t="s">
        <v>176</v>
      </c>
      <c r="C86" s="1">
        <v>51869.999999999898</v>
      </c>
      <c r="D86" s="1">
        <v>315.24770642201798</v>
      </c>
      <c r="E86" s="1">
        <v>11522.206911908799</v>
      </c>
      <c r="F86" s="2">
        <v>6.0776500177755601E-3</v>
      </c>
      <c r="G86" s="4">
        <f t="shared" si="1"/>
        <v>0.22213624275899022</v>
      </c>
    </row>
    <row r="87" spans="1:7">
      <c r="A87" s="9" t="s">
        <v>177</v>
      </c>
      <c r="B87" s="3" t="s">
        <v>178</v>
      </c>
      <c r="C87" s="1">
        <v>3112</v>
      </c>
      <c r="D87" s="1">
        <v>370.752345981232</v>
      </c>
      <c r="E87" s="1">
        <v>565.80301917584598</v>
      </c>
      <c r="F87" s="2">
        <v>0.119136357963121</v>
      </c>
      <c r="G87" s="4">
        <f t="shared" si="1"/>
        <v>0.18181330950380656</v>
      </c>
    </row>
    <row r="88" spans="1:7">
      <c r="A88" s="9" t="s">
        <v>179</v>
      </c>
      <c r="B88" s="3" t="s">
        <v>180</v>
      </c>
      <c r="C88" s="1">
        <v>35512</v>
      </c>
      <c r="D88" s="1">
        <v>29.9051724137931</v>
      </c>
      <c r="E88" s="1">
        <v>1334.7241379310301</v>
      </c>
      <c r="F88" s="2">
        <v>8.4211456447941897E-4</v>
      </c>
      <c r="G88" s="4">
        <f t="shared" si="1"/>
        <v>3.7585158198102896E-2</v>
      </c>
    </row>
    <row r="89" spans="1:7">
      <c r="A89" s="9" t="s">
        <v>181</v>
      </c>
      <c r="B89" s="3" t="s">
        <v>182</v>
      </c>
      <c r="C89" s="1">
        <v>6693</v>
      </c>
      <c r="D89" s="1">
        <v>128.45097063215499</v>
      </c>
      <c r="E89" s="1">
        <v>1498.2782478845199</v>
      </c>
      <c r="F89" s="2">
        <v>1.91918378353736E-2</v>
      </c>
      <c r="G89" s="4">
        <f t="shared" si="1"/>
        <v>0.22385750005745106</v>
      </c>
    </row>
    <row r="90" spans="1:7">
      <c r="A90" s="9" t="s">
        <v>183</v>
      </c>
      <c r="B90" s="3" t="s">
        <v>184</v>
      </c>
      <c r="C90" s="1">
        <v>2435</v>
      </c>
      <c r="D90" s="1">
        <v>135.89144736842101</v>
      </c>
      <c r="E90" s="1">
        <v>1226.4036184210499</v>
      </c>
      <c r="F90" s="2">
        <v>5.5807575921322801E-2</v>
      </c>
      <c r="G90" s="4">
        <f t="shared" si="1"/>
        <v>0.50365651680535928</v>
      </c>
    </row>
    <row r="91" spans="1:7">
      <c r="A91" s="9" t="s">
        <v>185</v>
      </c>
      <c r="B91" s="3" t="s">
        <v>186</v>
      </c>
      <c r="C91" s="1">
        <v>6296</v>
      </c>
      <c r="D91" s="1">
        <v>352.85503546099301</v>
      </c>
      <c r="E91" s="1">
        <v>1517.77843971631</v>
      </c>
      <c r="F91" s="2">
        <v>5.6044319482368599E-2</v>
      </c>
      <c r="G91" s="4">
        <f t="shared" si="1"/>
        <v>0.24107027314426779</v>
      </c>
    </row>
    <row r="92" spans="1:7">
      <c r="A92" s="9" t="s">
        <v>187</v>
      </c>
      <c r="B92" s="3" t="s">
        <v>188</v>
      </c>
      <c r="C92" s="1">
        <v>2111</v>
      </c>
      <c r="D92" s="1">
        <v>73.049959709911505</v>
      </c>
      <c r="E92" s="1">
        <v>464.78807413376398</v>
      </c>
      <c r="F92" s="2">
        <v>3.4604433780156998E-2</v>
      </c>
      <c r="G92" s="4">
        <f t="shared" si="1"/>
        <v>0.22017436008231359</v>
      </c>
    </row>
    <row r="93" spans="1:7">
      <c r="A93" s="9" t="s">
        <v>189</v>
      </c>
      <c r="B93" s="3" t="s">
        <v>190</v>
      </c>
      <c r="C93" s="1">
        <v>5619.99999999999</v>
      </c>
      <c r="D93" s="1">
        <v>708.13342967244603</v>
      </c>
      <c r="E93" s="1">
        <v>1072.3691393705799</v>
      </c>
      <c r="F93" s="2">
        <v>0.12600238962143201</v>
      </c>
      <c r="G93" s="4">
        <f t="shared" si="1"/>
        <v>0.19081301412287932</v>
      </c>
    </row>
    <row r="94" spans="1:7">
      <c r="A94" s="9" t="s">
        <v>191</v>
      </c>
      <c r="B94" s="3" t="s">
        <v>192</v>
      </c>
      <c r="C94" s="1">
        <v>1288</v>
      </c>
      <c r="D94" s="1">
        <v>16.298097251585599</v>
      </c>
      <c r="E94" s="1">
        <v>346.744186046511</v>
      </c>
      <c r="F94" s="2">
        <v>1.2653802213964E-2</v>
      </c>
      <c r="G94" s="4">
        <f t="shared" si="1"/>
        <v>0.26921132457027253</v>
      </c>
    </row>
    <row r="95" spans="1:7">
      <c r="A95" s="9" t="s">
        <v>193</v>
      </c>
      <c r="B95" s="3" t="s">
        <v>194</v>
      </c>
      <c r="C95" s="1">
        <v>6352</v>
      </c>
      <c r="D95" s="1">
        <v>4177.4376237623701</v>
      </c>
      <c r="E95" s="1">
        <v>1435.0970297029701</v>
      </c>
      <c r="F95" s="2">
        <v>0.65765705663765395</v>
      </c>
      <c r="G95" s="4">
        <f t="shared" si="1"/>
        <v>0.22592837369379251</v>
      </c>
    </row>
    <row r="96" spans="1:7">
      <c r="A96" s="9" t="s">
        <v>195</v>
      </c>
      <c r="B96" s="3" t="s">
        <v>196</v>
      </c>
      <c r="C96" s="1">
        <v>4661</v>
      </c>
      <c r="D96" s="1">
        <v>113.959222560976</v>
      </c>
      <c r="E96" s="1">
        <v>1113.8578506097599</v>
      </c>
      <c r="F96" s="2">
        <v>2.44495221113443E-2</v>
      </c>
      <c r="G96" s="4">
        <f t="shared" si="1"/>
        <v>0.23897400785448614</v>
      </c>
    </row>
    <row r="97" spans="1:7">
      <c r="A97" s="9" t="s">
        <v>197</v>
      </c>
      <c r="B97" s="3" t="s">
        <v>198</v>
      </c>
      <c r="C97" s="1">
        <v>9402</v>
      </c>
      <c r="D97" s="1">
        <v>3763.5399061032899</v>
      </c>
      <c r="E97" s="1">
        <v>2392.4307511737102</v>
      </c>
      <c r="F97" s="2">
        <v>0.40029141736899398</v>
      </c>
      <c r="G97" s="4">
        <f t="shared" si="1"/>
        <v>0.25445976932287917</v>
      </c>
    </row>
    <row r="98" spans="1:7">
      <c r="A98" s="9" t="s">
        <v>199</v>
      </c>
      <c r="B98" s="3" t="s">
        <v>200</v>
      </c>
      <c r="C98" s="1">
        <v>7581.00000000001</v>
      </c>
      <c r="D98" s="1">
        <v>131.50525946704099</v>
      </c>
      <c r="E98" s="1">
        <v>1857.8821879382899</v>
      </c>
      <c r="F98" s="2">
        <v>1.73466903399341E-2</v>
      </c>
      <c r="G98" s="4">
        <f t="shared" si="1"/>
        <v>0.24507085977289111</v>
      </c>
    </row>
    <row r="99" spans="1:7">
      <c r="A99" s="9" t="s">
        <v>201</v>
      </c>
      <c r="B99" s="3" t="s">
        <v>202</v>
      </c>
      <c r="C99" s="1">
        <v>5845</v>
      </c>
      <c r="D99" s="1">
        <v>180.13789778206399</v>
      </c>
      <c r="E99" s="1">
        <v>1351.5332690453199</v>
      </c>
      <c r="F99" s="2">
        <v>3.08191441885481E-2</v>
      </c>
      <c r="G99" s="4">
        <f t="shared" si="1"/>
        <v>0.23122895963136356</v>
      </c>
    </row>
    <row r="100" spans="1:7">
      <c r="A100" s="9" t="s">
        <v>203</v>
      </c>
      <c r="B100" s="3" t="s">
        <v>204</v>
      </c>
      <c r="C100" s="1">
        <v>8183</v>
      </c>
      <c r="D100" s="1">
        <v>214.755540355677</v>
      </c>
      <c r="E100" s="1">
        <v>2398.2874145006899</v>
      </c>
      <c r="F100" s="2">
        <v>2.6244108561123899E-2</v>
      </c>
      <c r="G100" s="4">
        <f t="shared" si="1"/>
        <v>0.29308168330694001</v>
      </c>
    </row>
    <row r="101" spans="1:7">
      <c r="A101" s="9" t="s">
        <v>205</v>
      </c>
      <c r="B101" s="3" t="s">
        <v>206</v>
      </c>
      <c r="C101" s="1">
        <v>7744</v>
      </c>
      <c r="D101" s="1">
        <v>585.10882875765401</v>
      </c>
      <c r="E101" s="1">
        <v>897.16413193758603</v>
      </c>
      <c r="F101" s="2">
        <v>7.5556408672217704E-2</v>
      </c>
      <c r="G101" s="4">
        <f t="shared" si="1"/>
        <v>0.11585280629359324</v>
      </c>
    </row>
    <row r="102" spans="1:7">
      <c r="A102" s="9" t="s">
        <v>207</v>
      </c>
      <c r="B102" s="3" t="s">
        <v>208</v>
      </c>
      <c r="C102" s="1">
        <v>10190</v>
      </c>
      <c r="D102" s="1">
        <v>191.49090909090901</v>
      </c>
      <c r="E102" s="1">
        <v>1708.57318952234</v>
      </c>
      <c r="F102" s="2">
        <v>1.87920421090195E-2</v>
      </c>
      <c r="G102" s="4">
        <f t="shared" si="1"/>
        <v>0.1676715593250579</v>
      </c>
    </row>
    <row r="103" spans="1:7">
      <c r="A103" s="9" t="s">
        <v>209</v>
      </c>
      <c r="B103" s="3" t="s">
        <v>210</v>
      </c>
      <c r="C103" s="1">
        <v>9882.0000000000091</v>
      </c>
      <c r="D103" s="1">
        <v>1525.71350564252</v>
      </c>
      <c r="E103" s="1">
        <v>2249.7215143793301</v>
      </c>
      <c r="F103" s="2">
        <v>0.154393190208715</v>
      </c>
      <c r="G103" s="4">
        <f t="shared" si="1"/>
        <v>0.22765852199750333</v>
      </c>
    </row>
    <row r="104" spans="1:7">
      <c r="A104" s="9" t="s">
        <v>211</v>
      </c>
      <c r="B104" s="3" t="s">
        <v>212</v>
      </c>
      <c r="C104" s="1">
        <v>12305</v>
      </c>
      <c r="D104" s="1">
        <v>230.36666666666699</v>
      </c>
      <c r="E104" s="1">
        <v>3681.4333333333302</v>
      </c>
      <c r="F104" s="2">
        <v>1.8721386970066398E-2</v>
      </c>
      <c r="G104" s="4">
        <f t="shared" si="1"/>
        <v>0.2991819043749151</v>
      </c>
    </row>
    <row r="105" spans="1:7">
      <c r="A105" s="9" t="s">
        <v>213</v>
      </c>
      <c r="B105" s="3" t="s">
        <v>214</v>
      </c>
      <c r="C105" s="1">
        <v>4509</v>
      </c>
      <c r="D105" s="1">
        <v>187.536231884058</v>
      </c>
      <c r="E105" s="1">
        <v>1147.2674571805001</v>
      </c>
      <c r="F105" s="2">
        <v>4.15915351262049E-2</v>
      </c>
      <c r="G105" s="4">
        <f t="shared" si="1"/>
        <v>0.25443944492803283</v>
      </c>
    </row>
    <row r="106" spans="1:7">
      <c r="A106" s="9" t="s">
        <v>215</v>
      </c>
      <c r="B106" s="3" t="s">
        <v>216</v>
      </c>
      <c r="C106" s="1">
        <v>13969</v>
      </c>
      <c r="D106" s="1">
        <v>1472.77173913043</v>
      </c>
      <c r="E106" s="1">
        <v>5645.9275362318804</v>
      </c>
      <c r="F106" s="2">
        <v>0.10543143669056</v>
      </c>
      <c r="G106" s="4">
        <f t="shared" si="1"/>
        <v>0.40417549833430311</v>
      </c>
    </row>
    <row r="107" spans="1:7">
      <c r="A107" s="9" t="s">
        <v>217</v>
      </c>
      <c r="B107" s="3" t="s">
        <v>218</v>
      </c>
      <c r="C107" s="1">
        <v>12556</v>
      </c>
      <c r="D107" s="1">
        <v>1288.3707332490501</v>
      </c>
      <c r="E107" s="1">
        <v>4518.1827591656102</v>
      </c>
      <c r="F107" s="2">
        <v>0.10260996601219</v>
      </c>
      <c r="G107" s="4">
        <f t="shared" si="1"/>
        <v>0.35984252621580204</v>
      </c>
    </row>
    <row r="108" spans="1:7">
      <c r="A108" s="9" t="s">
        <v>219</v>
      </c>
      <c r="B108" s="3" t="s">
        <v>220</v>
      </c>
      <c r="C108" s="1">
        <v>6007</v>
      </c>
      <c r="D108" s="1">
        <v>426.902705707932</v>
      </c>
      <c r="E108" s="1">
        <v>1000.01658636027</v>
      </c>
      <c r="F108" s="2">
        <v>7.1067538822695495E-2</v>
      </c>
      <c r="G108" s="4">
        <f t="shared" si="1"/>
        <v>0.16647520998173299</v>
      </c>
    </row>
    <row r="109" spans="1:7">
      <c r="A109" s="9" t="s">
        <v>221</v>
      </c>
      <c r="B109" s="3" t="s">
        <v>222</v>
      </c>
      <c r="C109" s="1">
        <v>9607.0000000000091</v>
      </c>
      <c r="D109" s="1">
        <v>2557.41041244084</v>
      </c>
      <c r="E109" s="1">
        <v>3033.2591277890501</v>
      </c>
      <c r="F109" s="2">
        <v>0.26620281174568899</v>
      </c>
      <c r="G109" s="4">
        <f t="shared" si="1"/>
        <v>0.31573426957312867</v>
      </c>
    </row>
    <row r="110" spans="1:7">
      <c r="A110" s="9" t="s">
        <v>223</v>
      </c>
      <c r="B110" s="3" t="s">
        <v>224</v>
      </c>
      <c r="C110" s="1">
        <v>2118.00000000001</v>
      </c>
      <c r="D110" s="1">
        <v>31.208978328173401</v>
      </c>
      <c r="E110" s="1">
        <v>794.21826625387098</v>
      </c>
      <c r="F110" s="2">
        <v>1.4735117246540801E-2</v>
      </c>
      <c r="G110" s="4">
        <f t="shared" si="1"/>
        <v>0.37498501711702892</v>
      </c>
    </row>
    <row r="111" spans="1:7">
      <c r="A111" s="9" t="s">
        <v>225</v>
      </c>
      <c r="B111" s="3" t="s">
        <v>226</v>
      </c>
      <c r="C111" s="1">
        <v>3954</v>
      </c>
      <c r="D111" s="1">
        <v>126.18974871502</v>
      </c>
      <c r="E111" s="1">
        <v>719.98029697315803</v>
      </c>
      <c r="F111" s="2">
        <v>3.1914453392771901E-2</v>
      </c>
      <c r="G111" s="4">
        <f t="shared" si="1"/>
        <v>0.18208909888041427</v>
      </c>
    </row>
    <row r="112" spans="1:7">
      <c r="A112" s="9" t="s">
        <v>227</v>
      </c>
      <c r="B112" s="3" t="s">
        <v>228</v>
      </c>
      <c r="C112" s="1">
        <v>1783</v>
      </c>
      <c r="D112" s="1">
        <v>168.068322981367</v>
      </c>
      <c r="E112" s="1">
        <v>554.720974677497</v>
      </c>
      <c r="F112" s="2">
        <v>9.4261538407945406E-2</v>
      </c>
      <c r="G112" s="4">
        <f t="shared" si="1"/>
        <v>0.31111664311693604</v>
      </c>
    </row>
    <row r="113" spans="1:7">
      <c r="A113" s="9" t="s">
        <v>229</v>
      </c>
      <c r="B113" s="3" t="s">
        <v>230</v>
      </c>
      <c r="C113" s="1">
        <v>39788</v>
      </c>
      <c r="D113" s="1">
        <v>20005.0582010582</v>
      </c>
      <c r="E113" s="1">
        <v>12455.9682539683</v>
      </c>
      <c r="F113" s="2">
        <v>0.50279124864427005</v>
      </c>
      <c r="G113" s="4">
        <f t="shared" si="1"/>
        <v>0.31305841595376244</v>
      </c>
    </row>
    <row r="114" spans="1:7">
      <c r="A114" s="9" t="s">
        <v>231</v>
      </c>
      <c r="B114" s="3" t="s">
        <v>232</v>
      </c>
      <c r="C114" s="1">
        <v>6187</v>
      </c>
      <c r="D114" s="1">
        <v>227.75930076199</v>
      </c>
      <c r="E114" s="1">
        <v>1309.38547736441</v>
      </c>
      <c r="F114" s="2">
        <v>3.68125587137531E-2</v>
      </c>
      <c r="G114" s="4">
        <f t="shared" si="1"/>
        <v>0.21163495674226765</v>
      </c>
    </row>
    <row r="115" spans="1:7">
      <c r="A115" s="9" t="s">
        <v>233</v>
      </c>
      <c r="B115" s="3" t="s">
        <v>234</v>
      </c>
      <c r="C115" s="1">
        <v>2387</v>
      </c>
      <c r="D115" s="1">
        <v>253.34615384615299</v>
      </c>
      <c r="E115" s="1">
        <v>1311.6025641025601</v>
      </c>
      <c r="F115" s="2">
        <v>0.106135799684187</v>
      </c>
      <c r="G115" s="4">
        <f t="shared" si="1"/>
        <v>0.54947740431611236</v>
      </c>
    </row>
    <row r="116" spans="1:7">
      <c r="A116" s="9" t="s">
        <v>235</v>
      </c>
      <c r="B116" s="3" t="s">
        <v>236</v>
      </c>
      <c r="C116" s="1">
        <v>10327</v>
      </c>
      <c r="D116" s="1">
        <v>384.17073170731697</v>
      </c>
      <c r="E116" s="1">
        <v>1704.02764227642</v>
      </c>
      <c r="F116" s="2">
        <v>3.7200613121653597E-2</v>
      </c>
      <c r="G116" s="4">
        <f t="shared" si="1"/>
        <v>0.16500703420900745</v>
      </c>
    </row>
    <row r="117" spans="1:7">
      <c r="A117" s="9" t="s">
        <v>237</v>
      </c>
      <c r="B117" s="3" t="s">
        <v>238</v>
      </c>
      <c r="C117" s="1">
        <v>5053</v>
      </c>
      <c r="D117" s="1">
        <v>262.53921568627499</v>
      </c>
      <c r="E117" s="1">
        <v>2103.3627450980398</v>
      </c>
      <c r="F117" s="2">
        <v>5.1957097899520001E-2</v>
      </c>
      <c r="G117" s="4">
        <f t="shared" si="1"/>
        <v>0.41626019099506034</v>
      </c>
    </row>
    <row r="118" spans="1:7">
      <c r="A118" s="9" t="s">
        <v>239</v>
      </c>
      <c r="B118" s="3" t="s">
        <v>240</v>
      </c>
      <c r="C118" s="1">
        <v>2505.00000000001</v>
      </c>
      <c r="D118" s="1">
        <v>203.776758409786</v>
      </c>
      <c r="E118" s="1">
        <v>341.19945633707198</v>
      </c>
      <c r="F118" s="2">
        <v>8.1348007349215906E-2</v>
      </c>
      <c r="G118" s="4">
        <f t="shared" si="1"/>
        <v>0.13620736779922979</v>
      </c>
    </row>
    <row r="119" spans="1:7">
      <c r="A119" s="9" t="s">
        <v>241</v>
      </c>
      <c r="B119" s="3" t="s">
        <v>242</v>
      </c>
      <c r="C119" s="1">
        <v>4302</v>
      </c>
      <c r="D119" s="1">
        <v>337.70370370370398</v>
      </c>
      <c r="E119" s="1">
        <v>504.32098765432102</v>
      </c>
      <c r="F119" s="2">
        <v>7.8499233775849303E-2</v>
      </c>
      <c r="G119" s="4">
        <f t="shared" si="1"/>
        <v>0.11722942530318944</v>
      </c>
    </row>
    <row r="120" spans="1:7">
      <c r="A120" s="9" t="s">
        <v>243</v>
      </c>
      <c r="B120" s="3" t="s">
        <v>244</v>
      </c>
      <c r="C120" s="1">
        <v>4516</v>
      </c>
      <c r="D120" s="1">
        <v>46.322742474916403</v>
      </c>
      <c r="E120" s="1">
        <v>787.48662207357904</v>
      </c>
      <c r="F120" s="2">
        <v>1.0257471761496099E-2</v>
      </c>
      <c r="G120" s="4">
        <f t="shared" si="1"/>
        <v>0.17437701994543381</v>
      </c>
    </row>
    <row r="121" spans="1:7">
      <c r="A121" s="9" t="s">
        <v>245</v>
      </c>
      <c r="B121" s="3" t="s">
        <v>246</v>
      </c>
      <c r="C121" s="1">
        <v>2762</v>
      </c>
      <c r="D121" s="1">
        <v>2762</v>
      </c>
      <c r="E121" s="1">
        <v>0</v>
      </c>
      <c r="F121" s="2">
        <v>1</v>
      </c>
      <c r="G121" s="4">
        <f t="shared" si="1"/>
        <v>0</v>
      </c>
    </row>
    <row r="122" spans="1:7">
      <c r="A122" s="9" t="s">
        <v>247</v>
      </c>
      <c r="B122" s="3" t="s">
        <v>248</v>
      </c>
      <c r="C122" s="1">
        <v>2948</v>
      </c>
      <c r="D122" s="1">
        <v>248.99419026870001</v>
      </c>
      <c r="E122" s="1">
        <v>445.15359477124201</v>
      </c>
      <c r="F122" s="2">
        <v>8.4462072682734105E-2</v>
      </c>
      <c r="G122" s="4">
        <f t="shared" si="1"/>
        <v>0.15100189781928156</v>
      </c>
    </row>
    <row r="123" spans="1:7">
      <c r="A123" s="9" t="s">
        <v>249</v>
      </c>
      <c r="B123" s="3" t="s">
        <v>250</v>
      </c>
      <c r="C123" s="1">
        <v>14482</v>
      </c>
      <c r="D123" s="1">
        <v>257.36134491809202</v>
      </c>
      <c r="E123" s="1">
        <v>2560.6747216942699</v>
      </c>
      <c r="F123" s="2">
        <v>1.77711189696238E-2</v>
      </c>
      <c r="G123" s="4">
        <f t="shared" si="1"/>
        <v>0.17681775457079615</v>
      </c>
    </row>
    <row r="124" spans="1:7">
      <c r="A124" s="9" t="s">
        <v>251</v>
      </c>
      <c r="B124" s="3" t="s">
        <v>252</v>
      </c>
      <c r="C124" s="1">
        <v>8507</v>
      </c>
      <c r="D124" s="1">
        <v>592.88888888888903</v>
      </c>
      <c r="E124" s="1">
        <v>2414.3686274509801</v>
      </c>
      <c r="F124" s="2">
        <v>6.9694238731502101E-2</v>
      </c>
      <c r="G124" s="4">
        <f t="shared" si="1"/>
        <v>0.28380964234759376</v>
      </c>
    </row>
    <row r="125" spans="1:7">
      <c r="A125" s="9" t="s">
        <v>253</v>
      </c>
      <c r="B125" s="3" t="s">
        <v>254</v>
      </c>
      <c r="C125" s="1">
        <v>6684.99999999999</v>
      </c>
      <c r="D125" s="1">
        <v>2534.08315789473</v>
      </c>
      <c r="E125" s="1">
        <v>1043.7631578947401</v>
      </c>
      <c r="F125" s="2">
        <v>0.37907003109868898</v>
      </c>
      <c r="G125" s="4">
        <f>E125/C125</f>
        <v>0.15613510215328968</v>
      </c>
    </row>
    <row r="126" spans="1:7" ht="15" thickBot="1">
      <c r="A126" s="9" t="s">
        <v>255</v>
      </c>
      <c r="B126" s="5" t="s">
        <v>256</v>
      </c>
      <c r="C126" s="6">
        <v>8310</v>
      </c>
      <c r="D126" s="6">
        <v>1629.57096600108</v>
      </c>
      <c r="E126" s="6">
        <v>3527.8391797085801</v>
      </c>
      <c r="F126" s="7">
        <v>0.19609758916980499</v>
      </c>
      <c r="G126" s="8">
        <f>E126/C126</f>
        <v>0.424529383839781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8B60-C713-436E-BDBD-8C47AE5A6228}">
  <dimension ref="A1:E126"/>
  <sheetViews>
    <sheetView workbookViewId="0">
      <selection activeCell="G8" sqref="G8"/>
    </sheetView>
  </sheetViews>
  <sheetFormatPr defaultColWidth="11.42578125" defaultRowHeight="15"/>
  <cols>
    <col min="3" max="3" width="21.42578125" bestFit="1" customWidth="1"/>
    <col min="4" max="4" width="13.85546875" bestFit="1" customWidth="1"/>
    <col min="5" max="5" width="12.5703125" bestFit="1" customWidth="1"/>
  </cols>
  <sheetData>
    <row r="1" spans="1:5" ht="15.75">
      <c r="A1" s="13" t="s">
        <v>0</v>
      </c>
      <c r="B1" s="13" t="s">
        <v>257</v>
      </c>
      <c r="C1" s="13" t="s">
        <v>1</v>
      </c>
      <c r="D1" s="13" t="s">
        <v>5</v>
      </c>
      <c r="E1" s="13" t="s">
        <v>6</v>
      </c>
    </row>
    <row r="2" spans="1:5">
      <c r="A2" s="9" t="s">
        <v>7</v>
      </c>
      <c r="B2" s="9" t="s">
        <v>258</v>
      </c>
      <c r="C2" s="9" t="s">
        <v>8</v>
      </c>
      <c r="D2" s="11">
        <v>0.117016028535186</v>
      </c>
      <c r="E2" s="12">
        <v>0.14881735504194471</v>
      </c>
    </row>
    <row r="3" spans="1:5">
      <c r="A3" s="9" t="s">
        <v>9</v>
      </c>
      <c r="B3" s="9" t="s">
        <v>258</v>
      </c>
      <c r="C3" s="3" t="s">
        <v>10</v>
      </c>
      <c r="D3" s="2">
        <v>5.0817641228939503E-2</v>
      </c>
      <c r="E3" s="4">
        <v>0.23710833269802578</v>
      </c>
    </row>
    <row r="4" spans="1:5">
      <c r="A4" s="9" t="s">
        <v>11</v>
      </c>
      <c r="B4" s="9" t="s">
        <v>258</v>
      </c>
      <c r="C4" s="3" t="s">
        <v>12</v>
      </c>
      <c r="D4" s="2">
        <v>3.8121206658253602E-2</v>
      </c>
      <c r="E4" s="4">
        <v>0.19085782104440777</v>
      </c>
    </row>
    <row r="5" spans="1:5">
      <c r="A5" s="9" t="s">
        <v>13</v>
      </c>
      <c r="B5" s="9" t="s">
        <v>258</v>
      </c>
      <c r="C5" s="3" t="s">
        <v>14</v>
      </c>
      <c r="D5" s="2">
        <v>1.9131724087365298E-2</v>
      </c>
      <c r="E5" s="4">
        <v>0.14021121414257012</v>
      </c>
    </row>
    <row r="6" spans="1:5">
      <c r="A6" s="9" t="s">
        <v>15</v>
      </c>
      <c r="B6" s="9" t="s">
        <v>258</v>
      </c>
      <c r="C6" s="3" t="s">
        <v>16</v>
      </c>
      <c r="D6" s="2">
        <v>0.115875158654157</v>
      </c>
      <c r="E6" s="4">
        <v>0.24660849096306547</v>
      </c>
    </row>
    <row r="7" spans="1:5">
      <c r="A7" s="9" t="s">
        <v>17</v>
      </c>
      <c r="B7" s="9" t="s">
        <v>258</v>
      </c>
      <c r="C7" s="3" t="s">
        <v>18</v>
      </c>
      <c r="D7" s="2">
        <v>3.5617284383838502E-3</v>
      </c>
      <c r="E7" s="4">
        <v>0.13223662509562256</v>
      </c>
    </row>
    <row r="8" spans="1:5">
      <c r="A8" s="9" t="s">
        <v>19</v>
      </c>
      <c r="B8" s="9" t="s">
        <v>258</v>
      </c>
      <c r="C8" s="3" t="s">
        <v>20</v>
      </c>
      <c r="D8" s="2">
        <v>4.5240176704543701E-2</v>
      </c>
      <c r="E8" s="4">
        <v>0.19020934931494188</v>
      </c>
    </row>
    <row r="9" spans="1:5">
      <c r="A9" s="9" t="s">
        <v>21</v>
      </c>
      <c r="B9" s="9" t="s">
        <v>258</v>
      </c>
      <c r="C9" s="3" t="s">
        <v>22</v>
      </c>
      <c r="D9" s="2">
        <v>8.8127463154855701E-2</v>
      </c>
      <c r="E9" s="4">
        <v>0.23222494876691405</v>
      </c>
    </row>
    <row r="10" spans="1:5">
      <c r="A10" s="9" t="s">
        <v>23</v>
      </c>
      <c r="B10" s="9" t="s">
        <v>258</v>
      </c>
      <c r="C10" s="3" t="s">
        <v>24</v>
      </c>
      <c r="D10" s="2">
        <v>4.23594917702729E-2</v>
      </c>
      <c r="E10" s="4">
        <v>0.43576689454346901</v>
      </c>
    </row>
    <row r="11" spans="1:5">
      <c r="A11" s="9" t="s">
        <v>25</v>
      </c>
      <c r="B11" s="9" t="s">
        <v>258</v>
      </c>
      <c r="C11" s="3" t="s">
        <v>26</v>
      </c>
      <c r="D11" s="2">
        <v>7.5407437304428698E-2</v>
      </c>
      <c r="E11" s="4">
        <v>0.20425348812241634</v>
      </c>
    </row>
    <row r="12" spans="1:5">
      <c r="A12" s="9" t="s">
        <v>27</v>
      </c>
      <c r="B12" s="9" t="s">
        <v>258</v>
      </c>
      <c r="C12" s="3" t="s">
        <v>28</v>
      </c>
      <c r="D12" s="2">
        <v>0.233819751499622</v>
      </c>
      <c r="E12" s="4">
        <v>0.13481956138621834</v>
      </c>
    </row>
    <row r="13" spans="1:5">
      <c r="A13" s="9" t="s">
        <v>29</v>
      </c>
      <c r="B13" s="9" t="s">
        <v>258</v>
      </c>
      <c r="C13" s="3" t="s">
        <v>30</v>
      </c>
      <c r="D13" s="2">
        <v>0.83970760647187204</v>
      </c>
      <c r="E13" s="4">
        <v>9.1146856276259847E-2</v>
      </c>
    </row>
    <row r="14" spans="1:5">
      <c r="A14" s="9" t="s">
        <v>31</v>
      </c>
      <c r="B14" s="9" t="s">
        <v>258</v>
      </c>
      <c r="C14" s="3" t="s">
        <v>32</v>
      </c>
      <c r="D14" s="2">
        <v>4.3604273186850298E-2</v>
      </c>
      <c r="E14" s="4">
        <v>0.34535624553773397</v>
      </c>
    </row>
    <row r="15" spans="1:5">
      <c r="A15" s="9" t="s">
        <v>33</v>
      </c>
      <c r="B15" s="9" t="s">
        <v>258</v>
      </c>
      <c r="C15" s="3" t="s">
        <v>34</v>
      </c>
      <c r="D15" s="2">
        <v>6.9836445216384397E-3</v>
      </c>
      <c r="E15" s="4">
        <v>0.14335759547237589</v>
      </c>
    </row>
    <row r="16" spans="1:5">
      <c r="A16" s="9" t="s">
        <v>35</v>
      </c>
      <c r="B16" s="9" t="s">
        <v>258</v>
      </c>
      <c r="C16" s="3" t="s">
        <v>36</v>
      </c>
      <c r="D16" s="2">
        <v>9.2317794704056995E-3</v>
      </c>
      <c r="E16" s="4">
        <v>0.2013841236075852</v>
      </c>
    </row>
    <row r="17" spans="1:5">
      <c r="A17" s="9" t="s">
        <v>37</v>
      </c>
      <c r="B17" s="9" t="s">
        <v>258</v>
      </c>
      <c r="C17" s="3" t="s">
        <v>38</v>
      </c>
      <c r="D17" s="2">
        <v>2.39801394289469E-2</v>
      </c>
      <c r="E17" s="4">
        <v>0.17671721788342645</v>
      </c>
    </row>
    <row r="18" spans="1:5">
      <c r="A18" s="9" t="s">
        <v>39</v>
      </c>
      <c r="B18" s="9" t="s">
        <v>258</v>
      </c>
      <c r="C18" s="3" t="s">
        <v>40</v>
      </c>
      <c r="D18" s="2">
        <v>5.1240899063213899E-2</v>
      </c>
      <c r="E18" s="4">
        <v>0.30313950945566476</v>
      </c>
    </row>
    <row r="19" spans="1:5">
      <c r="A19" s="9" t="s">
        <v>41</v>
      </c>
      <c r="B19" s="9" t="s">
        <v>258</v>
      </c>
      <c r="C19" s="3" t="s">
        <v>42</v>
      </c>
      <c r="D19" s="2">
        <v>1.8687237327262299E-2</v>
      </c>
      <c r="E19" s="4">
        <v>0.31253240414888855</v>
      </c>
    </row>
    <row r="20" spans="1:5">
      <c r="A20" s="9" t="s">
        <v>43</v>
      </c>
      <c r="B20" s="9" t="s">
        <v>258</v>
      </c>
      <c r="C20" s="3" t="s">
        <v>44</v>
      </c>
      <c r="D20" s="2">
        <v>3.35864133809326E-2</v>
      </c>
      <c r="E20" s="4">
        <v>0.36778909767492829</v>
      </c>
    </row>
    <row r="21" spans="1:5">
      <c r="A21" s="9" t="s">
        <v>45</v>
      </c>
      <c r="B21" s="9" t="s">
        <v>258</v>
      </c>
      <c r="C21" s="3" t="s">
        <v>46</v>
      </c>
      <c r="D21" s="2">
        <v>8.58936354210139E-2</v>
      </c>
      <c r="E21" s="4">
        <v>0.50318594655526039</v>
      </c>
    </row>
    <row r="22" spans="1:5">
      <c r="A22" s="9" t="s">
        <v>47</v>
      </c>
      <c r="B22" s="9" t="s">
        <v>258</v>
      </c>
      <c r="C22" s="3" t="s">
        <v>48</v>
      </c>
      <c r="D22" s="2">
        <v>4.3348310934150203E-2</v>
      </c>
      <c r="E22" s="4">
        <v>0.42216969845451602</v>
      </c>
    </row>
    <row r="23" spans="1:5">
      <c r="A23" s="9" t="s">
        <v>49</v>
      </c>
      <c r="B23" s="9" t="s">
        <v>258</v>
      </c>
      <c r="C23" s="3" t="s">
        <v>50</v>
      </c>
      <c r="D23" s="2">
        <v>6.8409478891648196E-2</v>
      </c>
      <c r="E23" s="4">
        <v>0.22135354881714711</v>
      </c>
    </row>
    <row r="24" spans="1:5">
      <c r="A24" s="9" t="s">
        <v>51</v>
      </c>
      <c r="B24" s="9" t="s">
        <v>258</v>
      </c>
      <c r="C24" s="3" t="s">
        <v>52</v>
      </c>
      <c r="D24" s="2">
        <v>2.8359328920271698E-3</v>
      </c>
      <c r="E24" s="4">
        <v>0.15884829431014147</v>
      </c>
    </row>
    <row r="25" spans="1:5">
      <c r="A25" s="9" t="s">
        <v>53</v>
      </c>
      <c r="B25" s="9" t="s">
        <v>258</v>
      </c>
      <c r="C25" s="3" t="s">
        <v>54</v>
      </c>
      <c r="D25" s="2">
        <v>6.1571976412802203E-2</v>
      </c>
      <c r="E25" s="4">
        <v>0.45309231752535833</v>
      </c>
    </row>
    <row r="26" spans="1:5">
      <c r="A26" s="9" t="s">
        <v>55</v>
      </c>
      <c r="B26" s="9" t="s">
        <v>258</v>
      </c>
      <c r="C26" s="3" t="s">
        <v>56</v>
      </c>
      <c r="D26" s="2">
        <v>8.5082379811956696E-2</v>
      </c>
      <c r="E26" s="4">
        <v>0.20662863668618095</v>
      </c>
    </row>
    <row r="27" spans="1:5">
      <c r="A27" s="9" t="s">
        <v>57</v>
      </c>
      <c r="B27" s="9" t="s">
        <v>258</v>
      </c>
      <c r="C27" s="3" t="s">
        <v>58</v>
      </c>
      <c r="D27" s="2">
        <v>7.5522680015865207E-2</v>
      </c>
      <c r="E27" s="4">
        <v>0.19522301414646467</v>
      </c>
    </row>
    <row r="28" spans="1:5">
      <c r="A28" s="9" t="s">
        <v>59</v>
      </c>
      <c r="B28" s="9" t="s">
        <v>258</v>
      </c>
      <c r="C28" s="3" t="s">
        <v>60</v>
      </c>
      <c r="D28" s="2">
        <v>0.195839027410567</v>
      </c>
      <c r="E28" s="4">
        <v>0.21022609319880442</v>
      </c>
    </row>
    <row r="29" spans="1:5">
      <c r="A29" s="9" t="s">
        <v>61</v>
      </c>
      <c r="B29" s="9" t="s">
        <v>258</v>
      </c>
      <c r="C29" s="3" t="s">
        <v>62</v>
      </c>
      <c r="D29" s="2">
        <v>1.9509993552546699E-2</v>
      </c>
      <c r="E29" s="4">
        <v>0.1386202450032237</v>
      </c>
    </row>
    <row r="30" spans="1:5">
      <c r="A30" s="9" t="s">
        <v>63</v>
      </c>
      <c r="B30" s="9" t="s">
        <v>258</v>
      </c>
      <c r="C30" s="3" t="s">
        <v>64</v>
      </c>
      <c r="D30" s="2">
        <v>0.14913995785579401</v>
      </c>
      <c r="E30" s="4">
        <v>0.23823520387447225</v>
      </c>
    </row>
    <row r="31" spans="1:5">
      <c r="A31" s="9" t="s">
        <v>65</v>
      </c>
      <c r="B31" s="9" t="s">
        <v>258</v>
      </c>
      <c r="C31" s="3" t="s">
        <v>66</v>
      </c>
      <c r="D31" s="2">
        <v>4.95819620188475E-2</v>
      </c>
      <c r="E31" s="4">
        <v>0.30911203733490022</v>
      </c>
    </row>
    <row r="32" spans="1:5">
      <c r="A32" s="9" t="s">
        <v>67</v>
      </c>
      <c r="B32" s="9" t="s">
        <v>258</v>
      </c>
      <c r="C32" s="3" t="s">
        <v>68</v>
      </c>
      <c r="D32" s="2">
        <v>0.16831779820976001</v>
      </c>
      <c r="E32" s="4">
        <v>0.26800040548529469</v>
      </c>
    </row>
    <row r="33" spans="1:5">
      <c r="A33" s="9" t="s">
        <v>69</v>
      </c>
      <c r="B33" s="9" t="s">
        <v>258</v>
      </c>
      <c r="C33" s="3" t="s">
        <v>70</v>
      </c>
      <c r="D33" s="2">
        <v>3.0954164372929999E-2</v>
      </c>
      <c r="E33" s="4">
        <v>0.19515467820160901</v>
      </c>
    </row>
    <row r="34" spans="1:5">
      <c r="A34" s="9" t="s">
        <v>71</v>
      </c>
      <c r="B34" s="9" t="s">
        <v>258</v>
      </c>
      <c r="C34" s="3" t="s">
        <v>72</v>
      </c>
      <c r="D34" s="2">
        <v>1.9549027050897401E-2</v>
      </c>
      <c r="E34" s="4">
        <v>0.1699488621137269</v>
      </c>
    </row>
    <row r="35" spans="1:5">
      <c r="A35" s="9" t="s">
        <v>73</v>
      </c>
      <c r="B35" s="9" t="s">
        <v>258</v>
      </c>
      <c r="C35" s="3" t="s">
        <v>74</v>
      </c>
      <c r="D35" s="2">
        <v>2.4467786174620199E-2</v>
      </c>
      <c r="E35" s="4">
        <v>0.17465307081479195</v>
      </c>
    </row>
    <row r="36" spans="1:5">
      <c r="A36" s="9" t="s">
        <v>75</v>
      </c>
      <c r="B36" s="9" t="s">
        <v>258</v>
      </c>
      <c r="C36" s="3" t="s">
        <v>76</v>
      </c>
      <c r="D36" s="2">
        <v>2.6204564666103099E-2</v>
      </c>
      <c r="E36" s="4">
        <v>0.26652702501118886</v>
      </c>
    </row>
    <row r="37" spans="1:5">
      <c r="A37" s="9" t="s">
        <v>77</v>
      </c>
      <c r="B37" s="9" t="s">
        <v>258</v>
      </c>
      <c r="C37" s="3" t="s">
        <v>78</v>
      </c>
      <c r="D37" s="2">
        <v>3.41746578702114E-2</v>
      </c>
      <c r="E37" s="4">
        <v>0.41152501185395896</v>
      </c>
    </row>
    <row r="38" spans="1:5">
      <c r="A38" s="9" t="s">
        <v>79</v>
      </c>
      <c r="B38" s="9" t="s">
        <v>258</v>
      </c>
      <c r="C38" s="3" t="s">
        <v>80</v>
      </c>
      <c r="D38" s="2">
        <v>4.2681183899384101E-3</v>
      </c>
      <c r="E38" s="4">
        <v>0.15316450575050661</v>
      </c>
    </row>
    <row r="39" spans="1:5">
      <c r="A39" s="9" t="s">
        <v>81</v>
      </c>
      <c r="B39" s="9" t="s">
        <v>258</v>
      </c>
      <c r="C39" s="3" t="s">
        <v>82</v>
      </c>
      <c r="D39" s="2">
        <v>0.16197335835086099</v>
      </c>
      <c r="E39" s="4">
        <v>0.32309929574492291</v>
      </c>
    </row>
    <row r="40" spans="1:5">
      <c r="A40" s="9" t="s">
        <v>83</v>
      </c>
      <c r="B40" s="9" t="s">
        <v>258</v>
      </c>
      <c r="C40" s="3" t="s">
        <v>84</v>
      </c>
      <c r="D40" s="2">
        <v>0.39262231904315797</v>
      </c>
      <c r="E40" s="4">
        <v>0.32490817707326519</v>
      </c>
    </row>
    <row r="41" spans="1:5">
      <c r="A41" s="9" t="s">
        <v>85</v>
      </c>
      <c r="B41" s="9" t="s">
        <v>258</v>
      </c>
      <c r="C41" s="3" t="s">
        <v>86</v>
      </c>
      <c r="D41" s="2">
        <v>3.2460662269545E-3</v>
      </c>
      <c r="E41" s="4">
        <v>0.18139055492333286</v>
      </c>
    </row>
    <row r="42" spans="1:5">
      <c r="A42" s="9" t="s">
        <v>87</v>
      </c>
      <c r="B42" s="9" t="s">
        <v>258</v>
      </c>
      <c r="C42" s="3" t="s">
        <v>88</v>
      </c>
      <c r="D42" s="2">
        <v>1.1489815192975299E-2</v>
      </c>
      <c r="E42" s="4">
        <v>0.17298465741207658</v>
      </c>
    </row>
    <row r="43" spans="1:5">
      <c r="A43" s="9" t="s">
        <v>89</v>
      </c>
      <c r="B43" s="9" t="s">
        <v>258</v>
      </c>
      <c r="C43" s="3" t="s">
        <v>90</v>
      </c>
      <c r="D43" s="2">
        <v>0.290650924176516</v>
      </c>
      <c r="E43" s="4">
        <v>0.34957224603535597</v>
      </c>
    </row>
    <row r="44" spans="1:5">
      <c r="A44" s="9" t="s">
        <v>91</v>
      </c>
      <c r="B44" s="9" t="s">
        <v>258</v>
      </c>
      <c r="C44" s="3" t="s">
        <v>92</v>
      </c>
      <c r="D44" s="2">
        <v>1.0693842474450099E-2</v>
      </c>
      <c r="E44" s="4">
        <v>0.16324010071186376</v>
      </c>
    </row>
    <row r="45" spans="1:5">
      <c r="A45" s="9" t="s">
        <v>93</v>
      </c>
      <c r="B45" s="9" t="s">
        <v>258</v>
      </c>
      <c r="C45" s="3" t="s">
        <v>94</v>
      </c>
      <c r="D45" s="2">
        <v>2.1670290351856601E-2</v>
      </c>
      <c r="E45" s="4">
        <v>5.2016190676014762E-2</v>
      </c>
    </row>
    <row r="46" spans="1:5">
      <c r="A46" s="9" t="s">
        <v>95</v>
      </c>
      <c r="B46" s="9" t="s">
        <v>258</v>
      </c>
      <c r="C46" s="3" t="s">
        <v>96</v>
      </c>
      <c r="D46" s="2">
        <v>6.2990873541072107E-2</v>
      </c>
      <c r="E46" s="4">
        <v>0.14482288787450481</v>
      </c>
    </row>
    <row r="47" spans="1:5">
      <c r="A47" s="9" t="s">
        <v>97</v>
      </c>
      <c r="B47" s="9" t="s">
        <v>258</v>
      </c>
      <c r="C47" s="3" t="s">
        <v>98</v>
      </c>
      <c r="D47" s="2">
        <v>1.7358775726595801E-2</v>
      </c>
      <c r="E47" s="4">
        <v>9.3974391011839076E-2</v>
      </c>
    </row>
    <row r="48" spans="1:5">
      <c r="A48" s="9" t="s">
        <v>99</v>
      </c>
      <c r="B48" s="9" t="s">
        <v>258</v>
      </c>
      <c r="C48" s="3" t="s">
        <v>100</v>
      </c>
      <c r="D48" s="2">
        <v>0</v>
      </c>
      <c r="E48" s="4">
        <v>0.13161371270762243</v>
      </c>
    </row>
    <row r="49" spans="1:5">
      <c r="A49" s="9" t="s">
        <v>101</v>
      </c>
      <c r="B49" s="9" t="s">
        <v>258</v>
      </c>
      <c r="C49" s="3" t="s">
        <v>102</v>
      </c>
      <c r="D49" s="2">
        <v>3.7505901625052101E-3</v>
      </c>
      <c r="E49" s="4">
        <v>5.0318574265690863E-2</v>
      </c>
    </row>
    <row r="50" spans="1:5">
      <c r="A50" s="9" t="s">
        <v>103</v>
      </c>
      <c r="B50" s="9" t="s">
        <v>258</v>
      </c>
      <c r="C50" s="3" t="s">
        <v>104</v>
      </c>
      <c r="D50" s="2">
        <v>9.0260171043712797E-2</v>
      </c>
      <c r="E50" s="4">
        <v>0.18546921645827077</v>
      </c>
    </row>
    <row r="51" spans="1:5">
      <c r="A51" s="9" t="s">
        <v>105</v>
      </c>
      <c r="B51" s="9" t="s">
        <v>258</v>
      </c>
      <c r="C51" s="3" t="s">
        <v>106</v>
      </c>
      <c r="D51" s="2">
        <v>6.8179330167777399E-2</v>
      </c>
      <c r="E51" s="4">
        <v>0.1783993884732471</v>
      </c>
    </row>
    <row r="52" spans="1:5">
      <c r="A52" s="9" t="s">
        <v>107</v>
      </c>
      <c r="B52" s="9" t="s">
        <v>258</v>
      </c>
      <c r="C52" s="3" t="s">
        <v>108</v>
      </c>
      <c r="D52" s="2">
        <v>4.1447518464588301E-2</v>
      </c>
      <c r="E52" s="4">
        <v>0.23239658076174061</v>
      </c>
    </row>
    <row r="53" spans="1:5">
      <c r="A53" s="9" t="s">
        <v>109</v>
      </c>
      <c r="B53" s="9" t="s">
        <v>258</v>
      </c>
      <c r="C53" s="3" t="s">
        <v>110</v>
      </c>
      <c r="D53" s="2">
        <v>8.0321461846205693E-3</v>
      </c>
      <c r="E53" s="4">
        <v>0.11865110944933112</v>
      </c>
    </row>
    <row r="54" spans="1:5">
      <c r="A54" s="9" t="s">
        <v>111</v>
      </c>
      <c r="B54" s="9" t="s">
        <v>258</v>
      </c>
      <c r="C54" s="3" t="s">
        <v>112</v>
      </c>
      <c r="D54" s="2">
        <v>0</v>
      </c>
      <c r="E54" s="4">
        <v>0.19827273087993355</v>
      </c>
    </row>
    <row r="55" spans="1:5">
      <c r="A55" s="9" t="s">
        <v>113</v>
      </c>
      <c r="B55" s="9" t="s">
        <v>258</v>
      </c>
      <c r="C55" s="3" t="s">
        <v>114</v>
      </c>
      <c r="D55" s="2">
        <v>2.64518518518519E-2</v>
      </c>
      <c r="E55" s="4">
        <v>0.35785555555555598</v>
      </c>
    </row>
    <row r="56" spans="1:5">
      <c r="A56" s="9" t="s">
        <v>115</v>
      </c>
      <c r="B56" s="9" t="s">
        <v>258</v>
      </c>
      <c r="C56" s="3" t="s">
        <v>116</v>
      </c>
      <c r="D56" s="2">
        <v>3.5547374309922997E-2</v>
      </c>
      <c r="E56" s="4">
        <v>0.18797722495735197</v>
      </c>
    </row>
    <row r="57" spans="1:5">
      <c r="A57" s="9" t="s">
        <v>117</v>
      </c>
      <c r="B57" s="9" t="s">
        <v>258</v>
      </c>
      <c r="C57" s="3" t="s">
        <v>118</v>
      </c>
      <c r="D57" s="2">
        <v>2.7076611311682298E-2</v>
      </c>
      <c r="E57" s="4">
        <v>7.6652530644424871E-2</v>
      </c>
    </row>
    <row r="58" spans="1:5">
      <c r="A58" s="9" t="s">
        <v>119</v>
      </c>
      <c r="B58" s="9" t="s">
        <v>258</v>
      </c>
      <c r="C58" s="3" t="s">
        <v>120</v>
      </c>
      <c r="D58" s="2">
        <v>1.8067726145720601E-2</v>
      </c>
      <c r="E58" s="4">
        <v>0.20714772692488603</v>
      </c>
    </row>
    <row r="59" spans="1:5">
      <c r="A59" s="9" t="s">
        <v>121</v>
      </c>
      <c r="B59" s="9" t="s">
        <v>258</v>
      </c>
      <c r="C59" s="3" t="s">
        <v>122</v>
      </c>
      <c r="D59" s="2">
        <v>2.4119663707764399E-2</v>
      </c>
      <c r="E59" s="4">
        <v>0.1576773595080227</v>
      </c>
    </row>
    <row r="60" spans="1:5">
      <c r="A60" s="9" t="s">
        <v>123</v>
      </c>
      <c r="B60" s="9" t="s">
        <v>258</v>
      </c>
      <c r="C60" s="3" t="s">
        <v>124</v>
      </c>
      <c r="D60" s="2">
        <v>3.6728656570335597E-2</v>
      </c>
      <c r="E60" s="4">
        <v>0.31430457349620189</v>
      </c>
    </row>
    <row r="61" spans="1:5">
      <c r="A61" s="9" t="s">
        <v>125</v>
      </c>
      <c r="B61" s="9" t="s">
        <v>258</v>
      </c>
      <c r="C61" s="3" t="s">
        <v>126</v>
      </c>
      <c r="D61" s="2">
        <v>9.8498845443231297E-3</v>
      </c>
      <c r="E61" s="4">
        <v>0.11752139616648015</v>
      </c>
    </row>
    <row r="62" spans="1:5">
      <c r="A62" s="9" t="s">
        <v>127</v>
      </c>
      <c r="B62" s="9" t="s">
        <v>258</v>
      </c>
      <c r="C62" s="3" t="s">
        <v>128</v>
      </c>
      <c r="D62" s="2">
        <v>0.108206574154355</v>
      </c>
      <c r="E62" s="4">
        <v>0.2007243650473968</v>
      </c>
    </row>
    <row r="63" spans="1:5">
      <c r="A63" s="9" t="s">
        <v>129</v>
      </c>
      <c r="B63" s="9" t="s">
        <v>258</v>
      </c>
      <c r="C63" s="3" t="s">
        <v>130</v>
      </c>
      <c r="D63" s="2">
        <v>4.2890371313957502E-2</v>
      </c>
      <c r="E63" s="4">
        <v>0.21548565809616424</v>
      </c>
    </row>
    <row r="64" spans="1:5">
      <c r="A64" s="9" t="s">
        <v>131</v>
      </c>
      <c r="B64" s="9" t="s">
        <v>258</v>
      </c>
      <c r="C64" s="3" t="s">
        <v>132</v>
      </c>
      <c r="D64" s="2">
        <v>1.5751381037286901E-2</v>
      </c>
      <c r="E64" s="4">
        <v>0.1605713278690791</v>
      </c>
    </row>
    <row r="65" spans="1:5">
      <c r="A65" s="9" t="s">
        <v>133</v>
      </c>
      <c r="B65" s="9" t="s">
        <v>258</v>
      </c>
      <c r="C65" s="3" t="s">
        <v>134</v>
      </c>
      <c r="D65" s="2">
        <v>1.30126161930397E-2</v>
      </c>
      <c r="E65" s="4">
        <v>0.12667141368031898</v>
      </c>
    </row>
    <row r="66" spans="1:5">
      <c r="A66" s="9" t="s">
        <v>135</v>
      </c>
      <c r="B66" s="9" t="s">
        <v>258</v>
      </c>
      <c r="C66" s="3" t="s">
        <v>136</v>
      </c>
      <c r="D66" s="2">
        <v>9.1632247684621405E-3</v>
      </c>
      <c r="E66" s="4">
        <v>7.9149353363302102E-2</v>
      </c>
    </row>
    <row r="67" spans="1:5">
      <c r="A67" s="9" t="s">
        <v>137</v>
      </c>
      <c r="B67" s="9" t="s">
        <v>258</v>
      </c>
      <c r="C67" s="3" t="s">
        <v>138</v>
      </c>
      <c r="D67" s="2">
        <v>6.9600668369478202E-2</v>
      </c>
      <c r="E67" s="4">
        <v>0.28707617052350276</v>
      </c>
    </row>
    <row r="68" spans="1:5">
      <c r="A68" s="9" t="s">
        <v>139</v>
      </c>
      <c r="B68" s="9" t="s">
        <v>258</v>
      </c>
      <c r="C68" s="3" t="s">
        <v>140</v>
      </c>
      <c r="D68" s="2">
        <v>1.74002341096294E-2</v>
      </c>
      <c r="E68" s="4">
        <v>0.20006006926975303</v>
      </c>
    </row>
    <row r="69" spans="1:5">
      <c r="A69" s="9" t="s">
        <v>141</v>
      </c>
      <c r="B69" s="9" t="s">
        <v>258</v>
      </c>
      <c r="C69" s="3" t="s">
        <v>142</v>
      </c>
      <c r="D69" s="2">
        <v>2.6012896316751001E-2</v>
      </c>
      <c r="E69" s="4">
        <v>0.13259793026848773</v>
      </c>
    </row>
    <row r="70" spans="1:5">
      <c r="A70" s="9" t="s">
        <v>143</v>
      </c>
      <c r="B70" s="9" t="s">
        <v>258</v>
      </c>
      <c r="C70" s="3" t="s">
        <v>144</v>
      </c>
      <c r="D70" s="2">
        <v>0.20424961934309499</v>
      </c>
      <c r="E70" s="4">
        <v>0.15889420600121362</v>
      </c>
    </row>
    <row r="71" spans="1:5">
      <c r="A71" s="9" t="s">
        <v>145</v>
      </c>
      <c r="B71" s="9" t="s">
        <v>258</v>
      </c>
      <c r="C71" s="3" t="s">
        <v>146</v>
      </c>
      <c r="D71" s="2">
        <v>4.9409262328672801E-3</v>
      </c>
      <c r="E71" s="4">
        <v>7.2185969959566804E-2</v>
      </c>
    </row>
    <row r="72" spans="1:5">
      <c r="A72" s="9" t="s">
        <v>147</v>
      </c>
      <c r="B72" s="9" t="s">
        <v>258</v>
      </c>
      <c r="C72" s="3" t="s">
        <v>148</v>
      </c>
      <c r="D72" s="2">
        <v>1.4731980743009901E-2</v>
      </c>
      <c r="E72" s="4">
        <v>0.13666267210254343</v>
      </c>
    </row>
    <row r="73" spans="1:5">
      <c r="A73" s="9" t="s">
        <v>149</v>
      </c>
      <c r="B73" s="9" t="s">
        <v>258</v>
      </c>
      <c r="C73" s="3" t="s">
        <v>150</v>
      </c>
      <c r="D73" s="2">
        <v>3.5890800075931303E-2</v>
      </c>
      <c r="E73" s="4">
        <v>0.19370781942342136</v>
      </c>
    </row>
    <row r="74" spans="1:5">
      <c r="A74" s="9" t="s">
        <v>151</v>
      </c>
      <c r="B74" s="9" t="s">
        <v>258</v>
      </c>
      <c r="C74" s="3" t="s">
        <v>152</v>
      </c>
      <c r="D74" s="2">
        <v>0.98734413101307905</v>
      </c>
      <c r="E74" s="4">
        <v>1.2655868986920822E-2</v>
      </c>
    </row>
    <row r="75" spans="1:5">
      <c r="A75" s="9" t="s">
        <v>153</v>
      </c>
      <c r="B75" s="9" t="s">
        <v>258</v>
      </c>
      <c r="C75" s="3" t="s">
        <v>154</v>
      </c>
      <c r="D75" s="2">
        <v>0.455904679825134</v>
      </c>
      <c r="E75" s="4">
        <v>0.20651136465957468</v>
      </c>
    </row>
    <row r="76" spans="1:5">
      <c r="A76" s="9" t="s">
        <v>155</v>
      </c>
      <c r="B76" s="9" t="s">
        <v>258</v>
      </c>
      <c r="C76" s="3" t="s">
        <v>156</v>
      </c>
      <c r="D76" s="2">
        <v>4.9467932125395402E-2</v>
      </c>
      <c r="E76" s="4">
        <v>0.31814423353465671</v>
      </c>
    </row>
    <row r="77" spans="1:5">
      <c r="A77" s="9" t="s">
        <v>157</v>
      </c>
      <c r="B77" s="9" t="s">
        <v>258</v>
      </c>
      <c r="C77" s="3" t="s">
        <v>158</v>
      </c>
      <c r="D77" s="2">
        <v>0.39563466654618801</v>
      </c>
      <c r="E77" s="4">
        <v>0.42775344831794404</v>
      </c>
    </row>
    <row r="78" spans="1:5">
      <c r="A78" s="9" t="s">
        <v>159</v>
      </c>
      <c r="B78" s="9" t="s">
        <v>258</v>
      </c>
      <c r="C78" s="3" t="s">
        <v>160</v>
      </c>
      <c r="D78" s="2">
        <v>0.37507329535935602</v>
      </c>
      <c r="E78" s="4">
        <v>0.3132252486905609</v>
      </c>
    </row>
    <row r="79" spans="1:5">
      <c r="A79" s="9" t="s">
        <v>161</v>
      </c>
      <c r="B79" s="9" t="s">
        <v>258</v>
      </c>
      <c r="C79" s="3" t="s">
        <v>162</v>
      </c>
      <c r="D79" s="2">
        <v>0.121807021017793</v>
      </c>
      <c r="E79" s="4">
        <v>0.16480439025770222</v>
      </c>
    </row>
    <row r="80" spans="1:5">
      <c r="A80" s="9" t="s">
        <v>163</v>
      </c>
      <c r="B80" s="9" t="s">
        <v>258</v>
      </c>
      <c r="C80" s="3" t="s">
        <v>164</v>
      </c>
      <c r="D80" s="2">
        <v>7.7815874132249704E-2</v>
      </c>
      <c r="E80" s="4">
        <v>0.27430352049388529</v>
      </c>
    </row>
    <row r="81" spans="1:5">
      <c r="A81" s="9" t="s">
        <v>165</v>
      </c>
      <c r="B81" s="9" t="s">
        <v>258</v>
      </c>
      <c r="C81" s="3" t="s">
        <v>166</v>
      </c>
      <c r="D81" s="2">
        <v>1.6956299272286202E-2</v>
      </c>
      <c r="E81" s="4">
        <v>0.44468238326258375</v>
      </c>
    </row>
    <row r="82" spans="1:5">
      <c r="A82" s="9" t="s">
        <v>167</v>
      </c>
      <c r="B82" s="9" t="s">
        <v>258</v>
      </c>
      <c r="C82" s="3" t="s">
        <v>168</v>
      </c>
      <c r="D82" s="2">
        <v>0.15040820652429901</v>
      </c>
      <c r="E82" s="4">
        <v>0.1367396742077733</v>
      </c>
    </row>
    <row r="83" spans="1:5">
      <c r="A83" s="9" t="s">
        <v>169</v>
      </c>
      <c r="B83" s="9" t="s">
        <v>258</v>
      </c>
      <c r="C83" s="3" t="s">
        <v>170</v>
      </c>
      <c r="D83" s="2">
        <v>0.16782550562020501</v>
      </c>
      <c r="E83" s="4">
        <v>5.8173723552650103E-2</v>
      </c>
    </row>
    <row r="84" spans="1:5">
      <c r="A84" s="9" t="s">
        <v>171</v>
      </c>
      <c r="B84" s="9" t="s">
        <v>258</v>
      </c>
      <c r="C84" s="3" t="s">
        <v>172</v>
      </c>
      <c r="D84" s="2">
        <v>0.1416896677502</v>
      </c>
      <c r="E84" s="4">
        <v>0.14537644676660591</v>
      </c>
    </row>
    <row r="85" spans="1:5">
      <c r="A85" s="9" t="s">
        <v>173</v>
      </c>
      <c r="B85" s="9" t="s">
        <v>258</v>
      </c>
      <c r="C85" s="3" t="s">
        <v>174</v>
      </c>
      <c r="D85" s="2">
        <v>0.11533971279574699</v>
      </c>
      <c r="E85" s="4">
        <v>0.25761040737880364</v>
      </c>
    </row>
    <row r="86" spans="1:5">
      <c r="A86" s="9" t="s">
        <v>175</v>
      </c>
      <c r="B86" s="9" t="s">
        <v>258</v>
      </c>
      <c r="C86" s="3" t="s">
        <v>176</v>
      </c>
      <c r="D86" s="2">
        <v>6.0776500177755601E-3</v>
      </c>
      <c r="E86" s="4">
        <v>0.22213624275899022</v>
      </c>
    </row>
    <row r="87" spans="1:5">
      <c r="A87" s="9" t="s">
        <v>177</v>
      </c>
      <c r="B87" s="9" t="s">
        <v>258</v>
      </c>
      <c r="C87" s="3" t="s">
        <v>178</v>
      </c>
      <c r="D87" s="2">
        <v>0.119136357963121</v>
      </c>
      <c r="E87" s="4">
        <v>0.18181330950380656</v>
      </c>
    </row>
    <row r="88" spans="1:5">
      <c r="A88" s="9" t="s">
        <v>179</v>
      </c>
      <c r="B88" s="9" t="s">
        <v>258</v>
      </c>
      <c r="C88" s="3" t="s">
        <v>180</v>
      </c>
      <c r="D88" s="2">
        <v>8.4211456447941897E-4</v>
      </c>
      <c r="E88" s="4">
        <v>3.7585158198102896E-2</v>
      </c>
    </row>
    <row r="89" spans="1:5">
      <c r="A89" s="9" t="s">
        <v>181</v>
      </c>
      <c r="B89" s="9" t="s">
        <v>258</v>
      </c>
      <c r="C89" s="3" t="s">
        <v>182</v>
      </c>
      <c r="D89" s="2">
        <v>1.91918378353736E-2</v>
      </c>
      <c r="E89" s="4">
        <v>0.22385750005745106</v>
      </c>
    </row>
    <row r="90" spans="1:5">
      <c r="A90" s="9" t="s">
        <v>183</v>
      </c>
      <c r="B90" s="9" t="s">
        <v>258</v>
      </c>
      <c r="C90" s="3" t="s">
        <v>184</v>
      </c>
      <c r="D90" s="2">
        <v>5.5807575921322801E-2</v>
      </c>
      <c r="E90" s="4">
        <v>0.50365651680535928</v>
      </c>
    </row>
    <row r="91" spans="1:5">
      <c r="A91" s="9" t="s">
        <v>185</v>
      </c>
      <c r="B91" s="9" t="s">
        <v>258</v>
      </c>
      <c r="C91" s="3" t="s">
        <v>186</v>
      </c>
      <c r="D91" s="2">
        <v>5.6044319482368599E-2</v>
      </c>
      <c r="E91" s="4">
        <v>0.24107027314426779</v>
      </c>
    </row>
    <row r="92" spans="1:5">
      <c r="A92" s="9" t="s">
        <v>187</v>
      </c>
      <c r="B92" s="9" t="s">
        <v>258</v>
      </c>
      <c r="C92" s="3" t="s">
        <v>188</v>
      </c>
      <c r="D92" s="2">
        <v>3.4604433780156998E-2</v>
      </c>
      <c r="E92" s="4">
        <v>0.22017436008231359</v>
      </c>
    </row>
    <row r="93" spans="1:5">
      <c r="A93" s="9" t="s">
        <v>189</v>
      </c>
      <c r="B93" s="9" t="s">
        <v>258</v>
      </c>
      <c r="C93" s="3" t="s">
        <v>190</v>
      </c>
      <c r="D93" s="2">
        <v>0.12600238962143201</v>
      </c>
      <c r="E93" s="4">
        <v>0.19081301412287932</v>
      </c>
    </row>
    <row r="94" spans="1:5">
      <c r="A94" s="9" t="s">
        <v>191</v>
      </c>
      <c r="B94" s="9" t="s">
        <v>258</v>
      </c>
      <c r="C94" s="3" t="s">
        <v>192</v>
      </c>
      <c r="D94" s="2">
        <v>1.2653802213964E-2</v>
      </c>
      <c r="E94" s="4">
        <v>0.26921132457027253</v>
      </c>
    </row>
    <row r="95" spans="1:5">
      <c r="A95" s="9" t="s">
        <v>193</v>
      </c>
      <c r="B95" s="9" t="s">
        <v>258</v>
      </c>
      <c r="C95" s="3" t="s">
        <v>194</v>
      </c>
      <c r="D95" s="2">
        <v>0.65765705663765395</v>
      </c>
      <c r="E95" s="4">
        <v>0.22592837369379251</v>
      </c>
    </row>
    <row r="96" spans="1:5">
      <c r="A96" s="9" t="s">
        <v>195</v>
      </c>
      <c r="B96" s="9" t="s">
        <v>258</v>
      </c>
      <c r="C96" s="3" t="s">
        <v>196</v>
      </c>
      <c r="D96" s="2">
        <v>2.44495221113443E-2</v>
      </c>
      <c r="E96" s="4">
        <v>0.23897400785448614</v>
      </c>
    </row>
    <row r="97" spans="1:5">
      <c r="A97" s="9" t="s">
        <v>197</v>
      </c>
      <c r="B97" s="9" t="s">
        <v>258</v>
      </c>
      <c r="C97" s="3" t="s">
        <v>198</v>
      </c>
      <c r="D97" s="2">
        <v>0.40029141736899398</v>
      </c>
      <c r="E97" s="4">
        <v>0.25445976932287917</v>
      </c>
    </row>
    <row r="98" spans="1:5">
      <c r="A98" s="9" t="s">
        <v>199</v>
      </c>
      <c r="B98" s="9" t="s">
        <v>258</v>
      </c>
      <c r="C98" s="3" t="s">
        <v>200</v>
      </c>
      <c r="D98" s="2">
        <v>1.73466903399341E-2</v>
      </c>
      <c r="E98" s="4">
        <v>0.24507085977289111</v>
      </c>
    </row>
    <row r="99" spans="1:5">
      <c r="A99" s="9" t="s">
        <v>201</v>
      </c>
      <c r="B99" s="9" t="s">
        <v>258</v>
      </c>
      <c r="C99" s="3" t="s">
        <v>202</v>
      </c>
      <c r="D99" s="2">
        <v>3.08191441885481E-2</v>
      </c>
      <c r="E99" s="4">
        <v>0.23122895963136356</v>
      </c>
    </row>
    <row r="100" spans="1:5">
      <c r="A100" s="9" t="s">
        <v>203</v>
      </c>
      <c r="B100" s="9" t="s">
        <v>258</v>
      </c>
      <c r="C100" s="3" t="s">
        <v>204</v>
      </c>
      <c r="D100" s="2">
        <v>2.6244108561123899E-2</v>
      </c>
      <c r="E100" s="4">
        <v>0.29308168330694001</v>
      </c>
    </row>
    <row r="101" spans="1:5">
      <c r="A101" s="9" t="s">
        <v>205</v>
      </c>
      <c r="B101" s="9" t="s">
        <v>258</v>
      </c>
      <c r="C101" s="3" t="s">
        <v>206</v>
      </c>
      <c r="D101" s="2">
        <v>7.5556408672217704E-2</v>
      </c>
      <c r="E101" s="4">
        <v>0.11585280629359324</v>
      </c>
    </row>
    <row r="102" spans="1:5">
      <c r="A102" s="9" t="s">
        <v>207</v>
      </c>
      <c r="B102" s="9" t="s">
        <v>258</v>
      </c>
      <c r="C102" s="3" t="s">
        <v>208</v>
      </c>
      <c r="D102" s="2">
        <v>1.87920421090195E-2</v>
      </c>
      <c r="E102" s="4">
        <v>0.1676715593250579</v>
      </c>
    </row>
    <row r="103" spans="1:5">
      <c r="A103" s="9" t="s">
        <v>209</v>
      </c>
      <c r="B103" s="9" t="s">
        <v>258</v>
      </c>
      <c r="C103" s="3" t="s">
        <v>210</v>
      </c>
      <c r="D103" s="2">
        <v>0.154393190208715</v>
      </c>
      <c r="E103" s="4">
        <v>0.22765852199750333</v>
      </c>
    </row>
    <row r="104" spans="1:5">
      <c r="A104" s="9" t="s">
        <v>211</v>
      </c>
      <c r="B104" s="9" t="s">
        <v>258</v>
      </c>
      <c r="C104" s="3" t="s">
        <v>212</v>
      </c>
      <c r="D104" s="2">
        <v>1.8721386970066398E-2</v>
      </c>
      <c r="E104" s="4">
        <v>0.2991819043749151</v>
      </c>
    </row>
    <row r="105" spans="1:5">
      <c r="A105" s="9" t="s">
        <v>213</v>
      </c>
      <c r="B105" s="9" t="s">
        <v>258</v>
      </c>
      <c r="C105" s="3" t="s">
        <v>214</v>
      </c>
      <c r="D105" s="2">
        <v>4.15915351262049E-2</v>
      </c>
      <c r="E105" s="4">
        <v>0.25443944492803283</v>
      </c>
    </row>
    <row r="106" spans="1:5">
      <c r="A106" s="9" t="s">
        <v>215</v>
      </c>
      <c r="B106" s="9" t="s">
        <v>258</v>
      </c>
      <c r="C106" s="3" t="s">
        <v>216</v>
      </c>
      <c r="D106" s="2">
        <v>0.10543143669056</v>
      </c>
      <c r="E106" s="4">
        <v>0.40417549833430311</v>
      </c>
    </row>
    <row r="107" spans="1:5">
      <c r="A107" s="9" t="s">
        <v>217</v>
      </c>
      <c r="B107" s="9" t="s">
        <v>258</v>
      </c>
      <c r="C107" s="3" t="s">
        <v>218</v>
      </c>
      <c r="D107" s="2">
        <v>0.10260996601219</v>
      </c>
      <c r="E107" s="4">
        <v>0.35984252621580204</v>
      </c>
    </row>
    <row r="108" spans="1:5">
      <c r="A108" s="9" t="s">
        <v>219</v>
      </c>
      <c r="B108" s="9" t="s">
        <v>258</v>
      </c>
      <c r="C108" s="3" t="s">
        <v>220</v>
      </c>
      <c r="D108" s="2">
        <v>7.1067538822695495E-2</v>
      </c>
      <c r="E108" s="4">
        <v>0.16647520998173299</v>
      </c>
    </row>
    <row r="109" spans="1:5">
      <c r="A109" s="9" t="s">
        <v>221</v>
      </c>
      <c r="B109" s="9" t="s">
        <v>258</v>
      </c>
      <c r="C109" s="3" t="s">
        <v>222</v>
      </c>
      <c r="D109" s="2">
        <v>0.26620281174568899</v>
      </c>
      <c r="E109" s="4">
        <v>0.31573426957312867</v>
      </c>
    </row>
    <row r="110" spans="1:5">
      <c r="A110" s="9" t="s">
        <v>223</v>
      </c>
      <c r="B110" s="9" t="s">
        <v>258</v>
      </c>
      <c r="C110" s="3" t="s">
        <v>224</v>
      </c>
      <c r="D110" s="2">
        <v>1.4735117246540801E-2</v>
      </c>
      <c r="E110" s="4">
        <v>0.37498501711702892</v>
      </c>
    </row>
    <row r="111" spans="1:5">
      <c r="A111" s="9" t="s">
        <v>225</v>
      </c>
      <c r="B111" s="9" t="s">
        <v>258</v>
      </c>
      <c r="C111" s="3" t="s">
        <v>226</v>
      </c>
      <c r="D111" s="2">
        <v>3.1914453392771901E-2</v>
      </c>
      <c r="E111" s="4">
        <v>0.18208909888041427</v>
      </c>
    </row>
    <row r="112" spans="1:5">
      <c r="A112" s="9" t="s">
        <v>227</v>
      </c>
      <c r="B112" s="9" t="s">
        <v>258</v>
      </c>
      <c r="C112" s="3" t="s">
        <v>228</v>
      </c>
      <c r="D112" s="2">
        <v>9.4261538407945406E-2</v>
      </c>
      <c r="E112" s="4">
        <v>0.31111664311693604</v>
      </c>
    </row>
    <row r="113" spans="1:5">
      <c r="A113" s="9" t="s">
        <v>229</v>
      </c>
      <c r="B113" s="9" t="s">
        <v>258</v>
      </c>
      <c r="C113" s="3" t="s">
        <v>230</v>
      </c>
      <c r="D113" s="2">
        <v>0.50279124864427005</v>
      </c>
      <c r="E113" s="4">
        <v>0.31305841595376244</v>
      </c>
    </row>
    <row r="114" spans="1:5">
      <c r="A114" s="9" t="s">
        <v>231</v>
      </c>
      <c r="B114" s="9" t="s">
        <v>258</v>
      </c>
      <c r="C114" s="3" t="s">
        <v>232</v>
      </c>
      <c r="D114" s="2">
        <v>3.68125587137531E-2</v>
      </c>
      <c r="E114" s="4">
        <v>0.21163495674226765</v>
      </c>
    </row>
    <row r="115" spans="1:5">
      <c r="A115" s="9" t="s">
        <v>233</v>
      </c>
      <c r="B115" s="9" t="s">
        <v>258</v>
      </c>
      <c r="C115" s="3" t="s">
        <v>234</v>
      </c>
      <c r="D115" s="2">
        <v>0.106135799684187</v>
      </c>
      <c r="E115" s="4">
        <v>0.54947740431611236</v>
      </c>
    </row>
    <row r="116" spans="1:5">
      <c r="A116" s="9" t="s">
        <v>235</v>
      </c>
      <c r="B116" s="9" t="s">
        <v>258</v>
      </c>
      <c r="C116" s="3" t="s">
        <v>236</v>
      </c>
      <c r="D116" s="2">
        <v>3.7200613121653597E-2</v>
      </c>
      <c r="E116" s="4">
        <v>0.16500703420900745</v>
      </c>
    </row>
    <row r="117" spans="1:5">
      <c r="A117" s="9" t="s">
        <v>237</v>
      </c>
      <c r="B117" s="9" t="s">
        <v>258</v>
      </c>
      <c r="C117" s="3" t="s">
        <v>238</v>
      </c>
      <c r="D117" s="2">
        <v>5.1957097899520001E-2</v>
      </c>
      <c r="E117" s="4">
        <v>0.41626019099506034</v>
      </c>
    </row>
    <row r="118" spans="1:5">
      <c r="A118" s="9" t="s">
        <v>239</v>
      </c>
      <c r="B118" s="9" t="s">
        <v>258</v>
      </c>
      <c r="C118" s="3" t="s">
        <v>240</v>
      </c>
      <c r="D118" s="2">
        <v>8.1348007349215906E-2</v>
      </c>
      <c r="E118" s="4">
        <v>0.13620736779922979</v>
      </c>
    </row>
    <row r="119" spans="1:5">
      <c r="A119" s="9" t="s">
        <v>241</v>
      </c>
      <c r="B119" s="9" t="s">
        <v>258</v>
      </c>
      <c r="C119" s="3" t="s">
        <v>242</v>
      </c>
      <c r="D119" s="2">
        <v>7.8499233775849303E-2</v>
      </c>
      <c r="E119" s="4">
        <v>0.11722942530318944</v>
      </c>
    </row>
    <row r="120" spans="1:5">
      <c r="A120" s="9" t="s">
        <v>243</v>
      </c>
      <c r="B120" s="9" t="s">
        <v>258</v>
      </c>
      <c r="C120" s="3" t="s">
        <v>244</v>
      </c>
      <c r="D120" s="2">
        <v>1.0257471761496099E-2</v>
      </c>
      <c r="E120" s="4">
        <v>0.17437701994543381</v>
      </c>
    </row>
    <row r="121" spans="1:5">
      <c r="A121" s="9" t="s">
        <v>245</v>
      </c>
      <c r="B121" s="9" t="s">
        <v>258</v>
      </c>
      <c r="C121" s="3" t="s">
        <v>246</v>
      </c>
      <c r="D121" s="2">
        <v>1</v>
      </c>
      <c r="E121" s="4">
        <v>0</v>
      </c>
    </row>
    <row r="122" spans="1:5">
      <c r="A122" s="9" t="s">
        <v>247</v>
      </c>
      <c r="B122" s="9" t="s">
        <v>258</v>
      </c>
      <c r="C122" s="3" t="s">
        <v>248</v>
      </c>
      <c r="D122" s="2">
        <v>8.4462072682734105E-2</v>
      </c>
      <c r="E122" s="4">
        <v>0.15100189781928156</v>
      </c>
    </row>
    <row r="123" spans="1:5">
      <c r="A123" s="9" t="s">
        <v>249</v>
      </c>
      <c r="B123" s="9" t="s">
        <v>258</v>
      </c>
      <c r="C123" s="3" t="s">
        <v>250</v>
      </c>
      <c r="D123" s="2">
        <v>1.77711189696238E-2</v>
      </c>
      <c r="E123" s="4">
        <v>0.17681775457079615</v>
      </c>
    </row>
    <row r="124" spans="1:5">
      <c r="A124" s="9" t="s">
        <v>251</v>
      </c>
      <c r="B124" s="9" t="s">
        <v>258</v>
      </c>
      <c r="C124" s="3" t="s">
        <v>252</v>
      </c>
      <c r="D124" s="2">
        <v>6.9694238731502101E-2</v>
      </c>
      <c r="E124" s="4">
        <v>0.28380964234759376</v>
      </c>
    </row>
    <row r="125" spans="1:5">
      <c r="A125" s="9" t="s">
        <v>253</v>
      </c>
      <c r="B125" s="9" t="s">
        <v>258</v>
      </c>
      <c r="C125" s="3" t="s">
        <v>254</v>
      </c>
      <c r="D125" s="2">
        <v>0.37907003109868898</v>
      </c>
      <c r="E125" s="4">
        <v>0.15613510215328968</v>
      </c>
    </row>
    <row r="126" spans="1:5">
      <c r="A126" s="9" t="s">
        <v>255</v>
      </c>
      <c r="B126" s="9" t="s">
        <v>258</v>
      </c>
      <c r="C126" s="5" t="s">
        <v>256</v>
      </c>
      <c r="D126" s="7">
        <v>0.19609758916980499</v>
      </c>
      <c r="E126" s="8">
        <v>0.424529383839781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432A0B-0A0B-4FFE-AB4D-3047C0F01E43}"/>
</file>

<file path=customXml/itemProps2.xml><?xml version="1.0" encoding="utf-8"?>
<ds:datastoreItem xmlns:ds="http://schemas.openxmlformats.org/officeDocument/2006/customXml" ds:itemID="{3B7FB253-6C62-44F2-AA91-3F036BE77649}"/>
</file>

<file path=customXml/itemProps3.xml><?xml version="1.0" encoding="utf-8"?>
<ds:datastoreItem xmlns:ds="http://schemas.openxmlformats.org/officeDocument/2006/customXml" ds:itemID="{9F818D23-48DD-4042-87F5-A3A3EA91A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 Carmona Saldarriaga</dc:creator>
  <cp:keywords/>
  <dc:description/>
  <cp:lastModifiedBy>Antioquia Cómo Vamos</cp:lastModifiedBy>
  <cp:revision/>
  <dcterms:created xsi:type="dcterms:W3CDTF">2025-05-06T20:18:03Z</dcterms:created>
  <dcterms:modified xsi:type="dcterms:W3CDTF">2025-06-26T04:39:56Z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
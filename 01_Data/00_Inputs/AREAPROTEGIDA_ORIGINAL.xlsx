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AFIT2026\Mapas\Provincias\"/>
    </mc:Choice>
  </mc:AlternateContent>
  <xr:revisionPtr revIDLastSave="0" documentId="13_ncr:1_{109C87C5-653A-4864-84BD-6FBAFCF85590}" xr6:coauthVersionLast="47" xr6:coauthVersionMax="47" xr10:uidLastSave="{00000000-0000-0000-0000-000000000000}"/>
  <bookViews>
    <workbookView xWindow="-105" yWindow="0" windowWidth="14610" windowHeight="15585" xr2:uid="{CCE69ED3-5BC6-4B93-BA59-97E72B44D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" i="1"/>
</calcChain>
</file>

<file path=xl/sharedStrings.xml><?xml version="1.0" encoding="utf-8"?>
<sst xmlns="http://schemas.openxmlformats.org/spreadsheetml/2006/main" count="1501" uniqueCount="213">
  <si>
    <t>COD_MPIO</t>
  </si>
  <si>
    <t>MPIO_NOMBR</t>
  </si>
  <si>
    <t>FID_runap2</t>
  </si>
  <si>
    <t>id_pnn</t>
  </si>
  <si>
    <t>categori_1</t>
  </si>
  <si>
    <t>resolucion</t>
  </si>
  <si>
    <t>escala</t>
  </si>
  <si>
    <t>validado</t>
  </si>
  <si>
    <t>SANTA BÁRBARA</t>
  </si>
  <si>
    <t>CORANTIOQUIA</t>
  </si>
  <si>
    <t>San Miguel</t>
  </si>
  <si>
    <t>Distritos Regionales de Manejo Integrado</t>
  </si>
  <si>
    <t xml:space="preserve"> </t>
  </si>
  <si>
    <t>CORNARE</t>
  </si>
  <si>
    <t>No</t>
  </si>
  <si>
    <t>Alto de San Miguel</t>
  </si>
  <si>
    <t>Reservas Forestales Protectoras Regionales</t>
  </si>
  <si>
    <t>LA UNIÓN</t>
  </si>
  <si>
    <t>Cerros de San Nicolas</t>
  </si>
  <si>
    <t>Conjunto De Reservas Naturales De Sumicol S.A. (Lusitania)</t>
  </si>
  <si>
    <t>Reserva Natural de la Sociedad Civil</t>
  </si>
  <si>
    <t>PNN</t>
  </si>
  <si>
    <t>Canones de los rios Melcocho y Santo Domingo</t>
  </si>
  <si>
    <t>PEQUE</t>
  </si>
  <si>
    <t>CORPOURABA</t>
  </si>
  <si>
    <t>Paramillo</t>
  </si>
  <si>
    <t>Parque Nacional Natural</t>
  </si>
  <si>
    <t>BRICEÑO</t>
  </si>
  <si>
    <t>Alto de Ventanas</t>
  </si>
  <si>
    <t>AMALFI</t>
  </si>
  <si>
    <t>Arenas Blancas</t>
  </si>
  <si>
    <t>YONDÓ</t>
  </si>
  <si>
    <t>Cienaga de Barbacoas</t>
  </si>
  <si>
    <t>San Bartolo</t>
  </si>
  <si>
    <t>La Esperanza</t>
  </si>
  <si>
    <t>BETANIA</t>
  </si>
  <si>
    <t>Farallones del Citara</t>
  </si>
  <si>
    <t>BELMIRA</t>
  </si>
  <si>
    <t>Sistema de Paramos y Bosques Altoandinos del Noroccidente Medio Antioqueno</t>
  </si>
  <si>
    <t>LIBORINA</t>
  </si>
  <si>
    <t>SOPETRÁN</t>
  </si>
  <si>
    <t>MACEO</t>
  </si>
  <si>
    <t>Canon del Rio Alicante</t>
  </si>
  <si>
    <t>OLAYA</t>
  </si>
  <si>
    <t>ENTRERRIOS</t>
  </si>
  <si>
    <t>SANTA FE DE ANTIOQUIA</t>
  </si>
  <si>
    <t>Corredor de las Alegrias</t>
  </si>
  <si>
    <t>Parques Naturales Regionales</t>
  </si>
  <si>
    <t>Alto del Insor</t>
  </si>
  <si>
    <t>CALDAS</t>
  </si>
  <si>
    <t>Divisoria Valle de Aburra Rio Cauca</t>
  </si>
  <si>
    <t>SAN LUIS</t>
  </si>
  <si>
    <t>La Tebaida</t>
  </si>
  <si>
    <t>El Eden</t>
  </si>
  <si>
    <t>La Guaca - Lote A</t>
  </si>
  <si>
    <t>Bosques, Marmoles y Pantagoras</t>
  </si>
  <si>
    <t>Fuenteviva</t>
  </si>
  <si>
    <t>EL CARMEN DE VIBORAL</t>
  </si>
  <si>
    <t>Sistema Viaho Guayabal</t>
  </si>
  <si>
    <t>Paramo de Vida Maitama - Sonson</t>
  </si>
  <si>
    <t>CONCORDIA</t>
  </si>
  <si>
    <t>Cuchilla Cerro Plateado Alto San Jose</t>
  </si>
  <si>
    <t>EL SANTUARIO</t>
  </si>
  <si>
    <t>Cuchilla los Cedros</t>
  </si>
  <si>
    <t>JERICÓ</t>
  </si>
  <si>
    <t>Nubes Trocha Capota</t>
  </si>
  <si>
    <t>Cuchilla Jardin Tamesis</t>
  </si>
  <si>
    <t>FREDONIA</t>
  </si>
  <si>
    <t>Cerro Bravo</t>
  </si>
  <si>
    <t>SAN FRANCISCO</t>
  </si>
  <si>
    <t>Cuchillas de el Tigre, el Calon y la Osa</t>
  </si>
  <si>
    <t>VENECIA</t>
  </si>
  <si>
    <t>SABANALARGA</t>
  </si>
  <si>
    <t>DABEIBA</t>
  </si>
  <si>
    <t>YARUMAL</t>
  </si>
  <si>
    <t>NARIÑO</t>
  </si>
  <si>
    <t>SANTA ROSA DE OSOS</t>
  </si>
  <si>
    <t>Patio Bonito - Los Erizos</t>
  </si>
  <si>
    <t>El Gramero</t>
  </si>
  <si>
    <t>HELICONIA</t>
  </si>
  <si>
    <t>ANZÁ</t>
  </si>
  <si>
    <t>COPACABANA</t>
  </si>
  <si>
    <t>Rio Nare</t>
  </si>
  <si>
    <t>Reservas Forestales Protectoras Nacionales</t>
  </si>
  <si>
    <t>MADS</t>
  </si>
  <si>
    <t>CONCEPCIÓN</t>
  </si>
  <si>
    <t>San Pedro</t>
  </si>
  <si>
    <t>Embalse el Penol y Cuenca Alta del Rio Guatape</t>
  </si>
  <si>
    <t>CARAMANTA</t>
  </si>
  <si>
    <t>CAICEDO</t>
  </si>
  <si>
    <t>De Urrao</t>
  </si>
  <si>
    <t>SAN PEDRO DE LOS MILAGROS</t>
  </si>
  <si>
    <t>SAN ROQUE</t>
  </si>
  <si>
    <t>San Lorenzo</t>
  </si>
  <si>
    <t>La Montana</t>
  </si>
  <si>
    <t>SANTO DOMINGO</t>
  </si>
  <si>
    <t>SAN JERÓNIMO</t>
  </si>
  <si>
    <t>FRONTINO</t>
  </si>
  <si>
    <t>Carauta</t>
  </si>
  <si>
    <t>Las Orquideas</t>
  </si>
  <si>
    <t>ARGELIA</t>
  </si>
  <si>
    <t>COCORNÁ</t>
  </si>
  <si>
    <t>JARDÍN</t>
  </si>
  <si>
    <t>CAÑASGORDAS</t>
  </si>
  <si>
    <t>SAN ANDRÉS DE CUERQUIA</t>
  </si>
  <si>
    <t>ANDES</t>
  </si>
  <si>
    <t>TÁMESIS</t>
  </si>
  <si>
    <t>Providencia</t>
  </si>
  <si>
    <t>LA CEJA</t>
  </si>
  <si>
    <t>El Capiro</t>
  </si>
  <si>
    <t>SALGAR</t>
  </si>
  <si>
    <t>Rios Barroso y San Juan</t>
  </si>
  <si>
    <t>Cuenca  Alta del Rio Atrato</t>
  </si>
  <si>
    <t>CODECHOCO</t>
  </si>
  <si>
    <t>GUATAPÉ</t>
  </si>
  <si>
    <t>Camelias</t>
  </si>
  <si>
    <t>SAN CARLOS</t>
  </si>
  <si>
    <t>Punchina</t>
  </si>
  <si>
    <t>Agua Monte</t>
  </si>
  <si>
    <t>Barakah</t>
  </si>
  <si>
    <t>Playas</t>
  </si>
  <si>
    <t>EL PEÑOL</t>
  </si>
  <si>
    <t>GUARNE</t>
  </si>
  <si>
    <t>Montevivo</t>
  </si>
  <si>
    <t>SAN VICENTE</t>
  </si>
  <si>
    <t>Libertad</t>
  </si>
  <si>
    <t>SAN RAFAEL</t>
  </si>
  <si>
    <t>Cuervos</t>
  </si>
  <si>
    <t>ALEJANDRÍA</t>
  </si>
  <si>
    <t>EBÉJICO</t>
  </si>
  <si>
    <t>BELLO</t>
  </si>
  <si>
    <t>AMAGÁ</t>
  </si>
  <si>
    <t>URRAO</t>
  </si>
  <si>
    <t>La Violeta</t>
  </si>
  <si>
    <t>HISPANIA</t>
  </si>
  <si>
    <t>GIRALDO</t>
  </si>
  <si>
    <t>YOLOMBÓ</t>
  </si>
  <si>
    <t>SAN JOSÉ DE LA MONTAÑA</t>
  </si>
  <si>
    <t>ABRIAQUÍ</t>
  </si>
  <si>
    <t>PUERTO BERRIO</t>
  </si>
  <si>
    <t>Cienaga de Chiqueros</t>
  </si>
  <si>
    <t>SAN PEDRO DE URABÁ</t>
  </si>
  <si>
    <t>Reserva Natural Horizontes</t>
  </si>
  <si>
    <t>NECOCLÍ</t>
  </si>
  <si>
    <t>Ensenada de Rionegro, los Bajos Aledanos, las Cienagas de Marimonda y el Salado</t>
  </si>
  <si>
    <t>Rayuela</t>
  </si>
  <si>
    <t>MUTATÁ</t>
  </si>
  <si>
    <t>Rio Leon</t>
  </si>
  <si>
    <t>ITUANGO</t>
  </si>
  <si>
    <t>VALDIVIA</t>
  </si>
  <si>
    <t>ANORÍ</t>
  </si>
  <si>
    <t>Cacica Noria</t>
  </si>
  <si>
    <t>CHIGORODÓ</t>
  </si>
  <si>
    <t>EL BAGRE</t>
  </si>
  <si>
    <t>Cienagas El Sapo y Hoyo Grande</t>
  </si>
  <si>
    <t>APARTADÓ</t>
  </si>
  <si>
    <t>Humedales entre los Rios Leon y Suriqui</t>
  </si>
  <si>
    <t>CAUCASIA</t>
  </si>
  <si>
    <t>Del Complejo de  Humedales de Ayapel</t>
  </si>
  <si>
    <t>CVS</t>
  </si>
  <si>
    <t>NECHÍ</t>
  </si>
  <si>
    <t>Cienagas Corrales y El Ocho</t>
  </si>
  <si>
    <t>CAREPA</t>
  </si>
  <si>
    <t>TURBO</t>
  </si>
  <si>
    <t>Los Katios</t>
  </si>
  <si>
    <t>Lago Azul los Manat-es</t>
  </si>
  <si>
    <t>MEDELLÍN</t>
  </si>
  <si>
    <t>Club Campestre el Rodeo</t>
  </si>
  <si>
    <t>La Telarana</t>
  </si>
  <si>
    <t>Parque Ecologico Cerro Nutibara</t>
  </si>
  <si>
    <t>Areas de Recreacion</t>
  </si>
  <si>
    <t>AMVA</t>
  </si>
  <si>
    <t>Metropolitano Cerro el Volador</t>
  </si>
  <si>
    <t>San Rafael</t>
  </si>
  <si>
    <t>LA ESTRELLA</t>
  </si>
  <si>
    <t>TARSO</t>
  </si>
  <si>
    <t>ITAGÜÍ</t>
  </si>
  <si>
    <t>ENVIGADO</t>
  </si>
  <si>
    <t>ANGELÓPOLIS</t>
  </si>
  <si>
    <t>EL RETIRO</t>
  </si>
  <si>
    <t>Reserva Biologica El Silencio</t>
  </si>
  <si>
    <t>GRANADA</t>
  </si>
  <si>
    <t>RIONEGRO</t>
  </si>
  <si>
    <t>La Selva</t>
  </si>
  <si>
    <t>MARINILLA</t>
  </si>
  <si>
    <t>BETULIA</t>
  </si>
  <si>
    <t>PUERTO NARE</t>
  </si>
  <si>
    <t>PUERTO TRIUNFO</t>
  </si>
  <si>
    <t>Torrelavega</t>
  </si>
  <si>
    <t>PUEBLORRICO</t>
  </si>
  <si>
    <t>SONSÓN</t>
  </si>
  <si>
    <t>CIUDAD BOLÍVAR</t>
  </si>
  <si>
    <t>ABEJORRAL</t>
  </si>
  <si>
    <t>Yeguas</t>
  </si>
  <si>
    <t>El Mana</t>
  </si>
  <si>
    <t>MONTEBELLO</t>
  </si>
  <si>
    <t>Reserva Orquideas de la Sociedad Colombiana de Orquideologia</t>
  </si>
  <si>
    <t>Monasterio de Santa Maria de la Epifania de los Monjes Benedictinos</t>
  </si>
  <si>
    <t>El Potrerito</t>
  </si>
  <si>
    <t>Tierra de Aguadulce</t>
  </si>
  <si>
    <t>Taibara</t>
  </si>
  <si>
    <t>El Caimo</t>
  </si>
  <si>
    <t>La Zafra</t>
  </si>
  <si>
    <t>De Las Aves Colibri Del Sol</t>
  </si>
  <si>
    <t>Colibri del Sol</t>
  </si>
  <si>
    <t>El Silencio - La Laguna</t>
  </si>
  <si>
    <t>Mano de Oso</t>
  </si>
  <si>
    <t>Buena Vista</t>
  </si>
  <si>
    <t>Area_Sobre_Municipio (km²)</t>
  </si>
  <si>
    <t>Area_Sobre_Municipio (m²)</t>
  </si>
  <si>
    <t>Area_Sobre_Municipio (has)</t>
  </si>
  <si>
    <t>organización</t>
  </si>
  <si>
    <t>Nombre Area 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</si>
</sst>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98A-6AD9-4082-8CF4-6E315122F9C3}">
  <dimension ref="A1:M285"/>
  <sheetViews>
    <sheetView tabSelected="1" topLeftCell="F1" workbookViewId="0">
      <selection activeCell="A24" sqref="A24:XFD24"/>
    </sheetView>
  </sheetViews>
  <sheetFormatPr baseColWidth="10" defaultRowHeight="15" x14ac:dyDescent="0.25"/>
  <cols>
    <col min="2" max="2" width="27.7109375" bestFit="1" customWidth="1"/>
    <col min="4" max="4" width="65.42578125" customWidth="1"/>
    <col min="5" max="5" width="9" bestFit="1" customWidth="1"/>
    <col min="6" max="6" width="33.5703125" customWidth="1"/>
    <col min="11" max="11" width="25.7109375" bestFit="1" customWidth="1"/>
    <col min="12" max="12" width="2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212</v>
      </c>
      <c r="E1" t="s">
        <v>3</v>
      </c>
      <c r="F1" t="s">
        <v>4</v>
      </c>
      <c r="G1" t="s">
        <v>5</v>
      </c>
      <c r="H1" t="s">
        <v>6</v>
      </c>
      <c r="I1" t="s">
        <v>211</v>
      </c>
      <c r="J1" t="s">
        <v>7</v>
      </c>
      <c r="K1" t="s">
        <v>209</v>
      </c>
      <c r="L1" t="s">
        <v>208</v>
      </c>
      <c r="M1" t="s">
        <v>210</v>
      </c>
    </row>
    <row r="2" spans="1:13" x14ac:dyDescent="0.25">
      <c r="A2">
        <v>5002</v>
      </c>
      <c r="B2" t="s">
        <v>192</v>
      </c>
      <c r="C2">
        <v>258</v>
      </c>
      <c r="D2" t="s">
        <v>59</v>
      </c>
      <c r="E2">
        <v>20170011</v>
      </c>
      <c r="F2" t="s">
        <v>11</v>
      </c>
      <c r="G2">
        <v>388</v>
      </c>
      <c r="H2" s="1">
        <v>9.8379629629629642E-4</v>
      </c>
      <c r="I2" t="s">
        <v>13</v>
      </c>
      <c r="J2" t="s">
        <v>14</v>
      </c>
      <c r="K2">
        <v>2546129.0879520001</v>
      </c>
      <c r="L2">
        <v>2.5461290000000001</v>
      </c>
      <c r="M2">
        <f>K2/10000</f>
        <v>254.61290879520001</v>
      </c>
    </row>
    <row r="3" spans="1:13" x14ac:dyDescent="0.25">
      <c r="A3">
        <v>5002</v>
      </c>
      <c r="B3" t="s">
        <v>192</v>
      </c>
      <c r="C3">
        <v>676</v>
      </c>
      <c r="D3" t="s">
        <v>22</v>
      </c>
      <c r="E3">
        <v>20120005</v>
      </c>
      <c r="F3" t="s">
        <v>16</v>
      </c>
      <c r="G3">
        <v>322</v>
      </c>
      <c r="H3" t="s">
        <v>12</v>
      </c>
      <c r="I3" t="s">
        <v>13</v>
      </c>
      <c r="J3" t="s">
        <v>14</v>
      </c>
      <c r="K3">
        <v>59036.991879000001</v>
      </c>
      <c r="L3">
        <v>5.9036999999999999E-2</v>
      </c>
      <c r="M3">
        <f t="shared" ref="M3:M66" si="0">K3/10000</f>
        <v>5.9036991879</v>
      </c>
    </row>
    <row r="4" spans="1:13" x14ac:dyDescent="0.25">
      <c r="A4">
        <v>5002</v>
      </c>
      <c r="B4" t="s">
        <v>192</v>
      </c>
      <c r="C4">
        <v>678</v>
      </c>
      <c r="D4" t="s">
        <v>193</v>
      </c>
      <c r="E4">
        <v>20120008</v>
      </c>
      <c r="F4" t="s">
        <v>16</v>
      </c>
      <c r="G4">
        <v>332</v>
      </c>
      <c r="H4" t="s">
        <v>12</v>
      </c>
      <c r="I4" t="s">
        <v>13</v>
      </c>
      <c r="J4" t="s">
        <v>14</v>
      </c>
      <c r="K4">
        <v>13466449.399733</v>
      </c>
      <c r="L4">
        <v>13.466449000000001</v>
      </c>
      <c r="M4">
        <f t="shared" si="0"/>
        <v>1346.6449399732999</v>
      </c>
    </row>
    <row r="5" spans="1:13" x14ac:dyDescent="0.25">
      <c r="A5">
        <v>5002</v>
      </c>
      <c r="B5" t="s">
        <v>192</v>
      </c>
      <c r="C5">
        <v>960</v>
      </c>
      <c r="D5" t="s">
        <v>194</v>
      </c>
      <c r="E5">
        <v>2070734</v>
      </c>
      <c r="F5" t="s">
        <v>20</v>
      </c>
      <c r="G5">
        <v>98</v>
      </c>
      <c r="H5" s="1">
        <v>7.5231481481481471E-4</v>
      </c>
      <c r="I5" t="s">
        <v>21</v>
      </c>
      <c r="J5" t="s">
        <v>14</v>
      </c>
      <c r="K5">
        <v>155021.43152899999</v>
      </c>
      <c r="L5">
        <v>0.15502099999999999</v>
      </c>
      <c r="M5">
        <f t="shared" si="0"/>
        <v>15.502143152899999</v>
      </c>
    </row>
    <row r="6" spans="1:13" x14ac:dyDescent="0.25">
      <c r="A6">
        <v>5004</v>
      </c>
      <c r="B6" t="s">
        <v>138</v>
      </c>
      <c r="C6">
        <v>131</v>
      </c>
      <c r="D6" t="s">
        <v>90</v>
      </c>
      <c r="E6">
        <v>1010022</v>
      </c>
      <c r="F6" t="s">
        <v>83</v>
      </c>
      <c r="G6">
        <v>32</v>
      </c>
      <c r="H6" s="1">
        <v>1.8518518518518519E-3</v>
      </c>
      <c r="I6" t="s">
        <v>84</v>
      </c>
      <c r="J6" t="s">
        <v>14</v>
      </c>
      <c r="K6">
        <v>177180.88634900001</v>
      </c>
      <c r="L6">
        <v>0.17718100000000001</v>
      </c>
      <c r="M6">
        <f t="shared" si="0"/>
        <v>17.718088634899999</v>
      </c>
    </row>
    <row r="7" spans="1:13" x14ac:dyDescent="0.25">
      <c r="A7">
        <v>5004</v>
      </c>
      <c r="B7" t="s">
        <v>138</v>
      </c>
      <c r="C7">
        <v>158</v>
      </c>
      <c r="D7" t="s">
        <v>99</v>
      </c>
      <c r="E7">
        <v>2020022</v>
      </c>
      <c r="F7" t="s">
        <v>26</v>
      </c>
      <c r="G7">
        <v>71</v>
      </c>
      <c r="H7" s="1">
        <v>9.8379629629629642E-4</v>
      </c>
      <c r="I7" t="s">
        <v>21</v>
      </c>
      <c r="J7" t="s">
        <v>14</v>
      </c>
      <c r="K7">
        <v>11216189.721432</v>
      </c>
      <c r="L7">
        <v>11.216189999999999</v>
      </c>
      <c r="M7">
        <f t="shared" si="0"/>
        <v>1121.6189721432002</v>
      </c>
    </row>
    <row r="8" spans="1:13" x14ac:dyDescent="0.25">
      <c r="A8">
        <v>5004</v>
      </c>
      <c r="B8" t="s">
        <v>138</v>
      </c>
      <c r="C8">
        <v>226</v>
      </c>
      <c r="D8" t="s">
        <v>46</v>
      </c>
      <c r="E8">
        <v>22110001</v>
      </c>
      <c r="F8" t="s">
        <v>47</v>
      </c>
      <c r="G8">
        <v>459</v>
      </c>
      <c r="H8" s="1">
        <v>9.8379629629629642E-4</v>
      </c>
      <c r="I8" t="s">
        <v>9</v>
      </c>
      <c r="J8" t="s">
        <v>14</v>
      </c>
      <c r="K8">
        <v>453071.42442400003</v>
      </c>
      <c r="L8">
        <v>0.453071</v>
      </c>
      <c r="M8">
        <f t="shared" si="0"/>
        <v>45.3071424424</v>
      </c>
    </row>
    <row r="9" spans="1:13" x14ac:dyDescent="0.25">
      <c r="A9">
        <v>5004</v>
      </c>
      <c r="B9" t="s">
        <v>138</v>
      </c>
      <c r="C9">
        <v>633</v>
      </c>
      <c r="D9" t="s">
        <v>48</v>
      </c>
      <c r="E9">
        <v>9100001</v>
      </c>
      <c r="F9" t="s">
        <v>11</v>
      </c>
      <c r="G9">
        <v>10</v>
      </c>
      <c r="H9" s="1">
        <v>1.8518518518518519E-3</v>
      </c>
      <c r="I9" t="s">
        <v>24</v>
      </c>
      <c r="J9" t="s">
        <v>14</v>
      </c>
      <c r="K9">
        <v>41521610.28204</v>
      </c>
      <c r="L9">
        <v>41.521610000000003</v>
      </c>
      <c r="M9">
        <f t="shared" si="0"/>
        <v>4152.1610282040001</v>
      </c>
    </row>
    <row r="10" spans="1:13" x14ac:dyDescent="0.25">
      <c r="A10">
        <v>5004</v>
      </c>
      <c r="B10" t="s">
        <v>138</v>
      </c>
      <c r="C10">
        <v>131</v>
      </c>
      <c r="D10" t="s">
        <v>90</v>
      </c>
      <c r="E10">
        <v>1010022</v>
      </c>
      <c r="F10" t="s">
        <v>83</v>
      </c>
      <c r="G10">
        <v>32</v>
      </c>
      <c r="H10" s="1">
        <v>1.8518518518518519E-3</v>
      </c>
      <c r="I10" t="s">
        <v>84</v>
      </c>
      <c r="J10" t="s">
        <v>14</v>
      </c>
      <c r="K10">
        <v>2088.4377770000001</v>
      </c>
      <c r="L10">
        <v>2.088E-3</v>
      </c>
      <c r="M10">
        <f t="shared" si="0"/>
        <v>0.20884377770000001</v>
      </c>
    </row>
    <row r="11" spans="1:13" x14ac:dyDescent="0.25">
      <c r="A11">
        <v>5004</v>
      </c>
      <c r="B11" t="s">
        <v>138</v>
      </c>
      <c r="C11">
        <v>226</v>
      </c>
      <c r="D11" t="s">
        <v>46</v>
      </c>
      <c r="E11">
        <v>22110001</v>
      </c>
      <c r="F11" t="s">
        <v>47</v>
      </c>
      <c r="G11">
        <v>459</v>
      </c>
      <c r="H11" s="1">
        <v>9.8379629629629642E-4</v>
      </c>
      <c r="I11" t="s">
        <v>9</v>
      </c>
      <c r="J11" t="s">
        <v>14</v>
      </c>
      <c r="K11">
        <v>2088.4377770000001</v>
      </c>
      <c r="L11">
        <v>2.088E-3</v>
      </c>
      <c r="M11">
        <f t="shared" si="0"/>
        <v>0.20884377770000001</v>
      </c>
    </row>
    <row r="12" spans="1:13" x14ac:dyDescent="0.25">
      <c r="A12">
        <v>5004</v>
      </c>
      <c r="B12" t="s">
        <v>138</v>
      </c>
      <c r="C12">
        <v>226</v>
      </c>
      <c r="D12" t="s">
        <v>46</v>
      </c>
      <c r="E12">
        <v>22110001</v>
      </c>
      <c r="F12" t="s">
        <v>47</v>
      </c>
      <c r="G12">
        <v>459</v>
      </c>
      <c r="H12" s="1">
        <v>9.8379629629629642E-4</v>
      </c>
      <c r="I12" t="s">
        <v>9</v>
      </c>
      <c r="J12" t="s">
        <v>14</v>
      </c>
      <c r="K12">
        <v>325792.02896199998</v>
      </c>
      <c r="L12">
        <v>0.32579200000000003</v>
      </c>
      <c r="M12">
        <f t="shared" si="0"/>
        <v>32.579202896200002</v>
      </c>
    </row>
    <row r="13" spans="1:13" x14ac:dyDescent="0.25">
      <c r="A13">
        <v>5004</v>
      </c>
      <c r="B13" t="s">
        <v>138</v>
      </c>
      <c r="C13">
        <v>633</v>
      </c>
      <c r="D13" t="s">
        <v>48</v>
      </c>
      <c r="E13">
        <v>9100001</v>
      </c>
      <c r="F13" t="s">
        <v>11</v>
      </c>
      <c r="G13">
        <v>10</v>
      </c>
      <c r="H13" s="1">
        <v>1.8518518518518519E-3</v>
      </c>
      <c r="I13" t="s">
        <v>24</v>
      </c>
      <c r="J13" t="s">
        <v>14</v>
      </c>
      <c r="K13">
        <v>325792.02896199998</v>
      </c>
      <c r="L13">
        <v>0.32579200000000003</v>
      </c>
      <c r="M13">
        <f t="shared" si="0"/>
        <v>32.579202896200002</v>
      </c>
    </row>
    <row r="14" spans="1:13" x14ac:dyDescent="0.25">
      <c r="A14">
        <v>5021</v>
      </c>
      <c r="B14" t="s">
        <v>128</v>
      </c>
      <c r="C14">
        <v>669</v>
      </c>
      <c r="D14" t="s">
        <v>93</v>
      </c>
      <c r="E14">
        <v>20120002</v>
      </c>
      <c r="F14" t="s">
        <v>16</v>
      </c>
      <c r="G14">
        <v>263</v>
      </c>
      <c r="H14" t="s">
        <v>12</v>
      </c>
      <c r="I14" t="s">
        <v>13</v>
      </c>
      <c r="J14" t="s">
        <v>14</v>
      </c>
      <c r="K14">
        <v>33487421.711314999</v>
      </c>
      <c r="L14">
        <v>33.487422000000002</v>
      </c>
      <c r="M14">
        <f t="shared" si="0"/>
        <v>3348.7421711315001</v>
      </c>
    </row>
    <row r="15" spans="1:13" x14ac:dyDescent="0.25">
      <c r="A15">
        <v>5021</v>
      </c>
      <c r="B15" t="s">
        <v>128</v>
      </c>
      <c r="C15">
        <v>675</v>
      </c>
      <c r="D15" t="s">
        <v>120</v>
      </c>
      <c r="E15">
        <v>20120004</v>
      </c>
      <c r="F15" t="s">
        <v>16</v>
      </c>
      <c r="G15">
        <v>321</v>
      </c>
      <c r="H15" t="s">
        <v>12</v>
      </c>
      <c r="I15" t="s">
        <v>13</v>
      </c>
      <c r="J15" t="s">
        <v>14</v>
      </c>
      <c r="K15">
        <v>368923.82990999997</v>
      </c>
      <c r="L15">
        <v>0.36892399999999997</v>
      </c>
      <c r="M15">
        <f t="shared" si="0"/>
        <v>36.892382990999998</v>
      </c>
    </row>
    <row r="16" spans="1:13" x14ac:dyDescent="0.25">
      <c r="A16">
        <v>5021</v>
      </c>
      <c r="B16" t="s">
        <v>128</v>
      </c>
      <c r="C16">
        <v>1290</v>
      </c>
      <c r="D16" t="s">
        <v>87</v>
      </c>
      <c r="E16">
        <v>20100001</v>
      </c>
      <c r="F16" t="s">
        <v>11</v>
      </c>
      <c r="G16">
        <v>93</v>
      </c>
      <c r="H16" s="1">
        <v>9.8379629629629642E-4</v>
      </c>
      <c r="I16" t="s">
        <v>13</v>
      </c>
      <c r="J16" t="s">
        <v>14</v>
      </c>
      <c r="K16">
        <v>6276911.7328909999</v>
      </c>
      <c r="L16">
        <v>6.2769120000000003</v>
      </c>
      <c r="M16">
        <f t="shared" si="0"/>
        <v>627.69117328909999</v>
      </c>
    </row>
    <row r="17" spans="1:13" x14ac:dyDescent="0.25">
      <c r="A17">
        <v>5030</v>
      </c>
      <c r="B17" t="s">
        <v>131</v>
      </c>
      <c r="C17">
        <v>11</v>
      </c>
      <c r="D17" t="s">
        <v>50</v>
      </c>
      <c r="E17">
        <v>22100007</v>
      </c>
      <c r="F17" t="s">
        <v>11</v>
      </c>
      <c r="G17">
        <v>267</v>
      </c>
      <c r="H17" s="1">
        <v>9.8379629629629642E-4</v>
      </c>
      <c r="I17" t="s">
        <v>9</v>
      </c>
      <c r="J17" t="s">
        <v>14</v>
      </c>
      <c r="K17">
        <v>5010387.4145059995</v>
      </c>
      <c r="L17">
        <v>5.0103869999999997</v>
      </c>
      <c r="M17">
        <f t="shared" si="0"/>
        <v>501.03874145059996</v>
      </c>
    </row>
    <row r="18" spans="1:13" x14ac:dyDescent="0.25">
      <c r="A18">
        <v>5031</v>
      </c>
      <c r="B18" t="s">
        <v>29</v>
      </c>
      <c r="C18">
        <v>1154</v>
      </c>
      <c r="D18" t="s">
        <v>30</v>
      </c>
      <c r="E18">
        <v>2070496</v>
      </c>
      <c r="F18" t="s">
        <v>20</v>
      </c>
      <c r="G18">
        <v>135</v>
      </c>
      <c r="H18" s="1">
        <v>8.1018518518518516E-4</v>
      </c>
      <c r="I18" t="s">
        <v>21</v>
      </c>
      <c r="J18" t="s">
        <v>14</v>
      </c>
      <c r="K18">
        <v>2958434.8884069999</v>
      </c>
      <c r="L18">
        <v>2.9584350000000001</v>
      </c>
      <c r="M18">
        <f t="shared" si="0"/>
        <v>295.84348884069999</v>
      </c>
    </row>
    <row r="19" spans="1:13" x14ac:dyDescent="0.25">
      <c r="A19">
        <v>5034</v>
      </c>
      <c r="B19" t="s">
        <v>105</v>
      </c>
      <c r="C19">
        <v>517</v>
      </c>
      <c r="D19" t="s">
        <v>36</v>
      </c>
      <c r="E19">
        <v>22120001</v>
      </c>
      <c r="F19" t="s">
        <v>16</v>
      </c>
      <c r="G19">
        <v>299</v>
      </c>
      <c r="H19" s="1">
        <v>9.8379629629629642E-4</v>
      </c>
      <c r="I19" t="s">
        <v>9</v>
      </c>
      <c r="J19" t="s">
        <v>14</v>
      </c>
      <c r="K19">
        <v>143066864.30713701</v>
      </c>
      <c r="L19">
        <v>143.06686400000001</v>
      </c>
      <c r="M19">
        <f t="shared" si="0"/>
        <v>14306.686430713702</v>
      </c>
    </row>
    <row r="20" spans="1:13" x14ac:dyDescent="0.25">
      <c r="A20">
        <v>5034</v>
      </c>
      <c r="B20" t="s">
        <v>105</v>
      </c>
      <c r="C20">
        <v>768</v>
      </c>
      <c r="D20" t="s">
        <v>66</v>
      </c>
      <c r="E20">
        <v>22100004</v>
      </c>
      <c r="F20" t="s">
        <v>11</v>
      </c>
      <c r="G20">
        <v>316</v>
      </c>
      <c r="H20" s="1">
        <v>9.8379629629629642E-4</v>
      </c>
      <c r="I20" t="s">
        <v>9</v>
      </c>
      <c r="J20" t="s">
        <v>14</v>
      </c>
      <c r="K20">
        <v>10254498.760186</v>
      </c>
      <c r="L20">
        <v>10.254498999999999</v>
      </c>
      <c r="M20">
        <f t="shared" si="0"/>
        <v>1025.4498760186</v>
      </c>
    </row>
    <row r="21" spans="1:13" x14ac:dyDescent="0.25">
      <c r="A21">
        <v>5036</v>
      </c>
      <c r="B21" t="s">
        <v>178</v>
      </c>
      <c r="C21">
        <v>11</v>
      </c>
      <c r="D21" t="s">
        <v>50</v>
      </c>
      <c r="E21">
        <v>22100007</v>
      </c>
      <c r="F21" t="s">
        <v>11</v>
      </c>
      <c r="G21">
        <v>267</v>
      </c>
      <c r="H21" s="1">
        <v>9.8379629629629642E-4</v>
      </c>
      <c r="I21" t="s">
        <v>9</v>
      </c>
      <c r="J21" t="s">
        <v>14</v>
      </c>
      <c r="K21">
        <v>36549759.586107999</v>
      </c>
      <c r="L21">
        <v>36.549759999999999</v>
      </c>
      <c r="M21">
        <f t="shared" si="0"/>
        <v>3654.9759586107998</v>
      </c>
    </row>
    <row r="22" spans="1:13" x14ac:dyDescent="0.25">
      <c r="A22">
        <v>5036</v>
      </c>
      <c r="B22" t="s">
        <v>178</v>
      </c>
      <c r="C22">
        <v>11</v>
      </c>
      <c r="D22" t="s">
        <v>50</v>
      </c>
      <c r="E22">
        <v>22100007</v>
      </c>
      <c r="F22" t="s">
        <v>11</v>
      </c>
      <c r="G22">
        <v>267</v>
      </c>
      <c r="H22" s="1">
        <v>9.8379629629629642E-4</v>
      </c>
      <c r="I22" t="s">
        <v>9</v>
      </c>
      <c r="J22" t="s">
        <v>14</v>
      </c>
      <c r="K22">
        <v>165.437129</v>
      </c>
      <c r="L22">
        <v>1.65E-4</v>
      </c>
      <c r="M22">
        <f t="shared" si="0"/>
        <v>1.65437129E-2</v>
      </c>
    </row>
    <row r="23" spans="1:13" x14ac:dyDescent="0.25">
      <c r="A23">
        <v>5036</v>
      </c>
      <c r="B23" t="s">
        <v>178</v>
      </c>
      <c r="C23">
        <v>1021</v>
      </c>
      <c r="D23" t="s">
        <v>205</v>
      </c>
      <c r="E23">
        <v>2070791</v>
      </c>
      <c r="F23" t="s">
        <v>20</v>
      </c>
      <c r="G23">
        <v>11</v>
      </c>
      <c r="H23" s="1">
        <v>1.8518518518518519E-3</v>
      </c>
      <c r="I23" t="s">
        <v>21</v>
      </c>
      <c r="J23" t="s">
        <v>14</v>
      </c>
      <c r="K23">
        <v>165.437129</v>
      </c>
      <c r="L23">
        <v>1.65E-4</v>
      </c>
      <c r="M23">
        <f t="shared" si="0"/>
        <v>1.65437129E-2</v>
      </c>
    </row>
    <row r="24" spans="1:13" x14ac:dyDescent="0.25">
      <c r="A24">
        <v>5040</v>
      </c>
      <c r="B24" t="s">
        <v>150</v>
      </c>
      <c r="C24">
        <v>87</v>
      </c>
      <c r="D24" t="s">
        <v>151</v>
      </c>
      <c r="E24">
        <v>22100008</v>
      </c>
      <c r="F24" t="s">
        <v>11</v>
      </c>
      <c r="G24">
        <v>480</v>
      </c>
      <c r="H24" s="1">
        <v>1.8518518518518519E-3</v>
      </c>
      <c r="I24" t="s">
        <v>9</v>
      </c>
      <c r="J24" t="s">
        <v>14</v>
      </c>
      <c r="K24">
        <v>51975993.641052</v>
      </c>
      <c r="L24">
        <v>51.975994</v>
      </c>
      <c r="M24">
        <f t="shared" si="0"/>
        <v>5197.5993641052</v>
      </c>
    </row>
    <row r="25" spans="1:13" x14ac:dyDescent="0.25">
      <c r="A25">
        <v>5044</v>
      </c>
      <c r="B25" t="s">
        <v>80</v>
      </c>
      <c r="C25">
        <v>226</v>
      </c>
      <c r="D25" t="s">
        <v>46</v>
      </c>
      <c r="E25">
        <v>22110001</v>
      </c>
      <c r="F25" t="s">
        <v>47</v>
      </c>
      <c r="G25">
        <v>459</v>
      </c>
      <c r="H25" s="1">
        <v>9.8379629629629642E-4</v>
      </c>
      <c r="I25" t="s">
        <v>9</v>
      </c>
      <c r="J25" t="s">
        <v>14</v>
      </c>
      <c r="K25">
        <v>10196234.570011999</v>
      </c>
      <c r="L25">
        <v>10.196235</v>
      </c>
      <c r="M25">
        <f t="shared" si="0"/>
        <v>1019.6234570012</v>
      </c>
    </row>
    <row r="26" spans="1:13" x14ac:dyDescent="0.25">
      <c r="A26">
        <v>5045</v>
      </c>
      <c r="B26" t="s">
        <v>155</v>
      </c>
      <c r="C26">
        <v>643</v>
      </c>
      <c r="D26" t="s">
        <v>156</v>
      </c>
      <c r="E26">
        <v>9110001</v>
      </c>
      <c r="F26" t="s">
        <v>47</v>
      </c>
      <c r="G26">
        <v>11</v>
      </c>
      <c r="H26" t="s">
        <v>12</v>
      </c>
      <c r="I26" t="s">
        <v>24</v>
      </c>
      <c r="J26" t="s">
        <v>14</v>
      </c>
      <c r="K26">
        <v>8630.2113069999996</v>
      </c>
      <c r="L26">
        <v>8.6300000000000005E-3</v>
      </c>
      <c r="M26">
        <f t="shared" si="0"/>
        <v>0.86302113069999997</v>
      </c>
    </row>
    <row r="27" spans="1:13" x14ac:dyDescent="0.25">
      <c r="A27">
        <v>5055</v>
      </c>
      <c r="B27" t="s">
        <v>100</v>
      </c>
      <c r="C27">
        <v>110</v>
      </c>
      <c r="D27" t="s">
        <v>70</v>
      </c>
      <c r="E27">
        <v>20120006</v>
      </c>
      <c r="F27" t="s">
        <v>16</v>
      </c>
      <c r="G27">
        <v>324</v>
      </c>
      <c r="H27" t="s">
        <v>12</v>
      </c>
      <c r="I27" t="s">
        <v>13</v>
      </c>
      <c r="J27" t="s">
        <v>14</v>
      </c>
      <c r="K27">
        <v>39595147.655745</v>
      </c>
      <c r="L27">
        <v>39.595148000000002</v>
      </c>
      <c r="M27">
        <f t="shared" si="0"/>
        <v>3959.5147655745</v>
      </c>
    </row>
    <row r="28" spans="1:13" x14ac:dyDescent="0.25">
      <c r="A28">
        <v>5055</v>
      </c>
      <c r="B28" t="s">
        <v>100</v>
      </c>
      <c r="C28">
        <v>258</v>
      </c>
      <c r="D28" t="s">
        <v>59</v>
      </c>
      <c r="E28">
        <v>20170011</v>
      </c>
      <c r="F28" t="s">
        <v>11</v>
      </c>
      <c r="G28">
        <v>388</v>
      </c>
      <c r="H28" s="1">
        <v>9.8379629629629642E-4</v>
      </c>
      <c r="I28" t="s">
        <v>13</v>
      </c>
      <c r="J28" t="s">
        <v>14</v>
      </c>
      <c r="K28">
        <v>44364013.806442</v>
      </c>
      <c r="L28">
        <v>44.364013999999997</v>
      </c>
      <c r="M28">
        <f t="shared" si="0"/>
        <v>4436.4013806441999</v>
      </c>
    </row>
    <row r="29" spans="1:13" x14ac:dyDescent="0.25">
      <c r="A29">
        <v>5088</v>
      </c>
      <c r="B29" t="s">
        <v>130</v>
      </c>
      <c r="C29">
        <v>11</v>
      </c>
      <c r="D29" t="s">
        <v>50</v>
      </c>
      <c r="E29">
        <v>22100007</v>
      </c>
      <c r="F29" t="s">
        <v>11</v>
      </c>
      <c r="G29">
        <v>267</v>
      </c>
      <c r="H29" s="1">
        <v>9.8379629629629642E-4</v>
      </c>
      <c r="I29" t="s">
        <v>9</v>
      </c>
      <c r="J29" t="s">
        <v>14</v>
      </c>
      <c r="K29">
        <v>30663854.529042002</v>
      </c>
      <c r="L29">
        <v>30.663855000000002</v>
      </c>
      <c r="M29">
        <f t="shared" si="0"/>
        <v>3066.3854529042001</v>
      </c>
    </row>
    <row r="30" spans="1:13" x14ac:dyDescent="0.25">
      <c r="A30">
        <v>5088</v>
      </c>
      <c r="B30" t="s">
        <v>130</v>
      </c>
      <c r="C30">
        <v>75</v>
      </c>
      <c r="D30" t="s">
        <v>82</v>
      </c>
      <c r="E30">
        <v>1010019</v>
      </c>
      <c r="F30" t="s">
        <v>83</v>
      </c>
      <c r="G30">
        <v>24</v>
      </c>
      <c r="H30" t="s">
        <v>12</v>
      </c>
      <c r="I30" t="s">
        <v>84</v>
      </c>
      <c r="J30" t="s">
        <v>14</v>
      </c>
      <c r="K30">
        <v>39281.909571999997</v>
      </c>
      <c r="L30">
        <v>3.9281999999999997E-2</v>
      </c>
      <c r="M30">
        <f t="shared" si="0"/>
        <v>3.9281909571999996</v>
      </c>
    </row>
    <row r="31" spans="1:13" x14ac:dyDescent="0.25">
      <c r="A31">
        <v>5086</v>
      </c>
      <c r="B31" t="s">
        <v>37</v>
      </c>
      <c r="C31">
        <v>122</v>
      </c>
      <c r="D31" t="s">
        <v>38</v>
      </c>
      <c r="E31">
        <v>22100003</v>
      </c>
      <c r="F31" t="s">
        <v>11</v>
      </c>
      <c r="G31">
        <v>282</v>
      </c>
      <c r="H31" s="1">
        <v>9.8379629629629642E-4</v>
      </c>
      <c r="I31" t="s">
        <v>9</v>
      </c>
      <c r="J31" t="s">
        <v>14</v>
      </c>
      <c r="K31">
        <v>190580279.082845</v>
      </c>
      <c r="L31">
        <v>190.58027899999999</v>
      </c>
      <c r="M31">
        <f t="shared" si="0"/>
        <v>19058.027908284501</v>
      </c>
    </row>
    <row r="32" spans="1:13" x14ac:dyDescent="0.25">
      <c r="A32">
        <v>5091</v>
      </c>
      <c r="B32" t="s">
        <v>35</v>
      </c>
      <c r="C32">
        <v>517</v>
      </c>
      <c r="D32" t="s">
        <v>36</v>
      </c>
      <c r="E32">
        <v>22120001</v>
      </c>
      <c r="F32" t="s">
        <v>16</v>
      </c>
      <c r="G32">
        <v>299</v>
      </c>
      <c r="H32" s="1">
        <v>9.8379629629629642E-4</v>
      </c>
      <c r="I32" t="s">
        <v>9</v>
      </c>
      <c r="J32" t="s">
        <v>14</v>
      </c>
      <c r="K32">
        <v>79324368.514645994</v>
      </c>
      <c r="L32">
        <v>79.324369000000004</v>
      </c>
      <c r="M32">
        <f t="shared" si="0"/>
        <v>7932.4368514645994</v>
      </c>
    </row>
    <row r="33" spans="1:13" x14ac:dyDescent="0.25">
      <c r="A33">
        <v>5093</v>
      </c>
      <c r="B33" t="s">
        <v>185</v>
      </c>
      <c r="C33">
        <v>112</v>
      </c>
      <c r="D33" t="s">
        <v>61</v>
      </c>
      <c r="E33">
        <v>22100006</v>
      </c>
      <c r="F33" t="s">
        <v>11</v>
      </c>
      <c r="G33">
        <v>244</v>
      </c>
      <c r="H33" s="1">
        <v>9.8379629629629642E-4</v>
      </c>
      <c r="I33" t="s">
        <v>9</v>
      </c>
      <c r="J33" t="s">
        <v>14</v>
      </c>
      <c r="K33">
        <v>37099833.154669002</v>
      </c>
      <c r="L33">
        <v>37.099832999999997</v>
      </c>
      <c r="M33">
        <f t="shared" si="0"/>
        <v>3709.9833154669</v>
      </c>
    </row>
    <row r="34" spans="1:13" x14ac:dyDescent="0.25">
      <c r="A34">
        <v>5093</v>
      </c>
      <c r="B34" t="s">
        <v>185</v>
      </c>
      <c r="C34">
        <v>112</v>
      </c>
      <c r="D34" t="s">
        <v>61</v>
      </c>
      <c r="E34">
        <v>22100006</v>
      </c>
      <c r="F34" t="s">
        <v>11</v>
      </c>
      <c r="G34">
        <v>244</v>
      </c>
      <c r="H34" s="1">
        <v>9.8379629629629642E-4</v>
      </c>
      <c r="I34" t="s">
        <v>9</v>
      </c>
      <c r="J34" t="s">
        <v>14</v>
      </c>
      <c r="K34">
        <v>85891.180149000007</v>
      </c>
      <c r="L34">
        <v>8.5890999999999995E-2</v>
      </c>
      <c r="M34">
        <f t="shared" si="0"/>
        <v>8.5891180149000004</v>
      </c>
    </row>
    <row r="35" spans="1:13" x14ac:dyDescent="0.25">
      <c r="A35">
        <v>5093</v>
      </c>
      <c r="B35" t="s">
        <v>185</v>
      </c>
      <c r="C35">
        <v>1122</v>
      </c>
      <c r="D35" t="s">
        <v>207</v>
      </c>
      <c r="E35">
        <v>2070575</v>
      </c>
      <c r="F35" t="s">
        <v>20</v>
      </c>
      <c r="G35">
        <v>73</v>
      </c>
      <c r="H35" s="1">
        <v>7.5231481481481471E-4</v>
      </c>
      <c r="I35" t="s">
        <v>21</v>
      </c>
      <c r="J35" t="s">
        <v>14</v>
      </c>
      <c r="K35">
        <v>85891.180149000007</v>
      </c>
      <c r="L35">
        <v>8.5890999999999995E-2</v>
      </c>
      <c r="M35">
        <f t="shared" si="0"/>
        <v>8.5891180149000004</v>
      </c>
    </row>
    <row r="36" spans="1:13" x14ac:dyDescent="0.25">
      <c r="A36">
        <v>5107</v>
      </c>
      <c r="B36" t="s">
        <v>27</v>
      </c>
      <c r="C36">
        <v>101</v>
      </c>
      <c r="D36" t="s">
        <v>28</v>
      </c>
      <c r="E36">
        <v>22100011</v>
      </c>
      <c r="F36" t="s">
        <v>11</v>
      </c>
      <c r="G36">
        <v>528</v>
      </c>
      <c r="H36" s="1">
        <v>9.8379629629629642E-4</v>
      </c>
      <c r="I36" t="s">
        <v>9</v>
      </c>
      <c r="J36" t="s">
        <v>14</v>
      </c>
      <c r="K36">
        <v>7737545.4604719998</v>
      </c>
      <c r="L36">
        <v>7.7375449999999999</v>
      </c>
      <c r="M36">
        <f t="shared" si="0"/>
        <v>773.75454604719994</v>
      </c>
    </row>
    <row r="37" spans="1:13" x14ac:dyDescent="0.25">
      <c r="A37">
        <v>5125</v>
      </c>
      <c r="B37" t="s">
        <v>89</v>
      </c>
      <c r="C37">
        <v>131</v>
      </c>
      <c r="D37" t="s">
        <v>90</v>
      </c>
      <c r="E37">
        <v>1010022</v>
      </c>
      <c r="F37" t="s">
        <v>83</v>
      </c>
      <c r="G37">
        <v>32</v>
      </c>
      <c r="H37" s="1">
        <v>1.8518518518518519E-3</v>
      </c>
      <c r="I37" t="s">
        <v>84</v>
      </c>
      <c r="J37" t="s">
        <v>14</v>
      </c>
      <c r="K37">
        <v>96783.973412000007</v>
      </c>
      <c r="L37">
        <v>9.6783999999999995E-2</v>
      </c>
      <c r="M37">
        <f t="shared" si="0"/>
        <v>9.6783973412000002</v>
      </c>
    </row>
    <row r="38" spans="1:13" x14ac:dyDescent="0.25">
      <c r="A38">
        <v>5125</v>
      </c>
      <c r="B38" t="s">
        <v>89</v>
      </c>
      <c r="C38">
        <v>226</v>
      </c>
      <c r="D38" t="s">
        <v>46</v>
      </c>
      <c r="E38">
        <v>22110001</v>
      </c>
      <c r="F38" t="s">
        <v>47</v>
      </c>
      <c r="G38">
        <v>459</v>
      </c>
      <c r="H38" s="1">
        <v>9.8379629629629642E-4</v>
      </c>
      <c r="I38" t="s">
        <v>9</v>
      </c>
      <c r="J38" t="s">
        <v>14</v>
      </c>
      <c r="K38">
        <v>53596566.130060002</v>
      </c>
      <c r="L38">
        <v>53.596566000000003</v>
      </c>
      <c r="M38">
        <f t="shared" si="0"/>
        <v>5359.656613006</v>
      </c>
    </row>
    <row r="39" spans="1:13" x14ac:dyDescent="0.25">
      <c r="A39">
        <v>5125</v>
      </c>
      <c r="B39" t="s">
        <v>89</v>
      </c>
      <c r="C39">
        <v>131</v>
      </c>
      <c r="D39" t="s">
        <v>90</v>
      </c>
      <c r="E39">
        <v>1010022</v>
      </c>
      <c r="F39" t="s">
        <v>83</v>
      </c>
      <c r="G39">
        <v>32</v>
      </c>
      <c r="H39" s="1">
        <v>1.8518518518518519E-3</v>
      </c>
      <c r="I39" t="s">
        <v>84</v>
      </c>
      <c r="J39" t="s">
        <v>14</v>
      </c>
      <c r="K39">
        <v>39572.355060000002</v>
      </c>
      <c r="L39">
        <v>3.9572000000000003E-2</v>
      </c>
      <c r="M39">
        <f t="shared" si="0"/>
        <v>3.957235506</v>
      </c>
    </row>
    <row r="40" spans="1:13" x14ac:dyDescent="0.25">
      <c r="A40">
        <v>5125</v>
      </c>
      <c r="B40" t="s">
        <v>89</v>
      </c>
      <c r="C40">
        <v>226</v>
      </c>
      <c r="D40" t="s">
        <v>46</v>
      </c>
      <c r="E40">
        <v>22110001</v>
      </c>
      <c r="F40" t="s">
        <v>47</v>
      </c>
      <c r="G40">
        <v>459</v>
      </c>
      <c r="H40" s="1">
        <v>9.8379629629629642E-4</v>
      </c>
      <c r="I40" t="s">
        <v>9</v>
      </c>
      <c r="J40" t="s">
        <v>14</v>
      </c>
      <c r="K40">
        <v>39572.355060000002</v>
      </c>
      <c r="L40">
        <v>3.9572000000000003E-2</v>
      </c>
      <c r="M40">
        <f t="shared" si="0"/>
        <v>3.957235506</v>
      </c>
    </row>
    <row r="41" spans="1:13" x14ac:dyDescent="0.25">
      <c r="A41">
        <v>5129</v>
      </c>
      <c r="B41" t="s">
        <v>49</v>
      </c>
      <c r="C41">
        <v>11</v>
      </c>
      <c r="D41" t="s">
        <v>50</v>
      </c>
      <c r="E41">
        <v>22100007</v>
      </c>
      <c r="F41" t="s">
        <v>11</v>
      </c>
      <c r="G41">
        <v>267</v>
      </c>
      <c r="H41" s="1">
        <v>9.8379629629629642E-4</v>
      </c>
      <c r="I41" t="s">
        <v>9</v>
      </c>
      <c r="J41" t="s">
        <v>14</v>
      </c>
      <c r="K41">
        <v>16348944.410405001</v>
      </c>
      <c r="L41">
        <v>16.348943999999999</v>
      </c>
      <c r="M41">
        <f t="shared" si="0"/>
        <v>1634.8944410405002</v>
      </c>
    </row>
    <row r="42" spans="1:13" x14ac:dyDescent="0.25">
      <c r="A42">
        <v>5129</v>
      </c>
      <c r="B42" t="s">
        <v>49</v>
      </c>
      <c r="C42">
        <v>677</v>
      </c>
      <c r="D42" t="s">
        <v>10</v>
      </c>
      <c r="E42">
        <v>20100008</v>
      </c>
      <c r="F42" t="s">
        <v>11</v>
      </c>
      <c r="G42">
        <v>330</v>
      </c>
      <c r="H42" t="s">
        <v>12</v>
      </c>
      <c r="I42" t="s">
        <v>13</v>
      </c>
      <c r="J42" t="s">
        <v>14</v>
      </c>
      <c r="K42">
        <v>61567.697218000001</v>
      </c>
      <c r="L42">
        <v>6.1567999999999998E-2</v>
      </c>
      <c r="M42">
        <f t="shared" si="0"/>
        <v>6.1567697217999999</v>
      </c>
    </row>
    <row r="43" spans="1:13" x14ac:dyDescent="0.25">
      <c r="A43">
        <v>5129</v>
      </c>
      <c r="B43" t="s">
        <v>49</v>
      </c>
      <c r="C43">
        <v>824</v>
      </c>
      <c r="D43" t="s">
        <v>15</v>
      </c>
      <c r="E43">
        <v>22120003</v>
      </c>
      <c r="F43" t="s">
        <v>16</v>
      </c>
      <c r="G43">
        <v>476</v>
      </c>
      <c r="H43" s="1">
        <v>9.8379629629629642E-4</v>
      </c>
      <c r="I43" t="s">
        <v>9</v>
      </c>
      <c r="J43" t="s">
        <v>14</v>
      </c>
      <c r="K43">
        <v>16155388.393758999</v>
      </c>
      <c r="L43">
        <v>16.155387999999999</v>
      </c>
      <c r="M43">
        <f t="shared" si="0"/>
        <v>1615.5388393758999</v>
      </c>
    </row>
    <row r="44" spans="1:13" x14ac:dyDescent="0.25">
      <c r="A44">
        <v>5129</v>
      </c>
      <c r="B44" t="s">
        <v>49</v>
      </c>
      <c r="C44">
        <v>677</v>
      </c>
      <c r="D44" t="s">
        <v>10</v>
      </c>
      <c r="E44">
        <v>20100008</v>
      </c>
      <c r="F44" t="s">
        <v>11</v>
      </c>
      <c r="G44">
        <v>330</v>
      </c>
      <c r="H44" t="s">
        <v>12</v>
      </c>
      <c r="I44" t="s">
        <v>13</v>
      </c>
      <c r="J44" t="s">
        <v>14</v>
      </c>
      <c r="K44">
        <v>0.33027800000000002</v>
      </c>
      <c r="L44">
        <v>0</v>
      </c>
      <c r="M44">
        <f t="shared" si="0"/>
        <v>3.3027800000000003E-5</v>
      </c>
    </row>
    <row r="45" spans="1:13" x14ac:dyDescent="0.25">
      <c r="A45">
        <v>5129</v>
      </c>
      <c r="B45" t="s">
        <v>49</v>
      </c>
      <c r="C45">
        <v>824</v>
      </c>
      <c r="D45" t="s">
        <v>15</v>
      </c>
      <c r="E45">
        <v>22120003</v>
      </c>
      <c r="F45" t="s">
        <v>16</v>
      </c>
      <c r="G45">
        <v>476</v>
      </c>
      <c r="H45" s="1">
        <v>9.8379629629629642E-4</v>
      </c>
      <c r="I45" t="s">
        <v>9</v>
      </c>
      <c r="J45" t="s">
        <v>14</v>
      </c>
      <c r="K45">
        <v>0.33027800000000002</v>
      </c>
      <c r="L45">
        <v>0</v>
      </c>
      <c r="M45">
        <f t="shared" si="0"/>
        <v>3.3027800000000003E-5</v>
      </c>
    </row>
    <row r="46" spans="1:13" x14ac:dyDescent="0.25">
      <c r="A46">
        <v>5138</v>
      </c>
      <c r="B46" t="s">
        <v>103</v>
      </c>
      <c r="C46">
        <v>633</v>
      </c>
      <c r="D46" t="s">
        <v>48</v>
      </c>
      <c r="E46">
        <v>9100001</v>
      </c>
      <c r="F46" t="s">
        <v>11</v>
      </c>
      <c r="G46">
        <v>10</v>
      </c>
      <c r="H46" s="1">
        <v>1.8518518518518519E-3</v>
      </c>
      <c r="I46" t="s">
        <v>24</v>
      </c>
      <c r="J46" t="s">
        <v>14</v>
      </c>
      <c r="K46">
        <v>16672398.653643001</v>
      </c>
      <c r="L46">
        <v>16.672398999999999</v>
      </c>
      <c r="M46">
        <f t="shared" si="0"/>
        <v>1667.2398653643002</v>
      </c>
    </row>
    <row r="47" spans="1:13" x14ac:dyDescent="0.25">
      <c r="A47">
        <v>5145</v>
      </c>
      <c r="B47" t="s">
        <v>88</v>
      </c>
      <c r="C47">
        <v>768</v>
      </c>
      <c r="D47" t="s">
        <v>66</v>
      </c>
      <c r="E47">
        <v>22100004</v>
      </c>
      <c r="F47" t="s">
        <v>11</v>
      </c>
      <c r="G47">
        <v>316</v>
      </c>
      <c r="H47" s="1">
        <v>9.8379629629629642E-4</v>
      </c>
      <c r="I47" t="s">
        <v>9</v>
      </c>
      <c r="J47" t="s">
        <v>14</v>
      </c>
      <c r="K47">
        <v>3823065.8770880001</v>
      </c>
      <c r="L47">
        <v>3.8230659999999999</v>
      </c>
      <c r="M47">
        <f t="shared" si="0"/>
        <v>382.30658770880001</v>
      </c>
    </row>
    <row r="48" spans="1:13" x14ac:dyDescent="0.25">
      <c r="A48">
        <v>5147</v>
      </c>
      <c r="B48" t="s">
        <v>162</v>
      </c>
      <c r="C48">
        <v>505</v>
      </c>
      <c r="D48" t="s">
        <v>25</v>
      </c>
      <c r="E48">
        <v>2020037</v>
      </c>
      <c r="F48" t="s">
        <v>26</v>
      </c>
      <c r="G48">
        <v>163</v>
      </c>
      <c r="H48" s="1">
        <v>9.8379629629629642E-4</v>
      </c>
      <c r="I48" t="s">
        <v>21</v>
      </c>
      <c r="J48" t="s">
        <v>14</v>
      </c>
      <c r="K48">
        <v>351911.87852799997</v>
      </c>
      <c r="L48">
        <v>0.351912</v>
      </c>
      <c r="M48">
        <f t="shared" si="0"/>
        <v>35.191187852799999</v>
      </c>
    </row>
    <row r="49" spans="1:13" x14ac:dyDescent="0.25">
      <c r="A49">
        <v>5147</v>
      </c>
      <c r="B49" t="s">
        <v>162</v>
      </c>
      <c r="C49">
        <v>643</v>
      </c>
      <c r="D49" t="s">
        <v>156</v>
      </c>
      <c r="E49">
        <v>9110001</v>
      </c>
      <c r="F49" t="s">
        <v>47</v>
      </c>
      <c r="G49">
        <v>11</v>
      </c>
      <c r="H49" t="s">
        <v>12</v>
      </c>
      <c r="I49" t="s">
        <v>24</v>
      </c>
      <c r="J49" t="s">
        <v>14</v>
      </c>
      <c r="K49">
        <v>72996.655325999993</v>
      </c>
      <c r="L49">
        <v>7.2997000000000006E-2</v>
      </c>
      <c r="M49">
        <f t="shared" si="0"/>
        <v>7.2996655325999988</v>
      </c>
    </row>
    <row r="50" spans="1:13" x14ac:dyDescent="0.25">
      <c r="A50">
        <v>5154</v>
      </c>
      <c r="B50" t="s">
        <v>157</v>
      </c>
      <c r="C50">
        <v>363</v>
      </c>
      <c r="D50" t="s">
        <v>154</v>
      </c>
      <c r="E50">
        <v>22100010</v>
      </c>
      <c r="F50" t="s">
        <v>11</v>
      </c>
      <c r="G50">
        <v>508</v>
      </c>
      <c r="H50" s="1">
        <v>9.8379629629629642E-4</v>
      </c>
      <c r="I50" t="s">
        <v>9</v>
      </c>
      <c r="J50" t="s">
        <v>14</v>
      </c>
      <c r="K50">
        <v>12731125.837553</v>
      </c>
      <c r="L50">
        <v>12.731126</v>
      </c>
      <c r="M50">
        <f t="shared" si="0"/>
        <v>1273.1125837553</v>
      </c>
    </row>
    <row r="51" spans="1:13" x14ac:dyDescent="0.25">
      <c r="A51">
        <v>5154</v>
      </c>
      <c r="B51" t="s">
        <v>157</v>
      </c>
      <c r="C51">
        <v>450</v>
      </c>
      <c r="D51" t="s">
        <v>158</v>
      </c>
      <c r="E51">
        <v>3100003</v>
      </c>
      <c r="F51" t="s">
        <v>11</v>
      </c>
      <c r="G51">
        <v>133</v>
      </c>
      <c r="H51" s="1">
        <v>9.8379629629629642E-4</v>
      </c>
      <c r="I51" t="s">
        <v>159</v>
      </c>
      <c r="J51" t="s">
        <v>14</v>
      </c>
      <c r="K51">
        <v>1041122.429563</v>
      </c>
      <c r="L51">
        <v>1.0411220000000001</v>
      </c>
      <c r="M51">
        <f t="shared" si="0"/>
        <v>104.11224295629999</v>
      </c>
    </row>
    <row r="52" spans="1:13" x14ac:dyDescent="0.25">
      <c r="A52">
        <v>5172</v>
      </c>
      <c r="B52" t="s">
        <v>152</v>
      </c>
      <c r="C52">
        <v>505</v>
      </c>
      <c r="D52" t="s">
        <v>25</v>
      </c>
      <c r="E52">
        <v>2020037</v>
      </c>
      <c r="F52" t="s">
        <v>26</v>
      </c>
      <c r="G52">
        <v>163</v>
      </c>
      <c r="H52" s="1">
        <v>9.8379629629629642E-4</v>
      </c>
      <c r="I52" t="s">
        <v>21</v>
      </c>
      <c r="J52" t="s">
        <v>14</v>
      </c>
      <c r="K52">
        <v>1343585.2071700001</v>
      </c>
      <c r="L52">
        <v>1.343585</v>
      </c>
      <c r="M52">
        <f t="shared" si="0"/>
        <v>134.358520717</v>
      </c>
    </row>
    <row r="53" spans="1:13" x14ac:dyDescent="0.25">
      <c r="A53">
        <v>5172</v>
      </c>
      <c r="B53" t="s">
        <v>152</v>
      </c>
      <c r="C53">
        <v>622</v>
      </c>
      <c r="D53" t="s">
        <v>147</v>
      </c>
      <c r="E53">
        <v>1010003</v>
      </c>
      <c r="F53" t="s">
        <v>83</v>
      </c>
      <c r="G53">
        <v>23</v>
      </c>
      <c r="H53" s="1">
        <v>9.8379629629629642E-4</v>
      </c>
      <c r="I53" t="s">
        <v>84</v>
      </c>
      <c r="J53" t="s">
        <v>14</v>
      </c>
      <c r="K53">
        <v>383654.77288800001</v>
      </c>
      <c r="L53">
        <v>0.38365500000000002</v>
      </c>
      <c r="M53">
        <f t="shared" si="0"/>
        <v>38.365477288800001</v>
      </c>
    </row>
    <row r="54" spans="1:13" x14ac:dyDescent="0.25">
      <c r="A54">
        <v>5101</v>
      </c>
      <c r="B54" t="s">
        <v>191</v>
      </c>
      <c r="C54">
        <v>47</v>
      </c>
      <c r="D54" t="s">
        <v>111</v>
      </c>
      <c r="E54">
        <v>22100005</v>
      </c>
      <c r="F54" t="s">
        <v>11</v>
      </c>
      <c r="G54">
        <v>245</v>
      </c>
      <c r="H54" s="1">
        <v>9.8379629629629642E-4</v>
      </c>
      <c r="I54" t="s">
        <v>9</v>
      </c>
      <c r="J54" t="s">
        <v>14</v>
      </c>
      <c r="K54">
        <v>5170.8946859999996</v>
      </c>
      <c r="L54">
        <v>5.1710000000000002E-3</v>
      </c>
      <c r="M54">
        <f t="shared" si="0"/>
        <v>0.51708946859999994</v>
      </c>
    </row>
    <row r="55" spans="1:13" x14ac:dyDescent="0.25">
      <c r="A55">
        <v>5101</v>
      </c>
      <c r="B55" t="s">
        <v>191</v>
      </c>
      <c r="C55">
        <v>386</v>
      </c>
      <c r="D55" t="s">
        <v>112</v>
      </c>
      <c r="E55">
        <v>24100004</v>
      </c>
      <c r="F55" t="s">
        <v>11</v>
      </c>
      <c r="G55">
        <v>11</v>
      </c>
      <c r="H55" s="1">
        <v>1.8518518518518519E-3</v>
      </c>
      <c r="I55" t="s">
        <v>113</v>
      </c>
      <c r="J55" t="s">
        <v>14</v>
      </c>
      <c r="K55">
        <v>5523.1330820000003</v>
      </c>
      <c r="L55">
        <v>5.5230000000000001E-3</v>
      </c>
      <c r="M55">
        <f t="shared" si="0"/>
        <v>0.55231330820000002</v>
      </c>
    </row>
    <row r="56" spans="1:13" x14ac:dyDescent="0.25">
      <c r="A56">
        <v>5101</v>
      </c>
      <c r="B56" t="s">
        <v>191</v>
      </c>
      <c r="C56">
        <v>517</v>
      </c>
      <c r="D56" t="s">
        <v>36</v>
      </c>
      <c r="E56">
        <v>22120001</v>
      </c>
      <c r="F56" t="s">
        <v>16</v>
      </c>
      <c r="G56">
        <v>299</v>
      </c>
      <c r="H56" s="1">
        <v>9.8379629629629642E-4</v>
      </c>
      <c r="I56" t="s">
        <v>9</v>
      </c>
      <c r="J56" t="s">
        <v>14</v>
      </c>
      <c r="K56">
        <v>70233571.748990998</v>
      </c>
      <c r="L56">
        <v>70.233571999999995</v>
      </c>
      <c r="M56">
        <f t="shared" si="0"/>
        <v>7023.3571748990998</v>
      </c>
    </row>
    <row r="57" spans="1:13" x14ac:dyDescent="0.25">
      <c r="A57">
        <v>5197</v>
      </c>
      <c r="B57" t="s">
        <v>101</v>
      </c>
      <c r="C57">
        <v>98</v>
      </c>
      <c r="D57" t="s">
        <v>63</v>
      </c>
      <c r="E57">
        <v>20100007</v>
      </c>
      <c r="F57" t="s">
        <v>11</v>
      </c>
      <c r="G57">
        <v>329</v>
      </c>
      <c r="H57" t="s">
        <v>12</v>
      </c>
      <c r="I57" t="s">
        <v>13</v>
      </c>
      <c r="J57" t="s">
        <v>14</v>
      </c>
      <c r="K57">
        <v>111949.68458</v>
      </c>
      <c r="L57">
        <v>0.11194999999999999</v>
      </c>
      <c r="M57">
        <f t="shared" si="0"/>
        <v>11.194968458</v>
      </c>
    </row>
    <row r="58" spans="1:13" x14ac:dyDescent="0.25">
      <c r="A58">
        <v>5197</v>
      </c>
      <c r="B58" t="s">
        <v>101</v>
      </c>
      <c r="C58">
        <v>202</v>
      </c>
      <c r="D58" t="s">
        <v>58</v>
      </c>
      <c r="E58">
        <v>20170009</v>
      </c>
      <c r="F58" t="s">
        <v>11</v>
      </c>
      <c r="G58">
        <v>331</v>
      </c>
      <c r="H58" s="1">
        <v>8.1018518518518516E-4</v>
      </c>
      <c r="I58" t="s">
        <v>13</v>
      </c>
      <c r="J58" t="s">
        <v>14</v>
      </c>
      <c r="K58">
        <v>31200757.395792</v>
      </c>
      <c r="L58">
        <v>31.200756999999999</v>
      </c>
      <c r="M58">
        <f t="shared" si="0"/>
        <v>3120.0757395792002</v>
      </c>
    </row>
    <row r="59" spans="1:13" x14ac:dyDescent="0.25">
      <c r="A59">
        <v>5197</v>
      </c>
      <c r="B59" t="s">
        <v>101</v>
      </c>
      <c r="C59">
        <v>258</v>
      </c>
      <c r="D59" t="s">
        <v>59</v>
      </c>
      <c r="E59">
        <v>20170011</v>
      </c>
      <c r="F59" t="s">
        <v>11</v>
      </c>
      <c r="G59">
        <v>388</v>
      </c>
      <c r="H59" s="1">
        <v>9.8379629629629642E-4</v>
      </c>
      <c r="I59" t="s">
        <v>13</v>
      </c>
      <c r="J59" t="s">
        <v>14</v>
      </c>
      <c r="K59">
        <v>374641.399943</v>
      </c>
      <c r="L59">
        <v>0.374641</v>
      </c>
      <c r="M59">
        <f t="shared" si="0"/>
        <v>37.464139994299998</v>
      </c>
    </row>
    <row r="60" spans="1:13" x14ac:dyDescent="0.25">
      <c r="A60">
        <v>5197</v>
      </c>
      <c r="B60" t="s">
        <v>101</v>
      </c>
      <c r="C60">
        <v>259</v>
      </c>
      <c r="D60" t="s">
        <v>53</v>
      </c>
      <c r="E60">
        <v>2070959</v>
      </c>
      <c r="F60" t="s">
        <v>20</v>
      </c>
      <c r="G60">
        <v>24</v>
      </c>
      <c r="H60" s="1">
        <v>1.8518518518518519E-3</v>
      </c>
      <c r="I60" t="s">
        <v>21</v>
      </c>
      <c r="J60" t="s">
        <v>14</v>
      </c>
      <c r="K60">
        <v>84936.007320999997</v>
      </c>
      <c r="L60">
        <v>8.4935999999999998E-2</v>
      </c>
      <c r="M60">
        <f t="shared" si="0"/>
        <v>8.4936007320999991</v>
      </c>
    </row>
    <row r="61" spans="1:13" x14ac:dyDescent="0.25">
      <c r="A61">
        <v>5197</v>
      </c>
      <c r="B61" t="s">
        <v>101</v>
      </c>
      <c r="C61">
        <v>676</v>
      </c>
      <c r="D61" t="s">
        <v>22</v>
      </c>
      <c r="E61">
        <v>20120005</v>
      </c>
      <c r="F61" t="s">
        <v>16</v>
      </c>
      <c r="G61">
        <v>322</v>
      </c>
      <c r="H61" t="s">
        <v>12</v>
      </c>
      <c r="I61" t="s">
        <v>13</v>
      </c>
      <c r="J61" t="s">
        <v>14</v>
      </c>
      <c r="K61">
        <v>736014.57116000005</v>
      </c>
      <c r="L61">
        <v>0.73601499999999997</v>
      </c>
      <c r="M61">
        <f t="shared" si="0"/>
        <v>73.601457116000006</v>
      </c>
    </row>
    <row r="62" spans="1:13" x14ac:dyDescent="0.25">
      <c r="A62">
        <v>5206</v>
      </c>
      <c r="B62" t="s">
        <v>85</v>
      </c>
      <c r="C62">
        <v>994</v>
      </c>
      <c r="D62" t="s">
        <v>86</v>
      </c>
      <c r="E62">
        <v>20100010</v>
      </c>
      <c r="F62" t="s">
        <v>11</v>
      </c>
      <c r="G62">
        <v>378</v>
      </c>
      <c r="H62" s="1">
        <v>9.8379629629629642E-4</v>
      </c>
      <c r="I62" t="s">
        <v>13</v>
      </c>
      <c r="J62" t="s">
        <v>14</v>
      </c>
      <c r="K62">
        <v>11564636.254773</v>
      </c>
      <c r="L62">
        <v>11.564636</v>
      </c>
      <c r="M62">
        <f t="shared" si="0"/>
        <v>1156.4636254773</v>
      </c>
    </row>
    <row r="63" spans="1:13" x14ac:dyDescent="0.25">
      <c r="A63">
        <v>5206</v>
      </c>
      <c r="B63" t="s">
        <v>85</v>
      </c>
      <c r="C63">
        <v>1290</v>
      </c>
      <c r="D63" t="s">
        <v>87</v>
      </c>
      <c r="E63">
        <v>20100001</v>
      </c>
      <c r="F63" t="s">
        <v>11</v>
      </c>
      <c r="G63">
        <v>93</v>
      </c>
      <c r="H63" s="1">
        <v>9.8379629629629642E-4</v>
      </c>
      <c r="I63" t="s">
        <v>13</v>
      </c>
      <c r="J63" t="s">
        <v>14</v>
      </c>
      <c r="K63">
        <v>22484913.001917999</v>
      </c>
      <c r="L63">
        <v>22.484912999999999</v>
      </c>
      <c r="M63">
        <f t="shared" si="0"/>
        <v>2248.4913001917998</v>
      </c>
    </row>
    <row r="64" spans="1:13" x14ac:dyDescent="0.25">
      <c r="A64">
        <v>5209</v>
      </c>
      <c r="B64" t="s">
        <v>60</v>
      </c>
      <c r="C64">
        <v>112</v>
      </c>
      <c r="D64" t="s">
        <v>61</v>
      </c>
      <c r="E64">
        <v>22100006</v>
      </c>
      <c r="F64" t="s">
        <v>11</v>
      </c>
      <c r="G64">
        <v>244</v>
      </c>
      <c r="H64" s="1">
        <v>9.8379629629629642E-4</v>
      </c>
      <c r="I64" t="s">
        <v>9</v>
      </c>
      <c r="J64" t="s">
        <v>14</v>
      </c>
      <c r="K64">
        <v>3805655.9787229998</v>
      </c>
      <c r="L64">
        <v>3.8056559999999999</v>
      </c>
      <c r="M64">
        <f t="shared" si="0"/>
        <v>380.56559787229997</v>
      </c>
    </row>
    <row r="65" spans="1:13" x14ac:dyDescent="0.25">
      <c r="A65">
        <v>5212</v>
      </c>
      <c r="B65" t="s">
        <v>81</v>
      </c>
      <c r="C65">
        <v>75</v>
      </c>
      <c r="D65" t="s">
        <v>82</v>
      </c>
      <c r="E65">
        <v>1010019</v>
      </c>
      <c r="F65" t="s">
        <v>83</v>
      </c>
      <c r="G65">
        <v>24</v>
      </c>
      <c r="H65" t="s">
        <v>12</v>
      </c>
      <c r="I65" t="s">
        <v>84</v>
      </c>
      <c r="J65" t="s">
        <v>14</v>
      </c>
      <c r="K65">
        <v>95079.557054000004</v>
      </c>
      <c r="L65">
        <v>9.5079999999999998E-2</v>
      </c>
      <c r="M65">
        <f t="shared" si="0"/>
        <v>9.5079557054000006</v>
      </c>
    </row>
    <row r="66" spans="1:13" x14ac:dyDescent="0.25">
      <c r="A66">
        <v>5234</v>
      </c>
      <c r="B66" t="s">
        <v>73</v>
      </c>
      <c r="C66">
        <v>505</v>
      </c>
      <c r="D66" t="s">
        <v>25</v>
      </c>
      <c r="E66">
        <v>2020037</v>
      </c>
      <c r="F66" t="s">
        <v>26</v>
      </c>
      <c r="G66">
        <v>163</v>
      </c>
      <c r="H66" s="1">
        <v>9.8379629629629642E-4</v>
      </c>
      <c r="I66" t="s">
        <v>21</v>
      </c>
      <c r="J66" t="s">
        <v>14</v>
      </c>
      <c r="K66">
        <v>101716111.24719501</v>
      </c>
      <c r="L66">
        <v>101.716111</v>
      </c>
      <c r="M66">
        <f t="shared" si="0"/>
        <v>10171.6111247195</v>
      </c>
    </row>
    <row r="67" spans="1:13" x14ac:dyDescent="0.25">
      <c r="A67">
        <v>5240</v>
      </c>
      <c r="B67" t="s">
        <v>129</v>
      </c>
      <c r="C67">
        <v>11</v>
      </c>
      <c r="D67" t="s">
        <v>50</v>
      </c>
      <c r="E67">
        <v>22100007</v>
      </c>
      <c r="F67" t="s">
        <v>11</v>
      </c>
      <c r="G67">
        <v>267</v>
      </c>
      <c r="H67" s="1">
        <v>9.8379629629629642E-4</v>
      </c>
      <c r="I67" t="s">
        <v>9</v>
      </c>
      <c r="J67" t="s">
        <v>14</v>
      </c>
      <c r="K67">
        <v>4270458.6223189998</v>
      </c>
      <c r="L67">
        <v>4.2704589999999998</v>
      </c>
      <c r="M67">
        <f t="shared" ref="M67:M130" si="1">K67/10000</f>
        <v>427.0458622319</v>
      </c>
    </row>
    <row r="68" spans="1:13" x14ac:dyDescent="0.25">
      <c r="A68">
        <v>5250</v>
      </c>
      <c r="B68" t="s">
        <v>153</v>
      </c>
      <c r="C68">
        <v>363</v>
      </c>
      <c r="D68" t="s">
        <v>154</v>
      </c>
      <c r="E68">
        <v>22100010</v>
      </c>
      <c r="F68" t="s">
        <v>11</v>
      </c>
      <c r="G68">
        <v>508</v>
      </c>
      <c r="H68" s="1">
        <v>9.8379629629629642E-4</v>
      </c>
      <c r="I68" t="s">
        <v>9</v>
      </c>
      <c r="J68" t="s">
        <v>14</v>
      </c>
      <c r="K68">
        <v>147601.449425</v>
      </c>
      <c r="L68">
        <v>0.14760100000000001</v>
      </c>
      <c r="M68">
        <f t="shared" si="1"/>
        <v>14.7601449425</v>
      </c>
    </row>
    <row r="69" spans="1:13" x14ac:dyDescent="0.25">
      <c r="A69">
        <v>5148</v>
      </c>
      <c r="B69" t="s">
        <v>57</v>
      </c>
      <c r="C69">
        <v>202</v>
      </c>
      <c r="D69" t="s">
        <v>58</v>
      </c>
      <c r="E69">
        <v>20170009</v>
      </c>
      <c r="F69" t="s">
        <v>11</v>
      </c>
      <c r="G69">
        <v>331</v>
      </c>
      <c r="H69" s="1">
        <v>8.1018518518518516E-4</v>
      </c>
      <c r="I69" t="s">
        <v>13</v>
      </c>
      <c r="J69" t="s">
        <v>14</v>
      </c>
      <c r="K69">
        <v>16260762.777034</v>
      </c>
      <c r="L69">
        <v>16.260763000000001</v>
      </c>
      <c r="M69">
        <f t="shared" si="1"/>
        <v>1626.0762777033999</v>
      </c>
    </row>
    <row r="70" spans="1:13" x14ac:dyDescent="0.25">
      <c r="A70">
        <v>5148</v>
      </c>
      <c r="B70" t="s">
        <v>57</v>
      </c>
      <c r="C70">
        <v>250</v>
      </c>
      <c r="D70" t="s">
        <v>18</v>
      </c>
      <c r="E70">
        <v>20170003</v>
      </c>
      <c r="F70" t="s">
        <v>11</v>
      </c>
      <c r="G70">
        <v>323</v>
      </c>
      <c r="H70" s="1">
        <v>8.1018518518518516E-4</v>
      </c>
      <c r="I70" t="s">
        <v>13</v>
      </c>
      <c r="J70" t="s">
        <v>14</v>
      </c>
      <c r="K70">
        <v>12975323.92877</v>
      </c>
      <c r="L70">
        <v>12.975324000000001</v>
      </c>
      <c r="M70">
        <f t="shared" si="1"/>
        <v>1297.5323928770001</v>
      </c>
    </row>
    <row r="71" spans="1:13" x14ac:dyDescent="0.25">
      <c r="A71">
        <v>5148</v>
      </c>
      <c r="B71" t="s">
        <v>57</v>
      </c>
      <c r="C71">
        <v>258</v>
      </c>
      <c r="D71" t="s">
        <v>59</v>
      </c>
      <c r="E71">
        <v>20170011</v>
      </c>
      <c r="F71" t="s">
        <v>11</v>
      </c>
      <c r="G71">
        <v>388</v>
      </c>
      <c r="H71" s="1">
        <v>9.8379629629629642E-4</v>
      </c>
      <c r="I71" t="s">
        <v>13</v>
      </c>
      <c r="J71" t="s">
        <v>14</v>
      </c>
      <c r="K71">
        <v>538975.96358500002</v>
      </c>
      <c r="L71">
        <v>0.53897600000000001</v>
      </c>
      <c r="M71">
        <f t="shared" si="1"/>
        <v>53.897596358500003</v>
      </c>
    </row>
    <row r="72" spans="1:13" x14ac:dyDescent="0.25">
      <c r="A72">
        <v>5148</v>
      </c>
      <c r="B72" t="s">
        <v>57</v>
      </c>
      <c r="C72">
        <v>676</v>
      </c>
      <c r="D72" t="s">
        <v>22</v>
      </c>
      <c r="E72">
        <v>20120005</v>
      </c>
      <c r="F72" t="s">
        <v>16</v>
      </c>
      <c r="G72">
        <v>322</v>
      </c>
      <c r="H72" t="s">
        <v>12</v>
      </c>
      <c r="I72" t="s">
        <v>13</v>
      </c>
      <c r="J72" t="s">
        <v>14</v>
      </c>
      <c r="K72">
        <v>264370158.93639699</v>
      </c>
      <c r="L72">
        <v>264.370159</v>
      </c>
      <c r="M72">
        <f t="shared" si="1"/>
        <v>26437.015893639698</v>
      </c>
    </row>
    <row r="73" spans="1:13" x14ac:dyDescent="0.25">
      <c r="A73">
        <v>5148</v>
      </c>
      <c r="B73" t="s">
        <v>57</v>
      </c>
      <c r="C73">
        <v>202</v>
      </c>
      <c r="D73" t="s">
        <v>58</v>
      </c>
      <c r="E73">
        <v>20170009</v>
      </c>
      <c r="F73" t="s">
        <v>11</v>
      </c>
      <c r="G73">
        <v>331</v>
      </c>
      <c r="H73" s="1">
        <v>8.1018518518518516E-4</v>
      </c>
      <c r="I73" t="s">
        <v>13</v>
      </c>
      <c r="J73" t="s">
        <v>14</v>
      </c>
      <c r="K73">
        <v>37380.308687999997</v>
      </c>
      <c r="L73">
        <v>3.7379999999999997E-2</v>
      </c>
      <c r="M73">
        <f t="shared" si="1"/>
        <v>3.7380308687999997</v>
      </c>
    </row>
    <row r="74" spans="1:13" x14ac:dyDescent="0.25">
      <c r="A74">
        <v>5148</v>
      </c>
      <c r="B74" t="s">
        <v>57</v>
      </c>
      <c r="C74">
        <v>676</v>
      </c>
      <c r="D74" t="s">
        <v>22</v>
      </c>
      <c r="E74">
        <v>20120005</v>
      </c>
      <c r="F74" t="s">
        <v>16</v>
      </c>
      <c r="G74">
        <v>322</v>
      </c>
      <c r="H74" t="s">
        <v>12</v>
      </c>
      <c r="I74" t="s">
        <v>13</v>
      </c>
      <c r="J74" t="s">
        <v>14</v>
      </c>
      <c r="K74">
        <v>37380.308687999997</v>
      </c>
      <c r="L74">
        <v>3.7379999999999997E-2</v>
      </c>
      <c r="M74">
        <f t="shared" si="1"/>
        <v>3.7380308687999997</v>
      </c>
    </row>
    <row r="75" spans="1:13" x14ac:dyDescent="0.25">
      <c r="A75">
        <v>5148</v>
      </c>
      <c r="B75" t="s">
        <v>57</v>
      </c>
      <c r="C75">
        <v>250</v>
      </c>
      <c r="D75" t="s">
        <v>18</v>
      </c>
      <c r="E75">
        <v>20170003</v>
      </c>
      <c r="F75" t="s">
        <v>11</v>
      </c>
      <c r="G75">
        <v>323</v>
      </c>
      <c r="H75" s="1">
        <v>8.1018518518518516E-4</v>
      </c>
      <c r="I75" t="s">
        <v>13</v>
      </c>
      <c r="J75" t="s">
        <v>14</v>
      </c>
      <c r="K75">
        <v>20449.543688999998</v>
      </c>
      <c r="L75">
        <v>2.0449999999999999E-2</v>
      </c>
      <c r="M75">
        <f t="shared" si="1"/>
        <v>2.0449543689</v>
      </c>
    </row>
    <row r="76" spans="1:13" x14ac:dyDescent="0.25">
      <c r="A76">
        <v>5148</v>
      </c>
      <c r="B76" t="s">
        <v>57</v>
      </c>
      <c r="C76">
        <v>676</v>
      </c>
      <c r="D76" t="s">
        <v>22</v>
      </c>
      <c r="E76">
        <v>20120005</v>
      </c>
      <c r="F76" t="s">
        <v>16</v>
      </c>
      <c r="G76">
        <v>322</v>
      </c>
      <c r="H76" t="s">
        <v>12</v>
      </c>
      <c r="I76" t="s">
        <v>13</v>
      </c>
      <c r="J76" t="s">
        <v>14</v>
      </c>
      <c r="K76">
        <v>20449.543688999998</v>
      </c>
      <c r="L76">
        <v>2.0449999999999999E-2</v>
      </c>
      <c r="M76">
        <f t="shared" si="1"/>
        <v>2.0449543689</v>
      </c>
    </row>
    <row r="77" spans="1:13" x14ac:dyDescent="0.25">
      <c r="A77">
        <v>5148</v>
      </c>
      <c r="B77" t="s">
        <v>57</v>
      </c>
      <c r="C77">
        <v>258</v>
      </c>
      <c r="D77" t="s">
        <v>59</v>
      </c>
      <c r="E77">
        <v>20170011</v>
      </c>
      <c r="F77" t="s">
        <v>11</v>
      </c>
      <c r="G77">
        <v>388</v>
      </c>
      <c r="H77" s="1">
        <v>9.8379629629629642E-4</v>
      </c>
      <c r="I77" t="s">
        <v>13</v>
      </c>
      <c r="J77" t="s">
        <v>14</v>
      </c>
      <c r="K77">
        <v>2.0544E-2</v>
      </c>
      <c r="L77">
        <v>0</v>
      </c>
      <c r="M77">
        <f t="shared" si="1"/>
        <v>2.0544000000000002E-6</v>
      </c>
    </row>
    <row r="78" spans="1:13" x14ac:dyDescent="0.25">
      <c r="A78">
        <v>5148</v>
      </c>
      <c r="B78" t="s">
        <v>57</v>
      </c>
      <c r="C78">
        <v>676</v>
      </c>
      <c r="D78" t="s">
        <v>22</v>
      </c>
      <c r="E78">
        <v>20120005</v>
      </c>
      <c r="F78" t="s">
        <v>16</v>
      </c>
      <c r="G78">
        <v>322</v>
      </c>
      <c r="H78" t="s">
        <v>12</v>
      </c>
      <c r="I78" t="s">
        <v>13</v>
      </c>
      <c r="J78" t="s">
        <v>14</v>
      </c>
      <c r="K78">
        <v>2.0544E-2</v>
      </c>
      <c r="L78">
        <v>0</v>
      </c>
      <c r="M78">
        <f t="shared" si="1"/>
        <v>2.0544000000000002E-6</v>
      </c>
    </row>
    <row r="79" spans="1:13" x14ac:dyDescent="0.25">
      <c r="A79">
        <v>5148</v>
      </c>
      <c r="B79" t="s">
        <v>57</v>
      </c>
      <c r="C79">
        <v>614</v>
      </c>
      <c r="D79" t="s">
        <v>19</v>
      </c>
      <c r="E79">
        <v>2070312</v>
      </c>
      <c r="F79" t="s">
        <v>20</v>
      </c>
      <c r="G79">
        <v>60</v>
      </c>
      <c r="H79" t="s">
        <v>12</v>
      </c>
      <c r="I79" t="s">
        <v>21</v>
      </c>
      <c r="J79" t="s">
        <v>14</v>
      </c>
      <c r="K79">
        <v>16148.292871</v>
      </c>
      <c r="L79">
        <v>1.6147999999999999E-2</v>
      </c>
      <c r="M79">
        <f t="shared" si="1"/>
        <v>1.6148292871000001</v>
      </c>
    </row>
    <row r="80" spans="1:13" x14ac:dyDescent="0.25">
      <c r="A80">
        <v>5148</v>
      </c>
      <c r="B80" t="s">
        <v>57</v>
      </c>
      <c r="C80">
        <v>676</v>
      </c>
      <c r="D80" t="s">
        <v>22</v>
      </c>
      <c r="E80">
        <v>20120005</v>
      </c>
      <c r="F80" t="s">
        <v>16</v>
      </c>
      <c r="G80">
        <v>322</v>
      </c>
      <c r="H80" t="s">
        <v>12</v>
      </c>
      <c r="I80" t="s">
        <v>13</v>
      </c>
      <c r="J80" t="s">
        <v>14</v>
      </c>
      <c r="K80">
        <v>16148.292871</v>
      </c>
      <c r="L80">
        <v>1.6147999999999999E-2</v>
      </c>
      <c r="M80">
        <f t="shared" si="1"/>
        <v>1.6148292871000001</v>
      </c>
    </row>
    <row r="81" spans="1:13" x14ac:dyDescent="0.25">
      <c r="A81">
        <v>5541</v>
      </c>
      <c r="B81" t="s">
        <v>121</v>
      </c>
      <c r="C81">
        <v>98</v>
      </c>
      <c r="D81" t="s">
        <v>63</v>
      </c>
      <c r="E81">
        <v>20100007</v>
      </c>
      <c r="F81" t="s">
        <v>11</v>
      </c>
      <c r="G81">
        <v>329</v>
      </c>
      <c r="H81" t="s">
        <v>12</v>
      </c>
      <c r="I81" t="s">
        <v>13</v>
      </c>
      <c r="J81" t="s">
        <v>14</v>
      </c>
      <c r="K81">
        <v>3351832.3870319999</v>
      </c>
      <c r="L81">
        <v>3.3518319999999999</v>
      </c>
      <c r="M81">
        <f t="shared" si="1"/>
        <v>335.1832387032</v>
      </c>
    </row>
    <row r="82" spans="1:13" x14ac:dyDescent="0.25">
      <c r="A82">
        <v>5541</v>
      </c>
      <c r="B82" t="s">
        <v>121</v>
      </c>
      <c r="C82">
        <v>1290</v>
      </c>
      <c r="D82" t="s">
        <v>87</v>
      </c>
      <c r="E82">
        <v>20100001</v>
      </c>
      <c r="F82" t="s">
        <v>11</v>
      </c>
      <c r="G82">
        <v>93</v>
      </c>
      <c r="H82" s="1">
        <v>9.8379629629629642E-4</v>
      </c>
      <c r="I82" t="s">
        <v>13</v>
      </c>
      <c r="J82" t="s">
        <v>14</v>
      </c>
      <c r="K82">
        <v>41653674.135058001</v>
      </c>
      <c r="L82">
        <v>41.653674000000002</v>
      </c>
      <c r="M82">
        <f t="shared" si="1"/>
        <v>4165.3674135058</v>
      </c>
    </row>
    <row r="83" spans="1:13" x14ac:dyDescent="0.25">
      <c r="A83">
        <v>5607</v>
      </c>
      <c r="B83" t="s">
        <v>179</v>
      </c>
      <c r="C83">
        <v>75</v>
      </c>
      <c r="D83" t="s">
        <v>82</v>
      </c>
      <c r="E83">
        <v>1010019</v>
      </c>
      <c r="F83" t="s">
        <v>83</v>
      </c>
      <c r="G83">
        <v>24</v>
      </c>
      <c r="H83" t="s">
        <v>12</v>
      </c>
      <c r="I83" t="s">
        <v>84</v>
      </c>
      <c r="J83" t="s">
        <v>14</v>
      </c>
      <c r="K83">
        <v>41650667.439029999</v>
      </c>
      <c r="L83">
        <v>41.650666999999999</v>
      </c>
      <c r="M83">
        <f t="shared" si="1"/>
        <v>4165.0667439030003</v>
      </c>
    </row>
    <row r="84" spans="1:13" x14ac:dyDescent="0.25">
      <c r="A84">
        <v>5607</v>
      </c>
      <c r="B84" t="s">
        <v>179</v>
      </c>
      <c r="C84">
        <v>183</v>
      </c>
      <c r="D84" t="s">
        <v>180</v>
      </c>
      <c r="E84">
        <v>2070754</v>
      </c>
      <c r="F84" t="s">
        <v>20</v>
      </c>
      <c r="G84">
        <v>100</v>
      </c>
      <c r="H84" s="1">
        <v>8.1018518518518516E-4</v>
      </c>
      <c r="I84" t="s">
        <v>21</v>
      </c>
      <c r="J84" t="s">
        <v>14</v>
      </c>
      <c r="K84">
        <v>442219.57520100003</v>
      </c>
      <c r="L84">
        <v>0.44222</v>
      </c>
      <c r="M84">
        <f t="shared" si="1"/>
        <v>44.221957520100005</v>
      </c>
    </row>
    <row r="85" spans="1:13" x14ac:dyDescent="0.25">
      <c r="A85">
        <v>5607</v>
      </c>
      <c r="B85" t="s">
        <v>179</v>
      </c>
      <c r="C85">
        <v>250</v>
      </c>
      <c r="D85" t="s">
        <v>18</v>
      </c>
      <c r="E85">
        <v>20170003</v>
      </c>
      <c r="F85" t="s">
        <v>11</v>
      </c>
      <c r="G85">
        <v>323</v>
      </c>
      <c r="H85" s="1">
        <v>8.1018518518518516E-4</v>
      </c>
      <c r="I85" t="s">
        <v>13</v>
      </c>
      <c r="J85" t="s">
        <v>14</v>
      </c>
      <c r="K85">
        <v>3835092.381205</v>
      </c>
      <c r="L85">
        <v>3.8350919999999999</v>
      </c>
      <c r="M85">
        <f t="shared" si="1"/>
        <v>383.50923812050002</v>
      </c>
    </row>
    <row r="86" spans="1:13" x14ac:dyDescent="0.25">
      <c r="A86">
        <v>5607</v>
      </c>
      <c r="B86" t="s">
        <v>179</v>
      </c>
      <c r="C86">
        <v>677</v>
      </c>
      <c r="D86" t="s">
        <v>10</v>
      </c>
      <c r="E86">
        <v>20100008</v>
      </c>
      <c r="F86" t="s">
        <v>11</v>
      </c>
      <c r="G86">
        <v>330</v>
      </c>
      <c r="H86" t="s">
        <v>12</v>
      </c>
      <c r="I86" t="s">
        <v>13</v>
      </c>
      <c r="J86" t="s">
        <v>14</v>
      </c>
      <c r="K86">
        <v>82300499.500018001</v>
      </c>
      <c r="L86">
        <v>82.3005</v>
      </c>
      <c r="M86">
        <f t="shared" si="1"/>
        <v>8230.0499500017995</v>
      </c>
    </row>
    <row r="87" spans="1:13" x14ac:dyDescent="0.25">
      <c r="A87">
        <v>5607</v>
      </c>
      <c r="B87" t="s">
        <v>179</v>
      </c>
      <c r="C87">
        <v>824</v>
      </c>
      <c r="D87" t="s">
        <v>15</v>
      </c>
      <c r="E87">
        <v>22120003</v>
      </c>
      <c r="F87" t="s">
        <v>16</v>
      </c>
      <c r="G87">
        <v>476</v>
      </c>
      <c r="H87" s="1">
        <v>9.8379629629629642E-4</v>
      </c>
      <c r="I87" t="s">
        <v>9</v>
      </c>
      <c r="J87" t="s">
        <v>14</v>
      </c>
      <c r="K87">
        <v>38996.489518000002</v>
      </c>
      <c r="L87">
        <v>3.8996000000000003E-2</v>
      </c>
      <c r="M87">
        <f t="shared" si="1"/>
        <v>3.8996489518000002</v>
      </c>
    </row>
    <row r="88" spans="1:13" x14ac:dyDescent="0.25">
      <c r="A88">
        <v>5607</v>
      </c>
      <c r="B88" t="s">
        <v>179</v>
      </c>
      <c r="C88">
        <v>183</v>
      </c>
      <c r="D88" t="s">
        <v>180</v>
      </c>
      <c r="E88">
        <v>2070754</v>
      </c>
      <c r="F88" t="s">
        <v>20</v>
      </c>
      <c r="G88">
        <v>100</v>
      </c>
      <c r="H88" s="1">
        <v>8.1018518518518516E-4</v>
      </c>
      <c r="I88" t="s">
        <v>21</v>
      </c>
      <c r="J88" t="s">
        <v>14</v>
      </c>
      <c r="K88">
        <v>763637.04631500004</v>
      </c>
      <c r="L88">
        <v>0.76363700000000001</v>
      </c>
      <c r="M88">
        <f t="shared" si="1"/>
        <v>76.363704631499999</v>
      </c>
    </row>
    <row r="89" spans="1:13" x14ac:dyDescent="0.25">
      <c r="A89">
        <v>5607</v>
      </c>
      <c r="B89" t="s">
        <v>179</v>
      </c>
      <c r="C89">
        <v>677</v>
      </c>
      <c r="D89" t="s">
        <v>10</v>
      </c>
      <c r="E89">
        <v>20100008</v>
      </c>
      <c r="F89" t="s">
        <v>11</v>
      </c>
      <c r="G89">
        <v>330</v>
      </c>
      <c r="H89" t="s">
        <v>12</v>
      </c>
      <c r="I89" t="s">
        <v>13</v>
      </c>
      <c r="J89" t="s">
        <v>14</v>
      </c>
      <c r="K89">
        <v>763637.04631500004</v>
      </c>
      <c r="L89">
        <v>0.76363700000000001</v>
      </c>
      <c r="M89">
        <f t="shared" si="1"/>
        <v>76.363704631499999</v>
      </c>
    </row>
    <row r="90" spans="1:13" x14ac:dyDescent="0.25">
      <c r="A90">
        <v>5607</v>
      </c>
      <c r="B90" t="s">
        <v>179</v>
      </c>
      <c r="C90">
        <v>677</v>
      </c>
      <c r="D90" t="s">
        <v>10</v>
      </c>
      <c r="E90">
        <v>20100008</v>
      </c>
      <c r="F90" t="s">
        <v>11</v>
      </c>
      <c r="G90">
        <v>330</v>
      </c>
      <c r="H90" t="s">
        <v>12</v>
      </c>
      <c r="I90" t="s">
        <v>13</v>
      </c>
      <c r="J90" t="s">
        <v>14</v>
      </c>
      <c r="K90">
        <v>0.33001200000000003</v>
      </c>
      <c r="L90">
        <v>0</v>
      </c>
      <c r="M90">
        <f t="shared" si="1"/>
        <v>3.3001200000000005E-5</v>
      </c>
    </row>
    <row r="91" spans="1:13" x14ac:dyDescent="0.25">
      <c r="A91">
        <v>5607</v>
      </c>
      <c r="B91" t="s">
        <v>179</v>
      </c>
      <c r="C91">
        <v>824</v>
      </c>
      <c r="D91" t="s">
        <v>15</v>
      </c>
      <c r="E91">
        <v>22120003</v>
      </c>
      <c r="F91" t="s">
        <v>16</v>
      </c>
      <c r="G91">
        <v>476</v>
      </c>
      <c r="H91" s="1">
        <v>9.8379629629629642E-4</v>
      </c>
      <c r="I91" t="s">
        <v>9</v>
      </c>
      <c r="J91" t="s">
        <v>14</v>
      </c>
      <c r="K91">
        <v>0.33001200000000003</v>
      </c>
      <c r="L91">
        <v>0</v>
      </c>
      <c r="M91">
        <f t="shared" si="1"/>
        <v>3.3001200000000005E-5</v>
      </c>
    </row>
    <row r="92" spans="1:13" x14ac:dyDescent="0.25">
      <c r="A92">
        <v>5697</v>
      </c>
      <c r="B92" t="s">
        <v>62</v>
      </c>
      <c r="C92">
        <v>98</v>
      </c>
      <c r="D92" t="s">
        <v>63</v>
      </c>
      <c r="E92">
        <v>20100007</v>
      </c>
      <c r="F92" t="s">
        <v>11</v>
      </c>
      <c r="G92">
        <v>329</v>
      </c>
      <c r="H92" t="s">
        <v>12</v>
      </c>
      <c r="I92" t="s">
        <v>13</v>
      </c>
      <c r="J92" t="s">
        <v>14</v>
      </c>
      <c r="K92">
        <v>9555184.7290490009</v>
      </c>
      <c r="L92">
        <v>9.5551849999999998</v>
      </c>
      <c r="M92">
        <f t="shared" si="1"/>
        <v>955.51847290490014</v>
      </c>
    </row>
    <row r="93" spans="1:13" x14ac:dyDescent="0.25">
      <c r="A93">
        <v>5697</v>
      </c>
      <c r="B93" t="s">
        <v>62</v>
      </c>
      <c r="C93">
        <v>202</v>
      </c>
      <c r="D93" t="s">
        <v>58</v>
      </c>
      <c r="E93">
        <v>20170009</v>
      </c>
      <c r="F93" t="s">
        <v>11</v>
      </c>
      <c r="G93">
        <v>331</v>
      </c>
      <c r="H93" s="1">
        <v>8.1018518518518516E-4</v>
      </c>
      <c r="I93" t="s">
        <v>13</v>
      </c>
      <c r="J93" t="s">
        <v>14</v>
      </c>
      <c r="K93">
        <v>5645248.0512079997</v>
      </c>
      <c r="L93">
        <v>5.6452479999999996</v>
      </c>
      <c r="M93">
        <f t="shared" si="1"/>
        <v>564.52480512080001</v>
      </c>
    </row>
    <row r="94" spans="1:13" x14ac:dyDescent="0.25">
      <c r="A94">
        <v>5697</v>
      </c>
      <c r="B94" t="s">
        <v>62</v>
      </c>
      <c r="C94">
        <v>98</v>
      </c>
      <c r="D94" t="s">
        <v>63</v>
      </c>
      <c r="E94">
        <v>20100007</v>
      </c>
      <c r="F94" t="s">
        <v>11</v>
      </c>
      <c r="G94">
        <v>329</v>
      </c>
      <c r="H94" t="s">
        <v>12</v>
      </c>
      <c r="I94" t="s">
        <v>13</v>
      </c>
      <c r="J94" t="s">
        <v>14</v>
      </c>
      <c r="K94">
        <v>29001.551822000001</v>
      </c>
      <c r="L94">
        <v>2.9002E-2</v>
      </c>
      <c r="M94">
        <f t="shared" si="1"/>
        <v>2.9001551822000002</v>
      </c>
    </row>
    <row r="95" spans="1:13" x14ac:dyDescent="0.25">
      <c r="A95">
        <v>5697</v>
      </c>
      <c r="B95" t="s">
        <v>62</v>
      </c>
      <c r="C95">
        <v>202</v>
      </c>
      <c r="D95" t="s">
        <v>58</v>
      </c>
      <c r="E95">
        <v>20170009</v>
      </c>
      <c r="F95" t="s">
        <v>11</v>
      </c>
      <c r="G95">
        <v>331</v>
      </c>
      <c r="H95" s="1">
        <v>8.1018518518518516E-4</v>
      </c>
      <c r="I95" t="s">
        <v>13</v>
      </c>
      <c r="J95" t="s">
        <v>14</v>
      </c>
      <c r="K95">
        <v>29001.551822000001</v>
      </c>
      <c r="L95">
        <v>2.9002E-2</v>
      </c>
      <c r="M95">
        <f t="shared" si="1"/>
        <v>2.9001551822000002</v>
      </c>
    </row>
    <row r="96" spans="1:13" x14ac:dyDescent="0.25">
      <c r="A96">
        <v>5264</v>
      </c>
      <c r="B96" t="s">
        <v>44</v>
      </c>
      <c r="C96">
        <v>122</v>
      </c>
      <c r="D96" t="s">
        <v>38</v>
      </c>
      <c r="E96">
        <v>22100003</v>
      </c>
      <c r="F96" t="s">
        <v>11</v>
      </c>
      <c r="G96">
        <v>282</v>
      </c>
      <c r="H96" s="1">
        <v>9.8379629629629642E-4</v>
      </c>
      <c r="I96" t="s">
        <v>9</v>
      </c>
      <c r="J96" t="s">
        <v>14</v>
      </c>
      <c r="K96">
        <v>38506388.594475001</v>
      </c>
      <c r="L96">
        <v>38.506388999999999</v>
      </c>
      <c r="M96">
        <f t="shared" si="1"/>
        <v>3850.6388594475002</v>
      </c>
    </row>
    <row r="97" spans="1:13" x14ac:dyDescent="0.25">
      <c r="A97">
        <v>5266</v>
      </c>
      <c r="B97" t="s">
        <v>177</v>
      </c>
      <c r="C97">
        <v>75</v>
      </c>
      <c r="D97" t="s">
        <v>82</v>
      </c>
      <c r="E97">
        <v>1010019</v>
      </c>
      <c r="F97" t="s">
        <v>83</v>
      </c>
      <c r="G97">
        <v>24</v>
      </c>
      <c r="H97" t="s">
        <v>12</v>
      </c>
      <c r="I97" t="s">
        <v>84</v>
      </c>
      <c r="J97" t="s">
        <v>14</v>
      </c>
      <c r="K97">
        <v>2768550.77196</v>
      </c>
      <c r="L97">
        <v>2.768551</v>
      </c>
      <c r="M97">
        <f t="shared" si="1"/>
        <v>276.85507719600002</v>
      </c>
    </row>
    <row r="98" spans="1:13" x14ac:dyDescent="0.25">
      <c r="A98">
        <v>5266</v>
      </c>
      <c r="B98" t="s">
        <v>177</v>
      </c>
      <c r="C98">
        <v>677</v>
      </c>
      <c r="D98" t="s">
        <v>10</v>
      </c>
      <c r="E98">
        <v>20100008</v>
      </c>
      <c r="F98" t="s">
        <v>11</v>
      </c>
      <c r="G98">
        <v>330</v>
      </c>
      <c r="H98" t="s">
        <v>12</v>
      </c>
      <c r="I98" t="s">
        <v>13</v>
      </c>
      <c r="J98" t="s">
        <v>14</v>
      </c>
      <c r="K98">
        <v>145445.07798500001</v>
      </c>
      <c r="L98">
        <v>0.14544499999999999</v>
      </c>
      <c r="M98">
        <f t="shared" si="1"/>
        <v>14.544507798500002</v>
      </c>
    </row>
    <row r="99" spans="1:13" x14ac:dyDescent="0.25">
      <c r="A99">
        <v>5282</v>
      </c>
      <c r="B99" t="s">
        <v>67</v>
      </c>
      <c r="C99">
        <v>38</v>
      </c>
      <c r="D99" t="s">
        <v>68</v>
      </c>
      <c r="E99">
        <v>22120002</v>
      </c>
      <c r="F99" t="s">
        <v>16</v>
      </c>
      <c r="G99">
        <v>298</v>
      </c>
      <c r="H99" s="1">
        <v>9.8379629629629642E-4</v>
      </c>
      <c r="I99" t="s">
        <v>9</v>
      </c>
      <c r="J99" t="s">
        <v>14</v>
      </c>
      <c r="K99">
        <v>5737697.958114</v>
      </c>
      <c r="L99">
        <v>5.737698</v>
      </c>
      <c r="M99">
        <f t="shared" si="1"/>
        <v>573.76979581140006</v>
      </c>
    </row>
    <row r="100" spans="1:13" x14ac:dyDescent="0.25">
      <c r="A100">
        <v>5284</v>
      </c>
      <c r="B100" t="s">
        <v>97</v>
      </c>
      <c r="C100">
        <v>102</v>
      </c>
      <c r="D100" t="s">
        <v>98</v>
      </c>
      <c r="E100">
        <v>1010021</v>
      </c>
      <c r="F100" t="s">
        <v>83</v>
      </c>
      <c r="G100">
        <v>31</v>
      </c>
      <c r="H100" s="1">
        <v>9.8379629629629642E-4</v>
      </c>
      <c r="I100" t="s">
        <v>84</v>
      </c>
      <c r="J100" t="s">
        <v>14</v>
      </c>
      <c r="K100">
        <v>274686336.877446</v>
      </c>
      <c r="L100">
        <v>274.68633699999998</v>
      </c>
      <c r="M100">
        <f t="shared" si="1"/>
        <v>27468.633687744601</v>
      </c>
    </row>
    <row r="101" spans="1:13" x14ac:dyDescent="0.25">
      <c r="A101">
        <v>5284</v>
      </c>
      <c r="B101" t="s">
        <v>97</v>
      </c>
      <c r="C101">
        <v>131</v>
      </c>
      <c r="D101" t="s">
        <v>90</v>
      </c>
      <c r="E101">
        <v>1010022</v>
      </c>
      <c r="F101" t="s">
        <v>83</v>
      </c>
      <c r="G101">
        <v>32</v>
      </c>
      <c r="H101" s="1">
        <v>1.8518518518518519E-3</v>
      </c>
      <c r="I101" t="s">
        <v>84</v>
      </c>
      <c r="J101" t="s">
        <v>14</v>
      </c>
      <c r="K101">
        <v>27720.339226</v>
      </c>
      <c r="L101">
        <v>2.7720000000000002E-2</v>
      </c>
      <c r="M101">
        <f t="shared" si="1"/>
        <v>2.7720339225999999</v>
      </c>
    </row>
    <row r="102" spans="1:13" x14ac:dyDescent="0.25">
      <c r="A102">
        <v>5284</v>
      </c>
      <c r="B102" t="s">
        <v>97</v>
      </c>
      <c r="C102">
        <v>158</v>
      </c>
      <c r="D102" t="s">
        <v>99</v>
      </c>
      <c r="E102">
        <v>2020022</v>
      </c>
      <c r="F102" t="s">
        <v>26</v>
      </c>
      <c r="G102">
        <v>71</v>
      </c>
      <c r="H102" s="1">
        <v>9.8379629629629642E-4</v>
      </c>
      <c r="I102" t="s">
        <v>21</v>
      </c>
      <c r="J102" t="s">
        <v>14</v>
      </c>
      <c r="K102">
        <v>210558370.007135</v>
      </c>
      <c r="L102">
        <v>210.55837</v>
      </c>
      <c r="M102">
        <f t="shared" si="1"/>
        <v>21055.837000713502</v>
      </c>
    </row>
    <row r="103" spans="1:13" x14ac:dyDescent="0.25">
      <c r="A103">
        <v>5284</v>
      </c>
      <c r="B103" t="s">
        <v>97</v>
      </c>
      <c r="C103">
        <v>102</v>
      </c>
      <c r="D103" t="s">
        <v>98</v>
      </c>
      <c r="E103">
        <v>1010021</v>
      </c>
      <c r="F103" t="s">
        <v>83</v>
      </c>
      <c r="G103">
        <v>31</v>
      </c>
      <c r="H103" s="1">
        <v>9.8379629629629642E-4</v>
      </c>
      <c r="I103" t="s">
        <v>84</v>
      </c>
      <c r="J103" t="s">
        <v>14</v>
      </c>
      <c r="K103">
        <v>866776.37804800004</v>
      </c>
      <c r="L103">
        <v>0.86677599999999999</v>
      </c>
      <c r="M103">
        <f t="shared" si="1"/>
        <v>86.6776378048</v>
      </c>
    </row>
    <row r="104" spans="1:13" x14ac:dyDescent="0.25">
      <c r="A104">
        <v>5284</v>
      </c>
      <c r="B104" t="s">
        <v>97</v>
      </c>
      <c r="C104">
        <v>158</v>
      </c>
      <c r="D104" t="s">
        <v>99</v>
      </c>
      <c r="E104">
        <v>2020022</v>
      </c>
      <c r="F104" t="s">
        <v>26</v>
      </c>
      <c r="G104">
        <v>71</v>
      </c>
      <c r="H104" s="1">
        <v>9.8379629629629642E-4</v>
      </c>
      <c r="I104" t="s">
        <v>21</v>
      </c>
      <c r="J104" t="s">
        <v>14</v>
      </c>
      <c r="K104">
        <v>866776.37804800004</v>
      </c>
      <c r="L104">
        <v>0.86677599999999999</v>
      </c>
      <c r="M104">
        <f t="shared" si="1"/>
        <v>86.6776378048</v>
      </c>
    </row>
    <row r="105" spans="1:13" x14ac:dyDescent="0.25">
      <c r="A105">
        <v>5284</v>
      </c>
      <c r="B105" t="s">
        <v>97</v>
      </c>
      <c r="C105">
        <v>131</v>
      </c>
      <c r="D105" t="s">
        <v>90</v>
      </c>
      <c r="E105">
        <v>1010022</v>
      </c>
      <c r="F105" t="s">
        <v>83</v>
      </c>
      <c r="G105">
        <v>32</v>
      </c>
      <c r="H105" s="1">
        <v>1.8518518518518519E-3</v>
      </c>
      <c r="I105" t="s">
        <v>84</v>
      </c>
      <c r="J105" t="s">
        <v>14</v>
      </c>
      <c r="K105">
        <v>13644.714929</v>
      </c>
      <c r="L105">
        <v>1.3644999999999999E-2</v>
      </c>
      <c r="M105">
        <f t="shared" si="1"/>
        <v>1.3644714928999999</v>
      </c>
    </row>
    <row r="106" spans="1:13" x14ac:dyDescent="0.25">
      <c r="A106">
        <v>5284</v>
      </c>
      <c r="B106" t="s">
        <v>97</v>
      </c>
      <c r="C106">
        <v>158</v>
      </c>
      <c r="D106" t="s">
        <v>99</v>
      </c>
      <c r="E106">
        <v>2020022</v>
      </c>
      <c r="F106" t="s">
        <v>26</v>
      </c>
      <c r="G106">
        <v>71</v>
      </c>
      <c r="H106" s="1">
        <v>9.8379629629629642E-4</v>
      </c>
      <c r="I106" t="s">
        <v>21</v>
      </c>
      <c r="J106" t="s">
        <v>14</v>
      </c>
      <c r="K106">
        <v>13644.714929</v>
      </c>
      <c r="L106">
        <v>1.3644999999999999E-2</v>
      </c>
      <c r="M106">
        <f t="shared" si="1"/>
        <v>1.3644714928999999</v>
      </c>
    </row>
    <row r="107" spans="1:13" x14ac:dyDescent="0.25">
      <c r="A107">
        <v>5306</v>
      </c>
      <c r="B107" t="s">
        <v>135</v>
      </c>
      <c r="C107">
        <v>633</v>
      </c>
      <c r="D107" t="s">
        <v>48</v>
      </c>
      <c r="E107">
        <v>9100001</v>
      </c>
      <c r="F107" t="s">
        <v>11</v>
      </c>
      <c r="G107">
        <v>10</v>
      </c>
      <c r="H107" s="1">
        <v>1.8518518518518519E-3</v>
      </c>
      <c r="I107" t="s">
        <v>24</v>
      </c>
      <c r="J107" t="s">
        <v>14</v>
      </c>
      <c r="K107">
        <v>10327070.374462999</v>
      </c>
      <c r="L107">
        <v>10.327070000000001</v>
      </c>
      <c r="M107">
        <f t="shared" si="1"/>
        <v>1032.7070374462999</v>
      </c>
    </row>
    <row r="108" spans="1:13" x14ac:dyDescent="0.25">
      <c r="A108">
        <v>5313</v>
      </c>
      <c r="B108" t="s">
        <v>181</v>
      </c>
      <c r="C108">
        <v>223</v>
      </c>
      <c r="D108" t="s">
        <v>115</v>
      </c>
      <c r="E108">
        <v>20170006</v>
      </c>
      <c r="F108" t="s">
        <v>11</v>
      </c>
      <c r="G108">
        <v>328</v>
      </c>
      <c r="H108" s="1">
        <v>8.1018518518518516E-4</v>
      </c>
      <c r="I108" t="s">
        <v>13</v>
      </c>
      <c r="J108" t="s">
        <v>14</v>
      </c>
      <c r="K108">
        <v>25523856.535523001</v>
      </c>
      <c r="L108">
        <v>25.523857</v>
      </c>
      <c r="M108">
        <f t="shared" si="1"/>
        <v>2552.3856535523</v>
      </c>
    </row>
    <row r="109" spans="1:13" x14ac:dyDescent="0.25">
      <c r="A109">
        <v>5318</v>
      </c>
      <c r="B109" t="s">
        <v>122</v>
      </c>
      <c r="C109">
        <v>75</v>
      </c>
      <c r="D109" t="s">
        <v>82</v>
      </c>
      <c r="E109">
        <v>1010019</v>
      </c>
      <c r="F109" t="s">
        <v>83</v>
      </c>
      <c r="G109">
        <v>24</v>
      </c>
      <c r="H109" t="s">
        <v>12</v>
      </c>
      <c r="I109" t="s">
        <v>84</v>
      </c>
      <c r="J109" t="s">
        <v>14</v>
      </c>
      <c r="K109">
        <v>16416033.56216</v>
      </c>
      <c r="L109">
        <v>16.416034</v>
      </c>
      <c r="M109">
        <f t="shared" si="1"/>
        <v>1641.6033562160001</v>
      </c>
    </row>
    <row r="110" spans="1:13" x14ac:dyDescent="0.25">
      <c r="A110">
        <v>5318</v>
      </c>
      <c r="B110" t="s">
        <v>122</v>
      </c>
      <c r="C110">
        <v>854</v>
      </c>
      <c r="D110" t="s">
        <v>123</v>
      </c>
      <c r="E110">
        <v>2070130</v>
      </c>
      <c r="F110" t="s">
        <v>20</v>
      </c>
      <c r="G110">
        <v>181</v>
      </c>
      <c r="H110" t="s">
        <v>12</v>
      </c>
      <c r="I110" t="s">
        <v>21</v>
      </c>
      <c r="J110" t="s">
        <v>14</v>
      </c>
      <c r="K110">
        <v>289034.18555400003</v>
      </c>
      <c r="L110">
        <v>0.28903400000000001</v>
      </c>
      <c r="M110">
        <f t="shared" si="1"/>
        <v>28.903418555400002</v>
      </c>
    </row>
    <row r="111" spans="1:13" x14ac:dyDescent="0.25">
      <c r="A111">
        <v>5321</v>
      </c>
      <c r="B111" t="s">
        <v>114</v>
      </c>
      <c r="C111">
        <v>223</v>
      </c>
      <c r="D111" t="s">
        <v>115</v>
      </c>
      <c r="E111">
        <v>20170006</v>
      </c>
      <c r="F111" t="s">
        <v>11</v>
      </c>
      <c r="G111">
        <v>328</v>
      </c>
      <c r="H111" s="1">
        <v>8.1018518518518516E-4</v>
      </c>
      <c r="I111" t="s">
        <v>13</v>
      </c>
      <c r="J111" t="s">
        <v>14</v>
      </c>
      <c r="K111">
        <v>1595445.017118</v>
      </c>
      <c r="L111">
        <v>1.595445</v>
      </c>
      <c r="M111">
        <f t="shared" si="1"/>
        <v>159.5445017118</v>
      </c>
    </row>
    <row r="112" spans="1:13" x14ac:dyDescent="0.25">
      <c r="A112">
        <v>5321</v>
      </c>
      <c r="B112" t="s">
        <v>114</v>
      </c>
      <c r="C112">
        <v>1290</v>
      </c>
      <c r="D112" t="s">
        <v>87</v>
      </c>
      <c r="E112">
        <v>20100001</v>
      </c>
      <c r="F112" t="s">
        <v>11</v>
      </c>
      <c r="G112">
        <v>93</v>
      </c>
      <c r="H112" s="1">
        <v>9.8379629629629642E-4</v>
      </c>
      <c r="I112" t="s">
        <v>13</v>
      </c>
      <c r="J112" t="s">
        <v>14</v>
      </c>
      <c r="K112">
        <v>61420823.601125002</v>
      </c>
      <c r="L112">
        <v>61.420824000000003</v>
      </c>
      <c r="M112">
        <f t="shared" si="1"/>
        <v>6142.0823601125003</v>
      </c>
    </row>
    <row r="113" spans="1:13" x14ac:dyDescent="0.25">
      <c r="A113">
        <v>5321</v>
      </c>
      <c r="B113" t="s">
        <v>114</v>
      </c>
      <c r="C113">
        <v>223</v>
      </c>
      <c r="D113" t="s">
        <v>115</v>
      </c>
      <c r="E113">
        <v>20170006</v>
      </c>
      <c r="F113" t="s">
        <v>11</v>
      </c>
      <c r="G113">
        <v>328</v>
      </c>
      <c r="H113" s="1">
        <v>8.1018518518518516E-4</v>
      </c>
      <c r="I113" t="s">
        <v>13</v>
      </c>
      <c r="J113" t="s">
        <v>14</v>
      </c>
      <c r="K113">
        <v>129870.356207</v>
      </c>
      <c r="L113">
        <v>0.12987000000000001</v>
      </c>
      <c r="M113">
        <f t="shared" si="1"/>
        <v>12.9870356207</v>
      </c>
    </row>
    <row r="114" spans="1:13" x14ac:dyDescent="0.25">
      <c r="A114">
        <v>5321</v>
      </c>
      <c r="B114" t="s">
        <v>114</v>
      </c>
      <c r="C114">
        <v>943</v>
      </c>
      <c r="D114" t="s">
        <v>197</v>
      </c>
      <c r="E114">
        <v>2070699</v>
      </c>
      <c r="F114" t="s">
        <v>20</v>
      </c>
      <c r="G114">
        <v>167</v>
      </c>
      <c r="H114" s="1">
        <v>8.1018518518518516E-4</v>
      </c>
      <c r="I114" t="s">
        <v>21</v>
      </c>
      <c r="J114" t="s">
        <v>14</v>
      </c>
      <c r="K114">
        <v>129870.356207</v>
      </c>
      <c r="L114">
        <v>0.12987000000000001</v>
      </c>
      <c r="M114">
        <f t="shared" si="1"/>
        <v>12.9870356207</v>
      </c>
    </row>
    <row r="115" spans="1:13" x14ac:dyDescent="0.25">
      <c r="A115">
        <v>5321</v>
      </c>
      <c r="B115" t="s">
        <v>114</v>
      </c>
      <c r="C115">
        <v>943</v>
      </c>
      <c r="D115" t="s">
        <v>197</v>
      </c>
      <c r="E115">
        <v>2070699</v>
      </c>
      <c r="F115" t="s">
        <v>20</v>
      </c>
      <c r="G115">
        <v>167</v>
      </c>
      <c r="H115" s="1">
        <v>8.1018518518518516E-4</v>
      </c>
      <c r="I115" t="s">
        <v>21</v>
      </c>
      <c r="J115" t="s">
        <v>14</v>
      </c>
      <c r="K115">
        <v>386941.08174300002</v>
      </c>
      <c r="L115">
        <v>0.38694099999999998</v>
      </c>
      <c r="M115">
        <f t="shared" si="1"/>
        <v>38.694108174299998</v>
      </c>
    </row>
    <row r="116" spans="1:13" x14ac:dyDescent="0.25">
      <c r="A116">
        <v>5321</v>
      </c>
      <c r="B116" t="s">
        <v>114</v>
      </c>
      <c r="C116">
        <v>1290</v>
      </c>
      <c r="D116" t="s">
        <v>87</v>
      </c>
      <c r="E116">
        <v>20100001</v>
      </c>
      <c r="F116" t="s">
        <v>11</v>
      </c>
      <c r="G116">
        <v>93</v>
      </c>
      <c r="H116" s="1">
        <v>9.8379629629629642E-4</v>
      </c>
      <c r="I116" t="s">
        <v>13</v>
      </c>
      <c r="J116" t="s">
        <v>14</v>
      </c>
      <c r="K116">
        <v>386941.08174300002</v>
      </c>
      <c r="L116">
        <v>0.38694099999999998</v>
      </c>
      <c r="M116">
        <f t="shared" si="1"/>
        <v>38.694108174299998</v>
      </c>
    </row>
    <row r="117" spans="1:13" x14ac:dyDescent="0.25">
      <c r="A117">
        <v>5321</v>
      </c>
      <c r="B117" t="s">
        <v>114</v>
      </c>
      <c r="C117">
        <v>1029</v>
      </c>
      <c r="D117" t="s">
        <v>198</v>
      </c>
      <c r="E117">
        <v>2070599</v>
      </c>
      <c r="F117" t="s">
        <v>20</v>
      </c>
      <c r="G117">
        <v>116</v>
      </c>
      <c r="H117" s="1">
        <v>7.5231481481481471E-4</v>
      </c>
      <c r="I117" t="s">
        <v>21</v>
      </c>
      <c r="J117" t="s">
        <v>14</v>
      </c>
      <c r="K117">
        <v>59944.679822999999</v>
      </c>
      <c r="L117">
        <v>5.9944999999999998E-2</v>
      </c>
      <c r="M117">
        <f t="shared" si="1"/>
        <v>5.9944679822999998</v>
      </c>
    </row>
    <row r="118" spans="1:13" x14ac:dyDescent="0.25">
      <c r="A118">
        <v>5321</v>
      </c>
      <c r="B118" t="s">
        <v>114</v>
      </c>
      <c r="C118">
        <v>1290</v>
      </c>
      <c r="D118" t="s">
        <v>87</v>
      </c>
      <c r="E118">
        <v>20100001</v>
      </c>
      <c r="F118" t="s">
        <v>11</v>
      </c>
      <c r="G118">
        <v>93</v>
      </c>
      <c r="H118" s="1">
        <v>9.8379629629629642E-4</v>
      </c>
      <c r="I118" t="s">
        <v>13</v>
      </c>
      <c r="J118" t="s">
        <v>14</v>
      </c>
      <c r="K118">
        <v>59944.679822999999</v>
      </c>
      <c r="L118">
        <v>5.9944999999999998E-2</v>
      </c>
      <c r="M118">
        <f t="shared" si="1"/>
        <v>5.9944679822999998</v>
      </c>
    </row>
    <row r="119" spans="1:13" x14ac:dyDescent="0.25">
      <c r="A119">
        <v>5321</v>
      </c>
      <c r="B119" t="s">
        <v>114</v>
      </c>
      <c r="C119">
        <v>1125</v>
      </c>
      <c r="D119" t="s">
        <v>107</v>
      </c>
      <c r="E119">
        <v>2070568</v>
      </c>
      <c r="F119" t="s">
        <v>20</v>
      </c>
      <c r="G119">
        <v>52</v>
      </c>
      <c r="H119" s="1">
        <v>7.5231481481481471E-4</v>
      </c>
      <c r="I119" t="s">
        <v>21</v>
      </c>
      <c r="J119" t="s">
        <v>14</v>
      </c>
      <c r="K119">
        <v>102215.598923</v>
      </c>
      <c r="L119">
        <v>0.102216</v>
      </c>
      <c r="M119">
        <f t="shared" si="1"/>
        <v>10.2215598923</v>
      </c>
    </row>
    <row r="120" spans="1:13" x14ac:dyDescent="0.25">
      <c r="A120">
        <v>5321</v>
      </c>
      <c r="B120" t="s">
        <v>114</v>
      </c>
      <c r="C120">
        <v>1290</v>
      </c>
      <c r="D120" t="s">
        <v>87</v>
      </c>
      <c r="E120">
        <v>20100001</v>
      </c>
      <c r="F120" t="s">
        <v>11</v>
      </c>
      <c r="G120">
        <v>93</v>
      </c>
      <c r="H120" s="1">
        <v>9.8379629629629642E-4</v>
      </c>
      <c r="I120" t="s">
        <v>13</v>
      </c>
      <c r="J120" t="s">
        <v>14</v>
      </c>
      <c r="K120">
        <v>102215.598923</v>
      </c>
      <c r="L120">
        <v>0.102216</v>
      </c>
      <c r="M120">
        <f t="shared" si="1"/>
        <v>10.2215598923</v>
      </c>
    </row>
    <row r="121" spans="1:13" x14ac:dyDescent="0.25">
      <c r="A121">
        <v>5321</v>
      </c>
      <c r="B121" t="s">
        <v>114</v>
      </c>
      <c r="C121">
        <v>943</v>
      </c>
      <c r="D121" t="s">
        <v>197</v>
      </c>
      <c r="E121">
        <v>2070699</v>
      </c>
      <c r="F121" t="s">
        <v>20</v>
      </c>
      <c r="G121">
        <v>167</v>
      </c>
      <c r="H121" s="1">
        <v>8.1018518518518516E-4</v>
      </c>
      <c r="I121" t="s">
        <v>21</v>
      </c>
      <c r="J121" t="s">
        <v>14</v>
      </c>
      <c r="K121">
        <v>8.3305919999999993</v>
      </c>
      <c r="L121">
        <v>7.9999999999999996E-6</v>
      </c>
      <c r="M121">
        <f t="shared" si="1"/>
        <v>8.3305919999999989E-4</v>
      </c>
    </row>
    <row r="122" spans="1:13" x14ac:dyDescent="0.25">
      <c r="A122">
        <v>5321</v>
      </c>
      <c r="B122" t="s">
        <v>114</v>
      </c>
      <c r="C122">
        <v>1125</v>
      </c>
      <c r="D122" t="s">
        <v>107</v>
      </c>
      <c r="E122">
        <v>2070568</v>
      </c>
      <c r="F122" t="s">
        <v>20</v>
      </c>
      <c r="G122">
        <v>52</v>
      </c>
      <c r="H122" s="1">
        <v>7.5231481481481471E-4</v>
      </c>
      <c r="I122" t="s">
        <v>21</v>
      </c>
      <c r="J122" t="s">
        <v>14</v>
      </c>
      <c r="K122">
        <v>8.3305919999999993</v>
      </c>
      <c r="L122">
        <v>7.9999999999999996E-6</v>
      </c>
      <c r="M122">
        <f t="shared" si="1"/>
        <v>8.3305919999999989E-4</v>
      </c>
    </row>
    <row r="123" spans="1:13" x14ac:dyDescent="0.25">
      <c r="A123">
        <v>5321</v>
      </c>
      <c r="B123" t="s">
        <v>114</v>
      </c>
      <c r="C123">
        <v>1290</v>
      </c>
      <c r="D123" t="s">
        <v>87</v>
      </c>
      <c r="E123">
        <v>20100001</v>
      </c>
      <c r="F123" t="s">
        <v>11</v>
      </c>
      <c r="G123">
        <v>93</v>
      </c>
      <c r="H123" s="1">
        <v>9.8379629629629642E-4</v>
      </c>
      <c r="I123" t="s">
        <v>13</v>
      </c>
      <c r="J123" t="s">
        <v>14</v>
      </c>
      <c r="K123">
        <v>8.3305919999999993</v>
      </c>
      <c r="L123">
        <v>7.9999999999999996E-6</v>
      </c>
      <c r="M123">
        <f t="shared" si="1"/>
        <v>8.3305919999999989E-4</v>
      </c>
    </row>
    <row r="124" spans="1:13" x14ac:dyDescent="0.25">
      <c r="A124">
        <v>5347</v>
      </c>
      <c r="B124" t="s">
        <v>79</v>
      </c>
      <c r="C124">
        <v>11</v>
      </c>
      <c r="D124" t="s">
        <v>50</v>
      </c>
      <c r="E124">
        <v>22100007</v>
      </c>
      <c r="F124" t="s">
        <v>11</v>
      </c>
      <c r="G124">
        <v>267</v>
      </c>
      <c r="H124" s="1">
        <v>9.8379629629629642E-4</v>
      </c>
      <c r="I124" t="s">
        <v>9</v>
      </c>
      <c r="J124" t="s">
        <v>14</v>
      </c>
      <c r="K124">
        <v>25370041.770553</v>
      </c>
      <c r="L124">
        <v>25.370042000000002</v>
      </c>
      <c r="M124">
        <f t="shared" si="1"/>
        <v>2537.0041770552998</v>
      </c>
    </row>
    <row r="125" spans="1:13" x14ac:dyDescent="0.25">
      <c r="A125">
        <v>5353</v>
      </c>
      <c r="B125" t="s">
        <v>134</v>
      </c>
      <c r="C125">
        <v>47</v>
      </c>
      <c r="D125" t="s">
        <v>111</v>
      </c>
      <c r="E125">
        <v>22100005</v>
      </c>
      <c r="F125" t="s">
        <v>11</v>
      </c>
      <c r="G125">
        <v>245</v>
      </c>
      <c r="H125" s="1">
        <v>9.8379629629629642E-4</v>
      </c>
      <c r="I125" t="s">
        <v>9</v>
      </c>
      <c r="J125" t="s">
        <v>14</v>
      </c>
      <c r="K125">
        <v>9220.2850529999996</v>
      </c>
      <c r="L125">
        <v>9.2200000000000008E-3</v>
      </c>
      <c r="M125">
        <f t="shared" si="1"/>
        <v>0.92202850529999991</v>
      </c>
    </row>
    <row r="126" spans="1:13" x14ac:dyDescent="0.25">
      <c r="A126">
        <v>5360</v>
      </c>
      <c r="B126" t="s">
        <v>176</v>
      </c>
      <c r="C126">
        <v>11</v>
      </c>
      <c r="D126" t="s">
        <v>50</v>
      </c>
      <c r="E126">
        <v>22100007</v>
      </c>
      <c r="F126" t="s">
        <v>11</v>
      </c>
      <c r="G126">
        <v>267</v>
      </c>
      <c r="H126" s="1">
        <v>9.8379629629629642E-4</v>
      </c>
      <c r="I126" t="s">
        <v>9</v>
      </c>
      <c r="J126" t="s">
        <v>14</v>
      </c>
      <c r="K126">
        <v>3293250.2654340002</v>
      </c>
      <c r="L126">
        <v>3.29325</v>
      </c>
      <c r="M126">
        <f t="shared" si="1"/>
        <v>329.32502654340004</v>
      </c>
    </row>
    <row r="127" spans="1:13" x14ac:dyDescent="0.25">
      <c r="A127">
        <v>5361</v>
      </c>
      <c r="B127" t="s">
        <v>148</v>
      </c>
      <c r="C127">
        <v>505</v>
      </c>
      <c r="D127" t="s">
        <v>25</v>
      </c>
      <c r="E127">
        <v>2020037</v>
      </c>
      <c r="F127" t="s">
        <v>26</v>
      </c>
      <c r="G127">
        <v>163</v>
      </c>
      <c r="H127" s="1">
        <v>9.8379629629629642E-4</v>
      </c>
      <c r="I127" t="s">
        <v>21</v>
      </c>
      <c r="J127" t="s">
        <v>14</v>
      </c>
      <c r="K127">
        <v>1206162070.8327501</v>
      </c>
      <c r="L127">
        <v>1206.162071</v>
      </c>
      <c r="M127">
        <f t="shared" si="1"/>
        <v>120616.207083275</v>
      </c>
    </row>
    <row r="128" spans="1:13" x14ac:dyDescent="0.25">
      <c r="A128">
        <v>5364</v>
      </c>
      <c r="B128" t="s">
        <v>102</v>
      </c>
      <c r="C128">
        <v>517</v>
      </c>
      <c r="D128" t="s">
        <v>36</v>
      </c>
      <c r="E128">
        <v>22120001</v>
      </c>
      <c r="F128" t="s">
        <v>16</v>
      </c>
      <c r="G128">
        <v>299</v>
      </c>
      <c r="H128" s="1">
        <v>9.8379629629629642E-4</v>
      </c>
      <c r="I128" t="s">
        <v>9</v>
      </c>
      <c r="J128" t="s">
        <v>14</v>
      </c>
      <c r="K128">
        <v>75372.113444000002</v>
      </c>
      <c r="L128">
        <v>7.5371999999999995E-2</v>
      </c>
      <c r="M128">
        <f t="shared" si="1"/>
        <v>7.5372113444000002</v>
      </c>
    </row>
    <row r="129" spans="1:13" x14ac:dyDescent="0.25">
      <c r="A129">
        <v>5364</v>
      </c>
      <c r="B129" t="s">
        <v>102</v>
      </c>
      <c r="C129">
        <v>768</v>
      </c>
      <c r="D129" t="s">
        <v>66</v>
      </c>
      <c r="E129">
        <v>22100004</v>
      </c>
      <c r="F129" t="s">
        <v>11</v>
      </c>
      <c r="G129">
        <v>316</v>
      </c>
      <c r="H129" s="1">
        <v>9.8379629629629642E-4</v>
      </c>
      <c r="I129" t="s">
        <v>9</v>
      </c>
      <c r="J129" t="s">
        <v>14</v>
      </c>
      <c r="K129">
        <v>127726828.97054</v>
      </c>
      <c r="L129">
        <v>127.726829</v>
      </c>
      <c r="M129">
        <f t="shared" si="1"/>
        <v>12772.682897054001</v>
      </c>
    </row>
    <row r="130" spans="1:13" x14ac:dyDescent="0.25">
      <c r="A130">
        <v>5364</v>
      </c>
      <c r="B130" t="s">
        <v>102</v>
      </c>
      <c r="C130">
        <v>570</v>
      </c>
      <c r="D130" t="s">
        <v>196</v>
      </c>
      <c r="E130">
        <v>2070698</v>
      </c>
      <c r="F130" t="s">
        <v>20</v>
      </c>
      <c r="G130">
        <v>138</v>
      </c>
      <c r="H130" s="1">
        <v>8.1018518518518516E-4</v>
      </c>
      <c r="I130" t="s">
        <v>21</v>
      </c>
      <c r="J130" t="s">
        <v>14</v>
      </c>
      <c r="K130">
        <v>1711401.3838229999</v>
      </c>
      <c r="L130">
        <v>1.711401</v>
      </c>
      <c r="M130">
        <f t="shared" si="1"/>
        <v>171.14013838229999</v>
      </c>
    </row>
    <row r="131" spans="1:13" x14ac:dyDescent="0.25">
      <c r="A131">
        <v>5364</v>
      </c>
      <c r="B131" t="s">
        <v>102</v>
      </c>
      <c r="C131">
        <v>768</v>
      </c>
      <c r="D131" t="s">
        <v>66</v>
      </c>
      <c r="E131">
        <v>22100004</v>
      </c>
      <c r="F131" t="s">
        <v>11</v>
      </c>
      <c r="G131">
        <v>316</v>
      </c>
      <c r="H131" s="1">
        <v>9.8379629629629642E-4</v>
      </c>
      <c r="I131" t="s">
        <v>9</v>
      </c>
      <c r="J131" t="s">
        <v>14</v>
      </c>
      <c r="K131">
        <v>1711401.3838229999</v>
      </c>
      <c r="L131">
        <v>1.711401</v>
      </c>
      <c r="M131">
        <f t="shared" ref="M131:M194" si="2">K131/10000</f>
        <v>171.14013838229999</v>
      </c>
    </row>
    <row r="132" spans="1:13" x14ac:dyDescent="0.25">
      <c r="A132">
        <v>5368</v>
      </c>
      <c r="B132" t="s">
        <v>64</v>
      </c>
      <c r="C132">
        <v>13</v>
      </c>
      <c r="D132" t="s">
        <v>65</v>
      </c>
      <c r="E132">
        <v>22100002</v>
      </c>
      <c r="F132" t="s">
        <v>11</v>
      </c>
      <c r="G132">
        <v>352</v>
      </c>
      <c r="H132" s="1">
        <v>1.8518518518518519E-3</v>
      </c>
      <c r="I132" t="s">
        <v>9</v>
      </c>
      <c r="J132" t="s">
        <v>14</v>
      </c>
      <c r="K132">
        <v>19166843.571031</v>
      </c>
      <c r="L132">
        <v>19.166844000000001</v>
      </c>
      <c r="M132">
        <f t="shared" si="2"/>
        <v>1916.6843571031</v>
      </c>
    </row>
    <row r="133" spans="1:13" x14ac:dyDescent="0.25">
      <c r="A133">
        <v>5368</v>
      </c>
      <c r="B133" t="s">
        <v>64</v>
      </c>
      <c r="C133">
        <v>768</v>
      </c>
      <c r="D133" t="s">
        <v>66</v>
      </c>
      <c r="E133">
        <v>22100004</v>
      </c>
      <c r="F133" t="s">
        <v>11</v>
      </c>
      <c r="G133">
        <v>316</v>
      </c>
      <c r="H133" s="1">
        <v>9.8379629629629642E-4</v>
      </c>
      <c r="I133" t="s">
        <v>9</v>
      </c>
      <c r="J133" t="s">
        <v>14</v>
      </c>
      <c r="K133">
        <v>38267542.819445997</v>
      </c>
      <c r="L133">
        <v>38.267543000000003</v>
      </c>
      <c r="M133">
        <f t="shared" si="2"/>
        <v>3826.7542819445998</v>
      </c>
    </row>
    <row r="134" spans="1:13" x14ac:dyDescent="0.25">
      <c r="A134">
        <v>5376</v>
      </c>
      <c r="B134" t="s">
        <v>108</v>
      </c>
      <c r="C134">
        <v>222</v>
      </c>
      <c r="D134" t="s">
        <v>109</v>
      </c>
      <c r="E134">
        <v>20170005</v>
      </c>
      <c r="F134" t="s">
        <v>11</v>
      </c>
      <c r="G134">
        <v>326</v>
      </c>
      <c r="H134" s="1">
        <v>8.1018518518518516E-4</v>
      </c>
      <c r="I134" t="s">
        <v>13</v>
      </c>
      <c r="J134" t="s">
        <v>14</v>
      </c>
      <c r="K134">
        <v>1461891.611082</v>
      </c>
      <c r="L134">
        <v>1.461892</v>
      </c>
      <c r="M134">
        <f t="shared" si="2"/>
        <v>146.18916110819998</v>
      </c>
    </row>
    <row r="135" spans="1:13" x14ac:dyDescent="0.25">
      <c r="A135">
        <v>5376</v>
      </c>
      <c r="B135" t="s">
        <v>108</v>
      </c>
      <c r="C135">
        <v>250</v>
      </c>
      <c r="D135" t="s">
        <v>18</v>
      </c>
      <c r="E135">
        <v>20170003</v>
      </c>
      <c r="F135" t="s">
        <v>11</v>
      </c>
      <c r="G135">
        <v>323</v>
      </c>
      <c r="H135" s="1">
        <v>8.1018518518518516E-4</v>
      </c>
      <c r="I135" t="s">
        <v>13</v>
      </c>
      <c r="J135" t="s">
        <v>14</v>
      </c>
      <c r="K135">
        <v>16338261.880927</v>
      </c>
      <c r="L135">
        <v>16.338262</v>
      </c>
      <c r="M135">
        <f t="shared" si="2"/>
        <v>1633.8261880927</v>
      </c>
    </row>
    <row r="136" spans="1:13" x14ac:dyDescent="0.25">
      <c r="A136">
        <v>5380</v>
      </c>
      <c r="B136" t="s">
        <v>174</v>
      </c>
      <c r="C136">
        <v>11</v>
      </c>
      <c r="D136" t="s">
        <v>50</v>
      </c>
      <c r="E136">
        <v>22100007</v>
      </c>
      <c r="F136" t="s">
        <v>11</v>
      </c>
      <c r="G136">
        <v>267</v>
      </c>
      <c r="H136" s="1">
        <v>9.8379629629629642E-4</v>
      </c>
      <c r="I136" t="s">
        <v>9</v>
      </c>
      <c r="J136" t="s">
        <v>14</v>
      </c>
      <c r="K136">
        <v>16739738.249294</v>
      </c>
      <c r="L136">
        <v>16.739737999999999</v>
      </c>
      <c r="M136">
        <f t="shared" si="2"/>
        <v>1673.9738249294001</v>
      </c>
    </row>
    <row r="137" spans="1:13" x14ac:dyDescent="0.25">
      <c r="A137">
        <v>5400</v>
      </c>
      <c r="B137" t="s">
        <v>17</v>
      </c>
      <c r="C137">
        <v>250</v>
      </c>
      <c r="D137" t="s">
        <v>18</v>
      </c>
      <c r="E137">
        <v>20170003</v>
      </c>
      <c r="F137" t="s">
        <v>11</v>
      </c>
      <c r="G137">
        <v>323</v>
      </c>
      <c r="H137" s="1">
        <v>8.1018518518518516E-4</v>
      </c>
      <c r="I137" t="s">
        <v>13</v>
      </c>
      <c r="J137" t="s">
        <v>14</v>
      </c>
      <c r="K137">
        <v>2480558.9163239999</v>
      </c>
      <c r="L137">
        <v>2.480559</v>
      </c>
      <c r="M137">
        <f t="shared" si="2"/>
        <v>248.05589163239998</v>
      </c>
    </row>
    <row r="138" spans="1:13" x14ac:dyDescent="0.25">
      <c r="A138">
        <v>5400</v>
      </c>
      <c r="B138" t="s">
        <v>17</v>
      </c>
      <c r="C138">
        <v>614</v>
      </c>
      <c r="D138" t="s">
        <v>19</v>
      </c>
      <c r="E138">
        <v>2070312</v>
      </c>
      <c r="F138" t="s">
        <v>20</v>
      </c>
      <c r="G138">
        <v>60</v>
      </c>
      <c r="H138" t="s">
        <v>12</v>
      </c>
      <c r="I138" t="s">
        <v>21</v>
      </c>
      <c r="J138" t="s">
        <v>14</v>
      </c>
      <c r="K138">
        <v>169138.99164299999</v>
      </c>
      <c r="L138">
        <v>0.16913900000000001</v>
      </c>
      <c r="M138">
        <f t="shared" si="2"/>
        <v>16.913899164299998</v>
      </c>
    </row>
    <row r="139" spans="1:13" x14ac:dyDescent="0.25">
      <c r="A139">
        <v>5400</v>
      </c>
      <c r="B139" t="s">
        <v>17</v>
      </c>
      <c r="C139">
        <v>676</v>
      </c>
      <c r="D139" t="s">
        <v>22</v>
      </c>
      <c r="E139">
        <v>20120005</v>
      </c>
      <c r="F139" t="s">
        <v>16</v>
      </c>
      <c r="G139">
        <v>322</v>
      </c>
      <c r="H139" t="s">
        <v>12</v>
      </c>
      <c r="I139" t="s">
        <v>13</v>
      </c>
      <c r="J139" t="s">
        <v>14</v>
      </c>
      <c r="K139">
        <v>236436.91753199999</v>
      </c>
      <c r="L139">
        <v>0.23643700000000001</v>
      </c>
      <c r="M139">
        <f t="shared" si="2"/>
        <v>23.643691753199999</v>
      </c>
    </row>
    <row r="140" spans="1:13" x14ac:dyDescent="0.25">
      <c r="A140">
        <v>5400</v>
      </c>
      <c r="B140" t="s">
        <v>17</v>
      </c>
      <c r="C140">
        <v>614</v>
      </c>
      <c r="D140" t="s">
        <v>19</v>
      </c>
      <c r="E140">
        <v>2070312</v>
      </c>
      <c r="F140" t="s">
        <v>20</v>
      </c>
      <c r="G140">
        <v>60</v>
      </c>
      <c r="H140" t="s">
        <v>12</v>
      </c>
      <c r="I140" t="s">
        <v>21</v>
      </c>
      <c r="J140" t="s">
        <v>14</v>
      </c>
      <c r="K140">
        <v>16554.069769000002</v>
      </c>
      <c r="L140">
        <v>1.6553999999999999E-2</v>
      </c>
      <c r="M140">
        <f t="shared" si="2"/>
        <v>1.6554069769000002</v>
      </c>
    </row>
    <row r="141" spans="1:13" x14ac:dyDescent="0.25">
      <c r="A141">
        <v>5400</v>
      </c>
      <c r="B141" t="s">
        <v>17</v>
      </c>
      <c r="C141">
        <v>676</v>
      </c>
      <c r="D141" t="s">
        <v>22</v>
      </c>
      <c r="E141">
        <v>20120005</v>
      </c>
      <c r="F141" t="s">
        <v>16</v>
      </c>
      <c r="G141">
        <v>322</v>
      </c>
      <c r="H141" t="s">
        <v>12</v>
      </c>
      <c r="I141" t="s">
        <v>13</v>
      </c>
      <c r="J141" t="s">
        <v>14</v>
      </c>
      <c r="K141">
        <v>16554.069769000002</v>
      </c>
      <c r="L141">
        <v>1.6553999999999999E-2</v>
      </c>
      <c r="M141">
        <f t="shared" si="2"/>
        <v>1.6554069769000002</v>
      </c>
    </row>
    <row r="142" spans="1:13" x14ac:dyDescent="0.25">
      <c r="A142">
        <v>5411</v>
      </c>
      <c r="B142" t="s">
        <v>39</v>
      </c>
      <c r="C142">
        <v>122</v>
      </c>
      <c r="D142" t="s">
        <v>38</v>
      </c>
      <c r="E142">
        <v>22100003</v>
      </c>
      <c r="F142" t="s">
        <v>11</v>
      </c>
      <c r="G142">
        <v>282</v>
      </c>
      <c r="H142" s="1">
        <v>9.8379629629629642E-4</v>
      </c>
      <c r="I142" t="s">
        <v>9</v>
      </c>
      <c r="J142" t="s">
        <v>14</v>
      </c>
      <c r="K142">
        <v>48451493.227798998</v>
      </c>
      <c r="L142">
        <v>48.451492999999999</v>
      </c>
      <c r="M142">
        <f t="shared" si="2"/>
        <v>4845.1493227799001</v>
      </c>
    </row>
    <row r="143" spans="1:13" x14ac:dyDescent="0.25">
      <c r="A143">
        <v>5425</v>
      </c>
      <c r="B143" t="s">
        <v>41</v>
      </c>
      <c r="C143">
        <v>784</v>
      </c>
      <c r="D143" t="s">
        <v>42</v>
      </c>
      <c r="E143">
        <v>22100001</v>
      </c>
      <c r="F143" t="s">
        <v>11</v>
      </c>
      <c r="G143">
        <v>233</v>
      </c>
      <c r="H143" t="s">
        <v>12</v>
      </c>
      <c r="I143" t="s">
        <v>9</v>
      </c>
      <c r="J143" t="s">
        <v>14</v>
      </c>
      <c r="K143">
        <v>39249320.768537</v>
      </c>
      <c r="L143">
        <v>39.249321000000002</v>
      </c>
      <c r="M143">
        <f t="shared" si="2"/>
        <v>3924.9320768537</v>
      </c>
    </row>
    <row r="144" spans="1:13" x14ac:dyDescent="0.25">
      <c r="A144">
        <v>5440</v>
      </c>
      <c r="B144" t="s">
        <v>184</v>
      </c>
      <c r="C144">
        <v>98</v>
      </c>
      <c r="D144" t="s">
        <v>63</v>
      </c>
      <c r="E144">
        <v>20100007</v>
      </c>
      <c r="F144" t="s">
        <v>11</v>
      </c>
      <c r="G144">
        <v>329</v>
      </c>
      <c r="H144" t="s">
        <v>12</v>
      </c>
      <c r="I144" t="s">
        <v>13</v>
      </c>
      <c r="J144" t="s">
        <v>14</v>
      </c>
      <c r="K144">
        <v>3069161.1899359999</v>
      </c>
      <c r="L144">
        <v>3.0691609999999998</v>
      </c>
      <c r="M144">
        <f t="shared" si="2"/>
        <v>306.91611899359998</v>
      </c>
    </row>
    <row r="145" spans="1:13" x14ac:dyDescent="0.25">
      <c r="A145">
        <v>5440</v>
      </c>
      <c r="B145" t="s">
        <v>184</v>
      </c>
      <c r="C145">
        <v>1290</v>
      </c>
      <c r="D145" t="s">
        <v>87</v>
      </c>
      <c r="E145">
        <v>20100001</v>
      </c>
      <c r="F145" t="s">
        <v>11</v>
      </c>
      <c r="G145">
        <v>93</v>
      </c>
      <c r="H145" s="1">
        <v>9.8379629629629642E-4</v>
      </c>
      <c r="I145" t="s">
        <v>13</v>
      </c>
      <c r="J145" t="s">
        <v>14</v>
      </c>
      <c r="K145">
        <v>135832.01791299999</v>
      </c>
      <c r="L145">
        <v>0.13583200000000001</v>
      </c>
      <c r="M145">
        <f t="shared" si="2"/>
        <v>13.583201791299999</v>
      </c>
    </row>
    <row r="146" spans="1:13" x14ac:dyDescent="0.25">
      <c r="A146">
        <v>5001</v>
      </c>
      <c r="B146" t="s">
        <v>166</v>
      </c>
      <c r="C146">
        <v>11</v>
      </c>
      <c r="D146" t="s">
        <v>50</v>
      </c>
      <c r="E146">
        <v>22100007</v>
      </c>
      <c r="F146" t="s">
        <v>11</v>
      </c>
      <c r="G146">
        <v>267</v>
      </c>
      <c r="H146" s="1">
        <v>9.8379629629629642E-4</v>
      </c>
      <c r="I146" t="s">
        <v>9</v>
      </c>
      <c r="J146" t="s">
        <v>14</v>
      </c>
      <c r="K146">
        <v>140200001.92102301</v>
      </c>
      <c r="L146">
        <v>140.20000200000001</v>
      </c>
      <c r="M146">
        <f t="shared" si="2"/>
        <v>14020.000192102301</v>
      </c>
    </row>
    <row r="147" spans="1:13" x14ac:dyDescent="0.25">
      <c r="A147">
        <v>5001</v>
      </c>
      <c r="B147" t="s">
        <v>166</v>
      </c>
      <c r="C147">
        <v>19</v>
      </c>
      <c r="D147" t="s">
        <v>167</v>
      </c>
      <c r="E147">
        <v>40200929</v>
      </c>
      <c r="F147" t="s">
        <v>20</v>
      </c>
      <c r="G147">
        <v>173</v>
      </c>
      <c r="H147" s="1">
        <v>7.175925925925927E-4</v>
      </c>
      <c r="I147" t="s">
        <v>21</v>
      </c>
      <c r="J147" t="s">
        <v>14</v>
      </c>
      <c r="K147">
        <v>556276.86592699995</v>
      </c>
      <c r="L147">
        <v>0.55627700000000002</v>
      </c>
      <c r="M147">
        <f t="shared" si="2"/>
        <v>55.627686592699995</v>
      </c>
    </row>
    <row r="148" spans="1:13" x14ac:dyDescent="0.25">
      <c r="A148">
        <v>5001</v>
      </c>
      <c r="B148" t="s">
        <v>166</v>
      </c>
      <c r="C148">
        <v>75</v>
      </c>
      <c r="D148" t="s">
        <v>82</v>
      </c>
      <c r="E148">
        <v>1010019</v>
      </c>
      <c r="F148" t="s">
        <v>83</v>
      </c>
      <c r="G148">
        <v>24</v>
      </c>
      <c r="H148" t="s">
        <v>12</v>
      </c>
      <c r="I148" t="s">
        <v>84</v>
      </c>
      <c r="J148" t="s">
        <v>14</v>
      </c>
      <c r="K148">
        <v>23687647.189072002</v>
      </c>
      <c r="L148">
        <v>23.687646999999998</v>
      </c>
      <c r="M148">
        <f t="shared" si="2"/>
        <v>2368.7647189071999</v>
      </c>
    </row>
    <row r="149" spans="1:13" x14ac:dyDescent="0.25">
      <c r="A149">
        <v>5001</v>
      </c>
      <c r="B149" t="s">
        <v>166</v>
      </c>
      <c r="C149">
        <v>335</v>
      </c>
      <c r="D149" t="s">
        <v>168</v>
      </c>
      <c r="E149">
        <v>2070741</v>
      </c>
      <c r="F149" t="s">
        <v>20</v>
      </c>
      <c r="G149">
        <v>34</v>
      </c>
      <c r="H149" s="1">
        <v>7.175925925925927E-4</v>
      </c>
      <c r="I149" t="s">
        <v>21</v>
      </c>
      <c r="J149" t="s">
        <v>14</v>
      </c>
      <c r="K149">
        <v>103061.58811</v>
      </c>
      <c r="L149">
        <v>0.103062</v>
      </c>
      <c r="M149">
        <f t="shared" si="2"/>
        <v>10.306158811</v>
      </c>
    </row>
    <row r="150" spans="1:13" x14ac:dyDescent="0.25">
      <c r="A150">
        <v>5001</v>
      </c>
      <c r="B150" t="s">
        <v>166</v>
      </c>
      <c r="C150">
        <v>427</v>
      </c>
      <c r="D150" t="s">
        <v>169</v>
      </c>
      <c r="E150">
        <v>32080001</v>
      </c>
      <c r="F150" t="s">
        <v>170</v>
      </c>
      <c r="G150">
        <v>511</v>
      </c>
      <c r="H150" t="s">
        <v>12</v>
      </c>
      <c r="I150" t="s">
        <v>171</v>
      </c>
      <c r="J150" t="s">
        <v>14</v>
      </c>
      <c r="K150">
        <v>293241.01182900002</v>
      </c>
      <c r="L150">
        <v>0.29324099999999997</v>
      </c>
      <c r="M150">
        <f t="shared" si="2"/>
        <v>29.324101182900002</v>
      </c>
    </row>
    <row r="151" spans="1:13" x14ac:dyDescent="0.25">
      <c r="A151">
        <v>5001</v>
      </c>
      <c r="B151" t="s">
        <v>166</v>
      </c>
      <c r="C151">
        <v>777</v>
      </c>
      <c r="D151" t="s">
        <v>172</v>
      </c>
      <c r="E151">
        <v>32110001</v>
      </c>
      <c r="F151" t="s">
        <v>47</v>
      </c>
      <c r="G151">
        <v>510</v>
      </c>
      <c r="H151" t="s">
        <v>12</v>
      </c>
      <c r="I151" t="s">
        <v>171</v>
      </c>
      <c r="J151" t="s">
        <v>14</v>
      </c>
      <c r="K151">
        <v>1037259.120732</v>
      </c>
      <c r="L151">
        <v>1.0372589999999999</v>
      </c>
      <c r="M151">
        <f t="shared" si="2"/>
        <v>103.72591207319999</v>
      </c>
    </row>
    <row r="152" spans="1:13" x14ac:dyDescent="0.25">
      <c r="A152">
        <v>5001</v>
      </c>
      <c r="B152" t="s">
        <v>166</v>
      </c>
      <c r="C152">
        <v>854</v>
      </c>
      <c r="D152" t="s">
        <v>123</v>
      </c>
      <c r="E152">
        <v>2070130</v>
      </c>
      <c r="F152" t="s">
        <v>20</v>
      </c>
      <c r="G152">
        <v>181</v>
      </c>
      <c r="H152" t="s">
        <v>12</v>
      </c>
      <c r="I152" t="s">
        <v>21</v>
      </c>
      <c r="J152" t="s">
        <v>14</v>
      </c>
      <c r="K152">
        <v>434427.93230099999</v>
      </c>
      <c r="L152">
        <v>0.43442799999999998</v>
      </c>
      <c r="M152">
        <f t="shared" si="2"/>
        <v>43.442793230100001</v>
      </c>
    </row>
    <row r="153" spans="1:13" x14ac:dyDescent="0.25">
      <c r="A153">
        <v>5001</v>
      </c>
      <c r="B153" t="s">
        <v>166</v>
      </c>
      <c r="C153">
        <v>1260</v>
      </c>
      <c r="D153" t="s">
        <v>173</v>
      </c>
      <c r="E153">
        <v>2070605</v>
      </c>
      <c r="F153" t="s">
        <v>20</v>
      </c>
      <c r="G153">
        <v>151</v>
      </c>
      <c r="H153" s="1">
        <v>8.1018518518518516E-4</v>
      </c>
      <c r="I153" t="s">
        <v>21</v>
      </c>
      <c r="J153" t="s">
        <v>14</v>
      </c>
      <c r="K153">
        <v>31767.080499</v>
      </c>
      <c r="L153">
        <v>3.1766999999999997E-2</v>
      </c>
      <c r="M153">
        <f t="shared" si="2"/>
        <v>3.1767080498999998</v>
      </c>
    </row>
    <row r="154" spans="1:13" x14ac:dyDescent="0.25">
      <c r="A154">
        <v>5001</v>
      </c>
      <c r="B154" t="s">
        <v>166</v>
      </c>
      <c r="C154">
        <v>11</v>
      </c>
      <c r="D154" t="s">
        <v>50</v>
      </c>
      <c r="E154">
        <v>22100007</v>
      </c>
      <c r="F154" t="s">
        <v>11</v>
      </c>
      <c r="G154">
        <v>267</v>
      </c>
      <c r="H154" s="1">
        <v>9.8379629629629642E-4</v>
      </c>
      <c r="I154" t="s">
        <v>9</v>
      </c>
      <c r="J154" t="s">
        <v>14</v>
      </c>
      <c r="K154">
        <v>215135.594877</v>
      </c>
      <c r="L154">
        <v>0.21513599999999999</v>
      </c>
      <c r="M154">
        <f t="shared" si="2"/>
        <v>21.5135594877</v>
      </c>
    </row>
    <row r="155" spans="1:13" x14ac:dyDescent="0.25">
      <c r="A155">
        <v>5001</v>
      </c>
      <c r="B155" t="s">
        <v>166</v>
      </c>
      <c r="C155">
        <v>1021</v>
      </c>
      <c r="D155" t="s">
        <v>205</v>
      </c>
      <c r="E155">
        <v>2070791</v>
      </c>
      <c r="F155" t="s">
        <v>20</v>
      </c>
      <c r="G155">
        <v>11</v>
      </c>
      <c r="H155" s="1">
        <v>1.8518518518518519E-3</v>
      </c>
      <c r="I155" t="s">
        <v>21</v>
      </c>
      <c r="J155" t="s">
        <v>14</v>
      </c>
      <c r="K155">
        <v>215135.594877</v>
      </c>
      <c r="L155">
        <v>0.21513599999999999</v>
      </c>
      <c r="M155">
        <f t="shared" si="2"/>
        <v>21.5135594877</v>
      </c>
    </row>
    <row r="156" spans="1:13" x14ac:dyDescent="0.25">
      <c r="A156">
        <v>5467</v>
      </c>
      <c r="B156" t="s">
        <v>195</v>
      </c>
      <c r="C156">
        <v>677</v>
      </c>
      <c r="D156" t="s">
        <v>10</v>
      </c>
      <c r="E156">
        <v>20100008</v>
      </c>
      <c r="F156" t="s">
        <v>11</v>
      </c>
      <c r="G156">
        <v>330</v>
      </c>
      <c r="H156" t="s">
        <v>12</v>
      </c>
      <c r="I156" t="s">
        <v>13</v>
      </c>
      <c r="J156" t="s">
        <v>14</v>
      </c>
      <c r="K156">
        <v>6013.9731570000004</v>
      </c>
      <c r="L156">
        <v>6.0140000000000002E-3</v>
      </c>
      <c r="M156">
        <f t="shared" si="2"/>
        <v>0.60139731569999999</v>
      </c>
    </row>
    <row r="157" spans="1:13" x14ac:dyDescent="0.25">
      <c r="A157">
        <v>5467</v>
      </c>
      <c r="B157" t="s">
        <v>195</v>
      </c>
      <c r="C157">
        <v>960</v>
      </c>
      <c r="D157" t="s">
        <v>194</v>
      </c>
      <c r="E157">
        <v>2070734</v>
      </c>
      <c r="F157" t="s">
        <v>20</v>
      </c>
      <c r="G157">
        <v>98</v>
      </c>
      <c r="H157" s="1">
        <v>7.5231481481481471E-4</v>
      </c>
      <c r="I157" t="s">
        <v>21</v>
      </c>
      <c r="J157" t="s">
        <v>14</v>
      </c>
      <c r="K157">
        <v>7993.2130500000003</v>
      </c>
      <c r="L157">
        <v>7.9930000000000001E-3</v>
      </c>
      <c r="M157">
        <f t="shared" si="2"/>
        <v>0.79932130499999998</v>
      </c>
    </row>
    <row r="158" spans="1:13" x14ac:dyDescent="0.25">
      <c r="A158">
        <v>5480</v>
      </c>
      <c r="B158" t="s">
        <v>146</v>
      </c>
      <c r="C158">
        <v>505</v>
      </c>
      <c r="D158" t="s">
        <v>25</v>
      </c>
      <c r="E158">
        <v>2020037</v>
      </c>
      <c r="F158" t="s">
        <v>26</v>
      </c>
      <c r="G158">
        <v>163</v>
      </c>
      <c r="H158" s="1">
        <v>9.8379629629629642E-4</v>
      </c>
      <c r="I158" t="s">
        <v>21</v>
      </c>
      <c r="J158" t="s">
        <v>14</v>
      </c>
      <c r="K158">
        <v>21095761.279888999</v>
      </c>
      <c r="L158">
        <v>21.095761</v>
      </c>
      <c r="M158">
        <f t="shared" si="2"/>
        <v>2109.5761279888998</v>
      </c>
    </row>
    <row r="159" spans="1:13" x14ac:dyDescent="0.25">
      <c r="A159">
        <v>5480</v>
      </c>
      <c r="B159" t="s">
        <v>146</v>
      </c>
      <c r="C159">
        <v>622</v>
      </c>
      <c r="D159" t="s">
        <v>147</v>
      </c>
      <c r="E159">
        <v>1010003</v>
      </c>
      <c r="F159" t="s">
        <v>83</v>
      </c>
      <c r="G159">
        <v>23</v>
      </c>
      <c r="H159" s="1">
        <v>9.8379629629629642E-4</v>
      </c>
      <c r="I159" t="s">
        <v>84</v>
      </c>
      <c r="J159" t="s">
        <v>14</v>
      </c>
      <c r="K159">
        <v>14676283.322042</v>
      </c>
      <c r="L159">
        <v>14.676283</v>
      </c>
      <c r="M159">
        <f t="shared" si="2"/>
        <v>1467.6283322042</v>
      </c>
    </row>
    <row r="160" spans="1:13" x14ac:dyDescent="0.25">
      <c r="A160">
        <v>5483</v>
      </c>
      <c r="B160" t="s">
        <v>75</v>
      </c>
      <c r="C160">
        <v>258</v>
      </c>
      <c r="D160" t="s">
        <v>59</v>
      </c>
      <c r="E160">
        <v>20170011</v>
      </c>
      <c r="F160" t="s">
        <v>11</v>
      </c>
      <c r="G160">
        <v>388</v>
      </c>
      <c r="H160" s="1">
        <v>9.8379629629629642E-4</v>
      </c>
      <c r="I160" t="s">
        <v>13</v>
      </c>
      <c r="J160" t="s">
        <v>14</v>
      </c>
      <c r="K160">
        <v>109909640.241751</v>
      </c>
      <c r="L160">
        <v>109.90964</v>
      </c>
      <c r="M160">
        <f t="shared" si="2"/>
        <v>10990.9640241751</v>
      </c>
    </row>
    <row r="161" spans="1:13" x14ac:dyDescent="0.25">
      <c r="A161">
        <v>5495</v>
      </c>
      <c r="B161" t="s">
        <v>160</v>
      </c>
      <c r="C161">
        <v>216</v>
      </c>
      <c r="D161" t="s">
        <v>161</v>
      </c>
      <c r="E161">
        <v>18170013</v>
      </c>
      <c r="F161" t="s">
        <v>11</v>
      </c>
      <c r="G161">
        <v>576</v>
      </c>
      <c r="H161" s="1">
        <v>9.8379629629629642E-4</v>
      </c>
      <c r="I161" t="s">
        <v>9</v>
      </c>
      <c r="J161" t="s">
        <v>14</v>
      </c>
      <c r="K161">
        <v>127768150.72225299</v>
      </c>
      <c r="L161">
        <v>127.768151</v>
      </c>
      <c r="M161">
        <f t="shared" si="2"/>
        <v>12776.815072225299</v>
      </c>
    </row>
    <row r="162" spans="1:13" x14ac:dyDescent="0.25">
      <c r="A162">
        <v>5495</v>
      </c>
      <c r="B162" t="s">
        <v>160</v>
      </c>
      <c r="C162">
        <v>363</v>
      </c>
      <c r="D162" t="s">
        <v>154</v>
      </c>
      <c r="E162">
        <v>22100010</v>
      </c>
      <c r="F162" t="s">
        <v>11</v>
      </c>
      <c r="G162">
        <v>508</v>
      </c>
      <c r="H162" s="1">
        <v>9.8379629629629642E-4</v>
      </c>
      <c r="I162" t="s">
        <v>9</v>
      </c>
      <c r="J162" t="s">
        <v>14</v>
      </c>
      <c r="K162">
        <v>109303758.02755199</v>
      </c>
      <c r="L162">
        <v>109.303758</v>
      </c>
      <c r="M162">
        <f t="shared" si="2"/>
        <v>10930.375802755199</v>
      </c>
    </row>
    <row r="163" spans="1:13" x14ac:dyDescent="0.25">
      <c r="A163">
        <v>5495</v>
      </c>
      <c r="B163" t="s">
        <v>160</v>
      </c>
      <c r="C163">
        <v>450</v>
      </c>
      <c r="D163" t="s">
        <v>158</v>
      </c>
      <c r="E163">
        <v>3100003</v>
      </c>
      <c r="F163" t="s">
        <v>11</v>
      </c>
      <c r="G163">
        <v>133</v>
      </c>
      <c r="H163" s="1">
        <v>9.8379629629629642E-4</v>
      </c>
      <c r="I163" t="s">
        <v>159</v>
      </c>
      <c r="J163" t="s">
        <v>14</v>
      </c>
      <c r="K163">
        <v>731431.93124800001</v>
      </c>
      <c r="L163">
        <v>0.73143199999999997</v>
      </c>
      <c r="M163">
        <f t="shared" si="2"/>
        <v>73.143193124800007</v>
      </c>
    </row>
    <row r="164" spans="1:13" x14ac:dyDescent="0.25">
      <c r="A164">
        <v>5490</v>
      </c>
      <c r="B164" t="s">
        <v>143</v>
      </c>
      <c r="C164">
        <v>357</v>
      </c>
      <c r="D164" t="s">
        <v>144</v>
      </c>
      <c r="E164">
        <v>9100002</v>
      </c>
      <c r="F164" t="s">
        <v>11</v>
      </c>
      <c r="G164">
        <v>12</v>
      </c>
      <c r="H164" t="s">
        <v>12</v>
      </c>
      <c r="I164" t="s">
        <v>24</v>
      </c>
      <c r="J164" t="s">
        <v>14</v>
      </c>
      <c r="K164">
        <v>256876930.91094801</v>
      </c>
      <c r="L164">
        <v>256.87693100000001</v>
      </c>
      <c r="M164">
        <f t="shared" si="2"/>
        <v>25687.693091094799</v>
      </c>
    </row>
    <row r="165" spans="1:13" x14ac:dyDescent="0.25">
      <c r="A165">
        <v>5490</v>
      </c>
      <c r="B165" t="s">
        <v>143</v>
      </c>
      <c r="C165">
        <v>1305</v>
      </c>
      <c r="D165" t="s">
        <v>145</v>
      </c>
      <c r="E165">
        <v>2070925</v>
      </c>
      <c r="F165" t="s">
        <v>20</v>
      </c>
      <c r="G165">
        <v>139</v>
      </c>
      <c r="H165" s="1">
        <v>9.8379629629629642E-4</v>
      </c>
      <c r="I165" t="s">
        <v>21</v>
      </c>
      <c r="J165" t="s">
        <v>14</v>
      </c>
      <c r="K165">
        <v>40111.920842</v>
      </c>
      <c r="L165">
        <v>4.0112000000000002E-2</v>
      </c>
      <c r="M165">
        <f t="shared" si="2"/>
        <v>4.0111920842000002</v>
      </c>
    </row>
    <row r="166" spans="1:13" x14ac:dyDescent="0.25">
      <c r="A166">
        <v>5501</v>
      </c>
      <c r="B166" t="s">
        <v>43</v>
      </c>
      <c r="C166">
        <v>122</v>
      </c>
      <c r="D166" t="s">
        <v>38</v>
      </c>
      <c r="E166">
        <v>22100003</v>
      </c>
      <c r="F166" t="s">
        <v>11</v>
      </c>
      <c r="G166">
        <v>282</v>
      </c>
      <c r="H166" s="1">
        <v>9.8379629629629642E-4</v>
      </c>
      <c r="I166" t="s">
        <v>9</v>
      </c>
      <c r="J166" t="s">
        <v>14</v>
      </c>
      <c r="K166">
        <v>9174273.8833160009</v>
      </c>
      <c r="L166">
        <v>9.1742740000000005</v>
      </c>
      <c r="M166">
        <f t="shared" si="2"/>
        <v>917.42738833160013</v>
      </c>
    </row>
    <row r="167" spans="1:13" x14ac:dyDescent="0.25">
      <c r="A167">
        <v>5543</v>
      </c>
      <c r="B167" t="s">
        <v>23</v>
      </c>
      <c r="C167">
        <v>505</v>
      </c>
      <c r="D167" t="s">
        <v>25</v>
      </c>
      <c r="E167">
        <v>2020037</v>
      </c>
      <c r="F167" t="s">
        <v>26</v>
      </c>
      <c r="G167">
        <v>163</v>
      </c>
      <c r="H167" s="1">
        <v>9.8379629629629642E-4</v>
      </c>
      <c r="I167" t="s">
        <v>21</v>
      </c>
      <c r="J167" t="s">
        <v>14</v>
      </c>
      <c r="K167">
        <v>37291412.409165002</v>
      </c>
      <c r="L167">
        <v>37.291412000000001</v>
      </c>
      <c r="M167">
        <f t="shared" si="2"/>
        <v>3729.1412409165005</v>
      </c>
    </row>
    <row r="168" spans="1:13" x14ac:dyDescent="0.25">
      <c r="A168">
        <v>5576</v>
      </c>
      <c r="B168" t="s">
        <v>189</v>
      </c>
      <c r="C168">
        <v>13</v>
      </c>
      <c r="D168" t="s">
        <v>65</v>
      </c>
      <c r="E168">
        <v>22100002</v>
      </c>
      <c r="F168" t="s">
        <v>11</v>
      </c>
      <c r="G168">
        <v>352</v>
      </c>
      <c r="H168" s="1">
        <v>1.8518518518518519E-3</v>
      </c>
      <c r="I168" t="s">
        <v>9</v>
      </c>
      <c r="J168" t="s">
        <v>14</v>
      </c>
      <c r="K168">
        <v>5696931.5291210003</v>
      </c>
      <c r="L168">
        <v>5.6969320000000003</v>
      </c>
      <c r="M168">
        <f t="shared" si="2"/>
        <v>569.6931529121</v>
      </c>
    </row>
    <row r="169" spans="1:13" x14ac:dyDescent="0.25">
      <c r="A169">
        <v>5576</v>
      </c>
      <c r="B169" t="s">
        <v>189</v>
      </c>
      <c r="C169">
        <v>47</v>
      </c>
      <c r="D169" t="s">
        <v>111</v>
      </c>
      <c r="E169">
        <v>22100005</v>
      </c>
      <c r="F169" t="s">
        <v>11</v>
      </c>
      <c r="G169">
        <v>245</v>
      </c>
      <c r="H169" s="1">
        <v>9.8379629629629642E-4</v>
      </c>
      <c r="I169" t="s">
        <v>9</v>
      </c>
      <c r="J169" t="s">
        <v>14</v>
      </c>
      <c r="K169">
        <v>11984021.832966</v>
      </c>
      <c r="L169">
        <v>11.984022</v>
      </c>
      <c r="M169">
        <f t="shared" si="2"/>
        <v>1198.4021832966</v>
      </c>
    </row>
    <row r="170" spans="1:13" x14ac:dyDescent="0.25">
      <c r="A170">
        <v>5579</v>
      </c>
      <c r="B170" t="s">
        <v>139</v>
      </c>
      <c r="C170">
        <v>135</v>
      </c>
      <c r="D170" t="s">
        <v>32</v>
      </c>
      <c r="E170">
        <v>22100009</v>
      </c>
      <c r="F170" t="s">
        <v>11</v>
      </c>
      <c r="G170">
        <v>493</v>
      </c>
      <c r="H170" t="s">
        <v>12</v>
      </c>
      <c r="I170" t="s">
        <v>9</v>
      </c>
      <c r="J170" t="s">
        <v>14</v>
      </c>
      <c r="K170">
        <v>22510.297682</v>
      </c>
      <c r="L170">
        <v>2.2509999999999999E-2</v>
      </c>
      <c r="M170">
        <f t="shared" si="2"/>
        <v>2.2510297682</v>
      </c>
    </row>
    <row r="171" spans="1:13" x14ac:dyDescent="0.25">
      <c r="A171">
        <v>5579</v>
      </c>
      <c r="B171" t="s">
        <v>139</v>
      </c>
      <c r="C171">
        <v>170</v>
      </c>
      <c r="D171" t="s">
        <v>33</v>
      </c>
      <c r="E171">
        <v>2070823</v>
      </c>
      <c r="F171" t="s">
        <v>20</v>
      </c>
      <c r="G171">
        <v>197</v>
      </c>
      <c r="H171" s="1">
        <v>1.8518518518518519E-3</v>
      </c>
      <c r="I171" t="s">
        <v>21</v>
      </c>
      <c r="J171" t="s">
        <v>14</v>
      </c>
      <c r="K171">
        <v>75807.397167000003</v>
      </c>
      <c r="L171">
        <v>7.5806999999999999E-2</v>
      </c>
      <c r="M171">
        <f t="shared" si="2"/>
        <v>7.5807397167000001</v>
      </c>
    </row>
    <row r="172" spans="1:13" x14ac:dyDescent="0.25">
      <c r="A172">
        <v>5579</v>
      </c>
      <c r="B172" t="s">
        <v>139</v>
      </c>
      <c r="C172">
        <v>692</v>
      </c>
      <c r="D172" t="s">
        <v>140</v>
      </c>
      <c r="E172">
        <v>22100012</v>
      </c>
      <c r="F172" t="s">
        <v>11</v>
      </c>
      <c r="G172">
        <v>543</v>
      </c>
      <c r="H172" s="1">
        <v>9.8379629629629642E-4</v>
      </c>
      <c r="I172" t="s">
        <v>9</v>
      </c>
      <c r="J172" t="s">
        <v>14</v>
      </c>
      <c r="K172">
        <v>67583334.027299002</v>
      </c>
      <c r="L172">
        <v>67.583333999999994</v>
      </c>
      <c r="M172">
        <f t="shared" si="2"/>
        <v>6758.3334027299006</v>
      </c>
    </row>
    <row r="173" spans="1:13" x14ac:dyDescent="0.25">
      <c r="A173">
        <v>5579</v>
      </c>
      <c r="B173" t="s">
        <v>139</v>
      </c>
      <c r="C173">
        <v>784</v>
      </c>
      <c r="D173" t="s">
        <v>42</v>
      </c>
      <c r="E173">
        <v>22100001</v>
      </c>
      <c r="F173" t="s">
        <v>11</v>
      </c>
      <c r="G173">
        <v>233</v>
      </c>
      <c r="H173" t="s">
        <v>12</v>
      </c>
      <c r="I173" t="s">
        <v>9</v>
      </c>
      <c r="J173" t="s">
        <v>14</v>
      </c>
      <c r="K173">
        <v>19870269.485796001</v>
      </c>
      <c r="L173">
        <v>19.870269</v>
      </c>
      <c r="M173">
        <f t="shared" si="2"/>
        <v>1987.0269485796</v>
      </c>
    </row>
    <row r="174" spans="1:13" x14ac:dyDescent="0.25">
      <c r="A174">
        <v>5579</v>
      </c>
      <c r="B174" t="s">
        <v>139</v>
      </c>
      <c r="C174">
        <v>135</v>
      </c>
      <c r="D174" t="s">
        <v>32</v>
      </c>
      <c r="E174">
        <v>22100009</v>
      </c>
      <c r="F174" t="s">
        <v>11</v>
      </c>
      <c r="G174">
        <v>493</v>
      </c>
      <c r="H174" t="s">
        <v>12</v>
      </c>
      <c r="I174" t="s">
        <v>9</v>
      </c>
      <c r="J174" t="s">
        <v>14</v>
      </c>
      <c r="K174">
        <v>122937.18455799999</v>
      </c>
      <c r="L174">
        <v>0.122937</v>
      </c>
      <c r="M174">
        <f t="shared" si="2"/>
        <v>12.293718455799999</v>
      </c>
    </row>
    <row r="175" spans="1:13" x14ac:dyDescent="0.25">
      <c r="A175">
        <v>5579</v>
      </c>
      <c r="B175" t="s">
        <v>139</v>
      </c>
      <c r="C175">
        <v>170</v>
      </c>
      <c r="D175" t="s">
        <v>33</v>
      </c>
      <c r="E175">
        <v>2070823</v>
      </c>
      <c r="F175" t="s">
        <v>20</v>
      </c>
      <c r="G175">
        <v>197</v>
      </c>
      <c r="H175" s="1">
        <v>1.8518518518518519E-3</v>
      </c>
      <c r="I175" t="s">
        <v>21</v>
      </c>
      <c r="J175" t="s">
        <v>14</v>
      </c>
      <c r="K175">
        <v>122937.18455799999</v>
      </c>
      <c r="L175">
        <v>0.122937</v>
      </c>
      <c r="M175">
        <f t="shared" si="2"/>
        <v>12.293718455799999</v>
      </c>
    </row>
    <row r="176" spans="1:13" x14ac:dyDescent="0.25">
      <c r="A176">
        <v>5585</v>
      </c>
      <c r="B176" t="s">
        <v>186</v>
      </c>
      <c r="C176">
        <v>297</v>
      </c>
      <c r="D176" t="s">
        <v>55</v>
      </c>
      <c r="E176">
        <v>20100012</v>
      </c>
      <c r="F176" t="s">
        <v>11</v>
      </c>
      <c r="G176">
        <v>395</v>
      </c>
      <c r="H176" s="1">
        <v>8.1018518518518516E-4</v>
      </c>
      <c r="I176" t="s">
        <v>13</v>
      </c>
      <c r="J176" t="s">
        <v>14</v>
      </c>
      <c r="K176">
        <v>15357482.401044</v>
      </c>
      <c r="L176">
        <v>15.357481999999999</v>
      </c>
      <c r="M176">
        <f t="shared" si="2"/>
        <v>1535.7482401043999</v>
      </c>
    </row>
    <row r="177" spans="1:13" x14ac:dyDescent="0.25">
      <c r="A177">
        <v>5591</v>
      </c>
      <c r="B177" t="s">
        <v>187</v>
      </c>
      <c r="C177">
        <v>297</v>
      </c>
      <c r="D177" t="s">
        <v>55</v>
      </c>
      <c r="E177">
        <v>20100012</v>
      </c>
      <c r="F177" t="s">
        <v>11</v>
      </c>
      <c r="G177">
        <v>395</v>
      </c>
      <c r="H177" s="1">
        <v>8.1018518518518516E-4</v>
      </c>
      <c r="I177" t="s">
        <v>13</v>
      </c>
      <c r="J177" t="s">
        <v>14</v>
      </c>
      <c r="K177">
        <v>10444158.156260001</v>
      </c>
      <c r="L177">
        <v>10.444158</v>
      </c>
      <c r="M177">
        <f t="shared" si="2"/>
        <v>1044.415815626</v>
      </c>
    </row>
    <row r="178" spans="1:13" x14ac:dyDescent="0.25">
      <c r="A178">
        <v>5591</v>
      </c>
      <c r="B178" t="s">
        <v>187</v>
      </c>
      <c r="C178">
        <v>316</v>
      </c>
      <c r="D178" t="s">
        <v>188</v>
      </c>
      <c r="E178">
        <v>2070702</v>
      </c>
      <c r="F178" t="s">
        <v>20</v>
      </c>
      <c r="G178">
        <v>162</v>
      </c>
      <c r="H178" s="1">
        <v>8.1018518518518516E-4</v>
      </c>
      <c r="I178" t="s">
        <v>21</v>
      </c>
      <c r="J178" t="s">
        <v>14</v>
      </c>
      <c r="K178">
        <v>1579927.7614829999</v>
      </c>
      <c r="L178">
        <v>1.579928</v>
      </c>
      <c r="M178">
        <f t="shared" si="2"/>
        <v>157.99277614829998</v>
      </c>
    </row>
    <row r="179" spans="1:13" x14ac:dyDescent="0.25">
      <c r="A179">
        <v>5615</v>
      </c>
      <c r="B179" t="s">
        <v>182</v>
      </c>
      <c r="C179">
        <v>75</v>
      </c>
      <c r="D179" t="s">
        <v>82</v>
      </c>
      <c r="E179">
        <v>1010019</v>
      </c>
      <c r="F179" t="s">
        <v>83</v>
      </c>
      <c r="G179">
        <v>24</v>
      </c>
      <c r="H179" t="s">
        <v>12</v>
      </c>
      <c r="I179" t="s">
        <v>84</v>
      </c>
      <c r="J179" t="s">
        <v>14</v>
      </c>
      <c r="K179">
        <v>3470991.4876469998</v>
      </c>
      <c r="L179">
        <v>3.4709910000000002</v>
      </c>
      <c r="M179">
        <f t="shared" si="2"/>
        <v>347.09914876469998</v>
      </c>
    </row>
    <row r="180" spans="1:13" x14ac:dyDescent="0.25">
      <c r="A180">
        <v>5615</v>
      </c>
      <c r="B180" t="s">
        <v>182</v>
      </c>
      <c r="C180">
        <v>222</v>
      </c>
      <c r="D180" t="s">
        <v>109</v>
      </c>
      <c r="E180">
        <v>20170005</v>
      </c>
      <c r="F180" t="s">
        <v>11</v>
      </c>
      <c r="G180">
        <v>326</v>
      </c>
      <c r="H180" s="1">
        <v>8.1018518518518516E-4</v>
      </c>
      <c r="I180" t="s">
        <v>13</v>
      </c>
      <c r="J180" t="s">
        <v>14</v>
      </c>
      <c r="K180">
        <v>3255495.2719470002</v>
      </c>
      <c r="L180">
        <v>3.2554949999999998</v>
      </c>
      <c r="M180">
        <f t="shared" si="2"/>
        <v>325.54952719470003</v>
      </c>
    </row>
    <row r="181" spans="1:13" x14ac:dyDescent="0.25">
      <c r="A181">
        <v>5615</v>
      </c>
      <c r="B181" t="s">
        <v>182</v>
      </c>
      <c r="C181">
        <v>246</v>
      </c>
      <c r="D181" t="s">
        <v>183</v>
      </c>
      <c r="E181">
        <v>20170002</v>
      </c>
      <c r="F181" t="s">
        <v>11</v>
      </c>
      <c r="G181">
        <v>314</v>
      </c>
      <c r="H181" s="1">
        <v>8.1018518518518516E-4</v>
      </c>
      <c r="I181" t="s">
        <v>13</v>
      </c>
      <c r="J181" t="s">
        <v>14</v>
      </c>
      <c r="K181">
        <v>648234.88544600003</v>
      </c>
      <c r="L181">
        <v>0.64823500000000001</v>
      </c>
      <c r="M181">
        <f t="shared" si="2"/>
        <v>64.823488544599996</v>
      </c>
    </row>
    <row r="182" spans="1:13" x14ac:dyDescent="0.25">
      <c r="A182">
        <v>5615</v>
      </c>
      <c r="B182" t="s">
        <v>182</v>
      </c>
      <c r="C182">
        <v>250</v>
      </c>
      <c r="D182" t="s">
        <v>18</v>
      </c>
      <c r="E182">
        <v>20170003</v>
      </c>
      <c r="F182" t="s">
        <v>11</v>
      </c>
      <c r="G182">
        <v>323</v>
      </c>
      <c r="H182" s="1">
        <v>8.1018518518518516E-4</v>
      </c>
      <c r="I182" t="s">
        <v>13</v>
      </c>
      <c r="J182" t="s">
        <v>14</v>
      </c>
      <c r="K182">
        <v>125457.458833</v>
      </c>
      <c r="L182">
        <v>0.12545700000000001</v>
      </c>
      <c r="M182">
        <f t="shared" si="2"/>
        <v>12.5457458833</v>
      </c>
    </row>
    <row r="183" spans="1:13" x14ac:dyDescent="0.25">
      <c r="A183">
        <v>5615</v>
      </c>
      <c r="B183" t="s">
        <v>182</v>
      </c>
      <c r="C183">
        <v>75</v>
      </c>
      <c r="D183" t="s">
        <v>82</v>
      </c>
      <c r="E183">
        <v>1010019</v>
      </c>
      <c r="F183" t="s">
        <v>83</v>
      </c>
      <c r="G183">
        <v>24</v>
      </c>
      <c r="H183" t="s">
        <v>12</v>
      </c>
      <c r="I183" t="s">
        <v>84</v>
      </c>
      <c r="J183" t="s">
        <v>14</v>
      </c>
      <c r="K183">
        <v>15485.20543</v>
      </c>
      <c r="L183">
        <v>1.5485000000000001E-2</v>
      </c>
      <c r="M183">
        <f t="shared" si="2"/>
        <v>1.548520543</v>
      </c>
    </row>
    <row r="184" spans="1:13" x14ac:dyDescent="0.25">
      <c r="A184">
        <v>5615</v>
      </c>
      <c r="B184" t="s">
        <v>182</v>
      </c>
      <c r="C184">
        <v>954</v>
      </c>
      <c r="D184" t="s">
        <v>206</v>
      </c>
      <c r="E184">
        <v>2070315</v>
      </c>
      <c r="F184" t="s">
        <v>20</v>
      </c>
      <c r="G184">
        <v>32</v>
      </c>
      <c r="H184" s="1">
        <v>7.175925925925927E-4</v>
      </c>
      <c r="I184" t="s">
        <v>21</v>
      </c>
      <c r="J184" t="s">
        <v>14</v>
      </c>
      <c r="K184">
        <v>15485.20543</v>
      </c>
      <c r="L184">
        <v>1.5485000000000001E-2</v>
      </c>
      <c r="M184">
        <f t="shared" si="2"/>
        <v>1.548520543</v>
      </c>
    </row>
    <row r="185" spans="1:13" x14ac:dyDescent="0.25">
      <c r="A185">
        <v>5628</v>
      </c>
      <c r="B185" t="s">
        <v>72</v>
      </c>
      <c r="C185">
        <v>122</v>
      </c>
      <c r="D185" t="s">
        <v>38</v>
      </c>
      <c r="E185">
        <v>22100003</v>
      </c>
      <c r="F185" t="s">
        <v>11</v>
      </c>
      <c r="G185">
        <v>282</v>
      </c>
      <c r="H185" s="1">
        <v>9.8379629629629642E-4</v>
      </c>
      <c r="I185" t="s">
        <v>9</v>
      </c>
      <c r="J185" t="s">
        <v>14</v>
      </c>
      <c r="K185">
        <v>26338167.150442</v>
      </c>
      <c r="L185">
        <v>26.338166999999999</v>
      </c>
      <c r="M185">
        <f t="shared" si="2"/>
        <v>2633.8167150442</v>
      </c>
    </row>
    <row r="186" spans="1:13" x14ac:dyDescent="0.25">
      <c r="A186">
        <v>5642</v>
      </c>
      <c r="B186" t="s">
        <v>110</v>
      </c>
      <c r="C186">
        <v>47</v>
      </c>
      <c r="D186" t="s">
        <v>111</v>
      </c>
      <c r="E186">
        <v>22100005</v>
      </c>
      <c r="F186" t="s">
        <v>11</v>
      </c>
      <c r="G186">
        <v>245</v>
      </c>
      <c r="H186" s="1">
        <v>9.8379629629629642E-4</v>
      </c>
      <c r="I186" t="s">
        <v>9</v>
      </c>
      <c r="J186" t="s">
        <v>14</v>
      </c>
      <c r="K186">
        <v>18356527.976980999</v>
      </c>
      <c r="L186">
        <v>18.356528000000001</v>
      </c>
      <c r="M186">
        <f t="shared" si="2"/>
        <v>1835.6527976980999</v>
      </c>
    </row>
    <row r="187" spans="1:13" x14ac:dyDescent="0.25">
      <c r="A187">
        <v>5642</v>
      </c>
      <c r="B187" t="s">
        <v>110</v>
      </c>
      <c r="C187">
        <v>112</v>
      </c>
      <c r="D187" t="s">
        <v>61</v>
      </c>
      <c r="E187">
        <v>22100006</v>
      </c>
      <c r="F187" t="s">
        <v>11</v>
      </c>
      <c r="G187">
        <v>244</v>
      </c>
      <c r="H187" s="1">
        <v>9.8379629629629642E-4</v>
      </c>
      <c r="I187" t="s">
        <v>9</v>
      </c>
      <c r="J187" t="s">
        <v>14</v>
      </c>
      <c r="K187">
        <v>45710228.631173</v>
      </c>
      <c r="L187">
        <v>45.710228999999998</v>
      </c>
      <c r="M187">
        <f t="shared" si="2"/>
        <v>4571.0228631173004</v>
      </c>
    </row>
    <row r="188" spans="1:13" x14ac:dyDescent="0.25">
      <c r="A188">
        <v>5642</v>
      </c>
      <c r="B188" t="s">
        <v>110</v>
      </c>
      <c r="C188">
        <v>386</v>
      </c>
      <c r="D188" t="s">
        <v>112</v>
      </c>
      <c r="E188">
        <v>24100004</v>
      </c>
      <c r="F188" t="s">
        <v>11</v>
      </c>
      <c r="G188">
        <v>11</v>
      </c>
      <c r="H188" s="1">
        <v>1.8518518518518519E-3</v>
      </c>
      <c r="I188" t="s">
        <v>113</v>
      </c>
      <c r="J188" t="s">
        <v>14</v>
      </c>
      <c r="K188">
        <v>4899.6505660000003</v>
      </c>
      <c r="L188">
        <v>4.8999999999999998E-3</v>
      </c>
      <c r="M188">
        <f t="shared" si="2"/>
        <v>0.4899650566</v>
      </c>
    </row>
    <row r="189" spans="1:13" x14ac:dyDescent="0.25">
      <c r="A189">
        <v>5642</v>
      </c>
      <c r="B189" t="s">
        <v>110</v>
      </c>
      <c r="C189">
        <v>112</v>
      </c>
      <c r="D189" t="s">
        <v>61</v>
      </c>
      <c r="E189">
        <v>22100006</v>
      </c>
      <c r="F189" t="s">
        <v>11</v>
      </c>
      <c r="G189">
        <v>244</v>
      </c>
      <c r="H189" s="1">
        <v>9.8379629629629642E-4</v>
      </c>
      <c r="I189" t="s">
        <v>9</v>
      </c>
      <c r="J189" t="s">
        <v>14</v>
      </c>
      <c r="K189">
        <v>1749.0353580000001</v>
      </c>
      <c r="L189">
        <v>1.7489999999999999E-3</v>
      </c>
      <c r="M189">
        <f t="shared" si="2"/>
        <v>0.17490353580000001</v>
      </c>
    </row>
    <row r="190" spans="1:13" x14ac:dyDescent="0.25">
      <c r="A190">
        <v>5642</v>
      </c>
      <c r="B190" t="s">
        <v>110</v>
      </c>
      <c r="C190">
        <v>386</v>
      </c>
      <c r="D190" t="s">
        <v>112</v>
      </c>
      <c r="E190">
        <v>24100004</v>
      </c>
      <c r="F190" t="s">
        <v>11</v>
      </c>
      <c r="G190">
        <v>11</v>
      </c>
      <c r="H190" s="1">
        <v>1.8518518518518519E-3</v>
      </c>
      <c r="I190" t="s">
        <v>113</v>
      </c>
      <c r="J190" t="s">
        <v>14</v>
      </c>
      <c r="K190">
        <v>1749.0353580000001</v>
      </c>
      <c r="L190">
        <v>1.7489999999999999E-3</v>
      </c>
      <c r="M190">
        <f t="shared" si="2"/>
        <v>0.17490353580000001</v>
      </c>
    </row>
    <row r="191" spans="1:13" x14ac:dyDescent="0.25">
      <c r="A191">
        <v>5647</v>
      </c>
      <c r="B191" t="s">
        <v>104</v>
      </c>
      <c r="C191">
        <v>122</v>
      </c>
      <c r="D191" t="s">
        <v>38</v>
      </c>
      <c r="E191">
        <v>22100003</v>
      </c>
      <c r="F191" t="s">
        <v>11</v>
      </c>
      <c r="G191">
        <v>282</v>
      </c>
      <c r="H191" s="1">
        <v>9.8379629629629642E-4</v>
      </c>
      <c r="I191" t="s">
        <v>9</v>
      </c>
      <c r="J191" t="s">
        <v>14</v>
      </c>
      <c r="K191">
        <v>14479298.456465</v>
      </c>
      <c r="L191">
        <v>14.479298</v>
      </c>
      <c r="M191">
        <f t="shared" si="2"/>
        <v>1447.9298456465001</v>
      </c>
    </row>
    <row r="192" spans="1:13" x14ac:dyDescent="0.25">
      <c r="A192">
        <v>5649</v>
      </c>
      <c r="B192" t="s">
        <v>116</v>
      </c>
      <c r="C192">
        <v>204</v>
      </c>
      <c r="D192" t="s">
        <v>117</v>
      </c>
      <c r="E192">
        <v>20120001</v>
      </c>
      <c r="F192" t="s">
        <v>16</v>
      </c>
      <c r="G192">
        <v>264</v>
      </c>
      <c r="H192" t="s">
        <v>12</v>
      </c>
      <c r="I192" t="s">
        <v>13</v>
      </c>
      <c r="J192" t="s">
        <v>14</v>
      </c>
      <c r="K192">
        <v>43055186.627462998</v>
      </c>
      <c r="L192">
        <v>43.055186999999997</v>
      </c>
      <c r="M192">
        <f t="shared" si="2"/>
        <v>4305.5186627462999</v>
      </c>
    </row>
    <row r="193" spans="1:13" x14ac:dyDescent="0.25">
      <c r="A193">
        <v>5649</v>
      </c>
      <c r="B193" t="s">
        <v>116</v>
      </c>
      <c r="C193">
        <v>223</v>
      </c>
      <c r="D193" t="s">
        <v>115</v>
      </c>
      <c r="E193">
        <v>20170006</v>
      </c>
      <c r="F193" t="s">
        <v>11</v>
      </c>
      <c r="G193">
        <v>328</v>
      </c>
      <c r="H193" s="1">
        <v>8.1018518518518516E-4</v>
      </c>
      <c r="I193" t="s">
        <v>13</v>
      </c>
      <c r="J193" t="s">
        <v>14</v>
      </c>
      <c r="K193">
        <v>68345087.491249993</v>
      </c>
      <c r="L193">
        <v>68.345087000000007</v>
      </c>
      <c r="M193">
        <f t="shared" si="2"/>
        <v>6834.5087491249997</v>
      </c>
    </row>
    <row r="194" spans="1:13" x14ac:dyDescent="0.25">
      <c r="A194">
        <v>5649</v>
      </c>
      <c r="B194" t="s">
        <v>116</v>
      </c>
      <c r="C194">
        <v>231</v>
      </c>
      <c r="D194" t="s">
        <v>52</v>
      </c>
      <c r="E194">
        <v>20160007</v>
      </c>
      <c r="F194" t="s">
        <v>16</v>
      </c>
      <c r="G194">
        <v>327</v>
      </c>
      <c r="H194" s="1">
        <v>8.1018518518518516E-4</v>
      </c>
      <c r="I194" t="s">
        <v>13</v>
      </c>
      <c r="J194" t="s">
        <v>14</v>
      </c>
      <c r="K194">
        <v>11385472.019196</v>
      </c>
      <c r="L194">
        <v>11.385472</v>
      </c>
      <c r="M194">
        <f t="shared" si="2"/>
        <v>1138.5472019196</v>
      </c>
    </row>
    <row r="195" spans="1:13" x14ac:dyDescent="0.25">
      <c r="A195">
        <v>5649</v>
      </c>
      <c r="B195" t="s">
        <v>116</v>
      </c>
      <c r="C195">
        <v>377</v>
      </c>
      <c r="D195" t="s">
        <v>118</v>
      </c>
      <c r="E195">
        <v>2070682</v>
      </c>
      <c r="F195" t="s">
        <v>20</v>
      </c>
      <c r="G195">
        <v>136</v>
      </c>
      <c r="H195" s="1">
        <v>7.5231481481481471E-4</v>
      </c>
      <c r="I195" t="s">
        <v>21</v>
      </c>
      <c r="J195" t="s">
        <v>14</v>
      </c>
      <c r="K195">
        <v>1537.3043929999999</v>
      </c>
      <c r="L195">
        <v>1.537E-3</v>
      </c>
      <c r="M195">
        <f t="shared" ref="M195:M258" si="3">K195/10000</f>
        <v>0.15373043929999999</v>
      </c>
    </row>
    <row r="196" spans="1:13" x14ac:dyDescent="0.25">
      <c r="A196">
        <v>5649</v>
      </c>
      <c r="B196" t="s">
        <v>116</v>
      </c>
      <c r="C196">
        <v>390</v>
      </c>
      <c r="D196" t="s">
        <v>119</v>
      </c>
      <c r="E196">
        <v>2070705</v>
      </c>
      <c r="F196" t="s">
        <v>20</v>
      </c>
      <c r="G196">
        <v>125</v>
      </c>
      <c r="H196" s="1">
        <v>8.1018518518518516E-4</v>
      </c>
      <c r="I196" t="s">
        <v>21</v>
      </c>
      <c r="J196" t="s">
        <v>14</v>
      </c>
      <c r="K196">
        <v>316.22545700000001</v>
      </c>
      <c r="L196">
        <v>3.1599999999999998E-4</v>
      </c>
      <c r="M196">
        <f t="shared" si="3"/>
        <v>3.1622545699999997E-2</v>
      </c>
    </row>
    <row r="197" spans="1:13" x14ac:dyDescent="0.25">
      <c r="A197">
        <v>5649</v>
      </c>
      <c r="B197" t="s">
        <v>116</v>
      </c>
      <c r="C197">
        <v>675</v>
      </c>
      <c r="D197" t="s">
        <v>120</v>
      </c>
      <c r="E197">
        <v>20120004</v>
      </c>
      <c r="F197" t="s">
        <v>16</v>
      </c>
      <c r="G197">
        <v>321</v>
      </c>
      <c r="H197" t="s">
        <v>12</v>
      </c>
      <c r="I197" t="s">
        <v>13</v>
      </c>
      <c r="J197" t="s">
        <v>14</v>
      </c>
      <c r="K197">
        <v>4073531.080846</v>
      </c>
      <c r="L197">
        <v>4.073531</v>
      </c>
      <c r="M197">
        <f t="shared" si="3"/>
        <v>407.35310808460002</v>
      </c>
    </row>
    <row r="198" spans="1:13" x14ac:dyDescent="0.25">
      <c r="A198">
        <v>5649</v>
      </c>
      <c r="B198" t="s">
        <v>116</v>
      </c>
      <c r="C198">
        <v>1290</v>
      </c>
      <c r="D198" t="s">
        <v>87</v>
      </c>
      <c r="E198">
        <v>20100001</v>
      </c>
      <c r="F198" t="s">
        <v>11</v>
      </c>
      <c r="G198">
        <v>93</v>
      </c>
      <c r="H198" s="1">
        <v>9.8379629629629642E-4</v>
      </c>
      <c r="I198" t="s">
        <v>13</v>
      </c>
      <c r="J198" t="s">
        <v>14</v>
      </c>
      <c r="K198">
        <v>4894.725418</v>
      </c>
      <c r="L198">
        <v>4.895E-3</v>
      </c>
      <c r="M198">
        <f t="shared" si="3"/>
        <v>0.48947254179999999</v>
      </c>
    </row>
    <row r="199" spans="1:13" x14ac:dyDescent="0.25">
      <c r="A199">
        <v>5649</v>
      </c>
      <c r="B199" t="s">
        <v>116</v>
      </c>
      <c r="C199">
        <v>39</v>
      </c>
      <c r="D199" t="s">
        <v>199</v>
      </c>
      <c r="E199">
        <v>2070662</v>
      </c>
      <c r="F199" t="s">
        <v>20</v>
      </c>
      <c r="G199">
        <v>87</v>
      </c>
      <c r="H199" s="1">
        <v>7.175925925925927E-4</v>
      </c>
      <c r="I199" t="s">
        <v>21</v>
      </c>
      <c r="J199" t="s">
        <v>14</v>
      </c>
      <c r="K199">
        <v>14991.959303</v>
      </c>
      <c r="L199">
        <v>1.4992E-2</v>
      </c>
      <c r="M199">
        <f t="shared" si="3"/>
        <v>1.4991959303</v>
      </c>
    </row>
    <row r="200" spans="1:13" x14ac:dyDescent="0.25">
      <c r="A200">
        <v>5649</v>
      </c>
      <c r="B200" t="s">
        <v>116</v>
      </c>
      <c r="C200">
        <v>223</v>
      </c>
      <c r="D200" t="s">
        <v>115</v>
      </c>
      <c r="E200">
        <v>20170006</v>
      </c>
      <c r="F200" t="s">
        <v>11</v>
      </c>
      <c r="G200">
        <v>328</v>
      </c>
      <c r="H200" s="1">
        <v>8.1018518518518516E-4</v>
      </c>
      <c r="I200" t="s">
        <v>13</v>
      </c>
      <c r="J200" t="s">
        <v>14</v>
      </c>
      <c r="K200">
        <v>14991.959303</v>
      </c>
      <c r="L200">
        <v>1.4992E-2</v>
      </c>
      <c r="M200">
        <f t="shared" si="3"/>
        <v>1.4991959303</v>
      </c>
    </row>
    <row r="201" spans="1:13" x14ac:dyDescent="0.25">
      <c r="A201">
        <v>5649</v>
      </c>
      <c r="B201" t="s">
        <v>116</v>
      </c>
      <c r="C201">
        <v>223</v>
      </c>
      <c r="D201" t="s">
        <v>115</v>
      </c>
      <c r="E201">
        <v>20170006</v>
      </c>
      <c r="F201" t="s">
        <v>11</v>
      </c>
      <c r="G201">
        <v>328</v>
      </c>
      <c r="H201" s="1">
        <v>8.1018518518518516E-4</v>
      </c>
      <c r="I201" t="s">
        <v>13</v>
      </c>
      <c r="J201" t="s">
        <v>14</v>
      </c>
      <c r="K201">
        <v>361218.975844</v>
      </c>
      <c r="L201">
        <v>0.36121900000000001</v>
      </c>
      <c r="M201">
        <f t="shared" si="3"/>
        <v>36.121897584400003</v>
      </c>
    </row>
    <row r="202" spans="1:13" x14ac:dyDescent="0.25">
      <c r="A202">
        <v>5649</v>
      </c>
      <c r="B202" t="s">
        <v>116</v>
      </c>
      <c r="C202">
        <v>377</v>
      </c>
      <c r="D202" t="s">
        <v>118</v>
      </c>
      <c r="E202">
        <v>2070682</v>
      </c>
      <c r="F202" t="s">
        <v>20</v>
      </c>
      <c r="G202">
        <v>136</v>
      </c>
      <c r="H202" s="1">
        <v>7.5231481481481471E-4</v>
      </c>
      <c r="I202" t="s">
        <v>21</v>
      </c>
      <c r="J202" t="s">
        <v>14</v>
      </c>
      <c r="K202">
        <v>361218.975844</v>
      </c>
      <c r="L202">
        <v>0.36121900000000001</v>
      </c>
      <c r="M202">
        <f t="shared" si="3"/>
        <v>36.121897584400003</v>
      </c>
    </row>
    <row r="203" spans="1:13" x14ac:dyDescent="0.25">
      <c r="A203">
        <v>5649</v>
      </c>
      <c r="B203" t="s">
        <v>116</v>
      </c>
      <c r="C203">
        <v>223</v>
      </c>
      <c r="D203" t="s">
        <v>115</v>
      </c>
      <c r="E203">
        <v>20170006</v>
      </c>
      <c r="F203" t="s">
        <v>11</v>
      </c>
      <c r="G203">
        <v>328</v>
      </c>
      <c r="H203" s="1">
        <v>8.1018518518518516E-4</v>
      </c>
      <c r="I203" t="s">
        <v>13</v>
      </c>
      <c r="J203" t="s">
        <v>14</v>
      </c>
      <c r="K203">
        <v>63715.372152000004</v>
      </c>
      <c r="L203">
        <v>6.3714999999999994E-2</v>
      </c>
      <c r="M203">
        <f t="shared" si="3"/>
        <v>6.3715372152</v>
      </c>
    </row>
    <row r="204" spans="1:13" x14ac:dyDescent="0.25">
      <c r="A204">
        <v>5649</v>
      </c>
      <c r="B204" t="s">
        <v>116</v>
      </c>
      <c r="C204">
        <v>902</v>
      </c>
      <c r="D204" t="s">
        <v>200</v>
      </c>
      <c r="E204">
        <v>2070610</v>
      </c>
      <c r="F204" t="s">
        <v>20</v>
      </c>
      <c r="G204">
        <v>5</v>
      </c>
      <c r="H204" t="s">
        <v>12</v>
      </c>
      <c r="I204" t="s">
        <v>21</v>
      </c>
      <c r="J204" t="s">
        <v>14</v>
      </c>
      <c r="K204">
        <v>63715.372152000004</v>
      </c>
      <c r="L204">
        <v>6.3714999999999994E-2</v>
      </c>
      <c r="M204">
        <f t="shared" si="3"/>
        <v>6.3715372152</v>
      </c>
    </row>
    <row r="205" spans="1:13" x14ac:dyDescent="0.25">
      <c r="A205">
        <v>5649</v>
      </c>
      <c r="B205" t="s">
        <v>116</v>
      </c>
      <c r="C205">
        <v>223</v>
      </c>
      <c r="D205" t="s">
        <v>115</v>
      </c>
      <c r="E205">
        <v>20170006</v>
      </c>
      <c r="F205" t="s">
        <v>11</v>
      </c>
      <c r="G205">
        <v>328</v>
      </c>
      <c r="H205" s="1">
        <v>8.1018518518518516E-4</v>
      </c>
      <c r="I205" t="s">
        <v>13</v>
      </c>
      <c r="J205" t="s">
        <v>14</v>
      </c>
      <c r="K205">
        <v>195666.38428</v>
      </c>
      <c r="L205">
        <v>0.19566600000000001</v>
      </c>
      <c r="M205">
        <f t="shared" si="3"/>
        <v>19.566638428000001</v>
      </c>
    </row>
    <row r="206" spans="1:13" x14ac:dyDescent="0.25">
      <c r="A206">
        <v>5649</v>
      </c>
      <c r="B206" t="s">
        <v>116</v>
      </c>
      <c r="C206">
        <v>965</v>
      </c>
      <c r="D206" t="s">
        <v>201</v>
      </c>
      <c r="E206">
        <v>2070745</v>
      </c>
      <c r="F206" t="s">
        <v>20</v>
      </c>
      <c r="G206">
        <v>139</v>
      </c>
      <c r="H206" s="1">
        <v>7.175925925925927E-4</v>
      </c>
      <c r="I206" t="s">
        <v>21</v>
      </c>
      <c r="J206" t="s">
        <v>14</v>
      </c>
      <c r="K206">
        <v>195666.38428</v>
      </c>
      <c r="L206">
        <v>0.19566600000000001</v>
      </c>
      <c r="M206">
        <f t="shared" si="3"/>
        <v>19.566638428000001</v>
      </c>
    </row>
    <row r="207" spans="1:13" x14ac:dyDescent="0.25">
      <c r="A207">
        <v>5649</v>
      </c>
      <c r="B207" t="s">
        <v>116</v>
      </c>
      <c r="C207">
        <v>223</v>
      </c>
      <c r="D207" t="s">
        <v>115</v>
      </c>
      <c r="E207">
        <v>20170006</v>
      </c>
      <c r="F207" t="s">
        <v>11</v>
      </c>
      <c r="G207">
        <v>328</v>
      </c>
      <c r="H207" s="1">
        <v>8.1018518518518516E-4</v>
      </c>
      <c r="I207" t="s">
        <v>13</v>
      </c>
      <c r="J207" t="s">
        <v>14</v>
      </c>
      <c r="K207">
        <v>300025.28212300001</v>
      </c>
      <c r="L207">
        <v>0.30002499999999999</v>
      </c>
      <c r="M207">
        <f t="shared" si="3"/>
        <v>30.0025282123</v>
      </c>
    </row>
    <row r="208" spans="1:13" x14ac:dyDescent="0.25">
      <c r="A208">
        <v>5649</v>
      </c>
      <c r="B208" t="s">
        <v>116</v>
      </c>
      <c r="C208">
        <v>1121</v>
      </c>
      <c r="D208" t="s">
        <v>202</v>
      </c>
      <c r="E208">
        <v>2070578</v>
      </c>
      <c r="F208" t="s">
        <v>20</v>
      </c>
      <c r="G208">
        <v>69</v>
      </c>
      <c r="H208" s="1">
        <v>8.1018518518518516E-4</v>
      </c>
      <c r="I208" t="s">
        <v>21</v>
      </c>
      <c r="J208" t="s">
        <v>14</v>
      </c>
      <c r="K208">
        <v>300025.28212300001</v>
      </c>
      <c r="L208">
        <v>0.30002499999999999</v>
      </c>
      <c r="M208">
        <f t="shared" si="3"/>
        <v>30.0025282123</v>
      </c>
    </row>
    <row r="209" spans="1:13" x14ac:dyDescent="0.25">
      <c r="A209">
        <v>5652</v>
      </c>
      <c r="B209" t="s">
        <v>69</v>
      </c>
      <c r="C209">
        <v>110</v>
      </c>
      <c r="D209" t="s">
        <v>70</v>
      </c>
      <c r="E209">
        <v>20120006</v>
      </c>
      <c r="F209" t="s">
        <v>16</v>
      </c>
      <c r="G209">
        <v>324</v>
      </c>
      <c r="H209" t="s">
        <v>12</v>
      </c>
      <c r="I209" t="s">
        <v>13</v>
      </c>
      <c r="J209" t="s">
        <v>14</v>
      </c>
      <c r="K209">
        <v>118806413.890071</v>
      </c>
      <c r="L209">
        <v>118.806414</v>
      </c>
      <c r="M209">
        <f t="shared" si="3"/>
        <v>11880.6413890071</v>
      </c>
    </row>
    <row r="210" spans="1:13" x14ac:dyDescent="0.25">
      <c r="A210">
        <v>5652</v>
      </c>
      <c r="B210" t="s">
        <v>69</v>
      </c>
      <c r="C210">
        <v>259</v>
      </c>
      <c r="D210" t="s">
        <v>53</v>
      </c>
      <c r="E210">
        <v>2070959</v>
      </c>
      <c r="F210" t="s">
        <v>20</v>
      </c>
      <c r="G210">
        <v>24</v>
      </c>
      <c r="H210" s="1">
        <v>1.8518518518518519E-3</v>
      </c>
      <c r="I210" t="s">
        <v>21</v>
      </c>
      <c r="J210" t="s">
        <v>14</v>
      </c>
      <c r="K210">
        <v>16671.453346999999</v>
      </c>
      <c r="L210">
        <v>1.6670999999999998E-2</v>
      </c>
      <c r="M210">
        <f t="shared" si="3"/>
        <v>1.6671453346999998</v>
      </c>
    </row>
    <row r="211" spans="1:13" x14ac:dyDescent="0.25">
      <c r="A211">
        <v>5652</v>
      </c>
      <c r="B211" t="s">
        <v>69</v>
      </c>
      <c r="C211">
        <v>297</v>
      </c>
      <c r="D211" t="s">
        <v>55</v>
      </c>
      <c r="E211">
        <v>20100012</v>
      </c>
      <c r="F211" t="s">
        <v>11</v>
      </c>
      <c r="G211">
        <v>395</v>
      </c>
      <c r="H211" s="1">
        <v>8.1018518518518516E-4</v>
      </c>
      <c r="I211" t="s">
        <v>13</v>
      </c>
      <c r="J211" t="s">
        <v>14</v>
      </c>
      <c r="K211">
        <v>10605102.219371</v>
      </c>
      <c r="L211">
        <v>10.605102</v>
      </c>
      <c r="M211">
        <f t="shared" si="3"/>
        <v>1060.5102219371001</v>
      </c>
    </row>
    <row r="212" spans="1:13" x14ac:dyDescent="0.25">
      <c r="A212">
        <v>5656</v>
      </c>
      <c r="B212" t="s">
        <v>96</v>
      </c>
      <c r="C212">
        <v>11</v>
      </c>
      <c r="D212" t="s">
        <v>50</v>
      </c>
      <c r="E212">
        <v>22100007</v>
      </c>
      <c r="F212" t="s">
        <v>11</v>
      </c>
      <c r="G212">
        <v>267</v>
      </c>
      <c r="H212" s="1">
        <v>9.8379629629629642E-4</v>
      </c>
      <c r="I212" t="s">
        <v>9</v>
      </c>
      <c r="J212" t="s">
        <v>14</v>
      </c>
      <c r="K212">
        <v>2035342.8651940001</v>
      </c>
      <c r="L212">
        <v>2.0353430000000001</v>
      </c>
      <c r="M212">
        <f t="shared" si="3"/>
        <v>203.53428651940001</v>
      </c>
    </row>
    <row r="213" spans="1:13" x14ac:dyDescent="0.25">
      <c r="A213">
        <v>5656</v>
      </c>
      <c r="B213" t="s">
        <v>96</v>
      </c>
      <c r="C213">
        <v>122</v>
      </c>
      <c r="D213" t="s">
        <v>38</v>
      </c>
      <c r="E213">
        <v>22100003</v>
      </c>
      <c r="F213" t="s">
        <v>11</v>
      </c>
      <c r="G213">
        <v>282</v>
      </c>
      <c r="H213" s="1">
        <v>9.8379629629629642E-4</v>
      </c>
      <c r="I213" t="s">
        <v>9</v>
      </c>
      <c r="J213" t="s">
        <v>14</v>
      </c>
      <c r="K213">
        <v>5874834.6247859998</v>
      </c>
      <c r="L213">
        <v>5.874835</v>
      </c>
      <c r="M213">
        <f t="shared" si="3"/>
        <v>587.48346247860002</v>
      </c>
    </row>
    <row r="214" spans="1:13" x14ac:dyDescent="0.25">
      <c r="A214">
        <v>5658</v>
      </c>
      <c r="B214" t="s">
        <v>137</v>
      </c>
      <c r="C214">
        <v>122</v>
      </c>
      <c r="D214" t="s">
        <v>38</v>
      </c>
      <c r="E214">
        <v>22100003</v>
      </c>
      <c r="F214" t="s">
        <v>11</v>
      </c>
      <c r="G214">
        <v>282</v>
      </c>
      <c r="H214" s="1">
        <v>9.8379629629629642E-4</v>
      </c>
      <c r="I214" t="s">
        <v>9</v>
      </c>
      <c r="J214" t="s">
        <v>14</v>
      </c>
      <c r="K214">
        <v>48757403.995655999</v>
      </c>
      <c r="L214">
        <v>48.757404000000001</v>
      </c>
      <c r="M214">
        <f t="shared" si="3"/>
        <v>4875.7403995655995</v>
      </c>
    </row>
    <row r="215" spans="1:13" x14ac:dyDescent="0.25">
      <c r="A215">
        <v>5660</v>
      </c>
      <c r="B215" t="s">
        <v>51</v>
      </c>
      <c r="C215">
        <v>231</v>
      </c>
      <c r="D215" t="s">
        <v>52</v>
      </c>
      <c r="E215">
        <v>20160007</v>
      </c>
      <c r="F215" t="s">
        <v>16</v>
      </c>
      <c r="G215">
        <v>327</v>
      </c>
      <c r="H215" s="1">
        <v>8.1018518518518516E-4</v>
      </c>
      <c r="I215" t="s">
        <v>13</v>
      </c>
      <c r="J215" t="s">
        <v>14</v>
      </c>
      <c r="K215">
        <v>62716896.810912997</v>
      </c>
      <c r="L215">
        <v>62.716897000000003</v>
      </c>
      <c r="M215">
        <f t="shared" si="3"/>
        <v>6271.6896810912995</v>
      </c>
    </row>
    <row r="216" spans="1:13" x14ac:dyDescent="0.25">
      <c r="A216">
        <v>5660</v>
      </c>
      <c r="B216" t="s">
        <v>51</v>
      </c>
      <c r="C216">
        <v>259</v>
      </c>
      <c r="D216" t="s">
        <v>53</v>
      </c>
      <c r="E216">
        <v>2070959</v>
      </c>
      <c r="F216" t="s">
        <v>20</v>
      </c>
      <c r="G216">
        <v>24</v>
      </c>
      <c r="H216" s="1">
        <v>1.8518518518518519E-3</v>
      </c>
      <c r="I216" t="s">
        <v>21</v>
      </c>
      <c r="J216" t="s">
        <v>14</v>
      </c>
      <c r="K216">
        <v>5988.4758890000003</v>
      </c>
      <c r="L216">
        <v>5.9880000000000003E-3</v>
      </c>
      <c r="M216">
        <f t="shared" si="3"/>
        <v>0.59884758890000001</v>
      </c>
    </row>
    <row r="217" spans="1:13" x14ac:dyDescent="0.25">
      <c r="A217">
        <v>5660</v>
      </c>
      <c r="B217" t="s">
        <v>51</v>
      </c>
      <c r="C217">
        <v>261</v>
      </c>
      <c r="D217" t="s">
        <v>54</v>
      </c>
      <c r="E217">
        <v>2070924</v>
      </c>
      <c r="F217" t="s">
        <v>20</v>
      </c>
      <c r="G217">
        <v>125</v>
      </c>
      <c r="H217" s="1">
        <v>1.8518518518518519E-3</v>
      </c>
      <c r="I217" t="s">
        <v>21</v>
      </c>
      <c r="J217" t="s">
        <v>14</v>
      </c>
      <c r="K217">
        <v>103077.59503</v>
      </c>
      <c r="L217">
        <v>0.103078</v>
      </c>
      <c r="M217">
        <f t="shared" si="3"/>
        <v>10.307759503</v>
      </c>
    </row>
    <row r="218" spans="1:13" x14ac:dyDescent="0.25">
      <c r="A218">
        <v>5660</v>
      </c>
      <c r="B218" t="s">
        <v>51</v>
      </c>
      <c r="C218">
        <v>297</v>
      </c>
      <c r="D218" t="s">
        <v>55</v>
      </c>
      <c r="E218">
        <v>20100012</v>
      </c>
      <c r="F218" t="s">
        <v>11</v>
      </c>
      <c r="G218">
        <v>395</v>
      </c>
      <c r="H218" s="1">
        <v>8.1018518518518516E-4</v>
      </c>
      <c r="I218" t="s">
        <v>13</v>
      </c>
      <c r="J218" t="s">
        <v>14</v>
      </c>
      <c r="K218">
        <v>28958882.436388999</v>
      </c>
      <c r="L218">
        <v>28.958881999999999</v>
      </c>
      <c r="M218">
        <f t="shared" si="3"/>
        <v>2895.8882436388999</v>
      </c>
    </row>
    <row r="219" spans="1:13" x14ac:dyDescent="0.25">
      <c r="A219">
        <v>5660</v>
      </c>
      <c r="B219" t="s">
        <v>51</v>
      </c>
      <c r="C219">
        <v>1169</v>
      </c>
      <c r="D219" t="s">
        <v>56</v>
      </c>
      <c r="E219">
        <v>2070581</v>
      </c>
      <c r="F219" t="s">
        <v>20</v>
      </c>
      <c r="G219">
        <v>106</v>
      </c>
      <c r="H219" s="1">
        <v>8.1018518518518516E-4</v>
      </c>
      <c r="I219" t="s">
        <v>21</v>
      </c>
      <c r="J219" t="s">
        <v>14</v>
      </c>
      <c r="K219">
        <v>1508966.1893140001</v>
      </c>
      <c r="L219">
        <v>1.508966</v>
      </c>
      <c r="M219">
        <f t="shared" si="3"/>
        <v>150.89661893140001</v>
      </c>
    </row>
    <row r="220" spans="1:13" x14ac:dyDescent="0.25">
      <c r="A220">
        <v>5664</v>
      </c>
      <c r="B220" t="s">
        <v>91</v>
      </c>
      <c r="C220">
        <v>122</v>
      </c>
      <c r="D220" t="s">
        <v>38</v>
      </c>
      <c r="E220">
        <v>22100003</v>
      </c>
      <c r="F220" t="s">
        <v>11</v>
      </c>
      <c r="G220">
        <v>282</v>
      </c>
      <c r="H220" s="1">
        <v>9.8379629629629642E-4</v>
      </c>
      <c r="I220" t="s">
        <v>9</v>
      </c>
      <c r="J220" t="s">
        <v>14</v>
      </c>
      <c r="K220">
        <v>18149793.506728999</v>
      </c>
      <c r="L220">
        <v>18.149794</v>
      </c>
      <c r="M220">
        <f t="shared" si="3"/>
        <v>1814.9793506729</v>
      </c>
    </row>
    <row r="221" spans="1:13" x14ac:dyDescent="0.25">
      <c r="A221">
        <v>5665</v>
      </c>
      <c r="B221" t="s">
        <v>141</v>
      </c>
      <c r="C221">
        <v>863</v>
      </c>
      <c r="D221" t="s">
        <v>142</v>
      </c>
      <c r="E221">
        <v>2070137</v>
      </c>
      <c r="F221" t="s">
        <v>20</v>
      </c>
      <c r="G221">
        <v>202</v>
      </c>
      <c r="H221" t="s">
        <v>12</v>
      </c>
      <c r="I221" t="s">
        <v>21</v>
      </c>
      <c r="J221" t="s">
        <v>14</v>
      </c>
      <c r="K221">
        <v>11572376.674515</v>
      </c>
      <c r="L221">
        <v>11.572376999999999</v>
      </c>
      <c r="M221">
        <f t="shared" si="3"/>
        <v>1157.2376674514999</v>
      </c>
    </row>
    <row r="222" spans="1:13" x14ac:dyDescent="0.25">
      <c r="A222">
        <v>5667</v>
      </c>
      <c r="B222" t="s">
        <v>126</v>
      </c>
      <c r="C222">
        <v>1</v>
      </c>
      <c r="D222" t="s">
        <v>127</v>
      </c>
      <c r="E222">
        <v>20170004</v>
      </c>
      <c r="F222" t="s">
        <v>11</v>
      </c>
      <c r="G222">
        <v>325</v>
      </c>
      <c r="H222" s="1">
        <v>8.1018518518518516E-4</v>
      </c>
      <c r="I222" t="s">
        <v>13</v>
      </c>
      <c r="J222" t="s">
        <v>14</v>
      </c>
      <c r="K222">
        <v>5013032.3261360005</v>
      </c>
      <c r="L222">
        <v>5.0130319999999999</v>
      </c>
      <c r="M222">
        <f t="shared" si="3"/>
        <v>501.30323261360007</v>
      </c>
    </row>
    <row r="223" spans="1:13" x14ac:dyDescent="0.25">
      <c r="A223">
        <v>5667</v>
      </c>
      <c r="B223" t="s">
        <v>126</v>
      </c>
      <c r="C223">
        <v>223</v>
      </c>
      <c r="D223" t="s">
        <v>115</v>
      </c>
      <c r="E223">
        <v>20170006</v>
      </c>
      <c r="F223" t="s">
        <v>11</v>
      </c>
      <c r="G223">
        <v>328</v>
      </c>
      <c r="H223" s="1">
        <v>8.1018518518518516E-4</v>
      </c>
      <c r="I223" t="s">
        <v>13</v>
      </c>
      <c r="J223" t="s">
        <v>14</v>
      </c>
      <c r="K223">
        <v>30573274.102770999</v>
      </c>
      <c r="L223">
        <v>30.573274000000001</v>
      </c>
      <c r="M223">
        <f t="shared" si="3"/>
        <v>3057.3274102770997</v>
      </c>
    </row>
    <row r="224" spans="1:13" x14ac:dyDescent="0.25">
      <c r="A224">
        <v>5667</v>
      </c>
      <c r="B224" t="s">
        <v>126</v>
      </c>
      <c r="C224">
        <v>390</v>
      </c>
      <c r="D224" t="s">
        <v>119</v>
      </c>
      <c r="E224">
        <v>2070705</v>
      </c>
      <c r="F224" t="s">
        <v>20</v>
      </c>
      <c r="G224">
        <v>125</v>
      </c>
      <c r="H224" s="1">
        <v>8.1018518518518516E-4</v>
      </c>
      <c r="I224" t="s">
        <v>21</v>
      </c>
      <c r="J224" t="s">
        <v>14</v>
      </c>
      <c r="K224">
        <v>441062.32118000003</v>
      </c>
      <c r="L224">
        <v>0.44106200000000001</v>
      </c>
      <c r="M224">
        <f t="shared" si="3"/>
        <v>44.106232118000001</v>
      </c>
    </row>
    <row r="225" spans="1:13" x14ac:dyDescent="0.25">
      <c r="A225">
        <v>5667</v>
      </c>
      <c r="B225" t="s">
        <v>126</v>
      </c>
      <c r="C225">
        <v>669</v>
      </c>
      <c r="D225" t="s">
        <v>93</v>
      </c>
      <c r="E225">
        <v>20120002</v>
      </c>
      <c r="F225" t="s">
        <v>16</v>
      </c>
      <c r="G225">
        <v>263</v>
      </c>
      <c r="H225" t="s">
        <v>12</v>
      </c>
      <c r="I225" t="s">
        <v>13</v>
      </c>
      <c r="J225" t="s">
        <v>14</v>
      </c>
      <c r="K225">
        <v>301527.77198000002</v>
      </c>
      <c r="L225">
        <v>0.30152800000000002</v>
      </c>
      <c r="M225">
        <f t="shared" si="3"/>
        <v>30.152777198000003</v>
      </c>
    </row>
    <row r="226" spans="1:13" x14ac:dyDescent="0.25">
      <c r="A226">
        <v>5667</v>
      </c>
      <c r="B226" t="s">
        <v>126</v>
      </c>
      <c r="C226">
        <v>675</v>
      </c>
      <c r="D226" t="s">
        <v>120</v>
      </c>
      <c r="E226">
        <v>20120004</v>
      </c>
      <c r="F226" t="s">
        <v>16</v>
      </c>
      <c r="G226">
        <v>321</v>
      </c>
      <c r="H226" t="s">
        <v>12</v>
      </c>
      <c r="I226" t="s">
        <v>13</v>
      </c>
      <c r="J226" t="s">
        <v>14</v>
      </c>
      <c r="K226">
        <v>57964781.934941001</v>
      </c>
      <c r="L226">
        <v>57.964782</v>
      </c>
      <c r="M226">
        <f t="shared" si="3"/>
        <v>5796.4781934941002</v>
      </c>
    </row>
    <row r="227" spans="1:13" x14ac:dyDescent="0.25">
      <c r="A227">
        <v>5667</v>
      </c>
      <c r="B227" t="s">
        <v>126</v>
      </c>
      <c r="C227">
        <v>1290</v>
      </c>
      <c r="D227" t="s">
        <v>87</v>
      </c>
      <c r="E227">
        <v>20100001</v>
      </c>
      <c r="F227" t="s">
        <v>11</v>
      </c>
      <c r="G227">
        <v>93</v>
      </c>
      <c r="H227" s="1">
        <v>9.8379629629629642E-4</v>
      </c>
      <c r="I227" t="s">
        <v>13</v>
      </c>
      <c r="J227" t="s">
        <v>14</v>
      </c>
      <c r="K227">
        <v>50897273.81239</v>
      </c>
      <c r="L227">
        <v>50.897274000000003</v>
      </c>
      <c r="M227">
        <f t="shared" si="3"/>
        <v>5089.7273812390004</v>
      </c>
    </row>
    <row r="228" spans="1:13" x14ac:dyDescent="0.25">
      <c r="A228">
        <v>5667</v>
      </c>
      <c r="B228" t="s">
        <v>126</v>
      </c>
      <c r="C228">
        <v>223</v>
      </c>
      <c r="D228" t="s">
        <v>115</v>
      </c>
      <c r="E228">
        <v>20170006</v>
      </c>
      <c r="F228" t="s">
        <v>11</v>
      </c>
      <c r="G228">
        <v>328</v>
      </c>
      <c r="H228" s="1">
        <v>8.1018518518518516E-4</v>
      </c>
      <c r="I228" t="s">
        <v>13</v>
      </c>
      <c r="J228" t="s">
        <v>14</v>
      </c>
      <c r="K228">
        <v>1929.20625</v>
      </c>
      <c r="L228">
        <v>1.9289999999999999E-3</v>
      </c>
      <c r="M228">
        <f t="shared" si="3"/>
        <v>0.19292062499999998</v>
      </c>
    </row>
    <row r="229" spans="1:13" x14ac:dyDescent="0.25">
      <c r="A229">
        <v>5667</v>
      </c>
      <c r="B229" t="s">
        <v>126</v>
      </c>
      <c r="C229">
        <v>1121</v>
      </c>
      <c r="D229" t="s">
        <v>202</v>
      </c>
      <c r="E229">
        <v>2070578</v>
      </c>
      <c r="F229" t="s">
        <v>20</v>
      </c>
      <c r="G229">
        <v>69</v>
      </c>
      <c r="H229" s="1">
        <v>8.1018518518518516E-4</v>
      </c>
      <c r="I229" t="s">
        <v>21</v>
      </c>
      <c r="J229" t="s">
        <v>14</v>
      </c>
      <c r="K229">
        <v>1929.20625</v>
      </c>
      <c r="L229">
        <v>1.9289999999999999E-3</v>
      </c>
      <c r="M229">
        <f t="shared" si="3"/>
        <v>0.19292062499999998</v>
      </c>
    </row>
    <row r="230" spans="1:13" x14ac:dyDescent="0.25">
      <c r="A230">
        <v>5670</v>
      </c>
      <c r="B230" t="s">
        <v>92</v>
      </c>
      <c r="C230">
        <v>669</v>
      </c>
      <c r="D230" t="s">
        <v>93</v>
      </c>
      <c r="E230">
        <v>20120002</v>
      </c>
      <c r="F230" t="s">
        <v>16</v>
      </c>
      <c r="G230">
        <v>263</v>
      </c>
      <c r="H230" t="s">
        <v>12</v>
      </c>
      <c r="I230" t="s">
        <v>13</v>
      </c>
      <c r="J230" t="s">
        <v>14</v>
      </c>
      <c r="K230">
        <v>10792325.12927</v>
      </c>
      <c r="L230">
        <v>10.792325</v>
      </c>
      <c r="M230">
        <f t="shared" si="3"/>
        <v>1079.232512927</v>
      </c>
    </row>
    <row r="231" spans="1:13" x14ac:dyDescent="0.25">
      <c r="A231">
        <v>5670</v>
      </c>
      <c r="B231" t="s">
        <v>92</v>
      </c>
      <c r="C231">
        <v>679</v>
      </c>
      <c r="D231" t="s">
        <v>94</v>
      </c>
      <c r="E231">
        <v>20120003</v>
      </c>
      <c r="F231" t="s">
        <v>16</v>
      </c>
      <c r="G231">
        <v>312</v>
      </c>
      <c r="H231" t="s">
        <v>12</v>
      </c>
      <c r="I231" t="s">
        <v>13</v>
      </c>
      <c r="J231" t="s">
        <v>14</v>
      </c>
      <c r="K231">
        <v>19056246.78562</v>
      </c>
      <c r="L231">
        <v>19.056246999999999</v>
      </c>
      <c r="M231">
        <f t="shared" si="3"/>
        <v>1905.6246785620001</v>
      </c>
    </row>
    <row r="232" spans="1:13" x14ac:dyDescent="0.25">
      <c r="A232">
        <v>5674</v>
      </c>
      <c r="B232" t="s">
        <v>124</v>
      </c>
      <c r="C232">
        <v>266</v>
      </c>
      <c r="D232" t="s">
        <v>125</v>
      </c>
      <c r="E232">
        <v>2070933</v>
      </c>
      <c r="F232" t="s">
        <v>20</v>
      </c>
      <c r="G232">
        <v>180</v>
      </c>
      <c r="H232" s="1">
        <v>1.8518518518518519E-3</v>
      </c>
      <c r="I232" t="s">
        <v>21</v>
      </c>
      <c r="J232" t="s">
        <v>14</v>
      </c>
      <c r="K232">
        <v>25869.492126000001</v>
      </c>
      <c r="L232">
        <v>2.5869E-2</v>
      </c>
      <c r="M232">
        <f t="shared" si="3"/>
        <v>2.5869492126</v>
      </c>
    </row>
    <row r="233" spans="1:13" x14ac:dyDescent="0.25">
      <c r="A233">
        <v>5674</v>
      </c>
      <c r="B233" t="s">
        <v>124</v>
      </c>
      <c r="C233">
        <v>994</v>
      </c>
      <c r="D233" t="s">
        <v>86</v>
      </c>
      <c r="E233">
        <v>20100010</v>
      </c>
      <c r="F233" t="s">
        <v>11</v>
      </c>
      <c r="G233">
        <v>378</v>
      </c>
      <c r="H233" s="1">
        <v>9.8379629629629642E-4</v>
      </c>
      <c r="I233" t="s">
        <v>13</v>
      </c>
      <c r="J233" t="s">
        <v>14</v>
      </c>
      <c r="K233">
        <v>279261.14484199998</v>
      </c>
      <c r="L233">
        <v>0.27926099999999998</v>
      </c>
      <c r="M233">
        <f t="shared" si="3"/>
        <v>27.926114484199999</v>
      </c>
    </row>
    <row r="234" spans="1:13" x14ac:dyDescent="0.25">
      <c r="A234">
        <v>5674</v>
      </c>
      <c r="B234" t="s">
        <v>124</v>
      </c>
      <c r="C234">
        <v>1290</v>
      </c>
      <c r="D234" t="s">
        <v>87</v>
      </c>
      <c r="E234">
        <v>20100001</v>
      </c>
      <c r="F234" t="s">
        <v>11</v>
      </c>
      <c r="G234">
        <v>93</v>
      </c>
      <c r="H234" s="1">
        <v>9.8379629629629642E-4</v>
      </c>
      <c r="I234" t="s">
        <v>13</v>
      </c>
      <c r="J234" t="s">
        <v>14</v>
      </c>
      <c r="K234">
        <v>337702.93576299999</v>
      </c>
      <c r="L234">
        <v>0.33770299999999998</v>
      </c>
      <c r="M234">
        <f t="shared" si="3"/>
        <v>33.770293576299999</v>
      </c>
    </row>
    <row r="235" spans="1:13" x14ac:dyDescent="0.25">
      <c r="A235">
        <v>5679</v>
      </c>
      <c r="B235" t="s">
        <v>8</v>
      </c>
      <c r="C235">
        <v>677</v>
      </c>
      <c r="D235" t="s">
        <v>10</v>
      </c>
      <c r="E235">
        <v>20100008</v>
      </c>
      <c r="F235" t="s">
        <v>11</v>
      </c>
      <c r="G235">
        <v>330</v>
      </c>
      <c r="H235" t="s">
        <v>12</v>
      </c>
      <c r="I235" t="s">
        <v>13</v>
      </c>
      <c r="J235" t="s">
        <v>14</v>
      </c>
      <c r="K235">
        <v>1446.747989</v>
      </c>
      <c r="L235">
        <v>1.4469999999999999E-3</v>
      </c>
      <c r="M235">
        <f t="shared" si="3"/>
        <v>0.14467479889999998</v>
      </c>
    </row>
    <row r="236" spans="1:13" x14ac:dyDescent="0.25">
      <c r="A236">
        <v>5679</v>
      </c>
      <c r="B236" t="s">
        <v>8</v>
      </c>
      <c r="C236">
        <v>824</v>
      </c>
      <c r="D236" t="s">
        <v>15</v>
      </c>
      <c r="E236">
        <v>22120003</v>
      </c>
      <c r="F236" t="s">
        <v>16</v>
      </c>
      <c r="G236">
        <v>476</v>
      </c>
      <c r="H236" s="1">
        <v>9.8379629629629642E-4</v>
      </c>
      <c r="I236" t="s">
        <v>9</v>
      </c>
      <c r="J236" t="s">
        <v>14</v>
      </c>
      <c r="K236">
        <v>23835.722813</v>
      </c>
      <c r="L236">
        <v>2.3836E-2</v>
      </c>
      <c r="M236">
        <f t="shared" si="3"/>
        <v>2.3835722813000002</v>
      </c>
    </row>
    <row r="237" spans="1:13" x14ac:dyDescent="0.25">
      <c r="A237">
        <v>5042</v>
      </c>
      <c r="B237" t="s">
        <v>45</v>
      </c>
      <c r="C237">
        <v>226</v>
      </c>
      <c r="D237" t="s">
        <v>46</v>
      </c>
      <c r="E237">
        <v>22110001</v>
      </c>
      <c r="F237" t="s">
        <v>47</v>
      </c>
      <c r="G237">
        <v>459</v>
      </c>
      <c r="H237" s="1">
        <v>9.8379629629629642E-4</v>
      </c>
      <c r="I237" t="s">
        <v>9</v>
      </c>
      <c r="J237" t="s">
        <v>14</v>
      </c>
      <c r="K237">
        <v>34971919.251263</v>
      </c>
      <c r="L237">
        <v>34.971919</v>
      </c>
      <c r="M237">
        <f t="shared" si="3"/>
        <v>3497.1919251262998</v>
      </c>
    </row>
    <row r="238" spans="1:13" x14ac:dyDescent="0.25">
      <c r="A238">
        <v>5042</v>
      </c>
      <c r="B238" t="s">
        <v>45</v>
      </c>
      <c r="C238">
        <v>633</v>
      </c>
      <c r="D238" t="s">
        <v>48</v>
      </c>
      <c r="E238">
        <v>9100001</v>
      </c>
      <c r="F238" t="s">
        <v>11</v>
      </c>
      <c r="G238">
        <v>10</v>
      </c>
      <c r="H238" s="1">
        <v>1.8518518518518519E-3</v>
      </c>
      <c r="I238" t="s">
        <v>24</v>
      </c>
      <c r="J238" t="s">
        <v>14</v>
      </c>
      <c r="K238">
        <v>12782.097747</v>
      </c>
      <c r="L238">
        <v>1.2782E-2</v>
      </c>
      <c r="M238">
        <f t="shared" si="3"/>
        <v>1.2782097747000001</v>
      </c>
    </row>
    <row r="239" spans="1:13" x14ac:dyDescent="0.25">
      <c r="A239">
        <v>5042</v>
      </c>
      <c r="B239" t="s">
        <v>45</v>
      </c>
      <c r="C239">
        <v>226</v>
      </c>
      <c r="D239" t="s">
        <v>46</v>
      </c>
      <c r="E239">
        <v>22110001</v>
      </c>
      <c r="F239" t="s">
        <v>47</v>
      </c>
      <c r="G239">
        <v>459</v>
      </c>
      <c r="H239" s="1">
        <v>9.8379629629629642E-4</v>
      </c>
      <c r="I239" t="s">
        <v>9</v>
      </c>
      <c r="J239" t="s">
        <v>14</v>
      </c>
      <c r="K239">
        <v>140459.68911000001</v>
      </c>
      <c r="L239">
        <v>0.14046</v>
      </c>
      <c r="M239">
        <f t="shared" si="3"/>
        <v>14.045968911000001</v>
      </c>
    </row>
    <row r="240" spans="1:13" x14ac:dyDescent="0.25">
      <c r="A240">
        <v>5042</v>
      </c>
      <c r="B240" t="s">
        <v>45</v>
      </c>
      <c r="C240">
        <v>633</v>
      </c>
      <c r="D240" t="s">
        <v>48</v>
      </c>
      <c r="E240">
        <v>9100001</v>
      </c>
      <c r="F240" t="s">
        <v>11</v>
      </c>
      <c r="G240">
        <v>10</v>
      </c>
      <c r="H240" s="1">
        <v>1.8518518518518519E-3</v>
      </c>
      <c r="I240" t="s">
        <v>24</v>
      </c>
      <c r="J240" t="s">
        <v>14</v>
      </c>
      <c r="K240">
        <v>140459.68911000001</v>
      </c>
      <c r="L240">
        <v>0.14046</v>
      </c>
      <c r="M240">
        <f t="shared" si="3"/>
        <v>14.045968911000001</v>
      </c>
    </row>
    <row r="241" spans="1:13" x14ac:dyDescent="0.25">
      <c r="A241">
        <v>5686</v>
      </c>
      <c r="B241" t="s">
        <v>76</v>
      </c>
      <c r="C241">
        <v>275</v>
      </c>
      <c r="D241" t="s">
        <v>77</v>
      </c>
      <c r="E241">
        <v>40200878</v>
      </c>
      <c r="F241" t="s">
        <v>20</v>
      </c>
      <c r="G241">
        <v>91</v>
      </c>
      <c r="H241" s="1">
        <v>1.8518518518518519E-3</v>
      </c>
      <c r="I241" t="s">
        <v>21</v>
      </c>
      <c r="J241" t="s">
        <v>14</v>
      </c>
      <c r="K241">
        <v>53444.507506000002</v>
      </c>
      <c r="L241">
        <v>5.3444999999999999E-2</v>
      </c>
      <c r="M241">
        <f t="shared" si="3"/>
        <v>5.3444507506000001</v>
      </c>
    </row>
    <row r="242" spans="1:13" x14ac:dyDescent="0.25">
      <c r="A242">
        <v>5686</v>
      </c>
      <c r="B242" t="s">
        <v>76</v>
      </c>
      <c r="C242">
        <v>1034</v>
      </c>
      <c r="D242" t="s">
        <v>78</v>
      </c>
      <c r="E242">
        <v>2070777</v>
      </c>
      <c r="F242" t="s">
        <v>20</v>
      </c>
      <c r="G242">
        <v>115</v>
      </c>
      <c r="H242" s="1">
        <v>7.5231481481481471E-4</v>
      </c>
      <c r="I242" t="s">
        <v>21</v>
      </c>
      <c r="J242" t="s">
        <v>14</v>
      </c>
      <c r="K242">
        <v>147818.392398</v>
      </c>
      <c r="L242">
        <v>0.147818</v>
      </c>
      <c r="M242">
        <f t="shared" si="3"/>
        <v>14.7818392398</v>
      </c>
    </row>
    <row r="243" spans="1:13" x14ac:dyDescent="0.25">
      <c r="A243">
        <v>5690</v>
      </c>
      <c r="B243" t="s">
        <v>95</v>
      </c>
      <c r="C243">
        <v>669</v>
      </c>
      <c r="D243" t="s">
        <v>93</v>
      </c>
      <c r="E243">
        <v>20120002</v>
      </c>
      <c r="F243" t="s">
        <v>16</v>
      </c>
      <c r="G243">
        <v>263</v>
      </c>
      <c r="H243" t="s">
        <v>12</v>
      </c>
      <c r="I243" t="s">
        <v>13</v>
      </c>
      <c r="J243" t="s">
        <v>14</v>
      </c>
      <c r="K243">
        <v>6528228.2101309998</v>
      </c>
      <c r="L243">
        <v>6.5282280000000004</v>
      </c>
      <c r="M243">
        <f t="shared" si="3"/>
        <v>652.8228210131</v>
      </c>
    </row>
    <row r="244" spans="1:13" x14ac:dyDescent="0.25">
      <c r="A244">
        <v>5756</v>
      </c>
      <c r="B244" t="s">
        <v>190</v>
      </c>
      <c r="C244">
        <v>110</v>
      </c>
      <c r="D244" t="s">
        <v>70</v>
      </c>
      <c r="E244">
        <v>20120006</v>
      </c>
      <c r="F244" t="s">
        <v>16</v>
      </c>
      <c r="G244">
        <v>324</v>
      </c>
      <c r="H244" t="s">
        <v>12</v>
      </c>
      <c r="I244" t="s">
        <v>13</v>
      </c>
      <c r="J244" t="s">
        <v>14</v>
      </c>
      <c r="K244">
        <v>150795554.92072701</v>
      </c>
      <c r="L244">
        <v>150.79555500000001</v>
      </c>
      <c r="M244">
        <f t="shared" si="3"/>
        <v>15079.555492072701</v>
      </c>
    </row>
    <row r="245" spans="1:13" x14ac:dyDescent="0.25">
      <c r="A245">
        <v>5756</v>
      </c>
      <c r="B245" t="s">
        <v>190</v>
      </c>
      <c r="C245">
        <v>258</v>
      </c>
      <c r="D245" t="s">
        <v>59</v>
      </c>
      <c r="E245">
        <v>20170011</v>
      </c>
      <c r="F245" t="s">
        <v>11</v>
      </c>
      <c r="G245">
        <v>388</v>
      </c>
      <c r="H245" s="1">
        <v>9.8379629629629642E-4</v>
      </c>
      <c r="I245" t="s">
        <v>13</v>
      </c>
      <c r="J245" t="s">
        <v>14</v>
      </c>
      <c r="K245">
        <v>248267694.50976801</v>
      </c>
      <c r="L245">
        <v>248.267695</v>
      </c>
      <c r="M245">
        <f t="shared" si="3"/>
        <v>24826.769450976801</v>
      </c>
    </row>
    <row r="246" spans="1:13" x14ac:dyDescent="0.25">
      <c r="A246">
        <v>5756</v>
      </c>
      <c r="B246" t="s">
        <v>190</v>
      </c>
      <c r="C246">
        <v>297</v>
      </c>
      <c r="D246" t="s">
        <v>55</v>
      </c>
      <c r="E246">
        <v>20100012</v>
      </c>
      <c r="F246" t="s">
        <v>11</v>
      </c>
      <c r="G246">
        <v>395</v>
      </c>
      <c r="H246" s="1">
        <v>8.1018518518518516E-4</v>
      </c>
      <c r="I246" t="s">
        <v>13</v>
      </c>
      <c r="J246" t="s">
        <v>14</v>
      </c>
      <c r="K246">
        <v>93545175.238951996</v>
      </c>
      <c r="L246">
        <v>93.545175</v>
      </c>
      <c r="M246">
        <f t="shared" si="3"/>
        <v>9354.5175238951997</v>
      </c>
    </row>
    <row r="247" spans="1:13" x14ac:dyDescent="0.25">
      <c r="A247">
        <v>5756</v>
      </c>
      <c r="B247" t="s">
        <v>190</v>
      </c>
      <c r="C247">
        <v>676</v>
      </c>
      <c r="D247" t="s">
        <v>22</v>
      </c>
      <c r="E247">
        <v>20120005</v>
      </c>
      <c r="F247" t="s">
        <v>16</v>
      </c>
      <c r="G247">
        <v>322</v>
      </c>
      <c r="H247" t="s">
        <v>12</v>
      </c>
      <c r="I247" t="s">
        <v>13</v>
      </c>
      <c r="J247" t="s">
        <v>14</v>
      </c>
      <c r="K247">
        <v>304727.14213699999</v>
      </c>
      <c r="L247">
        <v>0.30472700000000003</v>
      </c>
      <c r="M247">
        <f t="shared" si="3"/>
        <v>30.472714213699998</v>
      </c>
    </row>
    <row r="248" spans="1:13" x14ac:dyDescent="0.25">
      <c r="A248">
        <v>5756</v>
      </c>
      <c r="B248" t="s">
        <v>190</v>
      </c>
      <c r="C248">
        <v>110</v>
      </c>
      <c r="D248" t="s">
        <v>70</v>
      </c>
      <c r="E248">
        <v>20120006</v>
      </c>
      <c r="F248" t="s">
        <v>16</v>
      </c>
      <c r="G248">
        <v>324</v>
      </c>
      <c r="H248" t="s">
        <v>12</v>
      </c>
      <c r="I248" t="s">
        <v>13</v>
      </c>
      <c r="J248" t="s">
        <v>14</v>
      </c>
      <c r="K248">
        <v>30225.470382</v>
      </c>
      <c r="L248">
        <v>3.0224999999999998E-2</v>
      </c>
      <c r="M248">
        <f t="shared" si="3"/>
        <v>3.0225470381999999</v>
      </c>
    </row>
    <row r="249" spans="1:13" x14ac:dyDescent="0.25">
      <c r="A249">
        <v>5756</v>
      </c>
      <c r="B249" t="s">
        <v>190</v>
      </c>
      <c r="C249">
        <v>297</v>
      </c>
      <c r="D249" t="s">
        <v>55</v>
      </c>
      <c r="E249">
        <v>20100012</v>
      </c>
      <c r="F249" t="s">
        <v>11</v>
      </c>
      <c r="G249">
        <v>395</v>
      </c>
      <c r="H249" s="1">
        <v>8.1018518518518516E-4</v>
      </c>
      <c r="I249" t="s">
        <v>13</v>
      </c>
      <c r="J249" t="s">
        <v>14</v>
      </c>
      <c r="K249">
        <v>30225.470382</v>
      </c>
      <c r="L249">
        <v>3.0224999999999998E-2</v>
      </c>
      <c r="M249">
        <f t="shared" si="3"/>
        <v>3.0225470381999999</v>
      </c>
    </row>
    <row r="250" spans="1:13" x14ac:dyDescent="0.25">
      <c r="A250">
        <v>5756</v>
      </c>
      <c r="B250" t="s">
        <v>190</v>
      </c>
      <c r="C250">
        <v>258</v>
      </c>
      <c r="D250" t="s">
        <v>59</v>
      </c>
      <c r="E250">
        <v>20170011</v>
      </c>
      <c r="F250" t="s">
        <v>11</v>
      </c>
      <c r="G250">
        <v>388</v>
      </c>
      <c r="H250" s="1">
        <v>9.8379629629629642E-4</v>
      </c>
      <c r="I250" t="s">
        <v>13</v>
      </c>
      <c r="J250" t="s">
        <v>14</v>
      </c>
      <c r="K250">
        <v>2.0275970000000001</v>
      </c>
      <c r="L250">
        <v>1.9999999999999999E-6</v>
      </c>
      <c r="M250">
        <f t="shared" si="3"/>
        <v>2.027597E-4</v>
      </c>
    </row>
    <row r="251" spans="1:13" x14ac:dyDescent="0.25">
      <c r="A251">
        <v>5756</v>
      </c>
      <c r="B251" t="s">
        <v>190</v>
      </c>
      <c r="C251">
        <v>676</v>
      </c>
      <c r="D251" t="s">
        <v>22</v>
      </c>
      <c r="E251">
        <v>20120005</v>
      </c>
      <c r="F251" t="s">
        <v>16</v>
      </c>
      <c r="G251">
        <v>322</v>
      </c>
      <c r="H251" t="s">
        <v>12</v>
      </c>
      <c r="I251" t="s">
        <v>13</v>
      </c>
      <c r="J251" t="s">
        <v>14</v>
      </c>
      <c r="K251">
        <v>2.0275970000000001</v>
      </c>
      <c r="L251">
        <v>1.9999999999999999E-6</v>
      </c>
      <c r="M251">
        <f t="shared" si="3"/>
        <v>2.027597E-4</v>
      </c>
    </row>
    <row r="252" spans="1:13" x14ac:dyDescent="0.25">
      <c r="A252">
        <v>5761</v>
      </c>
      <c r="B252" t="s">
        <v>40</v>
      </c>
      <c r="C252">
        <v>122</v>
      </c>
      <c r="D252" t="s">
        <v>38</v>
      </c>
      <c r="E252">
        <v>22100003</v>
      </c>
      <c r="F252" t="s">
        <v>11</v>
      </c>
      <c r="G252">
        <v>282</v>
      </c>
      <c r="H252" s="1">
        <v>9.8379629629629642E-4</v>
      </c>
      <c r="I252" t="s">
        <v>9</v>
      </c>
      <c r="J252" t="s">
        <v>14</v>
      </c>
      <c r="K252">
        <v>25511437.070583999</v>
      </c>
      <c r="L252">
        <v>25.511437000000001</v>
      </c>
      <c r="M252">
        <f t="shared" si="3"/>
        <v>2551.1437070583997</v>
      </c>
    </row>
    <row r="253" spans="1:13" x14ac:dyDescent="0.25">
      <c r="A253">
        <v>5789</v>
      </c>
      <c r="B253" t="s">
        <v>106</v>
      </c>
      <c r="C253">
        <v>184</v>
      </c>
      <c r="D253" t="s">
        <v>107</v>
      </c>
      <c r="E253">
        <v>2070764</v>
      </c>
      <c r="F253" t="s">
        <v>20</v>
      </c>
      <c r="G253">
        <v>42</v>
      </c>
      <c r="H253" s="1">
        <v>1.8518518518518519E-3</v>
      </c>
      <c r="I253" t="s">
        <v>21</v>
      </c>
      <c r="J253" t="s">
        <v>14</v>
      </c>
      <c r="K253">
        <v>170744.667411</v>
      </c>
      <c r="L253">
        <v>0.17074500000000001</v>
      </c>
      <c r="M253">
        <f t="shared" si="3"/>
        <v>17.0744667411</v>
      </c>
    </row>
    <row r="254" spans="1:13" x14ac:dyDescent="0.25">
      <c r="A254">
        <v>5789</v>
      </c>
      <c r="B254" t="s">
        <v>106</v>
      </c>
      <c r="C254">
        <v>768</v>
      </c>
      <c r="D254" t="s">
        <v>66</v>
      </c>
      <c r="E254">
        <v>22100004</v>
      </c>
      <c r="F254" t="s">
        <v>11</v>
      </c>
      <c r="G254">
        <v>316</v>
      </c>
      <c r="H254" s="1">
        <v>9.8379629629629642E-4</v>
      </c>
      <c r="I254" t="s">
        <v>9</v>
      </c>
      <c r="J254" t="s">
        <v>14</v>
      </c>
      <c r="K254">
        <v>97877576.956497997</v>
      </c>
      <c r="L254">
        <v>97.877577000000002</v>
      </c>
      <c r="M254">
        <f t="shared" si="3"/>
        <v>9787.7576956497996</v>
      </c>
    </row>
    <row r="255" spans="1:13" x14ac:dyDescent="0.25">
      <c r="A255">
        <v>5789</v>
      </c>
      <c r="B255" t="s">
        <v>106</v>
      </c>
      <c r="C255">
        <v>570</v>
      </c>
      <c r="D255" t="s">
        <v>196</v>
      </c>
      <c r="E255">
        <v>2070698</v>
      </c>
      <c r="F255" t="s">
        <v>20</v>
      </c>
      <c r="G255">
        <v>138</v>
      </c>
      <c r="H255" s="1">
        <v>8.1018518518518516E-4</v>
      </c>
      <c r="I255" t="s">
        <v>21</v>
      </c>
      <c r="J255" t="s">
        <v>14</v>
      </c>
      <c r="K255">
        <v>24776.025130000002</v>
      </c>
      <c r="L255">
        <v>2.4775999999999999E-2</v>
      </c>
      <c r="M255">
        <f t="shared" si="3"/>
        <v>2.4776025130000003</v>
      </c>
    </row>
    <row r="256" spans="1:13" x14ac:dyDescent="0.25">
      <c r="A256">
        <v>5789</v>
      </c>
      <c r="B256" t="s">
        <v>106</v>
      </c>
      <c r="C256">
        <v>768</v>
      </c>
      <c r="D256" t="s">
        <v>66</v>
      </c>
      <c r="E256">
        <v>22100004</v>
      </c>
      <c r="F256" t="s">
        <v>11</v>
      </c>
      <c r="G256">
        <v>316</v>
      </c>
      <c r="H256" s="1">
        <v>9.8379629629629642E-4</v>
      </c>
      <c r="I256" t="s">
        <v>9</v>
      </c>
      <c r="J256" t="s">
        <v>14</v>
      </c>
      <c r="K256">
        <v>24776.025130000002</v>
      </c>
      <c r="L256">
        <v>2.4775999999999999E-2</v>
      </c>
      <c r="M256">
        <f t="shared" si="3"/>
        <v>2.4776025130000003</v>
      </c>
    </row>
    <row r="257" spans="1:13" x14ac:dyDescent="0.25">
      <c r="A257">
        <v>5792</v>
      </c>
      <c r="B257" t="s">
        <v>175</v>
      </c>
      <c r="C257">
        <v>13</v>
      </c>
      <c r="D257" t="s">
        <v>65</v>
      </c>
      <c r="E257">
        <v>22100002</v>
      </c>
      <c r="F257" t="s">
        <v>11</v>
      </c>
      <c r="G257">
        <v>352</v>
      </c>
      <c r="H257" s="1">
        <v>1.8518518518518519E-3</v>
      </c>
      <c r="I257" t="s">
        <v>9</v>
      </c>
      <c r="J257" t="s">
        <v>14</v>
      </c>
      <c r="K257">
        <v>16970823.592440002</v>
      </c>
      <c r="L257">
        <v>16.970824</v>
      </c>
      <c r="M257">
        <f t="shared" si="3"/>
        <v>1697.0823592440001</v>
      </c>
    </row>
    <row r="258" spans="1:13" x14ac:dyDescent="0.25">
      <c r="A258">
        <v>5792</v>
      </c>
      <c r="B258" t="s">
        <v>175</v>
      </c>
      <c r="C258">
        <v>47</v>
      </c>
      <c r="D258" t="s">
        <v>111</v>
      </c>
      <c r="E258">
        <v>22100005</v>
      </c>
      <c r="F258" t="s">
        <v>11</v>
      </c>
      <c r="G258">
        <v>245</v>
      </c>
      <c r="H258" s="1">
        <v>9.8379629629629642E-4</v>
      </c>
      <c r="I258" t="s">
        <v>9</v>
      </c>
      <c r="J258" t="s">
        <v>14</v>
      </c>
      <c r="K258">
        <v>15471.065712</v>
      </c>
      <c r="L258">
        <v>1.5471E-2</v>
      </c>
      <c r="M258">
        <f t="shared" si="3"/>
        <v>1.5471065712000001</v>
      </c>
    </row>
    <row r="259" spans="1:13" x14ac:dyDescent="0.25">
      <c r="A259">
        <v>5837</v>
      </c>
      <c r="B259" t="s">
        <v>163</v>
      </c>
      <c r="C259">
        <v>506</v>
      </c>
      <c r="D259" t="s">
        <v>164</v>
      </c>
      <c r="E259">
        <v>2020024</v>
      </c>
      <c r="F259" t="s">
        <v>26</v>
      </c>
      <c r="G259">
        <v>172</v>
      </c>
      <c r="H259" s="1">
        <v>9.8379629629629642E-4</v>
      </c>
      <c r="I259" t="s">
        <v>21</v>
      </c>
      <c r="J259" t="s">
        <v>14</v>
      </c>
      <c r="K259">
        <v>129733722.763789</v>
      </c>
      <c r="L259">
        <v>129.733723</v>
      </c>
      <c r="M259">
        <f t="shared" ref="M259:M285" si="4">K259/10000</f>
        <v>12973.372276378899</v>
      </c>
    </row>
    <row r="260" spans="1:13" x14ac:dyDescent="0.25">
      <c r="A260">
        <v>5837</v>
      </c>
      <c r="B260" t="s">
        <v>163</v>
      </c>
      <c r="C260">
        <v>622</v>
      </c>
      <c r="D260" t="s">
        <v>147</v>
      </c>
      <c r="E260">
        <v>1010003</v>
      </c>
      <c r="F260" t="s">
        <v>83</v>
      </c>
      <c r="G260">
        <v>23</v>
      </c>
      <c r="H260" s="1">
        <v>9.8379629629629642E-4</v>
      </c>
      <c r="I260" t="s">
        <v>84</v>
      </c>
      <c r="J260" t="s">
        <v>14</v>
      </c>
      <c r="K260">
        <v>140225986.84403101</v>
      </c>
      <c r="L260">
        <v>140.225987</v>
      </c>
      <c r="M260">
        <f t="shared" si="4"/>
        <v>14022.598684403101</v>
      </c>
    </row>
    <row r="261" spans="1:13" x14ac:dyDescent="0.25">
      <c r="A261">
        <v>5837</v>
      </c>
      <c r="B261" t="s">
        <v>163</v>
      </c>
      <c r="C261">
        <v>643</v>
      </c>
      <c r="D261" t="s">
        <v>156</v>
      </c>
      <c r="E261">
        <v>9110001</v>
      </c>
      <c r="F261" t="s">
        <v>47</v>
      </c>
      <c r="G261">
        <v>11</v>
      </c>
      <c r="H261" t="s">
        <v>12</v>
      </c>
      <c r="I261" t="s">
        <v>24</v>
      </c>
      <c r="J261" t="s">
        <v>14</v>
      </c>
      <c r="K261">
        <v>52703338.991379</v>
      </c>
      <c r="L261">
        <v>52.703339</v>
      </c>
      <c r="M261">
        <f t="shared" si="4"/>
        <v>5270.3338991378996</v>
      </c>
    </row>
    <row r="262" spans="1:13" x14ac:dyDescent="0.25">
      <c r="A262">
        <v>5837</v>
      </c>
      <c r="B262" t="s">
        <v>163</v>
      </c>
      <c r="C262">
        <v>649</v>
      </c>
      <c r="D262" t="s">
        <v>165</v>
      </c>
      <c r="E262">
        <v>24100001</v>
      </c>
      <c r="F262" t="s">
        <v>11</v>
      </c>
      <c r="G262">
        <v>2</v>
      </c>
      <c r="H262" t="s">
        <v>12</v>
      </c>
      <c r="I262" t="s">
        <v>113</v>
      </c>
      <c r="J262" t="s">
        <v>14</v>
      </c>
      <c r="K262">
        <v>573396.28619999997</v>
      </c>
      <c r="L262">
        <v>0.57339600000000002</v>
      </c>
      <c r="M262">
        <f t="shared" si="4"/>
        <v>57.339628619999999</v>
      </c>
    </row>
    <row r="263" spans="1:13" x14ac:dyDescent="0.25">
      <c r="A263">
        <v>5847</v>
      </c>
      <c r="B263" t="s">
        <v>132</v>
      </c>
      <c r="C263">
        <v>112</v>
      </c>
      <c r="D263" t="s">
        <v>61</v>
      </c>
      <c r="E263">
        <v>22100006</v>
      </c>
      <c r="F263" t="s">
        <v>11</v>
      </c>
      <c r="G263">
        <v>244</v>
      </c>
      <c r="H263" s="1">
        <v>9.8379629629629642E-4</v>
      </c>
      <c r="I263" t="s">
        <v>9</v>
      </c>
      <c r="J263" t="s">
        <v>14</v>
      </c>
      <c r="K263">
        <v>1878580.0402240001</v>
      </c>
      <c r="L263">
        <v>1.8785799999999999</v>
      </c>
      <c r="M263">
        <f t="shared" si="4"/>
        <v>187.85800402240002</v>
      </c>
    </row>
    <row r="264" spans="1:13" x14ac:dyDescent="0.25">
      <c r="A264">
        <v>5847</v>
      </c>
      <c r="B264" t="s">
        <v>132</v>
      </c>
      <c r="C264">
        <v>131</v>
      </c>
      <c r="D264" t="s">
        <v>90</v>
      </c>
      <c r="E264">
        <v>1010022</v>
      </c>
      <c r="F264" t="s">
        <v>83</v>
      </c>
      <c r="G264">
        <v>32</v>
      </c>
      <c r="H264" s="1">
        <v>1.8518518518518519E-3</v>
      </c>
      <c r="I264" t="s">
        <v>84</v>
      </c>
      <c r="J264" t="s">
        <v>14</v>
      </c>
      <c r="K264">
        <v>282930130.91361099</v>
      </c>
      <c r="L264">
        <v>282.93013100000002</v>
      </c>
      <c r="M264">
        <f t="shared" si="4"/>
        <v>28293.013091361099</v>
      </c>
    </row>
    <row r="265" spans="1:13" x14ac:dyDescent="0.25">
      <c r="A265">
        <v>5847</v>
      </c>
      <c r="B265" t="s">
        <v>132</v>
      </c>
      <c r="C265">
        <v>158</v>
      </c>
      <c r="D265" t="s">
        <v>99</v>
      </c>
      <c r="E265">
        <v>2020022</v>
      </c>
      <c r="F265" t="s">
        <v>26</v>
      </c>
      <c r="G265">
        <v>71</v>
      </c>
      <c r="H265" s="1">
        <v>9.8379629629629642E-4</v>
      </c>
      <c r="I265" t="s">
        <v>21</v>
      </c>
      <c r="J265" t="s">
        <v>14</v>
      </c>
      <c r="K265">
        <v>64772111.080312997</v>
      </c>
      <c r="L265">
        <v>64.772110999999995</v>
      </c>
      <c r="M265">
        <f t="shared" si="4"/>
        <v>6477.2111080312998</v>
      </c>
    </row>
    <row r="266" spans="1:13" x14ac:dyDescent="0.25">
      <c r="A266">
        <v>5847</v>
      </c>
      <c r="B266" t="s">
        <v>132</v>
      </c>
      <c r="C266">
        <v>226</v>
      </c>
      <c r="D266" t="s">
        <v>46</v>
      </c>
      <c r="E266">
        <v>22110001</v>
      </c>
      <c r="F266" t="s">
        <v>47</v>
      </c>
      <c r="G266">
        <v>459</v>
      </c>
      <c r="H266" s="1">
        <v>9.8379629629629642E-4</v>
      </c>
      <c r="I266" t="s">
        <v>9</v>
      </c>
      <c r="J266" t="s">
        <v>14</v>
      </c>
      <c r="K266">
        <v>847102.40269100002</v>
      </c>
      <c r="L266">
        <v>0.84710200000000002</v>
      </c>
      <c r="M266">
        <f t="shared" si="4"/>
        <v>84.710240269099998</v>
      </c>
    </row>
    <row r="267" spans="1:13" x14ac:dyDescent="0.25">
      <c r="A267">
        <v>5847</v>
      </c>
      <c r="B267" t="s">
        <v>132</v>
      </c>
      <c r="C267">
        <v>386</v>
      </c>
      <c r="D267" t="s">
        <v>112</v>
      </c>
      <c r="E267">
        <v>24100004</v>
      </c>
      <c r="F267" t="s">
        <v>11</v>
      </c>
      <c r="G267">
        <v>11</v>
      </c>
      <c r="H267" s="1">
        <v>1.8518518518518519E-3</v>
      </c>
      <c r="I267" t="s">
        <v>113</v>
      </c>
      <c r="J267" t="s">
        <v>14</v>
      </c>
      <c r="K267">
        <v>5304.0958540000001</v>
      </c>
      <c r="L267">
        <v>5.3039999999999997E-3</v>
      </c>
      <c r="M267">
        <f t="shared" si="4"/>
        <v>0.53040958540000005</v>
      </c>
    </row>
    <row r="268" spans="1:13" x14ac:dyDescent="0.25">
      <c r="A268">
        <v>5847</v>
      </c>
      <c r="B268" t="s">
        <v>132</v>
      </c>
      <c r="C268">
        <v>725</v>
      </c>
      <c r="D268" t="s">
        <v>133</v>
      </c>
      <c r="E268">
        <v>2070654</v>
      </c>
      <c r="F268" t="s">
        <v>20</v>
      </c>
      <c r="G268">
        <v>74</v>
      </c>
      <c r="H268" s="1">
        <v>7.5231481481481471E-4</v>
      </c>
      <c r="I268" t="s">
        <v>21</v>
      </c>
      <c r="J268" t="s">
        <v>14</v>
      </c>
      <c r="K268">
        <v>3503.7124410000001</v>
      </c>
      <c r="L268">
        <v>3.5040000000000002E-3</v>
      </c>
      <c r="M268">
        <f t="shared" si="4"/>
        <v>0.35037124410000003</v>
      </c>
    </row>
    <row r="269" spans="1:13" x14ac:dyDescent="0.25">
      <c r="A269">
        <v>5847</v>
      </c>
      <c r="B269" t="s">
        <v>132</v>
      </c>
      <c r="C269">
        <v>131</v>
      </c>
      <c r="D269" t="s">
        <v>90</v>
      </c>
      <c r="E269">
        <v>1010022</v>
      </c>
      <c r="F269" t="s">
        <v>83</v>
      </c>
      <c r="G269">
        <v>32</v>
      </c>
      <c r="H269" s="1">
        <v>1.8518518518518519E-3</v>
      </c>
      <c r="I269" t="s">
        <v>84</v>
      </c>
      <c r="J269" t="s">
        <v>14</v>
      </c>
      <c r="K269">
        <v>515011.20529200003</v>
      </c>
      <c r="L269">
        <v>0.515011</v>
      </c>
      <c r="M269">
        <f t="shared" si="4"/>
        <v>51.501120529200001</v>
      </c>
    </row>
    <row r="270" spans="1:13" x14ac:dyDescent="0.25">
      <c r="A270">
        <v>5847</v>
      </c>
      <c r="B270" t="s">
        <v>132</v>
      </c>
      <c r="C270">
        <v>158</v>
      </c>
      <c r="D270" t="s">
        <v>99</v>
      </c>
      <c r="E270">
        <v>2020022</v>
      </c>
      <c r="F270" t="s">
        <v>26</v>
      </c>
      <c r="G270">
        <v>71</v>
      </c>
      <c r="H270" s="1">
        <v>9.8379629629629642E-4</v>
      </c>
      <c r="I270" t="s">
        <v>21</v>
      </c>
      <c r="J270" t="s">
        <v>14</v>
      </c>
      <c r="K270">
        <v>515011.20529200003</v>
      </c>
      <c r="L270">
        <v>0.515011</v>
      </c>
      <c r="M270">
        <f t="shared" si="4"/>
        <v>51.501120529200001</v>
      </c>
    </row>
    <row r="271" spans="1:13" x14ac:dyDescent="0.25">
      <c r="A271">
        <v>5847</v>
      </c>
      <c r="B271" t="s">
        <v>132</v>
      </c>
      <c r="C271">
        <v>131</v>
      </c>
      <c r="D271" t="s">
        <v>90</v>
      </c>
      <c r="E271">
        <v>1010022</v>
      </c>
      <c r="F271" t="s">
        <v>83</v>
      </c>
      <c r="G271">
        <v>32</v>
      </c>
      <c r="H271" s="1">
        <v>1.8518518518518519E-3</v>
      </c>
      <c r="I271" t="s">
        <v>84</v>
      </c>
      <c r="J271" t="s">
        <v>14</v>
      </c>
      <c r="K271">
        <v>293405.51107000001</v>
      </c>
      <c r="L271">
        <v>0.293406</v>
      </c>
      <c r="M271">
        <f t="shared" si="4"/>
        <v>29.340551107</v>
      </c>
    </row>
    <row r="272" spans="1:13" x14ac:dyDescent="0.25">
      <c r="A272">
        <v>5847</v>
      </c>
      <c r="B272" t="s">
        <v>132</v>
      </c>
      <c r="C272">
        <v>226</v>
      </c>
      <c r="D272" t="s">
        <v>46</v>
      </c>
      <c r="E272">
        <v>22110001</v>
      </c>
      <c r="F272" t="s">
        <v>47</v>
      </c>
      <c r="G272">
        <v>459</v>
      </c>
      <c r="H272" s="1">
        <v>9.8379629629629642E-4</v>
      </c>
      <c r="I272" t="s">
        <v>9</v>
      </c>
      <c r="J272" t="s">
        <v>14</v>
      </c>
      <c r="K272">
        <v>293405.51107000001</v>
      </c>
      <c r="L272">
        <v>0.293406</v>
      </c>
      <c r="M272">
        <f t="shared" si="4"/>
        <v>29.340551107</v>
      </c>
    </row>
    <row r="273" spans="1:13" x14ac:dyDescent="0.25">
      <c r="A273">
        <v>5847</v>
      </c>
      <c r="B273" t="s">
        <v>132</v>
      </c>
      <c r="C273">
        <v>131</v>
      </c>
      <c r="D273" t="s">
        <v>90</v>
      </c>
      <c r="E273">
        <v>1010022</v>
      </c>
      <c r="F273" t="s">
        <v>83</v>
      </c>
      <c r="G273">
        <v>32</v>
      </c>
      <c r="H273" s="1">
        <v>1.8518518518518519E-3</v>
      </c>
      <c r="I273" t="s">
        <v>84</v>
      </c>
      <c r="J273" t="s">
        <v>14</v>
      </c>
      <c r="K273">
        <v>13303032.038442999</v>
      </c>
      <c r="L273">
        <v>13.303032</v>
      </c>
      <c r="M273">
        <f t="shared" si="4"/>
        <v>1330.3032038443</v>
      </c>
    </row>
    <row r="274" spans="1:13" x14ac:dyDescent="0.25">
      <c r="A274">
        <v>5847</v>
      </c>
      <c r="B274" t="s">
        <v>132</v>
      </c>
      <c r="C274">
        <v>864</v>
      </c>
      <c r="D274" t="s">
        <v>203</v>
      </c>
      <c r="E274">
        <v>2070101</v>
      </c>
      <c r="F274" t="s">
        <v>20</v>
      </c>
      <c r="G274">
        <v>166</v>
      </c>
      <c r="H274" t="s">
        <v>12</v>
      </c>
      <c r="I274" t="s">
        <v>21</v>
      </c>
      <c r="J274" t="s">
        <v>14</v>
      </c>
      <c r="K274">
        <v>13303032.038442999</v>
      </c>
      <c r="L274">
        <v>13.303032</v>
      </c>
      <c r="M274">
        <f t="shared" si="4"/>
        <v>1330.3032038443</v>
      </c>
    </row>
    <row r="275" spans="1:13" x14ac:dyDescent="0.25">
      <c r="A275">
        <v>5847</v>
      </c>
      <c r="B275" t="s">
        <v>132</v>
      </c>
      <c r="C275">
        <v>131</v>
      </c>
      <c r="D275" t="s">
        <v>90</v>
      </c>
      <c r="E275">
        <v>1010022</v>
      </c>
      <c r="F275" t="s">
        <v>83</v>
      </c>
      <c r="G275">
        <v>32</v>
      </c>
      <c r="H275" s="1">
        <v>1.8518518518518519E-3</v>
      </c>
      <c r="I275" t="s">
        <v>84</v>
      </c>
      <c r="J275" t="s">
        <v>14</v>
      </c>
      <c r="K275">
        <v>1651833.8166209999</v>
      </c>
      <c r="L275">
        <v>1.651834</v>
      </c>
      <c r="M275">
        <f t="shared" si="4"/>
        <v>165.1833816621</v>
      </c>
    </row>
    <row r="276" spans="1:13" x14ac:dyDescent="0.25">
      <c r="A276">
        <v>5847</v>
      </c>
      <c r="B276" t="s">
        <v>132</v>
      </c>
      <c r="C276">
        <v>1176</v>
      </c>
      <c r="D276" t="s">
        <v>204</v>
      </c>
      <c r="E276">
        <v>2070586</v>
      </c>
      <c r="F276" t="s">
        <v>20</v>
      </c>
      <c r="G276">
        <v>46</v>
      </c>
      <c r="H276" s="1">
        <v>9.8379629629629642E-4</v>
      </c>
      <c r="I276" t="s">
        <v>21</v>
      </c>
      <c r="J276" t="s">
        <v>14</v>
      </c>
      <c r="K276">
        <v>1651833.8166209999</v>
      </c>
      <c r="L276">
        <v>1.651834</v>
      </c>
      <c r="M276">
        <f t="shared" si="4"/>
        <v>165.1833816621</v>
      </c>
    </row>
    <row r="277" spans="1:13" x14ac:dyDescent="0.25">
      <c r="A277">
        <v>5854</v>
      </c>
      <c r="B277" t="s">
        <v>149</v>
      </c>
      <c r="C277">
        <v>101</v>
      </c>
      <c r="D277" t="s">
        <v>28</v>
      </c>
      <c r="E277">
        <v>22100011</v>
      </c>
      <c r="F277" t="s">
        <v>11</v>
      </c>
      <c r="G277">
        <v>528</v>
      </c>
      <c r="H277" s="1">
        <v>9.8379629629629642E-4</v>
      </c>
      <c r="I277" t="s">
        <v>9</v>
      </c>
      <c r="J277" t="s">
        <v>14</v>
      </c>
      <c r="K277">
        <v>71049879.185242996</v>
      </c>
      <c r="L277">
        <v>71.049879000000004</v>
      </c>
      <c r="M277">
        <f t="shared" si="4"/>
        <v>7104.9879185242999</v>
      </c>
    </row>
    <row r="278" spans="1:13" x14ac:dyDescent="0.25">
      <c r="A278">
        <v>5861</v>
      </c>
      <c r="B278" t="s">
        <v>71</v>
      </c>
      <c r="C278">
        <v>38</v>
      </c>
      <c r="D278" t="s">
        <v>68</v>
      </c>
      <c r="E278">
        <v>22120002</v>
      </c>
      <c r="F278" t="s">
        <v>16</v>
      </c>
      <c r="G278">
        <v>298</v>
      </c>
      <c r="H278" s="1">
        <v>9.8379629629629642E-4</v>
      </c>
      <c r="I278" t="s">
        <v>9</v>
      </c>
      <c r="J278" t="s">
        <v>14</v>
      </c>
      <c r="K278">
        <v>3186857.6975980001</v>
      </c>
      <c r="L278">
        <v>3.186858</v>
      </c>
      <c r="M278">
        <f t="shared" si="4"/>
        <v>318.6857697598</v>
      </c>
    </row>
    <row r="279" spans="1:13" x14ac:dyDescent="0.25">
      <c r="A279">
        <v>5887</v>
      </c>
      <c r="B279" t="s">
        <v>74</v>
      </c>
      <c r="C279">
        <v>101</v>
      </c>
      <c r="D279" t="s">
        <v>28</v>
      </c>
      <c r="E279">
        <v>22100011</v>
      </c>
      <c r="F279" t="s">
        <v>11</v>
      </c>
      <c r="G279">
        <v>528</v>
      </c>
      <c r="H279" s="1">
        <v>9.8379629629629642E-4</v>
      </c>
      <c r="I279" t="s">
        <v>9</v>
      </c>
      <c r="J279" t="s">
        <v>14</v>
      </c>
      <c r="K279">
        <v>156509718.149169</v>
      </c>
      <c r="L279">
        <v>156.50971799999999</v>
      </c>
      <c r="M279">
        <f t="shared" si="4"/>
        <v>15650.9718149169</v>
      </c>
    </row>
    <row r="280" spans="1:13" x14ac:dyDescent="0.25">
      <c r="A280">
        <v>5890</v>
      </c>
      <c r="B280" t="s">
        <v>136</v>
      </c>
      <c r="C280">
        <v>784</v>
      </c>
      <c r="D280" t="s">
        <v>42</v>
      </c>
      <c r="E280">
        <v>22100001</v>
      </c>
      <c r="F280" t="s">
        <v>11</v>
      </c>
      <c r="G280">
        <v>233</v>
      </c>
      <c r="H280" t="s">
        <v>12</v>
      </c>
      <c r="I280" t="s">
        <v>9</v>
      </c>
      <c r="J280" t="s">
        <v>14</v>
      </c>
      <c r="K280">
        <v>3748994.7024579998</v>
      </c>
      <c r="L280">
        <v>3.7489949999999999</v>
      </c>
      <c r="M280">
        <f t="shared" si="4"/>
        <v>374.89947024579999</v>
      </c>
    </row>
    <row r="281" spans="1:13" x14ac:dyDescent="0.25">
      <c r="A281">
        <v>5893</v>
      </c>
      <c r="B281" t="s">
        <v>31</v>
      </c>
      <c r="C281">
        <v>135</v>
      </c>
      <c r="D281" t="s">
        <v>32</v>
      </c>
      <c r="E281">
        <v>22100009</v>
      </c>
      <c r="F281" t="s">
        <v>11</v>
      </c>
      <c r="G281">
        <v>493</v>
      </c>
      <c r="H281" t="s">
        <v>12</v>
      </c>
      <c r="I281" t="s">
        <v>9</v>
      </c>
      <c r="J281" t="s">
        <v>14</v>
      </c>
      <c r="K281">
        <v>264963396.721156</v>
      </c>
      <c r="L281">
        <v>264.96339699999999</v>
      </c>
      <c r="M281">
        <f t="shared" si="4"/>
        <v>26496.339672115599</v>
      </c>
    </row>
    <row r="282" spans="1:13" x14ac:dyDescent="0.25">
      <c r="A282">
        <v>5893</v>
      </c>
      <c r="B282" t="s">
        <v>31</v>
      </c>
      <c r="C282">
        <v>170</v>
      </c>
      <c r="D282" t="s">
        <v>33</v>
      </c>
      <c r="E282">
        <v>2070823</v>
      </c>
      <c r="F282" t="s">
        <v>20</v>
      </c>
      <c r="G282">
        <v>197</v>
      </c>
      <c r="H282" s="1">
        <v>1.8518518518518519E-3</v>
      </c>
      <c r="I282" t="s">
        <v>21</v>
      </c>
      <c r="J282" t="s">
        <v>14</v>
      </c>
      <c r="K282">
        <v>1040428.334465</v>
      </c>
      <c r="L282">
        <v>1.0404279999999999</v>
      </c>
      <c r="M282">
        <f t="shared" si="4"/>
        <v>104.0428334465</v>
      </c>
    </row>
    <row r="283" spans="1:13" x14ac:dyDescent="0.25">
      <c r="A283">
        <v>5893</v>
      </c>
      <c r="B283" t="s">
        <v>31</v>
      </c>
      <c r="C283">
        <v>1219</v>
      </c>
      <c r="D283" t="s">
        <v>34</v>
      </c>
      <c r="E283">
        <v>2070483</v>
      </c>
      <c r="F283" t="s">
        <v>20</v>
      </c>
      <c r="G283">
        <v>116</v>
      </c>
      <c r="H283" s="1">
        <v>7.0601851851851847E-4</v>
      </c>
      <c r="I283" t="s">
        <v>21</v>
      </c>
      <c r="J283" t="s">
        <v>14</v>
      </c>
      <c r="K283">
        <v>65629.956493999998</v>
      </c>
      <c r="L283">
        <v>6.5629999999999994E-2</v>
      </c>
      <c r="M283">
        <f t="shared" si="4"/>
        <v>6.5629956493999995</v>
      </c>
    </row>
    <row r="284" spans="1:13" x14ac:dyDescent="0.25">
      <c r="A284">
        <v>5893</v>
      </c>
      <c r="B284" t="s">
        <v>31</v>
      </c>
      <c r="C284">
        <v>135</v>
      </c>
      <c r="D284" t="s">
        <v>32</v>
      </c>
      <c r="E284">
        <v>22100009</v>
      </c>
      <c r="F284" t="s">
        <v>11</v>
      </c>
      <c r="G284">
        <v>493</v>
      </c>
      <c r="H284" t="s">
        <v>12</v>
      </c>
      <c r="I284" t="s">
        <v>9</v>
      </c>
      <c r="J284" t="s">
        <v>14</v>
      </c>
      <c r="K284">
        <v>55279764.356518</v>
      </c>
      <c r="L284">
        <v>55.279764</v>
      </c>
      <c r="M284">
        <f t="shared" si="4"/>
        <v>5527.9764356517999</v>
      </c>
    </row>
    <row r="285" spans="1:13" x14ac:dyDescent="0.25">
      <c r="A285">
        <v>5893</v>
      </c>
      <c r="B285" t="s">
        <v>31</v>
      </c>
      <c r="C285">
        <v>170</v>
      </c>
      <c r="D285" t="s">
        <v>33</v>
      </c>
      <c r="E285">
        <v>2070823</v>
      </c>
      <c r="F285" t="s">
        <v>20</v>
      </c>
      <c r="G285">
        <v>197</v>
      </c>
      <c r="H285" s="1">
        <v>1.8518518518518519E-3</v>
      </c>
      <c r="I285" t="s">
        <v>21</v>
      </c>
      <c r="J285" t="s">
        <v>14</v>
      </c>
      <c r="K285">
        <v>55279764.356518</v>
      </c>
      <c r="L285">
        <v>55.279764</v>
      </c>
      <c r="M285">
        <f t="shared" si="4"/>
        <v>5527.9764356517999</v>
      </c>
    </row>
  </sheetData>
  <sortState xmlns:xlrd2="http://schemas.microsoft.com/office/spreadsheetml/2017/richdata2" ref="A2:L285">
    <sortCondition ref="B2:B2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2026-07-01T19:36:30Z</dcterms:created>
  <dcterms:modified xsi:type="dcterms:W3CDTF">2026-07-01T19:58:34Z</dcterms:modified>
</cp:coreProperties>
</file>
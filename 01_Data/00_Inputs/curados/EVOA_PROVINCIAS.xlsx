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23F6285B-E976-4BAB-A13B-9A927B2D260D}" xr6:coauthVersionLast="47" xr6:coauthVersionMax="47" xr10:uidLastSave="{00000000-0000-0000-0000-000000000000}"/>
  <bookViews>
    <workbookView xWindow="-120" yWindow="-120" windowWidth="29040" windowHeight="15720" xr2:uid="{989A37F5-5A6E-4958-B03D-51A8E82D696B}"/>
  </bookViews>
  <sheets>
    <sheet name="EVOA" sheetId="1" r:id="rId1"/>
  </sheets>
  <externalReferences>
    <externalReference r:id="rId2"/>
  </externalReferences>
  <definedNames>
    <definedName name="_xlnm._FilterDatabase" localSheetId="0" hidden="1">EVOA!$A$1:$I$72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<sst xmlns="http://schemas.openxmlformats.org/spreadsheetml/2006/main" count="80" uniqueCount="35">
  <si>
    <t>Año</t>
  </si>
  <si>
    <t>codigo municipio</t>
  </si>
  <si>
    <t>Municipio</t>
  </si>
  <si>
    <t>Subregión</t>
  </si>
  <si>
    <t>Provincia</t>
  </si>
  <si>
    <t>Hectareas Con permisos tecnicos ambientales</t>
  </si>
  <si>
    <t>Hectareas En transito a legalidad</t>
  </si>
  <si>
    <t>Hectareas Explotacion ilicita</t>
  </si>
  <si>
    <t>Total Evidencia Explotacion de Oro de Aluvion (EVOA)</t>
  </si>
  <si>
    <t>AMALFI</t>
  </si>
  <si>
    <t>ANORÍ</t>
  </si>
  <si>
    <t>CÁCERES</t>
  </si>
  <si>
    <t>CAMPAMENTO</t>
  </si>
  <si>
    <t>CAUCASIA</t>
  </si>
  <si>
    <t>CHIGORODÓ</t>
  </si>
  <si>
    <t>DABEIBA</t>
  </si>
  <si>
    <t>EL BAGRE</t>
  </si>
  <si>
    <t>FRONTINO</t>
  </si>
  <si>
    <t>ITUANGO</t>
  </si>
  <si>
    <t>MUTATÁ</t>
  </si>
  <si>
    <t>NECHÍ</t>
  </si>
  <si>
    <t>PUERTO BERRÍO</t>
  </si>
  <si>
    <t>PUERTO NARE</t>
  </si>
  <si>
    <t>REMEDIOS</t>
  </si>
  <si>
    <t>SEGOVIA</t>
  </si>
  <si>
    <t>SONSÓN</t>
  </si>
  <si>
    <t>TARAZÁ</t>
  </si>
  <si>
    <t>URRAO</t>
  </si>
  <si>
    <t>VALDIVIA</t>
  </si>
  <si>
    <t>VEGACHÍ</t>
  </si>
  <si>
    <t>VIGIA DEL FUERTE</t>
  </si>
  <si>
    <t>YALI</t>
  </si>
  <si>
    <t>YONDÓ (Casabe)</t>
  </si>
  <si>
    <t>ZARAGOZA</t>
  </si>
  <si>
    <t>ARGELIA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</si>
</sst>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tablas_provinc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_SUBREG_PROV"/>
      <sheetName val="población_area"/>
      <sheetName val="población_wide"/>
      <sheetName val="Poblacion quinquenios"/>
      <sheetName val="Pirámide Poblacional"/>
      <sheetName val="natalidad_mortalidad"/>
      <sheetName val="Promedios_natalidad_mortalidad"/>
      <sheetName val="Cultivos_transitorio"/>
      <sheetName val="Tabla transitorios"/>
      <sheetName val="Cultivos_Permanente"/>
      <sheetName val="Tablas permnentes"/>
      <sheetName val="Predios_buenas_practicas"/>
      <sheetName val="Sheet7"/>
      <sheetName val="Aseguramiento"/>
      <sheetName val="Mortalidad Infantil"/>
      <sheetName val="Bajo peso"/>
      <sheetName val="Enferdades tropicales"/>
      <sheetName val="Cambio anual enfermedades"/>
      <sheetName val="Suicidios"/>
      <sheetName val="Sheet8"/>
      <sheetName val="ICM"/>
      <sheetName val="MDM"/>
      <sheetName val="Desempeño fiscal"/>
      <sheetName val="Educacion"/>
      <sheetName val="IPM"/>
      <sheetName val="Tablas IPM"/>
      <sheetName val="Ponderador ECV"/>
      <sheetName val="Poblacion 2023"/>
      <sheetName val="NBI"/>
      <sheetName val="Tablas NBI LP"/>
      <sheetName val="Linea pobreza"/>
      <sheetName val="GINI"/>
      <sheetName val="Tablas Gini"/>
      <sheetName val="Mercado laboral"/>
      <sheetName val="Tablas mercado laboral"/>
      <sheetName val="Valor agregado"/>
      <sheetName val="Tabla valor agregado"/>
      <sheetName val="Titulos mineros"/>
      <sheetName val="Títulos por mineral"/>
      <sheetName val="Tabla titulos"/>
      <sheetName val="Catastr y suelo"/>
      <sheetName val="deficit_cuali"/>
      <sheetName val="deficit_cuanti"/>
      <sheetName val="tablas cuali cuanti"/>
      <sheetName val="Acceso a servicios publicos"/>
      <sheetName val="IRCA"/>
      <sheetName val="Tabla IRCA"/>
      <sheetName val="Perdida CA"/>
      <sheetName val="Tabla CA"/>
      <sheetName val="Emergencias"/>
      <sheetName val="Tabla emergencias"/>
      <sheetName val="Indice de Riesgo"/>
      <sheetName val="Tabla IR"/>
      <sheetName val="Coca"/>
      <sheetName val="EVOA"/>
      <sheetName val="Tabla EVOA"/>
      <sheetName val="Percepcion de seguridad"/>
      <sheetName val="Tablas percepcion"/>
      <sheetName val="Alertas tempranas"/>
      <sheetName val="Delitos 100k habitantes"/>
      <sheetName val="Tabla delitos"/>
      <sheetName val="hechos victim"/>
      <sheetName val="Tabla hechos victim"/>
      <sheetName val="Resumen hechos"/>
      <sheetName val="Riesgo de victimización"/>
      <sheetName val="Tabla riesgo de victimización"/>
      <sheetName val="SRTDAF"/>
      <sheetName val="Tabla SRTDAF"/>
      <sheetName val="PDET"/>
      <sheetName val="Tabla PDET Zomac"/>
      <sheetName val="homicidios totales y tasas"/>
      <sheetName val="tabla homi tasas"/>
    </sheetNames>
    <sheetDataSet>
      <sheetData sheetId="0">
        <row r="1">
          <cell r="A1" t="str">
            <v>DPMP</v>
          </cell>
          <cell r="C1" t="str">
            <v>Subregión</v>
          </cell>
          <cell r="D1" t="str">
            <v>Esquema asociativo</v>
          </cell>
        </row>
        <row r="2">
          <cell r="A2" t="str">
            <v>05002</v>
          </cell>
          <cell r="C2" t="str">
            <v>ORIENTE</v>
          </cell>
          <cell r="D2" t="str">
            <v>PROVINCIA DE LA PAZ</v>
          </cell>
        </row>
        <row r="3">
          <cell r="A3" t="str">
            <v>05004</v>
          </cell>
          <cell r="C3" t="str">
            <v>OCCIDENTE</v>
          </cell>
          <cell r="D3" t="str">
            <v>PROVINCIA AGROINDUSTRIAL DEL OCCIDENTE</v>
          </cell>
        </row>
        <row r="4">
          <cell r="A4" t="str">
            <v>05021</v>
          </cell>
          <cell r="C4" t="str">
            <v>ORIENTE</v>
          </cell>
          <cell r="D4" t="str">
            <v>POVINCIA DEL AGUA, BOSQUES Y TURISMO</v>
          </cell>
        </row>
        <row r="5">
          <cell r="A5" t="str">
            <v>05030</v>
          </cell>
          <cell r="C5" t="str">
            <v>SUROESTE</v>
          </cell>
          <cell r="D5" t="str">
            <v>PROVINCIA PENDERISCO Y SINIFANA</v>
          </cell>
        </row>
        <row r="6">
          <cell r="A6" t="str">
            <v>05031</v>
          </cell>
          <cell r="C6" t="str">
            <v>NORDESTE</v>
          </cell>
        </row>
        <row r="7">
          <cell r="A7" t="str">
            <v>05034</v>
          </cell>
          <cell r="C7" t="str">
            <v>SUROESTE</v>
          </cell>
          <cell r="D7" t="str">
            <v>PROVINCIA DE SAN JUAN</v>
          </cell>
        </row>
        <row r="8">
          <cell r="A8" t="str">
            <v>05036</v>
          </cell>
          <cell r="C8" t="str">
            <v>SUROESTE</v>
          </cell>
          <cell r="D8" t="str">
            <v>PROVINCIA PENDERISCO Y SINIFANA</v>
          </cell>
        </row>
        <row r="9">
          <cell r="A9" t="str">
            <v>05038</v>
          </cell>
          <cell r="C9" t="str">
            <v>NORTE</v>
          </cell>
          <cell r="D9" t="str">
            <v>PROVINCIA BIOENERGETICA DEL NORTE DE ANTIOQUIA</v>
          </cell>
        </row>
        <row r="10">
          <cell r="A10" t="str">
            <v>05040</v>
          </cell>
          <cell r="C10" t="str">
            <v>NORDESTE</v>
          </cell>
          <cell r="D10" t="str">
            <v>PROVINCIA BIOENERGETICA DEL NORTE DE ANTIOQUIA</v>
          </cell>
        </row>
        <row r="11">
          <cell r="A11" t="str">
            <v>05044</v>
          </cell>
          <cell r="C11" t="str">
            <v>OCCIDENTE</v>
          </cell>
          <cell r="D11" t="str">
            <v>PROVINCIA PENDERISCO Y SINIFANA</v>
          </cell>
        </row>
        <row r="12">
          <cell r="A12" t="str">
            <v>05045</v>
          </cell>
          <cell r="C12" t="str">
            <v>URABA</v>
          </cell>
        </row>
        <row r="13">
          <cell r="A13" t="str">
            <v>05051</v>
          </cell>
          <cell r="C13" t="str">
            <v>URABA</v>
          </cell>
        </row>
        <row r="14">
          <cell r="A14" t="str">
            <v>05055</v>
          </cell>
          <cell r="C14" t="str">
            <v>ORIENTE</v>
          </cell>
          <cell r="D14" t="str">
            <v>PROVINCIA DE LA PAZ</v>
          </cell>
        </row>
        <row r="15">
          <cell r="A15" t="str">
            <v>05059</v>
          </cell>
          <cell r="C15" t="str">
            <v>OCCIDENTE</v>
          </cell>
        </row>
        <row r="16">
          <cell r="A16" t="str">
            <v>05079</v>
          </cell>
          <cell r="C16" t="str">
            <v>VALLE DE ABURRA</v>
          </cell>
          <cell r="D16" t="str">
            <v>AREA METROPOLITANA</v>
          </cell>
        </row>
        <row r="17">
          <cell r="A17" t="str">
            <v>05088</v>
          </cell>
          <cell r="C17" t="str">
            <v>VALLE DE ABURRA</v>
          </cell>
          <cell r="D17" t="str">
            <v>AREA METROPOLITANA</v>
          </cell>
        </row>
        <row r="18">
          <cell r="A18" t="str">
            <v>05086</v>
          </cell>
          <cell r="C18" t="str">
            <v>NORTE</v>
          </cell>
          <cell r="D18" t="str">
            <v>PROVINCIA DEL RIO GRANDE</v>
          </cell>
        </row>
        <row r="19">
          <cell r="A19" t="str">
            <v>05091</v>
          </cell>
          <cell r="C19" t="str">
            <v>SUROESTE</v>
          </cell>
          <cell r="D19" t="str">
            <v>PROVINCIA DE SAN JUAN</v>
          </cell>
        </row>
        <row r="20">
          <cell r="A20" t="str">
            <v>05093</v>
          </cell>
          <cell r="C20" t="str">
            <v>SUROESTE</v>
          </cell>
          <cell r="D20" t="str">
            <v>PROVINCIA PENDERISCO Y SINIFANA</v>
          </cell>
        </row>
        <row r="21">
          <cell r="A21" t="str">
            <v>05107</v>
          </cell>
          <cell r="C21" t="str">
            <v>NORTE</v>
          </cell>
          <cell r="D21" t="str">
            <v>PROVINCIA BIOENERGETICA DEL NORTE DE ANTIOQUIA</v>
          </cell>
        </row>
        <row r="22">
          <cell r="A22" t="str">
            <v>05113</v>
          </cell>
          <cell r="C22" t="str">
            <v>OCCIDENTE</v>
          </cell>
          <cell r="D22" t="str">
            <v>PROVINCIA TURISTICA Y AGROECOLOGICA</v>
          </cell>
        </row>
        <row r="23">
          <cell r="A23" t="str">
            <v>05120</v>
          </cell>
          <cell r="C23" t="str">
            <v>BAJO CAUCA</v>
          </cell>
        </row>
        <row r="24">
          <cell r="A24" t="str">
            <v>05125</v>
          </cell>
          <cell r="C24" t="str">
            <v>OCCIDENTE</v>
          </cell>
          <cell r="D24" t="str">
            <v>PROVINCIA PENDERISCO Y SINIFANA</v>
          </cell>
        </row>
        <row r="25">
          <cell r="A25" t="str">
            <v>05129</v>
          </cell>
          <cell r="C25" t="str">
            <v>VALLE DE ABURRA</v>
          </cell>
          <cell r="D25" t="str">
            <v>AREA METROPOLITANA</v>
          </cell>
        </row>
        <row r="26">
          <cell r="A26" t="str">
            <v>05134</v>
          </cell>
          <cell r="C26" t="str">
            <v>NORTE</v>
          </cell>
          <cell r="D26" t="str">
            <v>PROVINCIA BIOENERGETICA DEL NORTE DE ANTIOQUIA</v>
          </cell>
        </row>
        <row r="27">
          <cell r="A27" t="str">
            <v>05138</v>
          </cell>
          <cell r="C27" t="str">
            <v>OCCIDENTE</v>
          </cell>
          <cell r="D27" t="str">
            <v>PROVINCIA AGROINDUSTRIAL DEL OCCIDENTE</v>
          </cell>
        </row>
        <row r="28">
          <cell r="A28" t="str">
            <v>05142</v>
          </cell>
          <cell r="C28" t="str">
            <v>MAGDALENA MEDIO</v>
          </cell>
        </row>
        <row r="29">
          <cell r="A29" t="str">
            <v>05145</v>
          </cell>
          <cell r="C29" t="str">
            <v>SUROESTE</v>
          </cell>
          <cell r="D29" t="str">
            <v>PROVINCIA CARTAMA</v>
          </cell>
        </row>
        <row r="30">
          <cell r="A30" t="str">
            <v>05147</v>
          </cell>
          <cell r="C30" t="str">
            <v>URABA</v>
          </cell>
        </row>
        <row r="31">
          <cell r="A31" t="str">
            <v>05150</v>
          </cell>
          <cell r="C31" t="str">
            <v>NORTE</v>
          </cell>
          <cell r="D31" t="str">
            <v>PROVINCIA BIOENERGETICA DEL NORTE DE ANTIOQUIA</v>
          </cell>
        </row>
        <row r="32">
          <cell r="A32" t="str">
            <v>05154</v>
          </cell>
          <cell r="C32" t="str">
            <v>BAJO CAUCA</v>
          </cell>
        </row>
        <row r="33">
          <cell r="A33" t="str">
            <v>05172</v>
          </cell>
          <cell r="C33" t="str">
            <v>URABA</v>
          </cell>
        </row>
        <row r="34">
          <cell r="A34" t="str">
            <v>05190</v>
          </cell>
          <cell r="C34" t="str">
            <v>NORDESTE</v>
          </cell>
        </row>
        <row r="35">
          <cell r="A35" t="str">
            <v>05101</v>
          </cell>
          <cell r="C35" t="str">
            <v>SUROESTE</v>
          </cell>
          <cell r="D35" t="str">
            <v>PROVINCIA DE SAN JUAN</v>
          </cell>
        </row>
        <row r="36">
          <cell r="A36" t="str">
            <v>05197</v>
          </cell>
          <cell r="C36" t="str">
            <v>ORIENTE</v>
          </cell>
          <cell r="D36" t="str">
            <v>POVINCIA DEL AGUA, BOSQUES Y TURISMO</v>
          </cell>
        </row>
        <row r="37">
          <cell r="A37" t="str">
            <v>05206</v>
          </cell>
          <cell r="C37" t="str">
            <v>ORIENTE</v>
          </cell>
          <cell r="D37" t="str">
            <v>POVINCIA DEL AGUA, BOSQUES Y TURISMO</v>
          </cell>
        </row>
        <row r="38">
          <cell r="A38" t="str">
            <v>05209</v>
          </cell>
          <cell r="C38" t="str">
            <v>SUROESTE</v>
          </cell>
          <cell r="D38" t="str">
            <v>PROVINCIA PENDERISCO Y SINIFANA</v>
          </cell>
        </row>
        <row r="39">
          <cell r="A39" t="str">
            <v>05212</v>
          </cell>
          <cell r="C39" t="str">
            <v>VALLE DE ABURRA</v>
          </cell>
          <cell r="D39" t="str">
            <v>AREA METROPOLITANA</v>
          </cell>
        </row>
        <row r="40">
          <cell r="A40" t="str">
            <v>05234</v>
          </cell>
          <cell r="C40" t="str">
            <v>OCCIDENTE</v>
          </cell>
          <cell r="D40" t="str">
            <v>PROVINCIA AGROINDUSTRIAL DEL OCCIDENTE</v>
          </cell>
        </row>
        <row r="41">
          <cell r="A41" t="str">
            <v>05237</v>
          </cell>
          <cell r="C41" t="str">
            <v>NORTE</v>
          </cell>
          <cell r="D41" t="str">
            <v>PROVINCIA DEL RIO GRANDE</v>
          </cell>
        </row>
        <row r="42">
          <cell r="A42" t="str">
            <v>05240</v>
          </cell>
          <cell r="C42" t="str">
            <v>OCCIDENTE</v>
          </cell>
          <cell r="D42" t="str">
            <v>PROVINCIA TURISTICA Y AGROECOLOGICA</v>
          </cell>
        </row>
        <row r="43">
          <cell r="A43" t="str">
            <v>05250</v>
          </cell>
          <cell r="C43" t="str">
            <v>BAJO CAUCA</v>
          </cell>
        </row>
        <row r="44">
          <cell r="A44" t="str">
            <v>05148</v>
          </cell>
          <cell r="C44" t="str">
            <v>ORIENTE</v>
          </cell>
        </row>
        <row r="45">
          <cell r="A45" t="str">
            <v>05697</v>
          </cell>
          <cell r="C45" t="str">
            <v>ORIENTE</v>
          </cell>
        </row>
        <row r="46">
          <cell r="A46" t="str">
            <v>05264</v>
          </cell>
          <cell r="C46" t="str">
            <v>NORTE</v>
          </cell>
          <cell r="D46" t="str">
            <v>PROVINCIA DEL RIO GRANDE</v>
          </cell>
        </row>
        <row r="47">
          <cell r="A47" t="str">
            <v>05266</v>
          </cell>
          <cell r="C47" t="str">
            <v>VALLE DE ABURRA</v>
          </cell>
          <cell r="D47" t="str">
            <v>AREA METROPOLITANA</v>
          </cell>
        </row>
        <row r="48">
          <cell r="A48" t="str">
            <v>05282</v>
          </cell>
          <cell r="C48" t="str">
            <v>SUROESTE</v>
          </cell>
          <cell r="D48" t="str">
            <v>PROVINCIA CARTAMA</v>
          </cell>
        </row>
        <row r="49">
          <cell r="A49" t="str">
            <v>05284</v>
          </cell>
          <cell r="C49" t="str">
            <v>OCCIDENTE</v>
          </cell>
          <cell r="D49" t="str">
            <v>PROVINCIA AGROINDUSTRIAL DEL OCCIDENTE</v>
          </cell>
        </row>
        <row r="50">
          <cell r="A50" t="str">
            <v>05306</v>
          </cell>
          <cell r="C50" t="str">
            <v>OCCIDENTE</v>
          </cell>
          <cell r="D50" t="str">
            <v>PROVINCIA TURISTICA Y AGROECOLOGICA</v>
          </cell>
        </row>
        <row r="51">
          <cell r="A51" t="str">
            <v>05308</v>
          </cell>
          <cell r="C51" t="str">
            <v>VALLE DE ABURRA</v>
          </cell>
          <cell r="D51" t="str">
            <v>AREA METROPOLITANA</v>
          </cell>
        </row>
        <row r="52">
          <cell r="A52" t="str">
            <v>05310</v>
          </cell>
          <cell r="C52" t="str">
            <v>NORTE</v>
          </cell>
          <cell r="D52" t="str">
            <v>PROVINCIA BIOENERGETICA DEL NORTE DE ANTIOQUIA</v>
          </cell>
        </row>
        <row r="53">
          <cell r="A53" t="str">
            <v>05313</v>
          </cell>
          <cell r="C53" t="str">
            <v>ORIENTE</v>
          </cell>
          <cell r="D53" t="str">
            <v>POVINCIA DEL AGUA, BOSQUES Y TURISMO</v>
          </cell>
        </row>
        <row r="54">
          <cell r="A54" t="str">
            <v>05315</v>
          </cell>
          <cell r="C54" t="str">
            <v>NORTE</v>
          </cell>
          <cell r="D54" t="str">
            <v>PROVINCIA BIOENERGETICA DEL NORTE DE ANTIOQUIA</v>
          </cell>
        </row>
        <row r="55">
          <cell r="A55" t="str">
            <v>05318</v>
          </cell>
          <cell r="C55" t="str">
            <v>ORIENTE</v>
          </cell>
        </row>
        <row r="56">
          <cell r="A56" t="str">
            <v>05321</v>
          </cell>
          <cell r="C56" t="str">
            <v>ORIENTE</v>
          </cell>
          <cell r="D56" t="str">
            <v>POVINCIA DEL AGUA, BOSQUES Y TURISMO</v>
          </cell>
        </row>
        <row r="57">
          <cell r="A57" t="str">
            <v>05347</v>
          </cell>
          <cell r="C57" t="str">
            <v>OCCIDENTE</v>
          </cell>
          <cell r="D57" t="str">
            <v>PROVINCIA TURISTICA Y AGROECOLOGICA</v>
          </cell>
        </row>
        <row r="58">
          <cell r="A58" t="str">
            <v>05353</v>
          </cell>
          <cell r="C58" t="str">
            <v>SUROESTE</v>
          </cell>
          <cell r="D58" t="str">
            <v>PROVINCIA DE SAN JUAN</v>
          </cell>
        </row>
        <row r="59">
          <cell r="A59" t="str">
            <v>05360</v>
          </cell>
          <cell r="C59" t="str">
            <v>VALLE DE ABURRA</v>
          </cell>
          <cell r="D59" t="str">
            <v>AREA METROPOLITANA</v>
          </cell>
        </row>
        <row r="60">
          <cell r="A60" t="str">
            <v>05361</v>
          </cell>
          <cell r="C60" t="str">
            <v>NORTE</v>
          </cell>
          <cell r="D60" t="str">
            <v>PROVINCIA BIOENERGETICA DEL NORTE DE ANTIOQUIA</v>
          </cell>
        </row>
        <row r="61">
          <cell r="A61" t="str">
            <v>05364</v>
          </cell>
          <cell r="C61" t="str">
            <v>SUROESTE</v>
          </cell>
          <cell r="D61" t="str">
            <v>PROVINCIA DE SAN JUAN</v>
          </cell>
        </row>
        <row r="62">
          <cell r="A62" t="str">
            <v>05368</v>
          </cell>
          <cell r="C62" t="str">
            <v>SUROESTE</v>
          </cell>
          <cell r="D62" t="str">
            <v>PROVINCIA CARTAMA</v>
          </cell>
        </row>
        <row r="63">
          <cell r="A63" t="str">
            <v>05376</v>
          </cell>
          <cell r="C63" t="str">
            <v>ORIENTE</v>
          </cell>
        </row>
        <row r="64">
          <cell r="A64" t="str">
            <v>05380</v>
          </cell>
          <cell r="C64" t="str">
            <v>VALLE DE ABURRA</v>
          </cell>
          <cell r="D64" t="str">
            <v>AREA METROPOLITANA</v>
          </cell>
        </row>
        <row r="65">
          <cell r="A65" t="str">
            <v>05390</v>
          </cell>
          <cell r="C65" t="str">
            <v>SUROESTE</v>
          </cell>
          <cell r="D65" t="str">
            <v>PROVINCIA CARTAMA</v>
          </cell>
        </row>
        <row r="66">
          <cell r="A66" t="str">
            <v>05400</v>
          </cell>
          <cell r="C66" t="str">
            <v>ORIENTE</v>
          </cell>
          <cell r="D66" t="str">
            <v>PROVINCIA DE LA PAZ</v>
          </cell>
        </row>
        <row r="67">
          <cell r="A67" t="str">
            <v>05411</v>
          </cell>
          <cell r="C67" t="str">
            <v>OCCIDENTE</v>
          </cell>
        </row>
        <row r="68">
          <cell r="A68" t="str">
            <v>05425</v>
          </cell>
          <cell r="C68" t="str">
            <v>MAGDALENA MEDIO</v>
          </cell>
        </row>
        <row r="69">
          <cell r="A69" t="str">
            <v>05440</v>
          </cell>
          <cell r="C69" t="str">
            <v>ORIENTE</v>
          </cell>
          <cell r="D69" t="str">
            <v>POVINCIA DEL AGUA, BOSQUES Y TURISMO</v>
          </cell>
        </row>
        <row r="70">
          <cell r="A70" t="str">
            <v>05001</v>
          </cell>
          <cell r="C70" t="str">
            <v>VALLE DE ABURRA</v>
          </cell>
          <cell r="D70" t="str">
            <v>AREA METROPOLITANA</v>
          </cell>
        </row>
        <row r="71">
          <cell r="A71" t="str">
            <v>05467</v>
          </cell>
          <cell r="C71" t="str">
            <v>SUROESTE</v>
          </cell>
          <cell r="D71" t="str">
            <v>PROVINCIA CARTAMA</v>
          </cell>
        </row>
        <row r="72">
          <cell r="A72" t="str">
            <v>05475</v>
          </cell>
          <cell r="C72" t="str">
            <v>URABA</v>
          </cell>
        </row>
        <row r="73">
          <cell r="A73" t="str">
            <v>05480</v>
          </cell>
          <cell r="C73" t="str">
            <v>URABA</v>
          </cell>
        </row>
        <row r="74">
          <cell r="A74" t="str">
            <v>05483</v>
          </cell>
          <cell r="C74" t="str">
            <v>ORIENTE</v>
          </cell>
          <cell r="D74" t="str">
            <v>PROVINCIA DE LA PAZ</v>
          </cell>
        </row>
        <row r="75">
          <cell r="A75" t="str">
            <v>05495</v>
          </cell>
          <cell r="C75" t="str">
            <v>BAJO CAUCA</v>
          </cell>
        </row>
        <row r="76">
          <cell r="A76" t="str">
            <v>05490</v>
          </cell>
          <cell r="C76" t="str">
            <v>URABA</v>
          </cell>
        </row>
        <row r="77">
          <cell r="A77" t="str">
            <v>05501</v>
          </cell>
          <cell r="C77" t="str">
            <v>OCCIDENTE</v>
          </cell>
          <cell r="D77" t="str">
            <v>PROVINCIA TURISTICA Y AGROECOLOGICA</v>
          </cell>
        </row>
        <row r="78">
          <cell r="A78" t="str">
            <v>05541</v>
          </cell>
          <cell r="C78" t="str">
            <v>ORIENTE</v>
          </cell>
          <cell r="D78" t="str">
            <v>POVINCIA DEL AGUA, BOSQUES Y TURISMO</v>
          </cell>
        </row>
        <row r="79">
          <cell r="A79" t="str">
            <v>05543</v>
          </cell>
          <cell r="C79" t="str">
            <v>OCCIDENTE</v>
          </cell>
          <cell r="D79" t="str">
            <v>PROVINCIA AGROINDUSTRIAL DEL OCCIDENTE</v>
          </cell>
        </row>
        <row r="80">
          <cell r="A80" t="str">
            <v>05576</v>
          </cell>
          <cell r="C80" t="str">
            <v>SUROESTE</v>
          </cell>
          <cell r="D80" t="str">
            <v>PROVINCIA CARTAMA</v>
          </cell>
        </row>
        <row r="81">
          <cell r="A81" t="str">
            <v>05579</v>
          </cell>
          <cell r="C81" t="str">
            <v>MAGDALENA MEDIO</v>
          </cell>
        </row>
        <row r="82">
          <cell r="A82" t="str">
            <v>05585</v>
          </cell>
          <cell r="C82" t="str">
            <v>MAGDALENA MEDIO</v>
          </cell>
        </row>
        <row r="83">
          <cell r="A83" t="str">
            <v>05591</v>
          </cell>
          <cell r="C83" t="str">
            <v>MAGDALENA MEDIO</v>
          </cell>
        </row>
        <row r="84">
          <cell r="A84" t="str">
            <v>05604</v>
          </cell>
          <cell r="C84" t="str">
            <v>NORDESTE</v>
          </cell>
          <cell r="D84" t="str">
            <v>PROVINCIA MINERO AGROECOLOGICA</v>
          </cell>
        </row>
        <row r="85">
          <cell r="A85" t="str">
            <v>05607</v>
          </cell>
          <cell r="C85" t="str">
            <v>ORIENTE</v>
          </cell>
        </row>
        <row r="86">
          <cell r="A86" t="str">
            <v>05615</v>
          </cell>
          <cell r="C86" t="str">
            <v>ORIENTE</v>
          </cell>
        </row>
        <row r="87">
          <cell r="A87" t="str">
            <v>05628</v>
          </cell>
          <cell r="C87" t="str">
            <v>OCCIDENTE</v>
          </cell>
          <cell r="D87" t="str">
            <v>PROVINCIA TURISTICA Y AGROECOLOGICA</v>
          </cell>
        </row>
        <row r="88">
          <cell r="A88" t="str">
            <v>05631</v>
          </cell>
          <cell r="C88" t="str">
            <v>VALLE DE ABURRA</v>
          </cell>
          <cell r="D88" t="str">
            <v>AREA METROPOLITANA</v>
          </cell>
        </row>
        <row r="89">
          <cell r="A89" t="str">
            <v>05642</v>
          </cell>
          <cell r="C89" t="str">
            <v>SUROESTE</v>
          </cell>
          <cell r="D89" t="str">
            <v>PROVINCIA DE SAN JUAN</v>
          </cell>
        </row>
        <row r="90">
          <cell r="A90" t="str">
            <v>05647</v>
          </cell>
          <cell r="C90" t="str">
            <v>NORTE</v>
          </cell>
          <cell r="D90" t="str">
            <v>PROVINCIA BIOENERGETICA DEL NORTE DE ANTIOQUIA</v>
          </cell>
        </row>
        <row r="91">
          <cell r="A91" t="str">
            <v>05649</v>
          </cell>
          <cell r="C91" t="str">
            <v>ORIENTE</v>
          </cell>
          <cell r="D91" t="str">
            <v>POVINCIA DEL AGUA, BOSQUES Y TURISMO</v>
          </cell>
        </row>
        <row r="92">
          <cell r="A92" t="str">
            <v>05652</v>
          </cell>
          <cell r="C92" t="str">
            <v>ORIENTE</v>
          </cell>
          <cell r="D92" t="str">
            <v>POVINCIA DEL AGUA, BOSQUES Y TURISMO</v>
          </cell>
        </row>
        <row r="93">
          <cell r="A93" t="str">
            <v>05656</v>
          </cell>
          <cell r="C93" t="str">
            <v>OCCIDENTE</v>
          </cell>
          <cell r="D93" t="str">
            <v>PROVINCIA TURISTICA Y AGROECOLOGICA</v>
          </cell>
        </row>
        <row r="94">
          <cell r="A94" t="str">
            <v>05658</v>
          </cell>
          <cell r="C94" t="str">
            <v>NORTE</v>
          </cell>
          <cell r="D94" t="str">
            <v>PROVINCIA BIOENERGETICA DEL NORTE DE ANTIOQUIA</v>
          </cell>
        </row>
        <row r="95">
          <cell r="A95" t="str">
            <v>05659</v>
          </cell>
          <cell r="C95" t="str">
            <v>URABA</v>
          </cell>
        </row>
        <row r="96">
          <cell r="A96" t="str">
            <v>05660</v>
          </cell>
          <cell r="C96" t="str">
            <v>ORIENTE</v>
          </cell>
          <cell r="D96" t="str">
            <v>POVINCIA DEL AGUA, BOSQUES Y TURISMO</v>
          </cell>
        </row>
        <row r="97">
          <cell r="A97" t="str">
            <v>05664</v>
          </cell>
          <cell r="C97" t="str">
            <v>NORTE</v>
          </cell>
          <cell r="D97" t="str">
            <v>PROVINCIA DEL RIO GRANDE</v>
          </cell>
        </row>
        <row r="98">
          <cell r="A98" t="str">
            <v>05665</v>
          </cell>
          <cell r="C98" t="str">
            <v>URABA</v>
          </cell>
        </row>
        <row r="99">
          <cell r="A99" t="str">
            <v>05667</v>
          </cell>
          <cell r="C99" t="str">
            <v>ORIENTE</v>
          </cell>
          <cell r="D99" t="str">
            <v>POVINCIA DEL AGUA, BOSQUES Y TURISMO</v>
          </cell>
        </row>
        <row r="100">
          <cell r="A100" t="str">
            <v>05670</v>
          </cell>
          <cell r="C100" t="str">
            <v>NORDESTE</v>
          </cell>
        </row>
        <row r="101">
          <cell r="A101" t="str">
            <v>05674</v>
          </cell>
          <cell r="C101" t="str">
            <v>ORIENTE</v>
          </cell>
          <cell r="D101" t="str">
            <v>POVINCIA DEL AGUA, BOSQUES Y TURISMO</v>
          </cell>
        </row>
        <row r="102">
          <cell r="A102" t="str">
            <v>05679</v>
          </cell>
          <cell r="C102" t="str">
            <v>SUROESTE</v>
          </cell>
          <cell r="D102" t="str">
            <v>PROVINCIA CARTAMA</v>
          </cell>
        </row>
        <row r="103">
          <cell r="A103" t="str">
            <v>05686</v>
          </cell>
          <cell r="C103" t="str">
            <v>NORTE</v>
          </cell>
          <cell r="D103" t="str">
            <v>PROVINCIA DEL RIO GRANDE</v>
          </cell>
        </row>
        <row r="104">
          <cell r="A104" t="str">
            <v>05042</v>
          </cell>
          <cell r="C104" t="str">
            <v>OCCIDENTE</v>
          </cell>
        </row>
        <row r="105">
          <cell r="A105" t="str">
            <v>05690</v>
          </cell>
          <cell r="C105" t="str">
            <v>NORDESTE</v>
          </cell>
        </row>
        <row r="106">
          <cell r="A106" t="str">
            <v>05736</v>
          </cell>
          <cell r="C106" t="str">
            <v>NORDESTE</v>
          </cell>
          <cell r="D106" t="str">
            <v>PROVINCIA MINERO AGROECOLOGICA</v>
          </cell>
        </row>
        <row r="107">
          <cell r="A107" t="str">
            <v>05756</v>
          </cell>
          <cell r="C107" t="str">
            <v>ORIENTE</v>
          </cell>
          <cell r="D107" t="str">
            <v>PROVINCIA DE LA PAZ</v>
          </cell>
        </row>
        <row r="108">
          <cell r="A108" t="str">
            <v>05761</v>
          </cell>
          <cell r="C108" t="str">
            <v>OCCIDENTE</v>
          </cell>
        </row>
        <row r="109">
          <cell r="A109" t="str">
            <v>05789</v>
          </cell>
          <cell r="C109" t="str">
            <v>SUROESTE</v>
          </cell>
          <cell r="D109" t="str">
            <v>PROVINCIA CARTAMA</v>
          </cell>
        </row>
        <row r="110">
          <cell r="A110" t="str">
            <v>05790</v>
          </cell>
          <cell r="C110" t="str">
            <v>BAJO CAUCA</v>
          </cell>
        </row>
        <row r="111">
          <cell r="A111" t="str">
            <v>05792</v>
          </cell>
          <cell r="C111" t="str">
            <v>SUROESTE</v>
          </cell>
          <cell r="D111" t="str">
            <v>PROVINCIA CARTAMA</v>
          </cell>
        </row>
        <row r="112">
          <cell r="A112" t="str">
            <v>05809</v>
          </cell>
          <cell r="C112" t="str">
            <v>SUROESTE</v>
          </cell>
          <cell r="D112" t="str">
            <v>PROVINCIA PENDERISCO Y SINIFANA</v>
          </cell>
        </row>
        <row r="113">
          <cell r="A113" t="str">
            <v>05819</v>
          </cell>
          <cell r="C113" t="str">
            <v>NORTE</v>
          </cell>
          <cell r="D113" t="str">
            <v>PROVINCIA BIOENERGETICA DEL NORTE DE ANTIOQUIA</v>
          </cell>
        </row>
        <row r="114">
          <cell r="A114" t="str">
            <v>05837</v>
          </cell>
          <cell r="C114" t="str">
            <v>URABA</v>
          </cell>
        </row>
        <row r="115">
          <cell r="A115" t="str">
            <v>05842</v>
          </cell>
          <cell r="C115" t="str">
            <v>OCCIDENTE</v>
          </cell>
          <cell r="D115" t="str">
            <v>PROVINCIA AGROINDUSTRIAL DEL OCCIDENTE</v>
          </cell>
        </row>
        <row r="116">
          <cell r="A116" t="str">
            <v>05847</v>
          </cell>
          <cell r="C116" t="str">
            <v>SUROESTE</v>
          </cell>
          <cell r="D116" t="str">
            <v>PROVINCIA PENDERISCO Y SINIFANA</v>
          </cell>
        </row>
        <row r="117">
          <cell r="A117" t="str">
            <v>05854</v>
          </cell>
          <cell r="C117" t="str">
            <v>NORTE</v>
          </cell>
          <cell r="D117" t="str">
            <v>PROVINCIA BIOENERGETICA DEL NORTE DE ANTIOQUIA</v>
          </cell>
        </row>
        <row r="118">
          <cell r="A118" t="str">
            <v>05856</v>
          </cell>
          <cell r="C118" t="str">
            <v>SUROESTE</v>
          </cell>
          <cell r="D118" t="str">
            <v>PROVINCIA CARTAMA</v>
          </cell>
        </row>
        <row r="119">
          <cell r="A119" t="str">
            <v>05858</v>
          </cell>
          <cell r="C119" t="str">
            <v>NORDESTE</v>
          </cell>
          <cell r="D119" t="str">
            <v>PROVINCIA MINERO AGROECOLOGICA</v>
          </cell>
        </row>
        <row r="120">
          <cell r="A120" t="str">
            <v>05861</v>
          </cell>
          <cell r="C120" t="str">
            <v>SUROESTE</v>
          </cell>
          <cell r="D120" t="str">
            <v>PROVINCIA CARTAMA</v>
          </cell>
        </row>
        <row r="121">
          <cell r="A121" t="str">
            <v>05873</v>
          </cell>
          <cell r="C121" t="str">
            <v>URABA</v>
          </cell>
        </row>
        <row r="122">
          <cell r="A122" t="str">
            <v>05885</v>
          </cell>
          <cell r="C122" t="str">
            <v>NORDESTE</v>
          </cell>
          <cell r="D122" t="str">
            <v>PROVINCIA MINERO AGROECOLOGICA</v>
          </cell>
        </row>
        <row r="123">
          <cell r="A123" t="str">
            <v>05887</v>
          </cell>
          <cell r="C123" t="str">
            <v>NORTE</v>
          </cell>
          <cell r="D123" t="str">
            <v>PROVINCIA BIOENERGETICA DEL NORTE DE ANTIOQUIA</v>
          </cell>
        </row>
        <row r="124">
          <cell r="A124" t="str">
            <v>05890</v>
          </cell>
          <cell r="C124" t="str">
            <v>NORDESTE</v>
          </cell>
          <cell r="D124" t="str">
            <v>PROVINCIA MINERO AGROECOLOGICA</v>
          </cell>
        </row>
        <row r="125">
          <cell r="A125" t="str">
            <v>05893</v>
          </cell>
          <cell r="C125" t="str">
            <v>MAGDALENA MEDIO</v>
          </cell>
        </row>
        <row r="126">
          <cell r="A126" t="str">
            <v>05895</v>
          </cell>
          <cell r="C126" t="str">
            <v>BAJO CAUCA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3FEE-E3DA-460F-93FA-8F01FF001E27}">
  <dimension ref="A1:I72"/>
  <sheetViews>
    <sheetView tabSelected="1" workbookViewId="0">
      <selection activeCell="F14" sqref="F14"/>
    </sheetView>
  </sheetViews>
  <sheetFormatPr defaultRowHeight="15" x14ac:dyDescent="0.25"/>
  <cols>
    <col min="6" max="6" width="49" bestFit="1" customWidth="1"/>
    <col min="7" max="7" width="35.140625" bestFit="1" customWidth="1"/>
    <col min="8" max="8" width="30.28515625" bestFit="1" customWidth="1"/>
    <col min="9" max="9" width="5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2018</v>
      </c>
      <c r="B2" s="3">
        <v>5031</v>
      </c>
      <c r="C2" t="s">
        <v>9</v>
      </c>
      <c r="D2" t="str">
        <f>_xlfn.XLOOKUP(TEXT(B2,"00000"),[1]MUN_SUBREG_PROV!A:A,[1]MUN_SUBREG_PROV!C:C,"")</f>
        <v>NORDESTE</v>
      </c>
      <c r="E2">
        <f>IFERROR(IF(_xlfn.XLOOKUP(TEXT(B2,"00000"),[1]MUN_SUBREG_PROV!A:A,[1]MUN_SUBREG_PROV!C:C,"")=0,"",_xlfn.XLOOKUP(TEXT(B2,"00000"),[1]MUN_SUBREG_PROV!A:A,[1]MUN_SUBREG_PROV!D:D,"")),"")</f>
        <v>0</v>
      </c>
      <c r="F2" s="2">
        <v>268.71558099999999</v>
      </c>
      <c r="G2" s="2">
        <v>55.921508000000003</v>
      </c>
      <c r="H2" s="2">
        <v>959.92927299999997</v>
      </c>
      <c r="I2" s="2">
        <v>1284.566362</v>
      </c>
    </row>
    <row r="3" spans="1:9" x14ac:dyDescent="0.25">
      <c r="A3" s="3">
        <v>2018</v>
      </c>
      <c r="B3" s="3">
        <v>5040</v>
      </c>
      <c r="C3" t="s">
        <v>10</v>
      </c>
      <c r="D3" t="str">
        <f>_xlfn.XLOOKUP(TEXT(B3,"00000"),[1]MUN_SUBREG_PROV!A:A,[1]MUN_SUBREG_PROV!C:C,"")</f>
        <v>NORDESTE</v>
      </c>
      <c r="E3" t="str">
        <f>IFERROR(IF(_xlfn.XLOOKUP(TEXT(B3,"00000"),[1]MUN_SUBREG_PROV!A:A,[1]MUN_SUBREG_PROV!C:C,"")=0,"",_xlfn.XLOOKUP(TEXT(B3,"00000"),[1]MUN_SUBREG_PROV!A:A,[1]MUN_SUBREG_PROV!D:D,"")),"")</f>
        <v>PROVINCIA BIOENERGETICA DEL NORTE DE ANTIOQUIA</v>
      </c>
      <c r="F3" s="2">
        <v>397.95079800000002</v>
      </c>
      <c r="G3" s="2">
        <v>52.438321000000002</v>
      </c>
      <c r="H3" s="2">
        <v>1237.8860689999999</v>
      </c>
      <c r="I3" s="2">
        <v>1688.2751880000001</v>
      </c>
    </row>
    <row r="4" spans="1:9" x14ac:dyDescent="0.25">
      <c r="A4" s="3">
        <v>2018</v>
      </c>
      <c r="B4" s="3">
        <v>5120</v>
      </c>
      <c r="C4" t="s">
        <v>11</v>
      </c>
      <c r="D4" t="str">
        <f>_xlfn.XLOOKUP(TEXT(B4,"00000"),[1]MUN_SUBREG_PROV!A:A,[1]MUN_SUBREG_PROV!C:C,"")</f>
        <v>BAJO CAUCA</v>
      </c>
      <c r="E4">
        <f>IFERROR(IF(_xlfn.XLOOKUP(TEXT(B4,"00000"),[1]MUN_SUBREG_PROV!A:A,[1]MUN_SUBREG_PROV!C:C,"")=0,"",_xlfn.XLOOKUP(TEXT(B4,"00000"),[1]MUN_SUBREG_PROV!A:A,[1]MUN_SUBREG_PROV!D:D,"")),"")</f>
        <v>0</v>
      </c>
      <c r="F4" s="2">
        <v>1809.804942</v>
      </c>
      <c r="G4" s="2">
        <v>379.56547</v>
      </c>
      <c r="H4" s="2">
        <v>3050.1531399999999</v>
      </c>
      <c r="I4" s="2">
        <v>5239.5235519999997</v>
      </c>
    </row>
    <row r="5" spans="1:9" x14ac:dyDescent="0.25">
      <c r="A5" s="3">
        <v>2018</v>
      </c>
      <c r="B5" s="3">
        <v>5134</v>
      </c>
      <c r="C5" t="s">
        <v>12</v>
      </c>
      <c r="D5" t="str">
        <f>_xlfn.XLOOKUP(TEXT(B5,"00000"),[1]MUN_SUBREG_PROV!A:A,[1]MUN_SUBREG_PROV!C:C,"")</f>
        <v>NORTE</v>
      </c>
      <c r="E5" t="str">
        <f>IFERROR(IF(_xlfn.XLOOKUP(TEXT(B5,"00000"),[1]MUN_SUBREG_PROV!A:A,[1]MUN_SUBREG_PROV!C:C,"")=0,"",_xlfn.XLOOKUP(TEXT(B5,"00000"),[1]MUN_SUBREG_PROV!A:A,[1]MUN_SUBREG_PROV!D:D,"")),"")</f>
        <v>PROVINCIA BIOENERGETICA DEL NORTE DE ANTIOQUIA</v>
      </c>
      <c r="F5" s="2">
        <v>0</v>
      </c>
      <c r="G5" s="2">
        <v>0</v>
      </c>
      <c r="H5" s="2">
        <v>1.639286</v>
      </c>
      <c r="I5" s="2">
        <v>1.639286</v>
      </c>
    </row>
    <row r="6" spans="1:9" x14ac:dyDescent="0.25">
      <c r="A6" s="3">
        <v>2018</v>
      </c>
      <c r="B6" s="3">
        <v>5154</v>
      </c>
      <c r="C6" t="s">
        <v>13</v>
      </c>
      <c r="D6" t="str">
        <f>_xlfn.XLOOKUP(TEXT(B6,"00000"),[1]MUN_SUBREG_PROV!A:A,[1]MUN_SUBREG_PROV!C:C,"")</f>
        <v>BAJO CAUCA</v>
      </c>
      <c r="E6">
        <f>IFERROR(IF(_xlfn.XLOOKUP(TEXT(B6,"00000"),[1]MUN_SUBREG_PROV!A:A,[1]MUN_SUBREG_PROV!C:C,"")=0,"",_xlfn.XLOOKUP(TEXT(B6,"00000"),[1]MUN_SUBREG_PROV!A:A,[1]MUN_SUBREG_PROV!D:D,"")),"")</f>
        <v>0</v>
      </c>
      <c r="F6" s="2">
        <v>1034.6474310000001</v>
      </c>
      <c r="G6" s="2">
        <v>60.678632999999998</v>
      </c>
      <c r="H6" s="2">
        <v>369.128129</v>
      </c>
      <c r="I6" s="2">
        <v>1464.454193</v>
      </c>
    </row>
    <row r="7" spans="1:9" x14ac:dyDescent="0.25">
      <c r="A7" s="3">
        <v>2018</v>
      </c>
      <c r="B7" s="3">
        <v>5172</v>
      </c>
      <c r="C7" t="s">
        <v>14</v>
      </c>
      <c r="D7" t="str">
        <f>_xlfn.XLOOKUP(TEXT(B7,"00000"),[1]MUN_SUBREG_PROV!A:A,[1]MUN_SUBREG_PROV!C:C,"")</f>
        <v>URABA</v>
      </c>
      <c r="E7">
        <f>IFERROR(IF(_xlfn.XLOOKUP(TEXT(B7,"00000"),[1]MUN_SUBREG_PROV!A:A,[1]MUN_SUBREG_PROV!C:C,"")=0,"",_xlfn.XLOOKUP(TEXT(B7,"00000"),[1]MUN_SUBREG_PROV!A:A,[1]MUN_SUBREG_PROV!D:D,"")),"")</f>
        <v>0</v>
      </c>
      <c r="F7" s="2">
        <v>0</v>
      </c>
      <c r="G7" s="2">
        <v>0</v>
      </c>
      <c r="H7" s="2">
        <v>82.565029999999993</v>
      </c>
      <c r="I7" s="2">
        <v>82.565029999999993</v>
      </c>
    </row>
    <row r="8" spans="1:9" x14ac:dyDescent="0.25">
      <c r="A8" s="3">
        <v>2018</v>
      </c>
      <c r="B8" s="3">
        <v>5234</v>
      </c>
      <c r="C8" t="s">
        <v>15</v>
      </c>
      <c r="D8" t="str">
        <f>_xlfn.XLOOKUP(TEXT(B8,"00000"),[1]MUN_SUBREG_PROV!A:A,[1]MUN_SUBREG_PROV!C:C,"")</f>
        <v>OCCIDENTE</v>
      </c>
      <c r="E8" t="str">
        <f>IFERROR(IF(_xlfn.XLOOKUP(TEXT(B8,"00000"),[1]MUN_SUBREG_PROV!A:A,[1]MUN_SUBREG_PROV!C:C,"")=0,"",_xlfn.XLOOKUP(TEXT(B8,"00000"),[1]MUN_SUBREG_PROV!A:A,[1]MUN_SUBREG_PROV!D:D,"")),"")</f>
        <v>PROVINCIA AGROINDUSTRIAL DEL OCCIDENTE</v>
      </c>
      <c r="F8" s="2">
        <v>0</v>
      </c>
      <c r="G8" s="2">
        <v>0</v>
      </c>
      <c r="H8" s="2">
        <v>7.8075000000000001</v>
      </c>
      <c r="I8" s="2">
        <v>7.8075000000000001</v>
      </c>
    </row>
    <row r="9" spans="1:9" x14ac:dyDescent="0.25">
      <c r="A9" s="3">
        <v>2018</v>
      </c>
      <c r="B9" s="3">
        <v>5250</v>
      </c>
      <c r="C9" t="s">
        <v>16</v>
      </c>
      <c r="D9" t="str">
        <f>_xlfn.XLOOKUP(TEXT(B9,"00000"),[1]MUN_SUBREG_PROV!A:A,[1]MUN_SUBREG_PROV!C:C,"")</f>
        <v>BAJO CAUCA</v>
      </c>
      <c r="E9">
        <f>IFERROR(IF(_xlfn.XLOOKUP(TEXT(B9,"00000"),[1]MUN_SUBREG_PROV!A:A,[1]MUN_SUBREG_PROV!C:C,"")=0,"",_xlfn.XLOOKUP(TEXT(B9,"00000"),[1]MUN_SUBREG_PROV!A:A,[1]MUN_SUBREG_PROV!D:D,"")),"")</f>
        <v>0</v>
      </c>
      <c r="F9" s="2">
        <v>2151.5099530000002</v>
      </c>
      <c r="G9" s="2">
        <v>2.0614970000000001</v>
      </c>
      <c r="H9" s="2">
        <v>2195.0212540000002</v>
      </c>
      <c r="I9" s="2">
        <v>4348.5927039999997</v>
      </c>
    </row>
    <row r="10" spans="1:9" x14ac:dyDescent="0.25">
      <c r="A10" s="3">
        <v>2018</v>
      </c>
      <c r="B10" s="3">
        <v>5284</v>
      </c>
      <c r="C10" t="s">
        <v>17</v>
      </c>
      <c r="D10" t="str">
        <f>_xlfn.XLOOKUP(TEXT(B10,"00000"),[1]MUN_SUBREG_PROV!A:A,[1]MUN_SUBREG_PROV!C:C,"")</f>
        <v>OCCIDENTE</v>
      </c>
      <c r="E10" t="str">
        <f>IFERROR(IF(_xlfn.XLOOKUP(TEXT(B10,"00000"),[1]MUN_SUBREG_PROV!A:A,[1]MUN_SUBREG_PROV!C:C,"")=0,"",_xlfn.XLOOKUP(TEXT(B10,"00000"),[1]MUN_SUBREG_PROV!A:A,[1]MUN_SUBREG_PROV!D:D,"")),"")</f>
        <v>PROVINCIA AGROINDUSTRIAL DEL OCCIDENTE</v>
      </c>
      <c r="F10" s="2">
        <v>0</v>
      </c>
      <c r="G10" s="2">
        <v>0</v>
      </c>
      <c r="H10" s="2">
        <v>14.314907</v>
      </c>
      <c r="I10" s="2">
        <v>14.314907</v>
      </c>
    </row>
    <row r="11" spans="1:9" x14ac:dyDescent="0.25">
      <c r="A11" s="3">
        <v>2018</v>
      </c>
      <c r="B11" s="3">
        <v>5361</v>
      </c>
      <c r="C11" t="s">
        <v>18</v>
      </c>
      <c r="D11" t="str">
        <f>_xlfn.XLOOKUP(TEXT(B11,"00000"),[1]MUN_SUBREG_PROV!A:A,[1]MUN_SUBREG_PROV!C:C,"")</f>
        <v>NORTE</v>
      </c>
      <c r="E11" t="str">
        <f>IFERROR(IF(_xlfn.XLOOKUP(TEXT(B11,"00000"),[1]MUN_SUBREG_PROV!A:A,[1]MUN_SUBREG_PROV!C:C,"")=0,"",_xlfn.XLOOKUP(TEXT(B11,"00000"),[1]MUN_SUBREG_PROV!A:A,[1]MUN_SUBREG_PROV!D:D,"")),"")</f>
        <v>PROVINCIA BIOENERGETICA DEL NORTE DE ANTIOQUIA</v>
      </c>
      <c r="F11" s="2">
        <v>0</v>
      </c>
      <c r="G11" s="2">
        <v>0</v>
      </c>
      <c r="H11" s="2">
        <v>23.377499</v>
      </c>
      <c r="I11" s="2">
        <v>23.377499</v>
      </c>
    </row>
    <row r="12" spans="1:9" x14ac:dyDescent="0.25">
      <c r="A12" s="3">
        <v>2018</v>
      </c>
      <c r="B12" s="3">
        <v>5480</v>
      </c>
      <c r="C12" t="s">
        <v>19</v>
      </c>
      <c r="D12" t="str">
        <f>_xlfn.XLOOKUP(TEXT(B12,"00000"),[1]MUN_SUBREG_PROV!A:A,[1]MUN_SUBREG_PROV!C:C,"")</f>
        <v>URABA</v>
      </c>
      <c r="E12">
        <f>IFERROR(IF(_xlfn.XLOOKUP(TEXT(B12,"00000"),[1]MUN_SUBREG_PROV!A:A,[1]MUN_SUBREG_PROV!C:C,"")=0,"",_xlfn.XLOOKUP(TEXT(B12,"00000"),[1]MUN_SUBREG_PROV!A:A,[1]MUN_SUBREG_PROV!D:D,"")),"")</f>
        <v>0</v>
      </c>
      <c r="F12" s="2">
        <v>123.187499</v>
      </c>
      <c r="G12" s="2">
        <v>0</v>
      </c>
      <c r="H12" s="2">
        <v>28.134971</v>
      </c>
      <c r="I12" s="2">
        <v>151.32247000000001</v>
      </c>
    </row>
    <row r="13" spans="1:9" x14ac:dyDescent="0.25">
      <c r="A13" s="3">
        <v>2018</v>
      </c>
      <c r="B13" s="3">
        <v>5495</v>
      </c>
      <c r="C13" t="s">
        <v>20</v>
      </c>
      <c r="D13" t="str">
        <f>_xlfn.XLOOKUP(TEXT(B13,"00000"),[1]MUN_SUBREG_PROV!A:A,[1]MUN_SUBREG_PROV!C:C,"")</f>
        <v>BAJO CAUCA</v>
      </c>
      <c r="E13">
        <f>IFERROR(IF(_xlfn.XLOOKUP(TEXT(B13,"00000"),[1]MUN_SUBREG_PROV!A:A,[1]MUN_SUBREG_PROV!C:C,"")=0,"",_xlfn.XLOOKUP(TEXT(B13,"00000"),[1]MUN_SUBREG_PROV!A:A,[1]MUN_SUBREG_PROV!D:D,"")),"")</f>
        <v>0</v>
      </c>
      <c r="F13" s="2">
        <v>3543.0653870000001</v>
      </c>
      <c r="G13" s="2">
        <v>15.679573</v>
      </c>
      <c r="H13" s="2">
        <v>2689.6407180000001</v>
      </c>
      <c r="I13" s="2">
        <v>6248.3856779999996</v>
      </c>
    </row>
    <row r="14" spans="1:9" x14ac:dyDescent="0.25">
      <c r="A14" s="3">
        <v>2018</v>
      </c>
      <c r="B14" s="3">
        <v>5579</v>
      </c>
      <c r="C14" t="s">
        <v>21</v>
      </c>
      <c r="D14" t="str">
        <f>_xlfn.XLOOKUP(TEXT(B14,"00000"),[1]MUN_SUBREG_PROV!A:A,[1]MUN_SUBREG_PROV!C:C,"")</f>
        <v>MAGDALENA MEDIO</v>
      </c>
      <c r="E14">
        <f>IFERROR(IF(_xlfn.XLOOKUP(TEXT(B14,"00000"),[1]MUN_SUBREG_PROV!A:A,[1]MUN_SUBREG_PROV!C:C,"")=0,"",_xlfn.XLOOKUP(TEXT(B14,"00000"),[1]MUN_SUBREG_PROV!A:A,[1]MUN_SUBREG_PROV!D:D,"")),"")</f>
        <v>0</v>
      </c>
      <c r="F14" s="2">
        <v>0</v>
      </c>
      <c r="G14" s="2">
        <v>0</v>
      </c>
      <c r="H14" s="2">
        <v>63.267322999999998</v>
      </c>
      <c r="I14" s="2">
        <v>63.267322999999998</v>
      </c>
    </row>
    <row r="15" spans="1:9" x14ac:dyDescent="0.25">
      <c r="A15" s="3">
        <v>2018</v>
      </c>
      <c r="B15" s="3">
        <v>5585</v>
      </c>
      <c r="C15" t="s">
        <v>22</v>
      </c>
      <c r="D15" t="str">
        <f>_xlfn.XLOOKUP(TEXT(B15,"00000"),[1]MUN_SUBREG_PROV!A:A,[1]MUN_SUBREG_PROV!C:C,"")</f>
        <v>MAGDALENA MEDIO</v>
      </c>
      <c r="E15">
        <f>IFERROR(IF(_xlfn.XLOOKUP(TEXT(B15,"00000"),[1]MUN_SUBREG_PROV!A:A,[1]MUN_SUBREG_PROV!C:C,"")=0,"",_xlfn.XLOOKUP(TEXT(B15,"00000"),[1]MUN_SUBREG_PROV!A:A,[1]MUN_SUBREG_PROV!D:D,"")),"")</f>
        <v>0</v>
      </c>
      <c r="F15" s="2">
        <v>0</v>
      </c>
      <c r="G15" s="2">
        <v>0</v>
      </c>
      <c r="H15" s="2">
        <v>155.027672</v>
      </c>
      <c r="I15" s="2">
        <v>155.027672</v>
      </c>
    </row>
    <row r="16" spans="1:9" x14ac:dyDescent="0.25">
      <c r="A16" s="3">
        <v>2018</v>
      </c>
      <c r="B16" s="3">
        <v>5604</v>
      </c>
      <c r="C16" t="s">
        <v>23</v>
      </c>
      <c r="D16" t="str">
        <f>_xlfn.XLOOKUP(TEXT(B16,"00000"),[1]MUN_SUBREG_PROV!A:A,[1]MUN_SUBREG_PROV!C:C,"")</f>
        <v>NORDESTE</v>
      </c>
      <c r="E16" t="str">
        <f>IFERROR(IF(_xlfn.XLOOKUP(TEXT(B16,"00000"),[1]MUN_SUBREG_PROV!A:A,[1]MUN_SUBREG_PROV!C:C,"")=0,"",_xlfn.XLOOKUP(TEXT(B16,"00000"),[1]MUN_SUBREG_PROV!A:A,[1]MUN_SUBREG_PROV!D:D,"")),"")</f>
        <v>PROVINCIA MINERO AGROECOLOGICA</v>
      </c>
      <c r="F16" s="2">
        <v>648.01546099999996</v>
      </c>
      <c r="G16" s="2">
        <v>179.752137</v>
      </c>
      <c r="H16" s="2">
        <v>1312.0943890000001</v>
      </c>
      <c r="I16" s="2">
        <v>2139.8619870000002</v>
      </c>
    </row>
    <row r="17" spans="1:9" x14ac:dyDescent="0.25">
      <c r="A17" s="3">
        <v>2018</v>
      </c>
      <c r="B17" s="3">
        <v>5736</v>
      </c>
      <c r="C17" t="s">
        <v>24</v>
      </c>
      <c r="D17" t="str">
        <f>_xlfn.XLOOKUP(TEXT(B17,"00000"),[1]MUN_SUBREG_PROV!A:A,[1]MUN_SUBREG_PROV!C:C,"")</f>
        <v>NORDESTE</v>
      </c>
      <c r="E17" t="str">
        <f>IFERROR(IF(_xlfn.XLOOKUP(TEXT(B17,"00000"),[1]MUN_SUBREG_PROV!A:A,[1]MUN_SUBREG_PROV!C:C,"")=0,"",_xlfn.XLOOKUP(TEXT(B17,"00000"),[1]MUN_SUBREG_PROV!A:A,[1]MUN_SUBREG_PROV!D:D,"")),"")</f>
        <v>PROVINCIA MINERO AGROECOLOGICA</v>
      </c>
      <c r="F17" s="2">
        <v>501.65780799999999</v>
      </c>
      <c r="G17" s="2">
        <v>32.242029000000002</v>
      </c>
      <c r="H17" s="2">
        <v>1462.9589289999999</v>
      </c>
      <c r="I17" s="2">
        <v>1996.8587660000001</v>
      </c>
    </row>
    <row r="18" spans="1:9" x14ac:dyDescent="0.25">
      <c r="A18" s="3">
        <v>2018</v>
      </c>
      <c r="B18" s="3">
        <v>5756</v>
      </c>
      <c r="C18" t="s">
        <v>25</v>
      </c>
      <c r="D18" t="str">
        <f>_xlfn.XLOOKUP(TEXT(B18,"00000"),[1]MUN_SUBREG_PROV!A:A,[1]MUN_SUBREG_PROV!C:C,"")</f>
        <v>ORIENTE</v>
      </c>
      <c r="E18" t="str">
        <f>IFERROR(IF(_xlfn.XLOOKUP(TEXT(B18,"00000"),[1]MUN_SUBREG_PROV!A:A,[1]MUN_SUBREG_PROV!C:C,"")=0,"",_xlfn.XLOOKUP(TEXT(B18,"00000"),[1]MUN_SUBREG_PROV!A:A,[1]MUN_SUBREG_PROV!D:D,"")),"")</f>
        <v>PROVINCIA DE LA PAZ</v>
      </c>
      <c r="F18" s="2">
        <v>11.260776</v>
      </c>
      <c r="G18" s="2">
        <v>23.546906</v>
      </c>
      <c r="H18" s="2">
        <v>203.57981899999999</v>
      </c>
      <c r="I18" s="2">
        <v>238.38750099999999</v>
      </c>
    </row>
    <row r="19" spans="1:9" x14ac:dyDescent="0.25">
      <c r="A19" s="3">
        <v>2018</v>
      </c>
      <c r="B19" s="3">
        <v>5790</v>
      </c>
      <c r="C19" t="s">
        <v>26</v>
      </c>
      <c r="D19" t="str">
        <f>_xlfn.XLOOKUP(TEXT(B19,"00000"),[1]MUN_SUBREG_PROV!A:A,[1]MUN_SUBREG_PROV!C:C,"")</f>
        <v>BAJO CAUCA</v>
      </c>
      <c r="E19">
        <f>IFERROR(IF(_xlfn.XLOOKUP(TEXT(B19,"00000"),[1]MUN_SUBREG_PROV!A:A,[1]MUN_SUBREG_PROV!C:C,"")=0,"",_xlfn.XLOOKUP(TEXT(B19,"00000"),[1]MUN_SUBREG_PROV!A:A,[1]MUN_SUBREG_PROV!D:D,"")),"")</f>
        <v>0</v>
      </c>
      <c r="F19" s="2">
        <v>142.19081800000001</v>
      </c>
      <c r="G19" s="2">
        <v>584.73201800000004</v>
      </c>
      <c r="H19" s="2">
        <v>1171.7521790000001</v>
      </c>
      <c r="I19" s="2">
        <v>1898.675015</v>
      </c>
    </row>
    <row r="20" spans="1:9" x14ac:dyDescent="0.25">
      <c r="A20" s="3">
        <v>2018</v>
      </c>
      <c r="B20" s="3">
        <v>5847</v>
      </c>
      <c r="C20" t="s">
        <v>27</v>
      </c>
      <c r="D20" t="str">
        <f>_xlfn.XLOOKUP(TEXT(B20,"00000"),[1]MUN_SUBREG_PROV!A:A,[1]MUN_SUBREG_PROV!C:C,"")</f>
        <v>SUROESTE</v>
      </c>
      <c r="E20" t="str">
        <f>IFERROR(IF(_xlfn.XLOOKUP(TEXT(B20,"00000"),[1]MUN_SUBREG_PROV!A:A,[1]MUN_SUBREG_PROV!C:C,"")=0,"",_xlfn.XLOOKUP(TEXT(B20,"00000"),[1]MUN_SUBREG_PROV!A:A,[1]MUN_SUBREG_PROV!D:D,"")),"")</f>
        <v>PROVINCIA PENDERISCO Y SINIFANA</v>
      </c>
      <c r="F20" s="2">
        <v>0</v>
      </c>
      <c r="G20" s="2">
        <v>0</v>
      </c>
      <c r="H20" s="2">
        <v>18.422595000000001</v>
      </c>
      <c r="I20" s="2">
        <v>18.422595000000001</v>
      </c>
    </row>
    <row r="21" spans="1:9" x14ac:dyDescent="0.25">
      <c r="A21" s="3">
        <v>2018</v>
      </c>
      <c r="B21" s="3">
        <v>5854</v>
      </c>
      <c r="C21" t="s">
        <v>28</v>
      </c>
      <c r="D21" t="str">
        <f>_xlfn.XLOOKUP(TEXT(B21,"00000"),[1]MUN_SUBREG_PROV!A:A,[1]MUN_SUBREG_PROV!C:C,"")</f>
        <v>NORTE</v>
      </c>
      <c r="E21" t="str">
        <f>IFERROR(IF(_xlfn.XLOOKUP(TEXT(B21,"00000"),[1]MUN_SUBREG_PROV!A:A,[1]MUN_SUBREG_PROV!C:C,"")=0,"",_xlfn.XLOOKUP(TEXT(B21,"00000"),[1]MUN_SUBREG_PROV!A:A,[1]MUN_SUBREG_PROV!D:D,"")),"")</f>
        <v>PROVINCIA BIOENERGETICA DEL NORTE DE ANTIOQUIA</v>
      </c>
      <c r="F21" s="2">
        <v>0</v>
      </c>
      <c r="G21" s="2">
        <v>65.569309000000004</v>
      </c>
      <c r="H21" s="2">
        <v>455.63197600000001</v>
      </c>
      <c r="I21" s="2">
        <v>521.20128499999998</v>
      </c>
    </row>
    <row r="22" spans="1:9" x14ac:dyDescent="0.25">
      <c r="A22" s="3">
        <v>2018</v>
      </c>
      <c r="B22" s="3">
        <v>5858</v>
      </c>
      <c r="C22" t="s">
        <v>29</v>
      </c>
      <c r="D22" t="str">
        <f>_xlfn.XLOOKUP(TEXT(B22,"00000"),[1]MUN_SUBREG_PROV!A:A,[1]MUN_SUBREG_PROV!C:C,"")</f>
        <v>NORDESTE</v>
      </c>
      <c r="E22" t="str">
        <f>IFERROR(IF(_xlfn.XLOOKUP(TEXT(B22,"00000"),[1]MUN_SUBREG_PROV!A:A,[1]MUN_SUBREG_PROV!C:C,"")=0,"",_xlfn.XLOOKUP(TEXT(B22,"00000"),[1]MUN_SUBREG_PROV!A:A,[1]MUN_SUBREG_PROV!D:D,"")),"")</f>
        <v>PROVINCIA MINERO AGROECOLOGICA</v>
      </c>
      <c r="F22" s="2">
        <v>191.467986</v>
      </c>
      <c r="G22" s="2">
        <v>0</v>
      </c>
      <c r="H22" s="2">
        <v>173.63182</v>
      </c>
      <c r="I22" s="2">
        <v>365.099806</v>
      </c>
    </row>
    <row r="23" spans="1:9" x14ac:dyDescent="0.25">
      <c r="A23" s="3">
        <v>2018</v>
      </c>
      <c r="B23" s="3">
        <v>5873</v>
      </c>
      <c r="C23" t="s">
        <v>30</v>
      </c>
      <c r="D23" t="str">
        <f>_xlfn.XLOOKUP(TEXT(B23,"00000"),[1]MUN_SUBREG_PROV!A:A,[1]MUN_SUBREG_PROV!C:C,"")</f>
        <v>URABA</v>
      </c>
      <c r="E23">
        <f>IFERROR(IF(_xlfn.XLOOKUP(TEXT(B23,"00000"),[1]MUN_SUBREG_PROV!A:A,[1]MUN_SUBREG_PROV!C:C,"")=0,"",_xlfn.XLOOKUP(TEXT(B23,"00000"),[1]MUN_SUBREG_PROV!A:A,[1]MUN_SUBREG_PROV!D:D,"")),"")</f>
        <v>0</v>
      </c>
      <c r="F23" s="2">
        <v>0</v>
      </c>
      <c r="G23" s="2">
        <v>0</v>
      </c>
      <c r="H23" s="2">
        <v>56.475003999999998</v>
      </c>
      <c r="I23" s="2">
        <v>56.475003999999998</v>
      </c>
    </row>
    <row r="24" spans="1:9" x14ac:dyDescent="0.25">
      <c r="A24" s="3">
        <v>2018</v>
      </c>
      <c r="B24" s="3">
        <v>5885</v>
      </c>
      <c r="C24" t="s">
        <v>31</v>
      </c>
      <c r="D24" t="str">
        <f>_xlfn.XLOOKUP(TEXT(B24,"00000"),[1]MUN_SUBREG_PROV!A:A,[1]MUN_SUBREG_PROV!C:C,"")</f>
        <v>NORDESTE</v>
      </c>
      <c r="E24" t="str">
        <f>IFERROR(IF(_xlfn.XLOOKUP(TEXT(B24,"00000"),[1]MUN_SUBREG_PROV!A:A,[1]MUN_SUBREG_PROV!C:C,"")=0,"",_xlfn.XLOOKUP(TEXT(B24,"00000"),[1]MUN_SUBREG_PROV!A:A,[1]MUN_SUBREG_PROV!D:D,"")),"")</f>
        <v>PROVINCIA MINERO AGROECOLOGICA</v>
      </c>
      <c r="F24" s="2">
        <v>0</v>
      </c>
      <c r="G24" s="2">
        <v>0</v>
      </c>
      <c r="H24" s="2">
        <v>61.651294</v>
      </c>
      <c r="I24" s="2">
        <v>61.651294</v>
      </c>
    </row>
    <row r="25" spans="1:9" x14ac:dyDescent="0.25">
      <c r="A25" s="3">
        <v>2018</v>
      </c>
      <c r="B25" s="3">
        <v>5893</v>
      </c>
      <c r="C25" t="s">
        <v>32</v>
      </c>
      <c r="D25" t="str">
        <f>_xlfn.XLOOKUP(TEXT(B25,"00000"),[1]MUN_SUBREG_PROV!A:A,[1]MUN_SUBREG_PROV!C:C,"")</f>
        <v>MAGDALENA MEDIO</v>
      </c>
      <c r="E25">
        <f>IFERROR(IF(_xlfn.XLOOKUP(TEXT(B25,"00000"),[1]MUN_SUBREG_PROV!A:A,[1]MUN_SUBREG_PROV!C:C,"")=0,"",_xlfn.XLOOKUP(TEXT(B25,"00000"),[1]MUN_SUBREG_PROV!A:A,[1]MUN_SUBREG_PROV!D:D,"")),"")</f>
        <v>0</v>
      </c>
      <c r="F25" s="2">
        <v>0</v>
      </c>
      <c r="G25" s="2">
        <v>24.331395000000001</v>
      </c>
      <c r="H25" s="2">
        <v>123.747271</v>
      </c>
      <c r="I25" s="2">
        <v>148.078666</v>
      </c>
    </row>
    <row r="26" spans="1:9" x14ac:dyDescent="0.25">
      <c r="A26" s="3">
        <v>2018</v>
      </c>
      <c r="B26" s="3">
        <v>5895</v>
      </c>
      <c r="C26" t="s">
        <v>33</v>
      </c>
      <c r="D26" t="str">
        <f>_xlfn.XLOOKUP(TEXT(B26,"00000"),[1]MUN_SUBREG_PROV!A:A,[1]MUN_SUBREG_PROV!C:C,"")</f>
        <v>BAJO CAUCA</v>
      </c>
      <c r="E26">
        <f>IFERROR(IF(_xlfn.XLOOKUP(TEXT(B26,"00000"),[1]MUN_SUBREG_PROV!A:A,[1]MUN_SUBREG_PROV!C:C,"")=0,"",_xlfn.XLOOKUP(TEXT(B26,"00000"),[1]MUN_SUBREG_PROV!A:A,[1]MUN_SUBREG_PROV!D:D,"")),"")</f>
        <v>0</v>
      </c>
      <c r="F26" s="2">
        <v>5363.0725970000003</v>
      </c>
      <c r="G26" s="2">
        <v>156.53605999999999</v>
      </c>
      <c r="H26" s="2">
        <v>2709.5846080000001</v>
      </c>
      <c r="I26" s="2">
        <v>8229.1932649999908</v>
      </c>
    </row>
    <row r="27" spans="1:9" x14ac:dyDescent="0.25">
      <c r="A27" s="3">
        <v>2019</v>
      </c>
      <c r="B27" s="3">
        <v>5031</v>
      </c>
      <c r="C27" t="s">
        <v>9</v>
      </c>
      <c r="D27" t="str">
        <f>_xlfn.XLOOKUP(TEXT(B27,"00000"),[1]MUN_SUBREG_PROV!A:A,[1]MUN_SUBREG_PROV!C:C,"")</f>
        <v>NORDESTE</v>
      </c>
      <c r="E27">
        <f>IFERROR(IF(_xlfn.XLOOKUP(TEXT(B27,"00000"),[1]MUN_SUBREG_PROV!A:A,[1]MUN_SUBREG_PROV!C:C,"")=0,"",_xlfn.XLOOKUP(TEXT(B27,"00000"),[1]MUN_SUBREG_PROV!A:A,[1]MUN_SUBREG_PROV!D:D,"")),"")</f>
        <v>0</v>
      </c>
      <c r="F27" s="2">
        <v>275.622772</v>
      </c>
      <c r="G27" s="2">
        <v>48.189633000000001</v>
      </c>
      <c r="H27" s="2">
        <v>1095.263166</v>
      </c>
      <c r="I27" s="2">
        <v>1419.0755710000001</v>
      </c>
    </row>
    <row r="28" spans="1:9" x14ac:dyDescent="0.25">
      <c r="A28" s="3">
        <v>2019</v>
      </c>
      <c r="B28" s="3">
        <v>5040</v>
      </c>
      <c r="C28" t="s">
        <v>10</v>
      </c>
      <c r="D28" t="str">
        <f>_xlfn.XLOOKUP(TEXT(B28,"00000"),[1]MUN_SUBREG_PROV!A:A,[1]MUN_SUBREG_PROV!C:C,"")</f>
        <v>NORDESTE</v>
      </c>
      <c r="E28" t="str">
        <f>IFERROR(IF(_xlfn.XLOOKUP(TEXT(B28,"00000"),[1]MUN_SUBREG_PROV!A:A,[1]MUN_SUBREG_PROV!C:C,"")=0,"",_xlfn.XLOOKUP(TEXT(B28,"00000"),[1]MUN_SUBREG_PROV!A:A,[1]MUN_SUBREG_PROV!D:D,"")),"")</f>
        <v>PROVINCIA BIOENERGETICA DEL NORTE DE ANTIOQUIA</v>
      </c>
      <c r="F28" s="2">
        <v>525.431377</v>
      </c>
      <c r="G28" s="2">
        <v>49.007911</v>
      </c>
      <c r="H28" s="2">
        <v>1287.837522</v>
      </c>
      <c r="I28" s="2">
        <v>1862.2768100000001</v>
      </c>
    </row>
    <row r="29" spans="1:9" x14ac:dyDescent="0.25">
      <c r="A29" s="3">
        <v>2019</v>
      </c>
      <c r="B29" s="3">
        <v>5055</v>
      </c>
      <c r="C29" t="s">
        <v>34</v>
      </c>
      <c r="D29" t="str">
        <f>_xlfn.XLOOKUP(TEXT(B29,"00000"),[1]MUN_SUBREG_PROV!A:A,[1]MUN_SUBREG_PROV!C:C,"")</f>
        <v>ORIENTE</v>
      </c>
      <c r="E29" t="str">
        <f>IFERROR(IF(_xlfn.XLOOKUP(TEXT(B29,"00000"),[1]MUN_SUBREG_PROV!A:A,[1]MUN_SUBREG_PROV!C:C,"")=0,"",_xlfn.XLOOKUP(TEXT(B29,"00000"),[1]MUN_SUBREG_PROV!A:A,[1]MUN_SUBREG_PROV!D:D,"")),"")</f>
        <v>PROVINCIA DE LA PAZ</v>
      </c>
      <c r="F29" s="2">
        <v>0</v>
      </c>
      <c r="G29" s="2">
        <v>0</v>
      </c>
      <c r="H29" s="2">
        <v>3.7564350000000002</v>
      </c>
      <c r="I29" s="2">
        <v>3.7564350000000002</v>
      </c>
    </row>
    <row r="30" spans="1:9" x14ac:dyDescent="0.25">
      <c r="A30" s="3">
        <v>2019</v>
      </c>
      <c r="B30" s="3">
        <v>5120</v>
      </c>
      <c r="C30" t="s">
        <v>11</v>
      </c>
      <c r="D30" t="str">
        <f>_xlfn.XLOOKUP(TEXT(B30,"00000"),[1]MUN_SUBREG_PROV!A:A,[1]MUN_SUBREG_PROV!C:C,"")</f>
        <v>BAJO CAUCA</v>
      </c>
      <c r="E30">
        <f>IFERROR(IF(_xlfn.XLOOKUP(TEXT(B30,"00000"),[1]MUN_SUBREG_PROV!A:A,[1]MUN_SUBREG_PROV!C:C,"")=0,"",_xlfn.XLOOKUP(TEXT(B30,"00000"),[1]MUN_SUBREG_PROV!A:A,[1]MUN_SUBREG_PROV!D:D,"")),"")</f>
        <v>0</v>
      </c>
      <c r="F30" s="2">
        <v>1618.716187</v>
      </c>
      <c r="G30" s="2">
        <v>505.36711400000002</v>
      </c>
      <c r="H30" s="2">
        <v>3468.090796</v>
      </c>
      <c r="I30" s="2">
        <v>5592.1740970000001</v>
      </c>
    </row>
    <row r="31" spans="1:9" x14ac:dyDescent="0.25">
      <c r="A31" s="3">
        <v>2019</v>
      </c>
      <c r="B31" s="3">
        <v>5154</v>
      </c>
      <c r="C31" t="s">
        <v>13</v>
      </c>
      <c r="D31" t="str">
        <f>_xlfn.XLOOKUP(TEXT(B31,"00000"),[1]MUN_SUBREG_PROV!A:A,[1]MUN_SUBREG_PROV!C:C,"")</f>
        <v>BAJO CAUCA</v>
      </c>
      <c r="E31">
        <f>IFERROR(IF(_xlfn.XLOOKUP(TEXT(B31,"00000"),[1]MUN_SUBREG_PROV!A:A,[1]MUN_SUBREG_PROV!C:C,"")=0,"",_xlfn.XLOOKUP(TEXT(B31,"00000"),[1]MUN_SUBREG_PROV!A:A,[1]MUN_SUBREG_PROV!D:D,"")),"")</f>
        <v>0</v>
      </c>
      <c r="F31" s="2">
        <v>1262.932227</v>
      </c>
      <c r="G31" s="2">
        <v>67.384970999999993</v>
      </c>
      <c r="H31" s="2">
        <v>505.45772799999997</v>
      </c>
      <c r="I31" s="2">
        <v>1835.7749260000001</v>
      </c>
    </row>
    <row r="32" spans="1:9" x14ac:dyDescent="0.25">
      <c r="A32" s="3">
        <v>2019</v>
      </c>
      <c r="B32" s="3">
        <v>5172</v>
      </c>
      <c r="C32" t="s">
        <v>14</v>
      </c>
      <c r="D32" t="str">
        <f>_xlfn.XLOOKUP(TEXT(B32,"00000"),[1]MUN_SUBREG_PROV!A:A,[1]MUN_SUBREG_PROV!C:C,"")</f>
        <v>URABA</v>
      </c>
      <c r="E32">
        <f>IFERROR(IF(_xlfn.XLOOKUP(TEXT(B32,"00000"),[1]MUN_SUBREG_PROV!A:A,[1]MUN_SUBREG_PROV!C:C,"")=0,"",_xlfn.XLOOKUP(TEXT(B32,"00000"),[1]MUN_SUBREG_PROV!A:A,[1]MUN_SUBREG_PROV!D:D,"")),"")</f>
        <v>0</v>
      </c>
      <c r="F32" s="2">
        <v>0</v>
      </c>
      <c r="G32" s="2">
        <v>0</v>
      </c>
      <c r="H32" s="2">
        <v>54.168723999999997</v>
      </c>
      <c r="I32" s="2">
        <v>54.168723999999997</v>
      </c>
    </row>
    <row r="33" spans="1:9" x14ac:dyDescent="0.25">
      <c r="A33" s="3">
        <v>2019</v>
      </c>
      <c r="B33" s="3">
        <v>5234</v>
      </c>
      <c r="C33" t="s">
        <v>15</v>
      </c>
      <c r="D33" t="str">
        <f>_xlfn.XLOOKUP(TEXT(B33,"00000"),[1]MUN_SUBREG_PROV!A:A,[1]MUN_SUBREG_PROV!C:C,"")</f>
        <v>OCCIDENTE</v>
      </c>
      <c r="E33" t="str">
        <f>IFERROR(IF(_xlfn.XLOOKUP(TEXT(B33,"00000"),[1]MUN_SUBREG_PROV!A:A,[1]MUN_SUBREG_PROV!C:C,"")=0,"",_xlfn.XLOOKUP(TEXT(B33,"00000"),[1]MUN_SUBREG_PROV!A:A,[1]MUN_SUBREG_PROV!D:D,"")),"")</f>
        <v>PROVINCIA AGROINDUSTRIAL DEL OCCIDENTE</v>
      </c>
      <c r="F33" s="2">
        <v>0</v>
      </c>
      <c r="G33" s="2">
        <v>0</v>
      </c>
      <c r="H33" s="2">
        <v>4.5</v>
      </c>
      <c r="I33" s="2">
        <v>4.5</v>
      </c>
    </row>
    <row r="34" spans="1:9" x14ac:dyDescent="0.25">
      <c r="A34" s="3">
        <v>2019</v>
      </c>
      <c r="B34" s="3">
        <v>5250</v>
      </c>
      <c r="C34" t="s">
        <v>16</v>
      </c>
      <c r="D34" t="str">
        <f>_xlfn.XLOOKUP(TEXT(B34,"00000"),[1]MUN_SUBREG_PROV!A:A,[1]MUN_SUBREG_PROV!C:C,"")</f>
        <v>BAJO CAUCA</v>
      </c>
      <c r="E34">
        <f>IFERROR(IF(_xlfn.XLOOKUP(TEXT(B34,"00000"),[1]MUN_SUBREG_PROV!A:A,[1]MUN_SUBREG_PROV!C:C,"")=0,"",_xlfn.XLOOKUP(TEXT(B34,"00000"),[1]MUN_SUBREG_PROV!A:A,[1]MUN_SUBREG_PROV!D:D,"")),"")</f>
        <v>0</v>
      </c>
      <c r="F34" s="2">
        <v>2857.6507270000002</v>
      </c>
      <c r="G34" s="2">
        <v>8.9830830000000006</v>
      </c>
      <c r="H34" s="2">
        <v>2264.8716340000001</v>
      </c>
      <c r="I34" s="2">
        <v>5131.5054440000004</v>
      </c>
    </row>
    <row r="35" spans="1:9" x14ac:dyDescent="0.25">
      <c r="A35" s="3">
        <v>2019</v>
      </c>
      <c r="B35" s="3">
        <v>5480</v>
      </c>
      <c r="C35" t="s">
        <v>19</v>
      </c>
      <c r="D35" t="str">
        <f>_xlfn.XLOOKUP(TEXT(B35,"00000"),[1]MUN_SUBREG_PROV!A:A,[1]MUN_SUBREG_PROV!C:C,"")</f>
        <v>URABA</v>
      </c>
      <c r="E35">
        <f>IFERROR(IF(_xlfn.XLOOKUP(TEXT(B35,"00000"),[1]MUN_SUBREG_PROV!A:A,[1]MUN_SUBREG_PROV!C:C,"")=0,"",_xlfn.XLOOKUP(TEXT(B35,"00000"),[1]MUN_SUBREG_PROV!A:A,[1]MUN_SUBREG_PROV!D:D,"")),"")</f>
        <v>0</v>
      </c>
      <c r="F35" s="2">
        <v>150.6825</v>
      </c>
      <c r="G35" s="2">
        <v>0</v>
      </c>
      <c r="H35" s="2">
        <v>25.143777</v>
      </c>
      <c r="I35" s="2">
        <v>175.826277</v>
      </c>
    </row>
    <row r="36" spans="1:9" x14ac:dyDescent="0.25">
      <c r="A36" s="3">
        <v>2019</v>
      </c>
      <c r="B36" s="3">
        <v>5495</v>
      </c>
      <c r="C36" t="s">
        <v>20</v>
      </c>
      <c r="D36" t="str">
        <f>_xlfn.XLOOKUP(TEXT(B36,"00000"),[1]MUN_SUBREG_PROV!A:A,[1]MUN_SUBREG_PROV!C:C,"")</f>
        <v>BAJO CAUCA</v>
      </c>
      <c r="E36">
        <f>IFERROR(IF(_xlfn.XLOOKUP(TEXT(B36,"00000"),[1]MUN_SUBREG_PROV!A:A,[1]MUN_SUBREG_PROV!C:C,"")=0,"",_xlfn.XLOOKUP(TEXT(B36,"00000"),[1]MUN_SUBREG_PROV!A:A,[1]MUN_SUBREG_PROV!D:D,"")),"")</f>
        <v>0</v>
      </c>
      <c r="F36" s="2">
        <v>4097.0378119999996</v>
      </c>
      <c r="G36" s="2">
        <v>30.733665999999999</v>
      </c>
      <c r="H36" s="2">
        <v>3361.2342319999998</v>
      </c>
      <c r="I36" s="2">
        <v>7489.0057100000004</v>
      </c>
    </row>
    <row r="37" spans="1:9" x14ac:dyDescent="0.25">
      <c r="A37" s="3">
        <v>2019</v>
      </c>
      <c r="B37" s="3">
        <v>5579</v>
      </c>
      <c r="C37" t="s">
        <v>21</v>
      </c>
      <c r="D37" t="str">
        <f>_xlfn.XLOOKUP(TEXT(B37,"00000"),[1]MUN_SUBREG_PROV!A:A,[1]MUN_SUBREG_PROV!C:C,"")</f>
        <v>MAGDALENA MEDIO</v>
      </c>
      <c r="E37">
        <f>IFERROR(IF(_xlfn.XLOOKUP(TEXT(B37,"00000"),[1]MUN_SUBREG_PROV!A:A,[1]MUN_SUBREG_PROV!C:C,"")=0,"",_xlfn.XLOOKUP(TEXT(B37,"00000"),[1]MUN_SUBREG_PROV!A:A,[1]MUN_SUBREG_PROV!D:D,"")),"")</f>
        <v>0</v>
      </c>
      <c r="F37" s="2">
        <v>0</v>
      </c>
      <c r="G37" s="2">
        <v>0</v>
      </c>
      <c r="H37" s="2">
        <v>143.06250800000001</v>
      </c>
      <c r="I37" s="2">
        <v>143.06250800000001</v>
      </c>
    </row>
    <row r="38" spans="1:9" x14ac:dyDescent="0.25">
      <c r="A38" s="3">
        <v>2019</v>
      </c>
      <c r="B38" s="3">
        <v>5585</v>
      </c>
      <c r="C38" t="s">
        <v>22</v>
      </c>
      <c r="D38" t="str">
        <f>_xlfn.XLOOKUP(TEXT(B38,"00000"),[1]MUN_SUBREG_PROV!A:A,[1]MUN_SUBREG_PROV!C:C,"")</f>
        <v>MAGDALENA MEDIO</v>
      </c>
      <c r="E38">
        <f>IFERROR(IF(_xlfn.XLOOKUP(TEXT(B38,"00000"),[1]MUN_SUBREG_PROV!A:A,[1]MUN_SUBREG_PROV!C:C,"")=0,"",_xlfn.XLOOKUP(TEXT(B38,"00000"),[1]MUN_SUBREG_PROV!A:A,[1]MUN_SUBREG_PROV!D:D,"")),"")</f>
        <v>0</v>
      </c>
      <c r="F38" s="2">
        <v>0</v>
      </c>
      <c r="G38" s="2">
        <v>0</v>
      </c>
      <c r="H38" s="2">
        <v>176.010008</v>
      </c>
      <c r="I38" s="2">
        <v>176.010008</v>
      </c>
    </row>
    <row r="39" spans="1:9" x14ac:dyDescent="0.25">
      <c r="A39" s="3">
        <v>2019</v>
      </c>
      <c r="B39" s="3">
        <v>5604</v>
      </c>
      <c r="C39" t="s">
        <v>23</v>
      </c>
      <c r="D39" t="str">
        <f>_xlfn.XLOOKUP(TEXT(B39,"00000"),[1]MUN_SUBREG_PROV!A:A,[1]MUN_SUBREG_PROV!C:C,"")</f>
        <v>NORDESTE</v>
      </c>
      <c r="E39" t="str">
        <f>IFERROR(IF(_xlfn.XLOOKUP(TEXT(B39,"00000"),[1]MUN_SUBREG_PROV!A:A,[1]MUN_SUBREG_PROV!C:C,"")=0,"",_xlfn.XLOOKUP(TEXT(B39,"00000"),[1]MUN_SUBREG_PROV!A:A,[1]MUN_SUBREG_PROV!D:D,"")),"")</f>
        <v>PROVINCIA MINERO AGROECOLOGICA</v>
      </c>
      <c r="F39" s="2">
        <v>476.80743000000001</v>
      </c>
      <c r="G39" s="2">
        <v>251.94312500000001</v>
      </c>
      <c r="H39" s="2">
        <v>1309.3270419999999</v>
      </c>
      <c r="I39" s="2">
        <v>2038.077597</v>
      </c>
    </row>
    <row r="40" spans="1:9" x14ac:dyDescent="0.25">
      <c r="A40" s="3">
        <v>2019</v>
      </c>
      <c r="B40" s="3">
        <v>5736</v>
      </c>
      <c r="C40" t="s">
        <v>24</v>
      </c>
      <c r="D40" t="str">
        <f>_xlfn.XLOOKUP(TEXT(B40,"00000"),[1]MUN_SUBREG_PROV!A:A,[1]MUN_SUBREG_PROV!C:C,"")</f>
        <v>NORDESTE</v>
      </c>
      <c r="E40" t="str">
        <f>IFERROR(IF(_xlfn.XLOOKUP(TEXT(B40,"00000"),[1]MUN_SUBREG_PROV!A:A,[1]MUN_SUBREG_PROV!C:C,"")=0,"",_xlfn.XLOOKUP(TEXT(B40,"00000"),[1]MUN_SUBREG_PROV!A:A,[1]MUN_SUBREG_PROV!D:D,"")),"")</f>
        <v>PROVINCIA MINERO AGROECOLOGICA</v>
      </c>
      <c r="F40" s="2">
        <v>519.95577500000002</v>
      </c>
      <c r="G40" s="2">
        <v>44.334425000000003</v>
      </c>
      <c r="H40" s="2">
        <v>1954.193354</v>
      </c>
      <c r="I40" s="2">
        <v>2518.4835539999999</v>
      </c>
    </row>
    <row r="41" spans="1:9" x14ac:dyDescent="0.25">
      <c r="A41" s="3">
        <v>2019</v>
      </c>
      <c r="B41" s="3">
        <v>5756</v>
      </c>
      <c r="C41" t="s">
        <v>25</v>
      </c>
      <c r="D41" t="str">
        <f>_xlfn.XLOOKUP(TEXT(B41,"00000"),[1]MUN_SUBREG_PROV!A:A,[1]MUN_SUBREG_PROV!C:C,"")</f>
        <v>ORIENTE</v>
      </c>
      <c r="E41" t="str">
        <f>IFERROR(IF(_xlfn.XLOOKUP(TEXT(B41,"00000"),[1]MUN_SUBREG_PROV!A:A,[1]MUN_SUBREG_PROV!C:C,"")=0,"",_xlfn.XLOOKUP(TEXT(B41,"00000"),[1]MUN_SUBREG_PROV!A:A,[1]MUN_SUBREG_PROV!D:D,"")),"")</f>
        <v>PROVINCIA DE LA PAZ</v>
      </c>
      <c r="F41" s="2">
        <v>11.395777000000001</v>
      </c>
      <c r="G41" s="2">
        <v>0</v>
      </c>
      <c r="H41" s="2">
        <v>270.05672700000002</v>
      </c>
      <c r="I41" s="2">
        <v>281.45250399999998</v>
      </c>
    </row>
    <row r="42" spans="1:9" x14ac:dyDescent="0.25">
      <c r="A42" s="3">
        <v>2019</v>
      </c>
      <c r="B42" s="3">
        <v>5790</v>
      </c>
      <c r="C42" t="s">
        <v>26</v>
      </c>
      <c r="D42" t="str">
        <f>_xlfn.XLOOKUP(TEXT(B42,"00000"),[1]MUN_SUBREG_PROV!A:A,[1]MUN_SUBREG_PROV!C:C,"")</f>
        <v>BAJO CAUCA</v>
      </c>
      <c r="E42">
        <f>IFERROR(IF(_xlfn.XLOOKUP(TEXT(B42,"00000"),[1]MUN_SUBREG_PROV!A:A,[1]MUN_SUBREG_PROV!C:C,"")=0,"",_xlfn.XLOOKUP(TEXT(B42,"00000"),[1]MUN_SUBREG_PROV!A:A,[1]MUN_SUBREG_PROV!D:D,"")),"")</f>
        <v>0</v>
      </c>
      <c r="F42" s="2">
        <v>365.85994699999998</v>
      </c>
      <c r="G42" s="2">
        <v>347.27812399999999</v>
      </c>
      <c r="H42" s="2">
        <v>1102.3980309999999</v>
      </c>
      <c r="I42" s="2">
        <v>1815.536102</v>
      </c>
    </row>
    <row r="43" spans="1:9" x14ac:dyDescent="0.25">
      <c r="A43" s="3">
        <v>2019</v>
      </c>
      <c r="B43" s="3">
        <v>5854</v>
      </c>
      <c r="C43" t="s">
        <v>28</v>
      </c>
      <c r="D43" t="str">
        <f>_xlfn.XLOOKUP(TEXT(B43,"00000"),[1]MUN_SUBREG_PROV!A:A,[1]MUN_SUBREG_PROV!C:C,"")</f>
        <v>NORTE</v>
      </c>
      <c r="E43" t="str">
        <f>IFERROR(IF(_xlfn.XLOOKUP(TEXT(B43,"00000"),[1]MUN_SUBREG_PROV!A:A,[1]MUN_SUBREG_PROV!C:C,"")=0,"",_xlfn.XLOOKUP(TEXT(B43,"00000"),[1]MUN_SUBREG_PROV!A:A,[1]MUN_SUBREG_PROV!D:D,"")),"")</f>
        <v>PROVINCIA BIOENERGETICA DEL NORTE DE ANTIOQUIA</v>
      </c>
      <c r="F43" s="2">
        <v>0</v>
      </c>
      <c r="G43" s="2">
        <v>0.45930900000000002</v>
      </c>
      <c r="H43" s="2">
        <v>501.344919</v>
      </c>
      <c r="I43" s="2">
        <v>501.80422800000002</v>
      </c>
    </row>
    <row r="44" spans="1:9" x14ac:dyDescent="0.25">
      <c r="A44" s="3">
        <v>2019</v>
      </c>
      <c r="B44" s="3">
        <v>5858</v>
      </c>
      <c r="C44" t="s">
        <v>29</v>
      </c>
      <c r="D44" t="str">
        <f>_xlfn.XLOOKUP(TEXT(B44,"00000"),[1]MUN_SUBREG_PROV!A:A,[1]MUN_SUBREG_PROV!C:C,"")</f>
        <v>NORDESTE</v>
      </c>
      <c r="E44" t="str">
        <f>IFERROR(IF(_xlfn.XLOOKUP(TEXT(B44,"00000"),[1]MUN_SUBREG_PROV!A:A,[1]MUN_SUBREG_PROV!C:C,"")=0,"",_xlfn.XLOOKUP(TEXT(B44,"00000"),[1]MUN_SUBREG_PROV!A:A,[1]MUN_SUBREG_PROV!D:D,"")),"")</f>
        <v>PROVINCIA MINERO AGROECOLOGICA</v>
      </c>
      <c r="F44" s="2">
        <v>195.92889500000001</v>
      </c>
      <c r="G44" s="2">
        <v>0</v>
      </c>
      <c r="H44" s="2">
        <v>213.11840000000001</v>
      </c>
      <c r="I44" s="2">
        <v>409.04729500000002</v>
      </c>
    </row>
    <row r="45" spans="1:9" x14ac:dyDescent="0.25">
      <c r="A45" s="3">
        <v>2019</v>
      </c>
      <c r="B45" s="3">
        <v>5873</v>
      </c>
      <c r="C45" t="s">
        <v>30</v>
      </c>
      <c r="D45" t="str">
        <f>_xlfn.XLOOKUP(TEXT(B45,"00000"),[1]MUN_SUBREG_PROV!A:A,[1]MUN_SUBREG_PROV!C:C,"")</f>
        <v>URABA</v>
      </c>
      <c r="E45">
        <f>IFERROR(IF(_xlfn.XLOOKUP(TEXT(B45,"00000"),[1]MUN_SUBREG_PROV!A:A,[1]MUN_SUBREG_PROV!C:C,"")=0,"",_xlfn.XLOOKUP(TEXT(B45,"00000"),[1]MUN_SUBREG_PROV!A:A,[1]MUN_SUBREG_PROV!D:D,"")),"")</f>
        <v>0</v>
      </c>
      <c r="F45" s="2">
        <v>0</v>
      </c>
      <c r="G45" s="2">
        <v>0</v>
      </c>
      <c r="H45" s="2">
        <v>37.057501999999999</v>
      </c>
      <c r="I45" s="2">
        <v>37.057501999999999</v>
      </c>
    </row>
    <row r="46" spans="1:9" x14ac:dyDescent="0.25">
      <c r="A46" s="3">
        <v>2019</v>
      </c>
      <c r="B46" s="3">
        <v>5885</v>
      </c>
      <c r="C46" t="s">
        <v>31</v>
      </c>
      <c r="D46" t="str">
        <f>_xlfn.XLOOKUP(TEXT(B46,"00000"),[1]MUN_SUBREG_PROV!A:A,[1]MUN_SUBREG_PROV!C:C,"")</f>
        <v>NORDESTE</v>
      </c>
      <c r="E46" t="str">
        <f>IFERROR(IF(_xlfn.XLOOKUP(TEXT(B46,"00000"),[1]MUN_SUBREG_PROV!A:A,[1]MUN_SUBREG_PROV!C:C,"")=0,"",_xlfn.XLOOKUP(TEXT(B46,"00000"),[1]MUN_SUBREG_PROV!A:A,[1]MUN_SUBREG_PROV!D:D,"")),"")</f>
        <v>PROVINCIA MINERO AGROECOLOGICA</v>
      </c>
      <c r="F46" s="2">
        <v>0</v>
      </c>
      <c r="G46" s="2">
        <v>0</v>
      </c>
      <c r="H46" s="2">
        <v>52.605753999999997</v>
      </c>
      <c r="I46" s="2">
        <v>52.605753999999997</v>
      </c>
    </row>
    <row r="47" spans="1:9" x14ac:dyDescent="0.25">
      <c r="A47" s="3">
        <v>2019</v>
      </c>
      <c r="B47" s="3">
        <v>5893</v>
      </c>
      <c r="C47" t="s">
        <v>32</v>
      </c>
      <c r="D47" t="str">
        <f>_xlfn.XLOOKUP(TEXT(B47,"00000"),[1]MUN_SUBREG_PROV!A:A,[1]MUN_SUBREG_PROV!C:C,"")</f>
        <v>MAGDALENA MEDIO</v>
      </c>
      <c r="E47">
        <f>IFERROR(IF(_xlfn.XLOOKUP(TEXT(B47,"00000"),[1]MUN_SUBREG_PROV!A:A,[1]MUN_SUBREG_PROV!C:C,"")=0,"",_xlfn.XLOOKUP(TEXT(B47,"00000"),[1]MUN_SUBREG_PROV!A:A,[1]MUN_SUBREG_PROV!D:D,"")),"")</f>
        <v>0</v>
      </c>
      <c r="F47" s="2">
        <v>0</v>
      </c>
      <c r="G47" s="2">
        <v>10.478585000000001</v>
      </c>
      <c r="H47" s="2">
        <v>188.46916100000001</v>
      </c>
      <c r="I47" s="2">
        <v>198.947746</v>
      </c>
    </row>
    <row r="48" spans="1:9" x14ac:dyDescent="0.25">
      <c r="A48" s="3">
        <v>2019</v>
      </c>
      <c r="B48" s="3">
        <v>5895</v>
      </c>
      <c r="C48" t="s">
        <v>33</v>
      </c>
      <c r="D48" t="str">
        <f>_xlfn.XLOOKUP(TEXT(B48,"00000"),[1]MUN_SUBREG_PROV!A:A,[1]MUN_SUBREG_PROV!C:C,"")</f>
        <v>BAJO CAUCA</v>
      </c>
      <c r="E48">
        <f>IFERROR(IF(_xlfn.XLOOKUP(TEXT(B48,"00000"),[1]MUN_SUBREG_PROV!A:A,[1]MUN_SUBREG_PROV!C:C,"")=0,"",_xlfn.XLOOKUP(TEXT(B48,"00000"),[1]MUN_SUBREG_PROV!A:A,[1]MUN_SUBREG_PROV!D:D,"")),"")</f>
        <v>0</v>
      </c>
      <c r="F48" s="2">
        <v>5441.2172870000004</v>
      </c>
      <c r="G48" s="2">
        <v>294.04382199999998</v>
      </c>
      <c r="H48" s="2">
        <v>2726.0753359999999</v>
      </c>
      <c r="I48" s="2">
        <v>8461.3364449999899</v>
      </c>
    </row>
    <row r="49" spans="1:9" x14ac:dyDescent="0.25">
      <c r="A49" s="3">
        <v>2020</v>
      </c>
      <c r="B49" s="3">
        <v>5031</v>
      </c>
      <c r="C49" t="s">
        <v>9</v>
      </c>
      <c r="D49" t="str">
        <f>_xlfn.XLOOKUP(TEXT(B49,"00000"),[1]MUN_SUBREG_PROV!A:A,[1]MUN_SUBREG_PROV!C:C,"")</f>
        <v>NORDESTE</v>
      </c>
      <c r="E49">
        <f>IFERROR(IF(_xlfn.XLOOKUP(TEXT(B49,"00000"),[1]MUN_SUBREG_PROV!A:A,[1]MUN_SUBREG_PROV!C:C,"")=0,"",_xlfn.XLOOKUP(TEXT(B49,"00000"),[1]MUN_SUBREG_PROV!A:A,[1]MUN_SUBREG_PROV!D:D,"")),"")</f>
        <v>0</v>
      </c>
      <c r="F49" s="2">
        <v>268.90304900000001</v>
      </c>
      <c r="G49" s="2">
        <v>35.146782999999999</v>
      </c>
      <c r="H49" s="2">
        <v>1119.0033269999999</v>
      </c>
      <c r="I49" s="2">
        <v>1423.0531590000001</v>
      </c>
    </row>
    <row r="50" spans="1:9" x14ac:dyDescent="0.25">
      <c r="A50" s="3">
        <v>2020</v>
      </c>
      <c r="B50" s="3">
        <v>5040</v>
      </c>
      <c r="C50" t="s">
        <v>10</v>
      </c>
      <c r="D50" t="str">
        <f>_xlfn.XLOOKUP(TEXT(B50,"00000"),[1]MUN_SUBREG_PROV!A:A,[1]MUN_SUBREG_PROV!C:C,"")</f>
        <v>NORDESTE</v>
      </c>
      <c r="E50" t="str">
        <f>IFERROR(IF(_xlfn.XLOOKUP(TEXT(B50,"00000"),[1]MUN_SUBREG_PROV!A:A,[1]MUN_SUBREG_PROV!C:C,"")=0,"",_xlfn.XLOOKUP(TEXT(B50,"00000"),[1]MUN_SUBREG_PROV!A:A,[1]MUN_SUBREG_PROV!D:D,"")),"")</f>
        <v>PROVINCIA BIOENERGETICA DEL NORTE DE ANTIOQUIA</v>
      </c>
      <c r="F50" s="2">
        <v>547.85089700000003</v>
      </c>
      <c r="G50" s="2">
        <v>12.486490999999999</v>
      </c>
      <c r="H50" s="2">
        <v>1438.7541140000001</v>
      </c>
      <c r="I50" s="2">
        <v>1999.091502</v>
      </c>
    </row>
    <row r="51" spans="1:9" x14ac:dyDescent="0.25">
      <c r="A51" s="3">
        <v>2020</v>
      </c>
      <c r="B51" s="3">
        <v>5055</v>
      </c>
      <c r="C51" t="s">
        <v>34</v>
      </c>
      <c r="D51" t="str">
        <f>_xlfn.XLOOKUP(TEXT(B51,"00000"),[1]MUN_SUBREG_PROV!A:A,[1]MUN_SUBREG_PROV!C:C,"")</f>
        <v>ORIENTE</v>
      </c>
      <c r="E51" t="str">
        <f>IFERROR(IF(_xlfn.XLOOKUP(TEXT(B51,"00000"),[1]MUN_SUBREG_PROV!A:A,[1]MUN_SUBREG_PROV!C:C,"")=0,"",_xlfn.XLOOKUP(TEXT(B51,"00000"),[1]MUN_SUBREG_PROV!A:A,[1]MUN_SUBREG_PROV!D:D,"")),"")</f>
        <v>PROVINCIA DE LA PAZ</v>
      </c>
      <c r="F51" s="2">
        <v>0</v>
      </c>
      <c r="G51" s="2">
        <v>0</v>
      </c>
      <c r="H51" s="2">
        <v>3.7564350000000002</v>
      </c>
      <c r="I51" s="2">
        <v>3.7564350000000002</v>
      </c>
    </row>
    <row r="52" spans="1:9" x14ac:dyDescent="0.25">
      <c r="A52" s="3">
        <v>2020</v>
      </c>
      <c r="B52" s="3">
        <v>5120</v>
      </c>
      <c r="C52" t="s">
        <v>11</v>
      </c>
      <c r="D52" t="str">
        <f>_xlfn.XLOOKUP(TEXT(B52,"00000"),[1]MUN_SUBREG_PROV!A:A,[1]MUN_SUBREG_PROV!C:C,"")</f>
        <v>BAJO CAUCA</v>
      </c>
      <c r="E52">
        <f>IFERROR(IF(_xlfn.XLOOKUP(TEXT(B52,"00000"),[1]MUN_SUBREG_PROV!A:A,[1]MUN_SUBREG_PROV!C:C,"")=0,"",_xlfn.XLOOKUP(TEXT(B52,"00000"),[1]MUN_SUBREG_PROV!A:A,[1]MUN_SUBREG_PROV!D:D,"")),"")</f>
        <v>0</v>
      </c>
      <c r="F52" s="2">
        <v>1556.0827059999999</v>
      </c>
      <c r="G52" s="2">
        <v>470.064684</v>
      </c>
      <c r="H52" s="2">
        <v>3258.4628389999998</v>
      </c>
      <c r="I52" s="2">
        <v>5284.6102289999999</v>
      </c>
    </row>
    <row r="53" spans="1:9" x14ac:dyDescent="0.25">
      <c r="A53" s="3">
        <v>2020</v>
      </c>
      <c r="B53" s="3">
        <v>5154</v>
      </c>
      <c r="C53" t="s">
        <v>13</v>
      </c>
      <c r="D53" t="str">
        <f>_xlfn.XLOOKUP(TEXT(B53,"00000"),[1]MUN_SUBREG_PROV!A:A,[1]MUN_SUBREG_PROV!C:C,"")</f>
        <v>BAJO CAUCA</v>
      </c>
      <c r="E53">
        <f>IFERROR(IF(_xlfn.XLOOKUP(TEXT(B53,"00000"),[1]MUN_SUBREG_PROV!A:A,[1]MUN_SUBREG_PROV!C:C,"")=0,"",_xlfn.XLOOKUP(TEXT(B53,"00000"),[1]MUN_SUBREG_PROV!A:A,[1]MUN_SUBREG_PROV!D:D,"")),"")</f>
        <v>0</v>
      </c>
      <c r="F53" s="2">
        <v>887.51583800000003</v>
      </c>
      <c r="G53" s="2">
        <v>91.075423000000001</v>
      </c>
      <c r="H53" s="2">
        <v>1068.5943789999999</v>
      </c>
      <c r="I53" s="2">
        <v>2047.1856399999999</v>
      </c>
    </row>
    <row r="54" spans="1:9" x14ac:dyDescent="0.25">
      <c r="A54" s="3">
        <v>2020</v>
      </c>
      <c r="B54" s="3">
        <v>5172</v>
      </c>
      <c r="C54" t="s">
        <v>14</v>
      </c>
      <c r="D54" t="str">
        <f>_xlfn.XLOOKUP(TEXT(B54,"00000"),[1]MUN_SUBREG_PROV!A:A,[1]MUN_SUBREG_PROV!C:C,"")</f>
        <v>URABA</v>
      </c>
      <c r="E54">
        <f>IFERROR(IF(_xlfn.XLOOKUP(TEXT(B54,"00000"),[1]MUN_SUBREG_PROV!A:A,[1]MUN_SUBREG_PROV!C:C,"")=0,"",_xlfn.XLOOKUP(TEXT(B54,"00000"),[1]MUN_SUBREG_PROV!A:A,[1]MUN_SUBREG_PROV!D:D,"")),"")</f>
        <v>0</v>
      </c>
      <c r="F54" s="2">
        <v>0</v>
      </c>
      <c r="G54" s="2">
        <v>0</v>
      </c>
      <c r="H54" s="2">
        <v>65.006929</v>
      </c>
      <c r="I54" s="2">
        <v>65.006929</v>
      </c>
    </row>
    <row r="55" spans="1:9" x14ac:dyDescent="0.25">
      <c r="A55" s="3">
        <v>2020</v>
      </c>
      <c r="B55" s="3">
        <v>5234</v>
      </c>
      <c r="C55" t="s">
        <v>15</v>
      </c>
      <c r="D55" t="str">
        <f>_xlfn.XLOOKUP(TEXT(B55,"00000"),[1]MUN_SUBREG_PROV!A:A,[1]MUN_SUBREG_PROV!C:C,"")</f>
        <v>OCCIDENTE</v>
      </c>
      <c r="E55" t="str">
        <f>IFERROR(IF(_xlfn.XLOOKUP(TEXT(B55,"00000"),[1]MUN_SUBREG_PROV!A:A,[1]MUN_SUBREG_PROV!C:C,"")=0,"",_xlfn.XLOOKUP(TEXT(B55,"00000"),[1]MUN_SUBREG_PROV!A:A,[1]MUN_SUBREG_PROV!D:D,"")),"")</f>
        <v>PROVINCIA AGROINDUSTRIAL DEL OCCIDENTE</v>
      </c>
      <c r="F55" s="2">
        <v>0</v>
      </c>
      <c r="G55" s="2">
        <v>0</v>
      </c>
      <c r="H55" s="2">
        <v>6.66</v>
      </c>
      <c r="I55" s="2">
        <v>6.66</v>
      </c>
    </row>
    <row r="56" spans="1:9" x14ac:dyDescent="0.25">
      <c r="A56" s="3">
        <v>2020</v>
      </c>
      <c r="B56" s="3">
        <v>5250</v>
      </c>
      <c r="C56" t="s">
        <v>16</v>
      </c>
      <c r="D56" t="str">
        <f>_xlfn.XLOOKUP(TEXT(B56,"00000"),[1]MUN_SUBREG_PROV!A:A,[1]MUN_SUBREG_PROV!C:C,"")</f>
        <v>BAJO CAUCA</v>
      </c>
      <c r="E56">
        <f>IFERROR(IF(_xlfn.XLOOKUP(TEXT(B56,"00000"),[1]MUN_SUBREG_PROV!A:A,[1]MUN_SUBREG_PROV!C:C,"")=0,"",_xlfn.XLOOKUP(TEXT(B56,"00000"),[1]MUN_SUBREG_PROV!A:A,[1]MUN_SUBREG_PROV!D:D,"")),"")</f>
        <v>0</v>
      </c>
      <c r="F56" s="2">
        <v>2757.1297970000001</v>
      </c>
      <c r="G56" s="2">
        <v>21.670093000000001</v>
      </c>
      <c r="H56" s="2">
        <v>2064.171147</v>
      </c>
      <c r="I56" s="2">
        <v>4842.9710370000003</v>
      </c>
    </row>
    <row r="57" spans="1:9" x14ac:dyDescent="0.25">
      <c r="A57" s="3">
        <v>2020</v>
      </c>
      <c r="B57" s="3">
        <v>5284</v>
      </c>
      <c r="C57" t="s">
        <v>17</v>
      </c>
      <c r="D57" t="str">
        <f>_xlfn.XLOOKUP(TEXT(B57,"00000"),[1]MUN_SUBREG_PROV!A:A,[1]MUN_SUBREG_PROV!C:C,"")</f>
        <v>OCCIDENTE</v>
      </c>
      <c r="E57" t="str">
        <f>IFERROR(IF(_xlfn.XLOOKUP(TEXT(B57,"00000"),[1]MUN_SUBREG_PROV!A:A,[1]MUN_SUBREG_PROV!C:C,"")=0,"",_xlfn.XLOOKUP(TEXT(B57,"00000"),[1]MUN_SUBREG_PROV!A:A,[1]MUN_SUBREG_PROV!D:D,"")),"")</f>
        <v>PROVINCIA AGROINDUSTRIAL DEL OCCIDENTE</v>
      </c>
      <c r="F57" s="2">
        <v>8.505001</v>
      </c>
      <c r="G57" s="2">
        <v>0</v>
      </c>
      <c r="H57" s="2">
        <v>0</v>
      </c>
      <c r="I57" s="2">
        <v>8.505001</v>
      </c>
    </row>
    <row r="58" spans="1:9" x14ac:dyDescent="0.25">
      <c r="A58" s="3">
        <v>2020</v>
      </c>
      <c r="B58" s="3">
        <v>5480</v>
      </c>
      <c r="C58" t="s">
        <v>19</v>
      </c>
      <c r="D58" t="str">
        <f>_xlfn.XLOOKUP(TEXT(B58,"00000"),[1]MUN_SUBREG_PROV!A:A,[1]MUN_SUBREG_PROV!C:C,"")</f>
        <v>URABA</v>
      </c>
      <c r="E58">
        <f>IFERROR(IF(_xlfn.XLOOKUP(TEXT(B58,"00000"),[1]MUN_SUBREG_PROV!A:A,[1]MUN_SUBREG_PROV!C:C,"")=0,"",_xlfn.XLOOKUP(TEXT(B58,"00000"),[1]MUN_SUBREG_PROV!A:A,[1]MUN_SUBREG_PROV!D:D,"")),"")</f>
        <v>0</v>
      </c>
      <c r="F58" s="2">
        <v>158.6925</v>
      </c>
      <c r="G58" s="2">
        <v>0</v>
      </c>
      <c r="H58" s="2">
        <v>22.855571000000001</v>
      </c>
      <c r="I58" s="2">
        <v>181.54807099999999</v>
      </c>
    </row>
    <row r="59" spans="1:9" x14ac:dyDescent="0.25">
      <c r="A59" s="3">
        <v>2020</v>
      </c>
      <c r="B59" s="3">
        <v>5495</v>
      </c>
      <c r="C59" t="s">
        <v>20</v>
      </c>
      <c r="D59" t="str">
        <f>_xlfn.XLOOKUP(TEXT(B59,"00000"),[1]MUN_SUBREG_PROV!A:A,[1]MUN_SUBREG_PROV!C:C,"")</f>
        <v>BAJO CAUCA</v>
      </c>
      <c r="E59">
        <f>IFERROR(IF(_xlfn.XLOOKUP(TEXT(B59,"00000"),[1]MUN_SUBREG_PROV!A:A,[1]MUN_SUBREG_PROV!C:C,"")=0,"",_xlfn.XLOOKUP(TEXT(B59,"00000"),[1]MUN_SUBREG_PROV!A:A,[1]MUN_SUBREG_PROV!D:D,"")),"")</f>
        <v>0</v>
      </c>
      <c r="F59" s="2">
        <v>4297.4843769999998</v>
      </c>
      <c r="G59" s="2">
        <v>44.238227000000002</v>
      </c>
      <c r="H59" s="2">
        <v>3654.7070010000002</v>
      </c>
      <c r="I59" s="2">
        <v>7996.4296050000003</v>
      </c>
    </row>
    <row r="60" spans="1:9" x14ac:dyDescent="0.25">
      <c r="A60" s="3">
        <v>2020</v>
      </c>
      <c r="B60" s="3">
        <v>5579</v>
      </c>
      <c r="C60" t="s">
        <v>21</v>
      </c>
      <c r="D60" t="str">
        <f>_xlfn.XLOOKUP(TEXT(B60,"00000"),[1]MUN_SUBREG_PROV!A:A,[1]MUN_SUBREG_PROV!C:C,"")</f>
        <v>MAGDALENA MEDIO</v>
      </c>
      <c r="E60">
        <f>IFERROR(IF(_xlfn.XLOOKUP(TEXT(B60,"00000"),[1]MUN_SUBREG_PROV!A:A,[1]MUN_SUBREG_PROV!C:C,"")=0,"",_xlfn.XLOOKUP(TEXT(B60,"00000"),[1]MUN_SUBREG_PROV!A:A,[1]MUN_SUBREG_PROV!D:D,"")),"")</f>
        <v>0</v>
      </c>
      <c r="F60" s="2">
        <v>0</v>
      </c>
      <c r="G60" s="2">
        <v>1.2796E-2</v>
      </c>
      <c r="H60" s="2">
        <v>130.967206</v>
      </c>
      <c r="I60" s="2">
        <v>130.98000200000001</v>
      </c>
    </row>
    <row r="61" spans="1:9" x14ac:dyDescent="0.25">
      <c r="A61" s="3">
        <v>2020</v>
      </c>
      <c r="B61" s="3">
        <v>5585</v>
      </c>
      <c r="C61" t="s">
        <v>22</v>
      </c>
      <c r="D61" t="str">
        <f>_xlfn.XLOOKUP(TEXT(B61,"00000"),[1]MUN_SUBREG_PROV!A:A,[1]MUN_SUBREG_PROV!C:C,"")</f>
        <v>MAGDALENA MEDIO</v>
      </c>
      <c r="E61">
        <f>IFERROR(IF(_xlfn.XLOOKUP(TEXT(B61,"00000"),[1]MUN_SUBREG_PROV!A:A,[1]MUN_SUBREG_PROV!C:C,"")=0,"",_xlfn.XLOOKUP(TEXT(B61,"00000"),[1]MUN_SUBREG_PROV!A:A,[1]MUN_SUBREG_PROV!D:D,"")),"")</f>
        <v>0</v>
      </c>
      <c r="F61" s="2">
        <v>0</v>
      </c>
      <c r="G61" s="2">
        <v>0</v>
      </c>
      <c r="H61" s="2">
        <v>175.58251300000001</v>
      </c>
      <c r="I61" s="2">
        <v>175.58251300000001</v>
      </c>
    </row>
    <row r="62" spans="1:9" x14ac:dyDescent="0.25">
      <c r="A62" s="3">
        <v>2020</v>
      </c>
      <c r="B62" s="3">
        <v>5604</v>
      </c>
      <c r="C62" t="s">
        <v>23</v>
      </c>
      <c r="D62" t="str">
        <f>_xlfn.XLOOKUP(TEXT(B62,"00000"),[1]MUN_SUBREG_PROV!A:A,[1]MUN_SUBREG_PROV!C:C,"")</f>
        <v>NORDESTE</v>
      </c>
      <c r="E62" t="str">
        <f>IFERROR(IF(_xlfn.XLOOKUP(TEXT(B62,"00000"),[1]MUN_SUBREG_PROV!A:A,[1]MUN_SUBREG_PROV!C:C,"")=0,"",_xlfn.XLOOKUP(TEXT(B62,"00000"),[1]MUN_SUBREG_PROV!A:A,[1]MUN_SUBREG_PROV!D:D,"")),"")</f>
        <v>PROVINCIA MINERO AGROECOLOGICA</v>
      </c>
      <c r="F62" s="2">
        <v>678.06176800000003</v>
      </c>
      <c r="G62" s="2">
        <v>209.00211100000001</v>
      </c>
      <c r="H62" s="2">
        <v>1459.4774580000001</v>
      </c>
      <c r="I62" s="2">
        <v>2346.5413370000001</v>
      </c>
    </row>
    <row r="63" spans="1:9" x14ac:dyDescent="0.25">
      <c r="A63" s="3">
        <v>2020</v>
      </c>
      <c r="B63" s="3">
        <v>5736</v>
      </c>
      <c r="C63" t="s">
        <v>24</v>
      </c>
      <c r="D63" t="str">
        <f>_xlfn.XLOOKUP(TEXT(B63,"00000"),[1]MUN_SUBREG_PROV!A:A,[1]MUN_SUBREG_PROV!C:C,"")</f>
        <v>NORDESTE</v>
      </c>
      <c r="E63" t="str">
        <f>IFERROR(IF(_xlfn.XLOOKUP(TEXT(B63,"00000"),[1]MUN_SUBREG_PROV!A:A,[1]MUN_SUBREG_PROV!C:C,"")=0,"",_xlfn.XLOOKUP(TEXT(B63,"00000"),[1]MUN_SUBREG_PROV!A:A,[1]MUN_SUBREG_PROV!D:D,"")),"")</f>
        <v>PROVINCIA MINERO AGROECOLOGICA</v>
      </c>
      <c r="F63" s="2">
        <v>854.51349000000005</v>
      </c>
      <c r="G63" s="2">
        <v>35.364159000000001</v>
      </c>
      <c r="H63" s="2">
        <v>1589.4494560000001</v>
      </c>
      <c r="I63" s="2">
        <v>2479.3271049999998</v>
      </c>
    </row>
    <row r="64" spans="1:9" x14ac:dyDescent="0.25">
      <c r="A64" s="3">
        <v>2020</v>
      </c>
      <c r="B64" s="3">
        <v>5756</v>
      </c>
      <c r="C64" t="s">
        <v>25</v>
      </c>
      <c r="D64" t="str">
        <f>_xlfn.XLOOKUP(TEXT(B64,"00000"),[1]MUN_SUBREG_PROV!A:A,[1]MUN_SUBREG_PROV!C:C,"")</f>
        <v>ORIENTE</v>
      </c>
      <c r="E64" t="str">
        <f>IFERROR(IF(_xlfn.XLOOKUP(TEXT(B64,"00000"),[1]MUN_SUBREG_PROV!A:A,[1]MUN_SUBREG_PROV!C:C,"")=0,"",_xlfn.XLOOKUP(TEXT(B64,"00000"),[1]MUN_SUBREG_PROV!A:A,[1]MUN_SUBREG_PROV!D:D,"")),"")</f>
        <v>PROVINCIA DE LA PAZ</v>
      </c>
      <c r="F64" s="2">
        <v>130.516064</v>
      </c>
      <c r="G64" s="2">
        <v>21.849043000000002</v>
      </c>
      <c r="H64" s="2">
        <v>129.784897</v>
      </c>
      <c r="I64" s="2">
        <v>282.15000400000002</v>
      </c>
    </row>
    <row r="65" spans="1:9" x14ac:dyDescent="0.25">
      <c r="A65" s="3">
        <v>2020</v>
      </c>
      <c r="B65" s="3">
        <v>5790</v>
      </c>
      <c r="C65" t="s">
        <v>26</v>
      </c>
      <c r="D65" t="str">
        <f>_xlfn.XLOOKUP(TEXT(B65,"00000"),[1]MUN_SUBREG_PROV!A:A,[1]MUN_SUBREG_PROV!C:C,"")</f>
        <v>BAJO CAUCA</v>
      </c>
      <c r="E65">
        <f>IFERROR(IF(_xlfn.XLOOKUP(TEXT(B65,"00000"),[1]MUN_SUBREG_PROV!A:A,[1]MUN_SUBREG_PROV!C:C,"")=0,"",_xlfn.XLOOKUP(TEXT(B65,"00000"),[1]MUN_SUBREG_PROV!A:A,[1]MUN_SUBREG_PROV!D:D,"")),"")</f>
        <v>0</v>
      </c>
      <c r="F65" s="2">
        <v>266.94981100000001</v>
      </c>
      <c r="G65" s="2">
        <v>403.78626700000001</v>
      </c>
      <c r="H65" s="2">
        <v>978.381077</v>
      </c>
      <c r="I65" s="2">
        <v>1649.1171549999999</v>
      </c>
    </row>
    <row r="66" spans="1:9" x14ac:dyDescent="0.25">
      <c r="A66" s="3">
        <v>2020</v>
      </c>
      <c r="B66" s="3">
        <v>5847</v>
      </c>
      <c r="C66" t="s">
        <v>27</v>
      </c>
      <c r="D66" t="str">
        <f>_xlfn.XLOOKUP(TEXT(B66,"00000"),[1]MUN_SUBREG_PROV!A:A,[1]MUN_SUBREG_PROV!C:C,"")</f>
        <v>SUROESTE</v>
      </c>
      <c r="E66" t="str">
        <f>IFERROR(IF(_xlfn.XLOOKUP(TEXT(B66,"00000"),[1]MUN_SUBREG_PROV!A:A,[1]MUN_SUBREG_PROV!C:C,"")=0,"",_xlfn.XLOOKUP(TEXT(B66,"00000"),[1]MUN_SUBREG_PROV!A:A,[1]MUN_SUBREG_PROV!D:D,"")),"")</f>
        <v>PROVINCIA PENDERISCO Y SINIFANA</v>
      </c>
      <c r="F66" s="2">
        <v>5.8724999999999996</v>
      </c>
      <c r="G66" s="2">
        <v>0</v>
      </c>
      <c r="H66" s="2">
        <v>0</v>
      </c>
      <c r="I66" s="2">
        <v>5.8724999999999996</v>
      </c>
    </row>
    <row r="67" spans="1:9" x14ac:dyDescent="0.25">
      <c r="A67" s="3">
        <v>2020</v>
      </c>
      <c r="B67" s="3">
        <v>5854</v>
      </c>
      <c r="C67" t="s">
        <v>28</v>
      </c>
      <c r="D67" t="str">
        <f>_xlfn.XLOOKUP(TEXT(B67,"00000"),[1]MUN_SUBREG_PROV!A:A,[1]MUN_SUBREG_PROV!C:C,"")</f>
        <v>NORTE</v>
      </c>
      <c r="E67" t="str">
        <f>IFERROR(IF(_xlfn.XLOOKUP(TEXT(B67,"00000"),[1]MUN_SUBREG_PROV!A:A,[1]MUN_SUBREG_PROV!C:C,"")=0,"",_xlfn.XLOOKUP(TEXT(B67,"00000"),[1]MUN_SUBREG_PROV!A:A,[1]MUN_SUBREG_PROV!D:D,"")),"")</f>
        <v>PROVINCIA BIOENERGETICA DEL NORTE DE ANTIOQUIA</v>
      </c>
      <c r="F67" s="2">
        <v>0</v>
      </c>
      <c r="G67" s="2">
        <v>129.51088100000001</v>
      </c>
      <c r="H67" s="2">
        <v>296.68451499999998</v>
      </c>
      <c r="I67" s="2">
        <v>426.19539600000002</v>
      </c>
    </row>
    <row r="68" spans="1:9" x14ac:dyDescent="0.25">
      <c r="A68" s="3">
        <v>2020</v>
      </c>
      <c r="B68" s="3">
        <v>5858</v>
      </c>
      <c r="C68" t="s">
        <v>29</v>
      </c>
      <c r="D68" t="str">
        <f>_xlfn.XLOOKUP(TEXT(B68,"00000"),[1]MUN_SUBREG_PROV!A:A,[1]MUN_SUBREG_PROV!C:C,"")</f>
        <v>NORDESTE</v>
      </c>
      <c r="E68" t="str">
        <f>IFERROR(IF(_xlfn.XLOOKUP(TEXT(B68,"00000"),[1]MUN_SUBREG_PROV!A:A,[1]MUN_SUBREG_PROV!C:C,"")=0,"",_xlfn.XLOOKUP(TEXT(B68,"00000"),[1]MUN_SUBREG_PROV!A:A,[1]MUN_SUBREG_PROV!D:D,"")),"")</f>
        <v>PROVINCIA MINERO AGROECOLOGICA</v>
      </c>
      <c r="F68" s="2">
        <v>184.610175</v>
      </c>
      <c r="G68" s="2">
        <v>0</v>
      </c>
      <c r="H68" s="2">
        <v>217.401082</v>
      </c>
      <c r="I68" s="2">
        <v>402.011257</v>
      </c>
    </row>
    <row r="69" spans="1:9" x14ac:dyDescent="0.25">
      <c r="A69" s="3">
        <v>2020</v>
      </c>
      <c r="B69" s="3">
        <v>5873</v>
      </c>
      <c r="C69" t="s">
        <v>30</v>
      </c>
      <c r="D69" t="str">
        <f>_xlfn.XLOOKUP(TEXT(B69,"00000"),[1]MUN_SUBREG_PROV!A:A,[1]MUN_SUBREG_PROV!C:C,"")</f>
        <v>URABA</v>
      </c>
      <c r="E69">
        <f>IFERROR(IF(_xlfn.XLOOKUP(TEXT(B69,"00000"),[1]MUN_SUBREG_PROV!A:A,[1]MUN_SUBREG_PROV!C:C,"")=0,"",_xlfn.XLOOKUP(TEXT(B69,"00000"),[1]MUN_SUBREG_PROV!A:A,[1]MUN_SUBREG_PROV!D:D,"")),"")</f>
        <v>0</v>
      </c>
      <c r="F69" s="2">
        <v>0</v>
      </c>
      <c r="G69" s="2">
        <v>0</v>
      </c>
      <c r="H69" s="2">
        <v>73.192504</v>
      </c>
      <c r="I69" s="2">
        <v>73.192504</v>
      </c>
    </row>
    <row r="70" spans="1:9" x14ac:dyDescent="0.25">
      <c r="A70" s="3">
        <v>2020</v>
      </c>
      <c r="B70" s="3">
        <v>5885</v>
      </c>
      <c r="C70" t="s">
        <v>31</v>
      </c>
      <c r="D70" t="str">
        <f>_xlfn.XLOOKUP(TEXT(B70,"00000"),[1]MUN_SUBREG_PROV!A:A,[1]MUN_SUBREG_PROV!C:C,"")</f>
        <v>NORDESTE</v>
      </c>
      <c r="E70" t="str">
        <f>IFERROR(IF(_xlfn.XLOOKUP(TEXT(B70,"00000"),[1]MUN_SUBREG_PROV!A:A,[1]MUN_SUBREG_PROV!C:C,"")=0,"",_xlfn.XLOOKUP(TEXT(B70,"00000"),[1]MUN_SUBREG_PROV!A:A,[1]MUN_SUBREG_PROV!D:D,"")),"")</f>
        <v>PROVINCIA MINERO AGROECOLOGICA</v>
      </c>
      <c r="F70" s="2">
        <v>4.9049990000000001</v>
      </c>
      <c r="G70" s="2">
        <v>0</v>
      </c>
      <c r="H70" s="2">
        <v>14.398026</v>
      </c>
      <c r="I70" s="2">
        <v>19.303025000000002</v>
      </c>
    </row>
    <row r="71" spans="1:9" x14ac:dyDescent="0.25">
      <c r="A71" s="3">
        <v>2020</v>
      </c>
      <c r="B71" s="3">
        <v>5893</v>
      </c>
      <c r="C71" t="s">
        <v>32</v>
      </c>
      <c r="D71" t="str">
        <f>_xlfn.XLOOKUP(TEXT(B71,"00000"),[1]MUN_SUBREG_PROV!A:A,[1]MUN_SUBREG_PROV!C:C,"")</f>
        <v>MAGDALENA MEDIO</v>
      </c>
      <c r="E71">
        <f>IFERROR(IF(_xlfn.XLOOKUP(TEXT(B71,"00000"),[1]MUN_SUBREG_PROV!A:A,[1]MUN_SUBREG_PROV!C:C,"")=0,"",_xlfn.XLOOKUP(TEXT(B71,"00000"),[1]MUN_SUBREG_PROV!A:A,[1]MUN_SUBREG_PROV!D:D,"")),"")</f>
        <v>0</v>
      </c>
      <c r="F71" s="2">
        <v>0</v>
      </c>
      <c r="G71" s="2">
        <v>84.589555000000004</v>
      </c>
      <c r="H71" s="2">
        <v>113.968266</v>
      </c>
      <c r="I71" s="2">
        <v>198.55782099999999</v>
      </c>
    </row>
    <row r="72" spans="1:9" x14ac:dyDescent="0.25">
      <c r="A72" s="3">
        <v>2020</v>
      </c>
      <c r="B72" s="3">
        <v>5895</v>
      </c>
      <c r="C72" t="s">
        <v>33</v>
      </c>
      <c r="D72" t="str">
        <f>_xlfn.XLOOKUP(TEXT(B72,"00000"),[1]MUN_SUBREG_PROV!A:A,[1]MUN_SUBREG_PROV!C:C,"")</f>
        <v>BAJO CAUCA</v>
      </c>
      <c r="E72">
        <f>IFERROR(IF(_xlfn.XLOOKUP(TEXT(B72,"00000"),[1]MUN_SUBREG_PROV!A:A,[1]MUN_SUBREG_PROV!C:C,"")=0,"",_xlfn.XLOOKUP(TEXT(B72,"00000"),[1]MUN_SUBREG_PROV!A:A,[1]MUN_SUBREG_PROV!D:D,"")),"")</f>
        <v>0</v>
      </c>
      <c r="F72" s="2">
        <v>6633.4060010000003</v>
      </c>
      <c r="G72" s="2">
        <v>247.45255599999999</v>
      </c>
      <c r="H72" s="2">
        <v>1961.0742769999999</v>
      </c>
      <c r="I72" s="2">
        <v>8841.9328339999993</v>
      </c>
    </row>
  </sheetData>
  <autoFilter ref="A1:I72" xr:uid="{615B3FEE-E3DA-460F-93FA-8F01FF001E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2026-06-23T23:42:56Z</dcterms:created>
  <dcterms:modified xsi:type="dcterms:W3CDTF">2026-07-28T04:17:08Z</dcterms:modified>
</cp:coreProperties>
</file>